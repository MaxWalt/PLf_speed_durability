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cuments\UNIL - Doctorat\1_Research_data\3_Pacing_profiles\Splits data\"/>
    </mc:Choice>
  </mc:AlternateContent>
  <xr:revisionPtr revIDLastSave="0" documentId="13_ncr:1_{184909D8-17BD-4E81-995D-9FC4A0281E14}" xr6:coauthVersionLast="47" xr6:coauthVersionMax="47" xr10:uidLastSave="{00000000-0000-0000-0000-000000000000}"/>
  <bookViews>
    <workbookView xWindow="-28920" yWindow="-90" windowWidth="29040" windowHeight="15720" xr2:uid="{EE1FE02E-784B-4725-97D1-F4EF2D0B6C3A}"/>
  </bookViews>
  <sheets>
    <sheet name="800m" sheetId="1" r:id="rId1"/>
    <sheet name="Clean_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88" i="1" l="1"/>
  <c r="N1688" i="1" s="1"/>
  <c r="O1688" i="1" s="1"/>
  <c r="L1689" i="1"/>
  <c r="N1689" i="1" s="1"/>
  <c r="O1689" i="1" s="1"/>
  <c r="L1690" i="1"/>
  <c r="N1690" i="1" s="1"/>
  <c r="O1690" i="1" s="1"/>
  <c r="L1691" i="1"/>
  <c r="N1691" i="1" s="1"/>
  <c r="O1691" i="1" s="1"/>
  <c r="L1692" i="1"/>
  <c r="N1692" i="1" s="1"/>
  <c r="O1692" i="1" s="1"/>
  <c r="L1693" i="1"/>
  <c r="N1693" i="1" s="1"/>
  <c r="O1693" i="1" s="1"/>
  <c r="L1694" i="1"/>
  <c r="N1694" i="1" s="1"/>
  <c r="O1694" i="1" s="1"/>
  <c r="L1695" i="1"/>
  <c r="N1695" i="1" s="1"/>
  <c r="O1695" i="1" s="1"/>
  <c r="L1696" i="1"/>
  <c r="N1696" i="1" s="1"/>
  <c r="O1696" i="1" s="1"/>
  <c r="L1697" i="1"/>
  <c r="N1697" i="1" s="1"/>
  <c r="O1697" i="1" s="1"/>
  <c r="Q1688" i="1"/>
  <c r="Q1689" i="1"/>
  <c r="Q1690" i="1"/>
  <c r="Q1691" i="1"/>
  <c r="Q1692" i="1"/>
  <c r="Q1693" i="1"/>
  <c r="Q1694" i="1"/>
  <c r="Q1695" i="1"/>
  <c r="Q1696" i="1"/>
  <c r="Q1697" i="1"/>
  <c r="W1688" i="1"/>
  <c r="A1688" i="1" s="1"/>
  <c r="W1689" i="1"/>
  <c r="A1689" i="1" s="1"/>
  <c r="W1690" i="1"/>
  <c r="A1690" i="1" s="1"/>
  <c r="W1691" i="1"/>
  <c r="A1691" i="1" s="1"/>
  <c r="W1692" i="1"/>
  <c r="A1692" i="1" s="1"/>
  <c r="W1693" i="1"/>
  <c r="A1693" i="1" s="1"/>
  <c r="W1694" i="1"/>
  <c r="A1694" i="1" s="1"/>
  <c r="W1695" i="1"/>
  <c r="A1695" i="1" s="1"/>
  <c r="W1696" i="1"/>
  <c r="A1696" i="1" s="1"/>
  <c r="W1697" i="1"/>
  <c r="A1697" i="1" s="1"/>
  <c r="L1679" i="1"/>
  <c r="N1679" i="1" s="1"/>
  <c r="O1679" i="1" s="1"/>
  <c r="L1680" i="1"/>
  <c r="N1680" i="1" s="1"/>
  <c r="O1680" i="1" s="1"/>
  <c r="L1681" i="1"/>
  <c r="N1681" i="1" s="1"/>
  <c r="O1681" i="1" s="1"/>
  <c r="L1682" i="1"/>
  <c r="N1682" i="1" s="1"/>
  <c r="O1682" i="1" s="1"/>
  <c r="L1683" i="1"/>
  <c r="N1683" i="1" s="1"/>
  <c r="O1683" i="1" s="1"/>
  <c r="L1684" i="1"/>
  <c r="N1684" i="1" s="1"/>
  <c r="O1684" i="1" s="1"/>
  <c r="L1685" i="1"/>
  <c r="N1685" i="1" s="1"/>
  <c r="O1685" i="1" s="1"/>
  <c r="L1686" i="1"/>
  <c r="N1686" i="1" s="1"/>
  <c r="O1686" i="1" s="1"/>
  <c r="L1687" i="1"/>
  <c r="N1687" i="1" s="1"/>
  <c r="O1687" i="1" s="1"/>
  <c r="Q1679" i="1"/>
  <c r="Q1680" i="1"/>
  <c r="Q1681" i="1"/>
  <c r="Q1682" i="1"/>
  <c r="Q1683" i="1"/>
  <c r="Q1684" i="1"/>
  <c r="Q1685" i="1"/>
  <c r="Q1686" i="1"/>
  <c r="Q1687" i="1"/>
  <c r="W1679" i="1"/>
  <c r="A1679" i="1" s="1"/>
  <c r="W1680" i="1"/>
  <c r="A1680" i="1" s="1"/>
  <c r="W1681" i="1"/>
  <c r="A1681" i="1" s="1"/>
  <c r="W1682" i="1"/>
  <c r="A1682" i="1" s="1"/>
  <c r="W1683" i="1"/>
  <c r="A1683" i="1" s="1"/>
  <c r="W1684" i="1"/>
  <c r="A1684" i="1" s="1"/>
  <c r="W1685" i="1"/>
  <c r="A1685" i="1" s="1"/>
  <c r="W1686" i="1"/>
  <c r="A1686" i="1" s="1"/>
  <c r="W1687" i="1"/>
  <c r="A1687" i="1" s="1"/>
  <c r="L1670" i="1"/>
  <c r="N1670" i="1" s="1"/>
  <c r="O1670" i="1" s="1"/>
  <c r="L1671" i="1"/>
  <c r="N1671" i="1" s="1"/>
  <c r="O1671" i="1" s="1"/>
  <c r="L1672" i="1"/>
  <c r="N1672" i="1" s="1"/>
  <c r="O1672" i="1" s="1"/>
  <c r="L1673" i="1"/>
  <c r="N1673" i="1" s="1"/>
  <c r="O1673" i="1" s="1"/>
  <c r="L1674" i="1"/>
  <c r="N1674" i="1" s="1"/>
  <c r="O1674" i="1" s="1"/>
  <c r="L1675" i="1"/>
  <c r="N1675" i="1" s="1"/>
  <c r="O1675" i="1" s="1"/>
  <c r="L1676" i="1"/>
  <c r="N1676" i="1" s="1"/>
  <c r="O1676" i="1" s="1"/>
  <c r="L1677" i="1"/>
  <c r="N1677" i="1" s="1"/>
  <c r="O1677" i="1" s="1"/>
  <c r="L1678" i="1"/>
  <c r="N1678" i="1" s="1"/>
  <c r="O1678" i="1" s="1"/>
  <c r="Q1670" i="1"/>
  <c r="Q1671" i="1"/>
  <c r="Q1672" i="1"/>
  <c r="Q1673" i="1"/>
  <c r="Q1674" i="1"/>
  <c r="Q1675" i="1"/>
  <c r="Q1676" i="1"/>
  <c r="Q1677" i="1"/>
  <c r="Q1678" i="1"/>
  <c r="W1670" i="1"/>
  <c r="A1670" i="1" s="1"/>
  <c r="W1671" i="1"/>
  <c r="A1671" i="1" s="1"/>
  <c r="W1672" i="1"/>
  <c r="A1672" i="1" s="1"/>
  <c r="W1673" i="1"/>
  <c r="A1673" i="1" s="1"/>
  <c r="W1674" i="1"/>
  <c r="A1674" i="1" s="1"/>
  <c r="W1675" i="1"/>
  <c r="A1675" i="1" s="1"/>
  <c r="W1676" i="1"/>
  <c r="A1676" i="1" s="1"/>
  <c r="W1677" i="1"/>
  <c r="A1677" i="1" s="1"/>
  <c r="W1678" i="1"/>
  <c r="A1678" i="1" s="1"/>
  <c r="W1661" i="1"/>
  <c r="A1661" i="1" s="1"/>
  <c r="W1662" i="1"/>
  <c r="A1662" i="1" s="1"/>
  <c r="W1663" i="1"/>
  <c r="W1664" i="1"/>
  <c r="A1664" i="1" s="1"/>
  <c r="W1665" i="1"/>
  <c r="A1665" i="1" s="1"/>
  <c r="W1666" i="1"/>
  <c r="A1666" i="1" s="1"/>
  <c r="W1667" i="1"/>
  <c r="A1667" i="1" s="1"/>
  <c r="W1668" i="1"/>
  <c r="A1668" i="1" s="1"/>
  <c r="W1669" i="1"/>
  <c r="L1660" i="1"/>
  <c r="N1660" i="1" s="1"/>
  <c r="O1660" i="1" s="1"/>
  <c r="L1661" i="1"/>
  <c r="N1661" i="1" s="1"/>
  <c r="O1661" i="1" s="1"/>
  <c r="L1662" i="1"/>
  <c r="N1662" i="1" s="1"/>
  <c r="O1662" i="1" s="1"/>
  <c r="L1663" i="1"/>
  <c r="N1663" i="1" s="1"/>
  <c r="O1663" i="1" s="1"/>
  <c r="L1664" i="1"/>
  <c r="N1664" i="1" s="1"/>
  <c r="O1664" i="1" s="1"/>
  <c r="L1665" i="1"/>
  <c r="N1665" i="1" s="1"/>
  <c r="O1665" i="1" s="1"/>
  <c r="L1666" i="1"/>
  <c r="N1666" i="1" s="1"/>
  <c r="O1666" i="1" s="1"/>
  <c r="L1667" i="1"/>
  <c r="N1667" i="1" s="1"/>
  <c r="O1667" i="1" s="1"/>
  <c r="L1668" i="1"/>
  <c r="N1668" i="1" s="1"/>
  <c r="O1668" i="1" s="1"/>
  <c r="L1669" i="1"/>
  <c r="N1669" i="1" s="1"/>
  <c r="O1669" i="1" s="1"/>
  <c r="A1663" i="1"/>
  <c r="A1669" i="1"/>
  <c r="Q1660" i="1"/>
  <c r="Q1661" i="1"/>
  <c r="Q1662" i="1"/>
  <c r="Q1663" i="1"/>
  <c r="Q1664" i="1"/>
  <c r="Q1665" i="1"/>
  <c r="Q1666" i="1"/>
  <c r="Q1667" i="1"/>
  <c r="Q1668" i="1"/>
  <c r="Q1669" i="1"/>
  <c r="W1660" i="1"/>
  <c r="A1660" i="1" s="1"/>
  <c r="L1650" i="1"/>
  <c r="N1650" i="1" s="1"/>
  <c r="O1650" i="1" s="1"/>
  <c r="L1651" i="1"/>
  <c r="N1651" i="1" s="1"/>
  <c r="O1651" i="1" s="1"/>
  <c r="L1652" i="1"/>
  <c r="N1652" i="1" s="1"/>
  <c r="O1652" i="1" s="1"/>
  <c r="L1653" i="1"/>
  <c r="N1653" i="1" s="1"/>
  <c r="O1653" i="1" s="1"/>
  <c r="L1654" i="1"/>
  <c r="N1654" i="1" s="1"/>
  <c r="O1654" i="1" s="1"/>
  <c r="L1655" i="1"/>
  <c r="N1655" i="1" s="1"/>
  <c r="O1655" i="1" s="1"/>
  <c r="L1656" i="1"/>
  <c r="N1656" i="1" s="1"/>
  <c r="O1656" i="1" s="1"/>
  <c r="L1657" i="1"/>
  <c r="N1657" i="1" s="1"/>
  <c r="O1657" i="1" s="1"/>
  <c r="L1658" i="1"/>
  <c r="N1658" i="1" s="1"/>
  <c r="O1658" i="1" s="1"/>
  <c r="L1659" i="1"/>
  <c r="N1659" i="1" s="1"/>
  <c r="O1659" i="1" s="1"/>
  <c r="Q1650" i="1"/>
  <c r="Q1651" i="1"/>
  <c r="Q1652" i="1"/>
  <c r="Q1653" i="1"/>
  <c r="Q1654" i="1"/>
  <c r="Q1655" i="1"/>
  <c r="Q1656" i="1"/>
  <c r="Q1657" i="1"/>
  <c r="Q1658" i="1"/>
  <c r="Q1659" i="1"/>
  <c r="W1650" i="1"/>
  <c r="A1650" i="1" s="1"/>
  <c r="W1651" i="1"/>
  <c r="A1651" i="1" s="1"/>
  <c r="W1652" i="1"/>
  <c r="A1652" i="1" s="1"/>
  <c r="W1653" i="1"/>
  <c r="A1653" i="1" s="1"/>
  <c r="W1654" i="1"/>
  <c r="A1654" i="1" s="1"/>
  <c r="W1655" i="1"/>
  <c r="A1655" i="1" s="1"/>
  <c r="W1656" i="1"/>
  <c r="A1656" i="1" s="1"/>
  <c r="W1657" i="1"/>
  <c r="A1657" i="1" s="1"/>
  <c r="W1658" i="1"/>
  <c r="A1658" i="1" s="1"/>
  <c r="W1659" i="1"/>
  <c r="A1659" i="1" s="1"/>
  <c r="L1639" i="1"/>
  <c r="N1639" i="1" s="1"/>
  <c r="O1639" i="1" s="1"/>
  <c r="L1640" i="1"/>
  <c r="N1640" i="1" s="1"/>
  <c r="O1640" i="1" s="1"/>
  <c r="L1641" i="1"/>
  <c r="N1641" i="1" s="1"/>
  <c r="O1641" i="1" s="1"/>
  <c r="L1642" i="1"/>
  <c r="N1642" i="1" s="1"/>
  <c r="O1642" i="1" s="1"/>
  <c r="L1643" i="1"/>
  <c r="N1643" i="1" s="1"/>
  <c r="O1643" i="1" s="1"/>
  <c r="L1644" i="1"/>
  <c r="N1644" i="1" s="1"/>
  <c r="O1644" i="1" s="1"/>
  <c r="L1645" i="1"/>
  <c r="N1645" i="1" s="1"/>
  <c r="O1645" i="1" s="1"/>
  <c r="L1646" i="1"/>
  <c r="N1646" i="1" s="1"/>
  <c r="O1646" i="1" s="1"/>
  <c r="L1647" i="1"/>
  <c r="N1647" i="1" s="1"/>
  <c r="O1647" i="1" s="1"/>
  <c r="L1648" i="1"/>
  <c r="N1648" i="1" s="1"/>
  <c r="O1648" i="1" s="1"/>
  <c r="L1649" i="1"/>
  <c r="N1649" i="1" s="1"/>
  <c r="O1649" i="1" s="1"/>
  <c r="Q1640" i="1"/>
  <c r="Q1641" i="1"/>
  <c r="Q1642" i="1"/>
  <c r="Q1643" i="1"/>
  <c r="Q1644" i="1"/>
  <c r="Q1645" i="1"/>
  <c r="Q1646" i="1"/>
  <c r="Q1647" i="1"/>
  <c r="Q1648" i="1"/>
  <c r="Q1649" i="1"/>
  <c r="W1640" i="1"/>
  <c r="A1640" i="1" s="1"/>
  <c r="W1641" i="1"/>
  <c r="A1641" i="1" s="1"/>
  <c r="W1642" i="1"/>
  <c r="A1642" i="1" s="1"/>
  <c r="W1643" i="1"/>
  <c r="A1643" i="1" s="1"/>
  <c r="W1644" i="1"/>
  <c r="A1644" i="1" s="1"/>
  <c r="W1645" i="1"/>
  <c r="A1645" i="1" s="1"/>
  <c r="W1646" i="1"/>
  <c r="A1646" i="1" s="1"/>
  <c r="W1647" i="1"/>
  <c r="A1647" i="1" s="1"/>
  <c r="W1648" i="1"/>
  <c r="A1648" i="1" s="1"/>
  <c r="W1649" i="1"/>
  <c r="A1649" i="1" s="1"/>
  <c r="W1634" i="1"/>
  <c r="A1634" i="1" s="1"/>
  <c r="W1635" i="1"/>
  <c r="A1635" i="1" s="1"/>
  <c r="W1636" i="1"/>
  <c r="A1636" i="1" s="1"/>
  <c r="W1637" i="1"/>
  <c r="A1637" i="1" s="1"/>
  <c r="W1638" i="1"/>
  <c r="A1638" i="1" s="1"/>
  <c r="W1639" i="1"/>
  <c r="A1639" i="1" s="1"/>
  <c r="W1633" i="1"/>
  <c r="A1633" i="1" s="1"/>
  <c r="L1621" i="1"/>
  <c r="N1621" i="1" s="1"/>
  <c r="O1621" i="1" s="1"/>
  <c r="L1622" i="1"/>
  <c r="N1622" i="1" s="1"/>
  <c r="O1622" i="1" s="1"/>
  <c r="L1623" i="1"/>
  <c r="N1623" i="1" s="1"/>
  <c r="O1623" i="1" s="1"/>
  <c r="L1624" i="1"/>
  <c r="N1624" i="1" s="1"/>
  <c r="O1624" i="1" s="1"/>
  <c r="L1625" i="1"/>
  <c r="N1625" i="1" s="1"/>
  <c r="O1625" i="1" s="1"/>
  <c r="L1626" i="1"/>
  <c r="N1626" i="1" s="1"/>
  <c r="O1626" i="1" s="1"/>
  <c r="L1627" i="1"/>
  <c r="N1627" i="1" s="1"/>
  <c r="O1627" i="1" s="1"/>
  <c r="L1628" i="1"/>
  <c r="N1628" i="1" s="1"/>
  <c r="O1628" i="1" s="1"/>
  <c r="L1629" i="1"/>
  <c r="N1629" i="1" s="1"/>
  <c r="O1629" i="1" s="1"/>
  <c r="L1630" i="1"/>
  <c r="N1630" i="1" s="1"/>
  <c r="O1630" i="1" s="1"/>
  <c r="L1631" i="1"/>
  <c r="N1631" i="1" s="1"/>
  <c r="O1631" i="1" s="1"/>
  <c r="L1632" i="1"/>
  <c r="N1632" i="1" s="1"/>
  <c r="O1632" i="1" s="1"/>
  <c r="L1633" i="1"/>
  <c r="N1633" i="1" s="1"/>
  <c r="O1633" i="1" s="1"/>
  <c r="L1634" i="1"/>
  <c r="N1634" i="1" s="1"/>
  <c r="O1634" i="1" s="1"/>
  <c r="L1635" i="1"/>
  <c r="N1635" i="1" s="1"/>
  <c r="O1635" i="1" s="1"/>
  <c r="L1636" i="1"/>
  <c r="N1636" i="1" s="1"/>
  <c r="O1636" i="1" s="1"/>
  <c r="L1637" i="1"/>
  <c r="N1637" i="1" s="1"/>
  <c r="O1637" i="1" s="1"/>
  <c r="L1638" i="1"/>
  <c r="N1638" i="1" s="1"/>
  <c r="O1638" i="1" s="1"/>
  <c r="Q1633" i="1"/>
  <c r="Q1634" i="1"/>
  <c r="Q1635" i="1"/>
  <c r="Q1636" i="1"/>
  <c r="Q1637" i="1"/>
  <c r="Q1638" i="1"/>
  <c r="Q1639" i="1"/>
  <c r="W1622" i="1"/>
  <c r="A1622" i="1" s="1"/>
  <c r="W1623" i="1"/>
  <c r="A1623" i="1" s="1"/>
  <c r="W1624" i="1"/>
  <c r="A1624" i="1" s="1"/>
  <c r="W1625" i="1"/>
  <c r="A1625" i="1" s="1"/>
  <c r="W1626" i="1"/>
  <c r="A1626" i="1" s="1"/>
  <c r="W1627" i="1"/>
  <c r="A1627" i="1" s="1"/>
  <c r="W1628" i="1"/>
  <c r="A1628" i="1" s="1"/>
  <c r="W1629" i="1"/>
  <c r="A1629" i="1" s="1"/>
  <c r="W1630" i="1"/>
  <c r="A1630" i="1" s="1"/>
  <c r="W1631" i="1"/>
  <c r="A1631" i="1" s="1"/>
  <c r="W1632" i="1"/>
  <c r="A1632" i="1" s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W1621" i="1"/>
  <c r="A1621" i="1" s="1"/>
  <c r="W1613" i="1"/>
  <c r="A1613" i="1" s="1"/>
  <c r="W1614" i="1"/>
  <c r="A1614" i="1" s="1"/>
  <c r="W1615" i="1"/>
  <c r="A1615" i="1" s="1"/>
  <c r="W1616" i="1"/>
  <c r="A1616" i="1" s="1"/>
  <c r="W1617" i="1"/>
  <c r="A1617" i="1" s="1"/>
  <c r="W1618" i="1"/>
  <c r="A1618" i="1" s="1"/>
  <c r="W1619" i="1"/>
  <c r="A1619" i="1" s="1"/>
  <c r="W1620" i="1"/>
  <c r="A1620" i="1" s="1"/>
  <c r="L1613" i="1"/>
  <c r="N1613" i="1" s="1"/>
  <c r="O1613" i="1" s="1"/>
  <c r="L1614" i="1"/>
  <c r="N1614" i="1" s="1"/>
  <c r="O1614" i="1" s="1"/>
  <c r="L1615" i="1"/>
  <c r="N1615" i="1" s="1"/>
  <c r="O1615" i="1" s="1"/>
  <c r="L1616" i="1"/>
  <c r="N1616" i="1" s="1"/>
  <c r="O1616" i="1" s="1"/>
  <c r="L1617" i="1"/>
  <c r="N1617" i="1" s="1"/>
  <c r="O1617" i="1" s="1"/>
  <c r="L1618" i="1"/>
  <c r="N1618" i="1" s="1"/>
  <c r="O1618" i="1" s="1"/>
  <c r="L1619" i="1"/>
  <c r="N1619" i="1" s="1"/>
  <c r="O1619" i="1" s="1"/>
  <c r="L1620" i="1"/>
  <c r="N1620" i="1" s="1"/>
  <c r="O1620" i="1" s="1"/>
  <c r="Q1613" i="1"/>
  <c r="Q1614" i="1"/>
  <c r="Q1615" i="1"/>
  <c r="Q1616" i="1"/>
  <c r="Q1617" i="1"/>
  <c r="Q1618" i="1"/>
  <c r="Q1619" i="1"/>
  <c r="Q1620" i="1"/>
  <c r="W1604" i="1"/>
  <c r="A1604" i="1" s="1"/>
  <c r="W1605" i="1"/>
  <c r="A1605" i="1" s="1"/>
  <c r="W1606" i="1"/>
  <c r="A1606" i="1" s="1"/>
  <c r="W1607" i="1"/>
  <c r="A1607" i="1" s="1"/>
  <c r="W1608" i="1"/>
  <c r="A1608" i="1" s="1"/>
  <c r="W1609" i="1"/>
  <c r="A1609" i="1" s="1"/>
  <c r="W1610" i="1"/>
  <c r="A1610" i="1" s="1"/>
  <c r="W1611" i="1"/>
  <c r="A1611" i="1" s="1"/>
  <c r="W1612" i="1"/>
  <c r="A1612" i="1" s="1"/>
  <c r="L1603" i="1"/>
  <c r="N1603" i="1" s="1"/>
  <c r="O1603" i="1" s="1"/>
  <c r="L1604" i="1"/>
  <c r="N1604" i="1" s="1"/>
  <c r="O1604" i="1" s="1"/>
  <c r="L1605" i="1"/>
  <c r="N1605" i="1" s="1"/>
  <c r="O1605" i="1" s="1"/>
  <c r="L1606" i="1"/>
  <c r="N1606" i="1" s="1"/>
  <c r="O1606" i="1" s="1"/>
  <c r="L1607" i="1"/>
  <c r="N1607" i="1" s="1"/>
  <c r="O1607" i="1" s="1"/>
  <c r="L1608" i="1"/>
  <c r="N1608" i="1" s="1"/>
  <c r="O1608" i="1" s="1"/>
  <c r="L1609" i="1"/>
  <c r="N1609" i="1" s="1"/>
  <c r="O1609" i="1" s="1"/>
  <c r="L1610" i="1"/>
  <c r="N1610" i="1" s="1"/>
  <c r="O1610" i="1" s="1"/>
  <c r="L1611" i="1"/>
  <c r="N1611" i="1" s="1"/>
  <c r="O1611" i="1" s="1"/>
  <c r="L1612" i="1"/>
  <c r="N1612" i="1" s="1"/>
  <c r="O1612" i="1" s="1"/>
  <c r="Q1603" i="1"/>
  <c r="Q1604" i="1"/>
  <c r="Q1605" i="1"/>
  <c r="Q1606" i="1"/>
  <c r="Q1607" i="1"/>
  <c r="Q1608" i="1"/>
  <c r="Q1609" i="1"/>
  <c r="Q1610" i="1"/>
  <c r="Q1611" i="1"/>
  <c r="Q1612" i="1"/>
  <c r="W1603" i="1"/>
  <c r="A1603" i="1" s="1"/>
  <c r="L1595" i="1"/>
  <c r="N1595" i="1" s="1"/>
  <c r="O1595" i="1" s="1"/>
  <c r="L1596" i="1"/>
  <c r="N1596" i="1" s="1"/>
  <c r="O1596" i="1" s="1"/>
  <c r="L1597" i="1"/>
  <c r="N1597" i="1" s="1"/>
  <c r="O1597" i="1" s="1"/>
  <c r="L1598" i="1"/>
  <c r="N1598" i="1" s="1"/>
  <c r="O1598" i="1" s="1"/>
  <c r="L1599" i="1"/>
  <c r="N1599" i="1" s="1"/>
  <c r="O1599" i="1" s="1"/>
  <c r="L1600" i="1"/>
  <c r="N1600" i="1" s="1"/>
  <c r="O1600" i="1" s="1"/>
  <c r="L1601" i="1"/>
  <c r="N1601" i="1" s="1"/>
  <c r="O1601" i="1" s="1"/>
  <c r="L1602" i="1"/>
  <c r="N1602" i="1" s="1"/>
  <c r="O1602" i="1" s="1"/>
  <c r="W1596" i="1"/>
  <c r="A1596" i="1" s="1"/>
  <c r="W1597" i="1"/>
  <c r="A1597" i="1" s="1"/>
  <c r="W1598" i="1"/>
  <c r="A1598" i="1" s="1"/>
  <c r="W1599" i="1"/>
  <c r="A1599" i="1" s="1"/>
  <c r="W1600" i="1"/>
  <c r="A1600" i="1" s="1"/>
  <c r="W1601" i="1"/>
  <c r="A1601" i="1" s="1"/>
  <c r="W1602" i="1"/>
  <c r="A1602" i="1" s="1"/>
  <c r="W1595" i="1"/>
  <c r="A1595" i="1" s="1"/>
  <c r="Q1595" i="1"/>
  <c r="Q1596" i="1"/>
  <c r="Q1597" i="1"/>
  <c r="Q1598" i="1"/>
  <c r="Q1599" i="1"/>
  <c r="Q1600" i="1"/>
  <c r="Q1601" i="1"/>
  <c r="Q1602" i="1"/>
  <c r="W1587" i="1"/>
  <c r="A1587" i="1" s="1"/>
  <c r="W1588" i="1"/>
  <c r="A1588" i="1" s="1"/>
  <c r="W1589" i="1"/>
  <c r="A1589" i="1" s="1"/>
  <c r="W1590" i="1"/>
  <c r="A1590" i="1" s="1"/>
  <c r="W1591" i="1"/>
  <c r="A1591" i="1" s="1"/>
  <c r="W1592" i="1"/>
  <c r="A1592" i="1" s="1"/>
  <c r="W1593" i="1"/>
  <c r="A1593" i="1" s="1"/>
  <c r="W1594" i="1"/>
  <c r="A1594" i="1" s="1"/>
  <c r="W1586" i="1"/>
  <c r="A1586" i="1" s="1"/>
  <c r="L1586" i="1"/>
  <c r="N1586" i="1" s="1"/>
  <c r="O1586" i="1" s="1"/>
  <c r="L1587" i="1"/>
  <c r="N1587" i="1" s="1"/>
  <c r="O1587" i="1" s="1"/>
  <c r="L1588" i="1"/>
  <c r="N1588" i="1" s="1"/>
  <c r="O1588" i="1" s="1"/>
  <c r="L1589" i="1"/>
  <c r="N1589" i="1" s="1"/>
  <c r="O1589" i="1" s="1"/>
  <c r="L1590" i="1"/>
  <c r="N1590" i="1" s="1"/>
  <c r="O1590" i="1" s="1"/>
  <c r="L1591" i="1"/>
  <c r="N1591" i="1" s="1"/>
  <c r="O1591" i="1" s="1"/>
  <c r="L1592" i="1"/>
  <c r="N1592" i="1" s="1"/>
  <c r="O1592" i="1" s="1"/>
  <c r="L1593" i="1"/>
  <c r="N1593" i="1" s="1"/>
  <c r="O1593" i="1" s="1"/>
  <c r="L1594" i="1"/>
  <c r="N1594" i="1" s="1"/>
  <c r="O1594" i="1" s="1"/>
  <c r="Q1586" i="1"/>
  <c r="Q1587" i="1"/>
  <c r="Q1588" i="1"/>
  <c r="Q1589" i="1"/>
  <c r="Q1590" i="1"/>
  <c r="Q1591" i="1"/>
  <c r="Q1592" i="1"/>
  <c r="Q1593" i="1"/>
  <c r="Q1594" i="1"/>
  <c r="L1576" i="1"/>
  <c r="N1576" i="1" s="1"/>
  <c r="O1576" i="1" s="1"/>
  <c r="L1577" i="1"/>
  <c r="N1577" i="1" s="1"/>
  <c r="O1577" i="1" s="1"/>
  <c r="L1578" i="1"/>
  <c r="N1578" i="1" s="1"/>
  <c r="O1578" i="1" s="1"/>
  <c r="L1579" i="1"/>
  <c r="N1579" i="1" s="1"/>
  <c r="O1579" i="1" s="1"/>
  <c r="L1580" i="1"/>
  <c r="N1580" i="1" s="1"/>
  <c r="O1580" i="1" s="1"/>
  <c r="L1581" i="1"/>
  <c r="N1581" i="1" s="1"/>
  <c r="O1581" i="1" s="1"/>
  <c r="L1582" i="1"/>
  <c r="N1582" i="1" s="1"/>
  <c r="O1582" i="1" s="1"/>
  <c r="L1583" i="1"/>
  <c r="N1583" i="1" s="1"/>
  <c r="O1583" i="1" s="1"/>
  <c r="L1584" i="1"/>
  <c r="N1584" i="1" s="1"/>
  <c r="O1584" i="1" s="1"/>
  <c r="L1585" i="1"/>
  <c r="N1585" i="1" s="1"/>
  <c r="O1585" i="1" s="1"/>
  <c r="W1576" i="1"/>
  <c r="A1576" i="1" s="1"/>
  <c r="W1577" i="1"/>
  <c r="A1577" i="1" s="1"/>
  <c r="W1578" i="1"/>
  <c r="A1578" i="1" s="1"/>
  <c r="W1579" i="1"/>
  <c r="A1579" i="1" s="1"/>
  <c r="W1580" i="1"/>
  <c r="A1580" i="1" s="1"/>
  <c r="W1581" i="1"/>
  <c r="A1581" i="1" s="1"/>
  <c r="W1582" i="1"/>
  <c r="A1582" i="1" s="1"/>
  <c r="W1583" i="1"/>
  <c r="A1583" i="1" s="1"/>
  <c r="W1584" i="1"/>
  <c r="A1584" i="1" s="1"/>
  <c r="W1585" i="1"/>
  <c r="A1585" i="1" s="1"/>
  <c r="Q1576" i="1"/>
  <c r="Q1577" i="1"/>
  <c r="Q1578" i="1"/>
  <c r="Q1579" i="1"/>
  <c r="Q1580" i="1"/>
  <c r="Q1581" i="1"/>
  <c r="Q1582" i="1"/>
  <c r="Q1583" i="1"/>
  <c r="Q1584" i="1"/>
  <c r="Q1585" i="1"/>
  <c r="L1565" i="1"/>
  <c r="N1565" i="1" s="1"/>
  <c r="O1565" i="1" s="1"/>
  <c r="L1566" i="1"/>
  <c r="N1566" i="1" s="1"/>
  <c r="O1566" i="1" s="1"/>
  <c r="L1567" i="1"/>
  <c r="N1567" i="1" s="1"/>
  <c r="O1567" i="1" s="1"/>
  <c r="L1568" i="1"/>
  <c r="N1568" i="1" s="1"/>
  <c r="O1568" i="1" s="1"/>
  <c r="L1569" i="1"/>
  <c r="N1569" i="1" s="1"/>
  <c r="O1569" i="1" s="1"/>
  <c r="L1570" i="1"/>
  <c r="N1570" i="1" s="1"/>
  <c r="O1570" i="1" s="1"/>
  <c r="L1571" i="1"/>
  <c r="N1571" i="1" s="1"/>
  <c r="O1571" i="1" s="1"/>
  <c r="L1572" i="1"/>
  <c r="N1572" i="1" s="1"/>
  <c r="O1572" i="1" s="1"/>
  <c r="L1573" i="1"/>
  <c r="N1573" i="1" s="1"/>
  <c r="O1573" i="1" s="1"/>
  <c r="L1574" i="1"/>
  <c r="N1574" i="1" s="1"/>
  <c r="O1574" i="1" s="1"/>
  <c r="L1575" i="1"/>
  <c r="N1575" i="1" s="1"/>
  <c r="O1575" i="1" s="1"/>
  <c r="W1566" i="1"/>
  <c r="A1566" i="1" s="1"/>
  <c r="W1567" i="1"/>
  <c r="A1567" i="1" s="1"/>
  <c r="W1568" i="1"/>
  <c r="A1568" i="1" s="1"/>
  <c r="W1569" i="1"/>
  <c r="A1569" i="1" s="1"/>
  <c r="W1570" i="1"/>
  <c r="A1570" i="1" s="1"/>
  <c r="W1571" i="1"/>
  <c r="A1571" i="1" s="1"/>
  <c r="W1572" i="1"/>
  <c r="A1572" i="1" s="1"/>
  <c r="W1573" i="1"/>
  <c r="A1573" i="1" s="1"/>
  <c r="W1574" i="1"/>
  <c r="A1574" i="1" s="1"/>
  <c r="W1575" i="1"/>
  <c r="A1575" i="1" s="1"/>
  <c r="Q1565" i="1"/>
  <c r="Q1566" i="1"/>
  <c r="Q1567" i="1"/>
  <c r="Q1568" i="1"/>
  <c r="Q1569" i="1"/>
  <c r="Q1570" i="1"/>
  <c r="Q1571" i="1"/>
  <c r="Q1572" i="1"/>
  <c r="Q1573" i="1"/>
  <c r="Q1574" i="1"/>
  <c r="Q1575" i="1"/>
  <c r="W1565" i="1"/>
  <c r="A1565" i="1" s="1"/>
  <c r="L1553" i="1"/>
  <c r="N1553" i="1" s="1"/>
  <c r="O1553" i="1" s="1"/>
  <c r="L1554" i="1"/>
  <c r="N1554" i="1" s="1"/>
  <c r="O1554" i="1" s="1"/>
  <c r="L1555" i="1"/>
  <c r="N1555" i="1" s="1"/>
  <c r="O1555" i="1" s="1"/>
  <c r="L1556" i="1"/>
  <c r="N1556" i="1" s="1"/>
  <c r="O1556" i="1" s="1"/>
  <c r="L1557" i="1"/>
  <c r="N1557" i="1" s="1"/>
  <c r="O1557" i="1" s="1"/>
  <c r="L1558" i="1"/>
  <c r="N1558" i="1" s="1"/>
  <c r="O1558" i="1" s="1"/>
  <c r="L1559" i="1"/>
  <c r="N1559" i="1" s="1"/>
  <c r="O1559" i="1" s="1"/>
  <c r="L1560" i="1"/>
  <c r="N1560" i="1" s="1"/>
  <c r="O1560" i="1" s="1"/>
  <c r="L1561" i="1"/>
  <c r="N1561" i="1" s="1"/>
  <c r="O1561" i="1" s="1"/>
  <c r="L1562" i="1"/>
  <c r="N1562" i="1" s="1"/>
  <c r="O1562" i="1" s="1"/>
  <c r="L1563" i="1"/>
  <c r="N1563" i="1" s="1"/>
  <c r="O1563" i="1" s="1"/>
  <c r="L1564" i="1"/>
  <c r="N1564" i="1" s="1"/>
  <c r="O1564" i="1" s="1"/>
  <c r="W1554" i="1"/>
  <c r="A1554" i="1" s="1"/>
  <c r="W1555" i="1"/>
  <c r="A1555" i="1" s="1"/>
  <c r="W1556" i="1"/>
  <c r="A1556" i="1" s="1"/>
  <c r="W1557" i="1"/>
  <c r="A1557" i="1" s="1"/>
  <c r="W1558" i="1"/>
  <c r="A1558" i="1" s="1"/>
  <c r="W1559" i="1"/>
  <c r="A1559" i="1" s="1"/>
  <c r="W1560" i="1"/>
  <c r="A1560" i="1" s="1"/>
  <c r="W1561" i="1"/>
  <c r="A1561" i="1" s="1"/>
  <c r="W1562" i="1"/>
  <c r="A1562" i="1" s="1"/>
  <c r="W1563" i="1"/>
  <c r="A1563" i="1" s="1"/>
  <c r="W1564" i="1"/>
  <c r="A1564" i="1" s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W1553" i="1"/>
  <c r="A1553" i="1" s="1"/>
  <c r="W1543" i="1"/>
  <c r="A1543" i="1" s="1"/>
  <c r="W1544" i="1"/>
  <c r="A1544" i="1" s="1"/>
  <c r="W1545" i="1"/>
  <c r="A1545" i="1" s="1"/>
  <c r="W1546" i="1"/>
  <c r="A1546" i="1" s="1"/>
  <c r="W1547" i="1"/>
  <c r="A1547" i="1" s="1"/>
  <c r="W1548" i="1"/>
  <c r="A1548" i="1" s="1"/>
  <c r="W1549" i="1"/>
  <c r="W1550" i="1"/>
  <c r="A1550" i="1" s="1"/>
  <c r="W1551" i="1"/>
  <c r="A1551" i="1" s="1"/>
  <c r="W1552" i="1"/>
  <c r="A1552" i="1" s="1"/>
  <c r="W1542" i="1"/>
  <c r="A1542" i="1" s="1"/>
  <c r="L1542" i="1"/>
  <c r="N1542" i="1" s="1"/>
  <c r="O1542" i="1" s="1"/>
  <c r="L1543" i="1"/>
  <c r="N1543" i="1" s="1"/>
  <c r="O1543" i="1" s="1"/>
  <c r="L1544" i="1"/>
  <c r="N1544" i="1" s="1"/>
  <c r="O1544" i="1" s="1"/>
  <c r="L1545" i="1"/>
  <c r="N1545" i="1" s="1"/>
  <c r="O1545" i="1" s="1"/>
  <c r="L1546" i="1"/>
  <c r="N1546" i="1" s="1"/>
  <c r="O1546" i="1" s="1"/>
  <c r="L1547" i="1"/>
  <c r="N1547" i="1" s="1"/>
  <c r="O1547" i="1" s="1"/>
  <c r="L1548" i="1"/>
  <c r="N1548" i="1" s="1"/>
  <c r="O1548" i="1" s="1"/>
  <c r="L1549" i="1"/>
  <c r="N1549" i="1" s="1"/>
  <c r="O1549" i="1" s="1"/>
  <c r="L1550" i="1"/>
  <c r="N1550" i="1" s="1"/>
  <c r="O1550" i="1" s="1"/>
  <c r="L1551" i="1"/>
  <c r="N1551" i="1" s="1"/>
  <c r="O1551" i="1" s="1"/>
  <c r="L1552" i="1"/>
  <c r="N1552" i="1" s="1"/>
  <c r="O1552" i="1" s="1"/>
  <c r="A1549" i="1"/>
  <c r="Q1542" i="1"/>
  <c r="Q1543" i="1"/>
  <c r="Q1544" i="1"/>
  <c r="Q1545" i="1"/>
  <c r="Q1546" i="1"/>
  <c r="Q1547" i="1"/>
  <c r="Q1548" i="1"/>
  <c r="Q1549" i="1"/>
  <c r="Q1550" i="1"/>
  <c r="Q1551" i="1"/>
  <c r="Q1552" i="1"/>
  <c r="W75" i="1"/>
  <c r="A75" i="1" s="1"/>
  <c r="W92" i="1" l="1"/>
  <c r="A92" i="1" s="1"/>
  <c r="W100" i="1"/>
  <c r="A100" i="1" s="1"/>
  <c r="W102" i="1"/>
  <c r="A102" i="1" s="1"/>
  <c r="W101" i="1"/>
  <c r="A101" i="1" s="1"/>
  <c r="W107" i="1"/>
  <c r="A107" i="1" s="1"/>
  <c r="W960" i="1"/>
  <c r="A960" i="1" s="1"/>
  <c r="W1360" i="1"/>
  <c r="A1360" i="1" s="1"/>
  <c r="W1361" i="1"/>
  <c r="A1361" i="1" s="1"/>
  <c r="W1301" i="1"/>
  <c r="A1301" i="1" s="1"/>
  <c r="W1283" i="1"/>
  <c r="A1283" i="1" s="1"/>
  <c r="W1261" i="1"/>
  <c r="A1261" i="1" s="1"/>
  <c r="W94" i="1"/>
  <c r="A94" i="1" s="1"/>
  <c r="W961" i="1"/>
  <c r="A961" i="1" s="1"/>
  <c r="W1094" i="1"/>
  <c r="A1094" i="1" s="1"/>
  <c r="W1145" i="1"/>
  <c r="A1145" i="1" s="1"/>
  <c r="W1363" i="1"/>
  <c r="A1363" i="1" s="1"/>
  <c r="W1244" i="1"/>
  <c r="A1244" i="1" s="1"/>
  <c r="W1362" i="1"/>
  <c r="A1362" i="1" s="1"/>
  <c r="W1095" i="1"/>
  <c r="A1095" i="1" s="1"/>
  <c r="W1302" i="1"/>
  <c r="A1302" i="1" s="1"/>
  <c r="W1288" i="1"/>
  <c r="A1288" i="1" s="1"/>
  <c r="W1285" i="1"/>
  <c r="A1285" i="1" s="1"/>
  <c r="W899" i="1"/>
  <c r="A899" i="1" s="1"/>
  <c r="W104" i="1"/>
  <c r="A104" i="1" s="1"/>
  <c r="W1032" i="1"/>
  <c r="A1032" i="1" s="1"/>
  <c r="W636" i="1"/>
  <c r="A636" i="1" s="1"/>
  <c r="W1303" i="1"/>
  <c r="A1303" i="1" s="1"/>
  <c r="W1245" i="1"/>
  <c r="A1245" i="1" s="1"/>
  <c r="W1300" i="1"/>
  <c r="A1300" i="1" s="1"/>
  <c r="W1408" i="1"/>
  <c r="A1408" i="1" s="1"/>
  <c r="W1147" i="1"/>
  <c r="A1147" i="1" s="1"/>
  <c r="W118" i="1"/>
  <c r="A118" i="1" s="1"/>
  <c r="W1411" i="1"/>
  <c r="A1411" i="1" s="1"/>
  <c r="W1289" i="1"/>
  <c r="A1289" i="1" s="1"/>
  <c r="W97" i="1"/>
  <c r="A97" i="1" s="1"/>
  <c r="W295" i="1"/>
  <c r="A295" i="1" s="1"/>
  <c r="W474" i="1"/>
  <c r="A474" i="1" s="1"/>
  <c r="W428" i="1"/>
  <c r="A428" i="1" s="1"/>
  <c r="W898" i="1"/>
  <c r="A898" i="1" s="1"/>
  <c r="W547" i="1"/>
  <c r="A547" i="1" s="1"/>
  <c r="W485" i="1"/>
  <c r="A485" i="1" s="1"/>
  <c r="W476" i="1"/>
  <c r="A476" i="1" s="1"/>
  <c r="W1451" i="1"/>
  <c r="A1451" i="1" s="1"/>
  <c r="W756" i="1"/>
  <c r="A756" i="1" s="1"/>
  <c r="W1064" i="1"/>
  <c r="A1064" i="1" s="1"/>
  <c r="W1081" i="1"/>
  <c r="A1081" i="1" s="1"/>
  <c r="W237" i="1"/>
  <c r="A237" i="1" s="1"/>
  <c r="W1151" i="1"/>
  <c r="A1151" i="1" s="1"/>
  <c r="W635" i="1"/>
  <c r="A635" i="1" s="1"/>
  <c r="W360" i="1"/>
  <c r="A360" i="1" s="1"/>
  <c r="W881" i="1"/>
  <c r="A881" i="1" s="1"/>
  <c r="W1287" i="1"/>
  <c r="A1287" i="1" s="1"/>
  <c r="W1284" i="1"/>
  <c r="A1284" i="1" s="1"/>
  <c r="W1291" i="1"/>
  <c r="A1291" i="1" s="1"/>
  <c r="W1290" i="1"/>
  <c r="A1290" i="1" s="1"/>
  <c r="W1286" i="1"/>
  <c r="A1286" i="1" s="1"/>
  <c r="W1452" i="1"/>
  <c r="A1452" i="1" s="1"/>
  <c r="W1097" i="1"/>
  <c r="A1097" i="1" s="1"/>
  <c r="W1412" i="1"/>
  <c r="A1412" i="1" s="1"/>
  <c r="W1146" i="1"/>
  <c r="A1146" i="1" s="1"/>
  <c r="W1216" i="1"/>
  <c r="A1216" i="1" s="1"/>
  <c r="W1306" i="1"/>
  <c r="A1306" i="1" s="1"/>
  <c r="W1409" i="1"/>
  <c r="A1409" i="1" s="1"/>
  <c r="W1304" i="1"/>
  <c r="A1304" i="1" s="1"/>
  <c r="W1148" i="1"/>
  <c r="A1148" i="1" s="1"/>
  <c r="W1150" i="1"/>
  <c r="A1150" i="1" s="1"/>
  <c r="W1213" i="1"/>
  <c r="A1213" i="1" s="1"/>
  <c r="W1096" i="1"/>
  <c r="A1096" i="1" s="1"/>
  <c r="W473" i="1"/>
  <c r="A473" i="1" s="1"/>
  <c r="W486" i="1"/>
  <c r="A486" i="1" s="1"/>
  <c r="W968" i="1"/>
  <c r="A968" i="1" s="1"/>
  <c r="W472" i="1"/>
  <c r="A472" i="1" s="1"/>
  <c r="W901" i="1"/>
  <c r="A901" i="1" s="1"/>
  <c r="W1063" i="1"/>
  <c r="A1063" i="1" s="1"/>
  <c r="W693" i="1"/>
  <c r="A693" i="1" s="1"/>
  <c r="W548" i="1"/>
  <c r="A548" i="1" s="1"/>
  <c r="W1067" i="1"/>
  <c r="A1067" i="1" s="1"/>
  <c r="W1019" i="1"/>
  <c r="A1019" i="1" s="1"/>
  <c r="W105" i="1"/>
  <c r="A105" i="1" s="1"/>
  <c r="W694" i="1"/>
  <c r="A694" i="1" s="1"/>
  <c r="W106" i="1"/>
  <c r="A106" i="1" s="1"/>
  <c r="W882" i="1"/>
  <c r="A882" i="1" s="1"/>
  <c r="W1307" i="1"/>
  <c r="A1307" i="1" s="1"/>
  <c r="W1149" i="1"/>
  <c r="A1149" i="1" s="1"/>
  <c r="W93" i="1"/>
  <c r="A93" i="1" s="1"/>
  <c r="W1526" i="1"/>
  <c r="A1526" i="1" s="1"/>
  <c r="W1367" i="1"/>
  <c r="A1367" i="1" s="1"/>
  <c r="W1378" i="1"/>
  <c r="A1378" i="1" s="1"/>
  <c r="W1453" i="1"/>
  <c r="A1453" i="1" s="1"/>
  <c r="W1364" i="1"/>
  <c r="A1364" i="1" s="1"/>
  <c r="W1247" i="1"/>
  <c r="A1247" i="1" s="1"/>
  <c r="W1129" i="1"/>
  <c r="A1129" i="1" s="1"/>
  <c r="W1113" i="1"/>
  <c r="A1113" i="1" s="1"/>
  <c r="W1410" i="1"/>
  <c r="A1410" i="1" s="1"/>
  <c r="W1525" i="1"/>
  <c r="A1525" i="1" s="1"/>
  <c r="W1450" i="1"/>
  <c r="A1450" i="1" s="1"/>
  <c r="W1321" i="1"/>
  <c r="A1321" i="1" s="1"/>
  <c r="W1380" i="1"/>
  <c r="A1380" i="1" s="1"/>
  <c r="W1248" i="1"/>
  <c r="A1248" i="1" s="1"/>
  <c r="W945" i="1"/>
  <c r="A945" i="1" s="1"/>
  <c r="W1318" i="1"/>
  <c r="A1318" i="1" s="1"/>
  <c r="W1382" i="1"/>
  <c r="A1382" i="1" s="1"/>
  <c r="W545" i="1"/>
  <c r="A545" i="1" s="1"/>
  <c r="W379" i="1"/>
  <c r="A379" i="1" s="1"/>
  <c r="W475" i="1"/>
  <c r="A475" i="1" s="1"/>
  <c r="W478" i="1"/>
  <c r="A478" i="1" s="1"/>
  <c r="W831" i="1"/>
  <c r="A831" i="1" s="1"/>
  <c r="W1098" i="1"/>
  <c r="A1098" i="1" s="1"/>
  <c r="W296" i="1"/>
  <c r="A296" i="1" s="1"/>
  <c r="W900" i="1"/>
  <c r="A900" i="1" s="1"/>
  <c r="W479" i="1"/>
  <c r="A479" i="1" s="1"/>
  <c r="W550" i="1"/>
  <c r="A550" i="1" s="1"/>
  <c r="W863" i="1"/>
  <c r="A863" i="1" s="1"/>
  <c r="W1327" i="1"/>
  <c r="A1327" i="1" s="1"/>
  <c r="W538" i="1"/>
  <c r="A538" i="1" s="1"/>
  <c r="W970" i="1"/>
  <c r="A970" i="1" s="1"/>
  <c r="W657" i="1"/>
  <c r="A657" i="1" s="1"/>
  <c r="W1016" i="1"/>
  <c r="A1016" i="1" s="1"/>
  <c r="W1112" i="1"/>
  <c r="A1112" i="1" s="1"/>
  <c r="W712" i="1"/>
  <c r="A712" i="1" s="1"/>
  <c r="W427" i="1"/>
  <c r="A427" i="1" s="1"/>
  <c r="W65" i="1"/>
  <c r="A65" i="1" s="1"/>
  <c r="W853" i="1"/>
  <c r="A853" i="1" s="1"/>
  <c r="W903" i="1"/>
  <c r="A903" i="1" s="1"/>
  <c r="W655" i="1"/>
  <c r="A655" i="1" s="1"/>
  <c r="W1133" i="1"/>
  <c r="A1133" i="1" s="1"/>
  <c r="W504" i="1"/>
  <c r="A504" i="1" s="1"/>
  <c r="W236" i="1"/>
  <c r="A236" i="1" s="1"/>
  <c r="W985" i="1"/>
  <c r="A985" i="1" s="1"/>
  <c r="W1031" i="1"/>
  <c r="A1031" i="1" s="1"/>
  <c r="W884" i="1"/>
  <c r="A884" i="1" s="1"/>
  <c r="W1249" i="1"/>
  <c r="A1249" i="1" s="1"/>
  <c r="W1217" i="1"/>
  <c r="A1217" i="1" s="1"/>
  <c r="W1228" i="1"/>
  <c r="A1228" i="1" s="1"/>
  <c r="W1379" i="1"/>
  <c r="A1379" i="1" s="1"/>
  <c r="W1330" i="1"/>
  <c r="A1330" i="1" s="1"/>
  <c r="W1498" i="1"/>
  <c r="A1498" i="1" s="1"/>
  <c r="W946" i="1"/>
  <c r="A946" i="1" s="1"/>
  <c r="W1320" i="1"/>
  <c r="A1320" i="1" s="1"/>
  <c r="W1132" i="1"/>
  <c r="A1132" i="1" s="1"/>
  <c r="W1279" i="1"/>
  <c r="A1279" i="1" s="1"/>
  <c r="W1509" i="1"/>
  <c r="A1509" i="1" s="1"/>
  <c r="W1219" i="1"/>
  <c r="A1219" i="1" s="1"/>
  <c r="W1381" i="1"/>
  <c r="A1381" i="1" s="1"/>
  <c r="W947" i="1"/>
  <c r="A947" i="1" s="1"/>
  <c r="W1332" i="1"/>
  <c r="A1332" i="1" s="1"/>
  <c r="W1528" i="1"/>
  <c r="A1528" i="1" s="1"/>
  <c r="W1128" i="1"/>
  <c r="A1128" i="1" s="1"/>
  <c r="W1115" i="1"/>
  <c r="A1115" i="1" s="1"/>
  <c r="W1456" i="1"/>
  <c r="A1456" i="1" s="1"/>
  <c r="W1233" i="1"/>
  <c r="A1233" i="1" s="1"/>
  <c r="W431" i="1"/>
  <c r="A431" i="1" s="1"/>
  <c r="W477" i="1"/>
  <c r="A477" i="1" s="1"/>
  <c r="W483" i="1"/>
  <c r="A483" i="1" s="1"/>
  <c r="W1065" i="1"/>
  <c r="A1065" i="1" s="1"/>
  <c r="W1111" i="1"/>
  <c r="A1111" i="1" s="1"/>
  <c r="W753" i="1"/>
  <c r="A753" i="1" s="1"/>
  <c r="W1062" i="1"/>
  <c r="A1062" i="1" s="1"/>
  <c r="W158" i="1"/>
  <c r="A158" i="1" s="1"/>
  <c r="W484" i="1"/>
  <c r="A484" i="1" s="1"/>
  <c r="W1021" i="1"/>
  <c r="A1021" i="1" s="1"/>
  <c r="W1250" i="1"/>
  <c r="A1250" i="1" s="1"/>
  <c r="W1066" i="1"/>
  <c r="A1066" i="1" s="1"/>
  <c r="W759" i="1"/>
  <c r="A759" i="1" s="1"/>
  <c r="W654" i="1"/>
  <c r="A654" i="1" s="1"/>
  <c r="W1455" i="1"/>
  <c r="A1455" i="1" s="1"/>
  <c r="W1215" i="1"/>
  <c r="A1215" i="1" s="1"/>
  <c r="W1322" i="1"/>
  <c r="A1322" i="1" s="1"/>
  <c r="W429" i="1"/>
  <c r="A429" i="1" s="1"/>
  <c r="W1079" i="1"/>
  <c r="A1079" i="1" s="1"/>
  <c r="W1018" i="1"/>
  <c r="A1018" i="1" s="1"/>
  <c r="W755" i="1"/>
  <c r="A755" i="1" s="1"/>
  <c r="W435" i="1"/>
  <c r="A435" i="1" s="1"/>
  <c r="W1015" i="1"/>
  <c r="A1015" i="1" s="1"/>
  <c r="W938" i="1"/>
  <c r="A938" i="1" s="1"/>
  <c r="W462" i="1"/>
  <c r="A462" i="1" s="1"/>
  <c r="W1017" i="1"/>
  <c r="A1017" i="1" s="1"/>
  <c r="W337" i="1"/>
  <c r="A337" i="1" s="1"/>
  <c r="W1050" i="1"/>
  <c r="A1050" i="1" s="1"/>
  <c r="W1034" i="1"/>
  <c r="A1034" i="1" s="1"/>
  <c r="W637" i="1"/>
  <c r="A637" i="1" s="1"/>
  <c r="W888" i="1"/>
  <c r="A888" i="1" s="1"/>
  <c r="W1033" i="1"/>
  <c r="A1033" i="1" s="1"/>
  <c r="W883" i="1"/>
  <c r="A883" i="1" s="1"/>
  <c r="W885" i="1"/>
  <c r="A885" i="1" s="1"/>
  <c r="W638" i="1"/>
  <c r="A638" i="1" s="1"/>
  <c r="W1495" i="1"/>
  <c r="A1495" i="1" s="1"/>
  <c r="W1305" i="1"/>
  <c r="A1305" i="1" s="1"/>
  <c r="W1422" i="1"/>
  <c r="A1422" i="1" s="1"/>
  <c r="W1324" i="1"/>
  <c r="A1324" i="1" s="1"/>
  <c r="W1326" i="1"/>
  <c r="A1326" i="1" s="1"/>
  <c r="W1499" i="1"/>
  <c r="A1499" i="1" s="1"/>
  <c r="W1467" i="1"/>
  <c r="A1467" i="1" s="1"/>
  <c r="W1497" i="1"/>
  <c r="A1497" i="1" s="1"/>
  <c r="W1212" i="1"/>
  <c r="A1212" i="1" s="1"/>
  <c r="W1496" i="1"/>
  <c r="A1496" i="1" s="1"/>
  <c r="W1229" i="1"/>
  <c r="A1229" i="1" s="1"/>
  <c r="W1425" i="1"/>
  <c r="A1425" i="1" s="1"/>
  <c r="W1531" i="1"/>
  <c r="A1531" i="1" s="1"/>
  <c r="W1230" i="1"/>
  <c r="A1230" i="1" s="1"/>
  <c r="W1131" i="1"/>
  <c r="A1131" i="1" s="1"/>
  <c r="W1183" i="1"/>
  <c r="A1183" i="1" s="1"/>
  <c r="W1232" i="1"/>
  <c r="A1232" i="1" s="1"/>
  <c r="W1530" i="1"/>
  <c r="A1530" i="1" s="1"/>
  <c r="W1214" i="1"/>
  <c r="A1214" i="1" s="1"/>
  <c r="W1494" i="1"/>
  <c r="A1494" i="1" s="1"/>
  <c r="W1135" i="1"/>
  <c r="A1135" i="1" s="1"/>
  <c r="W1130" i="1"/>
  <c r="A1130" i="1" s="1"/>
  <c r="W1423" i="1"/>
  <c r="A1423" i="1" s="1"/>
  <c r="W695" i="1"/>
  <c r="A695" i="1" s="1"/>
  <c r="W546" i="1"/>
  <c r="A546" i="1" s="1"/>
  <c r="W297" i="1"/>
  <c r="A297" i="1" s="1"/>
  <c r="W432" i="1"/>
  <c r="A432" i="1" s="1"/>
  <c r="W552" i="1"/>
  <c r="A552" i="1" s="1"/>
  <c r="W551" i="1"/>
  <c r="A551" i="1" s="1"/>
  <c r="W758" i="1"/>
  <c r="A758" i="1" s="1"/>
  <c r="W541" i="1"/>
  <c r="A541" i="1" s="1"/>
  <c r="W833" i="1"/>
  <c r="A833" i="1" s="1"/>
  <c r="W971" i="1"/>
  <c r="A971" i="1" s="1"/>
  <c r="W540" i="1"/>
  <c r="A540" i="1" s="1"/>
  <c r="W737" i="1"/>
  <c r="A737" i="1" s="1"/>
  <c r="W1231" i="1"/>
  <c r="A1231" i="1" s="1"/>
  <c r="W430" i="1"/>
  <c r="A430" i="1" s="1"/>
  <c r="W454" i="1"/>
  <c r="A454" i="1" s="1"/>
  <c r="W861" i="1"/>
  <c r="A861" i="1" s="1"/>
  <c r="W1082" i="1"/>
  <c r="A1082" i="1" s="1"/>
  <c r="W1048" i="1"/>
  <c r="A1048" i="1" s="1"/>
  <c r="W1319" i="1"/>
  <c r="A1319" i="1" s="1"/>
  <c r="W1454" i="1"/>
  <c r="A1454" i="1" s="1"/>
  <c r="W301" i="1"/>
  <c r="A301" i="1" s="1"/>
  <c r="W939" i="1"/>
  <c r="A939" i="1" s="1"/>
  <c r="W902" i="1"/>
  <c r="A902" i="1" s="1"/>
  <c r="W335" i="1"/>
  <c r="A335" i="1" s="1"/>
  <c r="W491" i="1"/>
  <c r="A491" i="1" s="1"/>
  <c r="W757" i="1"/>
  <c r="A757" i="1" s="1"/>
  <c r="W362" i="1"/>
  <c r="A362" i="1" s="1"/>
  <c r="W238" i="1"/>
  <c r="A238" i="1" s="1"/>
  <c r="W864" i="1"/>
  <c r="A864" i="1" s="1"/>
  <c r="W1035" i="1"/>
  <c r="A1035" i="1" s="1"/>
  <c r="W886" i="1"/>
  <c r="A886" i="1" s="1"/>
  <c r="W887" i="1"/>
  <c r="A887" i="1" s="1"/>
  <c r="W361" i="1"/>
  <c r="A361" i="1" s="1"/>
  <c r="W95" i="1"/>
  <c r="A95" i="1" s="1"/>
  <c r="W1529" i="1"/>
  <c r="A1529" i="1" s="1"/>
  <c r="W1377" i="1"/>
  <c r="A1377" i="1" s="1"/>
  <c r="W1464" i="1"/>
  <c r="A1464" i="1" s="1"/>
  <c r="W1181" i="1"/>
  <c r="A1181" i="1" s="1"/>
  <c r="W1317" i="1"/>
  <c r="A1317" i="1" s="1"/>
  <c r="W1152" i="1"/>
  <c r="A1152" i="1" s="1"/>
  <c r="W950" i="1"/>
  <c r="A950" i="1" s="1"/>
  <c r="W948" i="1"/>
  <c r="A948" i="1" s="1"/>
  <c r="W1134" i="1"/>
  <c r="A1134" i="1" s="1"/>
  <c r="W1182" i="1"/>
  <c r="A1182" i="1" s="1"/>
  <c r="W973" i="1"/>
  <c r="A973" i="1" s="1"/>
  <c r="W969" i="1"/>
  <c r="A969" i="1" s="1"/>
  <c r="W299" i="1"/>
  <c r="A299" i="1" s="1"/>
  <c r="W30" i="1"/>
  <c r="A30" i="1" s="1"/>
  <c r="W336" i="1"/>
  <c r="A336" i="1" s="1"/>
  <c r="W691" i="1"/>
  <c r="A691" i="1" s="1"/>
  <c r="W697" i="1"/>
  <c r="A697" i="1" s="1"/>
  <c r="W186" i="1"/>
  <c r="A186" i="1" s="1"/>
  <c r="W139" i="1"/>
  <c r="A139" i="1" s="1"/>
  <c r="W1335" i="1"/>
  <c r="A1335" i="1" s="1"/>
  <c r="W549" i="1"/>
  <c r="A549" i="1" s="1"/>
  <c r="W48" i="1"/>
  <c r="A48" i="1" s="1"/>
  <c r="W103" i="1"/>
  <c r="A103" i="1" s="1"/>
  <c r="W66" i="1"/>
  <c r="A66" i="1" s="1"/>
  <c r="W141" i="1"/>
  <c r="A141" i="1" s="1"/>
  <c r="W539" i="1"/>
  <c r="A539" i="1" s="1"/>
  <c r="W87" i="1"/>
  <c r="A87" i="1" s="1"/>
  <c r="W455" i="1"/>
  <c r="A455" i="1" s="1"/>
  <c r="W433" i="1"/>
  <c r="A433" i="1" s="1"/>
  <c r="W1083" i="1"/>
  <c r="A1083" i="1" s="1"/>
  <c r="W1078" i="1"/>
  <c r="A1078" i="1" s="1"/>
  <c r="W1080" i="1"/>
  <c r="A1080" i="1" s="1"/>
  <c r="W868" i="1"/>
  <c r="A868" i="1" s="1"/>
  <c r="W1110" i="1"/>
  <c r="A1110" i="1" s="1"/>
  <c r="W942" i="1"/>
  <c r="A942" i="1" s="1"/>
  <c r="W941" i="1"/>
  <c r="A941" i="1" s="1"/>
  <c r="W332" i="1"/>
  <c r="A332" i="1" s="1"/>
  <c r="W341" i="1"/>
  <c r="A341" i="1" s="1"/>
  <c r="W536" i="1"/>
  <c r="A536" i="1" s="1"/>
  <c r="W542" i="1"/>
  <c r="A542" i="1" s="1"/>
  <c r="W543" i="1"/>
  <c r="A543" i="1" s="1"/>
  <c r="W239" i="1"/>
  <c r="A239" i="1" s="1"/>
  <c r="W653" i="1"/>
  <c r="A653" i="1" s="1"/>
  <c r="W240" i="1"/>
  <c r="A240" i="1" s="1"/>
  <c r="W1084" i="1"/>
  <c r="A1084" i="1" s="1"/>
  <c r="W83" i="1"/>
  <c r="A83" i="1" s="1"/>
  <c r="W717" i="1"/>
  <c r="A717" i="1" s="1"/>
  <c r="W518" i="1"/>
  <c r="A518" i="1" s="1"/>
  <c r="W857" i="1"/>
  <c r="A857" i="1" s="1"/>
  <c r="W984" i="1"/>
  <c r="A984" i="1" s="1"/>
  <c r="W656" i="1"/>
  <c r="A656" i="1" s="1"/>
  <c r="W692" i="1"/>
  <c r="A692" i="1" s="1"/>
  <c r="W1047" i="1"/>
  <c r="A1047" i="1" s="1"/>
  <c r="W1196" i="1"/>
  <c r="A1196" i="1" s="1"/>
  <c r="W718" i="1"/>
  <c r="A718" i="1" s="1"/>
  <c r="W848" i="1"/>
  <c r="A848" i="1" s="1"/>
  <c r="W854" i="1"/>
  <c r="A854" i="1" s="1"/>
  <c r="W859" i="1"/>
  <c r="A859" i="1" s="1"/>
  <c r="W986" i="1"/>
  <c r="A986" i="1" s="1"/>
  <c r="W700" i="1"/>
  <c r="A700" i="1" s="1"/>
  <c r="W1049" i="1"/>
  <c r="A1049" i="1" s="1"/>
  <c r="W1051" i="1"/>
  <c r="A1051" i="1" s="1"/>
  <c r="W1424" i="1"/>
  <c r="A1424" i="1" s="1"/>
  <c r="W719" i="1"/>
  <c r="A719" i="1" s="1"/>
  <c r="W339" i="1"/>
  <c r="A339" i="1" s="1"/>
  <c r="W363" i="1"/>
  <c r="A363" i="1" s="1"/>
  <c r="W10" i="1"/>
  <c r="A10" i="1" s="1"/>
  <c r="W365" i="1"/>
  <c r="A365" i="1" s="1"/>
  <c r="W508" i="1"/>
  <c r="A508" i="1" s="1"/>
  <c r="W796" i="1"/>
  <c r="A796" i="1" s="1"/>
  <c r="W506" i="1"/>
  <c r="A506" i="1" s="1"/>
  <c r="W1199" i="1"/>
  <c r="A1199" i="1" s="1"/>
  <c r="W1323" i="1"/>
  <c r="A1323" i="1" s="1"/>
  <c r="W1280" i="1"/>
  <c r="A1280" i="1" s="1"/>
  <c r="W1200" i="1"/>
  <c r="A1200" i="1" s="1"/>
  <c r="W1336" i="1"/>
  <c r="A1336" i="1" s="1"/>
  <c r="W1331" i="1"/>
  <c r="A1331" i="1" s="1"/>
  <c r="W1162" i="1"/>
  <c r="A1162" i="1" s="1"/>
  <c r="W1198" i="1"/>
  <c r="A1198" i="1" s="1"/>
  <c r="W1349" i="1"/>
  <c r="A1349" i="1" s="1"/>
  <c r="W1510" i="1"/>
  <c r="A1510" i="1" s="1"/>
  <c r="W1512" i="1"/>
  <c r="A1512" i="1" s="1"/>
  <c r="W951" i="1"/>
  <c r="A951" i="1" s="1"/>
  <c r="W1465" i="1"/>
  <c r="A1465" i="1" s="1"/>
  <c r="W1278" i="1"/>
  <c r="A1278" i="1" s="1"/>
  <c r="W949" i="1"/>
  <c r="A949" i="1" s="1"/>
  <c r="W1179" i="1"/>
  <c r="A1179" i="1" s="1"/>
  <c r="W1328" i="1"/>
  <c r="A1328" i="1" s="1"/>
  <c r="W1310" i="1"/>
  <c r="A1310" i="1" s="1"/>
  <c r="W1109" i="1"/>
  <c r="A1109" i="1" s="1"/>
  <c r="W1166" i="1"/>
  <c r="A1166" i="1" s="1"/>
  <c r="W1165" i="1"/>
  <c r="A1165" i="1" s="1"/>
  <c r="W1282" i="1"/>
  <c r="A1282" i="1" s="1"/>
  <c r="W1218" i="1"/>
  <c r="A1218" i="1" s="1"/>
  <c r="W1114" i="1"/>
  <c r="A1114" i="1" s="1"/>
  <c r="W1466" i="1"/>
  <c r="A1466" i="1" s="1"/>
  <c r="W1527" i="1"/>
  <c r="A1527" i="1" s="1"/>
  <c r="W490" i="1"/>
  <c r="A490" i="1" s="1"/>
  <c r="W1108" i="1"/>
  <c r="A1108" i="1" s="1"/>
  <c r="W754" i="1"/>
  <c r="A754" i="1" s="1"/>
  <c r="W298" i="1"/>
  <c r="A298" i="1" s="1"/>
  <c r="W862" i="1"/>
  <c r="A862" i="1" s="1"/>
  <c r="W1333" i="1"/>
  <c r="A1333" i="1" s="1"/>
  <c r="W940" i="1"/>
  <c r="A940" i="1" s="1"/>
  <c r="W537" i="1"/>
  <c r="A537" i="1" s="1"/>
  <c r="W867" i="1"/>
  <c r="A867" i="1" s="1"/>
  <c r="W1436" i="1"/>
  <c r="A1436" i="1" s="1"/>
  <c r="W849" i="1"/>
  <c r="A849" i="1" s="1"/>
  <c r="W535" i="1"/>
  <c r="A535" i="1" s="1"/>
  <c r="W865" i="1"/>
  <c r="A865" i="1" s="1"/>
  <c r="W300" i="1"/>
  <c r="A300" i="1" s="1"/>
  <c r="W434" i="1"/>
  <c r="A434" i="1" s="1"/>
  <c r="W736" i="1"/>
  <c r="A736" i="1" s="1"/>
  <c r="W860" i="1"/>
  <c r="A860" i="1" s="1"/>
  <c r="W855" i="1"/>
  <c r="A855" i="1" s="1"/>
  <c r="W738" i="1"/>
  <c r="A738" i="1" s="1"/>
  <c r="W49" i="1"/>
  <c r="A49" i="1" s="1"/>
  <c r="W937" i="1"/>
  <c r="A937" i="1" s="1"/>
  <c r="W84" i="1"/>
  <c r="A84" i="1" s="1"/>
  <c r="W944" i="1"/>
  <c r="A944" i="1" s="1"/>
  <c r="W515" i="1"/>
  <c r="A515" i="1" s="1"/>
  <c r="W19" i="1"/>
  <c r="A19" i="1" s="1"/>
  <c r="W61" i="1"/>
  <c r="A61" i="1" s="1"/>
  <c r="W86" i="1"/>
  <c r="A86" i="1" s="1"/>
  <c r="W58" i="1"/>
  <c r="A58" i="1" s="1"/>
  <c r="W834" i="1"/>
  <c r="A834" i="1" s="1"/>
  <c r="W835" i="1"/>
  <c r="A835" i="1" s="1"/>
  <c r="W521" i="1"/>
  <c r="A521" i="1" s="1"/>
  <c r="W56" i="1"/>
  <c r="A56" i="1" s="1"/>
  <c r="W832" i="1"/>
  <c r="A832" i="1" s="1"/>
  <c r="W57" i="1"/>
  <c r="A57" i="1" s="1"/>
  <c r="W241" i="1"/>
  <c r="A241" i="1" s="1"/>
  <c r="W739" i="1"/>
  <c r="A739" i="1" s="1"/>
  <c r="W47" i="1"/>
  <c r="A47" i="1" s="1"/>
  <c r="W20" i="1"/>
  <c r="A20" i="1" s="1"/>
  <c r="W511" i="1"/>
  <c r="A511" i="1" s="1"/>
  <c r="W159" i="1"/>
  <c r="A159" i="1" s="1"/>
  <c r="W458" i="1"/>
  <c r="A458" i="1" s="1"/>
  <c r="W1020" i="1"/>
  <c r="A1020" i="1" s="1"/>
  <c r="W244" i="1"/>
  <c r="A244" i="1" s="1"/>
  <c r="W1263" i="1"/>
  <c r="A1263" i="1" s="1"/>
  <c r="W505" i="1"/>
  <c r="A505" i="1" s="1"/>
  <c r="W516" i="1"/>
  <c r="A516" i="1" s="1"/>
  <c r="W716" i="1"/>
  <c r="A716" i="1" s="1"/>
  <c r="W517" i="1"/>
  <c r="A517" i="1" s="1"/>
  <c r="W816" i="1"/>
  <c r="A816" i="1" s="1"/>
  <c r="W720" i="1"/>
  <c r="A720" i="1" s="1"/>
  <c r="W852" i="1"/>
  <c r="A852" i="1" s="1"/>
  <c r="W32" i="1"/>
  <c r="A32" i="1" s="1"/>
  <c r="W850" i="1"/>
  <c r="A850" i="1" s="1"/>
  <c r="W988" i="1"/>
  <c r="A988" i="1" s="1"/>
  <c r="W571" i="1"/>
  <c r="A571" i="1" s="1"/>
  <c r="W67" i="1"/>
  <c r="A67" i="1" s="1"/>
  <c r="W161" i="1"/>
  <c r="A161" i="1" s="1"/>
  <c r="W459" i="1"/>
  <c r="A459" i="1" s="1"/>
  <c r="W714" i="1"/>
  <c r="A714" i="1" s="1"/>
  <c r="W507" i="1"/>
  <c r="A507" i="1" s="1"/>
  <c r="W572" i="1"/>
  <c r="A572" i="1" s="1"/>
  <c r="W465" i="1"/>
  <c r="A465" i="1" s="1"/>
  <c r="W618" i="1"/>
  <c r="A618" i="1" s="1"/>
  <c r="W658" i="1"/>
  <c r="A658" i="1" s="1"/>
  <c r="W1234" i="1"/>
  <c r="A1234" i="1" s="1"/>
  <c r="W1036" i="1"/>
  <c r="A1036" i="1" s="1"/>
  <c r="W463" i="1"/>
  <c r="A463" i="1" s="1"/>
  <c r="W856" i="1"/>
  <c r="A856" i="1" s="1"/>
  <c r="W315" i="1"/>
  <c r="A315" i="1" s="1"/>
  <c r="W364" i="1"/>
  <c r="A364" i="1" s="1"/>
  <c r="W98" i="1"/>
  <c r="A98" i="1" s="1"/>
  <c r="W99" i="1"/>
  <c r="A99" i="1" s="1"/>
  <c r="W263" i="1"/>
  <c r="A263" i="1" s="1"/>
  <c r="W1164" i="1"/>
  <c r="A1164" i="1" s="1"/>
  <c r="W1201" i="1"/>
  <c r="A1201" i="1" s="1"/>
  <c r="W1197" i="1"/>
  <c r="A1197" i="1" s="1"/>
  <c r="W1532" i="1"/>
  <c r="A1532" i="1" s="1"/>
  <c r="W1515" i="1"/>
  <c r="A1515" i="1" s="1"/>
  <c r="W1180" i="1"/>
  <c r="A1180" i="1" s="1"/>
  <c r="W1163" i="1"/>
  <c r="A1163" i="1" s="1"/>
  <c r="W1311" i="1"/>
  <c r="A1311" i="1" s="1"/>
  <c r="W1281" i="1"/>
  <c r="A1281" i="1" s="1"/>
  <c r="W1347" i="1"/>
  <c r="A1347" i="1" s="1"/>
  <c r="W1513" i="1"/>
  <c r="A1513" i="1" s="1"/>
  <c r="W1107" i="1"/>
  <c r="A1107" i="1" s="1"/>
  <c r="W1426" i="1"/>
  <c r="A1426" i="1" s="1"/>
  <c r="W1186" i="1"/>
  <c r="A1186" i="1" s="1"/>
  <c r="W1312" i="1"/>
  <c r="A1312" i="1" s="1"/>
  <c r="W1338" i="1"/>
  <c r="A1338" i="1" s="1"/>
  <c r="W1262" i="1"/>
  <c r="A1262" i="1" s="1"/>
  <c r="W1427" i="1"/>
  <c r="A1427" i="1" s="1"/>
  <c r="W1267" i="1"/>
  <c r="A1267" i="1" s="1"/>
  <c r="W1202" i="1"/>
  <c r="A1202" i="1" s="1"/>
  <c r="W1185" i="1"/>
  <c r="A1185" i="1" s="1"/>
  <c r="W838" i="1"/>
  <c r="A838" i="1" s="1"/>
  <c r="W740" i="1"/>
  <c r="A740" i="1" s="1"/>
  <c r="W792" i="1"/>
  <c r="A792" i="1" s="1"/>
  <c r="W1500" i="1"/>
  <c r="A1500" i="1" s="1"/>
  <c r="W1168" i="1"/>
  <c r="A1168" i="1" s="1"/>
  <c r="W487" i="1"/>
  <c r="A487" i="1" s="1"/>
  <c r="W481" i="1"/>
  <c r="A481" i="1" s="1"/>
  <c r="W457" i="1"/>
  <c r="A457" i="1" s="1"/>
  <c r="W1000" i="1"/>
  <c r="A1000" i="1" s="1"/>
  <c r="W109" i="1"/>
  <c r="A109" i="1" s="1"/>
  <c r="W187" i="1"/>
  <c r="A187" i="1" s="1"/>
  <c r="W59" i="1"/>
  <c r="A59" i="1" s="1"/>
  <c r="W50" i="1"/>
  <c r="A50" i="1" s="1"/>
  <c r="W88" i="1"/>
  <c r="A88" i="1" s="1"/>
  <c r="W140" i="1"/>
  <c r="A140" i="1" s="1"/>
  <c r="W509" i="1"/>
  <c r="A509" i="1" s="1"/>
  <c r="W1002" i="1"/>
  <c r="A1002" i="1" s="1"/>
  <c r="W1022" i="1"/>
  <c r="A1022" i="1" s="1"/>
  <c r="W1003" i="1"/>
  <c r="A1003" i="1" s="1"/>
  <c r="W184" i="1"/>
  <c r="A184" i="1" s="1"/>
  <c r="W185" i="1"/>
  <c r="A185" i="1" s="1"/>
  <c r="W943" i="1"/>
  <c r="A943" i="1" s="1"/>
  <c r="W818" i="1"/>
  <c r="A818" i="1" s="1"/>
  <c r="W817" i="1"/>
  <c r="A817" i="1" s="1"/>
  <c r="W338" i="1"/>
  <c r="A338" i="1" s="1"/>
  <c r="W836" i="1"/>
  <c r="A836" i="1" s="1"/>
  <c r="W21" i="1"/>
  <c r="A21" i="1" s="1"/>
  <c r="W696" i="1"/>
  <c r="A696" i="1" s="1"/>
  <c r="W698" i="1"/>
  <c r="A698" i="1" s="1"/>
  <c r="W333" i="1"/>
  <c r="A333" i="1" s="1"/>
  <c r="W519" i="1"/>
  <c r="A519" i="1" s="1"/>
  <c r="W514" i="1"/>
  <c r="A514" i="1" s="1"/>
  <c r="W851" i="1"/>
  <c r="A851" i="1" s="1"/>
  <c r="W722" i="1"/>
  <c r="A722" i="1" s="1"/>
  <c r="W617" i="1"/>
  <c r="A617" i="1" s="1"/>
  <c r="W399" i="1"/>
  <c r="A399" i="1" s="1"/>
  <c r="W28" i="1"/>
  <c r="A28" i="1" s="1"/>
  <c r="W573" i="1"/>
  <c r="A573" i="1" s="1"/>
  <c r="W574" i="1"/>
  <c r="A574" i="1" s="1"/>
  <c r="W403" i="1"/>
  <c r="A403" i="1" s="1"/>
  <c r="W999" i="1"/>
  <c r="A999" i="1" s="1"/>
  <c r="W480" i="1"/>
  <c r="A480" i="1" s="1"/>
  <c r="W577" i="1"/>
  <c r="A577" i="1" s="1"/>
  <c r="W400" i="1"/>
  <c r="A400" i="1" s="1"/>
  <c r="W344" i="1"/>
  <c r="A344" i="1" s="1"/>
  <c r="W55" i="1"/>
  <c r="A55" i="1" s="1"/>
  <c r="W470" i="1"/>
  <c r="A470" i="1" s="1"/>
  <c r="W257" i="1"/>
  <c r="A257" i="1" s="1"/>
  <c r="W398" i="1"/>
  <c r="A398" i="1" s="1"/>
  <c r="W160" i="1"/>
  <c r="A160" i="1" s="1"/>
  <c r="W35" i="1"/>
  <c r="A35" i="1" s="1"/>
  <c r="W317" i="1"/>
  <c r="A317" i="1" s="1"/>
  <c r="W342" i="1"/>
  <c r="A342" i="1" s="1"/>
  <c r="W15" i="1"/>
  <c r="A15" i="1" s="1"/>
  <c r="W512" i="1"/>
  <c r="A512" i="1" s="1"/>
  <c r="W318" i="1"/>
  <c r="A318" i="1" s="1"/>
  <c r="W401" i="1"/>
  <c r="A401" i="1" s="1"/>
  <c r="W213" i="1"/>
  <c r="A213" i="1" s="1"/>
  <c r="W1265" i="1"/>
  <c r="A1265" i="1" s="1"/>
  <c r="W1251" i="1"/>
  <c r="W1481" i="1"/>
  <c r="A1481" i="1" s="1"/>
  <c r="W1339" i="1"/>
  <c r="A1339" i="1" s="1"/>
  <c r="W1348" i="1"/>
  <c r="A1348" i="1" s="1"/>
  <c r="W1268" i="1"/>
  <c r="A1268" i="1" s="1"/>
  <c r="W1468" i="1"/>
  <c r="A1468" i="1" s="1"/>
  <c r="W1136" i="1"/>
  <c r="A1136" i="1" s="1"/>
  <c r="W1309" i="1"/>
  <c r="A1309" i="1" s="1"/>
  <c r="W1345" i="1"/>
  <c r="A1345" i="1" s="1"/>
  <c r="W1264" i="1"/>
  <c r="A1264" i="1" s="1"/>
  <c r="W1514" i="1"/>
  <c r="A1514" i="1" s="1"/>
  <c r="W1167" i="1"/>
  <c r="A1167" i="1" s="1"/>
  <c r="W1297" i="1"/>
  <c r="A1297" i="1" s="1"/>
  <c r="W334" i="1"/>
  <c r="A334" i="1" s="1"/>
  <c r="W54" i="1"/>
  <c r="A54" i="1" s="1"/>
  <c r="W972" i="1"/>
  <c r="A972" i="1" s="1"/>
  <c r="W520" i="1"/>
  <c r="A520" i="1" s="1"/>
  <c r="W145" i="1"/>
  <c r="A145" i="1" s="1"/>
  <c r="W60" i="1"/>
  <c r="A60" i="1" s="1"/>
  <c r="W68" i="1"/>
  <c r="A68" i="1" s="1"/>
  <c r="W579" i="1"/>
  <c r="A579" i="1" s="1"/>
  <c r="W713" i="1"/>
  <c r="A713" i="1" s="1"/>
  <c r="W715" i="1"/>
  <c r="A715" i="1" s="1"/>
  <c r="W553" i="1"/>
  <c r="A553" i="1" s="1"/>
  <c r="W904" i="1"/>
  <c r="A904" i="1" s="1"/>
  <c r="W510" i="1"/>
  <c r="A510" i="1" s="1"/>
  <c r="W72" i="1"/>
  <c r="A72" i="1" s="1"/>
  <c r="W11" i="1"/>
  <c r="A11" i="1" s="1"/>
  <c r="W619" i="1"/>
  <c r="A619" i="1" s="1"/>
  <c r="W858" i="1"/>
  <c r="A858" i="1" s="1"/>
  <c r="W1001" i="1"/>
  <c r="A1001" i="1" s="1"/>
  <c r="W243" i="1"/>
  <c r="A243" i="1" s="1"/>
  <c r="W461" i="1"/>
  <c r="A461" i="1" s="1"/>
  <c r="W699" i="1"/>
  <c r="A699" i="1" s="1"/>
  <c r="W164" i="1"/>
  <c r="A164" i="1" s="1"/>
  <c r="W815" i="1"/>
  <c r="A815" i="1" s="1"/>
  <c r="W13" i="1"/>
  <c r="A13" i="1" s="1"/>
  <c r="W34" i="1"/>
  <c r="A34" i="1" s="1"/>
  <c r="W402" i="1"/>
  <c r="A402" i="1" s="1"/>
  <c r="W347" i="1"/>
  <c r="A347" i="1" s="1"/>
  <c r="W987" i="1"/>
  <c r="A987" i="1" s="1"/>
  <c r="W1004" i="1"/>
  <c r="A1004" i="1" s="1"/>
  <c r="W639" i="1"/>
  <c r="A639" i="1" s="1"/>
  <c r="W819" i="1"/>
  <c r="A819" i="1" s="1"/>
  <c r="W522" i="1"/>
  <c r="A522" i="1" s="1"/>
  <c r="W789" i="1"/>
  <c r="A789" i="1" s="1"/>
  <c r="W22" i="1"/>
  <c r="A22" i="1" s="1"/>
  <c r="W580" i="1"/>
  <c r="A580" i="1" s="1"/>
  <c r="W404" i="1"/>
  <c r="A404" i="1" s="1"/>
  <c r="W23" i="1"/>
  <c r="A23" i="1" s="1"/>
  <c r="W990" i="1"/>
  <c r="A990" i="1" s="1"/>
  <c r="W464" i="1"/>
  <c r="A464" i="1" s="1"/>
  <c r="W466" i="1"/>
  <c r="A466" i="1" s="1"/>
  <c r="W471" i="1"/>
  <c r="A471" i="1" s="1"/>
  <c r="W316" i="1"/>
  <c r="A316" i="1" s="1"/>
  <c r="W397" i="1"/>
  <c r="A397" i="1" s="1"/>
  <c r="W314" i="1"/>
  <c r="A314" i="1" s="1"/>
  <c r="W640" i="1"/>
  <c r="A640" i="1" s="1"/>
  <c r="W790" i="1"/>
  <c r="A790" i="1" s="1"/>
  <c r="W436" i="1"/>
  <c r="A436" i="1" s="1"/>
  <c r="W216" i="1"/>
  <c r="A216" i="1" s="1"/>
  <c r="W1366" i="1"/>
  <c r="A1366" i="1" s="1"/>
  <c r="W1470" i="1"/>
  <c r="A1470" i="1" s="1"/>
  <c r="W1117" i="1"/>
  <c r="A1117" i="1" s="1"/>
  <c r="W1296" i="1"/>
  <c r="A1296" i="1" s="1"/>
  <c r="W1479" i="1"/>
  <c r="A1479" i="1" s="1"/>
  <c r="W1350" i="1"/>
  <c r="A1350" i="1" s="1"/>
  <c r="W1169" i="1"/>
  <c r="A1169" i="1" s="1"/>
  <c r="W1342" i="1"/>
  <c r="A1342" i="1" s="1"/>
  <c r="W489" i="1"/>
  <c r="A489" i="1" s="1"/>
  <c r="W1068" i="1"/>
  <c r="A1068" i="1" s="1"/>
  <c r="W575" i="1"/>
  <c r="A575" i="1" s="1"/>
  <c r="W163" i="1"/>
  <c r="A163" i="1" s="1"/>
  <c r="W188" i="1"/>
  <c r="A188" i="1" s="1"/>
  <c r="W837" i="1"/>
  <c r="A837" i="1" s="1"/>
  <c r="W460" i="1"/>
  <c r="A460" i="1" s="1"/>
  <c r="W242" i="1"/>
  <c r="A242" i="1" s="1"/>
  <c r="W866" i="1"/>
  <c r="A866" i="1" s="1"/>
  <c r="W302" i="1"/>
  <c r="A302" i="1" s="1"/>
  <c r="W52" i="1"/>
  <c r="A52" i="1" s="1"/>
  <c r="W723" i="1"/>
  <c r="A723" i="1" s="1"/>
  <c r="W349" i="1"/>
  <c r="A349" i="1" s="1"/>
  <c r="W1293" i="1"/>
  <c r="A1293" i="1" s="1"/>
  <c r="W144" i="1"/>
  <c r="A144" i="1" s="1"/>
  <c r="W53" i="1"/>
  <c r="A53" i="1" s="1"/>
  <c r="W12" i="1"/>
  <c r="A12" i="1" s="1"/>
  <c r="W869" i="1"/>
  <c r="A869" i="1" s="1"/>
  <c r="W1511" i="1"/>
  <c r="A1511" i="1" s="1"/>
  <c r="W85" i="1"/>
  <c r="A85" i="1" s="1"/>
  <c r="W51" i="1"/>
  <c r="A51" i="1" s="1"/>
  <c r="W14" i="1"/>
  <c r="A14" i="1" s="1"/>
  <c r="W37" i="1"/>
  <c r="A37" i="1" s="1"/>
  <c r="W33" i="1"/>
  <c r="A33" i="1" s="1"/>
  <c r="W26" i="1"/>
  <c r="A26" i="1" s="1"/>
  <c r="W974" i="1"/>
  <c r="A974" i="1" s="1"/>
  <c r="W382" i="1"/>
  <c r="A382" i="1" s="1"/>
  <c r="W384" i="1"/>
  <c r="A384" i="1" s="1"/>
  <c r="W1052" i="1"/>
  <c r="A1052" i="1" s="1"/>
  <c r="W467" i="1"/>
  <c r="A467" i="1" s="1"/>
  <c r="W36" i="1"/>
  <c r="A36" i="1" s="1"/>
  <c r="W69" i="1"/>
  <c r="A69" i="1" s="1"/>
  <c r="W348" i="1"/>
  <c r="A348" i="1" s="1"/>
  <c r="W788" i="1"/>
  <c r="A788" i="1" s="1"/>
  <c r="W25" i="1"/>
  <c r="A25" i="1" s="1"/>
  <c r="W258" i="1"/>
  <c r="A258" i="1" s="1"/>
  <c r="W991" i="1"/>
  <c r="A991" i="1" s="1"/>
  <c r="W641" i="1"/>
  <c r="A641" i="1" s="1"/>
  <c r="W345" i="1"/>
  <c r="A345" i="1" s="1"/>
  <c r="W346" i="1"/>
  <c r="A346" i="1" s="1"/>
  <c r="W620" i="1"/>
  <c r="A620" i="1" s="1"/>
  <c r="W770" i="1"/>
  <c r="A770" i="1" s="1"/>
  <c r="W212" i="1"/>
  <c r="A212" i="1" s="1"/>
  <c r="W591" i="1"/>
  <c r="A591" i="1" s="1"/>
  <c r="W1344" i="1"/>
  <c r="A1344" i="1" s="1"/>
  <c r="W1437" i="1"/>
  <c r="A1437" i="1" s="1"/>
  <c r="W1346" i="1"/>
  <c r="A1346" i="1" s="1"/>
  <c r="W1266" i="1"/>
  <c r="A1266" i="1" s="1"/>
  <c r="W1329" i="1"/>
  <c r="A1329" i="1" s="1"/>
  <c r="W1184" i="1"/>
  <c r="A1184" i="1" s="1"/>
  <c r="W1116" i="1"/>
  <c r="A1116" i="1" s="1"/>
  <c r="W1315" i="1"/>
  <c r="A1315" i="1" s="1"/>
  <c r="W1337" i="1"/>
  <c r="A1337" i="1" s="1"/>
  <c r="W1294" i="1"/>
  <c r="A1294" i="1" s="1"/>
  <c r="W578" i="1"/>
  <c r="A578" i="1" s="1"/>
  <c r="W1069" i="1"/>
  <c r="A1069" i="1" s="1"/>
  <c r="W721" i="1"/>
  <c r="A721" i="1" s="1"/>
  <c r="W576" i="1"/>
  <c r="A576" i="1" s="1"/>
  <c r="W771" i="1"/>
  <c r="A771" i="1" s="1"/>
  <c r="W469" i="1"/>
  <c r="A469" i="1" s="1"/>
  <c r="W189" i="1"/>
  <c r="A189" i="1" s="1"/>
  <c r="W190" i="1"/>
  <c r="A190" i="1" s="1"/>
  <c r="W89" i="1"/>
  <c r="A89" i="1" s="1"/>
  <c r="W24" i="1"/>
  <c r="A24" i="1" s="1"/>
  <c r="W63" i="1"/>
  <c r="A63" i="1" s="1"/>
  <c r="W582" i="1"/>
  <c r="A582" i="1" s="1"/>
  <c r="W387" i="1"/>
  <c r="A387" i="1" s="1"/>
  <c r="W741" i="1"/>
  <c r="A741" i="1" s="1"/>
  <c r="W259" i="1"/>
  <c r="A259" i="1" s="1"/>
  <c r="W62" i="1"/>
  <c r="A62" i="1" s="1"/>
  <c r="W343" i="1"/>
  <c r="A343" i="1" s="1"/>
  <c r="W775" i="1"/>
  <c r="A775" i="1" s="1"/>
  <c r="W1085" i="1"/>
  <c r="A1085" i="1" s="1"/>
  <c r="W380" i="1"/>
  <c r="A380" i="1" s="1"/>
  <c r="W774" i="1"/>
  <c r="A774" i="1" s="1"/>
  <c r="W64" i="1"/>
  <c r="A64" i="1" s="1"/>
  <c r="W626" i="1"/>
  <c r="A626" i="1" s="1"/>
  <c r="W622" i="1"/>
  <c r="A622" i="1" s="1"/>
  <c r="W381" i="1"/>
  <c r="A381" i="1" s="1"/>
  <c r="W31" i="1"/>
  <c r="A31" i="1" s="1"/>
  <c r="W162" i="1"/>
  <c r="A162" i="1" s="1"/>
  <c r="W1399" i="1"/>
  <c r="A1399" i="1" s="1"/>
  <c r="W773" i="1"/>
  <c r="A773" i="1" s="1"/>
  <c r="W772" i="1"/>
  <c r="A772" i="1" s="1"/>
  <c r="W217" i="1"/>
  <c r="A217" i="1" s="1"/>
  <c r="W1376" i="1"/>
  <c r="A1376" i="1" s="1"/>
  <c r="W1438" i="1"/>
  <c r="A1438" i="1" s="1"/>
  <c r="W1439" i="1"/>
  <c r="A1439" i="1" s="1"/>
  <c r="W1314" i="1"/>
  <c r="A1314" i="1" s="1"/>
  <c r="W1295" i="1"/>
  <c r="A1295" i="1" s="1"/>
  <c r="W1480" i="1"/>
  <c r="A1480" i="1" s="1"/>
  <c r="W1440" i="1"/>
  <c r="A1440" i="1" s="1"/>
  <c r="W1383" i="1"/>
  <c r="A1383" i="1" s="1"/>
  <c r="W1308" i="1"/>
  <c r="A1308" i="1" s="1"/>
  <c r="W870" i="1"/>
  <c r="A870" i="1" s="1"/>
  <c r="W468" i="1"/>
  <c r="A468" i="1" s="1"/>
  <c r="W90" i="1"/>
  <c r="A90" i="1" s="1"/>
  <c r="W405" i="1"/>
  <c r="A405" i="1" s="1"/>
  <c r="W623" i="1"/>
  <c r="A623" i="1" s="1"/>
  <c r="W1005" i="1"/>
  <c r="A1005" i="1" s="1"/>
  <c r="W743" i="1"/>
  <c r="A743" i="1" s="1"/>
  <c r="W383" i="1"/>
  <c r="A383" i="1" s="1"/>
  <c r="W147" i="1"/>
  <c r="A147" i="1" s="1"/>
  <c r="W70" i="1"/>
  <c r="A70" i="1" s="1"/>
  <c r="W385" i="1"/>
  <c r="A385" i="1" s="1"/>
  <c r="W791" i="1"/>
  <c r="A791" i="1" s="1"/>
  <c r="W17" i="1"/>
  <c r="A17" i="1" s="1"/>
  <c r="W581" i="1"/>
  <c r="A581" i="1" s="1"/>
  <c r="W367" i="1"/>
  <c r="A367" i="1" s="1"/>
  <c r="W1340" i="1"/>
  <c r="A1340" i="1" s="1"/>
  <c r="W214" i="1"/>
  <c r="A214" i="1" s="1"/>
  <c r="W593" i="1"/>
  <c r="A593" i="1" s="1"/>
  <c r="W215" i="1"/>
  <c r="A215" i="1" s="1"/>
  <c r="W1365" i="1"/>
  <c r="A1365" i="1" s="1"/>
  <c r="W1469" i="1"/>
  <c r="A1469" i="1" s="1"/>
  <c r="W1313" i="1"/>
  <c r="A1313" i="1" s="1"/>
  <c r="W146" i="1"/>
  <c r="A146" i="1" s="1"/>
  <c r="W191" i="1"/>
  <c r="A191" i="1" s="1"/>
  <c r="W975" i="1"/>
  <c r="A975" i="1" s="1"/>
  <c r="W386" i="1"/>
  <c r="A386" i="1" s="1"/>
  <c r="W621" i="1"/>
  <c r="A621" i="1" s="1"/>
  <c r="W742" i="1"/>
  <c r="A742" i="1" s="1"/>
  <c r="W523" i="1"/>
  <c r="A523" i="1" s="1"/>
  <c r="W1403" i="1"/>
  <c r="A1403" i="1" s="1"/>
  <c r="W820" i="1"/>
  <c r="A820" i="1" s="1"/>
  <c r="W625" i="1"/>
  <c r="A625" i="1" s="1"/>
  <c r="W71" i="1"/>
  <c r="A71" i="1" s="1"/>
  <c r="W38" i="1"/>
  <c r="A38" i="1" s="1"/>
  <c r="W1400" i="1"/>
  <c r="A1400" i="1" s="1"/>
  <c r="W624" i="1"/>
  <c r="A624" i="1" s="1"/>
  <c r="W16" i="1"/>
  <c r="A16" i="1" s="1"/>
  <c r="W989" i="1"/>
  <c r="A989" i="1" s="1"/>
  <c r="W592" i="1"/>
  <c r="A592" i="1" s="1"/>
  <c r="W1441" i="1"/>
  <c r="A1441" i="1" s="1"/>
  <c r="W1482" i="1"/>
  <c r="A1482" i="1" s="1"/>
  <c r="W1341" i="1"/>
  <c r="A1341" i="1" s="1"/>
  <c r="W1484" i="1"/>
  <c r="A1484" i="1" s="1"/>
  <c r="W839" i="1"/>
  <c r="A839" i="1" s="1"/>
  <c r="W192" i="1"/>
  <c r="A192" i="1" s="1"/>
  <c r="W821" i="1"/>
  <c r="A821" i="1" s="1"/>
  <c r="W272" i="1"/>
  <c r="A272" i="1" s="1"/>
  <c r="W660" i="1"/>
  <c r="A660" i="1" s="1"/>
  <c r="W776" i="1"/>
  <c r="A776" i="1" s="1"/>
  <c r="W565" i="1"/>
  <c r="A565" i="1" s="1"/>
  <c r="W793" i="1"/>
  <c r="A793" i="1" s="1"/>
  <c r="W794" i="1"/>
  <c r="A794" i="1" s="1"/>
  <c r="W321" i="1"/>
  <c r="A321" i="1" s="1"/>
  <c r="W268" i="1"/>
  <c r="A268" i="1" s="1"/>
  <c r="W799" i="1"/>
  <c r="A799" i="1" s="1"/>
  <c r="W800" i="1"/>
  <c r="A800" i="1" s="1"/>
  <c r="W905" i="1"/>
  <c r="A905" i="1" s="1"/>
  <c r="W320" i="1"/>
  <c r="A320" i="1" s="1"/>
  <c r="W563" i="1"/>
  <c r="A563" i="1" s="1"/>
  <c r="W366" i="1"/>
  <c r="A366" i="1" s="1"/>
  <c r="W594" i="1"/>
  <c r="A594" i="1" s="1"/>
  <c r="W1054" i="1"/>
  <c r="A1054" i="1" s="1"/>
  <c r="W1292" i="1"/>
  <c r="A1292" i="1" s="1"/>
  <c r="W1483" i="1"/>
  <c r="A1483" i="1" s="1"/>
  <c r="W1187" i="1"/>
  <c r="A1187" i="1" s="1"/>
  <c r="W165" i="1"/>
  <c r="A165" i="1" s="1"/>
  <c r="W260" i="1"/>
  <c r="A260" i="1" s="1"/>
  <c r="W388" i="1"/>
  <c r="A388" i="1" s="1"/>
  <c r="W513" i="1"/>
  <c r="A513" i="1" s="1"/>
  <c r="W1402" i="1"/>
  <c r="A1402" i="1" s="1"/>
  <c r="W1053" i="1"/>
  <c r="A1053" i="1" s="1"/>
  <c r="W566" i="1"/>
  <c r="A566" i="1" s="1"/>
  <c r="W642" i="1"/>
  <c r="A642" i="1" s="1"/>
  <c r="W871" i="1"/>
  <c r="A871" i="1" s="1"/>
  <c r="W319" i="1"/>
  <c r="A319" i="1" s="1"/>
  <c r="W269" i="1"/>
  <c r="A269" i="1" s="1"/>
  <c r="W596" i="1"/>
  <c r="A596" i="1" s="1"/>
  <c r="W262" i="1"/>
  <c r="A262" i="1" s="1"/>
  <c r="W218" i="1"/>
  <c r="A218" i="1" s="1"/>
  <c r="W595" i="1"/>
  <c r="A595" i="1" s="1"/>
  <c r="W1401" i="1"/>
  <c r="A1401" i="1" s="1"/>
  <c r="W271" i="1"/>
  <c r="A271" i="1" s="1"/>
  <c r="W267" i="1"/>
  <c r="A267" i="1" s="1"/>
  <c r="W270" i="1"/>
  <c r="A270" i="1" s="1"/>
  <c r="W368" i="1"/>
  <c r="A368" i="1" s="1"/>
  <c r="W1055" i="1"/>
  <c r="A1055" i="1" s="1"/>
  <c r="W993" i="1"/>
  <c r="A993" i="1" s="1"/>
  <c r="W992" i="1"/>
  <c r="A992" i="1" s="1"/>
  <c r="W1392" i="1"/>
  <c r="A1392" i="1" s="1"/>
  <c r="W1428" i="1"/>
  <c r="A1428" i="1" s="1"/>
  <c r="W1394" i="1"/>
  <c r="A1394" i="1" s="1"/>
  <c r="W261" i="1"/>
  <c r="A261" i="1" s="1"/>
  <c r="W544" i="1"/>
  <c r="A544" i="1" s="1"/>
  <c r="W220" i="1"/>
  <c r="A220" i="1" s="1"/>
  <c r="W266" i="1"/>
  <c r="A266" i="1" s="1"/>
  <c r="W29" i="1"/>
  <c r="A29" i="1" s="1"/>
  <c r="W273" i="1"/>
  <c r="A273" i="1" s="1"/>
  <c r="W564" i="1"/>
  <c r="A564" i="1" s="1"/>
  <c r="W1404" i="1"/>
  <c r="A1404" i="1" s="1"/>
  <c r="W598" i="1"/>
  <c r="A598" i="1" s="1"/>
  <c r="W73" i="1"/>
  <c r="A73" i="1" s="1"/>
  <c r="W78" i="1"/>
  <c r="A78" i="1" s="1"/>
  <c r="W995" i="1"/>
  <c r="A995" i="1" s="1"/>
  <c r="W997" i="1"/>
  <c r="A997" i="1" s="1"/>
  <c r="W1118" i="1"/>
  <c r="A1118" i="1" s="1"/>
  <c r="W1369" i="1"/>
  <c r="A1369" i="1" s="1"/>
  <c r="W1298" i="1"/>
  <c r="A1298" i="1" s="1"/>
  <c r="W1235" i="1"/>
  <c r="A1235" i="1" s="1"/>
  <c r="W91" i="1"/>
  <c r="A91" i="1" s="1"/>
  <c r="W744" i="1"/>
  <c r="A744" i="1" s="1"/>
  <c r="W627" i="1"/>
  <c r="A627" i="1" s="1"/>
  <c r="W27" i="1"/>
  <c r="A27" i="1" s="1"/>
  <c r="W219" i="1"/>
  <c r="A219" i="1" s="1"/>
  <c r="W597" i="1"/>
  <c r="A597" i="1" s="1"/>
  <c r="W599" i="1"/>
  <c r="A599" i="1" s="1"/>
  <c r="W569" i="1"/>
  <c r="A569" i="1" s="1"/>
  <c r="W524" i="1"/>
  <c r="A524" i="1" s="1"/>
  <c r="W1057" i="1"/>
  <c r="A1057" i="1" s="1"/>
  <c r="W175" i="1"/>
  <c r="A175" i="1" s="1"/>
  <c r="W176" i="1"/>
  <c r="A176" i="1" s="1"/>
  <c r="W1056" i="1"/>
  <c r="A1056" i="1" s="1"/>
  <c r="W994" i="1"/>
  <c r="A994" i="1" s="1"/>
  <c r="W840" i="1"/>
  <c r="A840" i="1" s="1"/>
  <c r="W1099" i="1"/>
  <c r="A1099" i="1" s="1"/>
  <c r="W407" i="1"/>
  <c r="A407" i="1" s="1"/>
  <c r="W1370" i="1"/>
  <c r="A1370" i="1" s="1"/>
  <c r="W659" i="1"/>
  <c r="A659" i="1" s="1"/>
  <c r="W148" i="1"/>
  <c r="A148" i="1" s="1"/>
  <c r="W822" i="1"/>
  <c r="A822" i="1" s="1"/>
  <c r="W245" i="1"/>
  <c r="A245" i="1" s="1"/>
  <c r="W795" i="1"/>
  <c r="A795" i="1" s="1"/>
  <c r="W406" i="1"/>
  <c r="A406" i="1" s="1"/>
  <c r="W600" i="1"/>
  <c r="A600" i="1" s="1"/>
  <c r="W223" i="1"/>
  <c r="A223" i="1" s="1"/>
  <c r="W567" i="1"/>
  <c r="A567" i="1" s="1"/>
  <c r="W797" i="1"/>
  <c r="A797" i="1" s="1"/>
  <c r="W602" i="1"/>
  <c r="A602" i="1" s="1"/>
  <c r="W77" i="1"/>
  <c r="A77" i="1" s="1"/>
  <c r="W976" i="1"/>
  <c r="A976" i="1" s="1"/>
  <c r="W369" i="1"/>
  <c r="A369" i="1" s="1"/>
  <c r="W76" i="1"/>
  <c r="A76" i="1" s="1"/>
  <c r="W166" i="1"/>
  <c r="A166" i="1" s="1"/>
  <c r="W1395" i="1"/>
  <c r="A1395" i="1" s="1"/>
  <c r="W1100" i="1"/>
  <c r="A1100" i="1" s="1"/>
  <c r="W1299" i="1"/>
  <c r="A1299" i="1" s="1"/>
  <c r="W1252" i="1"/>
  <c r="A1252" i="1" s="1"/>
  <c r="W1368" i="1"/>
  <c r="A1368" i="1" s="1"/>
  <c r="W1138" i="1"/>
  <c r="A1138" i="1" s="1"/>
  <c r="W340" i="1"/>
  <c r="A340" i="1" s="1"/>
  <c r="W18" i="1"/>
  <c r="A18" i="1" s="1"/>
  <c r="W644" i="1"/>
  <c r="A644" i="1" s="1"/>
  <c r="W798" i="1"/>
  <c r="A798" i="1" s="1"/>
  <c r="W264" i="1"/>
  <c r="A264" i="1" s="1"/>
  <c r="W130" i="1"/>
  <c r="A130" i="1" s="1"/>
  <c r="W570" i="1"/>
  <c r="A570" i="1" s="1"/>
  <c r="W643" i="1"/>
  <c r="A643" i="1" s="1"/>
  <c r="W1253" i="1"/>
  <c r="A1253" i="1" s="1"/>
  <c r="W221" i="1"/>
  <c r="A221" i="1" s="1"/>
  <c r="W177" i="1"/>
  <c r="A177" i="1" s="1"/>
  <c r="W842" i="1"/>
  <c r="A842" i="1" s="1"/>
  <c r="W167" i="1"/>
  <c r="A167" i="1" s="1"/>
  <c r="W996" i="1"/>
  <c r="A996" i="1" s="1"/>
  <c r="W39" i="1"/>
  <c r="A39" i="1" s="1"/>
  <c r="W1042" i="1"/>
  <c r="A1042" i="1" s="1"/>
  <c r="W1371" i="1"/>
  <c r="A1371" i="1" s="1"/>
  <c r="W408" i="1"/>
  <c r="A408" i="1" s="1"/>
  <c r="W1101" i="1"/>
  <c r="A1101" i="1" s="1"/>
  <c r="W1351" i="1"/>
  <c r="A1351" i="1" s="1"/>
  <c r="W1220" i="1"/>
  <c r="A1220" i="1" s="1"/>
  <c r="W1254" i="1"/>
  <c r="A1254" i="1" s="1"/>
  <c r="W1137" i="1"/>
  <c r="A1137" i="1" s="1"/>
  <c r="W1372" i="1"/>
  <c r="A1372" i="1" s="1"/>
  <c r="W111" i="1"/>
  <c r="A111" i="1" s="1"/>
  <c r="W1393" i="1"/>
  <c r="A1393" i="1" s="1"/>
  <c r="W492" i="1"/>
  <c r="A492" i="1" s="1"/>
  <c r="W801" i="1"/>
  <c r="A801" i="1" s="1"/>
  <c r="W841" i="1"/>
  <c r="A841" i="1" s="1"/>
  <c r="W778" i="1"/>
  <c r="A778" i="1" s="1"/>
  <c r="W568" i="1"/>
  <c r="A568" i="1" s="1"/>
  <c r="W724" i="1"/>
  <c r="A724" i="1" s="1"/>
  <c r="W1405" i="1"/>
  <c r="A1405" i="1" s="1"/>
  <c r="W446" i="1"/>
  <c r="A446" i="1" s="1"/>
  <c r="W748" i="1"/>
  <c r="A748" i="1" s="1"/>
  <c r="W746" i="1"/>
  <c r="A746" i="1" s="1"/>
  <c r="W823" i="1"/>
  <c r="A823" i="1" s="1"/>
  <c r="W745" i="1"/>
  <c r="A745" i="1" s="1"/>
  <c r="W40" i="1"/>
  <c r="A40" i="1" s="1"/>
  <c r="W203" i="1"/>
  <c r="A203" i="1" s="1"/>
  <c r="W1086" i="1"/>
  <c r="A1086" i="1" s="1"/>
  <c r="W80" i="1"/>
  <c r="A80" i="1" s="1"/>
  <c r="W168" i="1"/>
  <c r="A168" i="1" s="1"/>
  <c r="W169" i="1"/>
  <c r="A169" i="1" s="1"/>
  <c r="W998" i="1"/>
  <c r="A998" i="1" s="1"/>
  <c r="W873" i="1"/>
  <c r="A873" i="1" s="1"/>
  <c r="W1039" i="1"/>
  <c r="A1039" i="1" s="1"/>
  <c r="W1485" i="1"/>
  <c r="A1485" i="1" s="1"/>
  <c r="W1343" i="1"/>
  <c r="A1343" i="1" s="1"/>
  <c r="W1256" i="1"/>
  <c r="A1256" i="1" s="1"/>
  <c r="W1258" i="1"/>
  <c r="A1258" i="1" s="1"/>
  <c r="W1375" i="1"/>
  <c r="A1375" i="1" s="1"/>
  <c r="W1396" i="1"/>
  <c r="A1396" i="1" s="1"/>
  <c r="W1091" i="1"/>
  <c r="A1091" i="1" s="1"/>
  <c r="W129" i="1"/>
  <c r="A129" i="1" s="1"/>
  <c r="W222" i="1"/>
  <c r="A222" i="1" s="1"/>
  <c r="W1257" i="1"/>
  <c r="A1257" i="1" s="1"/>
  <c r="W1259" i="1"/>
  <c r="A1259" i="1" s="1"/>
  <c r="W843" i="1"/>
  <c r="A843" i="1" s="1"/>
  <c r="W133" i="1"/>
  <c r="A133" i="1" s="1"/>
  <c r="W1374" i="1"/>
  <c r="A1374" i="1" s="1"/>
  <c r="W824" i="1"/>
  <c r="A824" i="1" s="1"/>
  <c r="W603" i="1"/>
  <c r="A603" i="1" s="1"/>
  <c r="W747" i="1"/>
  <c r="A747" i="1" s="1"/>
  <c r="W202" i="1"/>
  <c r="A202" i="1" s="1"/>
  <c r="W527" i="1"/>
  <c r="A527" i="1" s="1"/>
  <c r="W978" i="1"/>
  <c r="A978" i="1" s="1"/>
  <c r="W248" i="1"/>
  <c r="A248" i="1" s="1"/>
  <c r="W672" i="1"/>
  <c r="A672" i="1" s="1"/>
  <c r="W703" i="1"/>
  <c r="A703" i="1" s="1"/>
  <c r="W1090" i="1"/>
  <c r="A1090" i="1" s="1"/>
  <c r="W1087" i="1"/>
  <c r="A1087" i="1" s="1"/>
  <c r="W1089" i="1"/>
  <c r="A1089" i="1" s="1"/>
  <c r="W661" i="1"/>
  <c r="A661" i="1" s="1"/>
  <c r="W872" i="1"/>
  <c r="A872" i="1" s="1"/>
  <c r="W350" i="1"/>
  <c r="A350" i="1" s="1"/>
  <c r="W1398" i="1"/>
  <c r="A1398" i="1" s="1"/>
  <c r="W1397" i="1"/>
  <c r="A1397" i="1" s="1"/>
  <c r="W1352" i="1"/>
  <c r="A1352" i="1" s="1"/>
  <c r="W1104" i="1"/>
  <c r="A1104" i="1" s="1"/>
  <c r="W1269" i="1"/>
  <c r="A1269" i="1" s="1"/>
  <c r="W1153" i="1"/>
  <c r="A1153" i="1" s="1"/>
  <c r="W1373" i="1"/>
  <c r="A1373" i="1" s="1"/>
  <c r="W1237" i="1"/>
  <c r="A1237" i="1" s="1"/>
  <c r="W113" i="1"/>
  <c r="A113" i="1" s="1"/>
  <c r="W1473" i="1"/>
  <c r="A1473" i="1" s="1"/>
  <c r="W977" i="1"/>
  <c r="A977" i="1" s="1"/>
  <c r="W131" i="1"/>
  <c r="A131" i="1" s="1"/>
  <c r="W134" i="1"/>
  <c r="A134" i="1" s="1"/>
  <c r="W1058" i="1"/>
  <c r="A1058" i="1" s="1"/>
  <c r="W1038" i="1"/>
  <c r="A1038" i="1" s="1"/>
  <c r="W601" i="1"/>
  <c r="A601" i="1" s="1"/>
  <c r="W1103" i="1"/>
  <c r="A1103" i="1" s="1"/>
  <c r="W132" i="1"/>
  <c r="A132" i="1" s="1"/>
  <c r="W323" i="1"/>
  <c r="A323" i="1" s="1"/>
  <c r="W1060" i="1"/>
  <c r="A1060" i="1" s="1"/>
  <c r="W673" i="1"/>
  <c r="A673" i="1" s="1"/>
  <c r="W246" i="1"/>
  <c r="A246" i="1" s="1"/>
  <c r="W370" i="1"/>
  <c r="A370" i="1" s="1"/>
  <c r="W674" i="1"/>
  <c r="A674" i="1" s="1"/>
  <c r="W704" i="1"/>
  <c r="A704" i="1" s="1"/>
  <c r="W701" i="1"/>
  <c r="A701" i="1" s="1"/>
  <c r="W528" i="1"/>
  <c r="A528" i="1" s="1"/>
  <c r="W371" i="1"/>
  <c r="A371" i="1" s="1"/>
  <c r="W979" i="1"/>
  <c r="A979" i="1" s="1"/>
  <c r="W749" i="1"/>
  <c r="A749" i="1" s="1"/>
  <c r="W677" i="1"/>
  <c r="A677" i="1" s="1"/>
  <c r="W1088" i="1"/>
  <c r="A1088" i="1" s="1"/>
  <c r="W1059" i="1"/>
  <c r="A1059" i="1" s="1"/>
  <c r="W1025" i="1"/>
  <c r="A1025" i="1" s="1"/>
  <c r="W1023" i="1"/>
  <c r="A1023" i="1" s="1"/>
  <c r="W1024" i="1"/>
  <c r="A1024" i="1" s="1"/>
  <c r="W1026" i="1"/>
  <c r="A1026" i="1" s="1"/>
  <c r="W438" i="1"/>
  <c r="A438" i="1" s="1"/>
  <c r="W437" i="1"/>
  <c r="A437" i="1" s="1"/>
  <c r="W889" i="1"/>
  <c r="A889" i="1" s="1"/>
  <c r="W1027" i="1"/>
  <c r="A1027" i="1" s="1"/>
  <c r="W929" i="1"/>
  <c r="A929" i="1" s="1"/>
  <c r="W1007" i="1"/>
  <c r="A1007" i="1" s="1"/>
  <c r="W1236" i="1"/>
  <c r="W1354" i="1"/>
  <c r="A1354" i="1" s="1"/>
  <c r="W930" i="1"/>
  <c r="A930" i="1" s="1"/>
  <c r="W1010" i="1"/>
  <c r="A1010" i="1" s="1"/>
  <c r="W3" i="1"/>
  <c r="A3" i="1" s="1"/>
  <c r="W874" i="1"/>
  <c r="A874" i="1" s="1"/>
  <c r="W208" i="1"/>
  <c r="A208" i="1" s="1"/>
  <c r="W1041" i="1"/>
  <c r="A1041" i="1" s="1"/>
  <c r="W875" i="1"/>
  <c r="A875" i="1" s="1"/>
  <c r="W410" i="1"/>
  <c r="A410" i="1" s="1"/>
  <c r="W1353" i="1"/>
  <c r="A1353" i="1" s="1"/>
  <c r="W1270" i="1"/>
  <c r="A1270" i="1" s="1"/>
  <c r="W1471" i="1"/>
  <c r="A1471" i="1" s="1"/>
  <c r="W1447" i="1"/>
  <c r="A1447" i="1" s="1"/>
  <c r="W1472" i="1"/>
  <c r="A1472" i="1" s="1"/>
  <c r="W1102" i="1"/>
  <c r="A1102" i="1" s="1"/>
  <c r="W1238" i="1"/>
  <c r="A1238" i="1" s="1"/>
  <c r="W1240" i="1"/>
  <c r="A1240" i="1" s="1"/>
  <c r="W1356" i="1"/>
  <c r="A1356" i="1" s="1"/>
  <c r="W777" i="1"/>
  <c r="A777" i="1" s="1"/>
  <c r="W802" i="1"/>
  <c r="A802" i="1" s="1"/>
  <c r="W844" i="1"/>
  <c r="A844" i="1" s="1"/>
  <c r="W247" i="1"/>
  <c r="A247" i="1" s="1"/>
  <c r="W702" i="1"/>
  <c r="A702" i="1" s="1"/>
  <c r="W725" i="1"/>
  <c r="A725" i="1" s="1"/>
  <c r="W199" i="1"/>
  <c r="A199" i="1" s="1"/>
  <c r="W205" i="1"/>
  <c r="A205" i="1" s="1"/>
  <c r="W906" i="1"/>
  <c r="A906" i="1" s="1"/>
  <c r="W196" i="1"/>
  <c r="A196" i="1" s="1"/>
  <c r="W204" i="1"/>
  <c r="A204" i="1" s="1"/>
  <c r="W980" i="1"/>
  <c r="A980" i="1" s="1"/>
  <c r="W931" i="1"/>
  <c r="A931" i="1" s="1"/>
  <c r="W195" i="1"/>
  <c r="A195" i="1" s="1"/>
  <c r="W896" i="1"/>
  <c r="A896" i="1" s="1"/>
  <c r="W779" i="1"/>
  <c r="A779" i="1" s="1"/>
  <c r="W439" i="1"/>
  <c r="A439" i="1" s="1"/>
  <c r="W390" i="1"/>
  <c r="A390" i="1" s="1"/>
  <c r="W198" i="1"/>
  <c r="A198" i="1" s="1"/>
  <c r="W726" i="1"/>
  <c r="A726" i="1" s="1"/>
  <c r="W781" i="1"/>
  <c r="A781" i="1" s="1"/>
  <c r="W1011" i="1"/>
  <c r="A1011" i="1" s="1"/>
  <c r="W6" i="1"/>
  <c r="A6" i="1" s="1"/>
  <c r="W683" i="1"/>
  <c r="A683" i="1" s="1"/>
  <c r="W493" i="1"/>
  <c r="A493" i="1" s="1"/>
  <c r="W494" i="1"/>
  <c r="A494" i="1" s="1"/>
  <c r="W171" i="1"/>
  <c r="A171" i="1" s="1"/>
  <c r="W1008" i="1"/>
  <c r="A1008" i="1" s="1"/>
  <c r="W2" i="1"/>
  <c r="A2" i="1" s="1"/>
  <c r="W4" i="1"/>
  <c r="A4" i="1" s="1"/>
  <c r="W877" i="1"/>
  <c r="A877" i="1" s="1"/>
  <c r="W876" i="1"/>
  <c r="A876" i="1" s="1"/>
  <c r="W1045" i="1"/>
  <c r="A1045" i="1" s="1"/>
  <c r="W1040" i="1"/>
  <c r="A1040" i="1" s="1"/>
  <c r="W1043" i="1"/>
  <c r="A1043" i="1" s="1"/>
  <c r="W1044" i="1"/>
  <c r="A1044" i="1" s="1"/>
  <c r="W1272" i="1"/>
  <c r="A1272" i="1" s="1"/>
  <c r="W1189" i="1"/>
  <c r="A1189" i="1" s="1"/>
  <c r="W1385" i="1"/>
  <c r="A1385" i="1" s="1"/>
  <c r="W1105" i="1"/>
  <c r="A1105" i="1" s="1"/>
  <c r="W1271" i="1"/>
  <c r="A1271" i="1" s="1"/>
  <c r="W112" i="1"/>
  <c r="A112" i="1" s="1"/>
  <c r="W1474" i="1"/>
  <c r="A1474" i="1" s="1"/>
  <c r="W1255" i="1"/>
  <c r="A1255" i="1" s="1"/>
  <c r="W1120" i="1"/>
  <c r="A1120" i="1" s="1"/>
  <c r="W1516" i="1"/>
  <c r="A1516" i="1" s="1"/>
  <c r="W1204" i="1"/>
  <c r="A1204" i="1" s="1"/>
  <c r="W110" i="1"/>
  <c r="A110" i="1" s="1"/>
  <c r="W1517" i="1"/>
  <c r="A1517" i="1" s="1"/>
  <c r="W954" i="1"/>
  <c r="A954" i="1" s="1"/>
  <c r="W1188" i="1"/>
  <c r="A1188" i="1" s="1"/>
  <c r="W1274" i="1"/>
  <c r="A1274" i="1" s="1"/>
  <c r="W1241" i="1"/>
  <c r="A1241" i="1" s="1"/>
  <c r="W1225" i="1"/>
  <c r="A1225" i="1" s="1"/>
  <c r="W1221" i="1"/>
  <c r="A1221" i="1" s="1"/>
  <c r="W955" i="1"/>
  <c r="A955" i="1" s="1"/>
  <c r="W178" i="1"/>
  <c r="A178" i="1" s="1"/>
  <c r="W845" i="1"/>
  <c r="A845" i="1" s="1"/>
  <c r="W393" i="1"/>
  <c r="A393" i="1" s="1"/>
  <c r="W679" i="1"/>
  <c r="A679" i="1" s="1"/>
  <c r="W529" i="1"/>
  <c r="A529" i="1" s="1"/>
  <c r="W780" i="1"/>
  <c r="A780" i="1" s="1"/>
  <c r="W440" i="1"/>
  <c r="A440" i="1" s="1"/>
  <c r="W1071" i="1"/>
  <c r="A1071" i="1" s="1"/>
  <c r="W79" i="1"/>
  <c r="A79" i="1" s="1"/>
  <c r="W891" i="1"/>
  <c r="A891" i="1" s="1"/>
  <c r="W705" i="1"/>
  <c r="A705" i="1" s="1"/>
  <c r="W180" i="1"/>
  <c r="A180" i="1" s="1"/>
  <c r="W890" i="1"/>
  <c r="A890" i="1" s="1"/>
  <c r="W1070" i="1"/>
  <c r="A1070" i="1" s="1"/>
  <c r="W751" i="1"/>
  <c r="A751" i="1" s="1"/>
  <c r="W391" i="1"/>
  <c r="A391" i="1" s="1"/>
  <c r="W1223" i="1"/>
  <c r="A1223" i="1" s="1"/>
  <c r="W783" i="1"/>
  <c r="A783" i="1" s="1"/>
  <c r="W892" i="1"/>
  <c r="A892" i="1" s="1"/>
  <c r="W389" i="1"/>
  <c r="A389" i="1" s="1"/>
  <c r="W153" i="1"/>
  <c r="A153" i="1" s="1"/>
  <c r="W689" i="1"/>
  <c r="A689" i="1" s="1"/>
  <c r="W531" i="1"/>
  <c r="A531" i="1" s="1"/>
  <c r="W170" i="1"/>
  <c r="A170" i="1" s="1"/>
  <c r="W727" i="1"/>
  <c r="A727" i="1" s="1"/>
  <c r="W684" i="1"/>
  <c r="A684" i="1" s="1"/>
  <c r="W895" i="1"/>
  <c r="A895" i="1" s="1"/>
  <c r="W686" i="1"/>
  <c r="A686" i="1" s="1"/>
  <c r="W496" i="1"/>
  <c r="A496" i="1" s="1"/>
  <c r="W172" i="1"/>
  <c r="A172" i="1" s="1"/>
  <c r="W685" i="1"/>
  <c r="A685" i="1" s="1"/>
  <c r="W894" i="1"/>
  <c r="A894" i="1" s="1"/>
  <c r="W879" i="1"/>
  <c r="A879" i="1" s="1"/>
  <c r="W74" i="1"/>
  <c r="A74" i="1" s="1"/>
  <c r="W1316" i="1"/>
  <c r="A1316" i="1" s="1"/>
  <c r="W1222" i="1"/>
  <c r="A1222" i="1" s="1"/>
  <c r="W1486" i="1"/>
  <c r="A1486" i="1" s="1"/>
  <c r="W1121" i="1"/>
  <c r="A1121" i="1" s="1"/>
  <c r="W1475" i="1"/>
  <c r="A1475" i="1" s="1"/>
  <c r="W1489" i="1"/>
  <c r="A1489" i="1" s="1"/>
  <c r="W1507" i="1"/>
  <c r="A1507" i="1" s="1"/>
  <c r="W415" i="1"/>
  <c r="A415" i="1" s="1"/>
  <c r="W952" i="1"/>
  <c r="A952" i="1" s="1"/>
  <c r="W957" i="1"/>
  <c r="A957" i="1" s="1"/>
  <c r="W1224" i="1"/>
  <c r="A1224" i="1" s="1"/>
  <c r="W411" i="1"/>
  <c r="A411" i="1" s="1"/>
  <c r="W1190" i="1"/>
  <c r="A1190" i="1" s="1"/>
  <c r="W1488" i="1"/>
  <c r="A1488" i="1" s="1"/>
  <c r="W1487" i="1"/>
  <c r="A1487" i="1" s="1"/>
  <c r="W114" i="1"/>
  <c r="A114" i="1" s="1"/>
  <c r="W1191" i="1"/>
  <c r="A1191" i="1" s="1"/>
  <c r="W1273" i="1"/>
  <c r="A1273" i="1" s="1"/>
  <c r="W1122" i="1"/>
  <c r="A1122" i="1" s="1"/>
  <c r="W1106" i="1"/>
  <c r="A1106" i="1" s="1"/>
  <c r="W1239" i="1"/>
  <c r="A1239" i="1" s="1"/>
  <c r="W1518" i="1"/>
  <c r="A1518" i="1" s="1"/>
  <c r="W965" i="1"/>
  <c r="A965" i="1" s="1"/>
  <c r="W135" i="1"/>
  <c r="A135" i="1" s="1"/>
  <c r="W265" i="1"/>
  <c r="A265" i="1" s="1"/>
  <c r="W803" i="1"/>
  <c r="A803" i="1" s="1"/>
  <c r="W372" i="1"/>
  <c r="A372" i="1" s="1"/>
  <c r="W149" i="1"/>
  <c r="A149" i="1" s="1"/>
  <c r="W526" i="1"/>
  <c r="A526" i="1" s="1"/>
  <c r="W173" i="1"/>
  <c r="A173" i="1" s="1"/>
  <c r="W730" i="1"/>
  <c r="A730" i="1" s="1"/>
  <c r="W1075" i="1"/>
  <c r="A1075" i="1" s="1"/>
  <c r="W782" i="1"/>
  <c r="A782" i="1" s="1"/>
  <c r="W784" i="1"/>
  <c r="A784" i="1" s="1"/>
  <c r="W1073" i="1"/>
  <c r="A1073" i="1" s="1"/>
  <c r="W893" i="1"/>
  <c r="A893" i="1" s="1"/>
  <c r="W254" i="1"/>
  <c r="A254" i="1" s="1"/>
  <c r="W606" i="1"/>
  <c r="A606" i="1" s="1"/>
  <c r="W785" i="1"/>
  <c r="A785" i="1" s="1"/>
  <c r="W1093" i="1"/>
  <c r="A1093" i="1" s="1"/>
  <c r="W1028" i="1"/>
  <c r="A1028" i="1" s="1"/>
  <c r="W447" i="1"/>
  <c r="A447" i="1" s="1"/>
  <c r="W729" i="1"/>
  <c r="A729" i="1" s="1"/>
  <c r="W688" i="1"/>
  <c r="A688" i="1" s="1"/>
  <c r="W498" i="1"/>
  <c r="A498" i="1" s="1"/>
  <c r="W605" i="1"/>
  <c r="A605" i="1" s="1"/>
  <c r="W1009" i="1"/>
  <c r="A1009" i="1" s="1"/>
  <c r="W179" i="1"/>
  <c r="A179" i="1" s="1"/>
  <c r="W43" i="1"/>
  <c r="A43" i="1" s="1"/>
  <c r="W687" i="1"/>
  <c r="A687" i="1" s="1"/>
  <c r="W690" i="1"/>
  <c r="A690" i="1" s="1"/>
  <c r="W1012" i="1"/>
  <c r="A1012" i="1" s="1"/>
  <c r="W5" i="1"/>
  <c r="A5" i="1" s="1"/>
  <c r="W194" i="1"/>
  <c r="A194" i="1" s="1"/>
  <c r="W450" i="1"/>
  <c r="A450" i="1" s="1"/>
  <c r="W878" i="1"/>
  <c r="A878" i="1" s="1"/>
  <c r="W1476" i="1"/>
  <c r="A1476" i="1" s="1"/>
  <c r="W1446" i="1"/>
  <c r="A1446" i="1" s="1"/>
  <c r="W409" i="1"/>
  <c r="A409" i="1" s="1"/>
  <c r="W1505" i="1"/>
  <c r="A1505" i="1" s="1"/>
  <c r="W1358" i="1"/>
  <c r="A1358" i="1" s="1"/>
  <c r="W1205" i="1"/>
  <c r="A1205" i="1" s="1"/>
  <c r="W414" i="1"/>
  <c r="A414" i="1" s="1"/>
  <c r="W1355" i="1"/>
  <c r="A1355" i="1" s="1"/>
  <c r="W1504" i="1"/>
  <c r="A1504" i="1" s="1"/>
  <c r="W1502" i="1"/>
  <c r="A1502" i="1" s="1"/>
  <c r="W1242" i="1"/>
  <c r="A1242" i="1" s="1"/>
  <c r="W1171" i="1"/>
  <c r="A1171" i="1" s="1"/>
  <c r="W1501" i="1"/>
  <c r="A1501" i="1" s="1"/>
  <c r="W1444" i="1"/>
  <c r="A1444" i="1" s="1"/>
  <c r="W956" i="1"/>
  <c r="A956" i="1" s="1"/>
  <c r="W1359" i="1"/>
  <c r="A1359" i="1" s="1"/>
  <c r="W1416" i="1"/>
  <c r="A1416" i="1" s="1"/>
  <c r="W1415" i="1"/>
  <c r="A1415" i="1" s="1"/>
  <c r="W1357" i="1"/>
  <c r="A1357" i="1" s="1"/>
  <c r="W953" i="1"/>
  <c r="A953" i="1" s="1"/>
  <c r="W1123" i="1"/>
  <c r="A1123" i="1" s="1"/>
  <c r="W1503" i="1"/>
  <c r="A1503" i="1" s="1"/>
  <c r="W1172" i="1"/>
  <c r="A1172" i="1" s="1"/>
  <c r="W1139" i="1"/>
  <c r="A1139" i="1" s="1"/>
  <c r="W413" i="1"/>
  <c r="A413" i="1" s="1"/>
  <c r="W1275" i="1"/>
  <c r="A1275" i="1" s="1"/>
  <c r="W1445" i="1"/>
  <c r="A1445" i="1" s="1"/>
  <c r="W1140" i="1"/>
  <c r="A1140" i="1" s="1"/>
  <c r="W1037" i="1"/>
  <c r="A1037" i="1" s="1"/>
  <c r="W210" i="1"/>
  <c r="A210" i="1" s="1"/>
  <c r="W448" i="1"/>
  <c r="A448" i="1" s="1"/>
  <c r="W378" i="1"/>
  <c r="A378" i="1" s="1"/>
  <c r="W525" i="1"/>
  <c r="A525" i="1" s="1"/>
  <c r="W206" i="1"/>
  <c r="A206" i="1" s="1"/>
  <c r="W325" i="1"/>
  <c r="A325" i="1" s="1"/>
  <c r="W530" i="1"/>
  <c r="A530" i="1" s="1"/>
  <c r="W750" i="1"/>
  <c r="A750" i="1" s="1"/>
  <c r="W728" i="1"/>
  <c r="A728" i="1" s="1"/>
  <c r="W675" i="1"/>
  <c r="A675" i="1" s="1"/>
  <c r="W374" i="1"/>
  <c r="A374" i="1" s="1"/>
  <c r="W377" i="1"/>
  <c r="A377" i="1" s="1"/>
  <c r="W443" i="1"/>
  <c r="A443" i="1" s="1"/>
  <c r="W154" i="1"/>
  <c r="A154" i="1" s="1"/>
  <c r="W392" i="1"/>
  <c r="A392" i="1" s="1"/>
  <c r="W82" i="1"/>
  <c r="A82" i="1" s="1"/>
  <c r="W1074" i="1"/>
  <c r="A1074" i="1" s="1"/>
  <c r="W253" i="1"/>
  <c r="A253" i="1" s="1"/>
  <c r="W607" i="1"/>
  <c r="A607" i="1" s="1"/>
  <c r="W932" i="1"/>
  <c r="A932" i="1" s="1"/>
  <c r="W182" i="1"/>
  <c r="A182" i="1" s="1"/>
  <c r="W81" i="1"/>
  <c r="A81" i="1" s="1"/>
  <c r="W922" i="1"/>
  <c r="A922" i="1" s="1"/>
  <c r="W1092" i="1"/>
  <c r="A1092" i="1" s="1"/>
  <c r="W152" i="1"/>
  <c r="A152" i="1" s="1"/>
  <c r="W933" i="1"/>
  <c r="A933" i="1" s="1"/>
  <c r="W249" i="1"/>
  <c r="A249" i="1" s="1"/>
  <c r="W250" i="1"/>
  <c r="A250" i="1" s="1"/>
  <c r="W534" i="1"/>
  <c r="A534" i="1" s="1"/>
  <c r="W706" i="1"/>
  <c r="A706" i="1" s="1"/>
  <c r="W441" i="1"/>
  <c r="A441" i="1" s="1"/>
  <c r="W7" i="1"/>
  <c r="A7" i="1" s="1"/>
  <c r="W532" i="1"/>
  <c r="A532" i="1" s="1"/>
  <c r="W292" i="1"/>
  <c r="A292" i="1" s="1"/>
  <c r="W303" i="1"/>
  <c r="A303" i="1" s="1"/>
  <c r="W662" i="1"/>
  <c r="A662" i="1" s="1"/>
  <c r="W880" i="1"/>
  <c r="A880" i="1" s="1"/>
  <c r="W1124" i="1"/>
  <c r="A1124" i="1" s="1"/>
  <c r="W412" i="1"/>
  <c r="A412" i="1" s="1"/>
  <c r="W1119" i="1"/>
  <c r="A1119" i="1" s="1"/>
  <c r="W1125" i="1"/>
  <c r="A1125" i="1" s="1"/>
  <c r="W1490" i="1"/>
  <c r="A1490" i="1" s="1"/>
  <c r="W1174" i="1"/>
  <c r="A1174" i="1" s="1"/>
  <c r="W1203" i="1"/>
  <c r="A1203" i="1" s="1"/>
  <c r="W115" i="1"/>
  <c r="A115" i="1" s="1"/>
  <c r="W1533" i="1"/>
  <c r="A1533" i="1" s="1"/>
  <c r="W1141" i="1"/>
  <c r="A1141" i="1" s="1"/>
  <c r="W1192" i="1"/>
  <c r="A1192" i="1" s="1"/>
  <c r="W1390" i="1"/>
  <c r="A1390" i="1" s="1"/>
  <c r="W416" i="1"/>
  <c r="A416" i="1" s="1"/>
  <c r="W1443" i="1"/>
  <c r="A1443" i="1" s="1"/>
  <c r="W966" i="1"/>
  <c r="A966" i="1" s="1"/>
  <c r="W934" i="1"/>
  <c r="A934" i="1" s="1"/>
  <c r="W449" i="1"/>
  <c r="A449" i="1" s="1"/>
  <c r="W825" i="1"/>
  <c r="A825" i="1" s="1"/>
  <c r="W373" i="1"/>
  <c r="A373" i="1" s="1"/>
  <c r="W419" i="1"/>
  <c r="A419" i="1" s="1"/>
  <c r="W181" i="1"/>
  <c r="A181" i="1" s="1"/>
  <c r="W1072" i="1"/>
  <c r="A1072" i="1" s="1"/>
  <c r="W209" i="1"/>
  <c r="A209" i="1" s="1"/>
  <c r="W908" i="1"/>
  <c r="A908" i="1" s="1"/>
  <c r="W423" i="1"/>
  <c r="A423" i="1" s="1"/>
  <c r="W676" i="1"/>
  <c r="A676" i="1" s="1"/>
  <c r="W207" i="1"/>
  <c r="A207" i="1" s="1"/>
  <c r="W308" i="1"/>
  <c r="A308" i="1" s="1"/>
  <c r="W444" i="1"/>
  <c r="A444" i="1" s="1"/>
  <c r="W707" i="1"/>
  <c r="A707" i="1" s="1"/>
  <c r="W499" i="1"/>
  <c r="A499" i="1" s="1"/>
  <c r="W1173" i="1"/>
  <c r="A1173" i="1" s="1"/>
  <c r="W150" i="1"/>
  <c r="A150" i="1" s="1"/>
  <c r="W151" i="1"/>
  <c r="A151" i="1" s="1"/>
  <c r="W421" i="1"/>
  <c r="A421" i="1" s="1"/>
  <c r="W732" i="1"/>
  <c r="A732" i="1" s="1"/>
  <c r="W8" i="1"/>
  <c r="A8" i="1" s="1"/>
  <c r="W324" i="1"/>
  <c r="A324" i="1" s="1"/>
  <c r="W897" i="1"/>
  <c r="A897" i="1" s="1"/>
  <c r="W376" i="1"/>
  <c r="A376" i="1" s="1"/>
  <c r="W200" i="1"/>
  <c r="A200" i="1" s="1"/>
  <c r="W45" i="1"/>
  <c r="A45" i="1" s="1"/>
  <c r="W668" i="1"/>
  <c r="A668" i="1" s="1"/>
  <c r="W495" i="1"/>
  <c r="A495" i="1" s="1"/>
  <c r="W963" i="1"/>
  <c r="A963" i="1" s="1"/>
  <c r="W41" i="1"/>
  <c r="A41" i="1" s="1"/>
  <c r="W709" i="1"/>
  <c r="A709" i="1" s="1"/>
  <c r="W501" i="1"/>
  <c r="A501" i="1" s="1"/>
  <c r="W502" i="1"/>
  <c r="A502" i="1" s="1"/>
  <c r="W964" i="1"/>
  <c r="A964" i="1" s="1"/>
  <c r="W909" i="1"/>
  <c r="A909" i="1" s="1"/>
  <c r="W197" i="1"/>
  <c r="A197" i="1" s="1"/>
  <c r="W1477" i="1"/>
  <c r="A1477" i="1" s="1"/>
  <c r="W1142" i="1"/>
  <c r="A1142" i="1" s="1"/>
  <c r="W1534" i="1"/>
  <c r="A1534" i="1" s="1"/>
  <c r="W1457" i="1"/>
  <c r="A1457" i="1" s="1"/>
  <c r="W1156" i="1"/>
  <c r="A1156" i="1" s="1"/>
  <c r="W1387" i="1"/>
  <c r="A1387" i="1" s="1"/>
  <c r="W1175" i="1"/>
  <c r="A1175" i="1" s="1"/>
  <c r="W1388" i="1"/>
  <c r="A1388" i="1" s="1"/>
  <c r="W1276" i="1"/>
  <c r="A1276" i="1" s="1"/>
  <c r="W958" i="1"/>
  <c r="A958" i="1" s="1"/>
  <c r="W1277" i="1"/>
  <c r="A1277" i="1" s="1"/>
  <c r="W1207" i="1"/>
  <c r="A1207" i="1" s="1"/>
  <c r="W1389" i="1"/>
  <c r="A1389" i="1" s="1"/>
  <c r="W1157" i="1"/>
  <c r="A1157" i="1" s="1"/>
  <c r="W1384" i="1"/>
  <c r="A1384" i="1" s="1"/>
  <c r="W1406" i="1"/>
  <c r="A1406" i="1" s="1"/>
  <c r="W826" i="1"/>
  <c r="A826" i="1" s="1"/>
  <c r="W678" i="1"/>
  <c r="A678" i="1" s="1"/>
  <c r="W417" i="1"/>
  <c r="A417" i="1" s="1"/>
  <c r="W418" i="1"/>
  <c r="A418" i="1" s="1"/>
  <c r="W497" i="1"/>
  <c r="A497" i="1" s="1"/>
  <c r="W375" i="1"/>
  <c r="A375" i="1" s="1"/>
  <c r="W680" i="1"/>
  <c r="A680" i="1" s="1"/>
  <c r="W907" i="1"/>
  <c r="A907" i="1" s="1"/>
  <c r="W1013" i="1"/>
  <c r="A1013" i="1" s="1"/>
  <c r="W935" i="1"/>
  <c r="A935" i="1" s="1"/>
  <c r="W500" i="1"/>
  <c r="A500" i="1" s="1"/>
  <c r="W288" i="1"/>
  <c r="A288" i="1" s="1"/>
  <c r="W201" i="1"/>
  <c r="A201" i="1" s="1"/>
  <c r="W731" i="1"/>
  <c r="A731" i="1" s="1"/>
  <c r="W252" i="1"/>
  <c r="A252" i="1" s="1"/>
  <c r="W1460" i="1"/>
  <c r="A1460" i="1" s="1"/>
  <c r="W1206" i="1"/>
  <c r="A1206" i="1" s="1"/>
  <c r="W42" i="1"/>
  <c r="A42" i="1" s="1"/>
  <c r="W924" i="1"/>
  <c r="A924" i="1" s="1"/>
  <c r="W805" i="1"/>
  <c r="A805" i="1" s="1"/>
  <c r="W609" i="1"/>
  <c r="A609" i="1" s="1"/>
  <c r="W608" i="1"/>
  <c r="A608" i="1" s="1"/>
  <c r="W962" i="1"/>
  <c r="A962" i="1" s="1"/>
  <c r="W1155" i="1"/>
  <c r="A1155" i="1" s="1"/>
  <c r="W121" i="1"/>
  <c r="A121" i="1" s="1"/>
  <c r="W304" i="1"/>
  <c r="A304" i="1" s="1"/>
  <c r="W119" i="1"/>
  <c r="A119" i="1" s="1"/>
  <c r="W120" i="1"/>
  <c r="A120" i="1" s="1"/>
  <c r="W224" i="1"/>
  <c r="A224" i="1" s="1"/>
  <c r="W1506" i="1"/>
  <c r="A1506" i="1" s="1"/>
  <c r="W1520" i="1"/>
  <c r="A1520" i="1" s="1"/>
  <c r="W1154" i="1"/>
  <c r="A1154" i="1" s="1"/>
  <c r="W1210" i="1"/>
  <c r="A1210" i="1" s="1"/>
  <c r="W1158" i="1"/>
  <c r="A1158" i="1" s="1"/>
  <c r="W1442" i="1"/>
  <c r="A1442" i="1" s="1"/>
  <c r="W1208" i="1"/>
  <c r="A1208" i="1" s="1"/>
  <c r="W1414" i="1"/>
  <c r="A1414" i="1" s="1"/>
  <c r="W1144" i="1"/>
  <c r="A1144" i="1" s="1"/>
  <c r="W287" i="1"/>
  <c r="A287" i="1" s="1"/>
  <c r="W1161" i="1"/>
  <c r="A1161" i="1" s="1"/>
  <c r="W1536" i="1"/>
  <c r="A1536" i="1" s="1"/>
  <c r="W1143" i="1"/>
  <c r="A1143" i="1" s="1"/>
  <c r="W1429" i="1"/>
  <c r="A1429" i="1" s="1"/>
  <c r="W328" i="1"/>
  <c r="A328" i="1" s="1"/>
  <c r="W604" i="1"/>
  <c r="A604" i="1" s="1"/>
  <c r="W322" i="1"/>
  <c r="A322" i="1" s="1"/>
  <c r="W911" i="1"/>
  <c r="A911" i="1" s="1"/>
  <c r="W251" i="1"/>
  <c r="A251" i="1" s="1"/>
  <c r="W665" i="1"/>
  <c r="A665" i="1" s="1"/>
  <c r="W708" i="1"/>
  <c r="A708" i="1" s="1"/>
  <c r="W918" i="1"/>
  <c r="A918" i="1" s="1"/>
  <c r="W286" i="1"/>
  <c r="A286" i="1" s="1"/>
  <c r="W981" i="1"/>
  <c r="A981" i="1" s="1"/>
  <c r="W1061" i="1"/>
  <c r="A1061" i="1" s="1"/>
  <c r="W422" i="1"/>
  <c r="A422" i="1" s="1"/>
  <c r="W395" i="1"/>
  <c r="A395" i="1" s="1"/>
  <c r="W927" i="1"/>
  <c r="A927" i="1" s="1"/>
  <c r="W275" i="1"/>
  <c r="A275" i="1" s="1"/>
  <c r="W284" i="1"/>
  <c r="A284" i="1" s="1"/>
  <c r="W327" i="1"/>
  <c r="A327" i="1" s="1"/>
  <c r="W307" i="1"/>
  <c r="A307" i="1" s="1"/>
  <c r="W290" i="1"/>
  <c r="A290" i="1" s="1"/>
  <c r="W44" i="1"/>
  <c r="A44" i="1" s="1"/>
  <c r="W667" i="1"/>
  <c r="A667" i="1" s="1"/>
  <c r="W669" i="1"/>
  <c r="A669" i="1" s="1"/>
  <c r="W1458" i="1"/>
  <c r="A1458" i="1" s="1"/>
  <c r="W452" i="1"/>
  <c r="A452" i="1" s="1"/>
  <c r="W663" i="1"/>
  <c r="A663" i="1" s="1"/>
  <c r="W666" i="1"/>
  <c r="A666" i="1" s="1"/>
  <c r="W926" i="1"/>
  <c r="A926" i="1" s="1"/>
  <c r="W122" i="1"/>
  <c r="A122" i="1" s="1"/>
  <c r="W1160" i="1"/>
  <c r="A1160" i="1" s="1"/>
  <c r="W226" i="1"/>
  <c r="A226" i="1" s="1"/>
  <c r="W225" i="1"/>
  <c r="A225" i="1" s="1"/>
  <c r="W228" i="1"/>
  <c r="A228" i="1" s="1"/>
  <c r="W116" i="1"/>
  <c r="A116" i="1" s="1"/>
  <c r="W1535" i="1"/>
  <c r="A1535" i="1" s="1"/>
  <c r="W291" i="1"/>
  <c r="A291" i="1" s="1"/>
  <c r="W1386" i="1"/>
  <c r="A1386" i="1" s="1"/>
  <c r="W1209" i="1"/>
  <c r="A1209" i="1" s="1"/>
  <c r="W1478" i="1"/>
  <c r="A1478" i="1" s="1"/>
  <c r="W1537" i="1"/>
  <c r="A1537" i="1" s="1"/>
  <c r="W1519" i="1"/>
  <c r="A1519" i="1" s="1"/>
  <c r="W1226" i="1"/>
  <c r="A1226" i="1" s="1"/>
  <c r="W1461" i="1"/>
  <c r="A1461" i="1" s="1"/>
  <c r="W285" i="1"/>
  <c r="A285" i="1" s="1"/>
  <c r="W917" i="1"/>
  <c r="A917" i="1" s="1"/>
  <c r="W920" i="1"/>
  <c r="A920" i="1" s="1"/>
  <c r="W289" i="1"/>
  <c r="A289" i="1" s="1"/>
  <c r="W305" i="1"/>
  <c r="A305" i="1" s="1"/>
  <c r="W913" i="1"/>
  <c r="A913" i="1" s="1"/>
  <c r="W533" i="1"/>
  <c r="A533" i="1" s="1"/>
  <c r="W351" i="1"/>
  <c r="A351" i="1" s="1"/>
  <c r="W915" i="1"/>
  <c r="A915" i="1" s="1"/>
  <c r="W394" i="1"/>
  <c r="A394" i="1" s="1"/>
  <c r="W329" i="1"/>
  <c r="A329" i="1" s="1"/>
  <c r="W326" i="1"/>
  <c r="A326" i="1" s="1"/>
  <c r="W664" i="1"/>
  <c r="A664" i="1" s="1"/>
  <c r="W451" i="1"/>
  <c r="A451" i="1" s="1"/>
  <c r="W442" i="1"/>
  <c r="A442" i="1" s="1"/>
  <c r="W762" i="1"/>
  <c r="A762" i="1" s="1"/>
  <c r="W294" i="1"/>
  <c r="A294" i="1" s="1"/>
  <c r="W274" i="1"/>
  <c r="A274" i="1" s="1"/>
  <c r="W352" i="1"/>
  <c r="A352" i="1" s="1"/>
  <c r="W229" i="1"/>
  <c r="A229" i="1" s="1"/>
  <c r="W910" i="1"/>
  <c r="A910" i="1" s="1"/>
  <c r="W786" i="1"/>
  <c r="A786" i="1" s="1"/>
  <c r="W1459" i="1"/>
  <c r="A1459" i="1" s="1"/>
  <c r="W123" i="1"/>
  <c r="A123" i="1" s="1"/>
  <c r="W126" i="1"/>
  <c r="A126" i="1" s="1"/>
  <c r="W733" i="1"/>
  <c r="A733" i="1" s="1"/>
  <c r="W648" i="1"/>
  <c r="A648" i="1" s="1"/>
  <c r="W827" i="1"/>
  <c r="A827" i="1" s="1"/>
  <c r="W807" i="1"/>
  <c r="A807" i="1" s="1"/>
  <c r="W453" i="1"/>
  <c r="A453" i="1" s="1"/>
  <c r="W425" i="1"/>
  <c r="A425" i="1" s="1"/>
  <c r="W912" i="1"/>
  <c r="A912" i="1" s="1"/>
  <c r="W1159" i="1"/>
  <c r="A1159" i="1" s="1"/>
  <c r="W426" i="1"/>
  <c r="A426" i="1" s="1"/>
  <c r="W227" i="1"/>
  <c r="A227" i="1" s="1"/>
  <c r="W645" i="1"/>
  <c r="A645" i="1" s="1"/>
  <c r="W647" i="1"/>
  <c r="A647" i="1" s="1"/>
  <c r="W1433" i="1"/>
  <c r="A1433" i="1" s="1"/>
  <c r="W1508" i="1"/>
  <c r="A1508" i="1" s="1"/>
  <c r="W1463" i="1"/>
  <c r="A1463" i="1" s="1"/>
  <c r="W1462" i="1"/>
  <c r="A1462" i="1" s="1"/>
  <c r="W1491" i="1"/>
  <c r="A1491" i="1" s="1"/>
  <c r="W967" i="1"/>
  <c r="A967" i="1" s="1"/>
  <c r="W9" i="1"/>
  <c r="A9" i="1" s="1"/>
  <c r="W331" i="1"/>
  <c r="A331" i="1" s="1"/>
  <c r="W174" i="1"/>
  <c r="A174" i="1" s="1"/>
  <c r="W761" i="1"/>
  <c r="A761" i="1" s="1"/>
  <c r="W919" i="1"/>
  <c r="A919" i="1" s="1"/>
  <c r="W925" i="1"/>
  <c r="A925" i="1" s="1"/>
  <c r="W293" i="1"/>
  <c r="A293" i="1" s="1"/>
  <c r="W711" i="1"/>
  <c r="A711" i="1" s="1"/>
  <c r="W125" i="1"/>
  <c r="A125" i="1" s="1"/>
  <c r="W330" i="1"/>
  <c r="A330" i="1" s="1"/>
  <c r="W1538" i="1"/>
  <c r="A1538" i="1" s="1"/>
  <c r="W124" i="1"/>
  <c r="A124" i="1" s="1"/>
  <c r="W914" i="1"/>
  <c r="A914" i="1" s="1"/>
  <c r="W670" i="1"/>
  <c r="A670" i="1" s="1"/>
  <c r="W809" i="1"/>
  <c r="A809" i="1" s="1"/>
  <c r="W610" i="1"/>
  <c r="A610" i="1" s="1"/>
  <c r="W808" i="1"/>
  <c r="A808" i="1" s="1"/>
  <c r="W735" i="1"/>
  <c r="A735" i="1" s="1"/>
  <c r="W612" i="1"/>
  <c r="A612" i="1" s="1"/>
  <c r="W613" i="1"/>
  <c r="A613" i="1" s="1"/>
  <c r="W230" i="1"/>
  <c r="A230" i="1" s="1"/>
  <c r="W646" i="1"/>
  <c r="A646" i="1" s="1"/>
  <c r="W651" i="1"/>
  <c r="A651" i="1" s="1"/>
  <c r="W710" i="1"/>
  <c r="A710" i="1" s="1"/>
  <c r="W117" i="1"/>
  <c r="A117" i="1" s="1"/>
  <c r="W1417" i="1"/>
  <c r="A1417" i="1" s="1"/>
  <c r="W1521" i="1"/>
  <c r="A1521" i="1" s="1"/>
  <c r="W1431" i="1"/>
  <c r="A1431" i="1" s="1"/>
  <c r="W1434" i="1"/>
  <c r="A1434" i="1" s="1"/>
  <c r="W1195" i="1"/>
  <c r="A1195" i="1" s="1"/>
  <c r="W921" i="1"/>
  <c r="A921" i="1" s="1"/>
  <c r="W982" i="1"/>
  <c r="A982" i="1" s="1"/>
  <c r="W155" i="1"/>
  <c r="A155" i="1" s="1"/>
  <c r="W611" i="1"/>
  <c r="A611" i="1" s="1"/>
  <c r="W306" i="1"/>
  <c r="A306" i="1" s="1"/>
  <c r="W959" i="1"/>
  <c r="A959" i="1" s="1"/>
  <c r="W445" i="1"/>
  <c r="A445" i="1" s="1"/>
  <c r="W829" i="1"/>
  <c r="A829" i="1" s="1"/>
  <c r="W310" i="1"/>
  <c r="A310" i="1" s="1"/>
  <c r="W828" i="1"/>
  <c r="A828" i="1" s="1"/>
  <c r="W255" i="1"/>
  <c r="A255" i="1" s="1"/>
  <c r="W806" i="1"/>
  <c r="A806" i="1" s="1"/>
  <c r="W355" i="1"/>
  <c r="A355" i="1" s="1"/>
  <c r="W923" i="1"/>
  <c r="A923" i="1" s="1"/>
  <c r="W309" i="1"/>
  <c r="A309" i="1" s="1"/>
  <c r="W650" i="1"/>
  <c r="A650" i="1" s="1"/>
  <c r="W649" i="1"/>
  <c r="A649" i="1" s="1"/>
  <c r="W1211" i="1"/>
  <c r="A1211" i="1" s="1"/>
  <c r="W1126" i="1"/>
  <c r="A1126" i="1" s="1"/>
  <c r="W1194" i="1"/>
  <c r="A1194" i="1" s="1"/>
  <c r="W1448" i="1"/>
  <c r="A1448" i="1" s="1"/>
  <c r="W1432" i="1"/>
  <c r="A1432" i="1" s="1"/>
  <c r="W353" i="1"/>
  <c r="A353" i="1" s="1"/>
  <c r="W1077" i="1"/>
  <c r="A1077" i="1" s="1"/>
  <c r="W1419" i="1"/>
  <c r="A1419" i="1" s="1"/>
  <c r="W356" i="1"/>
  <c r="A356" i="1" s="1"/>
  <c r="W311" i="1"/>
  <c r="A311" i="1" s="1"/>
  <c r="W1522" i="1"/>
  <c r="A1522" i="1" s="1"/>
  <c r="W555" i="1"/>
  <c r="A555" i="1" s="1"/>
  <c r="W1430" i="1"/>
  <c r="A1430" i="1" s="1"/>
  <c r="W1539" i="1"/>
  <c r="A1539" i="1" s="1"/>
  <c r="W1540" i="1"/>
  <c r="A1540" i="1" s="1"/>
  <c r="W1076" i="1"/>
  <c r="A1076" i="1" s="1"/>
  <c r="W936" i="1"/>
  <c r="A936" i="1" s="1"/>
  <c r="W681" i="1"/>
  <c r="A681" i="1" s="1"/>
  <c r="W916" i="1"/>
  <c r="A916" i="1" s="1"/>
  <c r="W615" i="1"/>
  <c r="A615" i="1" s="1"/>
  <c r="W614" i="1"/>
  <c r="A614" i="1" s="1"/>
  <c r="W652" i="1"/>
  <c r="A652" i="1" s="1"/>
  <c r="W671" i="1"/>
  <c r="A671" i="1" s="1"/>
  <c r="W127" i="1"/>
  <c r="A127" i="1" s="1"/>
  <c r="W278" i="1"/>
  <c r="A278" i="1" s="1"/>
  <c r="W554" i="1"/>
  <c r="A554" i="1" s="1"/>
  <c r="W231" i="1"/>
  <c r="A231" i="1" s="1"/>
  <c r="W1193" i="1"/>
  <c r="A1193" i="1" s="1"/>
  <c r="W1176" i="1"/>
  <c r="A1176" i="1" s="1"/>
  <c r="W1177" i="1"/>
  <c r="A1177" i="1" s="1"/>
  <c r="W1523" i="1"/>
  <c r="A1523" i="1" s="1"/>
  <c r="W1413" i="1"/>
  <c r="A1413" i="1" s="1"/>
  <c r="W136" i="1"/>
  <c r="A136" i="1" s="1"/>
  <c r="W276" i="1"/>
  <c r="A276" i="1" s="1"/>
  <c r="W830" i="1"/>
  <c r="A830" i="1" s="1"/>
  <c r="W354" i="1"/>
  <c r="A354" i="1" s="1"/>
  <c r="W357" i="1"/>
  <c r="A357" i="1" s="1"/>
  <c r="W1421" i="1"/>
  <c r="A1421" i="1" s="1"/>
  <c r="W734" i="1"/>
  <c r="A734" i="1" s="1"/>
  <c r="W277" i="1"/>
  <c r="A277" i="1" s="1"/>
  <c r="W556" i="1"/>
  <c r="A556" i="1" s="1"/>
  <c r="W1170" i="1"/>
  <c r="A1170" i="1" s="1"/>
  <c r="W1541" i="1"/>
  <c r="A1541" i="1" s="1"/>
  <c r="W183" i="1"/>
  <c r="A183" i="1" s="1"/>
  <c r="W682" i="1"/>
  <c r="A682" i="1" s="1"/>
  <c r="W137" i="1"/>
  <c r="A137" i="1" s="1"/>
  <c r="W157" i="1"/>
  <c r="A157" i="1" s="1"/>
  <c r="W629" i="1"/>
  <c r="A629" i="1" s="1"/>
  <c r="W1449" i="1"/>
  <c r="A1449" i="1" s="1"/>
  <c r="W1492" i="1"/>
  <c r="A1492" i="1" s="1"/>
  <c r="W211" i="1"/>
  <c r="A211" i="1" s="1"/>
  <c r="W804" i="1"/>
  <c r="A804" i="1" s="1"/>
  <c r="W1407" i="1"/>
  <c r="A1407" i="1" s="1"/>
  <c r="W313" i="1"/>
  <c r="A313" i="1" s="1"/>
  <c r="W156" i="1"/>
  <c r="A156" i="1" s="1"/>
  <c r="W280" i="1"/>
  <c r="A280" i="1" s="1"/>
  <c r="W766" i="1"/>
  <c r="A766" i="1" s="1"/>
  <c r="W233" i="1"/>
  <c r="A233" i="1" s="1"/>
  <c r="W632" i="1"/>
  <c r="A632" i="1" s="1"/>
  <c r="W1418" i="1"/>
  <c r="A1418" i="1" s="1"/>
  <c r="W1243" i="1"/>
  <c r="A1243" i="1" s="1"/>
  <c r="W396" i="1"/>
  <c r="A396" i="1" s="1"/>
  <c r="W46" i="1"/>
  <c r="A46" i="1" s="1"/>
  <c r="W630" i="1"/>
  <c r="A630" i="1" s="1"/>
  <c r="W234" i="1"/>
  <c r="A234" i="1" s="1"/>
  <c r="W235" i="1"/>
  <c r="A235" i="1" s="1"/>
  <c r="W811" i="1"/>
  <c r="A811" i="1" s="1"/>
  <c r="W812" i="1"/>
  <c r="A812" i="1" s="1"/>
  <c r="W557" i="1"/>
  <c r="A557" i="1" s="1"/>
  <c r="W767" i="1"/>
  <c r="A767" i="1" s="1"/>
  <c r="W281" i="1"/>
  <c r="A281" i="1" s="1"/>
  <c r="W760" i="1"/>
  <c r="A760" i="1" s="1"/>
  <c r="W763" i="1"/>
  <c r="A763" i="1" s="1"/>
  <c r="W560" i="1"/>
  <c r="A560" i="1" s="1"/>
  <c r="W628" i="1"/>
  <c r="A628" i="1" s="1"/>
  <c r="W558" i="1"/>
  <c r="A558" i="1" s="1"/>
  <c r="W1420" i="1"/>
  <c r="A1420" i="1" s="1"/>
  <c r="W1493" i="1"/>
  <c r="A1493" i="1" s="1"/>
  <c r="W787" i="1"/>
  <c r="A787" i="1" s="1"/>
  <c r="W752" i="1"/>
  <c r="A752" i="1" s="1"/>
  <c r="W1029" i="1"/>
  <c r="A1029" i="1" s="1"/>
  <c r="W312" i="1"/>
  <c r="A312" i="1" s="1"/>
  <c r="W583" i="1"/>
  <c r="A583" i="1" s="1"/>
  <c r="W810" i="1"/>
  <c r="A810" i="1" s="1"/>
  <c r="W561" i="1"/>
  <c r="A561" i="1" s="1"/>
  <c r="W256" i="1"/>
  <c r="A256" i="1" s="1"/>
  <c r="W232" i="1"/>
  <c r="A232" i="1" s="1"/>
  <c r="W764" i="1"/>
  <c r="A764" i="1" s="1"/>
  <c r="W559" i="1"/>
  <c r="A559" i="1" s="1"/>
  <c r="W358" i="1"/>
  <c r="A358" i="1" s="1"/>
  <c r="W1006" i="1"/>
  <c r="A1006" i="1" s="1"/>
  <c r="W765" i="1"/>
  <c r="A765" i="1" s="1"/>
  <c r="W585" i="1"/>
  <c r="A585" i="1" s="1"/>
  <c r="W562" i="1"/>
  <c r="A562" i="1" s="1"/>
  <c r="W1260" i="1"/>
  <c r="A1260" i="1" s="1"/>
  <c r="W503" i="1"/>
  <c r="A503" i="1" s="1"/>
  <c r="W631" i="1"/>
  <c r="A631" i="1" s="1"/>
  <c r="W768" i="1"/>
  <c r="A768" i="1" s="1"/>
  <c r="W633" i="1"/>
  <c r="A633" i="1" s="1"/>
  <c r="W128" i="1"/>
  <c r="A128" i="1" s="1"/>
  <c r="W359" i="1"/>
  <c r="A359" i="1" s="1"/>
  <c r="W1334" i="1"/>
  <c r="A1334" i="1" s="1"/>
  <c r="W1325" i="1"/>
  <c r="A1325" i="1" s="1"/>
  <c r="W813" i="1"/>
  <c r="A813" i="1" s="1"/>
  <c r="W138" i="1"/>
  <c r="A138" i="1" s="1"/>
  <c r="W1046" i="1"/>
  <c r="A1046" i="1" s="1"/>
  <c r="W1524" i="1"/>
  <c r="A1524" i="1" s="1"/>
  <c r="W1014" i="1"/>
  <c r="A1014" i="1" s="1"/>
  <c r="W928" i="1"/>
  <c r="A928" i="1" s="1"/>
  <c r="W587" i="1"/>
  <c r="A587" i="1" s="1"/>
  <c r="W1178" i="1"/>
  <c r="A1178" i="1" s="1"/>
  <c r="W769" i="1"/>
  <c r="A769" i="1" s="1"/>
  <c r="W584" i="1"/>
  <c r="A584" i="1" s="1"/>
  <c r="W283" i="1"/>
  <c r="A283" i="1" s="1"/>
  <c r="W814" i="1"/>
  <c r="A814" i="1" s="1"/>
  <c r="W282" i="1"/>
  <c r="A282" i="1" s="1"/>
  <c r="W1227" i="1"/>
  <c r="A1227" i="1" s="1"/>
  <c r="W586" i="1"/>
  <c r="A586" i="1" s="1"/>
  <c r="W634" i="1"/>
  <c r="A634" i="1" s="1"/>
  <c r="W1391" i="1"/>
  <c r="A1391" i="1" s="1"/>
  <c r="W616" i="1"/>
  <c r="A616" i="1" s="1"/>
  <c r="W588" i="1"/>
  <c r="A588" i="1" s="1"/>
  <c r="W1030" i="1"/>
  <c r="A1030" i="1" s="1"/>
  <c r="W589" i="1"/>
  <c r="A589" i="1" s="1"/>
  <c r="W1127" i="1"/>
  <c r="A1127" i="1" s="1"/>
  <c r="W983" i="1"/>
  <c r="A983" i="1" s="1"/>
  <c r="W590" i="1"/>
  <c r="A590" i="1" s="1"/>
  <c r="W1435" i="1"/>
  <c r="A1435" i="1" s="1"/>
  <c r="W482" i="1"/>
  <c r="A482" i="1" s="1"/>
  <c r="W488" i="1"/>
  <c r="A488" i="1" s="1"/>
  <c r="W142" i="1"/>
  <c r="A142" i="1" s="1"/>
  <c r="W1246" i="1"/>
  <c r="A1246" i="1" s="1"/>
  <c r="W143" i="1"/>
  <c r="A143" i="1" s="1"/>
  <c r="W456" i="1"/>
  <c r="A456" i="1" s="1"/>
  <c r="W96" i="1"/>
  <c r="A96" i="1" s="1"/>
  <c r="W193" i="1"/>
  <c r="A193" i="1" s="1"/>
  <c r="W420" i="1"/>
  <c r="A420" i="1" s="1"/>
  <c r="W846" i="1"/>
  <c r="A846" i="1" s="1"/>
  <c r="W424" i="1"/>
  <c r="A424" i="1" s="1"/>
  <c r="W847" i="1"/>
  <c r="A847" i="1" s="1"/>
  <c r="W279" i="1"/>
  <c r="A279" i="1" s="1"/>
  <c r="L94" i="1"/>
  <c r="N94" i="1" s="1"/>
  <c r="L99" i="1"/>
  <c r="N99" i="1" s="1"/>
  <c r="L92" i="1"/>
  <c r="N92" i="1" s="1"/>
  <c r="L93" i="1"/>
  <c r="N93" i="1" s="1"/>
  <c r="L352" i="1"/>
  <c r="N352" i="1" s="1"/>
  <c r="L373" i="1"/>
  <c r="N373" i="1" s="1"/>
  <c r="L365" i="1"/>
  <c r="N365" i="1" s="1"/>
  <c r="L360" i="1"/>
  <c r="N360" i="1" s="1"/>
  <c r="L380" i="1"/>
  <c r="N380" i="1" s="1"/>
  <c r="L355" i="1"/>
  <c r="N355" i="1" s="1"/>
  <c r="L381" i="1"/>
  <c r="N381" i="1" s="1"/>
  <c r="L374" i="1"/>
  <c r="N374" i="1" s="1"/>
  <c r="L385" i="1"/>
  <c r="N385" i="1" s="1"/>
  <c r="L367" i="1"/>
  <c r="N367" i="1" s="1"/>
  <c r="L386" i="1"/>
  <c r="N386" i="1" s="1"/>
  <c r="L353" i="1"/>
  <c r="N353" i="1" s="1"/>
  <c r="L377" i="1"/>
  <c r="N377" i="1" s="1"/>
  <c r="L358" i="1"/>
  <c r="N358" i="1" s="1"/>
  <c r="L366" i="1"/>
  <c r="N366" i="1" s="1"/>
  <c r="L356" i="1"/>
  <c r="N356" i="1" s="1"/>
  <c r="L351" i="1"/>
  <c r="N351" i="1" s="1"/>
  <c r="L382" i="1"/>
  <c r="N382" i="1" s="1"/>
  <c r="L361" i="1"/>
  <c r="N361" i="1" s="1"/>
  <c r="L354" i="1"/>
  <c r="N354" i="1" s="1"/>
  <c r="L357" i="1"/>
  <c r="N357" i="1" s="1"/>
  <c r="L378" i="1"/>
  <c r="N378" i="1" s="1"/>
  <c r="L369" i="1"/>
  <c r="N369" i="1" s="1"/>
  <c r="L362" i="1"/>
  <c r="N362" i="1" s="1"/>
  <c r="L375" i="1"/>
  <c r="N375" i="1" s="1"/>
  <c r="L376" i="1"/>
  <c r="N376" i="1" s="1"/>
  <c r="L363" i="1"/>
  <c r="N363" i="1" s="1"/>
  <c r="L379" i="1"/>
  <c r="N379" i="1" s="1"/>
  <c r="L388" i="1"/>
  <c r="N388" i="1" s="1"/>
  <c r="L371" i="1"/>
  <c r="N371" i="1" s="1"/>
  <c r="L383" i="1"/>
  <c r="N383" i="1" s="1"/>
  <c r="L387" i="1"/>
  <c r="N387" i="1" s="1"/>
  <c r="L370" i="1"/>
  <c r="N370" i="1" s="1"/>
  <c r="L364" i="1"/>
  <c r="N364" i="1" s="1"/>
  <c r="L372" i="1"/>
  <c r="N372" i="1" s="1"/>
  <c r="L368" i="1"/>
  <c r="N368" i="1" s="1"/>
  <c r="L384" i="1"/>
  <c r="N384" i="1" s="1"/>
  <c r="L167" i="1"/>
  <c r="N167" i="1" s="1"/>
  <c r="L172" i="1"/>
  <c r="N172" i="1" s="1"/>
  <c r="L171" i="1"/>
  <c r="N171" i="1" s="1"/>
  <c r="L173" i="1"/>
  <c r="N173" i="1" s="1"/>
  <c r="L166" i="1"/>
  <c r="N166" i="1" s="1"/>
  <c r="L174" i="1"/>
  <c r="N174" i="1" s="1"/>
  <c r="L169" i="1"/>
  <c r="N169" i="1" s="1"/>
  <c r="L168" i="1"/>
  <c r="N168" i="1" s="1"/>
  <c r="L170" i="1"/>
  <c r="N170" i="1" s="1"/>
  <c r="L622" i="1"/>
  <c r="N622" i="1" s="1"/>
  <c r="L598" i="1"/>
  <c r="N598" i="1" s="1"/>
  <c r="L602" i="1"/>
  <c r="N602" i="1" s="1"/>
  <c r="L593" i="1"/>
  <c r="N593" i="1" s="1"/>
  <c r="L610" i="1"/>
  <c r="N610" i="1" s="1"/>
  <c r="L592" i="1"/>
  <c r="N592" i="1" s="1"/>
  <c r="L621" i="1"/>
  <c r="N621" i="1" s="1"/>
  <c r="L585" i="1"/>
  <c r="N585" i="1" s="1"/>
  <c r="L590" i="1"/>
  <c r="N590" i="1" s="1"/>
  <c r="L620" i="1"/>
  <c r="N620" i="1" s="1"/>
  <c r="L586" i="1"/>
  <c r="N586" i="1" s="1"/>
  <c r="L608" i="1"/>
  <c r="N608" i="1" s="1"/>
  <c r="L624" i="1"/>
  <c r="N624" i="1" s="1"/>
  <c r="L617" i="1"/>
  <c r="N617" i="1" s="1"/>
  <c r="L626" i="1"/>
  <c r="N626" i="1" s="1"/>
  <c r="L619" i="1"/>
  <c r="N619" i="1" s="1"/>
  <c r="L604" i="1"/>
  <c r="N604" i="1" s="1"/>
  <c r="L601" i="1"/>
  <c r="N601" i="1" s="1"/>
  <c r="L616" i="1"/>
  <c r="N616" i="1" s="1"/>
  <c r="L588" i="1"/>
  <c r="N588" i="1" s="1"/>
  <c r="L584" i="1"/>
  <c r="N584" i="1" s="1"/>
  <c r="L589" i="1"/>
  <c r="N589" i="1" s="1"/>
  <c r="L612" i="1"/>
  <c r="N612" i="1" s="1"/>
  <c r="L627" i="1"/>
  <c r="N627" i="1" s="1"/>
  <c r="L605" i="1"/>
  <c r="N605" i="1" s="1"/>
  <c r="L587" i="1"/>
  <c r="N587" i="1" s="1"/>
  <c r="L625" i="1"/>
  <c r="N625" i="1" s="1"/>
  <c r="L603" i="1"/>
  <c r="N603" i="1" s="1"/>
  <c r="L600" i="1"/>
  <c r="N600" i="1" s="1"/>
  <c r="L595" i="1"/>
  <c r="N595" i="1" s="1"/>
  <c r="L623" i="1"/>
  <c r="N623" i="1" s="1"/>
  <c r="L594" i="1"/>
  <c r="N594" i="1" s="1"/>
  <c r="L613" i="1"/>
  <c r="N613" i="1" s="1"/>
  <c r="L618" i="1"/>
  <c r="N618" i="1" s="1"/>
  <c r="L597" i="1"/>
  <c r="N597" i="1" s="1"/>
  <c r="L609" i="1"/>
  <c r="N609" i="1" s="1"/>
  <c r="L606" i="1"/>
  <c r="N606" i="1" s="1"/>
  <c r="L607" i="1"/>
  <c r="N607" i="1" s="1"/>
  <c r="L599" i="1"/>
  <c r="N599" i="1" s="1"/>
  <c r="L611" i="1"/>
  <c r="N611" i="1" s="1"/>
  <c r="L583" i="1"/>
  <c r="N583" i="1" s="1"/>
  <c r="L591" i="1"/>
  <c r="N591" i="1" s="1"/>
  <c r="L596" i="1"/>
  <c r="N596" i="1" s="1"/>
  <c r="L661" i="1"/>
  <c r="N661" i="1" s="1"/>
  <c r="L667" i="1"/>
  <c r="N667" i="1" s="1"/>
  <c r="L663" i="1"/>
  <c r="N663" i="1" s="1"/>
  <c r="L665" i="1"/>
  <c r="N665" i="1" s="1"/>
  <c r="L670" i="1"/>
  <c r="N670" i="1" s="1"/>
  <c r="L669" i="1"/>
  <c r="N669" i="1" s="1"/>
  <c r="L668" i="1"/>
  <c r="N668" i="1" s="1"/>
  <c r="L664" i="1"/>
  <c r="N664" i="1" s="1"/>
  <c r="L666" i="1"/>
  <c r="N666" i="1" s="1"/>
  <c r="L662" i="1"/>
  <c r="N662" i="1" s="1"/>
  <c r="L671" i="1"/>
  <c r="N671" i="1" s="1"/>
  <c r="L499" i="1"/>
  <c r="N499" i="1" s="1"/>
  <c r="L497" i="1"/>
  <c r="N497" i="1" s="1"/>
  <c r="L496" i="1"/>
  <c r="N496" i="1" s="1"/>
  <c r="L502" i="1"/>
  <c r="N502" i="1" s="1"/>
  <c r="L500" i="1"/>
  <c r="N500" i="1" s="1"/>
  <c r="L493" i="1"/>
  <c r="N493" i="1" s="1"/>
  <c r="L494" i="1"/>
  <c r="N494" i="1" s="1"/>
  <c r="L503" i="1"/>
  <c r="N503" i="1" s="1"/>
  <c r="L498" i="1"/>
  <c r="N498" i="1" s="1"/>
  <c r="L501" i="1"/>
  <c r="N501" i="1" s="1"/>
  <c r="L495" i="1"/>
  <c r="N495" i="1" s="1"/>
  <c r="L523" i="1"/>
  <c r="N523" i="1" s="1"/>
  <c r="L520" i="1"/>
  <c r="N520" i="1" s="1"/>
  <c r="L514" i="1"/>
  <c r="N514" i="1" s="1"/>
  <c r="L522" i="1"/>
  <c r="N522" i="1" s="1"/>
  <c r="L517" i="1"/>
  <c r="N517" i="1" s="1"/>
  <c r="L518" i="1"/>
  <c r="N518" i="1" s="1"/>
  <c r="L521" i="1"/>
  <c r="N521" i="1" s="1"/>
  <c r="L515" i="1"/>
  <c r="N515" i="1" s="1"/>
  <c r="L519" i="1"/>
  <c r="N519" i="1" s="1"/>
  <c r="L516" i="1"/>
  <c r="N516" i="1" s="1"/>
  <c r="L792" i="1"/>
  <c r="N792" i="1" s="1"/>
  <c r="L762" i="1"/>
  <c r="N762" i="1" s="1"/>
  <c r="L791" i="1"/>
  <c r="N791" i="1" s="1"/>
  <c r="L767" i="1"/>
  <c r="N767" i="1" s="1"/>
  <c r="L770" i="1"/>
  <c r="N770" i="1" s="1"/>
  <c r="L789" i="1"/>
  <c r="N789" i="1" s="1"/>
  <c r="L778" i="1"/>
  <c r="N778" i="1" s="1"/>
  <c r="L785" i="1"/>
  <c r="N785" i="1" s="1"/>
  <c r="L781" i="1"/>
  <c r="N781" i="1" s="1"/>
  <c r="L794" i="1"/>
  <c r="N794" i="1" s="1"/>
  <c r="L768" i="1"/>
  <c r="N768" i="1" s="1"/>
  <c r="L793" i="1"/>
  <c r="N793" i="1" s="1"/>
  <c r="L761" i="1"/>
  <c r="N761" i="1" s="1"/>
  <c r="L773" i="1"/>
  <c r="N773" i="1" s="1"/>
  <c r="L795" i="1"/>
  <c r="N795" i="1" s="1"/>
  <c r="L790" i="1"/>
  <c r="N790" i="1" s="1"/>
  <c r="L777" i="1"/>
  <c r="N777" i="1" s="1"/>
  <c r="L782" i="1"/>
  <c r="N782" i="1" s="1"/>
  <c r="L786" i="1"/>
  <c r="N786" i="1" s="1"/>
  <c r="L774" i="1"/>
  <c r="N774" i="1" s="1"/>
  <c r="L776" i="1"/>
  <c r="N776" i="1" s="1"/>
  <c r="L771" i="1"/>
  <c r="N771" i="1" s="1"/>
  <c r="L772" i="1"/>
  <c r="N772" i="1" s="1"/>
  <c r="L780" i="1"/>
  <c r="N780" i="1" s="1"/>
  <c r="L764" i="1"/>
  <c r="N764" i="1" s="1"/>
  <c r="L765" i="1"/>
  <c r="N765" i="1" s="1"/>
  <c r="L779" i="1"/>
  <c r="N779" i="1" s="1"/>
  <c r="L763" i="1"/>
  <c r="N763" i="1" s="1"/>
  <c r="L775" i="1"/>
  <c r="N775" i="1" s="1"/>
  <c r="L766" i="1"/>
  <c r="N766" i="1" s="1"/>
  <c r="L784" i="1"/>
  <c r="N784" i="1" s="1"/>
  <c r="L783" i="1"/>
  <c r="N783" i="1" s="1"/>
  <c r="L788" i="1"/>
  <c r="N788" i="1" s="1"/>
  <c r="L1481" i="1"/>
  <c r="N1481" i="1" s="1"/>
  <c r="L1451" i="1"/>
  <c r="N1451" i="1" s="1"/>
  <c r="L1426" i="1"/>
  <c r="N1426" i="1" s="1"/>
  <c r="L1453" i="1"/>
  <c r="N1453" i="1" s="1"/>
  <c r="L1410" i="1"/>
  <c r="N1410" i="1" s="1"/>
  <c r="L1469" i="1"/>
  <c r="N1469" i="1" s="1"/>
  <c r="L1425" i="1"/>
  <c r="N1425" i="1" s="1"/>
  <c r="L1456" i="1"/>
  <c r="N1456" i="1" s="1"/>
  <c r="L1442" i="1"/>
  <c r="N1442" i="1" s="1"/>
  <c r="L1454" i="1"/>
  <c r="N1454" i="1" s="1"/>
  <c r="L1439" i="1"/>
  <c r="N1439" i="1" s="1"/>
  <c r="L1467" i="1"/>
  <c r="N1467" i="1" s="1"/>
  <c r="L1482" i="1"/>
  <c r="N1482" i="1" s="1"/>
  <c r="L1450" i="1"/>
  <c r="N1450" i="1" s="1"/>
  <c r="L1427" i="1"/>
  <c r="N1427" i="1" s="1"/>
  <c r="L1409" i="1"/>
  <c r="N1409" i="1" s="1"/>
  <c r="L1438" i="1"/>
  <c r="N1438" i="1" s="1"/>
  <c r="L1408" i="1"/>
  <c r="N1408" i="1" s="1"/>
  <c r="L1437" i="1"/>
  <c r="N1437" i="1" s="1"/>
  <c r="L1411" i="1"/>
  <c r="N1411" i="1" s="1"/>
  <c r="L1436" i="1"/>
  <c r="N1436" i="1" s="1"/>
  <c r="L1465" i="1"/>
  <c r="N1465" i="1" s="1"/>
  <c r="L1423" i="1"/>
  <c r="N1423" i="1" s="1"/>
  <c r="L1413" i="1"/>
  <c r="N1413" i="1" s="1"/>
  <c r="L1412" i="1"/>
  <c r="N1412" i="1" s="1"/>
  <c r="L1464" i="1"/>
  <c r="N1464" i="1" s="1"/>
  <c r="L1424" i="1"/>
  <c r="N1424" i="1" s="1"/>
  <c r="L1466" i="1"/>
  <c r="N1466" i="1" s="1"/>
  <c r="L1440" i="1"/>
  <c r="N1440" i="1" s="1"/>
  <c r="L1441" i="1"/>
  <c r="N1441" i="1" s="1"/>
  <c r="L1468" i="1"/>
  <c r="N1468" i="1" s="1"/>
  <c r="L1484" i="1"/>
  <c r="N1484" i="1" s="1"/>
  <c r="L1428" i="1"/>
  <c r="N1428" i="1" s="1"/>
  <c r="L1422" i="1"/>
  <c r="N1422" i="1" s="1"/>
  <c r="L1479" i="1"/>
  <c r="N1479" i="1" s="1"/>
  <c r="L1483" i="1"/>
  <c r="N1483" i="1" s="1"/>
  <c r="L1452" i="1"/>
  <c r="N1452" i="1" s="1"/>
  <c r="L1455" i="1"/>
  <c r="N1455" i="1" s="1"/>
  <c r="L1480" i="1"/>
  <c r="N1480" i="1" s="1"/>
  <c r="L1470" i="1"/>
  <c r="N1470" i="1" s="1"/>
  <c r="L1485" i="1"/>
  <c r="N1485" i="1" s="1"/>
  <c r="L1532" i="1"/>
  <c r="N1532" i="1" s="1"/>
  <c r="L1530" i="1"/>
  <c r="N1530" i="1" s="1"/>
  <c r="L1463" i="1"/>
  <c r="N1463" i="1" s="1"/>
  <c r="L1416" i="1"/>
  <c r="N1416" i="1" s="1"/>
  <c r="L1459" i="1"/>
  <c r="N1459" i="1" s="1"/>
  <c r="L1460" i="1"/>
  <c r="N1460" i="1" s="1"/>
  <c r="L1531" i="1"/>
  <c r="N1531" i="1" s="1"/>
  <c r="L1514" i="1"/>
  <c r="N1514" i="1" s="1"/>
  <c r="L1430" i="1"/>
  <c r="N1430" i="1" s="1"/>
  <c r="L1488" i="1"/>
  <c r="N1488" i="1" s="1"/>
  <c r="L1448" i="1"/>
  <c r="N1448" i="1" s="1"/>
  <c r="L1443" i="1"/>
  <c r="N1443" i="1" s="1"/>
  <c r="L1528" i="1"/>
  <c r="N1528" i="1" s="1"/>
  <c r="L1512" i="1"/>
  <c r="N1512" i="1" s="1"/>
  <c r="L1435" i="1"/>
  <c r="N1435" i="1" s="1"/>
  <c r="L1475" i="1"/>
  <c r="N1475" i="1" s="1"/>
  <c r="L1431" i="1"/>
  <c r="N1431" i="1" s="1"/>
  <c r="L1478" i="1"/>
  <c r="N1478" i="1" s="1"/>
  <c r="L1511" i="1"/>
  <c r="N1511" i="1" s="1"/>
  <c r="L1420" i="1"/>
  <c r="N1420" i="1" s="1"/>
  <c r="L1414" i="1"/>
  <c r="N1414" i="1" s="1"/>
  <c r="L1509" i="1"/>
  <c r="N1509" i="1" s="1"/>
  <c r="L1434" i="1"/>
  <c r="N1434" i="1" s="1"/>
  <c r="L1500" i="1"/>
  <c r="N1500" i="1" s="1"/>
  <c r="L1445" i="1"/>
  <c r="N1445" i="1" s="1"/>
  <c r="L1494" i="1"/>
  <c r="N1494" i="1" s="1"/>
  <c r="L1527" i="1"/>
  <c r="N1527" i="1" s="1"/>
  <c r="L1419" i="1"/>
  <c r="N1419" i="1" s="1"/>
  <c r="L1458" i="1"/>
  <c r="N1458" i="1" s="1"/>
  <c r="L1510" i="1"/>
  <c r="N1510" i="1" s="1"/>
  <c r="L1433" i="1"/>
  <c r="N1433" i="1" s="1"/>
  <c r="L1472" i="1"/>
  <c r="N1472" i="1" s="1"/>
  <c r="L1444" i="1"/>
  <c r="N1444" i="1" s="1"/>
  <c r="L1493" i="1"/>
  <c r="N1493" i="1" s="1"/>
  <c r="L1418" i="1"/>
  <c r="N1418" i="1" s="1"/>
  <c r="L1415" i="1"/>
  <c r="N1415" i="1" s="1"/>
  <c r="L1491" i="1"/>
  <c r="N1491" i="1" s="1"/>
  <c r="L1498" i="1"/>
  <c r="N1498" i="1" s="1"/>
  <c r="L1429" i="1"/>
  <c r="N1429" i="1" s="1"/>
  <c r="L1497" i="1"/>
  <c r="N1497" i="1" s="1"/>
  <c r="L1417" i="1"/>
  <c r="N1417" i="1" s="1"/>
  <c r="L1432" i="1"/>
  <c r="N1432" i="1" s="1"/>
  <c r="L1490" i="1"/>
  <c r="N1490" i="1" s="1"/>
  <c r="L1476" i="1"/>
  <c r="N1476" i="1" s="1"/>
  <c r="L1489" i="1"/>
  <c r="N1489" i="1" s="1"/>
  <c r="L1526" i="1"/>
  <c r="N1526" i="1" s="1"/>
  <c r="L1513" i="1"/>
  <c r="N1513" i="1" s="1"/>
  <c r="L1421" i="1"/>
  <c r="N1421" i="1" s="1"/>
  <c r="L1529" i="1"/>
  <c r="N1529" i="1" s="1"/>
  <c r="L1487" i="1"/>
  <c r="N1487" i="1" s="1"/>
  <c r="L1461" i="1"/>
  <c r="N1461" i="1" s="1"/>
  <c r="L1486" i="1"/>
  <c r="N1486" i="1" s="1"/>
  <c r="L1515" i="1"/>
  <c r="N1515" i="1" s="1"/>
  <c r="L1473" i="1"/>
  <c r="N1473" i="1" s="1"/>
  <c r="L1492" i="1"/>
  <c r="N1492" i="1" s="1"/>
  <c r="L1447" i="1"/>
  <c r="N1447" i="1" s="1"/>
  <c r="L1496" i="1"/>
  <c r="N1496" i="1" s="1"/>
  <c r="L1474" i="1"/>
  <c r="N1474" i="1" s="1"/>
  <c r="L1471" i="1"/>
  <c r="N1471" i="1" s="1"/>
  <c r="L1457" i="1"/>
  <c r="N1457" i="1" s="1"/>
  <c r="L1446" i="1"/>
  <c r="N1446" i="1" s="1"/>
  <c r="L1462" i="1"/>
  <c r="N1462" i="1" s="1"/>
  <c r="L1525" i="1"/>
  <c r="N1525" i="1" s="1"/>
  <c r="L1449" i="1"/>
  <c r="N1449" i="1" s="1"/>
  <c r="L1499" i="1"/>
  <c r="N1499" i="1" s="1"/>
  <c r="L1477" i="1"/>
  <c r="N1477" i="1" s="1"/>
  <c r="L1495" i="1"/>
  <c r="N1495" i="1" s="1"/>
  <c r="L1503" i="1"/>
  <c r="N1503" i="1" s="1"/>
  <c r="L1502" i="1"/>
  <c r="N1502" i="1" s="1"/>
  <c r="L1539" i="1"/>
  <c r="N1539" i="1" s="1"/>
  <c r="L1535" i="1"/>
  <c r="N1535" i="1" s="1"/>
  <c r="L1520" i="1"/>
  <c r="N1520" i="1" s="1"/>
  <c r="L1533" i="1"/>
  <c r="N1533" i="1" s="1"/>
  <c r="L1524" i="1"/>
  <c r="N1524" i="1" s="1"/>
  <c r="L1508" i="1"/>
  <c r="N1508" i="1" s="1"/>
  <c r="L1534" i="1"/>
  <c r="N1534" i="1" s="1"/>
  <c r="L1538" i="1"/>
  <c r="N1538" i="1" s="1"/>
  <c r="L1523" i="1"/>
  <c r="N1523" i="1" s="1"/>
  <c r="L1519" i="1"/>
  <c r="N1519" i="1" s="1"/>
  <c r="L1504" i="1"/>
  <c r="N1504" i="1" s="1"/>
  <c r="L1540" i="1"/>
  <c r="N1540" i="1" s="1"/>
  <c r="L1505" i="1"/>
  <c r="N1505" i="1" s="1"/>
  <c r="L1516" i="1"/>
  <c r="N1516" i="1" s="1"/>
  <c r="L1507" i="1"/>
  <c r="N1507" i="1" s="1"/>
  <c r="L1536" i="1"/>
  <c r="N1536" i="1" s="1"/>
  <c r="L1521" i="1"/>
  <c r="N1521" i="1" s="1"/>
  <c r="L1501" i="1"/>
  <c r="N1501" i="1" s="1"/>
  <c r="L1541" i="1"/>
  <c r="N1541" i="1" s="1"/>
  <c r="L1517" i="1"/>
  <c r="N1517" i="1" s="1"/>
  <c r="L1522" i="1"/>
  <c r="N1522" i="1" s="1"/>
  <c r="L1537" i="1"/>
  <c r="N1537" i="1" s="1"/>
  <c r="L1518" i="1"/>
  <c r="N1518" i="1" s="1"/>
  <c r="L1506" i="1"/>
  <c r="N1506" i="1" s="1"/>
  <c r="L945" i="1"/>
  <c r="N945" i="1" s="1"/>
  <c r="L118" i="1"/>
  <c r="N118" i="1" s="1"/>
  <c r="L947" i="1"/>
  <c r="N947" i="1" s="1"/>
  <c r="L949" i="1"/>
  <c r="N949" i="1" s="1"/>
  <c r="L946" i="1"/>
  <c r="N946" i="1" s="1"/>
  <c r="L950" i="1"/>
  <c r="N950" i="1" s="1"/>
  <c r="L948" i="1"/>
  <c r="N948" i="1" s="1"/>
  <c r="L951" i="1"/>
  <c r="N951" i="1" s="1"/>
  <c r="L117" i="1"/>
  <c r="N117" i="1" s="1"/>
  <c r="L116" i="1"/>
  <c r="N116" i="1" s="1"/>
  <c r="L110" i="1"/>
  <c r="N110" i="1" s="1"/>
  <c r="L113" i="1"/>
  <c r="N113" i="1" s="1"/>
  <c r="L111" i="1"/>
  <c r="N111" i="1" s="1"/>
  <c r="L112" i="1"/>
  <c r="N112" i="1" s="1"/>
  <c r="L114" i="1"/>
  <c r="N114" i="1" s="1"/>
  <c r="L115" i="1"/>
  <c r="N115" i="1" s="1"/>
  <c r="L694" i="1"/>
  <c r="N694" i="1" s="1"/>
  <c r="L689" i="1"/>
  <c r="N689" i="1" s="1"/>
  <c r="L683" i="1"/>
  <c r="N683" i="1" s="1"/>
  <c r="L687" i="1"/>
  <c r="N687" i="1" s="1"/>
  <c r="L700" i="1"/>
  <c r="N700" i="1" s="1"/>
  <c r="L685" i="1"/>
  <c r="N685" i="1" s="1"/>
  <c r="L696" i="1"/>
  <c r="N696" i="1" s="1"/>
  <c r="L688" i="1"/>
  <c r="N688" i="1" s="1"/>
  <c r="L698" i="1"/>
  <c r="N698" i="1" s="1"/>
  <c r="L686" i="1"/>
  <c r="N686" i="1" s="1"/>
  <c r="L691" i="1"/>
  <c r="N691" i="1" s="1"/>
  <c r="L699" i="1"/>
  <c r="N699" i="1" s="1"/>
  <c r="L692" i="1"/>
  <c r="N692" i="1" s="1"/>
  <c r="L697" i="1"/>
  <c r="N697" i="1" s="1"/>
  <c r="L690" i="1"/>
  <c r="N690" i="1" s="1"/>
  <c r="L695" i="1"/>
  <c r="N695" i="1" s="1"/>
  <c r="L684" i="1"/>
  <c r="N684" i="1" s="1"/>
  <c r="L693" i="1"/>
  <c r="N693" i="1" s="1"/>
  <c r="L450" i="1"/>
  <c r="N450" i="1" s="1"/>
  <c r="L453" i="1"/>
  <c r="N453" i="1" s="1"/>
  <c r="L451" i="1"/>
  <c r="N451" i="1" s="1"/>
  <c r="L449" i="1"/>
  <c r="N449" i="1" s="1"/>
  <c r="L452" i="1"/>
  <c r="N452" i="1" s="1"/>
  <c r="L446" i="1"/>
  <c r="N446" i="1" s="1"/>
  <c r="L448" i="1"/>
  <c r="N448" i="1" s="1"/>
  <c r="L447" i="1"/>
  <c r="N447" i="1" s="1"/>
  <c r="L247" i="1"/>
  <c r="N247" i="1" s="1"/>
  <c r="L255" i="1"/>
  <c r="N255" i="1" s="1"/>
  <c r="L252" i="1"/>
  <c r="N252" i="1" s="1"/>
  <c r="L250" i="1"/>
  <c r="N250" i="1" s="1"/>
  <c r="L265" i="1"/>
  <c r="N265" i="1" s="1"/>
  <c r="L254" i="1"/>
  <c r="N254" i="1" s="1"/>
  <c r="L257" i="1"/>
  <c r="N257" i="1" s="1"/>
  <c r="L249" i="1"/>
  <c r="N249" i="1" s="1"/>
  <c r="L260" i="1"/>
  <c r="N260" i="1" s="1"/>
  <c r="L248" i="1"/>
  <c r="N248" i="1" s="1"/>
  <c r="L253" i="1"/>
  <c r="N253" i="1" s="1"/>
  <c r="L262" i="1"/>
  <c r="N262" i="1" s="1"/>
  <c r="L261" i="1"/>
  <c r="N261" i="1" s="1"/>
  <c r="L246" i="1"/>
  <c r="N246" i="1" s="1"/>
  <c r="L259" i="1"/>
  <c r="N259" i="1" s="1"/>
  <c r="L251" i="1"/>
  <c r="N251" i="1" s="1"/>
  <c r="L258" i="1"/>
  <c r="N258" i="1" s="1"/>
  <c r="L264" i="1"/>
  <c r="N264" i="1" s="1"/>
  <c r="L29" i="1"/>
  <c r="N29" i="1" s="1"/>
  <c r="L27" i="1"/>
  <c r="N27" i="1" s="1"/>
  <c r="L21" i="1"/>
  <c r="N21" i="1" s="1"/>
  <c r="L22" i="1"/>
  <c r="N22" i="1" s="1"/>
  <c r="L20" i="1"/>
  <c r="N20" i="1" s="1"/>
  <c r="L26" i="1"/>
  <c r="N26" i="1" s="1"/>
  <c r="L28" i="1"/>
  <c r="N28" i="1" s="1"/>
  <c r="L19" i="1"/>
  <c r="N19" i="1" s="1"/>
  <c r="L23" i="1"/>
  <c r="N23" i="1" s="1"/>
  <c r="L25" i="1"/>
  <c r="N25" i="1" s="1"/>
  <c r="L24" i="1"/>
  <c r="N24" i="1" s="1"/>
  <c r="L903" i="1"/>
  <c r="N903" i="1" s="1"/>
  <c r="L894" i="1"/>
  <c r="N894" i="1" s="1"/>
  <c r="L905" i="1"/>
  <c r="N905" i="1" s="1"/>
  <c r="L902" i="1"/>
  <c r="N902" i="1" s="1"/>
  <c r="L897" i="1"/>
  <c r="N897" i="1" s="1"/>
  <c r="L898" i="1"/>
  <c r="N898" i="1" s="1"/>
  <c r="L904" i="1"/>
  <c r="N904" i="1" s="1"/>
  <c r="L892" i="1"/>
  <c r="N892" i="1" s="1"/>
  <c r="L900" i="1"/>
  <c r="N900" i="1" s="1"/>
  <c r="L893" i="1"/>
  <c r="N893" i="1" s="1"/>
  <c r="L896" i="1"/>
  <c r="N896" i="1" s="1"/>
  <c r="L899" i="1"/>
  <c r="N899" i="1" s="1"/>
  <c r="L889" i="1"/>
  <c r="N889" i="1" s="1"/>
  <c r="L890" i="1"/>
  <c r="N890" i="1" s="1"/>
  <c r="L895" i="1"/>
  <c r="N895" i="1" s="1"/>
  <c r="L891" i="1"/>
  <c r="N891" i="1" s="1"/>
  <c r="L901" i="1"/>
  <c r="N901" i="1" s="1"/>
  <c r="L108" i="1"/>
  <c r="N108" i="1" s="1"/>
  <c r="L105" i="1"/>
  <c r="N105" i="1" s="1"/>
  <c r="L103" i="1"/>
  <c r="N103" i="1" s="1"/>
  <c r="L102" i="1"/>
  <c r="N102" i="1" s="1"/>
  <c r="L106" i="1"/>
  <c r="N106" i="1" s="1"/>
  <c r="L104" i="1"/>
  <c r="N104" i="1" s="1"/>
  <c r="L107" i="1"/>
  <c r="N107" i="1" s="1"/>
  <c r="L109" i="1"/>
  <c r="N109" i="1" s="1"/>
  <c r="L100" i="1"/>
  <c r="N100" i="1" s="1"/>
  <c r="L101" i="1"/>
  <c r="N101" i="1" s="1"/>
  <c r="L659" i="1"/>
  <c r="N659" i="1" s="1"/>
  <c r="L641" i="1"/>
  <c r="N641" i="1" s="1"/>
  <c r="L649" i="1"/>
  <c r="N649" i="1" s="1"/>
  <c r="L632" i="1"/>
  <c r="N632" i="1" s="1"/>
  <c r="L651" i="1"/>
  <c r="N651" i="1" s="1"/>
  <c r="L631" i="1"/>
  <c r="N631" i="1" s="1"/>
  <c r="L655" i="1"/>
  <c r="N655" i="1" s="1"/>
  <c r="L658" i="1"/>
  <c r="N658" i="1" s="1"/>
  <c r="L646" i="1"/>
  <c r="N646" i="1" s="1"/>
  <c r="L638" i="1"/>
  <c r="N638" i="1" s="1"/>
  <c r="L656" i="1"/>
  <c r="N656" i="1" s="1"/>
  <c r="L660" i="1"/>
  <c r="N660" i="1" s="1"/>
  <c r="L653" i="1"/>
  <c r="N653" i="1" s="1"/>
  <c r="L636" i="1"/>
  <c r="N636" i="1" s="1"/>
  <c r="L633" i="1"/>
  <c r="N633" i="1" s="1"/>
  <c r="L629" i="1"/>
  <c r="N629" i="1" s="1"/>
  <c r="L635" i="1"/>
  <c r="N635" i="1" s="1"/>
  <c r="L634" i="1"/>
  <c r="N634" i="1" s="1"/>
  <c r="L650" i="1"/>
  <c r="N650" i="1" s="1"/>
  <c r="L657" i="1"/>
  <c r="N657" i="1" s="1"/>
  <c r="L645" i="1"/>
  <c r="N645" i="1" s="1"/>
  <c r="L628" i="1"/>
  <c r="N628" i="1" s="1"/>
  <c r="L637" i="1"/>
  <c r="N637" i="1" s="1"/>
  <c r="L643" i="1"/>
  <c r="N643" i="1" s="1"/>
  <c r="L648" i="1"/>
  <c r="N648" i="1" s="1"/>
  <c r="L652" i="1"/>
  <c r="N652" i="1" s="1"/>
  <c r="L647" i="1"/>
  <c r="N647" i="1" s="1"/>
  <c r="L639" i="1"/>
  <c r="N639" i="1" s="1"/>
  <c r="L630" i="1"/>
  <c r="N630" i="1" s="1"/>
  <c r="L640" i="1"/>
  <c r="N640" i="1" s="1"/>
  <c r="L644" i="1"/>
  <c r="N644" i="1" s="1"/>
  <c r="L654" i="1"/>
  <c r="N654" i="1" s="1"/>
  <c r="L642" i="1"/>
  <c r="N642" i="1" s="1"/>
  <c r="L534" i="1"/>
  <c r="N534" i="1" s="1"/>
  <c r="L525" i="1"/>
  <c r="N525" i="1" s="1"/>
  <c r="L543" i="1"/>
  <c r="N543" i="1" s="1"/>
  <c r="L541" i="1"/>
  <c r="N541" i="1" s="1"/>
  <c r="L539" i="1"/>
  <c r="N539" i="1" s="1"/>
  <c r="L527" i="1"/>
  <c r="N527" i="1" s="1"/>
  <c r="L538" i="1"/>
  <c r="N538" i="1" s="1"/>
  <c r="L544" i="1"/>
  <c r="N544" i="1" s="1"/>
  <c r="L535" i="1"/>
  <c r="N535" i="1" s="1"/>
  <c r="L532" i="1"/>
  <c r="N532" i="1" s="1"/>
  <c r="L529" i="1"/>
  <c r="N529" i="1" s="1"/>
  <c r="L524" i="1"/>
  <c r="N524" i="1" s="1"/>
  <c r="L531" i="1"/>
  <c r="N531" i="1" s="1"/>
  <c r="L536" i="1"/>
  <c r="N536" i="1" s="1"/>
  <c r="L526" i="1"/>
  <c r="N526" i="1" s="1"/>
  <c r="L528" i="1"/>
  <c r="N528" i="1" s="1"/>
  <c r="L533" i="1"/>
  <c r="N533" i="1" s="1"/>
  <c r="L530" i="1"/>
  <c r="N530" i="1" s="1"/>
  <c r="L537" i="1"/>
  <c r="N537" i="1" s="1"/>
  <c r="L540" i="1"/>
  <c r="N540" i="1" s="1"/>
  <c r="L542" i="1"/>
  <c r="N542" i="1" s="1"/>
  <c r="L269" i="1"/>
  <c r="N269" i="1" s="1"/>
  <c r="L268" i="1"/>
  <c r="N268" i="1" s="1"/>
  <c r="L273" i="1"/>
  <c r="N273" i="1" s="1"/>
  <c r="L270" i="1"/>
  <c r="N270" i="1" s="1"/>
  <c r="L266" i="1"/>
  <c r="N266" i="1" s="1"/>
  <c r="L267" i="1"/>
  <c r="N267" i="1" s="1"/>
  <c r="L271" i="1"/>
  <c r="N271" i="1" s="1"/>
  <c r="L272" i="1"/>
  <c r="N272" i="1" s="1"/>
  <c r="L799" i="1"/>
  <c r="N799" i="1" s="1"/>
  <c r="L818" i="1"/>
  <c r="N818" i="1" s="1"/>
  <c r="L809" i="1"/>
  <c r="N809" i="1" s="1"/>
  <c r="L803" i="1"/>
  <c r="N803" i="1" s="1"/>
  <c r="L815" i="1"/>
  <c r="N815" i="1" s="1"/>
  <c r="L822" i="1"/>
  <c r="N822" i="1" s="1"/>
  <c r="L806" i="1"/>
  <c r="N806" i="1" s="1"/>
  <c r="L817" i="1"/>
  <c r="N817" i="1" s="1"/>
  <c r="L804" i="1"/>
  <c r="N804" i="1" s="1"/>
  <c r="L814" i="1"/>
  <c r="N814" i="1" s="1"/>
  <c r="L821" i="1"/>
  <c r="N821" i="1" s="1"/>
  <c r="L812" i="1"/>
  <c r="N812" i="1" s="1"/>
  <c r="L810" i="1"/>
  <c r="N810" i="1" s="1"/>
  <c r="L813" i="1"/>
  <c r="N813" i="1" s="1"/>
  <c r="L807" i="1"/>
  <c r="N807" i="1" s="1"/>
  <c r="L801" i="1"/>
  <c r="N801" i="1" s="1"/>
  <c r="L798" i="1"/>
  <c r="N798" i="1" s="1"/>
  <c r="L797" i="1"/>
  <c r="N797" i="1" s="1"/>
  <c r="L808" i="1"/>
  <c r="N808" i="1" s="1"/>
  <c r="L796" i="1"/>
  <c r="N796" i="1" s="1"/>
  <c r="L816" i="1"/>
  <c r="N816" i="1" s="1"/>
  <c r="L820" i="1"/>
  <c r="N820" i="1" s="1"/>
  <c r="L800" i="1"/>
  <c r="N800" i="1" s="1"/>
  <c r="L805" i="1"/>
  <c r="N805" i="1" s="1"/>
  <c r="L819" i="1"/>
  <c r="N819" i="1" s="1"/>
  <c r="L802" i="1"/>
  <c r="N802" i="1" s="1"/>
  <c r="L811" i="1"/>
  <c r="N811" i="1" s="1"/>
  <c r="L705" i="1"/>
  <c r="N705" i="1" s="1"/>
  <c r="L706" i="1"/>
  <c r="N706" i="1" s="1"/>
  <c r="L710" i="1"/>
  <c r="N710" i="1" s="1"/>
  <c r="L709" i="1"/>
  <c r="N709" i="1" s="1"/>
  <c r="L702" i="1"/>
  <c r="N702" i="1" s="1"/>
  <c r="L711" i="1"/>
  <c r="N711" i="1" s="1"/>
  <c r="L701" i="1"/>
  <c r="N701" i="1" s="1"/>
  <c r="L703" i="1"/>
  <c r="N703" i="1" s="1"/>
  <c r="L707" i="1"/>
  <c r="N707" i="1" s="1"/>
  <c r="L704" i="1"/>
  <c r="N704" i="1" s="1"/>
  <c r="L708" i="1"/>
  <c r="N708" i="1" s="1"/>
  <c r="L457" i="1"/>
  <c r="N457" i="1" s="1"/>
  <c r="L460" i="1"/>
  <c r="N460" i="1" s="1"/>
  <c r="L466" i="1"/>
  <c r="N466" i="1" s="1"/>
  <c r="L471" i="1"/>
  <c r="N471" i="1" s="1"/>
  <c r="L467" i="1"/>
  <c r="N467" i="1" s="1"/>
  <c r="L465" i="1"/>
  <c r="N465" i="1" s="1"/>
  <c r="L469" i="1"/>
  <c r="N469" i="1" s="1"/>
  <c r="L455" i="1"/>
  <c r="N455" i="1" s="1"/>
  <c r="L458" i="1"/>
  <c r="N458" i="1" s="1"/>
  <c r="L470" i="1"/>
  <c r="N470" i="1" s="1"/>
  <c r="L461" i="1"/>
  <c r="N461" i="1" s="1"/>
  <c r="L464" i="1"/>
  <c r="N464" i="1" s="1"/>
  <c r="L454" i="1"/>
  <c r="N454" i="1" s="1"/>
  <c r="L463" i="1"/>
  <c r="N463" i="1" s="1"/>
  <c r="L462" i="1"/>
  <c r="N462" i="1" s="1"/>
  <c r="L468" i="1"/>
  <c r="N468" i="1" s="1"/>
  <c r="L459" i="1"/>
  <c r="N459" i="1" s="1"/>
  <c r="L399" i="1"/>
  <c r="N399" i="1" s="1"/>
  <c r="L403" i="1"/>
  <c r="N403" i="1" s="1"/>
  <c r="L398" i="1"/>
  <c r="N398" i="1" s="1"/>
  <c r="L392" i="1"/>
  <c r="N392" i="1" s="1"/>
  <c r="L402" i="1"/>
  <c r="N402" i="1" s="1"/>
  <c r="L400" i="1"/>
  <c r="N400" i="1" s="1"/>
  <c r="L391" i="1"/>
  <c r="N391" i="1" s="1"/>
  <c r="L389" i="1"/>
  <c r="N389" i="1" s="1"/>
  <c r="L393" i="1"/>
  <c r="N393" i="1" s="1"/>
  <c r="L397" i="1"/>
  <c r="N397" i="1" s="1"/>
  <c r="L390" i="1"/>
  <c r="N390" i="1" s="1"/>
  <c r="L395" i="1"/>
  <c r="N395" i="1" s="1"/>
  <c r="L404" i="1"/>
  <c r="N404" i="1" s="1"/>
  <c r="L394" i="1"/>
  <c r="N394" i="1" s="1"/>
  <c r="L396" i="1"/>
  <c r="N396" i="1" s="1"/>
  <c r="L405" i="1"/>
  <c r="N405" i="1" s="1"/>
  <c r="L401" i="1"/>
  <c r="N401" i="1" s="1"/>
  <c r="L406" i="1"/>
  <c r="N406" i="1" s="1"/>
  <c r="L1326" i="1"/>
  <c r="N1326" i="1" s="1"/>
  <c r="L1321" i="1"/>
  <c r="N1321" i="1" s="1"/>
  <c r="L1342" i="1"/>
  <c r="N1342" i="1" s="1"/>
  <c r="L1313" i="1"/>
  <c r="N1313" i="1" s="1"/>
  <c r="L1323" i="1"/>
  <c r="N1323" i="1" s="1"/>
  <c r="L1309" i="1"/>
  <c r="N1309" i="1" s="1"/>
  <c r="L1333" i="1"/>
  <c r="N1333" i="1" s="1"/>
  <c r="L1300" i="1"/>
  <c r="N1300" i="1" s="1"/>
  <c r="L1308" i="1"/>
  <c r="N1308" i="1" s="1"/>
  <c r="L1307" i="1"/>
  <c r="N1307" i="1" s="1"/>
  <c r="L1327" i="1"/>
  <c r="N1327" i="1" s="1"/>
  <c r="L1339" i="1"/>
  <c r="N1339" i="1" s="1"/>
  <c r="L1318" i="1"/>
  <c r="N1318" i="1" s="1"/>
  <c r="L1317" i="1"/>
  <c r="N1317" i="1" s="1"/>
  <c r="L1297" i="1"/>
  <c r="N1297" i="1" s="1"/>
  <c r="L1310" i="1"/>
  <c r="N1310" i="1" s="1"/>
  <c r="L1322" i="1"/>
  <c r="N1322" i="1" s="1"/>
  <c r="L1298" i="1"/>
  <c r="N1298" i="1" s="1"/>
  <c r="L1311" i="1"/>
  <c r="N1311" i="1" s="1"/>
  <c r="L1301" i="1"/>
  <c r="N1301" i="1" s="1"/>
  <c r="L1305" i="1"/>
  <c r="N1305" i="1" s="1"/>
  <c r="L1340" i="1"/>
  <c r="N1340" i="1" s="1"/>
  <c r="L1320" i="1"/>
  <c r="N1320" i="1" s="1"/>
  <c r="L1325" i="1"/>
  <c r="N1325" i="1" s="1"/>
  <c r="L1314" i="1"/>
  <c r="N1314" i="1" s="1"/>
  <c r="L1312" i="1"/>
  <c r="N1312" i="1" s="1"/>
  <c r="L1329" i="1"/>
  <c r="N1329" i="1" s="1"/>
  <c r="L1332" i="1"/>
  <c r="N1332" i="1" s="1"/>
  <c r="L1303" i="1"/>
  <c r="N1303" i="1" s="1"/>
  <c r="L1331" i="1"/>
  <c r="N1331" i="1" s="1"/>
  <c r="L1304" i="1"/>
  <c r="N1304" i="1" s="1"/>
  <c r="L1306" i="1"/>
  <c r="N1306" i="1" s="1"/>
  <c r="L1338" i="1"/>
  <c r="N1338" i="1" s="1"/>
  <c r="L1295" i="1"/>
  <c r="N1295" i="1" s="1"/>
  <c r="L1334" i="1"/>
  <c r="N1334" i="1" s="1"/>
  <c r="L1335" i="1"/>
  <c r="N1335" i="1" s="1"/>
  <c r="L1315" i="1"/>
  <c r="N1315" i="1" s="1"/>
  <c r="L1296" i="1"/>
  <c r="N1296" i="1" s="1"/>
  <c r="L1293" i="1"/>
  <c r="N1293" i="1" s="1"/>
  <c r="L1294" i="1"/>
  <c r="N1294" i="1" s="1"/>
  <c r="L1319" i="1"/>
  <c r="N1319" i="1" s="1"/>
  <c r="L1343" i="1"/>
  <c r="N1343" i="1" s="1"/>
  <c r="L1316" i="1"/>
  <c r="N1316" i="1" s="1"/>
  <c r="L1341" i="1"/>
  <c r="N1341" i="1" s="1"/>
  <c r="L1330" i="1"/>
  <c r="N1330" i="1" s="1"/>
  <c r="L1324" i="1"/>
  <c r="N1324" i="1" s="1"/>
  <c r="L1302" i="1"/>
  <c r="N1302" i="1" s="1"/>
  <c r="L1336" i="1"/>
  <c r="N1336" i="1" s="1"/>
  <c r="L1328" i="1"/>
  <c r="N1328" i="1" s="1"/>
  <c r="L1299" i="1"/>
  <c r="N1299" i="1" s="1"/>
  <c r="L1337" i="1"/>
  <c r="N1337" i="1" s="1"/>
  <c r="L1350" i="1"/>
  <c r="N1350" i="1" s="1"/>
  <c r="L1377" i="1"/>
  <c r="N1377" i="1" s="1"/>
  <c r="L1367" i="1"/>
  <c r="N1367" i="1" s="1"/>
  <c r="L1381" i="1"/>
  <c r="N1381" i="1" s="1"/>
  <c r="L1346" i="1"/>
  <c r="N1346" i="1" s="1"/>
  <c r="L1349" i="1"/>
  <c r="N1349" i="1" s="1"/>
  <c r="L1378" i="1"/>
  <c r="N1378" i="1" s="1"/>
  <c r="L1363" i="1"/>
  <c r="N1363" i="1" s="1"/>
  <c r="L1366" i="1"/>
  <c r="N1366" i="1" s="1"/>
  <c r="L1361" i="1"/>
  <c r="N1361" i="1" s="1"/>
  <c r="L1376" i="1"/>
  <c r="N1376" i="1" s="1"/>
  <c r="L1365" i="1"/>
  <c r="N1365" i="1" s="1"/>
  <c r="L1364" i="1"/>
  <c r="N1364" i="1" s="1"/>
  <c r="L1351" i="1"/>
  <c r="N1351" i="1" s="1"/>
  <c r="L1360" i="1"/>
  <c r="N1360" i="1" s="1"/>
  <c r="L1382" i="1"/>
  <c r="N1382" i="1" s="1"/>
  <c r="L1347" i="1"/>
  <c r="N1347" i="1" s="1"/>
  <c r="L1383" i="1"/>
  <c r="N1383" i="1" s="1"/>
  <c r="L1348" i="1"/>
  <c r="N1348" i="1" s="1"/>
  <c r="L1362" i="1"/>
  <c r="N1362" i="1" s="1"/>
  <c r="L1380" i="1"/>
  <c r="N1380" i="1" s="1"/>
  <c r="L1344" i="1"/>
  <c r="N1344" i="1" s="1"/>
  <c r="L1345" i="1"/>
  <c r="N1345" i="1" s="1"/>
  <c r="L1379" i="1"/>
  <c r="N1379" i="1" s="1"/>
  <c r="L1388" i="1"/>
  <c r="N1388" i="1" s="1"/>
  <c r="L1387" i="1"/>
  <c r="N1387" i="1" s="1"/>
  <c r="L1358" i="1"/>
  <c r="N1358" i="1" s="1"/>
  <c r="L1385" i="1"/>
  <c r="N1385" i="1" s="1"/>
  <c r="L1375" i="1"/>
  <c r="N1375" i="1" s="1"/>
  <c r="L1357" i="1"/>
  <c r="N1357" i="1" s="1"/>
  <c r="L1374" i="1"/>
  <c r="N1374" i="1" s="1"/>
  <c r="L1389" i="1"/>
  <c r="N1389" i="1" s="1"/>
  <c r="L1356" i="1"/>
  <c r="N1356" i="1" s="1"/>
  <c r="L1359" i="1"/>
  <c r="N1359" i="1" s="1"/>
  <c r="L1371" i="1"/>
  <c r="N1371" i="1" s="1"/>
  <c r="L1386" i="1"/>
  <c r="N1386" i="1" s="1"/>
  <c r="L1390" i="1"/>
  <c r="N1390" i="1" s="1"/>
  <c r="L1368" i="1"/>
  <c r="N1368" i="1" s="1"/>
  <c r="L1352" i="1"/>
  <c r="N1352" i="1" s="1"/>
  <c r="L1372" i="1"/>
  <c r="N1372" i="1" s="1"/>
  <c r="L1384" i="1"/>
  <c r="N1384" i="1" s="1"/>
  <c r="L1370" i="1"/>
  <c r="N1370" i="1" s="1"/>
  <c r="L1353" i="1"/>
  <c r="N1353" i="1" s="1"/>
  <c r="L1354" i="1"/>
  <c r="N1354" i="1" s="1"/>
  <c r="L1391" i="1"/>
  <c r="L1369" i="1"/>
  <c r="N1369" i="1" s="1"/>
  <c r="L1373" i="1"/>
  <c r="N1373" i="1" s="1"/>
  <c r="L1355" i="1"/>
  <c r="N1355" i="1" s="1"/>
  <c r="L1095" i="1"/>
  <c r="N1095" i="1" s="1"/>
  <c r="L1094" i="1"/>
  <c r="N1094" i="1" s="1"/>
  <c r="L1098" i="1"/>
  <c r="N1098" i="1" s="1"/>
  <c r="L961" i="1"/>
  <c r="N961" i="1" s="1"/>
  <c r="L960" i="1"/>
  <c r="N960" i="1" s="1"/>
  <c r="L1096" i="1"/>
  <c r="N1096" i="1" s="1"/>
  <c r="L1097" i="1"/>
  <c r="N1097" i="1" s="1"/>
  <c r="L958" i="1"/>
  <c r="N958" i="1" s="1"/>
  <c r="L954" i="1"/>
  <c r="N954" i="1" s="1"/>
  <c r="L959" i="1"/>
  <c r="N959" i="1" s="1"/>
  <c r="L956" i="1"/>
  <c r="N956" i="1" s="1"/>
  <c r="L953" i="1"/>
  <c r="N953" i="1" s="1"/>
  <c r="L952" i="1"/>
  <c r="N952" i="1" s="1"/>
  <c r="L957" i="1"/>
  <c r="N957" i="1" s="1"/>
  <c r="L955" i="1"/>
  <c r="N955" i="1" s="1"/>
  <c r="L908" i="1"/>
  <c r="N908" i="1" s="1"/>
  <c r="L912" i="1"/>
  <c r="N912" i="1" s="1"/>
  <c r="L907" i="1"/>
  <c r="N907" i="1" s="1"/>
  <c r="L916" i="1"/>
  <c r="N916" i="1" s="1"/>
  <c r="L906" i="1"/>
  <c r="N906" i="1" s="1"/>
  <c r="L913" i="1"/>
  <c r="N913" i="1" s="1"/>
  <c r="L914" i="1"/>
  <c r="N914" i="1" s="1"/>
  <c r="L909" i="1"/>
  <c r="N909" i="1" s="1"/>
  <c r="L911" i="1"/>
  <c r="N911" i="1" s="1"/>
  <c r="L910" i="1"/>
  <c r="N910" i="1" s="1"/>
  <c r="L915" i="1"/>
  <c r="N915" i="1" s="1"/>
  <c r="L857" i="1"/>
  <c r="N857" i="1" s="1"/>
  <c r="L856" i="1"/>
  <c r="N856" i="1" s="1"/>
  <c r="L850" i="1"/>
  <c r="N850" i="1" s="1"/>
  <c r="L852" i="1"/>
  <c r="N852" i="1" s="1"/>
  <c r="L848" i="1"/>
  <c r="N848" i="1" s="1"/>
  <c r="L855" i="1"/>
  <c r="N855" i="1" s="1"/>
  <c r="L858" i="1"/>
  <c r="N858" i="1" s="1"/>
  <c r="L849" i="1"/>
  <c r="N849" i="1" s="1"/>
  <c r="L854" i="1"/>
  <c r="N854" i="1" s="1"/>
  <c r="L859" i="1"/>
  <c r="N859" i="1" s="1"/>
  <c r="L851" i="1"/>
  <c r="N851" i="1" s="1"/>
  <c r="L853" i="1"/>
  <c r="N853" i="1" s="1"/>
  <c r="L34" i="1"/>
  <c r="N34" i="1" s="1"/>
  <c r="L35" i="1"/>
  <c r="N35" i="1" s="1"/>
  <c r="L33" i="1"/>
  <c r="N33" i="1" s="1"/>
  <c r="L30" i="1"/>
  <c r="N30" i="1" s="1"/>
  <c r="L37" i="1"/>
  <c r="N37" i="1" s="1"/>
  <c r="L38" i="1"/>
  <c r="N38" i="1" s="1"/>
  <c r="L32" i="1"/>
  <c r="N32" i="1" s="1"/>
  <c r="L36" i="1"/>
  <c r="N36" i="1" s="1"/>
  <c r="L31" i="1"/>
  <c r="N31" i="1" s="1"/>
  <c r="L175" i="1"/>
  <c r="N175" i="1" s="1"/>
  <c r="L190" i="1"/>
  <c r="N190" i="1" s="1"/>
  <c r="L189" i="1"/>
  <c r="N189" i="1" s="1"/>
  <c r="L180" i="1"/>
  <c r="N180" i="1" s="1"/>
  <c r="L188" i="1"/>
  <c r="N188" i="1" s="1"/>
  <c r="L186" i="1"/>
  <c r="N186" i="1" s="1"/>
  <c r="L184" i="1"/>
  <c r="N184" i="1" s="1"/>
  <c r="L179" i="1"/>
  <c r="N179" i="1" s="1"/>
  <c r="L183" i="1"/>
  <c r="N183" i="1" s="1"/>
  <c r="L176" i="1"/>
  <c r="N176" i="1" s="1"/>
  <c r="L185" i="1"/>
  <c r="N185" i="1" s="1"/>
  <c r="L178" i="1"/>
  <c r="N178" i="1" s="1"/>
  <c r="L177" i="1"/>
  <c r="N177" i="1" s="1"/>
  <c r="L181" i="1"/>
  <c r="N181" i="1" s="1"/>
  <c r="L182" i="1"/>
  <c r="N182" i="1" s="1"/>
  <c r="L191" i="1"/>
  <c r="N191" i="1" s="1"/>
  <c r="L192" i="1"/>
  <c r="N192" i="1" s="1"/>
  <c r="L187" i="1"/>
  <c r="N187" i="1" s="1"/>
  <c r="L867" i="1"/>
  <c r="N867" i="1" s="1"/>
  <c r="L863" i="1"/>
  <c r="N863" i="1" s="1"/>
  <c r="L864" i="1"/>
  <c r="N864" i="1" s="1"/>
  <c r="L866" i="1"/>
  <c r="N866" i="1" s="1"/>
  <c r="L868" i="1"/>
  <c r="N868" i="1" s="1"/>
  <c r="L865" i="1"/>
  <c r="N865" i="1" s="1"/>
  <c r="L869" i="1"/>
  <c r="N869" i="1" s="1"/>
  <c r="L860" i="1"/>
  <c r="N860" i="1" s="1"/>
  <c r="L871" i="1"/>
  <c r="N871" i="1" s="1"/>
  <c r="L870" i="1"/>
  <c r="N870" i="1" s="1"/>
  <c r="L862" i="1"/>
  <c r="N862" i="1" s="1"/>
  <c r="L861" i="1"/>
  <c r="N861" i="1" s="1"/>
  <c r="L127" i="1"/>
  <c r="N127" i="1" s="1"/>
  <c r="L128" i="1"/>
  <c r="N128" i="1" s="1"/>
  <c r="L125" i="1"/>
  <c r="N125" i="1" s="1"/>
  <c r="L1404" i="1"/>
  <c r="N1404" i="1" s="1"/>
  <c r="L122" i="1"/>
  <c r="N122" i="1" s="1"/>
  <c r="L123" i="1"/>
  <c r="N123" i="1" s="1"/>
  <c r="L1403" i="1"/>
  <c r="N1403" i="1" s="1"/>
  <c r="L126" i="1"/>
  <c r="N126" i="1" s="1"/>
  <c r="L120" i="1"/>
  <c r="N120" i="1" s="1"/>
  <c r="L119" i="1"/>
  <c r="N119" i="1" s="1"/>
  <c r="L1406" i="1"/>
  <c r="N1406" i="1" s="1"/>
  <c r="L1405" i="1"/>
  <c r="N1405" i="1" s="1"/>
  <c r="L124" i="1"/>
  <c r="N124" i="1" s="1"/>
  <c r="L121" i="1"/>
  <c r="N121" i="1" s="1"/>
  <c r="L1401" i="1"/>
  <c r="N1401" i="1" s="1"/>
  <c r="L1407" i="1"/>
  <c r="N1407" i="1" s="1"/>
  <c r="L1402" i="1"/>
  <c r="N1402" i="1" s="1"/>
  <c r="L1399" i="1"/>
  <c r="N1399" i="1" s="1"/>
  <c r="L1400" i="1"/>
  <c r="N1400" i="1" s="1"/>
  <c r="L198" i="1"/>
  <c r="N198" i="1" s="1"/>
  <c r="L197" i="1"/>
  <c r="N197" i="1" s="1"/>
  <c r="L195" i="1"/>
  <c r="N195" i="1" s="1"/>
  <c r="L194" i="1"/>
  <c r="N194" i="1" s="1"/>
  <c r="L201" i="1"/>
  <c r="N201" i="1" s="1"/>
  <c r="L196" i="1"/>
  <c r="N196" i="1" s="1"/>
  <c r="L199" i="1"/>
  <c r="N199" i="1" s="1"/>
  <c r="L200" i="1"/>
  <c r="N200" i="1" s="1"/>
  <c r="L837" i="1"/>
  <c r="N837" i="1" s="1"/>
  <c r="L834" i="1"/>
  <c r="N834" i="1" s="1"/>
  <c r="L835" i="1"/>
  <c r="N835" i="1" s="1"/>
  <c r="L832" i="1"/>
  <c r="N832" i="1" s="1"/>
  <c r="L831" i="1"/>
  <c r="N831" i="1" s="1"/>
  <c r="L836" i="1"/>
  <c r="N836" i="1" s="1"/>
  <c r="L825" i="1"/>
  <c r="N825" i="1" s="1"/>
  <c r="L838" i="1"/>
  <c r="N838" i="1" s="1"/>
  <c r="L823" i="1"/>
  <c r="N823" i="1" s="1"/>
  <c r="L829" i="1"/>
  <c r="N829" i="1" s="1"/>
  <c r="L826" i="1"/>
  <c r="N826" i="1" s="1"/>
  <c r="L828" i="1"/>
  <c r="N828" i="1" s="1"/>
  <c r="L839" i="1"/>
  <c r="N839" i="1" s="1"/>
  <c r="L833" i="1"/>
  <c r="N833" i="1" s="1"/>
  <c r="L824" i="1"/>
  <c r="N824" i="1" s="1"/>
  <c r="L830" i="1"/>
  <c r="N830" i="1" s="1"/>
  <c r="L827" i="1"/>
  <c r="N827" i="1" s="1"/>
  <c r="L548" i="1"/>
  <c r="N548" i="1" s="1"/>
  <c r="L551" i="1"/>
  <c r="N551" i="1" s="1"/>
  <c r="L552" i="1"/>
  <c r="N552" i="1" s="1"/>
  <c r="L553" i="1"/>
  <c r="N553" i="1" s="1"/>
  <c r="L545" i="1"/>
  <c r="N545" i="1" s="1"/>
  <c r="L550" i="1"/>
  <c r="N550" i="1" s="1"/>
  <c r="L546" i="1"/>
  <c r="N546" i="1" s="1"/>
  <c r="L547" i="1"/>
  <c r="N547" i="1" s="1"/>
  <c r="L549" i="1"/>
  <c r="N549" i="1" s="1"/>
  <c r="L475" i="1"/>
  <c r="N475" i="1" s="1"/>
  <c r="L478" i="1"/>
  <c r="N478" i="1" s="1"/>
  <c r="L476" i="1"/>
  <c r="N476" i="1" s="1"/>
  <c r="L481" i="1"/>
  <c r="N481" i="1" s="1"/>
  <c r="L480" i="1"/>
  <c r="N480" i="1" s="1"/>
  <c r="L472" i="1"/>
  <c r="N472" i="1" s="1"/>
  <c r="L479" i="1"/>
  <c r="N479" i="1" s="1"/>
  <c r="L474" i="1"/>
  <c r="N474" i="1" s="1"/>
  <c r="L477" i="1"/>
  <c r="N477" i="1" s="1"/>
  <c r="L473" i="1"/>
  <c r="N473" i="1" s="1"/>
  <c r="L413" i="1"/>
  <c r="N413" i="1" s="1"/>
  <c r="L415" i="1"/>
  <c r="N415" i="1" s="1"/>
  <c r="L416" i="1"/>
  <c r="N416" i="1" s="1"/>
  <c r="L409" i="1"/>
  <c r="N409" i="1" s="1"/>
  <c r="L412" i="1"/>
  <c r="N412" i="1" s="1"/>
  <c r="L408" i="1"/>
  <c r="N408" i="1" s="1"/>
  <c r="L407" i="1"/>
  <c r="N407" i="1" s="1"/>
  <c r="L414" i="1"/>
  <c r="N414" i="1" s="1"/>
  <c r="L410" i="1"/>
  <c r="N410" i="1" s="1"/>
  <c r="L411" i="1"/>
  <c r="N411" i="1" s="1"/>
  <c r="L276" i="1"/>
  <c r="N276" i="1" s="1"/>
  <c r="L294" i="1"/>
  <c r="N294" i="1" s="1"/>
  <c r="L282" i="1"/>
  <c r="N282" i="1" s="1"/>
  <c r="L290" i="1"/>
  <c r="N290" i="1" s="1"/>
  <c r="L298" i="1"/>
  <c r="N298" i="1" s="1"/>
  <c r="L300" i="1"/>
  <c r="N300" i="1" s="1"/>
  <c r="L301" i="1"/>
  <c r="N301" i="1" s="1"/>
  <c r="L295" i="1"/>
  <c r="N295" i="1" s="1"/>
  <c r="L297" i="1"/>
  <c r="N297" i="1" s="1"/>
  <c r="L285" i="1"/>
  <c r="N285" i="1" s="1"/>
  <c r="L287" i="1"/>
  <c r="N287" i="1" s="1"/>
  <c r="L286" i="1"/>
  <c r="N286" i="1" s="1"/>
  <c r="L277" i="1"/>
  <c r="N277" i="1" s="1"/>
  <c r="L281" i="1"/>
  <c r="N281" i="1" s="1"/>
  <c r="L275" i="1"/>
  <c r="N275" i="1" s="1"/>
  <c r="L274" i="1"/>
  <c r="N274" i="1" s="1"/>
  <c r="L296" i="1"/>
  <c r="N296" i="1" s="1"/>
  <c r="L278" i="1"/>
  <c r="N278" i="1" s="1"/>
  <c r="L284" i="1"/>
  <c r="N284" i="1" s="1"/>
  <c r="L280" i="1"/>
  <c r="N280" i="1" s="1"/>
  <c r="L302" i="1"/>
  <c r="N302" i="1" s="1"/>
  <c r="L291" i="1"/>
  <c r="N291" i="1" s="1"/>
  <c r="L293" i="1"/>
  <c r="N293" i="1" s="1"/>
  <c r="L299" i="1"/>
  <c r="N299" i="1" s="1"/>
  <c r="L292" i="1"/>
  <c r="N292" i="1" s="1"/>
  <c r="L288" i="1"/>
  <c r="N288" i="1" s="1"/>
  <c r="L289" i="1"/>
  <c r="N289" i="1" s="1"/>
  <c r="L283" i="1"/>
  <c r="N283" i="1" s="1"/>
  <c r="L721" i="1"/>
  <c r="N721" i="1" s="1"/>
  <c r="L720" i="1"/>
  <c r="N720" i="1" s="1"/>
  <c r="L723" i="1"/>
  <c r="N723" i="1" s="1"/>
  <c r="L714" i="1"/>
  <c r="N714" i="1" s="1"/>
  <c r="L715" i="1"/>
  <c r="N715" i="1" s="1"/>
  <c r="L713" i="1"/>
  <c r="N713" i="1" s="1"/>
  <c r="L718" i="1"/>
  <c r="N718" i="1" s="1"/>
  <c r="L719" i="1"/>
  <c r="N719" i="1" s="1"/>
  <c r="L712" i="1"/>
  <c r="N712" i="1" s="1"/>
  <c r="L717" i="1"/>
  <c r="N717" i="1" s="1"/>
  <c r="L722" i="1"/>
  <c r="N722" i="1" s="1"/>
  <c r="L716" i="1"/>
  <c r="N716" i="1" s="1"/>
  <c r="L919" i="1"/>
  <c r="N919" i="1" s="1"/>
  <c r="L928" i="1"/>
  <c r="N928" i="1" s="1"/>
  <c r="L926" i="1"/>
  <c r="N926" i="1" s="1"/>
  <c r="L918" i="1"/>
  <c r="N918" i="1" s="1"/>
  <c r="L920" i="1"/>
  <c r="N920" i="1" s="1"/>
  <c r="L917" i="1"/>
  <c r="N917" i="1" s="1"/>
  <c r="L925" i="1"/>
  <c r="N925" i="1" s="1"/>
  <c r="L922" i="1"/>
  <c r="N922" i="1" s="1"/>
  <c r="L924" i="1"/>
  <c r="N924" i="1" s="1"/>
  <c r="L921" i="1"/>
  <c r="N921" i="1" s="1"/>
  <c r="L923" i="1"/>
  <c r="N923" i="1" s="1"/>
  <c r="L927" i="1"/>
  <c r="N927" i="1" s="1"/>
  <c r="L40" i="1"/>
  <c r="N40" i="1" s="1"/>
  <c r="L44" i="1"/>
  <c r="N44" i="1" s="1"/>
  <c r="L45" i="1"/>
  <c r="N45" i="1" s="1"/>
  <c r="L43" i="1"/>
  <c r="N43" i="1" s="1"/>
  <c r="L39" i="1"/>
  <c r="N39" i="1" s="1"/>
  <c r="L42" i="1"/>
  <c r="N42" i="1" s="1"/>
  <c r="L46" i="1"/>
  <c r="N46" i="1" s="1"/>
  <c r="L41" i="1"/>
  <c r="N41" i="1" s="1"/>
  <c r="L53" i="1"/>
  <c r="N53" i="1" s="1"/>
  <c r="L55" i="1"/>
  <c r="N55" i="1" s="1"/>
  <c r="L48" i="1"/>
  <c r="N48" i="1" s="1"/>
  <c r="L51" i="1"/>
  <c r="N51" i="1" s="1"/>
  <c r="L47" i="1"/>
  <c r="N47" i="1" s="1"/>
  <c r="L50" i="1"/>
  <c r="N50" i="1" s="1"/>
  <c r="L49" i="1"/>
  <c r="N49" i="1" s="1"/>
  <c r="L54" i="1"/>
  <c r="N54" i="1" s="1"/>
  <c r="L52" i="1"/>
  <c r="N52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139" i="1"/>
  <c r="N139" i="1" s="1"/>
  <c r="L140" i="1"/>
  <c r="N140" i="1" s="1"/>
  <c r="L141" i="1"/>
  <c r="N141" i="1" s="1"/>
  <c r="L144" i="1"/>
  <c r="N144" i="1" s="1"/>
  <c r="L145" i="1"/>
  <c r="N145" i="1" s="1"/>
  <c r="L146" i="1"/>
  <c r="N146" i="1" s="1"/>
  <c r="L147" i="1"/>
  <c r="N147" i="1" s="1"/>
  <c r="L148" i="1"/>
  <c r="N14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202" i="1"/>
  <c r="N202" i="1" s="1"/>
  <c r="L203" i="1"/>
  <c r="N203" i="1" s="1"/>
  <c r="L204" i="1"/>
  <c r="N204" i="1" s="1"/>
  <c r="L205" i="1"/>
  <c r="N205" i="1" s="1"/>
  <c r="L207" i="1"/>
  <c r="N207" i="1" s="1"/>
  <c r="L206" i="1"/>
  <c r="N206" i="1" s="1"/>
  <c r="L208" i="1"/>
  <c r="N208" i="1" s="1"/>
  <c r="L209" i="1"/>
  <c r="N209" i="1" s="1"/>
  <c r="L210" i="1"/>
  <c r="N210" i="1" s="1"/>
  <c r="L211" i="1"/>
  <c r="N211" i="1" s="1"/>
  <c r="L483" i="1"/>
  <c r="N483" i="1" s="1"/>
  <c r="L484" i="1"/>
  <c r="N484" i="1" s="1"/>
  <c r="L485" i="1"/>
  <c r="N485" i="1" s="1"/>
  <c r="L486" i="1"/>
  <c r="N486" i="1" s="1"/>
  <c r="L487" i="1"/>
  <c r="N487" i="1" s="1"/>
  <c r="L489" i="1"/>
  <c r="N489" i="1" s="1"/>
  <c r="L490" i="1"/>
  <c r="N490" i="1" s="1"/>
  <c r="L491" i="1"/>
  <c r="N491" i="1" s="1"/>
  <c r="L492" i="1"/>
  <c r="N492" i="1" s="1"/>
  <c r="L417" i="1"/>
  <c r="N417" i="1" s="1"/>
  <c r="L418" i="1"/>
  <c r="N418" i="1" s="1"/>
  <c r="L419" i="1"/>
  <c r="N419" i="1" s="1"/>
  <c r="L421" i="1"/>
  <c r="N421" i="1" s="1"/>
  <c r="L422" i="1"/>
  <c r="N422" i="1" s="1"/>
  <c r="L423" i="1"/>
  <c r="N423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56" i="1"/>
  <c r="N56" i="1" s="1"/>
  <c r="L57" i="1"/>
  <c r="N57" i="1" s="1"/>
  <c r="O57" i="1" s="1"/>
  <c r="L58" i="1"/>
  <c r="N58" i="1" s="1"/>
  <c r="O58" i="1" s="1"/>
  <c r="L59" i="1"/>
  <c r="N59" i="1" s="1"/>
  <c r="O59" i="1" s="1"/>
  <c r="L60" i="1"/>
  <c r="N60" i="1" s="1"/>
  <c r="O60" i="1" s="1"/>
  <c r="L61" i="1"/>
  <c r="N61" i="1" s="1"/>
  <c r="O61" i="1" s="1"/>
  <c r="L62" i="1"/>
  <c r="N62" i="1" s="1"/>
  <c r="O62" i="1" s="1"/>
  <c r="L63" i="1"/>
  <c r="L64" i="1"/>
  <c r="L1110" i="1"/>
  <c r="N1110" i="1" s="1"/>
  <c r="O1110" i="1" s="1"/>
  <c r="L1111" i="1"/>
  <c r="N1111" i="1" s="1"/>
  <c r="O1111" i="1" s="1"/>
  <c r="L1112" i="1"/>
  <c r="N1112" i="1" s="1"/>
  <c r="O1112" i="1" s="1"/>
  <c r="L1113" i="1"/>
  <c r="N1113" i="1" s="1"/>
  <c r="O1113" i="1" s="1"/>
  <c r="L1114" i="1"/>
  <c r="L1115" i="1"/>
  <c r="N1115" i="1" s="1"/>
  <c r="O1115" i="1" s="1"/>
  <c r="L1116" i="1"/>
  <c r="L1117" i="1"/>
  <c r="L1118" i="1"/>
  <c r="N1118" i="1" s="1"/>
  <c r="O1118" i="1" s="1"/>
  <c r="L1128" i="1"/>
  <c r="N1128" i="1" s="1"/>
  <c r="O1128" i="1" s="1"/>
  <c r="L1129" i="1"/>
  <c r="N1129" i="1" s="1"/>
  <c r="O1129" i="1" s="1"/>
  <c r="L1130" i="1"/>
  <c r="N1130" i="1" s="1"/>
  <c r="O1130" i="1" s="1"/>
  <c r="L1131" i="1"/>
  <c r="N1131" i="1" s="1"/>
  <c r="O1131" i="1" s="1"/>
  <c r="L1132" i="1"/>
  <c r="N1132" i="1" s="1"/>
  <c r="O1132" i="1" s="1"/>
  <c r="L1133" i="1"/>
  <c r="N1133" i="1" s="1"/>
  <c r="O1133" i="1" s="1"/>
  <c r="L1134" i="1"/>
  <c r="L1135" i="1"/>
  <c r="N1135" i="1" s="1"/>
  <c r="O1135" i="1" s="1"/>
  <c r="L1136" i="1"/>
  <c r="N1136" i="1" s="1"/>
  <c r="O1136" i="1" s="1"/>
  <c r="L1145" i="1"/>
  <c r="N1145" i="1" s="1"/>
  <c r="O1145" i="1" s="1"/>
  <c r="L1146" i="1"/>
  <c r="N1146" i="1" s="1"/>
  <c r="O1146" i="1" s="1"/>
  <c r="L1147" i="1"/>
  <c r="N1147" i="1" s="1"/>
  <c r="L1148" i="1"/>
  <c r="N1148" i="1" s="1"/>
  <c r="O1148" i="1" s="1"/>
  <c r="L1149" i="1"/>
  <c r="N1149" i="1" s="1"/>
  <c r="O1149" i="1" s="1"/>
  <c r="L1150" i="1"/>
  <c r="N1150" i="1" s="1"/>
  <c r="L1151" i="1"/>
  <c r="N1151" i="1" s="1"/>
  <c r="O1151" i="1" s="1"/>
  <c r="L1152" i="1"/>
  <c r="N1152" i="1" s="1"/>
  <c r="O1152" i="1" s="1"/>
  <c r="L1153" i="1"/>
  <c r="N1153" i="1" s="1"/>
  <c r="O1153" i="1" s="1"/>
  <c r="L1162" i="1"/>
  <c r="N1162" i="1" s="1"/>
  <c r="O1162" i="1" s="1"/>
  <c r="L1163" i="1"/>
  <c r="N1163" i="1" s="1"/>
  <c r="O1163" i="1" s="1"/>
  <c r="L1164" i="1"/>
  <c r="N1164" i="1" s="1"/>
  <c r="O1164" i="1" s="1"/>
  <c r="L1165" i="1"/>
  <c r="L1166" i="1"/>
  <c r="L1167" i="1"/>
  <c r="N1167" i="1" s="1"/>
  <c r="O1167" i="1" s="1"/>
  <c r="L1168" i="1"/>
  <c r="N1168" i="1" s="1"/>
  <c r="O1168" i="1" s="1"/>
  <c r="L1169" i="1"/>
  <c r="N1169" i="1" s="1"/>
  <c r="O1169" i="1" s="1"/>
  <c r="L1170" i="1"/>
  <c r="N1170" i="1" s="1"/>
  <c r="O1170" i="1" s="1"/>
  <c r="L1179" i="1"/>
  <c r="N1179" i="1" s="1"/>
  <c r="L1180" i="1"/>
  <c r="N1180" i="1" s="1"/>
  <c r="O1180" i="1" s="1"/>
  <c r="L1181" i="1"/>
  <c r="N1181" i="1" s="1"/>
  <c r="L1182" i="1"/>
  <c r="N1182" i="1" s="1"/>
  <c r="L1183" i="1"/>
  <c r="N1183" i="1" s="1"/>
  <c r="O1183" i="1" s="1"/>
  <c r="L1184" i="1"/>
  <c r="N1184" i="1" s="1"/>
  <c r="O1184" i="1" s="1"/>
  <c r="L1185" i="1"/>
  <c r="N1185" i="1" s="1"/>
  <c r="O1185" i="1" s="1"/>
  <c r="L1186" i="1"/>
  <c r="N1186" i="1" s="1"/>
  <c r="O1186" i="1" s="1"/>
  <c r="L1187" i="1"/>
  <c r="N1187" i="1" s="1"/>
  <c r="O1187" i="1" s="1"/>
  <c r="L1196" i="1"/>
  <c r="N1196" i="1" s="1"/>
  <c r="O1196" i="1" s="1"/>
  <c r="L1197" i="1"/>
  <c r="L1198" i="1"/>
  <c r="L1199" i="1"/>
  <c r="N1199" i="1" s="1"/>
  <c r="O1199" i="1" s="1"/>
  <c r="L1200" i="1"/>
  <c r="N1200" i="1" s="1"/>
  <c r="O1200" i="1" s="1"/>
  <c r="L1201" i="1"/>
  <c r="N1201" i="1" s="1"/>
  <c r="O1201" i="1" s="1"/>
  <c r="L1202" i="1"/>
  <c r="N1202" i="1" s="1"/>
  <c r="O1202" i="1" s="1"/>
  <c r="L1203" i="1"/>
  <c r="L1204" i="1"/>
  <c r="N1204" i="1" s="1"/>
  <c r="O1204" i="1" s="1"/>
  <c r="L1212" i="1"/>
  <c r="N1212" i="1" s="1"/>
  <c r="L1213" i="1"/>
  <c r="L1214" i="1"/>
  <c r="N1214" i="1" s="1"/>
  <c r="O1214" i="1" s="1"/>
  <c r="L1215" i="1"/>
  <c r="N1215" i="1" s="1"/>
  <c r="O1215" i="1" s="1"/>
  <c r="L1216" i="1"/>
  <c r="N1216" i="1" s="1"/>
  <c r="O1216" i="1" s="1"/>
  <c r="L1217" i="1"/>
  <c r="N1217" i="1" s="1"/>
  <c r="O1217" i="1" s="1"/>
  <c r="L1218" i="1"/>
  <c r="N1218" i="1" s="1"/>
  <c r="O1218" i="1" s="1"/>
  <c r="L1219" i="1"/>
  <c r="N1219" i="1" s="1"/>
  <c r="O1219" i="1" s="1"/>
  <c r="L1220" i="1"/>
  <c r="L1119" i="1"/>
  <c r="L1120" i="1"/>
  <c r="L1121" i="1"/>
  <c r="N1121" i="1" s="1"/>
  <c r="O1121" i="1" s="1"/>
  <c r="L1122" i="1"/>
  <c r="N1122" i="1" s="1"/>
  <c r="O1122" i="1" s="1"/>
  <c r="L1123" i="1"/>
  <c r="N1123" i="1" s="1"/>
  <c r="O1123" i="1" s="1"/>
  <c r="L1124" i="1"/>
  <c r="L1125" i="1"/>
  <c r="N1125" i="1" s="1"/>
  <c r="O1125" i="1" s="1"/>
  <c r="L1126" i="1"/>
  <c r="L1127" i="1"/>
  <c r="L1137" i="1"/>
  <c r="N1137" i="1" s="1"/>
  <c r="O1137" i="1" s="1"/>
  <c r="L1138" i="1"/>
  <c r="N1138" i="1" s="1"/>
  <c r="O1138" i="1" s="1"/>
  <c r="L1139" i="1"/>
  <c r="N1139" i="1" s="1"/>
  <c r="O1139" i="1" s="1"/>
  <c r="L1140" i="1"/>
  <c r="N1140" i="1" s="1"/>
  <c r="O1140" i="1" s="1"/>
  <c r="L1141" i="1"/>
  <c r="N1141" i="1" s="1"/>
  <c r="O1141" i="1" s="1"/>
  <c r="L1142" i="1"/>
  <c r="N1142" i="1" s="1"/>
  <c r="O1142" i="1" s="1"/>
  <c r="L1143" i="1"/>
  <c r="L1144" i="1"/>
  <c r="L1154" i="1"/>
  <c r="N1154" i="1" s="1"/>
  <c r="O1154" i="1" s="1"/>
  <c r="L1155" i="1"/>
  <c r="N1155" i="1" s="1"/>
  <c r="O1155" i="1" s="1"/>
  <c r="L1156" i="1"/>
  <c r="N1156" i="1" s="1"/>
  <c r="O1156" i="1" s="1"/>
  <c r="L1157" i="1"/>
  <c r="N1157" i="1" s="1"/>
  <c r="O1157" i="1" s="1"/>
  <c r="L1158" i="1"/>
  <c r="N1158" i="1" s="1"/>
  <c r="L1159" i="1"/>
  <c r="N1159" i="1" s="1"/>
  <c r="O1159" i="1" s="1"/>
  <c r="L1160" i="1"/>
  <c r="L1161" i="1"/>
  <c r="L1172" i="1"/>
  <c r="N1172" i="1" s="1"/>
  <c r="O1172" i="1" s="1"/>
  <c r="L1171" i="1"/>
  <c r="N1171" i="1" s="1"/>
  <c r="O1171" i="1" s="1"/>
  <c r="L1173" i="1"/>
  <c r="N1173" i="1" s="1"/>
  <c r="O1173" i="1" s="1"/>
  <c r="L1174" i="1"/>
  <c r="N1174" i="1" s="1"/>
  <c r="O1174" i="1" s="1"/>
  <c r="L1175" i="1"/>
  <c r="N1175" i="1" s="1"/>
  <c r="O1175" i="1" s="1"/>
  <c r="L1176" i="1"/>
  <c r="N1176" i="1" s="1"/>
  <c r="O1176" i="1" s="1"/>
  <c r="L1177" i="1"/>
  <c r="L1178" i="1"/>
  <c r="L1188" i="1"/>
  <c r="N1188" i="1" s="1"/>
  <c r="O1188" i="1" s="1"/>
  <c r="L1189" i="1"/>
  <c r="N1189" i="1" s="1"/>
  <c r="O1189" i="1" s="1"/>
  <c r="L1190" i="1"/>
  <c r="N1190" i="1" s="1"/>
  <c r="O1190" i="1" s="1"/>
  <c r="L1191" i="1"/>
  <c r="N1191" i="1" s="1"/>
  <c r="O1191" i="1" s="1"/>
  <c r="L1192" i="1"/>
  <c r="N1192" i="1" s="1"/>
  <c r="O1192" i="1" s="1"/>
  <c r="L1193" i="1"/>
  <c r="N1193" i="1" s="1"/>
  <c r="O1193" i="1" s="1"/>
  <c r="L1194" i="1"/>
  <c r="L1195" i="1"/>
  <c r="L1205" i="1"/>
  <c r="N1205" i="1" s="1"/>
  <c r="O1205" i="1" s="1"/>
  <c r="L1206" i="1"/>
  <c r="N1206" i="1" s="1"/>
  <c r="O1206" i="1" s="1"/>
  <c r="L1207" i="1"/>
  <c r="N1207" i="1" s="1"/>
  <c r="O1207" i="1" s="1"/>
  <c r="L1208" i="1"/>
  <c r="N1208" i="1" s="1"/>
  <c r="O1208" i="1" s="1"/>
  <c r="L1209" i="1"/>
  <c r="N1209" i="1" s="1"/>
  <c r="O1209" i="1" s="1"/>
  <c r="L1210" i="1"/>
  <c r="N1210" i="1" s="1"/>
  <c r="O1210" i="1" s="1"/>
  <c r="L1211" i="1"/>
  <c r="N1211" i="1" s="1"/>
  <c r="L1221" i="1"/>
  <c r="L1222" i="1"/>
  <c r="N1222" i="1" s="1"/>
  <c r="O1222" i="1" s="1"/>
  <c r="L1223" i="1"/>
  <c r="N1223" i="1" s="1"/>
  <c r="O1223" i="1" s="1"/>
  <c r="L1224" i="1"/>
  <c r="N1224" i="1" s="1"/>
  <c r="O1224" i="1" s="1"/>
  <c r="L1225" i="1"/>
  <c r="N1225" i="1" s="1"/>
  <c r="O1225" i="1" s="1"/>
  <c r="L1226" i="1"/>
  <c r="N1226" i="1" s="1"/>
  <c r="L1227" i="1"/>
  <c r="L1228" i="1"/>
  <c r="N1228" i="1" s="1"/>
  <c r="L1229" i="1"/>
  <c r="N1229" i="1" s="1"/>
  <c r="L1230" i="1"/>
  <c r="N1230" i="1" s="1"/>
  <c r="O1230" i="1" s="1"/>
  <c r="L1231" i="1"/>
  <c r="N1231" i="1" s="1"/>
  <c r="O1231" i="1" s="1"/>
  <c r="L1232" i="1"/>
  <c r="N1232" i="1" s="1"/>
  <c r="L1233" i="1"/>
  <c r="L1234" i="1"/>
  <c r="L1235" i="1"/>
  <c r="N1235" i="1" s="1"/>
  <c r="O1235" i="1" s="1"/>
  <c r="L1244" i="1"/>
  <c r="L1245" i="1"/>
  <c r="L1247" i="1"/>
  <c r="N1247" i="1" s="1"/>
  <c r="O1247" i="1" s="1"/>
  <c r="L1248" i="1"/>
  <c r="N1248" i="1" s="1"/>
  <c r="L1249" i="1"/>
  <c r="N1249" i="1" s="1"/>
  <c r="O1249" i="1" s="1"/>
  <c r="L1250" i="1"/>
  <c r="L1251" i="1"/>
  <c r="N1251" i="1" s="1"/>
  <c r="O1251" i="1" s="1"/>
  <c r="L1261" i="1"/>
  <c r="N1261" i="1" s="1"/>
  <c r="O1261" i="1" s="1"/>
  <c r="L1262" i="1"/>
  <c r="N1262" i="1" s="1"/>
  <c r="L1263" i="1"/>
  <c r="N1263" i="1" s="1"/>
  <c r="O1263" i="1" s="1"/>
  <c r="L1264" i="1"/>
  <c r="N1264" i="1" s="1"/>
  <c r="O1264" i="1" s="1"/>
  <c r="L1265" i="1"/>
  <c r="N1265" i="1" s="1"/>
  <c r="O1265" i="1" s="1"/>
  <c r="L1266" i="1"/>
  <c r="L1267" i="1"/>
  <c r="N1267" i="1" s="1"/>
  <c r="O1267" i="1" s="1"/>
  <c r="L1268" i="1"/>
  <c r="N1268" i="1" s="1"/>
  <c r="O1268" i="1" s="1"/>
  <c r="L1107" i="1"/>
  <c r="L1108" i="1"/>
  <c r="L1109" i="1"/>
  <c r="N1109" i="1" s="1"/>
  <c r="O1109" i="1" s="1"/>
  <c r="L1278" i="1"/>
  <c r="N1278" i="1" s="1"/>
  <c r="O1278" i="1" s="1"/>
  <c r="L1279" i="1"/>
  <c r="N1279" i="1" s="1"/>
  <c r="O1279" i="1" s="1"/>
  <c r="L1280" i="1"/>
  <c r="N1280" i="1" s="1"/>
  <c r="L1281" i="1"/>
  <c r="L1282" i="1"/>
  <c r="L1236" i="1"/>
  <c r="L1237" i="1"/>
  <c r="L1238" i="1"/>
  <c r="N1238" i="1" s="1"/>
  <c r="O1238" i="1" s="1"/>
  <c r="L1239" i="1"/>
  <c r="L1240" i="1"/>
  <c r="L1241" i="1"/>
  <c r="L1242" i="1"/>
  <c r="L1243" i="1"/>
  <c r="N1243" i="1" s="1"/>
  <c r="O1243" i="1" s="1"/>
  <c r="L1252" i="1"/>
  <c r="L1253" i="1"/>
  <c r="L1254" i="1"/>
  <c r="L1255" i="1"/>
  <c r="L1256" i="1"/>
  <c r="L1257" i="1"/>
  <c r="L1258" i="1"/>
  <c r="L1259" i="1"/>
  <c r="N1259" i="1" s="1"/>
  <c r="O1259" i="1" s="1"/>
  <c r="L1260" i="1"/>
  <c r="L1270" i="1"/>
  <c r="N1270" i="1" s="1"/>
  <c r="L1269" i="1"/>
  <c r="N1269" i="1" s="1"/>
  <c r="O1269" i="1" s="1"/>
  <c r="L1271" i="1"/>
  <c r="N1271" i="1" s="1"/>
  <c r="O1271" i="1" s="1"/>
  <c r="L1272" i="1"/>
  <c r="N1272" i="1" s="1"/>
  <c r="O1272" i="1" s="1"/>
  <c r="L1273" i="1"/>
  <c r="L1274" i="1"/>
  <c r="L1275" i="1"/>
  <c r="N1275" i="1" s="1"/>
  <c r="O1275" i="1" s="1"/>
  <c r="L1276" i="1"/>
  <c r="L1277" i="1"/>
  <c r="L1099" i="1"/>
  <c r="L1100" i="1"/>
  <c r="L1101" i="1"/>
  <c r="N1101" i="1" s="1"/>
  <c r="O1101" i="1" s="1"/>
  <c r="L1102" i="1"/>
  <c r="N1102" i="1" s="1"/>
  <c r="O1102" i="1" s="1"/>
  <c r="L1103" i="1"/>
  <c r="L1104" i="1"/>
  <c r="L1105" i="1"/>
  <c r="L1106" i="1"/>
  <c r="L982" i="1"/>
  <c r="N982" i="1" s="1"/>
  <c r="L1044" i="1"/>
  <c r="N1044" i="1" s="1"/>
  <c r="L976" i="1"/>
  <c r="N976" i="1" s="1"/>
  <c r="L1010" i="1"/>
  <c r="N1010" i="1" s="1"/>
  <c r="L1023" i="1"/>
  <c r="N1023" i="1" s="1"/>
  <c r="L1042" i="1"/>
  <c r="N1042" i="1" s="1"/>
  <c r="L1029" i="1"/>
  <c r="N1029" i="1" s="1"/>
  <c r="L971" i="1"/>
  <c r="N971" i="1" s="1"/>
  <c r="L1000" i="1"/>
  <c r="N1000" i="1" s="1"/>
  <c r="L1052" i="1"/>
  <c r="N1052" i="1" s="1"/>
  <c r="L1017" i="1"/>
  <c r="N1017" i="1" s="1"/>
  <c r="L1057" i="1"/>
  <c r="N1057" i="1" s="1"/>
  <c r="L990" i="1"/>
  <c r="N990" i="1" s="1"/>
  <c r="L985" i="1"/>
  <c r="N985" i="1" s="1"/>
  <c r="L988" i="1"/>
  <c r="N988" i="1" s="1"/>
  <c r="L1037" i="1"/>
  <c r="N1037" i="1" s="1"/>
  <c r="L1070" i="1"/>
  <c r="N1070" i="1" s="1"/>
  <c r="L1035" i="1"/>
  <c r="N1035" i="1" s="1"/>
  <c r="L1004" i="1"/>
  <c r="N1004" i="1" s="1"/>
  <c r="L1049" i="1"/>
  <c r="N1049" i="1" s="1"/>
  <c r="L1002" i="1"/>
  <c r="N1002" i="1" s="1"/>
  <c r="L1087" i="1"/>
  <c r="N1087" i="1" s="1"/>
  <c r="L999" i="1"/>
  <c r="N999" i="1" s="1"/>
  <c r="L1001" i="1"/>
  <c r="N1001" i="1" s="1"/>
  <c r="L1092" i="1"/>
  <c r="N1092" i="1" s="1"/>
  <c r="L1038" i="1"/>
  <c r="N1038" i="1" s="1"/>
  <c r="L1059" i="1"/>
  <c r="N1059" i="1" s="1"/>
  <c r="L1032" i="1"/>
  <c r="N1032" i="1" s="1"/>
  <c r="L970" i="1"/>
  <c r="N970" i="1" s="1"/>
  <c r="L1036" i="1"/>
  <c r="N1036" i="1" s="1"/>
  <c r="L968" i="1"/>
  <c r="N968" i="1" s="1"/>
  <c r="L991" i="1"/>
  <c r="N991" i="1" s="1"/>
  <c r="L986" i="1"/>
  <c r="N986" i="1" s="1"/>
  <c r="L1071" i="1"/>
  <c r="N1071" i="1" s="1"/>
  <c r="L1061" i="1"/>
  <c r="N1061" i="1" s="1"/>
  <c r="L1060" i="1"/>
  <c r="N1060" i="1" s="1"/>
  <c r="L972" i="1"/>
  <c r="N972" i="1" s="1"/>
  <c r="L1006" i="1"/>
  <c r="N1006" i="1" s="1"/>
  <c r="L1018" i="1"/>
  <c r="N1018" i="1" s="1"/>
  <c r="L1055" i="1"/>
  <c r="N1055" i="1" s="1"/>
  <c r="L1031" i="1"/>
  <c r="N1031" i="1" s="1"/>
  <c r="L1058" i="1"/>
  <c r="N1058" i="1" s="1"/>
  <c r="L1093" i="1"/>
  <c r="N1093" i="1" s="1"/>
  <c r="L1086" i="1"/>
  <c r="N1086" i="1" s="1"/>
  <c r="L1073" i="1"/>
  <c r="N1073" i="1" s="1"/>
  <c r="L984" i="1"/>
  <c r="N984" i="1" s="1"/>
  <c r="L1034" i="1"/>
  <c r="N1034" i="1" s="1"/>
  <c r="L1056" i="1"/>
  <c r="N1056" i="1" s="1"/>
  <c r="L1048" i="1"/>
  <c r="N1048" i="1" s="1"/>
  <c r="L1005" i="1"/>
  <c r="N1005" i="1" s="1"/>
  <c r="L1016" i="1"/>
  <c r="N1016" i="1" s="1"/>
  <c r="L1050" i="1"/>
  <c r="N1050" i="1" s="1"/>
  <c r="L975" i="1"/>
  <c r="N975" i="1" s="1"/>
  <c r="L1054" i="1"/>
  <c r="N1054" i="1" s="1"/>
  <c r="L1015" i="1"/>
  <c r="N1015" i="1" s="1"/>
  <c r="L989" i="1"/>
  <c r="N989" i="1" s="1"/>
  <c r="L1019" i="1"/>
  <c r="N1019" i="1" s="1"/>
  <c r="L987" i="1"/>
  <c r="N987" i="1" s="1"/>
  <c r="L1033" i="1"/>
  <c r="N1033" i="1" s="1"/>
  <c r="L969" i="1"/>
  <c r="N969" i="1" s="1"/>
  <c r="L1020" i="1"/>
  <c r="N1020" i="1" s="1"/>
  <c r="L974" i="1"/>
  <c r="N974" i="1" s="1"/>
  <c r="L1088" i="1"/>
  <c r="N1088" i="1" s="1"/>
  <c r="L1074" i="1"/>
  <c r="N1074" i="1" s="1"/>
  <c r="L1089" i="1"/>
  <c r="N1089" i="1" s="1"/>
  <c r="L1021" i="1"/>
  <c r="N1021" i="1" s="1"/>
  <c r="L1075" i="1"/>
  <c r="N1075" i="1" s="1"/>
  <c r="L1003" i="1"/>
  <c r="N1003" i="1" s="1"/>
  <c r="L1022" i="1"/>
  <c r="N1022" i="1" s="1"/>
  <c r="L973" i="1"/>
  <c r="N973" i="1" s="1"/>
  <c r="L1053" i="1"/>
  <c r="N1053" i="1" s="1"/>
  <c r="L1090" i="1"/>
  <c r="N1090" i="1" s="1"/>
  <c r="L1051" i="1"/>
  <c r="N1051" i="1" s="1"/>
  <c r="L1047" i="1"/>
  <c r="N1047" i="1" s="1"/>
  <c r="L1069" i="1"/>
  <c r="N1069" i="1" s="1"/>
  <c r="L1067" i="1"/>
  <c r="N1067" i="1" s="1"/>
  <c r="L1081" i="1"/>
  <c r="N1081" i="1" s="1"/>
  <c r="L1066" i="1"/>
  <c r="N1066" i="1" s="1"/>
  <c r="L1068" i="1"/>
  <c r="N1068" i="1" s="1"/>
  <c r="L1082" i="1"/>
  <c r="N1082" i="1" s="1"/>
  <c r="L1065" i="1"/>
  <c r="N1065" i="1" s="1"/>
  <c r="L1063" i="1"/>
  <c r="N1063" i="1" s="1"/>
  <c r="L1080" i="1"/>
  <c r="N1080" i="1" s="1"/>
  <c r="L1064" i="1"/>
  <c r="N1064" i="1" s="1"/>
  <c r="L1084" i="1"/>
  <c r="N1084" i="1" s="1"/>
  <c r="L1085" i="1"/>
  <c r="N1085" i="1" s="1"/>
  <c r="L1062" i="1"/>
  <c r="N1062" i="1" s="1"/>
  <c r="L1078" i="1"/>
  <c r="N1078" i="1" s="1"/>
  <c r="L1397" i="1"/>
  <c r="N1397" i="1" s="1"/>
  <c r="L1292" i="1"/>
  <c r="N1292" i="1" s="1"/>
  <c r="L1395" i="1"/>
  <c r="N1395" i="1" s="1"/>
  <c r="L1396" i="1"/>
  <c r="N1396" i="1" s="1"/>
  <c r="L1394" i="1"/>
  <c r="N1394" i="1" s="1"/>
  <c r="L1392" i="1"/>
  <c r="N1392" i="1" s="1"/>
  <c r="L1398" i="1"/>
  <c r="N1398" i="1" s="1"/>
  <c r="L1393" i="1"/>
  <c r="N1393" i="1" s="1"/>
  <c r="L1287" i="1"/>
  <c r="N1287" i="1" s="1"/>
  <c r="L1288" i="1"/>
  <c r="N1288" i="1" s="1"/>
  <c r="L1291" i="1"/>
  <c r="N1291" i="1" s="1"/>
  <c r="L1283" i="1"/>
  <c r="N1283" i="1" s="1"/>
  <c r="L1284" i="1"/>
  <c r="N1284" i="1" s="1"/>
  <c r="L1289" i="1"/>
  <c r="N1289" i="1" s="1"/>
  <c r="L1290" i="1"/>
  <c r="N1290" i="1" s="1"/>
  <c r="L1285" i="1"/>
  <c r="N1285" i="1" s="1"/>
  <c r="L1286" i="1"/>
  <c r="N1286" i="1" s="1"/>
  <c r="L155" i="1"/>
  <c r="N155" i="1" s="1"/>
  <c r="L149" i="1"/>
  <c r="N149" i="1" s="1"/>
  <c r="L165" i="1"/>
  <c r="N165" i="1" s="1"/>
  <c r="L162" i="1"/>
  <c r="N162" i="1" s="1"/>
  <c r="L161" i="1"/>
  <c r="N161" i="1" s="1"/>
  <c r="L160" i="1"/>
  <c r="N160" i="1" s="1"/>
  <c r="L159" i="1"/>
  <c r="N159" i="1" s="1"/>
  <c r="L154" i="1"/>
  <c r="N154" i="1" s="1"/>
  <c r="L163" i="1"/>
  <c r="N163" i="1" s="1"/>
  <c r="L156" i="1"/>
  <c r="N156" i="1" s="1"/>
  <c r="L150" i="1"/>
  <c r="N150" i="1" s="1"/>
  <c r="L153" i="1"/>
  <c r="N153" i="1" s="1"/>
  <c r="L158" i="1"/>
  <c r="N158" i="1" s="1"/>
  <c r="L151" i="1"/>
  <c r="N151" i="1" s="1"/>
  <c r="L164" i="1"/>
  <c r="N164" i="1" s="1"/>
  <c r="L152" i="1"/>
  <c r="N152" i="1" s="1"/>
  <c r="L157" i="1"/>
  <c r="N157" i="1" s="1"/>
  <c r="L243" i="1"/>
  <c r="N243" i="1" s="1"/>
  <c r="L241" i="1"/>
  <c r="N241" i="1" s="1"/>
  <c r="L233" i="1"/>
  <c r="N233" i="1" s="1"/>
  <c r="L214" i="1"/>
  <c r="N214" i="1" s="1"/>
  <c r="L240" i="1"/>
  <c r="N240" i="1" s="1"/>
  <c r="L242" i="1"/>
  <c r="N242" i="1" s="1"/>
  <c r="L230" i="1"/>
  <c r="N230" i="1" s="1"/>
  <c r="L223" i="1"/>
  <c r="N223" i="1" s="1"/>
  <c r="L227" i="1"/>
  <c r="N227" i="1" s="1"/>
  <c r="L224" i="1"/>
  <c r="N224" i="1" s="1"/>
  <c r="L237" i="1"/>
  <c r="N237" i="1" s="1"/>
  <c r="L238" i="1"/>
  <c r="N238" i="1" s="1"/>
  <c r="L239" i="1"/>
  <c r="N239" i="1" s="1"/>
  <c r="L216" i="1"/>
  <c r="N216" i="1" s="1"/>
  <c r="L226" i="1"/>
  <c r="N226" i="1" s="1"/>
  <c r="L222" i="1"/>
  <c r="N222" i="1" s="1"/>
  <c r="L217" i="1"/>
  <c r="N217" i="1" s="1"/>
  <c r="L235" i="1"/>
  <c r="N235" i="1" s="1"/>
  <c r="L234" i="1"/>
  <c r="N234" i="1" s="1"/>
  <c r="L225" i="1"/>
  <c r="N225" i="1" s="1"/>
  <c r="L218" i="1"/>
  <c r="N218" i="1" s="1"/>
  <c r="L228" i="1"/>
  <c r="N228" i="1" s="1"/>
  <c r="L236" i="1"/>
  <c r="N236" i="1" s="1"/>
  <c r="L221" i="1"/>
  <c r="N221" i="1" s="1"/>
  <c r="L231" i="1"/>
  <c r="N231" i="1" s="1"/>
  <c r="L245" i="1"/>
  <c r="N245" i="1" s="1"/>
  <c r="L244" i="1"/>
  <c r="N244" i="1" s="1"/>
  <c r="L219" i="1"/>
  <c r="N219" i="1" s="1"/>
  <c r="L213" i="1"/>
  <c r="N213" i="1" s="1"/>
  <c r="L212" i="1"/>
  <c r="N212" i="1" s="1"/>
  <c r="L215" i="1"/>
  <c r="N215" i="1" s="1"/>
  <c r="L232" i="1"/>
  <c r="N232" i="1" s="1"/>
  <c r="L220" i="1"/>
  <c r="N220" i="1" s="1"/>
  <c r="L511" i="1"/>
  <c r="N511" i="1" s="1"/>
  <c r="L510" i="1"/>
  <c r="N510" i="1" s="1"/>
  <c r="L512" i="1"/>
  <c r="N512" i="1" s="1"/>
  <c r="L508" i="1"/>
  <c r="N508" i="1" s="1"/>
  <c r="L505" i="1"/>
  <c r="N505" i="1" s="1"/>
  <c r="L509" i="1"/>
  <c r="N509" i="1" s="1"/>
  <c r="L513" i="1"/>
  <c r="N513" i="1" s="1"/>
  <c r="L507" i="1"/>
  <c r="N507" i="1" s="1"/>
  <c r="L504" i="1"/>
  <c r="N504" i="1" s="1"/>
  <c r="L13" i="1"/>
  <c r="N13" i="1" s="1"/>
  <c r="L15" i="1"/>
  <c r="N15" i="1" s="1"/>
  <c r="L12" i="1"/>
  <c r="N12" i="1" s="1"/>
  <c r="L11" i="1"/>
  <c r="N11" i="1" s="1"/>
  <c r="L10" i="1"/>
  <c r="N10" i="1" s="1"/>
  <c r="L5" i="1"/>
  <c r="N5" i="1" s="1"/>
  <c r="L8" i="1"/>
  <c r="N8" i="1" s="1"/>
  <c r="L4" i="1"/>
  <c r="N4" i="1" s="1"/>
  <c r="L6" i="1"/>
  <c r="N6" i="1" s="1"/>
  <c r="L3" i="1"/>
  <c r="N3" i="1" s="1"/>
  <c r="L7" i="1"/>
  <c r="N7" i="1" s="1"/>
  <c r="L9" i="1"/>
  <c r="N9" i="1" s="1"/>
  <c r="L14" i="1"/>
  <c r="N14" i="1" s="1"/>
  <c r="L2" i="1"/>
  <c r="N2" i="1" s="1"/>
  <c r="L18" i="1"/>
  <c r="N18" i="1" s="1"/>
  <c r="L17" i="1"/>
  <c r="N17" i="1" s="1"/>
  <c r="L16" i="1"/>
  <c r="N16" i="1" s="1"/>
  <c r="L887" i="1"/>
  <c r="N887" i="1" s="1"/>
  <c r="L878" i="1"/>
  <c r="N878" i="1" s="1"/>
  <c r="L883" i="1"/>
  <c r="N883" i="1" s="1"/>
  <c r="L885" i="1"/>
  <c r="N885" i="1" s="1"/>
  <c r="L881" i="1"/>
  <c r="N881" i="1" s="1"/>
  <c r="L882" i="1"/>
  <c r="N882" i="1" s="1"/>
  <c r="L877" i="1"/>
  <c r="N877" i="1" s="1"/>
  <c r="L876" i="1"/>
  <c r="N876" i="1" s="1"/>
  <c r="L886" i="1"/>
  <c r="N886" i="1" s="1"/>
  <c r="L875" i="1"/>
  <c r="N875" i="1" s="1"/>
  <c r="L873" i="1"/>
  <c r="N873" i="1" s="1"/>
  <c r="L872" i="1"/>
  <c r="N872" i="1" s="1"/>
  <c r="L879" i="1"/>
  <c r="N879" i="1" s="1"/>
  <c r="L880" i="1"/>
  <c r="N880" i="1" s="1"/>
  <c r="L884" i="1"/>
  <c r="N884" i="1" s="1"/>
  <c r="L874" i="1"/>
  <c r="N874" i="1" s="1"/>
  <c r="L888" i="1"/>
  <c r="N888" i="1" s="1"/>
  <c r="L98" i="1"/>
  <c r="N98" i="1" s="1"/>
  <c r="L95" i="1"/>
  <c r="N95" i="1" s="1"/>
  <c r="L97" i="1"/>
  <c r="N97" i="1" s="1"/>
  <c r="Q1099" i="1"/>
  <c r="Q1100" i="1"/>
  <c r="Q1101" i="1"/>
  <c r="Q1102" i="1"/>
  <c r="Q1103" i="1"/>
  <c r="Q1104" i="1"/>
  <c r="Q1105" i="1"/>
  <c r="Q1106" i="1"/>
  <c r="Q1270" i="1"/>
  <c r="Q1269" i="1"/>
  <c r="Q1271" i="1"/>
  <c r="Q1272" i="1"/>
  <c r="Q1273" i="1"/>
  <c r="Q1274" i="1"/>
  <c r="Q1275" i="1"/>
  <c r="Q1276" i="1"/>
  <c r="Q1277" i="1"/>
  <c r="Q1252" i="1"/>
  <c r="Q1253" i="1"/>
  <c r="Q1254" i="1"/>
  <c r="Q1255" i="1"/>
  <c r="Q1256" i="1"/>
  <c r="Q1257" i="1"/>
  <c r="Q1258" i="1"/>
  <c r="Q1259" i="1"/>
  <c r="Q1260" i="1"/>
  <c r="Q1236" i="1"/>
  <c r="Q1237" i="1"/>
  <c r="Q1238" i="1"/>
  <c r="Q1239" i="1"/>
  <c r="Q1240" i="1"/>
  <c r="Q1241" i="1"/>
  <c r="Q1242" i="1"/>
  <c r="Q1243" i="1"/>
  <c r="Q1107" i="1"/>
  <c r="Q1108" i="1"/>
  <c r="Q1109" i="1"/>
  <c r="Q1278" i="1"/>
  <c r="Q1279" i="1"/>
  <c r="Q1280" i="1"/>
  <c r="Q1281" i="1"/>
  <c r="Q1282" i="1"/>
  <c r="Q1261" i="1"/>
  <c r="Q1262" i="1"/>
  <c r="Q1263" i="1"/>
  <c r="Q1264" i="1"/>
  <c r="Q1265" i="1"/>
  <c r="Q1266" i="1"/>
  <c r="Q1267" i="1"/>
  <c r="Q1268" i="1"/>
  <c r="N1246" i="1"/>
  <c r="O1246" i="1" s="1"/>
  <c r="Q1244" i="1"/>
  <c r="Q1245" i="1"/>
  <c r="Q1246" i="1"/>
  <c r="Q1247" i="1"/>
  <c r="Q1248" i="1"/>
  <c r="Q1249" i="1"/>
  <c r="Q1250" i="1"/>
  <c r="Q1251" i="1"/>
  <c r="Q1228" i="1"/>
  <c r="Q1229" i="1"/>
  <c r="Q1230" i="1"/>
  <c r="Q1231" i="1"/>
  <c r="Q1232" i="1"/>
  <c r="Q1233" i="1"/>
  <c r="Q1234" i="1"/>
  <c r="Q1235" i="1"/>
  <c r="Q1221" i="1"/>
  <c r="Q1222" i="1"/>
  <c r="Q1223" i="1"/>
  <c r="Q1224" i="1"/>
  <c r="Q1225" i="1"/>
  <c r="Q1226" i="1"/>
  <c r="Q1227" i="1"/>
  <c r="Q1205" i="1"/>
  <c r="Q1206" i="1"/>
  <c r="Q1207" i="1"/>
  <c r="Q1208" i="1"/>
  <c r="Q1209" i="1"/>
  <c r="Q1210" i="1"/>
  <c r="Q1211" i="1"/>
  <c r="Q1188" i="1"/>
  <c r="Q1189" i="1"/>
  <c r="Q1190" i="1"/>
  <c r="Q1191" i="1"/>
  <c r="Q1192" i="1"/>
  <c r="Q1193" i="1"/>
  <c r="Q1194" i="1"/>
  <c r="Q1195" i="1"/>
  <c r="Q1172" i="1"/>
  <c r="Q1171" i="1"/>
  <c r="Q1173" i="1"/>
  <c r="Q1174" i="1"/>
  <c r="Q1175" i="1"/>
  <c r="Q1176" i="1"/>
  <c r="Q1177" i="1"/>
  <c r="Q1178" i="1"/>
  <c r="Q1154" i="1"/>
  <c r="Q1155" i="1"/>
  <c r="Q1156" i="1"/>
  <c r="Q1157" i="1"/>
  <c r="Q1158" i="1"/>
  <c r="Q1159" i="1"/>
  <c r="Q1160" i="1"/>
  <c r="Q1161" i="1"/>
  <c r="Q1137" i="1"/>
  <c r="Q1138" i="1"/>
  <c r="Q1139" i="1"/>
  <c r="Q1140" i="1"/>
  <c r="Q1141" i="1"/>
  <c r="Q1142" i="1"/>
  <c r="Q1143" i="1"/>
  <c r="Q1144" i="1"/>
  <c r="Q1119" i="1"/>
  <c r="Q1120" i="1"/>
  <c r="Q1121" i="1"/>
  <c r="Q1122" i="1"/>
  <c r="Q1123" i="1"/>
  <c r="Q1124" i="1"/>
  <c r="Q1125" i="1"/>
  <c r="Q1126" i="1"/>
  <c r="Q1127" i="1"/>
  <c r="Q1220" i="1"/>
  <c r="Q1219" i="1"/>
  <c r="Q1218" i="1"/>
  <c r="Q1217" i="1"/>
  <c r="Q1216" i="1"/>
  <c r="Q1215" i="1"/>
  <c r="Q1214" i="1"/>
  <c r="Q1213" i="1"/>
  <c r="Q1212" i="1"/>
  <c r="Q1204" i="1"/>
  <c r="Q1203" i="1"/>
  <c r="Q1202" i="1"/>
  <c r="Q1201" i="1"/>
  <c r="Q1200" i="1"/>
  <c r="Q1199" i="1"/>
  <c r="Q1198" i="1"/>
  <c r="Q1197" i="1"/>
  <c r="Q1196" i="1"/>
  <c r="Q1187" i="1"/>
  <c r="Q1186" i="1"/>
  <c r="Q1185" i="1"/>
  <c r="Q1184" i="1"/>
  <c r="Q1183" i="1"/>
  <c r="Q1182" i="1"/>
  <c r="Q1181" i="1"/>
  <c r="Q1180" i="1"/>
  <c r="Q1179" i="1"/>
  <c r="Q1170" i="1"/>
  <c r="Q1169" i="1"/>
  <c r="Q1168" i="1"/>
  <c r="Q1167" i="1"/>
  <c r="Q1166" i="1"/>
  <c r="Q1165" i="1"/>
  <c r="Q1164" i="1"/>
  <c r="Q1163" i="1"/>
  <c r="Q1162" i="1"/>
  <c r="Q1153" i="1"/>
  <c r="Q1152" i="1"/>
  <c r="Q1151" i="1"/>
  <c r="Q1150" i="1"/>
  <c r="Q1149" i="1"/>
  <c r="Q1148" i="1"/>
  <c r="Q1147" i="1"/>
  <c r="Q1146" i="1"/>
  <c r="Q1145" i="1"/>
  <c r="Q1128" i="1"/>
  <c r="Q1129" i="1"/>
  <c r="Q1130" i="1"/>
  <c r="Q1131" i="1"/>
  <c r="Q1132" i="1"/>
  <c r="Q1133" i="1"/>
  <c r="Q1134" i="1"/>
  <c r="Q1135" i="1"/>
  <c r="Q1136" i="1"/>
  <c r="Q1110" i="1"/>
  <c r="Q1111" i="1"/>
  <c r="Q1112" i="1"/>
  <c r="Q1113" i="1"/>
  <c r="Q1114" i="1"/>
  <c r="Q1115" i="1"/>
  <c r="Q1116" i="1"/>
  <c r="Q1117" i="1"/>
  <c r="Q1118" i="1"/>
  <c r="Q56" i="1"/>
  <c r="Q57" i="1"/>
  <c r="Q58" i="1"/>
  <c r="Q59" i="1"/>
  <c r="Q60" i="1"/>
  <c r="Q61" i="1"/>
  <c r="Q62" i="1"/>
  <c r="Q63" i="1"/>
  <c r="Q64" i="1"/>
  <c r="N1100" i="1" l="1"/>
  <c r="O1100" i="1" s="1"/>
  <c r="N1255" i="1"/>
  <c r="O1255" i="1" s="1"/>
  <c r="N1120" i="1"/>
  <c r="O1120" i="1" s="1"/>
  <c r="N1099" i="1"/>
  <c r="O1099" i="1" s="1"/>
  <c r="N1254" i="1"/>
  <c r="O1254" i="1" s="1"/>
  <c r="N1221" i="1"/>
  <c r="O1221" i="1" s="1"/>
  <c r="N1178" i="1"/>
  <c r="O1178" i="1" s="1"/>
  <c r="N1144" i="1"/>
  <c r="O1144" i="1" s="1"/>
  <c r="N1119" i="1"/>
  <c r="O1119" i="1" s="1"/>
  <c r="N64" i="1"/>
  <c r="O64" i="1" s="1"/>
  <c r="N1277" i="1"/>
  <c r="O1277" i="1" s="1"/>
  <c r="N1253" i="1"/>
  <c r="O1253" i="1" s="1"/>
  <c r="O1211" i="1"/>
  <c r="N1177" i="1"/>
  <c r="O1177" i="1" s="1"/>
  <c r="N1143" i="1"/>
  <c r="O1143" i="1" s="1"/>
  <c r="N1220" i="1"/>
  <c r="O1220" i="1" s="1"/>
  <c r="N63" i="1"/>
  <c r="O63" i="1" s="1"/>
  <c r="N1165" i="1"/>
  <c r="O1165" i="1" s="1"/>
  <c r="N1273" i="1"/>
  <c r="O1273" i="1" s="1"/>
  <c r="N1241" i="1"/>
  <c r="O1241" i="1" s="1"/>
  <c r="N1266" i="1"/>
  <c r="O1266" i="1" s="1"/>
  <c r="O1232" i="1"/>
  <c r="N1245" i="1"/>
  <c r="O1245" i="1" s="1"/>
  <c r="N1198" i="1"/>
  <c r="O1198" i="1" s="1"/>
  <c r="O1248" i="1"/>
  <c r="N1107" i="1"/>
  <c r="O1107" i="1" s="1"/>
  <c r="N1274" i="1"/>
  <c r="O1274" i="1" s="1"/>
  <c r="N1240" i="1"/>
  <c r="O1240" i="1" s="1"/>
  <c r="N1252" i="1"/>
  <c r="O1252" i="1" s="1"/>
  <c r="N1242" i="1"/>
  <c r="O1242" i="1" s="1"/>
  <c r="N1239" i="1"/>
  <c r="O1239" i="1" s="1"/>
  <c r="N1134" i="1"/>
  <c r="O1134" i="1" s="1"/>
  <c r="N1276" i="1"/>
  <c r="O1276" i="1" s="1"/>
  <c r="N1234" i="1"/>
  <c r="O1234" i="1" s="1"/>
  <c r="N1233" i="1"/>
  <c r="O1233" i="1" s="1"/>
  <c r="O1229" i="1"/>
  <c r="N1195" i="1"/>
  <c r="O1195" i="1" s="1"/>
  <c r="N1161" i="1"/>
  <c r="O1161" i="1" s="1"/>
  <c r="N1127" i="1"/>
  <c r="O1127" i="1" s="1"/>
  <c r="O1182" i="1"/>
  <c r="O1150" i="1"/>
  <c r="N1117" i="1"/>
  <c r="O1117" i="1" s="1"/>
  <c r="O56" i="1"/>
  <c r="N1166" i="1"/>
  <c r="O1166" i="1" s="1"/>
  <c r="N1106" i="1"/>
  <c r="O1106" i="1" s="1"/>
  <c r="O1270" i="1"/>
  <c r="N1237" i="1"/>
  <c r="O1237" i="1" s="1"/>
  <c r="O1262" i="1"/>
  <c r="O1228" i="1"/>
  <c r="N1194" i="1"/>
  <c r="O1194" i="1" s="1"/>
  <c r="N1160" i="1"/>
  <c r="O1160" i="1" s="1"/>
  <c r="N1126" i="1"/>
  <c r="O1126" i="1" s="1"/>
  <c r="O1212" i="1"/>
  <c r="O1181" i="1"/>
  <c r="N1116" i="1"/>
  <c r="O1116" i="1" s="1"/>
  <c r="N1105" i="1"/>
  <c r="O1105" i="1" s="1"/>
  <c r="N1260" i="1"/>
  <c r="O1260" i="1" s="1"/>
  <c r="N1236" i="1"/>
  <c r="O1236" i="1" s="1"/>
  <c r="N1227" i="1"/>
  <c r="O1227" i="1" s="1"/>
  <c r="O1226" i="1"/>
  <c r="O1158" i="1"/>
  <c r="N1124" i="1"/>
  <c r="O1124" i="1" s="1"/>
  <c r="N1203" i="1"/>
  <c r="O1203" i="1" s="1"/>
  <c r="O1179" i="1"/>
  <c r="O1147" i="1"/>
  <c r="N1114" i="1"/>
  <c r="O1114" i="1" s="1"/>
  <c r="N1213" i="1"/>
  <c r="O1213" i="1" s="1"/>
  <c r="N1197" i="1"/>
  <c r="O1197" i="1" s="1"/>
  <c r="N1104" i="1"/>
  <c r="O1104" i="1" s="1"/>
  <c r="N1103" i="1"/>
  <c r="O1103" i="1" s="1"/>
  <c r="N1250" i="1"/>
  <c r="O1250" i="1" s="1"/>
  <c r="N1244" i="1"/>
  <c r="O1244" i="1" s="1"/>
  <c r="N1108" i="1"/>
  <c r="O1108" i="1" s="1"/>
  <c r="N1256" i="1"/>
  <c r="O1256" i="1" s="1"/>
  <c r="N1282" i="1"/>
  <c r="O1282" i="1" s="1"/>
  <c r="N1258" i="1"/>
  <c r="O1258" i="1" s="1"/>
  <c r="N1281" i="1"/>
  <c r="O1281" i="1" s="1"/>
  <c r="N1257" i="1"/>
  <c r="O1257" i="1" s="1"/>
  <c r="O1280" i="1"/>
  <c r="O937" i="1"/>
  <c r="O938" i="1"/>
  <c r="O939" i="1"/>
  <c r="O940" i="1"/>
  <c r="O941" i="1"/>
  <c r="O942" i="1"/>
  <c r="O943" i="1"/>
  <c r="O944" i="1"/>
  <c r="Q937" i="1"/>
  <c r="Q938" i="1"/>
  <c r="Q939" i="1"/>
  <c r="Q940" i="1"/>
  <c r="Q941" i="1"/>
  <c r="Q942" i="1"/>
  <c r="Q943" i="1"/>
  <c r="Q944" i="1"/>
  <c r="O929" i="1"/>
  <c r="O930" i="1"/>
  <c r="O931" i="1"/>
  <c r="O932" i="1"/>
  <c r="O933" i="1"/>
  <c r="O934" i="1"/>
  <c r="O935" i="1"/>
  <c r="O936" i="1"/>
  <c r="Q929" i="1"/>
  <c r="Q930" i="1"/>
  <c r="Q931" i="1"/>
  <c r="Q932" i="1"/>
  <c r="Q933" i="1"/>
  <c r="Q934" i="1"/>
  <c r="Q935" i="1"/>
  <c r="Q936" i="1"/>
  <c r="O303" i="1"/>
  <c r="O304" i="1"/>
  <c r="O305" i="1"/>
  <c r="O306" i="1"/>
  <c r="O307" i="1"/>
  <c r="O308" i="1"/>
  <c r="O309" i="1"/>
  <c r="O310" i="1"/>
  <c r="O311" i="1"/>
  <c r="O312" i="1"/>
  <c r="O313" i="1"/>
  <c r="Q303" i="1"/>
  <c r="Q304" i="1"/>
  <c r="Q305" i="1"/>
  <c r="Q306" i="1"/>
  <c r="Q307" i="1"/>
  <c r="Q308" i="1"/>
  <c r="Q309" i="1"/>
  <c r="Q310" i="1"/>
  <c r="Q311" i="1"/>
  <c r="Q312" i="1"/>
  <c r="Q313" i="1"/>
  <c r="O314" i="1"/>
  <c r="O315" i="1"/>
  <c r="O316" i="1"/>
  <c r="O317" i="1"/>
  <c r="O318" i="1"/>
  <c r="O319" i="1"/>
  <c r="O320" i="1"/>
  <c r="O321" i="1"/>
  <c r="O322" i="1"/>
  <c r="Q314" i="1"/>
  <c r="Q315" i="1"/>
  <c r="Q316" i="1"/>
  <c r="Q317" i="1"/>
  <c r="Q318" i="1"/>
  <c r="Q319" i="1"/>
  <c r="Q320" i="1"/>
  <c r="Q321" i="1"/>
  <c r="Q322" i="1"/>
  <c r="O332" i="1" l="1"/>
  <c r="O333" i="1"/>
  <c r="O334" i="1"/>
  <c r="O335" i="1"/>
  <c r="O336" i="1"/>
  <c r="O337" i="1"/>
  <c r="O338" i="1"/>
  <c r="O339" i="1"/>
  <c r="O340" i="1"/>
  <c r="Q332" i="1"/>
  <c r="Q333" i="1"/>
  <c r="Q334" i="1"/>
  <c r="Q335" i="1"/>
  <c r="Q336" i="1"/>
  <c r="Q337" i="1"/>
  <c r="Q338" i="1"/>
  <c r="Q339" i="1"/>
  <c r="Q340" i="1"/>
  <c r="O323" i="1"/>
  <c r="O324" i="1"/>
  <c r="O325" i="1"/>
  <c r="O326" i="1"/>
  <c r="O327" i="1"/>
  <c r="O328" i="1"/>
  <c r="O329" i="1"/>
  <c r="O330" i="1"/>
  <c r="O331" i="1"/>
  <c r="Q323" i="1"/>
  <c r="Q324" i="1"/>
  <c r="Q325" i="1"/>
  <c r="Q326" i="1"/>
  <c r="Q327" i="1"/>
  <c r="Q328" i="1"/>
  <c r="Q329" i="1"/>
  <c r="Q330" i="1"/>
  <c r="Q331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O427" i="1"/>
  <c r="O428" i="1"/>
  <c r="O429" i="1"/>
  <c r="O430" i="1"/>
  <c r="O431" i="1"/>
  <c r="O432" i="1"/>
  <c r="O433" i="1"/>
  <c r="O434" i="1"/>
  <c r="O435" i="1"/>
  <c r="O436" i="1"/>
  <c r="Q427" i="1"/>
  <c r="Q428" i="1"/>
  <c r="Q429" i="1"/>
  <c r="Q430" i="1"/>
  <c r="Q431" i="1"/>
  <c r="Q432" i="1"/>
  <c r="Q433" i="1"/>
  <c r="Q434" i="1"/>
  <c r="Q435" i="1"/>
  <c r="Q436" i="1"/>
  <c r="O417" i="1"/>
  <c r="O418" i="1"/>
  <c r="O419" i="1"/>
  <c r="N420" i="1"/>
  <c r="O420" i="1" s="1"/>
  <c r="O421" i="1"/>
  <c r="O422" i="1"/>
  <c r="O423" i="1"/>
  <c r="N424" i="1"/>
  <c r="O424" i="1" s="1"/>
  <c r="O425" i="1"/>
  <c r="O426" i="1"/>
  <c r="Q417" i="1"/>
  <c r="Q418" i="1"/>
  <c r="Q419" i="1"/>
  <c r="Q420" i="1"/>
  <c r="Q421" i="1"/>
  <c r="Q422" i="1"/>
  <c r="Q423" i="1"/>
  <c r="Q424" i="1"/>
  <c r="Q425" i="1"/>
  <c r="Q426" i="1"/>
  <c r="N482" i="1"/>
  <c r="O482" i="1" s="1"/>
  <c r="O483" i="1"/>
  <c r="O484" i="1"/>
  <c r="O485" i="1"/>
  <c r="O486" i="1"/>
  <c r="O487" i="1"/>
  <c r="N488" i="1"/>
  <c r="O488" i="1" s="1"/>
  <c r="O489" i="1"/>
  <c r="O490" i="1"/>
  <c r="O491" i="1"/>
  <c r="O492" i="1"/>
  <c r="Q482" i="1"/>
  <c r="Q483" i="1"/>
  <c r="Q484" i="1"/>
  <c r="Q485" i="1"/>
  <c r="Q486" i="1"/>
  <c r="Q487" i="1"/>
  <c r="Q488" i="1"/>
  <c r="Q489" i="1"/>
  <c r="Q490" i="1"/>
  <c r="Q491" i="1"/>
  <c r="Q492" i="1"/>
  <c r="O202" i="1"/>
  <c r="O203" i="1"/>
  <c r="O204" i="1"/>
  <c r="O205" i="1"/>
  <c r="O207" i="1"/>
  <c r="O206" i="1"/>
  <c r="O208" i="1"/>
  <c r="O209" i="1"/>
  <c r="O210" i="1"/>
  <c r="O211" i="1"/>
  <c r="Q202" i="1"/>
  <c r="Q203" i="1"/>
  <c r="Q204" i="1"/>
  <c r="Q205" i="1"/>
  <c r="Q207" i="1"/>
  <c r="Q206" i="1"/>
  <c r="Q208" i="1"/>
  <c r="Q209" i="1"/>
  <c r="Q210" i="1"/>
  <c r="Q211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O563" i="1"/>
  <c r="O564" i="1"/>
  <c r="O565" i="1"/>
  <c r="O566" i="1"/>
  <c r="O567" i="1"/>
  <c r="O568" i="1"/>
  <c r="O569" i="1"/>
  <c r="O570" i="1"/>
  <c r="Q563" i="1"/>
  <c r="Q564" i="1"/>
  <c r="Q565" i="1"/>
  <c r="Q566" i="1"/>
  <c r="Q567" i="1"/>
  <c r="Q568" i="1"/>
  <c r="Q569" i="1"/>
  <c r="Q570" i="1"/>
  <c r="O554" i="1"/>
  <c r="O555" i="1"/>
  <c r="O556" i="1"/>
  <c r="O557" i="1"/>
  <c r="O558" i="1"/>
  <c r="O559" i="1"/>
  <c r="O560" i="1"/>
  <c r="O561" i="1"/>
  <c r="O562" i="1"/>
  <c r="Q554" i="1"/>
  <c r="Q555" i="1"/>
  <c r="Q556" i="1"/>
  <c r="Q557" i="1"/>
  <c r="Q558" i="1"/>
  <c r="Q559" i="1"/>
  <c r="Q560" i="1"/>
  <c r="Q561" i="1"/>
  <c r="Q562" i="1"/>
  <c r="O840" i="1"/>
  <c r="O841" i="1"/>
  <c r="O842" i="1"/>
  <c r="O843" i="1"/>
  <c r="O844" i="1"/>
  <c r="O845" i="1"/>
  <c r="N846" i="1"/>
  <c r="O846" i="1" s="1"/>
  <c r="N847" i="1"/>
  <c r="O847" i="1" s="1"/>
  <c r="Q840" i="1"/>
  <c r="Q841" i="1"/>
  <c r="Q842" i="1"/>
  <c r="Q843" i="1"/>
  <c r="Q844" i="1"/>
  <c r="Q845" i="1"/>
  <c r="Q846" i="1"/>
  <c r="Q847" i="1"/>
  <c r="O129" i="1"/>
  <c r="O130" i="1"/>
  <c r="O131" i="1"/>
  <c r="O132" i="1"/>
  <c r="O133" i="1"/>
  <c r="O134" i="1"/>
  <c r="O135" i="1"/>
  <c r="O136" i="1"/>
  <c r="O137" i="1"/>
  <c r="O13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O139" i="1"/>
  <c r="O140" i="1"/>
  <c r="O141" i="1"/>
  <c r="N142" i="1"/>
  <c r="O142" i="1" s="1"/>
  <c r="N143" i="1"/>
  <c r="O143" i="1" s="1"/>
  <c r="O144" i="1"/>
  <c r="O145" i="1"/>
  <c r="O146" i="1"/>
  <c r="O147" i="1"/>
  <c r="O148" i="1"/>
  <c r="O672" i="1"/>
  <c r="O673" i="1"/>
  <c r="O674" i="1"/>
  <c r="O675" i="1"/>
  <c r="O676" i="1"/>
  <c r="O677" i="1"/>
  <c r="O678" i="1"/>
  <c r="O679" i="1"/>
  <c r="O680" i="1"/>
  <c r="O681" i="1"/>
  <c r="O682" i="1"/>
  <c r="Q672" i="1"/>
  <c r="Q673" i="1"/>
  <c r="Q674" i="1"/>
  <c r="Q675" i="1"/>
  <c r="Q676" i="1"/>
  <c r="Q677" i="1"/>
  <c r="Q678" i="1"/>
  <c r="Q679" i="1"/>
  <c r="Q680" i="1"/>
  <c r="Q681" i="1"/>
  <c r="Q682" i="1"/>
  <c r="L66" i="1" l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753" i="1"/>
  <c r="N753" i="1" s="1"/>
  <c r="L754" i="1"/>
  <c r="N754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36" i="1"/>
  <c r="N736" i="1" s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978" i="1"/>
  <c r="N978" i="1" s="1"/>
  <c r="L979" i="1"/>
  <c r="N979" i="1" s="1"/>
  <c r="L980" i="1"/>
  <c r="N980" i="1" s="1"/>
  <c r="L981" i="1"/>
  <c r="N981" i="1" s="1"/>
  <c r="L983" i="1"/>
  <c r="N983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1008" i="1"/>
  <c r="N1008" i="1" s="1"/>
  <c r="L1009" i="1"/>
  <c r="N1009" i="1" s="1"/>
  <c r="L1011" i="1"/>
  <c r="N1011" i="1" s="1"/>
  <c r="L1012" i="1"/>
  <c r="N1012" i="1" s="1"/>
  <c r="L1025" i="1"/>
  <c r="N1025" i="1" s="1"/>
  <c r="L1027" i="1"/>
  <c r="N1027" i="1" s="1"/>
  <c r="L1030" i="1"/>
  <c r="N1030" i="1" s="1"/>
  <c r="L1039" i="1"/>
  <c r="N1039" i="1" s="1"/>
  <c r="L1040" i="1"/>
  <c r="N1040" i="1" s="1"/>
  <c r="L1041" i="1"/>
  <c r="N1041" i="1" s="1"/>
  <c r="L1043" i="1"/>
  <c r="N1043" i="1" s="1"/>
  <c r="L1045" i="1"/>
  <c r="N1045" i="1" s="1"/>
  <c r="L1046" i="1"/>
  <c r="N1046" i="1" s="1"/>
  <c r="L65" i="1"/>
  <c r="N65" i="1" s="1"/>
  <c r="Q65" i="1"/>
  <c r="Q66" i="1"/>
  <c r="Q67" i="1"/>
  <c r="Q68" i="1"/>
  <c r="Q69" i="1"/>
  <c r="Q70" i="1"/>
  <c r="Q71" i="1"/>
  <c r="Q72" i="1"/>
  <c r="Q73" i="1"/>
  <c r="Q74" i="1"/>
  <c r="Q83" i="1"/>
  <c r="Q84" i="1"/>
  <c r="Q85" i="1"/>
  <c r="Q86" i="1"/>
  <c r="Q87" i="1"/>
  <c r="Q88" i="1"/>
  <c r="Q89" i="1"/>
  <c r="Q90" i="1"/>
  <c r="Q91" i="1"/>
  <c r="Q75" i="1"/>
  <c r="Q76" i="1"/>
  <c r="Q77" i="1"/>
  <c r="Q78" i="1"/>
  <c r="Q79" i="1"/>
  <c r="Q80" i="1"/>
  <c r="Q81" i="1"/>
  <c r="Q82" i="1"/>
  <c r="Q753" i="1"/>
  <c r="Q754" i="1"/>
  <c r="Q755" i="1"/>
  <c r="Q756" i="1"/>
  <c r="Q757" i="1"/>
  <c r="Q758" i="1"/>
  <c r="Q759" i="1"/>
  <c r="Q760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437" i="1"/>
  <c r="Q438" i="1"/>
  <c r="Q439" i="1"/>
  <c r="Q440" i="1"/>
  <c r="Q441" i="1"/>
  <c r="Q442" i="1"/>
  <c r="Q443" i="1"/>
  <c r="Q444" i="1"/>
  <c r="Q445" i="1"/>
  <c r="Q341" i="1"/>
  <c r="Q342" i="1"/>
  <c r="Q343" i="1"/>
  <c r="Q344" i="1"/>
  <c r="Q345" i="1"/>
  <c r="Q346" i="1"/>
  <c r="Q347" i="1"/>
  <c r="Q348" i="1"/>
  <c r="Q349" i="1"/>
  <c r="Q350" i="1"/>
  <c r="Q962" i="1"/>
  <c r="Q963" i="1"/>
  <c r="Q964" i="1"/>
  <c r="Q965" i="1"/>
  <c r="Q966" i="1"/>
  <c r="Q967" i="1"/>
  <c r="Q976" i="1"/>
  <c r="Q977" i="1"/>
  <c r="Q978" i="1"/>
  <c r="Q979" i="1"/>
  <c r="Q980" i="1"/>
  <c r="Q981" i="1"/>
  <c r="Q982" i="1"/>
  <c r="Q983" i="1"/>
  <c r="Q992" i="1"/>
  <c r="Q993" i="1"/>
  <c r="Q994" i="1"/>
  <c r="Q995" i="1"/>
  <c r="Q996" i="1"/>
  <c r="Q997" i="1"/>
  <c r="Q998" i="1"/>
  <c r="Q1007" i="1"/>
  <c r="Q1008" i="1"/>
  <c r="Q1009" i="1"/>
  <c r="Q1010" i="1"/>
  <c r="Q1011" i="1"/>
  <c r="Q1012" i="1"/>
  <c r="Q1013" i="1"/>
  <c r="Q1014" i="1"/>
  <c r="Q1023" i="1"/>
  <c r="Q1024" i="1"/>
  <c r="Q1026" i="1"/>
  <c r="Q1025" i="1"/>
  <c r="Q1027" i="1"/>
  <c r="Q1028" i="1"/>
  <c r="Q1029" i="1"/>
  <c r="Q1030" i="1"/>
  <c r="Q1039" i="1"/>
  <c r="Q1040" i="1"/>
  <c r="Q1041" i="1"/>
  <c r="Q1042" i="1"/>
  <c r="Q1043" i="1"/>
  <c r="Q1044" i="1"/>
  <c r="Q1045" i="1"/>
  <c r="Q1046" i="1"/>
  <c r="Q968" i="1"/>
  <c r="Q969" i="1"/>
  <c r="Q970" i="1"/>
  <c r="Q971" i="1"/>
  <c r="Q972" i="1"/>
  <c r="Q973" i="1"/>
  <c r="Q974" i="1"/>
  <c r="Q975" i="1"/>
  <c r="Q984" i="1"/>
  <c r="Q985" i="1"/>
  <c r="Q986" i="1"/>
  <c r="Q987" i="1"/>
  <c r="Q988" i="1"/>
  <c r="Q989" i="1"/>
  <c r="Q990" i="1"/>
  <c r="Q991" i="1"/>
  <c r="Q999" i="1"/>
  <c r="Q1001" i="1"/>
  <c r="Q1000" i="1"/>
  <c r="Q1002" i="1"/>
  <c r="Q1003" i="1"/>
  <c r="Q1004" i="1"/>
  <c r="Q1005" i="1"/>
  <c r="Q1006" i="1"/>
  <c r="Q1015" i="1"/>
  <c r="Q1016" i="1"/>
  <c r="Q1017" i="1"/>
  <c r="Q1018" i="1"/>
  <c r="Q1019" i="1"/>
  <c r="Q1020" i="1"/>
  <c r="Q1021" i="1"/>
  <c r="Q1022" i="1"/>
  <c r="Q1031" i="1"/>
  <c r="Q1032" i="1"/>
  <c r="Q1033" i="1"/>
  <c r="Q1034" i="1"/>
  <c r="Q1035" i="1"/>
  <c r="Q1036" i="1"/>
  <c r="Q1037" i="1"/>
  <c r="Q1038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70" i="1"/>
  <c r="Q1071" i="1"/>
  <c r="Q1072" i="1"/>
  <c r="Q1073" i="1"/>
  <c r="Q1074" i="1"/>
  <c r="Q1075" i="1"/>
  <c r="Q1076" i="1"/>
  <c r="Q1077" i="1"/>
  <c r="Q1086" i="1"/>
  <c r="Q1087" i="1"/>
  <c r="Q1088" i="1"/>
  <c r="Q1089" i="1"/>
  <c r="Q1090" i="1"/>
  <c r="Q1091" i="1"/>
  <c r="Q1092" i="1"/>
  <c r="Q1093" i="1"/>
  <c r="Q1062" i="1"/>
  <c r="Q1063" i="1"/>
  <c r="Q1064" i="1"/>
  <c r="Q1065" i="1"/>
  <c r="Q1066" i="1"/>
  <c r="Q1067" i="1"/>
  <c r="Q1068" i="1"/>
  <c r="Q1069" i="1"/>
  <c r="Q1078" i="1"/>
  <c r="Q1079" i="1"/>
  <c r="Q1080" i="1"/>
  <c r="Q1081" i="1"/>
  <c r="Q1082" i="1"/>
  <c r="Q1083" i="1"/>
  <c r="Q1084" i="1"/>
  <c r="Q1085" i="1"/>
  <c r="Q1292" i="1"/>
  <c r="Q1392" i="1"/>
  <c r="Q1393" i="1"/>
  <c r="Q1394" i="1"/>
  <c r="Q1395" i="1"/>
  <c r="Q1396" i="1"/>
  <c r="Q1397" i="1"/>
  <c r="Q1398" i="1"/>
  <c r="Q1283" i="1"/>
  <c r="Q1284" i="1"/>
  <c r="Q1285" i="1"/>
  <c r="Q1286" i="1"/>
  <c r="Q1287" i="1"/>
  <c r="Q1288" i="1"/>
  <c r="Q1289" i="1"/>
  <c r="Q1290" i="1"/>
  <c r="Q1291" i="1"/>
  <c r="Q158" i="1"/>
  <c r="Q159" i="1"/>
  <c r="Q160" i="1"/>
  <c r="Q161" i="1"/>
  <c r="Q162" i="1"/>
  <c r="Q163" i="1"/>
  <c r="Q164" i="1"/>
  <c r="Q165" i="1"/>
  <c r="Q149" i="1"/>
  <c r="Q150" i="1"/>
  <c r="Q151" i="1"/>
  <c r="Q152" i="1"/>
  <c r="Q153" i="1"/>
  <c r="Q154" i="1"/>
  <c r="Q155" i="1"/>
  <c r="Q156" i="1"/>
  <c r="Q157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36" i="1"/>
  <c r="Q237" i="1"/>
  <c r="Q238" i="1"/>
  <c r="Q239" i="1"/>
  <c r="Q240" i="1"/>
  <c r="Q241" i="1"/>
  <c r="Q242" i="1"/>
  <c r="Q243" i="1"/>
  <c r="Q244" i="1"/>
  <c r="Q245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504" i="1"/>
  <c r="Q505" i="1"/>
  <c r="Q506" i="1"/>
  <c r="Q507" i="1"/>
  <c r="Q508" i="1"/>
  <c r="Q509" i="1"/>
  <c r="Q510" i="1"/>
  <c r="Q511" i="1"/>
  <c r="Q512" i="1"/>
  <c r="Q513" i="1"/>
  <c r="Q10" i="1"/>
  <c r="Q11" i="1"/>
  <c r="Q12" i="1"/>
  <c r="Q13" i="1"/>
  <c r="Q14" i="1"/>
  <c r="Q15" i="1"/>
  <c r="Q16" i="1"/>
  <c r="Q17" i="1"/>
  <c r="Q18" i="1"/>
  <c r="Q2" i="1"/>
  <c r="Q3" i="1"/>
  <c r="Q4" i="1"/>
  <c r="Q5" i="1"/>
  <c r="Q6" i="1"/>
  <c r="Q7" i="1"/>
  <c r="Q8" i="1"/>
  <c r="Q9" i="1"/>
  <c r="Q881" i="1"/>
  <c r="Q882" i="1"/>
  <c r="Q883" i="1"/>
  <c r="Q884" i="1"/>
  <c r="Q885" i="1"/>
  <c r="Q886" i="1"/>
  <c r="Q887" i="1"/>
  <c r="Q888" i="1"/>
  <c r="Q872" i="1"/>
  <c r="Q873" i="1"/>
  <c r="Q874" i="1"/>
  <c r="Q875" i="1"/>
  <c r="Q876" i="1"/>
  <c r="Q877" i="1"/>
  <c r="Q878" i="1"/>
  <c r="Q879" i="1"/>
  <c r="Q880" i="1"/>
  <c r="Q92" i="1"/>
  <c r="Q93" i="1"/>
  <c r="Q94" i="1"/>
  <c r="Q95" i="1"/>
  <c r="Q96" i="1"/>
  <c r="Q97" i="1"/>
  <c r="Q98" i="1"/>
  <c r="Q99" i="1"/>
  <c r="Q360" i="1"/>
  <c r="Q361" i="1"/>
  <c r="Q362" i="1"/>
  <c r="Q363" i="1"/>
  <c r="Q364" i="1"/>
  <c r="Q365" i="1"/>
  <c r="Q366" i="1"/>
  <c r="Q367" i="1"/>
  <c r="Q368" i="1"/>
  <c r="Q351" i="1"/>
  <c r="Q352" i="1"/>
  <c r="Q353" i="1"/>
  <c r="Q354" i="1"/>
  <c r="Q355" i="1"/>
  <c r="Q356" i="1"/>
  <c r="Q357" i="1"/>
  <c r="Q358" i="1"/>
  <c r="Q359" i="1"/>
  <c r="Q379" i="1"/>
  <c r="Q380" i="1"/>
  <c r="Q381" i="1"/>
  <c r="Q382" i="1"/>
  <c r="Q383" i="1"/>
  <c r="Q384" i="1"/>
  <c r="Q385" i="1"/>
  <c r="Q386" i="1"/>
  <c r="Q387" i="1"/>
  <c r="Q388" i="1"/>
  <c r="Q369" i="1"/>
  <c r="Q370" i="1"/>
  <c r="Q371" i="1"/>
  <c r="Q372" i="1"/>
  <c r="Q373" i="1"/>
  <c r="Q374" i="1"/>
  <c r="Q375" i="1"/>
  <c r="Q376" i="1"/>
  <c r="Q377" i="1"/>
  <c r="Q378" i="1"/>
  <c r="Q166" i="1"/>
  <c r="Q167" i="1"/>
  <c r="Q168" i="1"/>
  <c r="Q169" i="1"/>
  <c r="Q170" i="1"/>
  <c r="Q171" i="1"/>
  <c r="Q172" i="1"/>
  <c r="Q173" i="1"/>
  <c r="Q174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583" i="1"/>
  <c r="Q584" i="1"/>
  <c r="Q585" i="1"/>
  <c r="Q586" i="1"/>
  <c r="Q587" i="1"/>
  <c r="Q588" i="1"/>
  <c r="Q589" i="1"/>
  <c r="Q590" i="1"/>
  <c r="Q617" i="1"/>
  <c r="Q618" i="1"/>
  <c r="Q619" i="1"/>
  <c r="Q620" i="1"/>
  <c r="Q621" i="1"/>
  <c r="Q622" i="1"/>
  <c r="Q623" i="1"/>
  <c r="Q624" i="1"/>
  <c r="Q625" i="1"/>
  <c r="Q626" i="1"/>
  <c r="Q627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61" i="1"/>
  <c r="Q662" i="1"/>
  <c r="Q663" i="1"/>
  <c r="Q664" i="1"/>
  <c r="Q665" i="1"/>
  <c r="Q666" i="1"/>
  <c r="Q667" i="1"/>
  <c r="Q668" i="1"/>
  <c r="Q669" i="1"/>
  <c r="Q670" i="1"/>
  <c r="Q671" i="1"/>
  <c r="Q493" i="1"/>
  <c r="Q494" i="1"/>
  <c r="Q495" i="1"/>
  <c r="Q496" i="1"/>
  <c r="Q497" i="1"/>
  <c r="Q498" i="1"/>
  <c r="Q499" i="1"/>
  <c r="Q500" i="1"/>
  <c r="Q501" i="1"/>
  <c r="Q502" i="1"/>
  <c r="Q503" i="1"/>
  <c r="Q514" i="1"/>
  <c r="Q515" i="1"/>
  <c r="Q516" i="1"/>
  <c r="Q517" i="1"/>
  <c r="Q518" i="1"/>
  <c r="Q519" i="1"/>
  <c r="Q520" i="1"/>
  <c r="Q521" i="1"/>
  <c r="Q522" i="1"/>
  <c r="Q523" i="1"/>
  <c r="Q770" i="1"/>
  <c r="Q771" i="1"/>
  <c r="Q772" i="1"/>
  <c r="Q773" i="1"/>
  <c r="Q774" i="1"/>
  <c r="Q775" i="1"/>
  <c r="Q776" i="1"/>
  <c r="Q777" i="1"/>
  <c r="Q778" i="1"/>
  <c r="Q761" i="1"/>
  <c r="Q762" i="1"/>
  <c r="Q763" i="1"/>
  <c r="Q764" i="1"/>
  <c r="Q765" i="1"/>
  <c r="Q766" i="1"/>
  <c r="Q767" i="1"/>
  <c r="Q768" i="1"/>
  <c r="Q769" i="1"/>
  <c r="Q788" i="1"/>
  <c r="Q789" i="1"/>
  <c r="Q790" i="1"/>
  <c r="Q791" i="1"/>
  <c r="Q793" i="1"/>
  <c r="Q792" i="1"/>
  <c r="Q794" i="1"/>
  <c r="Q795" i="1"/>
  <c r="Q779" i="1"/>
  <c r="Q780" i="1"/>
  <c r="Q781" i="1"/>
  <c r="Q782" i="1"/>
  <c r="Q783" i="1"/>
  <c r="Q784" i="1"/>
  <c r="Q785" i="1"/>
  <c r="Q786" i="1"/>
  <c r="Q787" i="1"/>
  <c r="Q1408" i="1"/>
  <c r="Q1409" i="1"/>
  <c r="Q1410" i="1"/>
  <c r="Q1411" i="1"/>
  <c r="Q1412" i="1"/>
  <c r="Q1413" i="1"/>
  <c r="Q1422" i="1"/>
  <c r="Q1423" i="1"/>
  <c r="Q1424" i="1"/>
  <c r="Q1425" i="1"/>
  <c r="Q1426" i="1"/>
  <c r="Q1427" i="1"/>
  <c r="Q1428" i="1"/>
  <c r="Q1436" i="1"/>
  <c r="Q1437" i="1"/>
  <c r="Q1438" i="1"/>
  <c r="Q1439" i="1"/>
  <c r="Q1440" i="1"/>
  <c r="Q1441" i="1"/>
  <c r="Q1442" i="1"/>
  <c r="Q1450" i="1"/>
  <c r="Q1452" i="1"/>
  <c r="Q1451" i="1"/>
  <c r="Q1453" i="1"/>
  <c r="Q1454" i="1"/>
  <c r="Q1455" i="1"/>
  <c r="Q1456" i="1"/>
  <c r="Q1464" i="1"/>
  <c r="Q1465" i="1"/>
  <c r="Q1466" i="1"/>
  <c r="Q1467" i="1"/>
  <c r="Q1468" i="1"/>
  <c r="Q1469" i="1"/>
  <c r="Q1470" i="1"/>
  <c r="Q1479" i="1"/>
  <c r="Q1480" i="1"/>
  <c r="Q1481" i="1"/>
  <c r="Q1482" i="1"/>
  <c r="Q1483" i="1"/>
  <c r="Q1484" i="1"/>
  <c r="Q1485" i="1"/>
  <c r="Q1494" i="1"/>
  <c r="Q1495" i="1"/>
  <c r="Q1496" i="1"/>
  <c r="Q1497" i="1"/>
  <c r="Q1498" i="1"/>
  <c r="Q1499" i="1"/>
  <c r="Q1500" i="1"/>
  <c r="Q1509" i="1"/>
  <c r="Q1510" i="1"/>
  <c r="Q1511" i="1"/>
  <c r="Q1512" i="1"/>
  <c r="Q1513" i="1"/>
  <c r="Q1514" i="1"/>
  <c r="Q1515" i="1"/>
  <c r="Q1525" i="1"/>
  <c r="Q1526" i="1"/>
  <c r="Q1527" i="1"/>
  <c r="Q1528" i="1"/>
  <c r="Q1529" i="1"/>
  <c r="Q1530" i="1"/>
  <c r="Q1531" i="1"/>
  <c r="Q1532" i="1"/>
  <c r="Q1414" i="1"/>
  <c r="Q1415" i="1"/>
  <c r="Q1416" i="1"/>
  <c r="Q1417" i="1"/>
  <c r="Q1418" i="1"/>
  <c r="Q1419" i="1"/>
  <c r="Q1420" i="1"/>
  <c r="Q1421" i="1"/>
  <c r="Q1429" i="1"/>
  <c r="Q1430" i="1"/>
  <c r="Q1432" i="1"/>
  <c r="Q1431" i="1"/>
  <c r="Q1433" i="1"/>
  <c r="Q1434" i="1"/>
  <c r="Q1435" i="1"/>
  <c r="Q1443" i="1"/>
  <c r="Q1444" i="1"/>
  <c r="Q1445" i="1"/>
  <c r="Q1446" i="1"/>
  <c r="Q1447" i="1"/>
  <c r="Q1448" i="1"/>
  <c r="Q1449" i="1"/>
  <c r="Q1457" i="1"/>
  <c r="Q1458" i="1"/>
  <c r="Q1459" i="1"/>
  <c r="Q1460" i="1"/>
  <c r="Q1461" i="1"/>
  <c r="Q1462" i="1"/>
  <c r="Q1463" i="1"/>
  <c r="Q1471" i="1"/>
  <c r="Q1472" i="1"/>
  <c r="Q1473" i="1"/>
  <c r="Q1474" i="1"/>
  <c r="Q1475" i="1"/>
  <c r="Q1476" i="1"/>
  <c r="Q1477" i="1"/>
  <c r="Q1478" i="1"/>
  <c r="Q1486" i="1"/>
  <c r="Q1487" i="1"/>
  <c r="Q1488" i="1"/>
  <c r="Q1489" i="1"/>
  <c r="Q1490" i="1"/>
  <c r="Q1491" i="1"/>
  <c r="Q1492" i="1"/>
  <c r="Q1493" i="1"/>
  <c r="Q1501" i="1"/>
  <c r="Q1502" i="1"/>
  <c r="Q1503" i="1"/>
  <c r="Q1504" i="1"/>
  <c r="Q1505" i="1"/>
  <c r="Q1506" i="1"/>
  <c r="Q1507" i="1"/>
  <c r="Q1508" i="1"/>
  <c r="Q1516" i="1"/>
  <c r="Q1517" i="1"/>
  <c r="Q1518" i="1"/>
  <c r="Q1519" i="1"/>
  <c r="Q1520" i="1"/>
  <c r="Q1521" i="1"/>
  <c r="Q1522" i="1"/>
  <c r="Q1523" i="1"/>
  <c r="Q1524" i="1"/>
  <c r="Q1533" i="1"/>
  <c r="Q1534" i="1"/>
  <c r="Q1535" i="1"/>
  <c r="Q1536" i="1"/>
  <c r="Q1537" i="1"/>
  <c r="Q1538" i="1"/>
  <c r="Q1539" i="1"/>
  <c r="Q1540" i="1"/>
  <c r="Q1541" i="1"/>
  <c r="Q118" i="1"/>
  <c r="Q945" i="1"/>
  <c r="Q946" i="1"/>
  <c r="Q947" i="1"/>
  <c r="Q948" i="1"/>
  <c r="Q949" i="1"/>
  <c r="Q950" i="1"/>
  <c r="Q951" i="1"/>
  <c r="Q110" i="1"/>
  <c r="Q111" i="1"/>
  <c r="Q112" i="1"/>
  <c r="Q113" i="1"/>
  <c r="Q114" i="1"/>
  <c r="Q115" i="1"/>
  <c r="Q116" i="1"/>
  <c r="Q117" i="1"/>
  <c r="Q691" i="1"/>
  <c r="Q692" i="1"/>
  <c r="Q693" i="1"/>
  <c r="Q694" i="1"/>
  <c r="Q695" i="1"/>
  <c r="Q696" i="1"/>
  <c r="Q697" i="1"/>
  <c r="Q698" i="1"/>
  <c r="Q699" i="1"/>
  <c r="Q700" i="1"/>
  <c r="Q683" i="1"/>
  <c r="Q684" i="1"/>
  <c r="Q685" i="1"/>
  <c r="Q686" i="1"/>
  <c r="Q687" i="1"/>
  <c r="Q688" i="1"/>
  <c r="Q689" i="1"/>
  <c r="Q690" i="1"/>
  <c r="Q446" i="1"/>
  <c r="Q447" i="1"/>
  <c r="Q448" i="1"/>
  <c r="Q449" i="1"/>
  <c r="Q450" i="1"/>
  <c r="Q451" i="1"/>
  <c r="Q452" i="1"/>
  <c r="Q453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19" i="1"/>
  <c r="Q21" i="1"/>
  <c r="Q20" i="1"/>
  <c r="Q22" i="1"/>
  <c r="Q23" i="1"/>
  <c r="Q24" i="1"/>
  <c r="Q25" i="1"/>
  <c r="Q26" i="1"/>
  <c r="Q27" i="1"/>
  <c r="Q28" i="1"/>
  <c r="Q29" i="1"/>
  <c r="Q898" i="1"/>
  <c r="Q899" i="1"/>
  <c r="Q900" i="1"/>
  <c r="Q901" i="1"/>
  <c r="Q902" i="1"/>
  <c r="Q903" i="1"/>
  <c r="Q904" i="1"/>
  <c r="Q905" i="1"/>
  <c r="Q889" i="1"/>
  <c r="Q890" i="1"/>
  <c r="Q891" i="1"/>
  <c r="Q892" i="1"/>
  <c r="Q893" i="1"/>
  <c r="Q894" i="1"/>
  <c r="Q895" i="1"/>
  <c r="Q896" i="1"/>
  <c r="Q897" i="1"/>
  <c r="Q100" i="1"/>
  <c r="Q101" i="1"/>
  <c r="Q102" i="1"/>
  <c r="Q103" i="1"/>
  <c r="Q104" i="1"/>
  <c r="Q105" i="1"/>
  <c r="Q106" i="1"/>
  <c r="Q107" i="1"/>
  <c r="Q108" i="1"/>
  <c r="Q109" i="1"/>
  <c r="Q635" i="1"/>
  <c r="Q636" i="1"/>
  <c r="Q637" i="1"/>
  <c r="Q638" i="1"/>
  <c r="Q639" i="1"/>
  <c r="Q640" i="1"/>
  <c r="Q641" i="1"/>
  <c r="Q642" i="1"/>
  <c r="Q643" i="1"/>
  <c r="Q644" i="1"/>
  <c r="Q628" i="1"/>
  <c r="Q629" i="1"/>
  <c r="Q630" i="1"/>
  <c r="Q631" i="1"/>
  <c r="Q632" i="1"/>
  <c r="Q633" i="1"/>
  <c r="Q634" i="1"/>
  <c r="Q653" i="1"/>
  <c r="Q654" i="1"/>
  <c r="Q655" i="1"/>
  <c r="Q656" i="1"/>
  <c r="Q657" i="1"/>
  <c r="Q658" i="1"/>
  <c r="Q659" i="1"/>
  <c r="Q660" i="1"/>
  <c r="Q645" i="1"/>
  <c r="Q646" i="1"/>
  <c r="Q647" i="1"/>
  <c r="Q648" i="1"/>
  <c r="Q649" i="1"/>
  <c r="Q650" i="1"/>
  <c r="Q651" i="1"/>
  <c r="Q652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266" i="1"/>
  <c r="Q267" i="1"/>
  <c r="Q268" i="1"/>
  <c r="Q269" i="1"/>
  <c r="Q270" i="1"/>
  <c r="Q271" i="1"/>
  <c r="Q273" i="1"/>
  <c r="Q272" i="1"/>
  <c r="Q815" i="1"/>
  <c r="Q816" i="1"/>
  <c r="Q817" i="1"/>
  <c r="Q818" i="1"/>
  <c r="Q819" i="1"/>
  <c r="Q820" i="1"/>
  <c r="Q821" i="1"/>
  <c r="Q822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701" i="1"/>
  <c r="Q702" i="1"/>
  <c r="Q703" i="1"/>
  <c r="Q704" i="1"/>
  <c r="Q705" i="1"/>
  <c r="Q706" i="1"/>
  <c r="Q707" i="1"/>
  <c r="Q708" i="1"/>
  <c r="Q709" i="1"/>
  <c r="Q710" i="1"/>
  <c r="Q711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7" i="1"/>
  <c r="Q466" i="1"/>
  <c r="Q468" i="1"/>
  <c r="Q469" i="1"/>
  <c r="Q470" i="1"/>
  <c r="Q471" i="1"/>
  <c r="Q397" i="1"/>
  <c r="Q398" i="1"/>
  <c r="Q399" i="1"/>
  <c r="Q400" i="1"/>
  <c r="Q401" i="1"/>
  <c r="Q402" i="1"/>
  <c r="Q403" i="1"/>
  <c r="Q404" i="1"/>
  <c r="Q405" i="1"/>
  <c r="Q406" i="1"/>
  <c r="Q389" i="1"/>
  <c r="Q390" i="1"/>
  <c r="Q391" i="1"/>
  <c r="Q392" i="1"/>
  <c r="Q393" i="1"/>
  <c r="Q394" i="1"/>
  <c r="Q395" i="1"/>
  <c r="Q396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60" i="1"/>
  <c r="Q1361" i="1"/>
  <c r="Q1362" i="1"/>
  <c r="Q1363" i="1"/>
  <c r="Q1364" i="1"/>
  <c r="Q1365" i="1"/>
  <c r="Q1366" i="1"/>
  <c r="Q1367" i="1"/>
  <c r="Q1376" i="1"/>
  <c r="Q1377" i="1"/>
  <c r="Q1378" i="1"/>
  <c r="Q1379" i="1"/>
  <c r="Q1380" i="1"/>
  <c r="Q1381" i="1"/>
  <c r="Q1382" i="1"/>
  <c r="Q1383" i="1"/>
  <c r="Q1352" i="1"/>
  <c r="Q1353" i="1"/>
  <c r="Q1354" i="1"/>
  <c r="Q1355" i="1"/>
  <c r="Q1356" i="1"/>
  <c r="Q1357" i="1"/>
  <c r="Q1358" i="1"/>
  <c r="Q1359" i="1"/>
  <c r="Q1368" i="1"/>
  <c r="Q1369" i="1"/>
  <c r="Q1370" i="1"/>
  <c r="Q1371" i="1"/>
  <c r="Q1372" i="1"/>
  <c r="Q1373" i="1"/>
  <c r="Q1374" i="1"/>
  <c r="Q1375" i="1"/>
  <c r="Q1384" i="1"/>
  <c r="Q1385" i="1"/>
  <c r="Q1386" i="1"/>
  <c r="Q1387" i="1"/>
  <c r="Q1388" i="1"/>
  <c r="Q1389" i="1"/>
  <c r="Q1390" i="1"/>
  <c r="Q1391" i="1"/>
  <c r="Q960" i="1"/>
  <c r="Q961" i="1"/>
  <c r="Q1094" i="1"/>
  <c r="Q1095" i="1"/>
  <c r="Q1096" i="1"/>
  <c r="Q1097" i="1"/>
  <c r="Q1098" i="1"/>
  <c r="Q952" i="1"/>
  <c r="Q953" i="1"/>
  <c r="Q954" i="1"/>
  <c r="Q955" i="1"/>
  <c r="Q956" i="1"/>
  <c r="Q957" i="1"/>
  <c r="Q958" i="1"/>
  <c r="Q959" i="1"/>
  <c r="Q906" i="1"/>
  <c r="Q907" i="1"/>
  <c r="Q908" i="1"/>
  <c r="Q909" i="1"/>
  <c r="Q910" i="1"/>
  <c r="Q911" i="1"/>
  <c r="Q912" i="1"/>
  <c r="Q913" i="1"/>
  <c r="Q914" i="1"/>
  <c r="Q915" i="1"/>
  <c r="Q916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30" i="1"/>
  <c r="Q31" i="1"/>
  <c r="Q32" i="1"/>
  <c r="Q33" i="1"/>
  <c r="Q34" i="1"/>
  <c r="Q35" i="1"/>
  <c r="Q36" i="1"/>
  <c r="Q37" i="1"/>
  <c r="Q38" i="1"/>
  <c r="Q184" i="1"/>
  <c r="Q185" i="1"/>
  <c r="Q186" i="1"/>
  <c r="Q187" i="1"/>
  <c r="Q188" i="1"/>
  <c r="Q189" i="1"/>
  <c r="Q190" i="1"/>
  <c r="Q191" i="1"/>
  <c r="Q192" i="1"/>
  <c r="Q175" i="1"/>
  <c r="Q176" i="1"/>
  <c r="Q177" i="1"/>
  <c r="Q178" i="1"/>
  <c r="Q179" i="1"/>
  <c r="Q180" i="1"/>
  <c r="Q181" i="1"/>
  <c r="Q182" i="1"/>
  <c r="Q183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119" i="1"/>
  <c r="Q120" i="1"/>
  <c r="Q121" i="1"/>
  <c r="Q122" i="1"/>
  <c r="Q123" i="1"/>
  <c r="Q124" i="1"/>
  <c r="Q125" i="1"/>
  <c r="Q126" i="1"/>
  <c r="Q127" i="1"/>
  <c r="Q128" i="1"/>
  <c r="Q1399" i="1"/>
  <c r="Q1400" i="1"/>
  <c r="Q1401" i="1"/>
  <c r="Q1402" i="1"/>
  <c r="Q1403" i="1"/>
  <c r="Q1404" i="1"/>
  <c r="Q1405" i="1"/>
  <c r="Q1406" i="1"/>
  <c r="Q1407" i="1"/>
  <c r="Q193" i="1"/>
  <c r="Q194" i="1"/>
  <c r="Q195" i="1"/>
  <c r="Q196" i="1"/>
  <c r="Q197" i="1"/>
  <c r="Q198" i="1"/>
  <c r="Q199" i="1"/>
  <c r="Q200" i="1"/>
  <c r="Q201" i="1"/>
  <c r="Q831" i="1"/>
  <c r="Q832" i="1"/>
  <c r="Q833" i="1"/>
  <c r="Q834" i="1"/>
  <c r="Q835" i="1"/>
  <c r="Q836" i="1"/>
  <c r="Q837" i="1"/>
  <c r="Q838" i="1"/>
  <c r="Q839" i="1"/>
  <c r="Q823" i="1"/>
  <c r="Q824" i="1"/>
  <c r="Q825" i="1"/>
  <c r="Q826" i="1"/>
  <c r="Q827" i="1"/>
  <c r="Q828" i="1"/>
  <c r="Q829" i="1"/>
  <c r="Q830" i="1"/>
  <c r="Q545" i="1"/>
  <c r="Q546" i="1"/>
  <c r="Q547" i="1"/>
  <c r="Q548" i="1"/>
  <c r="Q549" i="1"/>
  <c r="Q550" i="1"/>
  <c r="Q551" i="1"/>
  <c r="Q552" i="1"/>
  <c r="Q553" i="1"/>
  <c r="Q472" i="1"/>
  <c r="Q473" i="1"/>
  <c r="Q474" i="1"/>
  <c r="Q475" i="1"/>
  <c r="Q476" i="1"/>
  <c r="Q477" i="1"/>
  <c r="Q478" i="1"/>
  <c r="Q479" i="1"/>
  <c r="Q480" i="1"/>
  <c r="Q481" i="1"/>
  <c r="Q407" i="1"/>
  <c r="Q408" i="1"/>
  <c r="Q409" i="1"/>
  <c r="Q410" i="1"/>
  <c r="Q411" i="1"/>
  <c r="Q412" i="1"/>
  <c r="Q413" i="1"/>
  <c r="Q414" i="1"/>
  <c r="Q415" i="1"/>
  <c r="Q416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274" i="1"/>
  <c r="Q275" i="1"/>
  <c r="Q276" i="1"/>
  <c r="Q277" i="1"/>
  <c r="Q278" i="1"/>
  <c r="Q279" i="1"/>
  <c r="Q280" i="1"/>
  <c r="Q281" i="1"/>
  <c r="Q282" i="1"/>
  <c r="Q283" i="1"/>
  <c r="Q712" i="1"/>
  <c r="Q713" i="1"/>
  <c r="Q714" i="1"/>
  <c r="Q715" i="1"/>
  <c r="Q716" i="1"/>
  <c r="Q718" i="1"/>
  <c r="Q717" i="1"/>
  <c r="Q719" i="1"/>
  <c r="Q720" i="1"/>
  <c r="Q721" i="1"/>
  <c r="Q722" i="1"/>
  <c r="Q723" i="1"/>
  <c r="Q917" i="1"/>
  <c r="Q918" i="1"/>
  <c r="Q919" i="1"/>
  <c r="Q920" i="1"/>
  <c r="Q921" i="1"/>
  <c r="Q922" i="1"/>
  <c r="Q923" i="1"/>
  <c r="Q925" i="1"/>
  <c r="Q924" i="1"/>
  <c r="Q926" i="1"/>
  <c r="Q927" i="1"/>
  <c r="Q928" i="1"/>
  <c r="Q39" i="1"/>
  <c r="Q40" i="1"/>
  <c r="Q42" i="1"/>
  <c r="Q41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N279" i="1"/>
  <c r="O279" i="1" s="1"/>
  <c r="N193" i="1"/>
  <c r="O193" i="1" s="1"/>
  <c r="O879" i="1" l="1"/>
  <c r="O872" i="1"/>
  <c r="O873" i="1"/>
  <c r="O874" i="1"/>
  <c r="O875" i="1"/>
  <c r="O876" i="1"/>
  <c r="O877" i="1"/>
  <c r="O878" i="1"/>
  <c r="O880" i="1"/>
  <c r="O888" i="1"/>
  <c r="O885" i="1"/>
  <c r="O881" i="1"/>
  <c r="O882" i="1"/>
  <c r="O883" i="1"/>
  <c r="O884" i="1"/>
  <c r="O886" i="1"/>
  <c r="O887" i="1"/>
  <c r="O745" i="1"/>
  <c r="O746" i="1"/>
  <c r="O747" i="1"/>
  <c r="O748" i="1"/>
  <c r="O749" i="1"/>
  <c r="O750" i="1"/>
  <c r="O751" i="1"/>
  <c r="O752" i="1"/>
  <c r="O738" i="1"/>
  <c r="O736" i="1"/>
  <c r="O737" i="1"/>
  <c r="O739" i="1"/>
  <c r="O740" i="1"/>
  <c r="O741" i="1"/>
  <c r="O742" i="1"/>
  <c r="O743" i="1"/>
  <c r="O744" i="1"/>
  <c r="O759" i="1"/>
  <c r="O754" i="1"/>
  <c r="O753" i="1"/>
  <c r="O755" i="1"/>
  <c r="O756" i="1"/>
  <c r="O757" i="1"/>
  <c r="O758" i="1"/>
  <c r="O760" i="1"/>
  <c r="O513" i="1"/>
  <c r="O512" i="1"/>
  <c r="K506" i="1"/>
  <c r="O504" i="1"/>
  <c r="O505" i="1"/>
  <c r="O507" i="1"/>
  <c r="O508" i="1"/>
  <c r="O509" i="1"/>
  <c r="O510" i="1"/>
  <c r="O511" i="1"/>
  <c r="K350" i="1"/>
  <c r="O348" i="1"/>
  <c r="O345" i="1"/>
  <c r="O341" i="1"/>
  <c r="O342" i="1"/>
  <c r="O343" i="1"/>
  <c r="O344" i="1"/>
  <c r="O346" i="1"/>
  <c r="O347" i="1"/>
  <c r="O349" i="1"/>
  <c r="O439" i="1"/>
  <c r="O437" i="1"/>
  <c r="O438" i="1"/>
  <c r="O440" i="1"/>
  <c r="O441" i="1"/>
  <c r="O442" i="1"/>
  <c r="O443" i="1"/>
  <c r="O444" i="1"/>
  <c r="O445" i="1"/>
  <c r="I229" i="1"/>
  <c r="O224" i="1"/>
  <c r="O225" i="1"/>
  <c r="O226" i="1"/>
  <c r="O227" i="1"/>
  <c r="O228" i="1"/>
  <c r="O230" i="1"/>
  <c r="O231" i="1"/>
  <c r="O232" i="1"/>
  <c r="O233" i="1"/>
  <c r="O234" i="1"/>
  <c r="O235" i="1"/>
  <c r="O243" i="1"/>
  <c r="O236" i="1"/>
  <c r="O237" i="1"/>
  <c r="O238" i="1"/>
  <c r="O239" i="1"/>
  <c r="O240" i="1"/>
  <c r="O241" i="1"/>
  <c r="O242" i="1"/>
  <c r="O244" i="1"/>
  <c r="O245" i="1"/>
  <c r="O223" i="1"/>
  <c r="O222" i="1"/>
  <c r="O212" i="1"/>
  <c r="O213" i="1"/>
  <c r="O214" i="1"/>
  <c r="O215" i="1"/>
  <c r="O216" i="1"/>
  <c r="O217" i="1"/>
  <c r="O218" i="1"/>
  <c r="O219" i="1"/>
  <c r="O220" i="1"/>
  <c r="O221" i="1"/>
  <c r="O156" i="1"/>
  <c r="O153" i="1"/>
  <c r="O149" i="1"/>
  <c r="O150" i="1"/>
  <c r="O151" i="1"/>
  <c r="O152" i="1"/>
  <c r="O154" i="1"/>
  <c r="O155" i="1"/>
  <c r="O157" i="1"/>
  <c r="O158" i="1"/>
  <c r="O159" i="1"/>
  <c r="O160" i="1"/>
  <c r="O161" i="1"/>
  <c r="O162" i="1"/>
  <c r="O163" i="1"/>
  <c r="O164" i="1"/>
  <c r="O165" i="1"/>
  <c r="O75" i="1"/>
  <c r="O76" i="1"/>
  <c r="O77" i="1"/>
  <c r="O78" i="1"/>
  <c r="O79" i="1"/>
  <c r="O80" i="1"/>
  <c r="O81" i="1"/>
  <c r="O82" i="1"/>
  <c r="O90" i="1"/>
  <c r="O83" i="1"/>
  <c r="O84" i="1"/>
  <c r="O85" i="1"/>
  <c r="O86" i="1"/>
  <c r="O87" i="1"/>
  <c r="O88" i="1"/>
  <c r="O89" i="1"/>
  <c r="O91" i="1"/>
  <c r="O65" i="1"/>
  <c r="O66" i="1"/>
  <c r="O67" i="1"/>
  <c r="O68" i="1"/>
  <c r="O69" i="1"/>
  <c r="O70" i="1"/>
  <c r="O71" i="1"/>
  <c r="O72" i="1"/>
  <c r="O73" i="1"/>
  <c r="O7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292" i="1"/>
  <c r="O1392" i="1"/>
  <c r="O1393" i="1"/>
  <c r="O1394" i="1"/>
  <c r="O1395" i="1"/>
  <c r="O1396" i="1"/>
  <c r="O1397" i="1"/>
  <c r="O1398" i="1"/>
  <c r="J1091" i="1"/>
  <c r="O1086" i="1"/>
  <c r="O1087" i="1"/>
  <c r="O1088" i="1"/>
  <c r="O1089" i="1"/>
  <c r="O1090" i="1"/>
  <c r="O1092" i="1"/>
  <c r="O1093" i="1"/>
  <c r="G1077" i="1"/>
  <c r="H1076" i="1"/>
  <c r="O1075" i="1"/>
  <c r="O1074" i="1"/>
  <c r="H1072" i="1"/>
  <c r="O1071" i="1"/>
  <c r="O1070" i="1"/>
  <c r="O1073" i="1"/>
  <c r="O1054" i="1"/>
  <c r="O1055" i="1"/>
  <c r="O1056" i="1"/>
  <c r="O1057" i="1"/>
  <c r="O1058" i="1"/>
  <c r="O1059" i="1"/>
  <c r="O1060" i="1"/>
  <c r="O1061" i="1"/>
  <c r="O1046" i="1"/>
  <c r="O1039" i="1"/>
  <c r="O1040" i="1"/>
  <c r="O1041" i="1"/>
  <c r="O1042" i="1"/>
  <c r="O1043" i="1"/>
  <c r="O1044" i="1"/>
  <c r="O1045" i="1"/>
  <c r="J1028" i="1"/>
  <c r="O1027" i="1"/>
  <c r="H1026" i="1"/>
  <c r="G1024" i="1"/>
  <c r="O1023" i="1"/>
  <c r="O1025" i="1"/>
  <c r="O1029" i="1"/>
  <c r="O1030" i="1"/>
  <c r="K1014" i="1"/>
  <c r="J1013" i="1"/>
  <c r="O1009" i="1"/>
  <c r="I1007" i="1"/>
  <c r="O1008" i="1"/>
  <c r="O1010" i="1"/>
  <c r="O1011" i="1"/>
  <c r="O1012" i="1"/>
  <c r="O992" i="1"/>
  <c r="O993" i="1"/>
  <c r="O994" i="1"/>
  <c r="O995" i="1"/>
  <c r="O996" i="1"/>
  <c r="O997" i="1"/>
  <c r="O998" i="1"/>
  <c r="K977" i="1"/>
  <c r="O976" i="1"/>
  <c r="O978" i="1"/>
  <c r="O979" i="1"/>
  <c r="O980" i="1"/>
  <c r="O981" i="1"/>
  <c r="O982" i="1"/>
  <c r="O983" i="1"/>
  <c r="G967" i="1"/>
  <c r="G966" i="1"/>
  <c r="G965" i="1"/>
  <c r="G964" i="1"/>
  <c r="F963" i="1"/>
  <c r="L963" i="1" s="1"/>
  <c r="N963" i="1" s="1"/>
  <c r="F962" i="1"/>
  <c r="G962" i="1" s="1"/>
  <c r="L506" i="1" l="1"/>
  <c r="N506" i="1" s="1"/>
  <c r="O506" i="1" s="1"/>
  <c r="L1072" i="1"/>
  <c r="N1072" i="1" s="1"/>
  <c r="O1072" i="1" s="1"/>
  <c r="L1007" i="1"/>
  <c r="N1007" i="1" s="1"/>
  <c r="O1007" i="1" s="1"/>
  <c r="L1013" i="1"/>
  <c r="N1013" i="1" s="1"/>
  <c r="O1013" i="1" s="1"/>
  <c r="L962" i="1"/>
  <c r="N962" i="1" s="1"/>
  <c r="O962" i="1" s="1"/>
  <c r="L1014" i="1"/>
  <c r="N1014" i="1" s="1"/>
  <c r="O1014" i="1" s="1"/>
  <c r="L1091" i="1"/>
  <c r="N1091" i="1" s="1"/>
  <c r="O1091" i="1" s="1"/>
  <c r="L977" i="1"/>
  <c r="N977" i="1" s="1"/>
  <c r="O977" i="1" s="1"/>
  <c r="L229" i="1"/>
  <c r="N229" i="1" s="1"/>
  <c r="O229" i="1" s="1"/>
  <c r="O963" i="1"/>
  <c r="L1024" i="1"/>
  <c r="L1028" i="1"/>
  <c r="N1028" i="1" s="1"/>
  <c r="L350" i="1"/>
  <c r="N350" i="1" s="1"/>
  <c r="J1077" i="1"/>
  <c r="L1077" i="1" s="1"/>
  <c r="H964" i="1"/>
  <c r="L964" i="1" s="1"/>
  <c r="N964" i="1" s="1"/>
  <c r="K965" i="1"/>
  <c r="L965" i="1" s="1"/>
  <c r="K967" i="1"/>
  <c r="L967" i="1" s="1"/>
  <c r="J1026" i="1"/>
  <c r="L1026" i="1" s="1"/>
  <c r="K1076" i="1"/>
  <c r="L1076" i="1" s="1"/>
  <c r="K966" i="1"/>
  <c r="L966" i="1" s="1"/>
  <c r="O350" i="1" l="1"/>
  <c r="N965" i="1"/>
  <c r="O965" i="1" s="1"/>
  <c r="N1026" i="1"/>
  <c r="O1026" i="1" s="1"/>
  <c r="N1076" i="1"/>
  <c r="O1076" i="1" s="1"/>
  <c r="N1024" i="1"/>
  <c r="O1024" i="1" s="1"/>
  <c r="N1077" i="1"/>
  <c r="O1077" i="1" s="1"/>
  <c r="N966" i="1"/>
  <c r="O966" i="1" s="1"/>
  <c r="O1028" i="1"/>
  <c r="N967" i="1"/>
  <c r="O967" i="1" s="1"/>
  <c r="O1283" i="1"/>
  <c r="O1284" i="1"/>
  <c r="O1285" i="1"/>
  <c r="O1286" i="1"/>
  <c r="O1287" i="1"/>
  <c r="O1288" i="1"/>
  <c r="O1289" i="1"/>
  <c r="O1290" i="1"/>
  <c r="O1291" i="1"/>
  <c r="O1080" i="1"/>
  <c r="O1082" i="1"/>
  <c r="O1085" i="1"/>
  <c r="J1079" i="1"/>
  <c r="O1078" i="1"/>
  <c r="O1081" i="1"/>
  <c r="O1084" i="1"/>
  <c r="F1083" i="1"/>
  <c r="O1062" i="1"/>
  <c r="O1063" i="1"/>
  <c r="O1064" i="1"/>
  <c r="O1065" i="1"/>
  <c r="O1066" i="1"/>
  <c r="O1067" i="1"/>
  <c r="O1068" i="1"/>
  <c r="O1069" i="1"/>
  <c r="O1047" i="1"/>
  <c r="O1048" i="1"/>
  <c r="O1049" i="1"/>
  <c r="O1050" i="1"/>
  <c r="O1051" i="1"/>
  <c r="O1052" i="1"/>
  <c r="O1053" i="1"/>
  <c r="L1079" i="1" l="1"/>
  <c r="N1079" i="1" s="1"/>
  <c r="O1079" i="1" s="1"/>
  <c r="G1083" i="1"/>
  <c r="L1083" i="1" s="1"/>
  <c r="N1083" i="1" s="1"/>
  <c r="O1031" i="1"/>
  <c r="O1032" i="1"/>
  <c r="O1033" i="1"/>
  <c r="O1034" i="1"/>
  <c r="O1035" i="1"/>
  <c r="O1036" i="1"/>
  <c r="O1037" i="1"/>
  <c r="O1038" i="1"/>
  <c r="O1083" i="1" l="1"/>
  <c r="O1015" i="1"/>
  <c r="O1016" i="1"/>
  <c r="O1017" i="1"/>
  <c r="O1018" i="1"/>
  <c r="O1019" i="1"/>
  <c r="O1020" i="1"/>
  <c r="O1021" i="1"/>
  <c r="O1022" i="1"/>
  <c r="O1006" i="1"/>
  <c r="O999" i="1"/>
  <c r="O1001" i="1"/>
  <c r="O1000" i="1"/>
  <c r="O1002" i="1"/>
  <c r="O1003" i="1"/>
  <c r="O1004" i="1"/>
  <c r="O1005" i="1"/>
  <c r="O984" i="1" l="1"/>
  <c r="O985" i="1"/>
  <c r="O986" i="1"/>
  <c r="O987" i="1"/>
  <c r="O988" i="1"/>
  <c r="O989" i="1"/>
  <c r="O990" i="1"/>
  <c r="O991" i="1"/>
  <c r="O968" i="1"/>
  <c r="O969" i="1"/>
  <c r="O970" i="1"/>
  <c r="O971" i="1"/>
  <c r="O972" i="1"/>
  <c r="O973" i="1"/>
  <c r="O974" i="1"/>
  <c r="O975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K787" i="1"/>
  <c r="O779" i="1"/>
  <c r="O780" i="1"/>
  <c r="O781" i="1"/>
  <c r="O782" i="1"/>
  <c r="O783" i="1"/>
  <c r="O784" i="1"/>
  <c r="O785" i="1"/>
  <c r="O786" i="1"/>
  <c r="O788" i="1"/>
  <c r="O789" i="1"/>
  <c r="O790" i="1"/>
  <c r="O791" i="1"/>
  <c r="O793" i="1"/>
  <c r="O792" i="1"/>
  <c r="O794" i="1"/>
  <c r="O795" i="1"/>
  <c r="K769" i="1"/>
  <c r="O762" i="1"/>
  <c r="O761" i="1"/>
  <c r="O763" i="1"/>
  <c r="O764" i="1"/>
  <c r="O765" i="1"/>
  <c r="O766" i="1"/>
  <c r="O767" i="1"/>
  <c r="O768" i="1"/>
  <c r="O778" i="1"/>
  <c r="O770" i="1"/>
  <c r="O771" i="1"/>
  <c r="O772" i="1"/>
  <c r="O773" i="1"/>
  <c r="O774" i="1"/>
  <c r="O775" i="1"/>
  <c r="O776" i="1"/>
  <c r="O777" i="1"/>
  <c r="O683" i="1"/>
  <c r="O684" i="1"/>
  <c r="O685" i="1"/>
  <c r="O686" i="1"/>
  <c r="O687" i="1"/>
  <c r="O688" i="1"/>
  <c r="O689" i="1"/>
  <c r="O690" i="1"/>
  <c r="O700" i="1"/>
  <c r="O699" i="1"/>
  <c r="O691" i="1"/>
  <c r="O692" i="1"/>
  <c r="O693" i="1"/>
  <c r="O694" i="1"/>
  <c r="O695" i="1"/>
  <c r="O696" i="1"/>
  <c r="O697" i="1"/>
  <c r="O698" i="1"/>
  <c r="O661" i="1"/>
  <c r="O662" i="1"/>
  <c r="O663" i="1"/>
  <c r="O664" i="1"/>
  <c r="O665" i="1"/>
  <c r="O666" i="1"/>
  <c r="O667" i="1"/>
  <c r="O668" i="1"/>
  <c r="O669" i="1"/>
  <c r="O670" i="1"/>
  <c r="O671" i="1"/>
  <c r="K615" i="1"/>
  <c r="K614" i="1"/>
  <c r="O610" i="1"/>
  <c r="O606" i="1"/>
  <c r="O607" i="1"/>
  <c r="O608" i="1"/>
  <c r="O609" i="1"/>
  <c r="O611" i="1"/>
  <c r="O612" i="1"/>
  <c r="O613" i="1"/>
  <c r="O616" i="1"/>
  <c r="O623" i="1"/>
  <c r="O621" i="1"/>
  <c r="O605" i="1"/>
  <c r="O617" i="1"/>
  <c r="O618" i="1"/>
  <c r="O619" i="1"/>
  <c r="O620" i="1"/>
  <c r="O622" i="1"/>
  <c r="O624" i="1"/>
  <c r="O625" i="1"/>
  <c r="O626" i="1"/>
  <c r="O627" i="1"/>
  <c r="O587" i="1"/>
  <c r="O588" i="1"/>
  <c r="O589" i="1"/>
  <c r="O590" i="1"/>
  <c r="O586" i="1"/>
  <c r="O583" i="1"/>
  <c r="O584" i="1"/>
  <c r="O585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592" i="1"/>
  <c r="O591" i="1"/>
  <c r="O514" i="1"/>
  <c r="O515" i="1"/>
  <c r="O516" i="1"/>
  <c r="O517" i="1"/>
  <c r="O518" i="1"/>
  <c r="O519" i="1"/>
  <c r="O520" i="1"/>
  <c r="O521" i="1"/>
  <c r="O522" i="1"/>
  <c r="O523" i="1"/>
  <c r="O503" i="1"/>
  <c r="O499" i="1"/>
  <c r="O494" i="1"/>
  <c r="O493" i="1"/>
  <c r="O495" i="1"/>
  <c r="O496" i="1"/>
  <c r="O497" i="1"/>
  <c r="O498" i="1"/>
  <c r="O500" i="1"/>
  <c r="O501" i="1"/>
  <c r="O502" i="1"/>
  <c r="O446" i="1"/>
  <c r="O447" i="1"/>
  <c r="O448" i="1"/>
  <c r="O449" i="1"/>
  <c r="O450" i="1"/>
  <c r="O451" i="1"/>
  <c r="O452" i="1"/>
  <c r="O453" i="1"/>
  <c r="O378" i="1"/>
  <c r="O377" i="1"/>
  <c r="O376" i="1"/>
  <c r="O369" i="1"/>
  <c r="O370" i="1"/>
  <c r="O371" i="1"/>
  <c r="O372" i="1"/>
  <c r="O373" i="1"/>
  <c r="O374" i="1"/>
  <c r="O375" i="1"/>
  <c r="O379" i="1"/>
  <c r="O380" i="1"/>
  <c r="O381" i="1"/>
  <c r="O382" i="1"/>
  <c r="O383" i="1"/>
  <c r="O384" i="1"/>
  <c r="O385" i="1"/>
  <c r="O386" i="1"/>
  <c r="O387" i="1"/>
  <c r="O388" i="1"/>
  <c r="K359" i="1"/>
  <c r="O355" i="1"/>
  <c r="O351" i="1"/>
  <c r="O352" i="1"/>
  <c r="O353" i="1"/>
  <c r="O354" i="1"/>
  <c r="O356" i="1"/>
  <c r="O357" i="1"/>
  <c r="O358" i="1"/>
  <c r="O367" i="1"/>
  <c r="O360" i="1"/>
  <c r="O361" i="1"/>
  <c r="O362" i="1"/>
  <c r="O363" i="1"/>
  <c r="O364" i="1"/>
  <c r="O365" i="1"/>
  <c r="O366" i="1"/>
  <c r="O368" i="1"/>
  <c r="K263" i="1"/>
  <c r="O257" i="1"/>
  <c r="O258" i="1"/>
  <c r="O259" i="1"/>
  <c r="O260" i="1"/>
  <c r="O261" i="1"/>
  <c r="O262" i="1"/>
  <c r="O264" i="1"/>
  <c r="O265" i="1"/>
  <c r="K256" i="1"/>
  <c r="O247" i="1"/>
  <c r="O248" i="1"/>
  <c r="O249" i="1"/>
  <c r="O250" i="1"/>
  <c r="O251" i="1"/>
  <c r="O252" i="1"/>
  <c r="O253" i="1"/>
  <c r="O254" i="1"/>
  <c r="O255" i="1"/>
  <c r="O246" i="1"/>
  <c r="O174" i="1"/>
  <c r="O166" i="1"/>
  <c r="O167" i="1"/>
  <c r="O168" i="1"/>
  <c r="O169" i="1"/>
  <c r="O170" i="1"/>
  <c r="O171" i="1"/>
  <c r="O172" i="1"/>
  <c r="O173" i="1"/>
  <c r="O92" i="1"/>
  <c r="O93" i="1"/>
  <c r="O94" i="1"/>
  <c r="O95" i="1"/>
  <c r="N96" i="1"/>
  <c r="O96" i="1" s="1"/>
  <c r="O97" i="1"/>
  <c r="O98" i="1"/>
  <c r="O99" i="1"/>
  <c r="O19" i="1"/>
  <c r="O21" i="1"/>
  <c r="O20" i="1"/>
  <c r="O22" i="1"/>
  <c r="O23" i="1"/>
  <c r="O24" i="1"/>
  <c r="O25" i="1"/>
  <c r="O26" i="1"/>
  <c r="O27" i="1"/>
  <c r="O28" i="1"/>
  <c r="O29" i="1"/>
  <c r="L256" i="1" l="1"/>
  <c r="N256" i="1" s="1"/>
  <c r="O256" i="1" s="1"/>
  <c r="L263" i="1"/>
  <c r="N263" i="1" s="1"/>
  <c r="O263" i="1" s="1"/>
  <c r="L359" i="1"/>
  <c r="N359" i="1" s="1"/>
  <c r="O359" i="1" s="1"/>
  <c r="L614" i="1"/>
  <c r="N614" i="1" s="1"/>
  <c r="O614" i="1" s="1"/>
  <c r="L615" i="1"/>
  <c r="N615" i="1" s="1"/>
  <c r="O615" i="1" s="1"/>
  <c r="L769" i="1"/>
  <c r="N769" i="1" s="1"/>
  <c r="O769" i="1" s="1"/>
  <c r="L787" i="1"/>
  <c r="N787" i="1" s="1"/>
  <c r="O787" i="1" s="1"/>
  <c r="O805" i="1" l="1"/>
  <c r="O806" i="1"/>
  <c r="O807" i="1"/>
  <c r="O808" i="1"/>
  <c r="O809" i="1"/>
  <c r="O810" i="1"/>
  <c r="O811" i="1"/>
  <c r="O812" i="1"/>
  <c r="O813" i="1"/>
  <c r="O814" i="1"/>
  <c r="O906" i="1"/>
  <c r="O907" i="1"/>
  <c r="O908" i="1"/>
  <c r="O909" i="1"/>
  <c r="O910" i="1"/>
  <c r="O911" i="1"/>
  <c r="O912" i="1"/>
  <c r="O913" i="1"/>
  <c r="O914" i="1"/>
  <c r="O915" i="1"/>
  <c r="O916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796" i="1"/>
  <c r="O797" i="1"/>
  <c r="O798" i="1"/>
  <c r="O799" i="1"/>
  <c r="O800" i="1"/>
  <c r="O801" i="1"/>
  <c r="O802" i="1"/>
  <c r="O803" i="1"/>
  <c r="O804" i="1"/>
  <c r="O822" i="1"/>
  <c r="O821" i="1"/>
  <c r="O820" i="1"/>
  <c r="O819" i="1"/>
  <c r="O818" i="1"/>
  <c r="O817" i="1"/>
  <c r="O816" i="1"/>
  <c r="O815" i="1"/>
  <c r="O645" i="1"/>
  <c r="O646" i="1"/>
  <c r="O647" i="1"/>
  <c r="O648" i="1"/>
  <c r="O649" i="1"/>
  <c r="O650" i="1"/>
  <c r="O651" i="1"/>
  <c r="O652" i="1"/>
  <c r="O702" i="1"/>
  <c r="O703" i="1"/>
  <c r="O704" i="1"/>
  <c r="O705" i="1"/>
  <c r="O706" i="1"/>
  <c r="O707" i="1"/>
  <c r="O708" i="1"/>
  <c r="O709" i="1"/>
  <c r="O710" i="1"/>
  <c r="O711" i="1"/>
  <c r="O701" i="1"/>
  <c r="O653" i="1"/>
  <c r="O654" i="1"/>
  <c r="O655" i="1"/>
  <c r="O656" i="1"/>
  <c r="O657" i="1"/>
  <c r="O658" i="1"/>
  <c r="O659" i="1"/>
  <c r="O660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W108" i="1"/>
  <c r="A108" i="1" s="1"/>
  <c r="O100" i="1"/>
  <c r="O101" i="1"/>
  <c r="O102" i="1"/>
  <c r="O103" i="1"/>
  <c r="O104" i="1"/>
  <c r="O105" i="1"/>
  <c r="O106" i="1"/>
  <c r="O107" i="1"/>
  <c r="O108" i="1"/>
  <c r="O109" i="1"/>
  <c r="O535" i="1"/>
  <c r="O536" i="1"/>
  <c r="O537" i="1"/>
  <c r="O538" i="1"/>
  <c r="O539" i="1"/>
  <c r="O540" i="1"/>
  <c r="O541" i="1"/>
  <c r="O542" i="1"/>
  <c r="O543" i="1"/>
  <c r="O544" i="1"/>
  <c r="O524" i="1"/>
  <c r="O525" i="1"/>
  <c r="O526" i="1"/>
  <c r="O527" i="1"/>
  <c r="O528" i="1"/>
  <c r="O529" i="1"/>
  <c r="O530" i="1"/>
  <c r="O531" i="1"/>
  <c r="O532" i="1"/>
  <c r="O533" i="1"/>
  <c r="O534" i="1"/>
  <c r="O462" i="1"/>
  <c r="O463" i="1"/>
  <c r="O464" i="1"/>
  <c r="O465" i="1"/>
  <c r="O467" i="1"/>
  <c r="O466" i="1"/>
  <c r="O468" i="1"/>
  <c r="O469" i="1"/>
  <c r="O470" i="1"/>
  <c r="O471" i="1"/>
  <c r="O454" i="1"/>
  <c r="O455" i="1"/>
  <c r="N456" i="1"/>
  <c r="O456" i="1" s="1"/>
  <c r="O457" i="1"/>
  <c r="O458" i="1"/>
  <c r="O459" i="1"/>
  <c r="O460" i="1"/>
  <c r="O461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175" i="1"/>
  <c r="O176" i="1"/>
  <c r="O177" i="1"/>
  <c r="O178" i="1"/>
  <c r="O179" i="1"/>
  <c r="O180" i="1"/>
  <c r="O181" i="1"/>
  <c r="O182" i="1"/>
  <c r="O183" i="1"/>
  <c r="O272" i="1"/>
  <c r="O273" i="1"/>
  <c r="O271" i="1"/>
  <c r="O270" i="1"/>
  <c r="O269" i="1"/>
  <c r="O268" i="1"/>
  <c r="O267" i="1"/>
  <c r="O266" i="1"/>
  <c r="O192" i="1"/>
  <c r="O191" i="1"/>
  <c r="O190" i="1"/>
  <c r="O189" i="1"/>
  <c r="O188" i="1"/>
  <c r="O187" i="1"/>
  <c r="O186" i="1"/>
  <c r="O185" i="1"/>
  <c r="O184" i="1"/>
  <c r="O30" i="1"/>
  <c r="O31" i="1"/>
  <c r="O32" i="1"/>
  <c r="O33" i="1"/>
  <c r="O34" i="1"/>
  <c r="O35" i="1"/>
  <c r="O36" i="1"/>
  <c r="O37" i="1"/>
  <c r="O38" i="1"/>
  <c r="O117" i="1" l="1"/>
  <c r="O116" i="1"/>
  <c r="O115" i="1"/>
  <c r="O114" i="1"/>
  <c r="O113" i="1"/>
  <c r="O112" i="1"/>
  <c r="O111" i="1"/>
  <c r="O110" i="1"/>
  <c r="O1541" i="1"/>
  <c r="O1540" i="1"/>
  <c r="O1539" i="1"/>
  <c r="O1538" i="1"/>
  <c r="O1537" i="1"/>
  <c r="O1536" i="1"/>
  <c r="O1535" i="1"/>
  <c r="O1534" i="1"/>
  <c r="O1533" i="1"/>
  <c r="O1524" i="1"/>
  <c r="O1523" i="1"/>
  <c r="O1522" i="1"/>
  <c r="O1521" i="1"/>
  <c r="O1520" i="1"/>
  <c r="O1519" i="1"/>
  <c r="O1518" i="1"/>
  <c r="O1517" i="1"/>
  <c r="O1516" i="1"/>
  <c r="O1508" i="1"/>
  <c r="O1507" i="1"/>
  <c r="O1506" i="1"/>
  <c r="O1505" i="1"/>
  <c r="O1504" i="1"/>
  <c r="O1503" i="1"/>
  <c r="O1502" i="1"/>
  <c r="O1501" i="1"/>
  <c r="O1493" i="1"/>
  <c r="O1492" i="1"/>
  <c r="O1491" i="1"/>
  <c r="O1490" i="1"/>
  <c r="O1489" i="1"/>
  <c r="O1488" i="1"/>
  <c r="O1487" i="1"/>
  <c r="O1486" i="1"/>
  <c r="O1478" i="1"/>
  <c r="O1477" i="1"/>
  <c r="O1476" i="1"/>
  <c r="O1475" i="1"/>
  <c r="O1474" i="1"/>
  <c r="O1473" i="1"/>
  <c r="O1472" i="1"/>
  <c r="O1471" i="1"/>
  <c r="O1463" i="1"/>
  <c r="O1462" i="1"/>
  <c r="O1461" i="1"/>
  <c r="O1460" i="1"/>
  <c r="O1459" i="1"/>
  <c r="O1458" i="1"/>
  <c r="O545" i="1"/>
  <c r="O546" i="1"/>
  <c r="O547" i="1"/>
  <c r="O548" i="1"/>
  <c r="O549" i="1"/>
  <c r="O550" i="1"/>
  <c r="O551" i="1"/>
  <c r="O552" i="1"/>
  <c r="O553" i="1"/>
  <c r="O407" i="1"/>
  <c r="O408" i="1"/>
  <c r="O409" i="1"/>
  <c r="O410" i="1"/>
  <c r="O411" i="1"/>
  <c r="O412" i="1"/>
  <c r="O413" i="1"/>
  <c r="O414" i="1"/>
  <c r="O415" i="1"/>
  <c r="O416" i="1"/>
  <c r="O472" i="1"/>
  <c r="O473" i="1"/>
  <c r="O474" i="1"/>
  <c r="O475" i="1"/>
  <c r="O476" i="1"/>
  <c r="O477" i="1"/>
  <c r="O478" i="1"/>
  <c r="O479" i="1"/>
  <c r="O480" i="1"/>
  <c r="O481" i="1"/>
  <c r="O831" i="1"/>
  <c r="O832" i="1"/>
  <c r="O833" i="1"/>
  <c r="O834" i="1"/>
  <c r="O835" i="1"/>
  <c r="O836" i="1"/>
  <c r="O837" i="1"/>
  <c r="O838" i="1"/>
  <c r="O839" i="1"/>
  <c r="O194" i="1"/>
  <c r="O195" i="1"/>
  <c r="O196" i="1"/>
  <c r="O197" i="1"/>
  <c r="O198" i="1"/>
  <c r="O199" i="1"/>
  <c r="O200" i="1"/>
  <c r="O201" i="1"/>
  <c r="O119" i="1"/>
  <c r="O120" i="1"/>
  <c r="O121" i="1"/>
  <c r="O122" i="1"/>
  <c r="O123" i="1"/>
  <c r="O124" i="1"/>
  <c r="O125" i="1"/>
  <c r="O126" i="1"/>
  <c r="O127" i="1"/>
  <c r="O128" i="1"/>
  <c r="O1399" i="1"/>
  <c r="O1400" i="1"/>
  <c r="O1401" i="1"/>
  <c r="O1402" i="1"/>
  <c r="O1403" i="1"/>
  <c r="O1404" i="1"/>
  <c r="O1405" i="1"/>
  <c r="O1406" i="1"/>
  <c r="O1407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284" i="1"/>
  <c r="O285" i="1"/>
  <c r="O286" i="1"/>
  <c r="O287" i="1"/>
  <c r="O288" i="1"/>
  <c r="O289" i="1"/>
  <c r="O290" i="1"/>
  <c r="O291" i="1"/>
  <c r="O292" i="1"/>
  <c r="O293" i="1"/>
  <c r="O294" i="1"/>
  <c r="O823" i="1"/>
  <c r="O824" i="1"/>
  <c r="O825" i="1"/>
  <c r="O826" i="1"/>
  <c r="O827" i="1"/>
  <c r="O828" i="1"/>
  <c r="O829" i="1"/>
  <c r="O830" i="1"/>
  <c r="O712" i="1"/>
  <c r="O713" i="1"/>
  <c r="O714" i="1"/>
  <c r="O715" i="1"/>
  <c r="O716" i="1"/>
  <c r="O718" i="1"/>
  <c r="O717" i="1"/>
  <c r="O719" i="1"/>
  <c r="O720" i="1"/>
  <c r="O721" i="1"/>
  <c r="O722" i="1"/>
  <c r="O723" i="1"/>
  <c r="O295" i="1"/>
  <c r="O296" i="1"/>
  <c r="O297" i="1"/>
  <c r="O298" i="1"/>
  <c r="O299" i="1"/>
  <c r="O300" i="1"/>
  <c r="O301" i="1"/>
  <c r="O302" i="1"/>
  <c r="O274" i="1"/>
  <c r="O275" i="1"/>
  <c r="O276" i="1"/>
  <c r="O277" i="1"/>
  <c r="O278" i="1"/>
  <c r="O280" i="1"/>
  <c r="O281" i="1"/>
  <c r="O282" i="1"/>
  <c r="O283" i="1"/>
  <c r="O47" i="1"/>
  <c r="O48" i="1"/>
  <c r="O49" i="1"/>
  <c r="O50" i="1"/>
  <c r="O51" i="1"/>
  <c r="O52" i="1"/>
  <c r="O53" i="1"/>
  <c r="O54" i="1"/>
  <c r="O55" i="1"/>
  <c r="O39" i="1"/>
  <c r="O40" i="1"/>
  <c r="O42" i="1"/>
  <c r="O41" i="1"/>
  <c r="O43" i="1"/>
  <c r="O44" i="1"/>
  <c r="O45" i="1"/>
  <c r="O46" i="1"/>
  <c r="O917" i="1"/>
  <c r="O918" i="1"/>
  <c r="O919" i="1"/>
  <c r="O920" i="1"/>
  <c r="O921" i="1"/>
  <c r="O922" i="1"/>
  <c r="O923" i="1"/>
  <c r="O925" i="1"/>
  <c r="O924" i="1"/>
  <c r="O926" i="1"/>
  <c r="O927" i="1"/>
  <c r="O928" i="1"/>
  <c r="O1344" i="1"/>
  <c r="O1345" i="1"/>
  <c r="O1346" i="1"/>
  <c r="O1347" i="1"/>
  <c r="O1348" i="1"/>
  <c r="O1349" i="1"/>
  <c r="O1350" i="1"/>
  <c r="O1351" i="1"/>
  <c r="O1360" i="1"/>
  <c r="O1361" i="1"/>
  <c r="O1362" i="1"/>
  <c r="O1363" i="1"/>
  <c r="O1364" i="1"/>
  <c r="O1365" i="1"/>
  <c r="O1366" i="1"/>
  <c r="O1367" i="1"/>
  <c r="O1376" i="1"/>
  <c r="O1377" i="1"/>
  <c r="O1378" i="1"/>
  <c r="O1379" i="1"/>
  <c r="O1380" i="1"/>
  <c r="O1381" i="1"/>
  <c r="O1382" i="1"/>
  <c r="O1383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960" i="1"/>
  <c r="O961" i="1"/>
  <c r="O1094" i="1"/>
  <c r="O1095" i="1"/>
  <c r="O1096" i="1"/>
  <c r="O1097" i="1"/>
  <c r="O1098" i="1"/>
  <c r="O1352" i="1"/>
  <c r="O1353" i="1"/>
  <c r="O1354" i="1"/>
  <c r="O1355" i="1"/>
  <c r="O1356" i="1"/>
  <c r="O1357" i="1"/>
  <c r="O1358" i="1"/>
  <c r="O1359" i="1"/>
  <c r="O1368" i="1"/>
  <c r="O1369" i="1"/>
  <c r="O1370" i="1"/>
  <c r="O1371" i="1"/>
  <c r="O1372" i="1"/>
  <c r="O1373" i="1"/>
  <c r="O1374" i="1"/>
  <c r="O1375" i="1"/>
  <c r="O1384" i="1"/>
  <c r="O1385" i="1"/>
  <c r="O1386" i="1"/>
  <c r="O1387" i="1"/>
  <c r="O1388" i="1"/>
  <c r="O1389" i="1"/>
  <c r="O1390" i="1"/>
  <c r="N1391" i="1"/>
  <c r="O1391" i="1" s="1"/>
  <c r="O952" i="1"/>
  <c r="O953" i="1"/>
  <c r="O954" i="1"/>
  <c r="O955" i="1"/>
  <c r="O956" i="1"/>
  <c r="O957" i="1"/>
  <c r="O958" i="1"/>
  <c r="O959" i="1"/>
  <c r="O1408" i="1"/>
  <c r="O1409" i="1"/>
  <c r="O1410" i="1"/>
  <c r="O1411" i="1"/>
  <c r="O1412" i="1"/>
  <c r="O1413" i="1"/>
  <c r="O1422" i="1"/>
  <c r="O1423" i="1"/>
  <c r="O1424" i="1"/>
  <c r="O1425" i="1"/>
  <c r="O1426" i="1"/>
  <c r="O1427" i="1"/>
  <c r="O1428" i="1"/>
  <c r="O1436" i="1"/>
  <c r="O1437" i="1"/>
  <c r="O1438" i="1"/>
  <c r="O1439" i="1"/>
  <c r="O1440" i="1"/>
  <c r="O1441" i="1"/>
  <c r="O1442" i="1"/>
  <c r="O1450" i="1"/>
  <c r="O1452" i="1"/>
  <c r="O1451" i="1"/>
  <c r="O1453" i="1"/>
  <c r="O1454" i="1"/>
  <c r="O1455" i="1"/>
  <c r="O1456" i="1"/>
  <c r="O1464" i="1"/>
  <c r="O1465" i="1"/>
  <c r="O1466" i="1"/>
  <c r="O1467" i="1"/>
  <c r="O1468" i="1"/>
  <c r="O1469" i="1"/>
  <c r="O1470" i="1"/>
  <c r="O1479" i="1"/>
  <c r="O1480" i="1"/>
  <c r="O1481" i="1"/>
  <c r="O1482" i="1"/>
  <c r="O1483" i="1"/>
  <c r="O1484" i="1"/>
  <c r="O1485" i="1"/>
  <c r="O1494" i="1"/>
  <c r="O1495" i="1"/>
  <c r="O1496" i="1"/>
  <c r="O1497" i="1"/>
  <c r="O1498" i="1"/>
  <c r="O1499" i="1"/>
  <c r="O1500" i="1"/>
  <c r="O1509" i="1"/>
  <c r="O1510" i="1"/>
  <c r="O1511" i="1"/>
  <c r="O1512" i="1"/>
  <c r="O1513" i="1"/>
  <c r="O1514" i="1"/>
  <c r="O1515" i="1"/>
  <c r="O1525" i="1"/>
  <c r="O1526" i="1"/>
  <c r="O1527" i="1"/>
  <c r="O1528" i="1"/>
  <c r="O1529" i="1"/>
  <c r="O1530" i="1"/>
  <c r="O1531" i="1"/>
  <c r="O1532" i="1"/>
  <c r="O118" i="1"/>
  <c r="O945" i="1"/>
  <c r="O946" i="1"/>
  <c r="O947" i="1"/>
  <c r="O948" i="1"/>
  <c r="O949" i="1"/>
  <c r="O950" i="1"/>
  <c r="O951" i="1"/>
  <c r="O1414" i="1"/>
  <c r="O1415" i="1"/>
  <c r="O1416" i="1"/>
  <c r="O1417" i="1"/>
  <c r="O1418" i="1"/>
  <c r="O1419" i="1"/>
  <c r="O1420" i="1"/>
  <c r="O1421" i="1"/>
  <c r="O1429" i="1"/>
  <c r="O1430" i="1"/>
  <c r="O1432" i="1"/>
  <c r="O1431" i="1"/>
  <c r="O1433" i="1"/>
  <c r="O1434" i="1"/>
  <c r="O1435" i="1"/>
  <c r="O1443" i="1"/>
  <c r="O1444" i="1"/>
  <c r="O1445" i="1"/>
  <c r="O1446" i="1"/>
  <c r="O1447" i="1"/>
  <c r="O1448" i="1"/>
  <c r="O1449" i="1"/>
  <c r="O1457" i="1"/>
  <c r="O964" i="1"/>
  <c r="A1251" i="1" l="1"/>
  <c r="A1236" i="1" l="1"/>
</calcChain>
</file>

<file path=xl/sharedStrings.xml><?xml version="1.0" encoding="utf-8"?>
<sst xmlns="http://schemas.openxmlformats.org/spreadsheetml/2006/main" count="18209" uniqueCount="1933">
  <si>
    <t>ID</t>
  </si>
  <si>
    <t>Nationality</t>
  </si>
  <si>
    <t>Gender</t>
  </si>
  <si>
    <t>Final_time</t>
  </si>
  <si>
    <t>0_100m</t>
  </si>
  <si>
    <t>100_200m</t>
  </si>
  <si>
    <t>200_300m</t>
  </si>
  <si>
    <t>300_400m</t>
  </si>
  <si>
    <t>400_500m</t>
  </si>
  <si>
    <t>500_600m</t>
  </si>
  <si>
    <t>600_700m</t>
  </si>
  <si>
    <t>700_800m</t>
  </si>
  <si>
    <t>Competition</t>
  </si>
  <si>
    <t>Competition_date</t>
  </si>
  <si>
    <t>Male</t>
  </si>
  <si>
    <t>KEN</t>
  </si>
  <si>
    <t>AROP Marco</t>
  </si>
  <si>
    <t>FRA</t>
  </si>
  <si>
    <t>BEL</t>
  </si>
  <si>
    <t>CAN</t>
  </si>
  <si>
    <t>ITA</t>
  </si>
  <si>
    <t>MAR</t>
  </si>
  <si>
    <t>References</t>
  </si>
  <si>
    <t>SEDJATI Djamel</t>
  </si>
  <si>
    <t>ALG</t>
  </si>
  <si>
    <t>Diamond League Paris 2024</t>
  </si>
  <si>
    <t>https://ps-cache.web.swisstiming.com/node/binaryData/ATH_PROD/PARIS_2024/PDF_ATHM800M----DIAMOND---FNL-000100--_C77A.PDF?h=2OGW9tXEoliYVTn/oZ4D/i5jPeg=</t>
  </si>
  <si>
    <t>Competition_type</t>
  </si>
  <si>
    <t>SWE</t>
  </si>
  <si>
    <t>Female</t>
  </si>
  <si>
    <t>GBR</t>
  </si>
  <si>
    <t>Diamond League London 2024</t>
  </si>
  <si>
    <t>https://ps-cache.web.swisstiming.com/node/binaryData/ATH_PROD/LONDON_2024/PDF_ATHW800M----DIAMOND---FNL-000100--_C77A.PDF?h=FTEvSd5ymbLSHryo96VuRSz31U8=</t>
  </si>
  <si>
    <t>JAM</t>
  </si>
  <si>
    <t>UGA</t>
  </si>
  <si>
    <t>USA</t>
  </si>
  <si>
    <t>AUS</t>
  </si>
  <si>
    <t>ESP</t>
  </si>
  <si>
    <t>TUAL Gabriel</t>
  </si>
  <si>
    <t>PATTISON Ben</t>
  </si>
  <si>
    <t>https://ps-cache.web.swisstiming.com/node/binaryData/ATH_PROD/MONACO_2024/PDF_ATHM800M----DIAMOND---FNL-000100--_C77A.PDF?h=M2ZEbKEUhB9LSjO3pJqVsL2fWxw=</t>
  </si>
  <si>
    <t>Diamond League Monaco 2024</t>
  </si>
  <si>
    <t>Diamond League Stockholm 2024</t>
  </si>
  <si>
    <t>https://stockholm.diamondleague.com/archive/2024/stockholm/ATHM800M----DIAMOND---FNL-000100--_C77A_1.0.PDF</t>
  </si>
  <si>
    <t>BOT</t>
  </si>
  <si>
    <t>MOULA Slimane</t>
  </si>
  <si>
    <t>Diamond League Eugene 2024</t>
  </si>
  <si>
    <t>https://eugene.diamondleague.com/archive/2024/eugene/ATHW800M----DIAMOND---FNL-000100--_C77A_1.0.PDF</t>
  </si>
  <si>
    <t>DUGUMA Tsige</t>
  </si>
  <si>
    <t>ETH</t>
  </si>
  <si>
    <t>Diamond League Doha 2024</t>
  </si>
  <si>
    <t>https://doha.diamondleague.com/archive/2024/doha/ATHW800M----DIAMOND---FNL-000100--_C77A_1.0.PDF</t>
  </si>
  <si>
    <t>BEN</t>
  </si>
  <si>
    <t>SLO</t>
  </si>
  <si>
    <t>Diamond League Doha 2024 - West Asian Championships</t>
  </si>
  <si>
    <t>https://doha.diamondleague.com/archive/2024/doha/ATHM800M----ADDITIONALFNL-000100--_C77A_1.0.PDF</t>
  </si>
  <si>
    <t>IRI</t>
  </si>
  <si>
    <t>QAT</t>
  </si>
  <si>
    <t>IRQ</t>
  </si>
  <si>
    <t>KSA</t>
  </si>
  <si>
    <t>YEM</t>
  </si>
  <si>
    <t>OMA</t>
  </si>
  <si>
    <t>Diamond League Xiamen 2024</t>
  </si>
  <si>
    <t>https://xiamen.diamondleague.com/archive/2024/xiamen/ATHM800M----DIAMOND---FNL-000100--_C77A_1.0.PDF</t>
  </si>
  <si>
    <t>CHN</t>
  </si>
  <si>
    <t>ENGLISH Mark</t>
  </si>
  <si>
    <t>IRL</t>
  </si>
  <si>
    <t>Competition_level</t>
  </si>
  <si>
    <t>Meeting</t>
  </si>
  <si>
    <t>World</t>
  </si>
  <si>
    <t>Diamond League Lausanne 2024</t>
  </si>
  <si>
    <t>https://ps-cache.web.swisstiming.com/node/binaryData/ATH_PROD/LAUSANNE_2024/PDF_ATHW800M----DIAMOND---FNL-000100--_C77A.PDF?h=dGbxQRtUGkyMpIWhmzd/n5MG07Y=</t>
  </si>
  <si>
    <t>VIN</t>
  </si>
  <si>
    <t>SUI</t>
  </si>
  <si>
    <t>Athletes</t>
  </si>
  <si>
    <t>Competition_year</t>
  </si>
  <si>
    <t>Temperature_C</t>
  </si>
  <si>
    <t>Humidity</t>
  </si>
  <si>
    <t>Conditions</t>
  </si>
  <si>
    <t>Sunny</t>
  </si>
  <si>
    <t>Partly cloudy</t>
  </si>
  <si>
    <t>Cloudy</t>
  </si>
  <si>
    <t>Sky clear</t>
  </si>
  <si>
    <t>Overcast</t>
  </si>
  <si>
    <t>https://stockholm.diamondleague.com/archive/2024/stockholm/ATHW800M----ADDITIONALFNL-000100--_C77A_1.0.PDF</t>
  </si>
  <si>
    <t>FIN</t>
  </si>
  <si>
    <t>https://silesia.diamondleague.com/archive/2024/silesia/ATHM800M----DIAMOND---FNL-000100--_C77A_1.0.PDF</t>
  </si>
  <si>
    <t>BURGIN Max</t>
  </si>
  <si>
    <t>POL</t>
  </si>
  <si>
    <t>Diamond League Silesia 2024</t>
  </si>
  <si>
    <t>https://lausanne.diamondleague.com/archive/2024/lausanne/ATHM800M----ADDITIONALFNL-000100--_C77A_1.0.PDF</t>
  </si>
  <si>
    <t>Diamond League Lausanne 2024 - B race</t>
  </si>
  <si>
    <t>https://lausanne.diamondleague.com/archive/2024/lausanne/ATHW800M----PROMOTION-FNL-000100--_C77A_1.0.PDF</t>
  </si>
  <si>
    <t>Diamond League Brussels 2024</t>
  </si>
  <si>
    <t>https://brussels.diamondleague.com/archive/2024/brussels/ATHM800M----DIAMOND---FNL-000100--_C77A_1.0.PDF</t>
  </si>
  <si>
    <t>https://brussels.diamondleague.com/archive/2024/brussels/ATHW800M----DIAMOND---FNL-000100--_C77A_1.0.PDF</t>
  </si>
  <si>
    <t>RSA</t>
  </si>
  <si>
    <t>Diamond League Zurich 2024</t>
  </si>
  <si>
    <t>Rain</t>
  </si>
  <si>
    <t>https://zurich.diamondleague.com/archive/2024/zurich/ATHW800M----DIAMOND---FNL-000100--_C77A_1.0.PDF</t>
  </si>
  <si>
    <t>SVK</t>
  </si>
  <si>
    <t>Sum_time</t>
  </si>
  <si>
    <t>Diff</t>
  </si>
  <si>
    <t>Slimane MOULA</t>
  </si>
  <si>
    <t>World Championships Budapest 2023</t>
  </si>
  <si>
    <t>Championship - Semi-final</t>
  </si>
  <si>
    <t>https://worldathletics.org/competitions/world-athletics-championships/world-athletics-championships-budapest-2023-7138987/results/men/800-metres/semi-final/result</t>
  </si>
  <si>
    <t>Tshepiso MASALELA</t>
  </si>
  <si>
    <t>Ben PATTISON</t>
  </si>
  <si>
    <t>Mateusz BORKOWSKI</t>
  </si>
  <si>
    <t>Mohamed ATTAOUI</t>
  </si>
  <si>
    <t>Benjamin ROBERT</t>
  </si>
  <si>
    <t>Abdelati EL GUESSE</t>
  </si>
  <si>
    <t>Joseph DENG</t>
  </si>
  <si>
    <t>Championship - Heat</t>
  </si>
  <si>
    <t>https://worldathletics.org/competitions/world-athletics-championships/world-athletics-championships-budapest-2023-7138987/results/men/800-metres/heats/result</t>
  </si>
  <si>
    <t>NZL</t>
  </si>
  <si>
    <t>HUN</t>
  </si>
  <si>
    <t>KUW</t>
  </si>
  <si>
    <t>PUR</t>
  </si>
  <si>
    <t>BIH</t>
  </si>
  <si>
    <t>MAW</t>
  </si>
  <si>
    <t>CRO</t>
  </si>
  <si>
    <t>NOR</t>
  </si>
  <si>
    <t>TUN</t>
  </si>
  <si>
    <t>GEQ</t>
  </si>
  <si>
    <t>Francesco PERNICI</t>
  </si>
  <si>
    <t>Peter BOL</t>
  </si>
  <si>
    <t>James PRESTON</t>
  </si>
  <si>
    <t>Handal ROBAN</t>
  </si>
  <si>
    <t>Alex BEDDOES</t>
  </si>
  <si>
    <t>COK</t>
  </si>
  <si>
    <t>Justice DREISCHOR</t>
  </si>
  <si>
    <t>ARU</t>
  </si>
  <si>
    <t>BRA</t>
  </si>
  <si>
    <t>PLE</t>
  </si>
  <si>
    <t>Championship - Final</t>
  </si>
  <si>
    <t>https://worldathletics.org/competitions/world-athletics-championships/world-athletics-championships-budapest-2023-7138987/results/men/800-metres/final/result</t>
  </si>
  <si>
    <t>https://worldathletics.org/competitions/world-athletics-championships/world-athletics-championships-budapest-2023-7138987/results/women/800-metres/semi-final/result</t>
  </si>
  <si>
    <t>GER</t>
  </si>
  <si>
    <t>https://worldathletics.org/competitions/world-athletics-championships/world-athletics-championships-budapest-2023-7138987/results/women/800-metres/final/result</t>
  </si>
  <si>
    <t>Q</t>
  </si>
  <si>
    <t>q</t>
  </si>
  <si>
    <t>World Championships Eugene 2022</t>
  </si>
  <si>
    <t>https://worldathletics.org/en/competitions/world-athletics-championships/iaaf-world-championships-usa-2022-7137279/results/men/800-metres/heats/result</t>
  </si>
  <si>
    <t>TLS</t>
  </si>
  <si>
    <t>Championship_step</t>
  </si>
  <si>
    <t>Heat 2</t>
  </si>
  <si>
    <t>Heat 1</t>
  </si>
  <si>
    <t>Final</t>
  </si>
  <si>
    <t xml:space="preserve">Heat 3 </t>
  </si>
  <si>
    <t>Heat 4</t>
  </si>
  <si>
    <t>Heat 5</t>
  </si>
  <si>
    <t>Heat 7</t>
  </si>
  <si>
    <t>Heat 6</t>
  </si>
  <si>
    <t>Semi 1</t>
  </si>
  <si>
    <t>Semi 2</t>
  </si>
  <si>
    <t>Semi 3</t>
  </si>
  <si>
    <t>NED</t>
  </si>
  <si>
    <t>MEX</t>
  </si>
  <si>
    <t>https://worldathletics.org/competitions/world-athletics-championships/iaaf-world-championships-usa-2022-7137279/results/men/800-metres/semi-final/result</t>
  </si>
  <si>
    <t>https://worldathletics.org/competitions/world-athletics-championships/iaaf-world-championships-usa-2022-7137279/results/men/800-metres/final/result</t>
  </si>
  <si>
    <t>https://worldathletics.org/en/competitions/world-athletics-championships/iaaf-world-championships-usa-2022-7137279/results/women/800-metres/heats/result</t>
  </si>
  <si>
    <t>URU</t>
  </si>
  <si>
    <t>SRI</t>
  </si>
  <si>
    <t>CUB</t>
  </si>
  <si>
    <t>UKR</t>
  </si>
  <si>
    <t>JPN</t>
  </si>
  <si>
    <t>https://worldathletics.org/competitions/world-athletics-championships/iaaf-world-championships-usa-2022-7137279/results/women/800-metres/semi-final/result</t>
  </si>
  <si>
    <t>https://worldathletics.org/competitions/world-athletics-championships/iaaf-world-championships-usa-2022-7137279/results/women/800-metres/final/result</t>
  </si>
  <si>
    <t>Djamel SEDJATI</t>
  </si>
  <si>
    <t>Yanis MEZIANE</t>
  </si>
  <si>
    <t>Daniel ROWDEN</t>
  </si>
  <si>
    <t>Bryce HOPPEL</t>
  </si>
  <si>
    <t>Wyclife KINYAMAL</t>
  </si>
  <si>
    <t>Diamond League Brussels 2023</t>
  </si>
  <si>
    <t>https://www.diamondleague.com/results-standings/results/</t>
  </si>
  <si>
    <t>Marco AROP</t>
  </si>
  <si>
    <t>Saúl ORDÓÑEZ</t>
  </si>
  <si>
    <t>Catalin TECUCEANU</t>
  </si>
  <si>
    <t>Gabriel TUAL</t>
  </si>
  <si>
    <t>Filip OSTROWSKI</t>
  </si>
  <si>
    <t>Alex Ngeno KIPNGETICH</t>
  </si>
  <si>
    <t>Emmanuel WANYONYI</t>
  </si>
  <si>
    <t>Adrián BEN</t>
  </si>
  <si>
    <t>Simone BARONTINI</t>
  </si>
  <si>
    <t>Andreas KRAMER</t>
  </si>
  <si>
    <t>Mark ENGLISH</t>
  </si>
  <si>
    <t>Max BURGIN</t>
  </si>
  <si>
    <t>Brad MATHAS</t>
  </si>
  <si>
    <t>Dániel HULLER</t>
  </si>
  <si>
    <t>Tom DRADRIGA</t>
  </si>
  <si>
    <t>Isaiah HARRIS</t>
  </si>
  <si>
    <t>John FITZSIMONS</t>
  </si>
  <si>
    <t>Ebrahim ALZOFAIRI</t>
  </si>
  <si>
    <t>John RIVERA</t>
  </si>
  <si>
    <t>Amel TUKA</t>
  </si>
  <si>
    <t>Allan Ngitsi CHIRWA</t>
  </si>
  <si>
    <t>Abdullahi HASSAN</t>
  </si>
  <si>
    <t>Ferguson Cheruiyot ROTICH</t>
  </si>
  <si>
    <t>Marino BLOUDEK</t>
  </si>
  <si>
    <t>Emmanuel Kipkurui KORIR</t>
  </si>
  <si>
    <t>Abdessalem AYOUNI</t>
  </si>
  <si>
    <t>Clayton MURPHY</t>
  </si>
  <si>
    <t>Abedin MUJEZINOVIĆ</t>
  </si>
  <si>
    <t>Riley MCGOWN</t>
  </si>
  <si>
    <t>Faustino PRIETO ALFARO</t>
  </si>
  <si>
    <t>Joonas RINNE</t>
  </si>
  <si>
    <t>Balázs VINDICS</t>
  </si>
  <si>
    <t>Eduardo RIBEIRO</t>
  </si>
  <si>
    <t>Oussama NABIL</t>
  </si>
  <si>
    <t>Mohammed DWEDAR</t>
  </si>
  <si>
    <t>Keely HODGKINSON</t>
  </si>
  <si>
    <t>Nia AKINS</t>
  </si>
  <si>
    <t>Noélie YARIGO</t>
  </si>
  <si>
    <t>Worknesh MESELE</t>
  </si>
  <si>
    <t>Eveliina MÄÄTTÄNEN</t>
  </si>
  <si>
    <t>Catriona BISSET</t>
  </si>
  <si>
    <t>Anita HORVAT</t>
  </si>
  <si>
    <t>Flavia Maria DE LIMA</t>
  </si>
  <si>
    <t>Jemma REEKIE</t>
  </si>
  <si>
    <t>Raevyn ROGERS</t>
  </si>
  <si>
    <t>Natoya GOULE-TOPPIN</t>
  </si>
  <si>
    <t>Habitam ALEMU</t>
  </si>
  <si>
    <t>Lore HOFFMANN</t>
  </si>
  <si>
    <t>Rénelle LAMOTE</t>
  </si>
  <si>
    <t>Christina HERING</t>
  </si>
  <si>
    <t>Bianka KÉRI</t>
  </si>
  <si>
    <t>Mary MORAA</t>
  </si>
  <si>
    <t>Athing MU</t>
  </si>
  <si>
    <t>Halimah NAKAAYI</t>
  </si>
  <si>
    <t>Adelle TRACEY</t>
  </si>
  <si>
    <t>Abbey CALDWELL</t>
  </si>
  <si>
    <t>Eloisa COIRO</t>
  </si>
  <si>
    <t>Jazz SHUKLA</t>
  </si>
  <si>
    <t>Prudence SEKGODISO</t>
  </si>
  <si>
    <t>Elhassane MOUJAHID</t>
  </si>
  <si>
    <t>Álvaro DE ARRIBA</t>
  </si>
  <si>
    <t>Ermias GIRMA</t>
  </si>
  <si>
    <t>Marc REUTHER</t>
  </si>
  <si>
    <t>Kyle LANGFORD</t>
  </si>
  <si>
    <t>Mariano GARCÍA</t>
  </si>
  <si>
    <t>Donavan BRAZIER</t>
  </si>
  <si>
    <t>Patryk SIERADZKI</t>
  </si>
  <si>
    <t>Eliott CRESTAN</t>
  </si>
  <si>
    <t>Navasky ANDERSON</t>
  </si>
  <si>
    <t>Brandon MCBRIDE</t>
  </si>
  <si>
    <t>Tony VAN DIEPEN</t>
  </si>
  <si>
    <t>Brandon MILLER</t>
  </si>
  <si>
    <t>Tshepo TSHITE</t>
  </si>
  <si>
    <t>Noah KIBET</t>
  </si>
  <si>
    <t>Yassine HETHAT</t>
  </si>
  <si>
    <t>Tolesa BODENA</t>
  </si>
  <si>
    <t>Patryk DOBEK</t>
  </si>
  <si>
    <t>Žan RUDOLF</t>
  </si>
  <si>
    <t>Diribe WELTEJI</t>
  </si>
  <si>
    <t>Lindsey BUTTERWORTH</t>
  </si>
  <si>
    <t>Jarinter Mawia MWASYA</t>
  </si>
  <si>
    <t>Déborah RODRÍGUEZ</t>
  </si>
  <si>
    <t>Mariela Luisa REAL</t>
  </si>
  <si>
    <t>Gayanthika ARTIGALA</t>
  </si>
  <si>
    <t>Elena BELLÒ</t>
  </si>
  <si>
    <t>Ellie BAKER</t>
  </si>
  <si>
    <t>Rose Mary ALMANZA</t>
  </si>
  <si>
    <t>Olha LYAKHOVA</t>
  </si>
  <si>
    <t>Assia RAZIKI</t>
  </si>
  <si>
    <t>Tess KIRSOPP-COLE</t>
  </si>
  <si>
    <t>Freweyni HAILU</t>
  </si>
  <si>
    <t>Alexandra BELL</t>
  </si>
  <si>
    <t>Naomi KORIR</t>
  </si>
  <si>
    <t>Shafiqua MALONEY</t>
  </si>
  <si>
    <t>Addy TOWNSEND</t>
  </si>
  <si>
    <t>Chrisann GORDON-POWELL</t>
  </si>
  <si>
    <t>Madeleine KELLY</t>
  </si>
  <si>
    <t>Vanessa SCAUNET</t>
  </si>
  <si>
    <t>Claudia HOLLINGSWORTH</t>
  </si>
  <si>
    <t>Anna WIELGOSZ</t>
  </si>
  <si>
    <t>Majtie KOLBERG</t>
  </si>
  <si>
    <t>Louise SHANAHAN</t>
  </si>
  <si>
    <t>Jerneja SMONKAR</t>
  </si>
  <si>
    <t>Nozomi TANAKA</t>
  </si>
  <si>
    <t>Hedda HYNNE</t>
  </si>
  <si>
    <t>Moad ZAHAFI</t>
  </si>
  <si>
    <t>Musaeb Abdulrahman BALLA</t>
  </si>
  <si>
    <t>Abdirahman Saeed HASSAN</t>
  </si>
  <si>
    <t>Diamond League Doha 2023</t>
  </si>
  <si>
    <t>Diamond League Eugene 2023</t>
  </si>
  <si>
    <t>Diamond League Lausanne 2023 - B race</t>
  </si>
  <si>
    <t>National</t>
  </si>
  <si>
    <t>Sage HURTA-KLECKER</t>
  </si>
  <si>
    <t>Alex BOTTERILL</t>
  </si>
  <si>
    <t>Guy LEARMONTH</t>
  </si>
  <si>
    <t>Thomas RANDOLPH</t>
  </si>
  <si>
    <t>Ethan HUSSEY</t>
  </si>
  <si>
    <t>Archie DAVIS</t>
  </si>
  <si>
    <t>Reece SHARMAN-NEWELL</t>
  </si>
  <si>
    <t>Samuel REARDON</t>
  </si>
  <si>
    <t>Yusuf BIZIMANA</t>
  </si>
  <si>
    <t>Diamond League London 2023</t>
  </si>
  <si>
    <t>Mostly cloudy</t>
  </si>
  <si>
    <t>Katie SNOWDEN</t>
  </si>
  <si>
    <t>Niels LAROS</t>
  </si>
  <si>
    <t>Ryan CLARKE</t>
  </si>
  <si>
    <t>CZE</t>
  </si>
  <si>
    <t>Youssef BENZAMIA</t>
  </si>
  <si>
    <t>Bram BUIGEL</t>
  </si>
  <si>
    <t>Diamond League Monaco 2023 - B race</t>
  </si>
  <si>
    <t>European</t>
  </si>
  <si>
    <t>Diamond League Monaco 2023</t>
  </si>
  <si>
    <t>Azeddine HABZ</t>
  </si>
  <si>
    <t>Diamond League Paris 2023</t>
  </si>
  <si>
    <t>Khalid BOULAARAIS</t>
  </si>
  <si>
    <t>Mohamed ABOUETTAHERY</t>
  </si>
  <si>
    <t>Charaf ZAHIR</t>
  </si>
  <si>
    <t>Soufiane ZRAIDI</t>
  </si>
  <si>
    <t>Yassine BENYOUSSEF</t>
  </si>
  <si>
    <t>Mohamed KHATTAB</t>
  </si>
  <si>
    <t>Taha OUCHEN</t>
  </si>
  <si>
    <t>Khadija ENNASRI</t>
  </si>
  <si>
    <t>Diamond League Rabat 2023</t>
  </si>
  <si>
    <t>Diamond League Silesia 2023</t>
  </si>
  <si>
    <t>Diamond League Stockholm 2023</t>
  </si>
  <si>
    <t>Alexander LUNDSKOG</t>
  </si>
  <si>
    <t>Viktor IDHAMMAR</t>
  </si>
  <si>
    <t>Yared KIDANE</t>
  </si>
  <si>
    <t>ERI</t>
  </si>
  <si>
    <t>Habtom ASGEDE</t>
  </si>
  <si>
    <t>Diamond League Xiamen 2023</t>
  </si>
  <si>
    <t>Laura MUIR</t>
  </si>
  <si>
    <t>Audrey WERRO</t>
  </si>
  <si>
    <t>Diamond League Zurich 2023</t>
  </si>
  <si>
    <t>Revee WALCOTT-NOLAN</t>
  </si>
  <si>
    <t>Annemarie NISSEN</t>
  </si>
  <si>
    <t>DEN</t>
  </si>
  <si>
    <t>Maria FREIJ</t>
  </si>
  <si>
    <t>Yolanda NGARAMBE</t>
  </si>
  <si>
    <t>Julia NIELSEN</t>
  </si>
  <si>
    <t>Nadja RUGLAND</t>
  </si>
  <si>
    <t>Josefin Victoria HEIER</t>
  </si>
  <si>
    <t>Jake WIGHTMAN</t>
  </si>
  <si>
    <t>Collins KIPRUTO</t>
  </si>
  <si>
    <t>Diamond League Brussels 2022</t>
  </si>
  <si>
    <t>Erik SOWINSKI</t>
  </si>
  <si>
    <t>Diamond League Doha 2022</t>
  </si>
  <si>
    <t>Diamond League Eugene 2022</t>
  </si>
  <si>
    <t>Allie WILSON</t>
  </si>
  <si>
    <t>Michaela MEYER</t>
  </si>
  <si>
    <t>Diamond League Lausanne 2022</t>
  </si>
  <si>
    <t>Sinclaire JOHNSON</t>
  </si>
  <si>
    <t>Gabriela GAJANOVÁ</t>
  </si>
  <si>
    <t>Valentina ROSAMILIA</t>
  </si>
  <si>
    <t>George MILLS</t>
  </si>
  <si>
    <t>Tom ELMER</t>
  </si>
  <si>
    <t>Robin OESTER</t>
  </si>
  <si>
    <t>Ivan PELIZZA</t>
  </si>
  <si>
    <t>Ramon WIPFLI</t>
  </si>
  <si>
    <t>Louis LOW-BEER</t>
  </si>
  <si>
    <t>Vincent NOTZ</t>
  </si>
  <si>
    <t>Victor AMIOT</t>
  </si>
  <si>
    <t>Diego KLOPFENSTEIN</t>
  </si>
  <si>
    <t>Jamie WEBB</t>
  </si>
  <si>
    <t>Rocco ZAMAN-BROWNE</t>
  </si>
  <si>
    <t>Daniel HOWELLS</t>
  </si>
  <si>
    <t>Diamond League London 2022</t>
  </si>
  <si>
    <t>Isabelle BOFFEY</t>
  </si>
  <si>
    <t>Abigail IVES</t>
  </si>
  <si>
    <t>Jenny SELMAN</t>
  </si>
  <si>
    <t>Brooke FELDMEIER</t>
  </si>
  <si>
    <t>Iris DOWNES</t>
  </si>
  <si>
    <t>Jill CHERRY</t>
  </si>
  <si>
    <t>Georgie HARTIGAN</t>
  </si>
  <si>
    <t>Sabrina SINHA</t>
  </si>
  <si>
    <t>Gaia SABBATINI</t>
  </si>
  <si>
    <t>Katharina TROST</t>
  </si>
  <si>
    <t>Diamond League Monaco 2022</t>
  </si>
  <si>
    <t>Olivia BAKER</t>
  </si>
  <si>
    <t>Linden HALL</t>
  </si>
  <si>
    <t>Agnès RAHAROLAHY</t>
  </si>
  <si>
    <t>Lovisa LINDH</t>
  </si>
  <si>
    <t>Diamond League Oslo 2022</t>
  </si>
  <si>
    <t>Showers</t>
  </si>
  <si>
    <t>Mohamed Ali GOUANED</t>
  </si>
  <si>
    <t>Pierre-Ambroise BOSSE</t>
  </si>
  <si>
    <t>Elliot GILES</t>
  </si>
  <si>
    <t>Nijel AMOS</t>
  </si>
  <si>
    <t>Diamond League Paris 2022</t>
  </si>
  <si>
    <t>Ali BENZEM</t>
  </si>
  <si>
    <t>Moncif OUTAHAR</t>
  </si>
  <si>
    <t>Zakaria TALAL</t>
  </si>
  <si>
    <t>Abdelkader AZOUZI</t>
  </si>
  <si>
    <t>Abderrahmane TAOUS</t>
  </si>
  <si>
    <t>Hassan FAHIM</t>
  </si>
  <si>
    <t>Diamond League Rabat 2022</t>
  </si>
  <si>
    <t>Assia AIT TALEB</t>
  </si>
  <si>
    <t>Dounia SOUHAIL</t>
  </si>
  <si>
    <t>Aya ELOUIZI</t>
  </si>
  <si>
    <t>Mostafa SMAILI</t>
  </si>
  <si>
    <t>Michael SARUNI</t>
  </si>
  <si>
    <t>Soukaina HAJJI</t>
  </si>
  <si>
    <t>Tigist GIRMA</t>
  </si>
  <si>
    <t>Diamond League Rome 2022</t>
  </si>
  <si>
    <t>Diamond League Silesia 2022</t>
  </si>
  <si>
    <t>Jye PERROTT</t>
  </si>
  <si>
    <t>Felix FRANCOIS</t>
  </si>
  <si>
    <t>Mohammed AL-SULEIMANI</t>
  </si>
  <si>
    <t>Joakim ANDERSSON</t>
  </si>
  <si>
    <t>Björn SEIFERT</t>
  </si>
  <si>
    <t>McKenna KEEGAN</t>
  </si>
  <si>
    <t>Lova PERMAN</t>
  </si>
  <si>
    <t>Olivia WESLIEN</t>
  </si>
  <si>
    <t>Anna SILVANDER</t>
  </si>
  <si>
    <t>Elvira BREDIN</t>
  </si>
  <si>
    <t>Saga PROVCI</t>
  </si>
  <si>
    <t>Diamond League Stockholm 2022</t>
  </si>
  <si>
    <t>Diamond League Zurich 2022</t>
  </si>
  <si>
    <t>Isaiah JEWETT</t>
  </si>
  <si>
    <t>Pol MOYA</t>
  </si>
  <si>
    <t>AND</t>
  </si>
  <si>
    <t>Musa HAJDARI</t>
  </si>
  <si>
    <t>KOS</t>
  </si>
  <si>
    <t>Olympic Games Tokyo 2021</t>
  </si>
  <si>
    <t>https://worldathletics.org/competitions/olympic-games/the-xxxii-olympic-games-7132391/results/men/800-metres/heats/result</t>
  </si>
  <si>
    <t>Oliver DUSTIN</t>
  </si>
  <si>
    <t>CAF</t>
  </si>
  <si>
    <t>Charlie HUNTER</t>
  </si>
  <si>
    <t>Melese NBERET</t>
  </si>
  <si>
    <t>James Nyang CHIENGJIEK</t>
  </si>
  <si>
    <t>ART</t>
  </si>
  <si>
    <t>Heat 3</t>
  </si>
  <si>
    <t>Jeffrey RISELEY</t>
  </si>
  <si>
    <t>Thiago ANDRÉ</t>
  </si>
  <si>
    <t>Ryan SÁNCHEZ</t>
  </si>
  <si>
    <t>BDI</t>
  </si>
  <si>
    <t>DMA</t>
  </si>
  <si>
    <t>Eric NZIKWINKUNDA</t>
  </si>
  <si>
    <t>Andrés ARROYO</t>
  </si>
  <si>
    <t>Dennick LUKE</t>
  </si>
  <si>
    <t>Abubaker Haydar ABDALLA</t>
  </si>
  <si>
    <t>Wesley VÁZQUEZ</t>
  </si>
  <si>
    <t>https://worldathletics.org/competitions/olympic-games/the-xxxii-olympic-games-7132391/results/men/800-metres/semi-final/result</t>
  </si>
  <si>
    <t>https://worldathletics.org/competitions/olympic-games/the-xxxii-olympic-games-7132391/results/men/800-metres/final/result</t>
  </si>
  <si>
    <t>Winnie NANYONDO</t>
  </si>
  <si>
    <t>Angelika SARNA</t>
  </si>
  <si>
    <t>Morgan MITCHELL</t>
  </si>
  <si>
    <t>https://worldathletics.org/competitions/olympic-games/the-xxxii-olympic-games-7132391/results/women/800-metres/heats/result</t>
  </si>
  <si>
    <t>Eunice Jepkoech SUM</t>
  </si>
  <si>
    <t>Nadia POWER</t>
  </si>
  <si>
    <t>Lokonyen Rose NATHIKE</t>
  </si>
  <si>
    <t>Joanna JÓŹWIK</t>
  </si>
  <si>
    <t>Melissa BISHOP-NRIAGU</t>
  </si>
  <si>
    <t>Bianka BARTHA-KÉRI</t>
  </si>
  <si>
    <t>Netsanet DESTA</t>
  </si>
  <si>
    <t>Síofra CLÉIRIGH BÜTTNER</t>
  </si>
  <si>
    <t>Nimali WALIWARSHA</t>
  </si>
  <si>
    <t>STP</t>
  </si>
  <si>
    <t>Rababe ARAFI</t>
  </si>
  <si>
    <t>Delia SCLABAS</t>
  </si>
  <si>
    <t>Chunyu WANG</t>
  </si>
  <si>
    <t>Sara KUIVISTO</t>
  </si>
  <si>
    <t>Natalia ROMERO</t>
  </si>
  <si>
    <t>Emily Cherotich TUEI</t>
  </si>
  <si>
    <t>https://worldathletics.org/competitions/olympic-games/the-xxxii-olympic-games-7132391/results/women/800-metres/semi-final/result</t>
  </si>
  <si>
    <t>https://worldathletics.org/competitions/olympic-games/the-xxxii-olympic-games-7132391/results/women/800-metres/final/result</t>
  </si>
  <si>
    <t>Cornelius TUWEI</t>
  </si>
  <si>
    <t>Aurele VANDEPUTTE</t>
  </si>
  <si>
    <t>Ruben VERHEYDEN</t>
  </si>
  <si>
    <t>Pieter SISK</t>
  </si>
  <si>
    <t>Diamond League Brussels 2021</t>
  </si>
  <si>
    <t>Kate GRACE</t>
  </si>
  <si>
    <t>Manuel OLMEDO</t>
  </si>
  <si>
    <t>Rabi Mohamoud MUBARAK</t>
  </si>
  <si>
    <t>Khaled Mohamed Jaman AL HARBI</t>
  </si>
  <si>
    <t>Diamond League Doha 2021 - B race</t>
  </si>
  <si>
    <t>Diamond League Doha 2021</t>
  </si>
  <si>
    <t>Faith KIPYEGON</t>
  </si>
  <si>
    <t>Hanna GREEN</t>
  </si>
  <si>
    <t>Diamond League Eugene 2021</t>
  </si>
  <si>
    <t>Sabrina SOUTHERLAND</t>
  </si>
  <si>
    <t>Diamond League Lausanne 2021 - B race</t>
  </si>
  <si>
    <t>Diamond League Lausanne 2021</t>
  </si>
  <si>
    <t>Lilly NÄGELI</t>
  </si>
  <si>
    <t>Lea AMMANN</t>
  </si>
  <si>
    <t>Diamond League Monaco 2021</t>
  </si>
  <si>
    <t>Diamond League London 2021</t>
  </si>
  <si>
    <t>Diamond League Paris 2021</t>
  </si>
  <si>
    <t>Diamond League Stockholm 2021</t>
  </si>
  <si>
    <t>Diamond League Stockholm 2021 - pre-program</t>
  </si>
  <si>
    <t>Jonathan KITILIT</t>
  </si>
  <si>
    <t>Piers COPELAND</t>
  </si>
  <si>
    <t>Jake HEYWARD</t>
  </si>
  <si>
    <t>Johan ROGESTEDT</t>
  </si>
  <si>
    <t>Diamond League Zurich 2021</t>
  </si>
  <si>
    <t>Diamond League London 2022 - B race</t>
  </si>
  <si>
    <t>Diamond League Rabat 2022 - U23</t>
  </si>
  <si>
    <t>Diamond League Stockholm 2022 - National</t>
  </si>
  <si>
    <t>Diamond League Rabat 2023 - U23</t>
  </si>
  <si>
    <t>Diamond League Stockholm 2023 -National</t>
  </si>
  <si>
    <t>Comp_ID</t>
  </si>
  <si>
    <t>Name_clean</t>
  </si>
  <si>
    <t>Aaron Kemei CHEMININGWA</t>
  </si>
  <si>
    <t>Aatiqa BOUKRYM</t>
  </si>
  <si>
    <t>aatiqa boukrym</t>
  </si>
  <si>
    <t>abbey caldwell</t>
  </si>
  <si>
    <t>abdelati el guesse</t>
  </si>
  <si>
    <t>abdelfath yassin</t>
  </si>
  <si>
    <t>Abdelfath YASSIN</t>
  </si>
  <si>
    <t>abdelkader azouzi</t>
  </si>
  <si>
    <t>Abdelkarim LAASAKRI</t>
  </si>
  <si>
    <t>Abdellah OUSGHIR</t>
  </si>
  <si>
    <t>abdellah ousghir</t>
  </si>
  <si>
    <t>Abdellah HASSOU</t>
  </si>
  <si>
    <t>Abdellatif SADIKI</t>
  </si>
  <si>
    <t>abdellatif sadiki</t>
  </si>
  <si>
    <t>Abderahmane LAASAL</t>
  </si>
  <si>
    <t>abderahmane laasal</t>
  </si>
  <si>
    <t>abderrahmane taous</t>
  </si>
  <si>
    <t>abdessalem ayouni</t>
  </si>
  <si>
    <t>abdirahman saeed hassan</t>
  </si>
  <si>
    <t>Abdullah ALYAARI</t>
  </si>
  <si>
    <t>Abdullahi Dahir RABI</t>
  </si>
  <si>
    <t>abdullahi hassan</t>
  </si>
  <si>
    <t>abel kipsang</t>
  </si>
  <si>
    <t>Abel KIPSANG</t>
  </si>
  <si>
    <t>abigail ives</t>
  </si>
  <si>
    <t>Abraham GUEM</t>
  </si>
  <si>
    <t>SSD</t>
  </si>
  <si>
    <t>abraham guem</t>
  </si>
  <si>
    <t>abubaker haydar abdalla</t>
  </si>
  <si>
    <t>adam ali musab</t>
  </si>
  <si>
    <t>Adam Ali MUSAB</t>
  </si>
  <si>
    <t>Adam FOGG</t>
  </si>
  <si>
    <t>Adam SPENCER</t>
  </si>
  <si>
    <t>adam spencer</t>
  </si>
  <si>
    <t>Addison WILEY</t>
  </si>
  <si>
    <t>addy townsend</t>
  </si>
  <si>
    <t>Adel MECHAAL</t>
  </si>
  <si>
    <t>adel mechaal</t>
  </si>
  <si>
    <t>adelle tracey</t>
  </si>
  <si>
    <t>Adisu GIRMA</t>
  </si>
  <si>
    <t>adisu girma</t>
  </si>
  <si>
    <t>Adrianna TOPOLNICKA</t>
  </si>
  <si>
    <t>Agathe GUILLEMOT</t>
  </si>
  <si>
    <t>agathe guillemot</t>
  </si>
  <si>
    <t>Águeda MARQUÉS</t>
  </si>
  <si>
    <t>Ahmad RAHOUI</t>
  </si>
  <si>
    <t>Aidan TOOKER</t>
  </si>
  <si>
    <t>Ajay Kumar SAROJ</t>
  </si>
  <si>
    <t>IND</t>
  </si>
  <si>
    <t>ajay kumar saroj</t>
  </si>
  <si>
    <t>Ajee' WILSON</t>
  </si>
  <si>
    <t>Aleksandra PŁOCIŃSKA</t>
  </si>
  <si>
    <t>alex beddoes</t>
  </si>
  <si>
    <t>alex botterill</t>
  </si>
  <si>
    <t>alex ngeno kipngetich</t>
  </si>
  <si>
    <t>alexander lundskog</t>
  </si>
  <si>
    <t>alexander nilsson</t>
  </si>
  <si>
    <t>Alexander NILSSON</t>
  </si>
  <si>
    <t>alexandra bell</t>
  </si>
  <si>
    <t>ali benzem</t>
  </si>
  <si>
    <t>allan ngitsi chirwa</t>
  </si>
  <si>
    <t>allie wilson</t>
  </si>
  <si>
    <t>Alma Delia CORTES</t>
  </si>
  <si>
    <t>alma delia cortes</t>
  </si>
  <si>
    <t>Amalie SÆTEN</t>
  </si>
  <si>
    <t>amel tuka</t>
  </si>
  <si>
    <t>Amin LIRMAQUI</t>
  </si>
  <si>
    <t>Amos BARTELSMEYER</t>
  </si>
  <si>
    <t>amos bartelsmeyer</t>
  </si>
  <si>
    <t>Anass ESSAYI</t>
  </si>
  <si>
    <t>anass essayi</t>
  </si>
  <si>
    <t>Anders BJØRNDAL</t>
  </si>
  <si>
    <t>anders bjørndal</t>
  </si>
  <si>
    <t>Andreas ALMGREN</t>
  </si>
  <si>
    <t>andreas almgren</t>
  </si>
  <si>
    <t>andreas fjeld halvorsen</t>
  </si>
  <si>
    <t>Andreas FJELD HALVORSEN</t>
  </si>
  <si>
    <t>andreas kramer</t>
  </si>
  <si>
    <t>andreas lindgreen</t>
  </si>
  <si>
    <t>Andreas LINDGREEN</t>
  </si>
  <si>
    <t>Andrew COSCORAN</t>
  </si>
  <si>
    <t>andrew coscoran</t>
  </si>
  <si>
    <t>Andy COENDET</t>
  </si>
  <si>
    <t>Angelika CICHOCKA</t>
  </si>
  <si>
    <t>angelika cichocka</t>
  </si>
  <si>
    <t>angelika sarna</t>
  </si>
  <si>
    <t>anita horvat</t>
  </si>
  <si>
    <t>Anna PETER</t>
  </si>
  <si>
    <t>anna silvander</t>
  </si>
  <si>
    <t>anna wielgosz</t>
  </si>
  <si>
    <t>annemarie nissen</t>
  </si>
  <si>
    <t>Anton BROGGINI</t>
  </si>
  <si>
    <t>archie davis</t>
  </si>
  <si>
    <t>Arnaud MONNEY</t>
  </si>
  <si>
    <t>Arnaud GILLIÉRON</t>
  </si>
  <si>
    <t>assia ait taleb</t>
  </si>
  <si>
    <t>assia raziki</t>
  </si>
  <si>
    <t>athing mu</t>
  </si>
  <si>
    <t>audrey werro</t>
  </si>
  <si>
    <t>August DA SILVA SVEEN</t>
  </si>
  <si>
    <t>aurele vandeputte</t>
  </si>
  <si>
    <t>aurore fleury</t>
  </si>
  <si>
    <t>Aurore FLEURY</t>
  </si>
  <si>
    <t>axumawit embaye</t>
  </si>
  <si>
    <t>Axumawit EMBAYE</t>
  </si>
  <si>
    <t>Aya DIMOKRATI</t>
  </si>
  <si>
    <t>aya dimokrati</t>
  </si>
  <si>
    <t>aya elouizi</t>
  </si>
  <si>
    <t>Aya BOUGHAIDA</t>
  </si>
  <si>
    <t>Ayal DAGNACHEW</t>
  </si>
  <si>
    <t>ayal dagnachew</t>
  </si>
  <si>
    <t>Ayanleh SOULEIMAN</t>
  </si>
  <si>
    <t>DJI</t>
  </si>
  <si>
    <t>ayanleh souleiman</t>
  </si>
  <si>
    <t>Ayoub TAOUS</t>
  </si>
  <si>
    <t>ayoub taous</t>
  </si>
  <si>
    <t>azeddine habz</t>
  </si>
  <si>
    <t>Bahiya EL ARFAOUI</t>
  </si>
  <si>
    <t>Baptiste MISCHLER</t>
  </si>
  <si>
    <t>baptiste mischler</t>
  </si>
  <si>
    <t>Bartosz KITLIŃSKI</t>
  </si>
  <si>
    <t>ben pattison</t>
  </si>
  <si>
    <t>pattison ben</t>
  </si>
  <si>
    <t>Benjamin ÅBERG</t>
  </si>
  <si>
    <t>Benjamin OLSEN</t>
  </si>
  <si>
    <t>benjamin olsen</t>
  </si>
  <si>
    <t>benjamin robert</t>
  </si>
  <si>
    <t>bethwell birgen</t>
  </si>
  <si>
    <t>Bethwell BIRGEN</t>
  </si>
  <si>
    <t>Birke HAYLOM</t>
  </si>
  <si>
    <t>birke haylom</t>
  </si>
  <si>
    <t>bjørnar sandnes lillefosse</t>
  </si>
  <si>
    <t>Bjørnar Sandnes LILLEFOSSE</t>
  </si>
  <si>
    <t>Boaz KIPRUGUT</t>
  </si>
  <si>
    <t>brad mathas</t>
  </si>
  <si>
    <t>Brahim KAAZOUZI</t>
  </si>
  <si>
    <t>Brahime CHAREF</t>
  </si>
  <si>
    <t>bram buigel</t>
  </si>
  <si>
    <t>brandon mcbride</t>
  </si>
  <si>
    <t>brandon miller</t>
  </si>
  <si>
    <t>Brian KOMEN</t>
  </si>
  <si>
    <t>Brimin Kiprono KIPROTICH</t>
  </si>
  <si>
    <t>brooke feldmeier</t>
  </si>
  <si>
    <t>bryce hoppel</t>
  </si>
  <si>
    <t>Caleb LAKEMAN</t>
  </si>
  <si>
    <t>caleb lakeman</t>
  </si>
  <si>
    <t>cameron myers</t>
  </si>
  <si>
    <t>Cameron MYERS</t>
  </si>
  <si>
    <t>Cameron PROCEVIAT</t>
  </si>
  <si>
    <t>cameron proceviat</t>
  </si>
  <si>
    <t>Camille LAUS</t>
  </si>
  <si>
    <t>Carina VILJOEN</t>
  </si>
  <si>
    <t>carina viljoen</t>
  </si>
  <si>
    <t>catalin tecuceanu</t>
  </si>
  <si>
    <t>Caterina GRANZ</t>
  </si>
  <si>
    <t>caterina granz</t>
  </si>
  <si>
    <t>catriona bisset</t>
  </si>
  <si>
    <t>Chaimae ZAHIRI</t>
  </si>
  <si>
    <t>chaimae zahiri</t>
  </si>
  <si>
    <t>charaf zahir</t>
  </si>
  <si>
    <t>Charles Cheboi SIMOTWO</t>
  </si>
  <si>
    <t>charles cheboi simotwo</t>
  </si>
  <si>
    <t>LUX</t>
  </si>
  <si>
    <t>charles grethen</t>
  </si>
  <si>
    <t>Charles GRETHEN</t>
  </si>
  <si>
    <t>Charles PHILIBERT-THIBOUTOT</t>
  </si>
  <si>
    <t>charlie hunter</t>
  </si>
  <si>
    <t>Charlie DA'VALL GRICE</t>
  </si>
  <si>
    <t>Christian NOBLE</t>
  </si>
  <si>
    <t>christian noble</t>
  </si>
  <si>
    <t>christina hering</t>
  </si>
  <si>
    <t>Christoph KESSLER</t>
  </si>
  <si>
    <t>christoph kessler</t>
  </si>
  <si>
    <t>chunyu wang</t>
  </si>
  <si>
    <t>ciara mageean</t>
  </si>
  <si>
    <t>Ciara MAGEEAN</t>
  </si>
  <si>
    <t>claudia hollingsworth</t>
  </si>
  <si>
    <t>Claudia Mihaela BOBOCEA</t>
  </si>
  <si>
    <t>ROU</t>
  </si>
  <si>
    <t>claudia mihaela bobocea</t>
  </si>
  <si>
    <t>clayton murphy</t>
  </si>
  <si>
    <t>Colby ALEXANDER</t>
  </si>
  <si>
    <t>colby alexander</t>
  </si>
  <si>
    <t>Cole HOCKER</t>
  </si>
  <si>
    <t>cole hocker</t>
  </si>
  <si>
    <t>collins kipruto</t>
  </si>
  <si>
    <t>Constance PITTET</t>
  </si>
  <si>
    <t>constance pittet</t>
  </si>
  <si>
    <t>Cooper TEARE</t>
  </si>
  <si>
    <t>cooper teare</t>
  </si>
  <si>
    <t>cornelius tuwei</t>
  </si>
  <si>
    <t>cory ann mcgee</t>
  </si>
  <si>
    <t>Cory Ann MCGEE</t>
  </si>
  <si>
    <t>daniel howells</t>
  </si>
  <si>
    <t>daniel rowden</t>
  </si>
  <si>
    <t>Danielle ARAGON</t>
  </si>
  <si>
    <t>danielle aragon</t>
  </si>
  <si>
    <t>Danielle JONES</t>
  </si>
  <si>
    <t>danielle jones</t>
  </si>
  <si>
    <t>Danika SLITS</t>
  </si>
  <si>
    <t>danika slits</t>
  </si>
  <si>
    <t>David FISCHER</t>
  </si>
  <si>
    <t>delia sclabas</t>
  </si>
  <si>
    <t>dennick luke</t>
  </si>
  <si>
    <t>Dezhu LIU</t>
  </si>
  <si>
    <t>Diana MEZULIÁNÍKOVÁ</t>
  </si>
  <si>
    <t>Diego Javier LACAMOIRE</t>
  </si>
  <si>
    <t>ARG</t>
  </si>
  <si>
    <t>diego javier lacamoire</t>
  </si>
  <si>
    <t>diego klopfenstein</t>
  </si>
  <si>
    <t>Diego MENZI</t>
  </si>
  <si>
    <t>diribe welteji</t>
  </si>
  <si>
    <t>djamel sedjati</t>
  </si>
  <si>
    <t>sedjati djamel</t>
  </si>
  <si>
    <t>D'Jamila TAVARES</t>
  </si>
  <si>
    <t>Dominic Lokinyomo LOBALU</t>
  </si>
  <si>
    <t>donavan brazier</t>
  </si>
  <si>
    <t>dounia souhail</t>
  </si>
  <si>
    <t>ebrahim alzofairi</t>
  </si>
  <si>
    <t>Edinah JEBITOK</t>
  </si>
  <si>
    <t>edinah jebitok</t>
  </si>
  <si>
    <t>eduardo ribeiro</t>
  </si>
  <si>
    <t>Eglay Nafuna NALYANYA</t>
  </si>
  <si>
    <t>eilish mccolgan</t>
  </si>
  <si>
    <t>Eilish MCCOLGAN</t>
  </si>
  <si>
    <t>Eivind Tym WIKSHÅLAND</t>
  </si>
  <si>
    <t>El Hafez MAHADI</t>
  </si>
  <si>
    <t>El Houssaine HITRANE</t>
  </si>
  <si>
    <t>Eleanor FULTON</t>
  </si>
  <si>
    <t>eleanor fulton</t>
  </si>
  <si>
    <t>Elena EICHENBERGER</t>
  </si>
  <si>
    <t>elena eichenberger</t>
  </si>
  <si>
    <t>elhassane moujahid</t>
  </si>
  <si>
    <t>Elias NGENY</t>
  </si>
  <si>
    <t>eliott crestan</t>
  </si>
  <si>
    <t>elisa bortoli</t>
  </si>
  <si>
    <t>Elisa BORTOLI</t>
  </si>
  <si>
    <t>elise cranny</t>
  </si>
  <si>
    <t>Elise CRANNY</t>
  </si>
  <si>
    <t>elise vanderelst</t>
  </si>
  <si>
    <t>Elise VANDERELST</t>
  </si>
  <si>
    <t>eliza megger</t>
  </si>
  <si>
    <t>Eliza MEGGER</t>
  </si>
  <si>
    <t>Elle ST. PIERRE</t>
  </si>
  <si>
    <t>elle st. pierre</t>
  </si>
  <si>
    <t>ellie baker</t>
  </si>
  <si>
    <t>elliot giles</t>
  </si>
  <si>
    <t>Elliot VERMEULEN</t>
  </si>
  <si>
    <t>Elmer Mulleri SKALLE</t>
  </si>
  <si>
    <t>elmer mulleri skalle</t>
  </si>
  <si>
    <t>eloisa coiro</t>
  </si>
  <si>
    <t>elvira bredin</t>
  </si>
  <si>
    <t>Elzan BIBIĆ</t>
  </si>
  <si>
    <t>SRB</t>
  </si>
  <si>
    <t>Emil DANIELSSON</t>
  </si>
  <si>
    <t>emil danielsson</t>
  </si>
  <si>
    <t>emily cherotich tuei</t>
  </si>
  <si>
    <t>Emily MACKAY</t>
  </si>
  <si>
    <t>emily mackay</t>
  </si>
  <si>
    <t>emmanuel kipkurui korir</t>
  </si>
  <si>
    <t>emmanuel wanyonyi</t>
  </si>
  <si>
    <t>eric nzikwinkunda</t>
  </si>
  <si>
    <t>erik sowinski</t>
  </si>
  <si>
    <t>Erin WALLACE</t>
  </si>
  <si>
    <t>erin wallace</t>
  </si>
  <si>
    <t>ermias girma</t>
  </si>
  <si>
    <t>Esten Hansen-Møllerud HAUEN</t>
  </si>
  <si>
    <t>esther guerrero</t>
  </si>
  <si>
    <t>Esther GUERRERO</t>
  </si>
  <si>
    <t>ethan hussey</t>
  </si>
  <si>
    <t>eunice jepkoech sum</t>
  </si>
  <si>
    <t>Even Brøndbo DAHL</t>
  </si>
  <si>
    <t>even brøndbo dahl</t>
  </si>
  <si>
    <t>faith kipyegon</t>
  </si>
  <si>
    <t>Fatima AAFIR</t>
  </si>
  <si>
    <t>faustino prieto alfaro</t>
  </si>
  <si>
    <t>Fayez ALSUBAIE</t>
  </si>
  <si>
    <t>Federica DEL BUONO</t>
  </si>
  <si>
    <t>federica del buono</t>
  </si>
  <si>
    <t>Federico RIVA</t>
  </si>
  <si>
    <t>felix francois</t>
  </si>
  <si>
    <t>Ferdinand Kvan EDMAN</t>
  </si>
  <si>
    <t>ferdinand kvan edman</t>
  </si>
  <si>
    <t>ferguson cheruiyot rotich</t>
  </si>
  <si>
    <t>filip ostrowski</t>
  </si>
  <si>
    <t>Filip SASÍNEK</t>
  </si>
  <si>
    <t>Filip ŠNEJDR</t>
  </si>
  <si>
    <t>filip sasinek</t>
  </si>
  <si>
    <t>Filippo MOGGI</t>
  </si>
  <si>
    <t>Fiona VON FLÜE</t>
  </si>
  <si>
    <t>flavia maria de lima</t>
  </si>
  <si>
    <t>francesco pernici</t>
  </si>
  <si>
    <t>Francky Edgard MBOTTO</t>
  </si>
  <si>
    <t>freweyni hailu</t>
  </si>
  <si>
    <t>gabriel tual</t>
  </si>
  <si>
    <t>tual gabriel</t>
  </si>
  <si>
    <t>Gabriela DEBUES-STAFFORD</t>
  </si>
  <si>
    <t>gaia sabbatini</t>
  </si>
  <si>
    <t>gayanthika artigala</t>
  </si>
  <si>
    <t>Geordie BEAMISH</t>
  </si>
  <si>
    <t>george mills</t>
  </si>
  <si>
    <t>Georgia BELL</t>
  </si>
  <si>
    <t>Georgia GRIFFITH</t>
  </si>
  <si>
    <t>georgia griffith</t>
  </si>
  <si>
    <t>georgie hartigan</t>
  </si>
  <si>
    <t>Gian-Andrea ANTENER</t>
  </si>
  <si>
    <t>Giulia SALVADE'</t>
  </si>
  <si>
    <t>Gonzalo GARCÍA</t>
  </si>
  <si>
    <t>Gregory BERNAGE</t>
  </si>
  <si>
    <t>gregory bernage</t>
  </si>
  <si>
    <t>Gresa BAKRAÇI</t>
  </si>
  <si>
    <t>Gudaf TSEGAY</t>
  </si>
  <si>
    <t>gudaf tsegay</t>
  </si>
  <si>
    <t>Guillaume LAURENT</t>
  </si>
  <si>
    <t>gustav berlin</t>
  </si>
  <si>
    <t>Gustav BERLIN</t>
  </si>
  <si>
    <t>guy learmonth</t>
  </si>
  <si>
    <t>habitam alemu</t>
  </si>
  <si>
    <t>habtom asgede</t>
  </si>
  <si>
    <t>Hafid RIZQY</t>
  </si>
  <si>
    <t>hafid rizqy</t>
  </si>
  <si>
    <t>Håkon MOE BERG</t>
  </si>
  <si>
    <t>halimah nakaayi</t>
  </si>
  <si>
    <t>Halvor NYMOEN</t>
  </si>
  <si>
    <t>hamza driouch</t>
  </si>
  <si>
    <t>Hamza DRIOUCH</t>
  </si>
  <si>
    <t>handal roban</t>
  </si>
  <si>
    <t>hanna green</t>
  </si>
  <si>
    <t>Hanna HERMANSSON</t>
  </si>
  <si>
    <t>hanna hermansson</t>
  </si>
  <si>
    <t>hanna klein</t>
  </si>
  <si>
    <t>Hanna KLEIN</t>
  </si>
  <si>
    <t>Hasna HSSISOU</t>
  </si>
  <si>
    <t>hasna hssisou</t>
  </si>
  <si>
    <t>Hassan BEN HACHIMI</t>
  </si>
  <si>
    <t>hassan fahim</t>
  </si>
  <si>
    <t>Hassana IBN ABDEL MATEY</t>
  </si>
  <si>
    <t>heather maclean</t>
  </si>
  <si>
    <t>Heather MACLEAN</t>
  </si>
  <si>
    <t>hedda hynne</t>
  </si>
  <si>
    <t>Helen SCHLACHTENHAUFEN</t>
  </si>
  <si>
    <t>helen schlachtenhaufen</t>
  </si>
  <si>
    <t>Hiba GHIZLANE</t>
  </si>
  <si>
    <t>hiba ghizlane</t>
  </si>
  <si>
    <t>Hicham AKANKAM</t>
  </si>
  <si>
    <t>hicham akankam</t>
  </si>
  <si>
    <t>Hicham OULADHA</t>
  </si>
  <si>
    <t>hicham ouladha</t>
  </si>
  <si>
    <t>hirut meshesha</t>
  </si>
  <si>
    <t>Hirut MESHESHA</t>
  </si>
  <si>
    <t>Hobbs KESSLER</t>
  </si>
  <si>
    <t>hobbs kessler</t>
  </si>
  <si>
    <t>Housna IBNABDEL-MATEY</t>
  </si>
  <si>
    <t>ignacio fontes</t>
  </si>
  <si>
    <t>Ignacio FONTES</t>
  </si>
  <si>
    <t>Ihab Jabbar HASHIM</t>
  </si>
  <si>
    <t>Ilham EL MACH</t>
  </si>
  <si>
    <t>Ilyas AAOURDOU</t>
  </si>
  <si>
    <t>ilyas aaourdou</t>
  </si>
  <si>
    <t>Ilyas RABANI</t>
  </si>
  <si>
    <t>iris downes</t>
  </si>
  <si>
    <t>Isaac NADER</t>
  </si>
  <si>
    <t>POR</t>
  </si>
  <si>
    <t>isaac nader</t>
  </si>
  <si>
    <t>isabelle boffey</t>
  </si>
  <si>
    <t>isaiah harris</t>
  </si>
  <si>
    <t>isaiah jewett</t>
  </si>
  <si>
    <t>Ismael DEBJANI</t>
  </si>
  <si>
    <t>ismael debjani</t>
  </si>
  <si>
    <t>Ismail CHKHICHEKH</t>
  </si>
  <si>
    <t>ismail chkhichekh</t>
  </si>
  <si>
    <t>István SZÖGI</t>
  </si>
  <si>
    <t>ivan pelizza</t>
  </si>
  <si>
    <t>jake heyward</t>
  </si>
  <si>
    <t>jake wightman</t>
  </si>
  <si>
    <t>jakob ingebrigtsen</t>
  </si>
  <si>
    <t>Jakob INGEBRIGTSEN</t>
  </si>
  <si>
    <t>Jamal HAIRANE</t>
  </si>
  <si>
    <t>james nyang chiengjiek</t>
  </si>
  <si>
    <t>james preston</t>
  </si>
  <si>
    <t>James WEST</t>
  </si>
  <si>
    <t>james west</t>
  </si>
  <si>
    <t>jamie webb</t>
  </si>
  <si>
    <t>Jaqueline Beatriz WEBER</t>
  </si>
  <si>
    <t>jaqueline beatriz weber</t>
  </si>
  <si>
    <t>jarinter mawia mwasya</t>
  </si>
  <si>
    <t>jazz shukla</t>
  </si>
  <si>
    <t>jeffrey riseley</t>
  </si>
  <si>
    <t>jemma reekie</t>
  </si>
  <si>
    <t>jenny selman</t>
  </si>
  <si>
    <t>jerneja smonkar</t>
  </si>
  <si>
    <t>jessica hull</t>
  </si>
  <si>
    <t>Jessica HULL</t>
  </si>
  <si>
    <t>jesus tonatiu lopez</t>
  </si>
  <si>
    <t>Jesus Tonatiu LÓPEZ</t>
  </si>
  <si>
    <t>jill cherry</t>
  </si>
  <si>
    <t>Jimmy GRESSIER</t>
  </si>
  <si>
    <t>jimmy gressier</t>
  </si>
  <si>
    <t>joakim andersson</t>
  </si>
  <si>
    <t>Joao BUSSOTTI NEVES</t>
  </si>
  <si>
    <t>joao bussotti neves</t>
  </si>
  <si>
    <t>Job IJTSMA</t>
  </si>
  <si>
    <t>job ijtsma</t>
  </si>
  <si>
    <t>Joceline WIND</t>
  </si>
  <si>
    <t>jochem vermeulen</t>
  </si>
  <si>
    <t>Jochem VERMEULEN</t>
  </si>
  <si>
    <t>Joe WASKOM</t>
  </si>
  <si>
    <t>joe waskom</t>
  </si>
  <si>
    <t>Joel Ibler LILLESØ</t>
  </si>
  <si>
    <t>johan rogestedt</t>
  </si>
  <si>
    <t>john fitzsimons</t>
  </si>
  <si>
    <t>John GREGOREK</t>
  </si>
  <si>
    <t>john gregorek</t>
  </si>
  <si>
    <t>john rivera</t>
  </si>
  <si>
    <t>Jonas RAESS</t>
  </si>
  <si>
    <t>jonas raess</t>
  </si>
  <si>
    <t>Jonas SCHÖPFER</t>
  </si>
  <si>
    <t>jonathan grahn</t>
  </si>
  <si>
    <t>Jonathan GRAHN</t>
  </si>
  <si>
    <t>jonathan kitilit</t>
  </si>
  <si>
    <t>Jonathan RUCHTI</t>
  </si>
  <si>
    <t>joonas rinne</t>
  </si>
  <si>
    <t>josefin victoria heier</t>
  </si>
  <si>
    <t>joseph deng</t>
  </si>
  <si>
    <t>Josette ANDREWS</t>
  </si>
  <si>
    <t>josette andrews</t>
  </si>
  <si>
    <t>josh kerr</t>
  </si>
  <si>
    <t>Josh KERR</t>
  </si>
  <si>
    <t>Joshua THOMPSON</t>
  </si>
  <si>
    <t>joshua thompson</t>
  </si>
  <si>
    <t>Juan ZIJDERLAAN</t>
  </si>
  <si>
    <t>julia nielsen</t>
  </si>
  <si>
    <t>Julian RANC</t>
  </si>
  <si>
    <t>julian ranc</t>
  </si>
  <si>
    <t>Julianne LABACH</t>
  </si>
  <si>
    <t>julianne labach</t>
  </si>
  <si>
    <t>Julien STALHANDSKE</t>
  </si>
  <si>
    <t>Juliette DUTRUY</t>
  </si>
  <si>
    <t>Jurjen POLDERMAN</t>
  </si>
  <si>
    <t>jurjen polderman</t>
  </si>
  <si>
    <t>justice dreischor</t>
  </si>
  <si>
    <t>jye perrott</t>
  </si>
  <si>
    <t>kalle berglund</t>
  </si>
  <si>
    <t>Kalle BERGLUND</t>
  </si>
  <si>
    <t>kamar etiang</t>
  </si>
  <si>
    <t>Kamar ETIANG</t>
  </si>
  <si>
    <t>Kane ELLIOTT</t>
  </si>
  <si>
    <t>Kaoutar MOULOUA</t>
  </si>
  <si>
    <t>kaoutar mouloua</t>
  </si>
  <si>
    <t>Karima ABBI</t>
  </si>
  <si>
    <t>karima abbi</t>
  </si>
  <si>
    <t>Karoline Bjerkeli GRØVDAL</t>
  </si>
  <si>
    <t>kate grace</t>
  </si>
  <si>
    <t>katharina trost</t>
  </si>
  <si>
    <t>katie snowden</t>
  </si>
  <si>
    <t>Keanu SIMASOTCHI</t>
  </si>
  <si>
    <t>keely hodgkinson</t>
  </si>
  <si>
    <t>AUT</t>
  </si>
  <si>
    <t>Kevin KAMENSCHAK</t>
  </si>
  <si>
    <t>Kevin VIEZEE</t>
  </si>
  <si>
    <t>Khaddouj EL BALI</t>
  </si>
  <si>
    <t>khadija ennasri</t>
  </si>
  <si>
    <t>khaled mohamed jaman al harbi</t>
  </si>
  <si>
    <t>khalid boulaarais</t>
  </si>
  <si>
    <t>Kieran LUMB</t>
  </si>
  <si>
    <t>kieran lumb</t>
  </si>
  <si>
    <t>Kjetil BRENNO GAGNÅS</t>
  </si>
  <si>
    <t>klaudia kazimierska</t>
  </si>
  <si>
    <t>Klaudia KAZIMIERSKA</t>
  </si>
  <si>
    <t>Konstanze KLOSTERHALFEN</t>
  </si>
  <si>
    <t>konstanze klosterhalfen</t>
  </si>
  <si>
    <t>Kristian Uldbjerg HANSEN</t>
  </si>
  <si>
    <t>kristian uldbjerg hansen</t>
  </si>
  <si>
    <t>Kristiina SASÍNEK MÄKI</t>
  </si>
  <si>
    <t>Kristoffer SAGLI</t>
  </si>
  <si>
    <t>Kumari TAKI</t>
  </si>
  <si>
    <t>kumari taki</t>
  </si>
  <si>
    <t>kyle langford</t>
  </si>
  <si>
    <t>Lamecha GIRMA</t>
  </si>
  <si>
    <t>lamecha girma</t>
  </si>
  <si>
    <t>Lamiae MAMOUNI</t>
  </si>
  <si>
    <t>Lamyae ABBASSI</t>
  </si>
  <si>
    <t>lamyae abbassi</t>
  </si>
  <si>
    <t>Laura GALVÁN</t>
  </si>
  <si>
    <t>laura muir</t>
  </si>
  <si>
    <t>lea ammann</t>
  </si>
  <si>
    <t>lemlem hailu</t>
  </si>
  <si>
    <t>Lemlem HAILU</t>
  </si>
  <si>
    <t>Léna KANDISSOUNON</t>
  </si>
  <si>
    <t>Léo LÄDERMANN</t>
  </si>
  <si>
    <t>Leonie SAURER</t>
  </si>
  <si>
    <t>leonie saurer</t>
  </si>
  <si>
    <t>Lieke WEHRUNG</t>
  </si>
  <si>
    <t>lieke wehrung</t>
  </si>
  <si>
    <t>Lili Anna VINDICS-TÓTH</t>
  </si>
  <si>
    <t>linden hall</t>
  </si>
  <si>
    <t>lindsey butterworth</t>
  </si>
  <si>
    <t>Linn SÖDERHOLM</t>
  </si>
  <si>
    <t>lisa de bruyn</t>
  </si>
  <si>
    <t>Lisa DE BRUYN</t>
  </si>
  <si>
    <t>lokonyen rose nathike</t>
  </si>
  <si>
    <t>lore hoffmann</t>
  </si>
  <si>
    <t>Lorea IBARZABAL</t>
  </si>
  <si>
    <t>Lorenz HERRMANN</t>
  </si>
  <si>
    <t>Loubna LAHDAR</t>
  </si>
  <si>
    <t>louise shanahan</t>
  </si>
  <si>
    <t>lova perman</t>
  </si>
  <si>
    <t>lovisa lindh</t>
  </si>
  <si>
    <t>Lucia STAFFORD</t>
  </si>
  <si>
    <t>lucia stafford</t>
  </si>
  <si>
    <t>Ludovica CAVALLI</t>
  </si>
  <si>
    <t>ludovica cavalli</t>
  </si>
  <si>
    <t>luke mccann</t>
  </si>
  <si>
    <t>Luke MCCANN</t>
  </si>
  <si>
    <t>madeleine kelly</t>
  </si>
  <si>
    <t>Maël GOUYETTE</t>
  </si>
  <si>
    <t>majtie kolberg</t>
  </si>
  <si>
    <t>Malak ESRAIDI</t>
  </si>
  <si>
    <t>Malin RAHM</t>
  </si>
  <si>
    <t>malin rahm</t>
  </si>
  <si>
    <t>Manuel ATAIDE</t>
  </si>
  <si>
    <t>manuel olmedo</t>
  </si>
  <si>
    <t>marc reuther</t>
  </si>
  <si>
    <t>Marc SCOTT</t>
  </si>
  <si>
    <t>marc scott</t>
  </si>
  <si>
    <t>marco arop</t>
  </si>
  <si>
    <t>arop marco</t>
  </si>
  <si>
    <t>Margarita KOCZANOWA</t>
  </si>
  <si>
    <t>maria freij</t>
  </si>
  <si>
    <t>mariela luisa real</t>
  </si>
  <si>
    <t>marino bloudek</t>
  </si>
  <si>
    <t>Mario GARCÍA</t>
  </si>
  <si>
    <t>mark english</t>
  </si>
  <si>
    <t>english mark</t>
  </si>
  <si>
    <t>Marta GARCÍA</t>
  </si>
  <si>
    <t>Marta PEN FREITAS</t>
  </si>
  <si>
    <t>marta pen freitas</t>
  </si>
  <si>
    <t>Marta PÉREZ</t>
  </si>
  <si>
    <t>Marwa BENCHRIFA</t>
  </si>
  <si>
    <t>marwa benchrifa</t>
  </si>
  <si>
    <t>mary moraa</t>
  </si>
  <si>
    <t>mateusz borkowski</t>
  </si>
  <si>
    <t>matthew ramsden</t>
  </si>
  <si>
    <t>Matthew RAMSDEN</t>
  </si>
  <si>
    <t>Matthew STONIER</t>
  </si>
  <si>
    <t>matthew stonier</t>
  </si>
  <si>
    <t>max burgin</t>
  </si>
  <si>
    <t>burgin max</t>
  </si>
  <si>
    <t>Max HENROTIN</t>
  </si>
  <si>
    <t>Maxim WYSS</t>
  </si>
  <si>
    <t>Maxwell KOULEN</t>
  </si>
  <si>
    <t>mckenna keegan</t>
  </si>
  <si>
    <t>melese nberet</t>
  </si>
  <si>
    <t>Melina ANDORRA</t>
  </si>
  <si>
    <t>Melissa COURTNEY-BRYANT</t>
  </si>
  <si>
    <t>Meryem ELMOUTACHARRAF</t>
  </si>
  <si>
    <t>Meryeme AZROUR</t>
  </si>
  <si>
    <t>michael saruni</t>
  </si>
  <si>
    <t>michaela meyer</t>
  </si>
  <si>
    <t>Michał ROZMYS</t>
  </si>
  <si>
    <t>michał rozmys</t>
  </si>
  <si>
    <t>Miguel MATOS</t>
  </si>
  <si>
    <t>Mikkel Blikstad THOMASSEN</t>
  </si>
  <si>
    <t>Moa Abounnachat BOLLERØD</t>
  </si>
  <si>
    <t>moa abounnachat bollerød</t>
  </si>
  <si>
    <t>moad zahafi</t>
  </si>
  <si>
    <t>Mohamad ALGARNI</t>
  </si>
  <si>
    <t>mohamed abouettahery</t>
  </si>
  <si>
    <t>mohamed ali gouaned</t>
  </si>
  <si>
    <t>mohamed attaoui</t>
  </si>
  <si>
    <t>mohamed katir</t>
  </si>
  <si>
    <t>Mohamed KATIR</t>
  </si>
  <si>
    <t>mohamed khattab</t>
  </si>
  <si>
    <t>Mohamed MAKKAOUI</t>
  </si>
  <si>
    <t>mohammed dwedar</t>
  </si>
  <si>
    <t>moncif outahar</t>
  </si>
  <si>
    <t>morgan mitchell</t>
  </si>
  <si>
    <t>Moritz EBBESKOTTE</t>
  </si>
  <si>
    <t>mostafa smaili</t>
  </si>
  <si>
    <t>Mouad OUAFIK</t>
  </si>
  <si>
    <t>Mubarak AL YAFAEE</t>
  </si>
  <si>
    <t>musa hajdari</t>
  </si>
  <si>
    <t>Musa SULIMAN</t>
  </si>
  <si>
    <t>musaeb abdulrahman balla</t>
  </si>
  <si>
    <t>Nadia BATTOCLETTI</t>
  </si>
  <si>
    <t>nadia power</t>
  </si>
  <si>
    <t>nadja rugland</t>
  </si>
  <si>
    <t>naomi korir</t>
  </si>
  <si>
    <t>Narve Gilje NORDÅS</t>
  </si>
  <si>
    <t>natalia romero</t>
  </si>
  <si>
    <t>Natalіia KROL</t>
  </si>
  <si>
    <t>Nathalie BLOMQVIST</t>
  </si>
  <si>
    <t>nathalie blomqvist</t>
  </si>
  <si>
    <t>navasky anderson</t>
  </si>
  <si>
    <t>Navid KERBER</t>
  </si>
  <si>
    <t>Neil GOURLEY</t>
  </si>
  <si>
    <t>neil gourley</t>
  </si>
  <si>
    <t>Nelly CHEPCHIRCHIR</t>
  </si>
  <si>
    <t>nelly chepchirchir</t>
  </si>
  <si>
    <t>netsanet desta</t>
  </si>
  <si>
    <t>nia akins</t>
  </si>
  <si>
    <t>Nicholas GRIGGS</t>
  </si>
  <si>
    <t>nicholas griggs</t>
  </si>
  <si>
    <t>Nick WILLIS</t>
  </si>
  <si>
    <t>nick willis</t>
  </si>
  <si>
    <t>niels laros</t>
  </si>
  <si>
    <t>Nigist GETACHEW</t>
  </si>
  <si>
    <t>nijel amos</t>
  </si>
  <si>
    <t>Nikki HILTZ</t>
  </si>
  <si>
    <t>nikki hiltz</t>
  </si>
  <si>
    <t>nimali waliwarsha</t>
  </si>
  <si>
    <t>Nizar ELHARCHAOUI</t>
  </si>
  <si>
    <t>Noah BALTUS</t>
  </si>
  <si>
    <t>noah kibet</t>
  </si>
  <si>
    <t>Noureddine Adel MERZAH</t>
  </si>
  <si>
    <t>nozomi tanaka</t>
  </si>
  <si>
    <t>Ole Jakob HØSTELAND SOLBU</t>
  </si>
  <si>
    <t>olha lyakhova</t>
  </si>
  <si>
    <t>oliver dustin</t>
  </si>
  <si>
    <t>oliver hoare</t>
  </si>
  <si>
    <t>Oliver HOARE</t>
  </si>
  <si>
    <t>olivia baker</t>
  </si>
  <si>
    <t>olivia weslien</t>
  </si>
  <si>
    <t>Ossama MESLEK</t>
  </si>
  <si>
    <t>ossama meslek</t>
  </si>
  <si>
    <t>Oussama ALLAOUI</t>
  </si>
  <si>
    <t>oussama allaoui</t>
  </si>
  <si>
    <t>oussama nabil</t>
  </si>
  <si>
    <t>Pablo SÁNCHEZ-VALLADARES</t>
  </si>
  <si>
    <t>Pascal FURTWÄNGLER</t>
  </si>
  <si>
    <t>patryk dobek</t>
  </si>
  <si>
    <t>patryk sieradzki</t>
  </si>
  <si>
    <t>Paul MCINTYRE</t>
  </si>
  <si>
    <t>Paulo Amotun LOKORO</t>
  </si>
  <si>
    <t>paulo amotun lokoro</t>
  </si>
  <si>
    <t>peter bol</t>
  </si>
  <si>
    <t>Pierre PERRUCHOUD</t>
  </si>
  <si>
    <t>piers copeland</t>
  </si>
  <si>
    <t>pieter sisk</t>
  </si>
  <si>
    <t>Pietro ARESE</t>
  </si>
  <si>
    <t>pietro arese</t>
  </si>
  <si>
    <t>pol moya</t>
  </si>
  <si>
    <t>prudence sekgodiso</t>
  </si>
  <si>
    <t>Purity CHEPKIRUI</t>
  </si>
  <si>
    <t>purity chepkirui</t>
  </si>
  <si>
    <t>rababe arafi</t>
  </si>
  <si>
    <t>rabi mohamoud mubarak</t>
  </si>
  <si>
    <t>Rachel PELLAUD</t>
  </si>
  <si>
    <t>raevyn rogers</t>
  </si>
  <si>
    <t>Rajaa NAOUI</t>
  </si>
  <si>
    <t>rajaa naoui</t>
  </si>
  <si>
    <t>ramon wipfli</t>
  </si>
  <si>
    <t>Raphael PALLITSCH</t>
  </si>
  <si>
    <t>raphael pallitsch</t>
  </si>
  <si>
    <t>Rebecca MEHRA</t>
  </si>
  <si>
    <t>rebecca mehra</t>
  </si>
  <si>
    <t>renelle lamote</t>
  </si>
  <si>
    <t>Reynold CHERUIYOT</t>
  </si>
  <si>
    <t>Rick VAN RIEL</t>
  </si>
  <si>
    <t>riley mcgown</t>
  </si>
  <si>
    <t>Rob NAPOLITANO</t>
  </si>
  <si>
    <t>rob napolitano</t>
  </si>
  <si>
    <t>Robert FARKEN</t>
  </si>
  <si>
    <t>robert farken</t>
  </si>
  <si>
    <t>robin oester</t>
  </si>
  <si>
    <t>Romain FRIDEZ</t>
  </si>
  <si>
    <t>Romane WOLHAUSER</t>
  </si>
  <si>
    <t>romane wolhauser</t>
  </si>
  <si>
    <t>Ronald KWEMOI</t>
  </si>
  <si>
    <t>ronald kwemoi</t>
  </si>
  <si>
    <t>ronald musagala</t>
  </si>
  <si>
    <t>Ronald MUSAGALA</t>
  </si>
  <si>
    <t>rose mary almanza</t>
  </si>
  <si>
    <t>ruben verheyden</t>
  </si>
  <si>
    <t>ryan clarke</t>
  </si>
  <si>
    <t>ryan gregson</t>
  </si>
  <si>
    <t>Ryan GREGSON</t>
  </si>
  <si>
    <t>Ryan MPHAHLELE</t>
  </si>
  <si>
    <t>ryan mphahlele</t>
  </si>
  <si>
    <t>sabrina sinha</t>
  </si>
  <si>
    <t>sabrina southerland</t>
  </si>
  <si>
    <t>saga provci</t>
  </si>
  <si>
    <t>Saida EL-BOUZY</t>
  </si>
  <si>
    <t>Salahedine BOUSSAID</t>
  </si>
  <si>
    <t>Salim Abu MAYANJA</t>
  </si>
  <si>
    <t>Salim KEDDAR</t>
  </si>
  <si>
    <t>salim keddar</t>
  </si>
  <si>
    <t>Salim ELHALAL</t>
  </si>
  <si>
    <t>Salma ELBADRA</t>
  </si>
  <si>
    <t>Salomé AFONSO</t>
  </si>
  <si>
    <t>Samer AL-YAFAEE</t>
  </si>
  <si>
    <t>Sami Masoud AL YAMI</t>
  </si>
  <si>
    <t>Samuel PIHLSTRÖM</t>
  </si>
  <si>
    <t>Samuel PRAKEL</t>
  </si>
  <si>
    <t>samuel prakel</t>
  </si>
  <si>
    <t>samuel reardon</t>
  </si>
  <si>
    <t>Samuel TANNER</t>
  </si>
  <si>
    <t>samuel tanner</t>
  </si>
  <si>
    <t>samuel tefera</t>
  </si>
  <si>
    <t>Samuel TEFERA</t>
  </si>
  <si>
    <t>samuel zeleke</t>
  </si>
  <si>
    <t>Samuel ZELEKE</t>
  </si>
  <si>
    <t>Sanae HASNAOUI</t>
  </si>
  <si>
    <t>sanae hasnaoui</t>
  </si>
  <si>
    <t>Santiago CATROFE</t>
  </si>
  <si>
    <t>santiago catrofe</t>
  </si>
  <si>
    <t>sara benfares</t>
  </si>
  <si>
    <t>Sara BENFARES</t>
  </si>
  <si>
    <t>Sara CHRISTIANSSON</t>
  </si>
  <si>
    <t>sara kuivisto</t>
  </si>
  <si>
    <t>Sara VAUGHN</t>
  </si>
  <si>
    <t>sara vaughn</t>
  </si>
  <si>
    <t>Sara ZOUHAIR</t>
  </si>
  <si>
    <t>sara zouhair</t>
  </si>
  <si>
    <t>Sarah BILLINGS</t>
  </si>
  <si>
    <t>sarah healy</t>
  </si>
  <si>
    <t>Sarah HEALY</t>
  </si>
  <si>
    <t>Sarah LAHTI</t>
  </si>
  <si>
    <t>sarah lahti</t>
  </si>
  <si>
    <t>Saron BERHE</t>
  </si>
  <si>
    <t>saron berhe</t>
  </si>
  <si>
    <t>shafiqua maloney</t>
  </si>
  <si>
    <t>Shannon OSIKA</t>
  </si>
  <si>
    <t>sifan hassan</t>
  </si>
  <si>
    <t>Sifan HASSAN</t>
  </si>
  <si>
    <t>Sigurd TVEIT</t>
  </si>
  <si>
    <t>sigurd tveit</t>
  </si>
  <si>
    <t>Şilan AYYILDIZ</t>
  </si>
  <si>
    <t>TUR</t>
  </si>
  <si>
    <t>simon denissel</t>
  </si>
  <si>
    <t>Simon DENISSEL</t>
  </si>
  <si>
    <t>simone barontini</t>
  </si>
  <si>
    <t>sinclaire johnson</t>
  </si>
  <si>
    <t>Sintayehu VISSA</t>
  </si>
  <si>
    <t>sintayehu vissa</t>
  </si>
  <si>
    <t>Siro GENTILINI</t>
  </si>
  <si>
    <t>slimane moula</t>
  </si>
  <si>
    <t>moula slimane</t>
  </si>
  <si>
    <t>Sobhan AHMADI</t>
  </si>
  <si>
    <t>Sofia ENNAOUI</t>
  </si>
  <si>
    <t>sofia ennaoui</t>
  </si>
  <si>
    <t>Sofia THØGERSEN</t>
  </si>
  <si>
    <t>sofia thøgersen</t>
  </si>
  <si>
    <t>Sondre RISHØI</t>
  </si>
  <si>
    <t>sondre rishøi</t>
  </si>
  <si>
    <t>Sophie BAUMANN</t>
  </si>
  <si>
    <t>sophie baumann</t>
  </si>
  <si>
    <t>Souad ELHADDAD</t>
  </si>
  <si>
    <t>soufiane el bakkali</t>
  </si>
  <si>
    <t>Soufiane EL BAKKALI</t>
  </si>
  <si>
    <t>soufiane zraidi</t>
  </si>
  <si>
    <t>Soufiane ELAAZIZ</t>
  </si>
  <si>
    <t>soukaina hajji</t>
  </si>
  <si>
    <t>Stefan NILLESSEN</t>
  </si>
  <si>
    <t>stewart mcsweyn</t>
  </si>
  <si>
    <t>Stewart MCSWEYN</t>
  </si>
  <si>
    <t>Susan Lokayo EJORE</t>
  </si>
  <si>
    <t>Sven KEUSCH</t>
  </si>
  <si>
    <t>Tabea BLATTER</t>
  </si>
  <si>
    <t>tabea blatter</t>
  </si>
  <si>
    <t>taha ouchen</t>
  </si>
  <si>
    <t>Teddese LEMI</t>
  </si>
  <si>
    <t>teddese lemi</t>
  </si>
  <si>
    <t>thomas keen</t>
  </si>
  <si>
    <t>Thomas KEEN</t>
  </si>
  <si>
    <t>thomas randolph</t>
  </si>
  <si>
    <t>Thomas RATCLIFFE</t>
  </si>
  <si>
    <t>thomas ratcliffe</t>
  </si>
  <si>
    <t>Thomas GMÜR</t>
  </si>
  <si>
    <t>tibo de smet</t>
  </si>
  <si>
    <t>Tibo DE SMET</t>
  </si>
  <si>
    <t>tigist girma</t>
  </si>
  <si>
    <t>Tigist KETEMA</t>
  </si>
  <si>
    <t>tigist ketema</t>
  </si>
  <si>
    <t>timothy cheruiyot</t>
  </si>
  <si>
    <t>Timothy CHERUIYOT</t>
  </si>
  <si>
    <t>Tobias BONTORNO</t>
  </si>
  <si>
    <t>tolesa bodena</t>
  </si>
  <si>
    <t>tom dradriga</t>
  </si>
  <si>
    <t>tom elmer</t>
  </si>
  <si>
    <t>tony van diepen</t>
  </si>
  <si>
    <t>tshepiso masalela</t>
  </si>
  <si>
    <t>tshepo tshite</t>
  </si>
  <si>
    <t>duguma tsige</t>
  </si>
  <si>
    <t>Tsige DUGUMA</t>
  </si>
  <si>
    <t>valentina rosamilia</t>
  </si>
  <si>
    <t>Vanessa FEIERABEND</t>
  </si>
  <si>
    <t>vanessa scaunet</t>
  </si>
  <si>
    <t>Vera BERTEMES-HOFFMANN</t>
  </si>
  <si>
    <t>victor amiot</t>
  </si>
  <si>
    <t>viktor idhammar</t>
  </si>
  <si>
    <t>Viktória WAGNER-GYÜRKÉS</t>
  </si>
  <si>
    <t>Vincent CIATTEI</t>
  </si>
  <si>
    <t>vincent ciattei</t>
  </si>
  <si>
    <t>vincent kibet</t>
  </si>
  <si>
    <t>Vincent KIBET</t>
  </si>
  <si>
    <t>vincent kibet keter</t>
  </si>
  <si>
    <t>Vincent Kibet KETER</t>
  </si>
  <si>
    <t>vincent notz</t>
  </si>
  <si>
    <t>Vivian Chebet KIPROTICH</t>
  </si>
  <si>
    <t>Wafa ZAROUAL</t>
  </si>
  <si>
    <t>Walid JARFANI</t>
  </si>
  <si>
    <t>walid jarfani</t>
  </si>
  <si>
    <t>Weronika LIZAKOWSKA</t>
  </si>
  <si>
    <t>weronika lizakowska</t>
  </si>
  <si>
    <t>William PAULSON</t>
  </si>
  <si>
    <t>william paulson</t>
  </si>
  <si>
    <t>Wilma NIELSEN</t>
  </si>
  <si>
    <t>winnie nanyondo</t>
  </si>
  <si>
    <t>winny chebet</t>
  </si>
  <si>
    <t>Winny CHEBET</t>
  </si>
  <si>
    <t>Wondimu BUSSY</t>
  </si>
  <si>
    <t>worknesh mesele</t>
  </si>
  <si>
    <t>wyclife kinyamal</t>
  </si>
  <si>
    <t>yanis meziane</t>
  </si>
  <si>
    <t>yared kidane</t>
  </si>
  <si>
    <t>Yared NUGUSE</t>
  </si>
  <si>
    <t>yared nuguse</t>
  </si>
  <si>
    <t>yassine benyoussef</t>
  </si>
  <si>
    <t>yassine hethat</t>
  </si>
  <si>
    <t>Yervand MKRTCHYAN</t>
  </si>
  <si>
    <t>ARM</t>
  </si>
  <si>
    <t>yervand mkrtchyan</t>
  </si>
  <si>
    <t>yolanda ngarambe</t>
  </si>
  <si>
    <t>yomif kejelcha</t>
  </si>
  <si>
    <t>Yomif KEJELCHA</t>
  </si>
  <si>
    <t>youssef benzamia</t>
  </si>
  <si>
    <t>yusuf bizimana</t>
  </si>
  <si>
    <t>zakaria talal</t>
  </si>
  <si>
    <t>Zakaria AL ALHLAMI</t>
  </si>
  <si>
    <t>Zoe RANZONI</t>
  </si>
  <si>
    <t>zoe ranzoni</t>
  </si>
  <si>
    <t>Zouhair REDOUANE</t>
  </si>
  <si>
    <t>zouhair redouane</t>
  </si>
  <si>
    <t>Diamond League Shanghai 2025</t>
  </si>
  <si>
    <t>Ibrahim Abass CHOUT M</t>
  </si>
  <si>
    <t>Hatim AIT OULGHAZI</t>
  </si>
  <si>
    <t>Laban Kipkorir CHEPKWONY</t>
  </si>
  <si>
    <t>Diamond League Doha 2025</t>
  </si>
  <si>
    <t>Abdikadir SULEIMAN</t>
  </si>
  <si>
    <t>SOM</t>
  </si>
  <si>
    <t>Saad AOUAJ</t>
  </si>
  <si>
    <t>Yakob Rayan SAKHRI</t>
  </si>
  <si>
    <t>Ahmed AMRANE</t>
  </si>
  <si>
    <t>Ali DAUOUK</t>
  </si>
  <si>
    <t>SUD</t>
  </si>
  <si>
    <t>Nassim LACHGAR</t>
  </si>
  <si>
    <t>Samer Ismail ISMAIL</t>
  </si>
  <si>
    <t>Mazen BRAHMI</t>
  </si>
  <si>
    <t>Tarik GREYCH</t>
  </si>
  <si>
    <t>Mohamed LYAMINE ZEMAM</t>
  </si>
  <si>
    <t>Diamond League Doha 2025 - Youth Invitational</t>
  </si>
  <si>
    <t>Georgia HUNTER BELL</t>
  </si>
  <si>
    <t>Oratile NOWE</t>
  </si>
  <si>
    <t>Diamond League Stockholm 2025</t>
  </si>
  <si>
    <t>Emma GICQUEL</t>
  </si>
  <si>
    <t>Noemi BELLENGER</t>
  </si>
  <si>
    <t>Emeline DELAVILLE</t>
  </si>
  <si>
    <t>Elien BRISSE</t>
  </si>
  <si>
    <t>Pauline LE BEL</t>
  </si>
  <si>
    <t>Elise PEYSSON</t>
  </si>
  <si>
    <t>Mia MBEN</t>
  </si>
  <si>
    <t>Pauline NONNOTTE</t>
  </si>
  <si>
    <t>Safa OUALD MAAZOUZA</t>
  </si>
  <si>
    <t>Diamond League Paris 2025 - B race</t>
  </si>
  <si>
    <t>Loic SOMBAERT</t>
  </si>
  <si>
    <t>Nathan BRUYERE</t>
  </si>
  <si>
    <t>Enzo GRANGER</t>
  </si>
  <si>
    <t>Simon GERMAINE</t>
  </si>
  <si>
    <t>Mickael YEYE</t>
  </si>
  <si>
    <t>Oihan CORRET</t>
  </si>
  <si>
    <t>Issa MBEN</t>
  </si>
  <si>
    <t>Erwann le COURTOIS</t>
  </si>
  <si>
    <t>Josh HOEY</t>
  </si>
  <si>
    <t>Nicholas KEBENEI</t>
  </si>
  <si>
    <t>Diamond League Paris 2025</t>
  </si>
  <si>
    <t>Anaïs BOURGOIN</t>
  </si>
  <si>
    <t>Athing MU-NIKOLAYEV</t>
  </si>
  <si>
    <t>Diamond League Eugene 2025</t>
  </si>
  <si>
    <t xml:space="preserve"> </t>
  </si>
  <si>
    <t>Diamond League Monaco 2025</t>
  </si>
  <si>
    <t>Diamond League London 2025</t>
  </si>
  <si>
    <t>Lilian ODIRA</t>
  </si>
  <si>
    <t>Clara LIBERMAN</t>
  </si>
  <si>
    <t>Diamond League Silesia 2025</t>
  </si>
  <si>
    <t>Diamond League Lausanne 2025</t>
  </si>
  <si>
    <t>Diamond League Lausanne 2025 - B race</t>
  </si>
  <si>
    <t>Louey OUERRAT</t>
  </si>
  <si>
    <t>Thomas MARQUES de ANDRADE</t>
  </si>
  <si>
    <t>Corentin MAGNOU</t>
  </si>
  <si>
    <t>Corentin le CLEZIO</t>
  </si>
  <si>
    <t>Daniela GARCÍA</t>
  </si>
  <si>
    <t>Charlotte PIZZO</t>
  </si>
  <si>
    <t>Caroline BREDLINGER</t>
  </si>
  <si>
    <t>Bendere OBOYA</t>
  </si>
  <si>
    <t>Lena KANDISSOUNON</t>
  </si>
  <si>
    <t>Sana HAMMAMI</t>
  </si>
  <si>
    <t>Diamond League Zurich 2025</t>
  </si>
  <si>
    <t>Samuel CHAPPLE</t>
  </si>
  <si>
    <t>Nicholas Kiplangat KEBENEI</t>
  </si>
  <si>
    <t>Diamond League Brussels 2025</t>
  </si>
  <si>
    <t>David BARROSO</t>
  </si>
  <si>
    <t>Kethobogile HAINGURA</t>
  </si>
  <si>
    <t>Ibrahim Abass M CHUOT</t>
  </si>
  <si>
    <t>Jared MICALLEF</t>
  </si>
  <si>
    <t>MLT</t>
  </si>
  <si>
    <t>Giovanni LAZZARO</t>
  </si>
  <si>
    <t>Justin O'TOOLE</t>
  </si>
  <si>
    <t>World Championship Tokyo 2025</t>
  </si>
  <si>
    <t>Kelvin Kimtai LOTI</t>
  </si>
  <si>
    <t>Tiarnan CRORKEN</t>
  </si>
  <si>
    <t>Maciej WYDERKA</t>
  </si>
  <si>
    <t>Cooper LUTKENHAUS</t>
  </si>
  <si>
    <t>Matthew ERICKSON</t>
  </si>
  <si>
    <t>Hein Htet AUNG</t>
  </si>
  <si>
    <t>MYA</t>
  </si>
  <si>
    <t>Cian MCPHILLIPS</t>
  </si>
  <si>
    <t>Tyrice TAYLOR</t>
  </si>
  <si>
    <t>Alexander STEPANOV</t>
  </si>
  <si>
    <t>Stephen RAHUASI</t>
  </si>
  <si>
    <t>SOL</t>
  </si>
  <si>
    <t>Peyton CRAIG</t>
  </si>
  <si>
    <t>Tobias GRØNSTAD</t>
  </si>
  <si>
    <t>Ko OCHIAI</t>
  </si>
  <si>
    <t>Luke BOYES</t>
  </si>
  <si>
    <t>Yohannes TEFERA</t>
  </si>
  <si>
    <t>Jakub DUDYCHA</t>
  </si>
  <si>
    <t>Abderrahman EL ASSAL</t>
  </si>
  <si>
    <t>Alex AMANKWA</t>
  </si>
  <si>
    <t>GHA</t>
  </si>
  <si>
    <t>Roisin WILLIS</t>
  </si>
  <si>
    <t>Marta MITJANS</t>
  </si>
  <si>
    <t>Perina Lokure NAKANG</t>
  </si>
  <si>
    <t>Veronica VANCARDO</t>
  </si>
  <si>
    <t>Rocio ARROYO</t>
  </si>
  <si>
    <t>Maggi CONGDON</t>
  </si>
  <si>
    <t>Kelly-Ann BECKFORD</t>
  </si>
  <si>
    <t>Nelly JEPKOSGEI</t>
  </si>
  <si>
    <t>BRN</t>
  </si>
  <si>
    <t>Rin KUBO</t>
  </si>
  <si>
    <t>Sarah MORAA</t>
  </si>
  <si>
    <t>Daily COOPER GASPAR</t>
  </si>
  <si>
    <t>Hongjiao WU</t>
  </si>
  <si>
    <t>Smilla KOLBE</t>
  </si>
  <si>
    <t>Gabija GALVYDYTĖ</t>
  </si>
  <si>
    <t>LTU</t>
  </si>
  <si>
    <t>POOJA</t>
  </si>
  <si>
    <t>Maeliss TRAPEAU</t>
  </si>
  <si>
    <t>qJ</t>
  </si>
  <si>
    <t>qR</t>
  </si>
  <si>
    <t>WYDERKA Maciej</t>
  </si>
  <si>
    <t>HAINGURA Kethobogile</t>
  </si>
  <si>
    <t>TAYLOR Tyrice</t>
  </si>
  <si>
    <t>KEBENEI Nicholas Kiplangat</t>
  </si>
  <si>
    <t>MCPHILLIPS Cian</t>
  </si>
  <si>
    <t>BRAZIER Donavan</t>
  </si>
  <si>
    <t>PERNICI Francesco</t>
  </si>
  <si>
    <t>BARROSO David</t>
  </si>
  <si>
    <t>LOTI Kelvin Kimtai</t>
  </si>
  <si>
    <t>aaron kemei cheminingwa</t>
  </si>
  <si>
    <t>abdelkarim laasakri</t>
  </si>
  <si>
    <t>abdellah hassou</t>
  </si>
  <si>
    <t>abderrahman el assal</t>
  </si>
  <si>
    <t>abdikadir suleiman</t>
  </si>
  <si>
    <t>abdullah alyaari</t>
  </si>
  <si>
    <t>abdullahi dahir rabi</t>
  </si>
  <si>
    <t>abedin mujezinovic</t>
  </si>
  <si>
    <t>adam fogg</t>
  </si>
  <si>
    <t>addison wiley</t>
  </si>
  <si>
    <t>adrian ben</t>
  </si>
  <si>
    <t>adrianna topolnicka</t>
  </si>
  <si>
    <t>agnes raharolahy</t>
  </si>
  <si>
    <t>agueda marques</t>
  </si>
  <si>
    <t>ahmad rahoui</t>
  </si>
  <si>
    <t>ahmed amrane</t>
  </si>
  <si>
    <t>aidan tooker</t>
  </si>
  <si>
    <t>ajee' wilson</t>
  </si>
  <si>
    <t>aleksandra płocinska</t>
  </si>
  <si>
    <t>alex amankwa</t>
  </si>
  <si>
    <t>alexander stepanov</t>
  </si>
  <si>
    <t>ali dauouk</t>
  </si>
  <si>
    <t>alvaro de arriba</t>
  </si>
  <si>
    <t>amalie sæten</t>
  </si>
  <si>
    <t>amin lirmaqui</t>
  </si>
  <si>
    <t>Amina MAATOUG</t>
  </si>
  <si>
    <t>amina maatoug</t>
  </si>
  <si>
    <t>anais bourgoin</t>
  </si>
  <si>
    <t>Anas LAGTIY CHAOUDAR</t>
  </si>
  <si>
    <t>anas lagtiy chaoudar</t>
  </si>
  <si>
    <t>andres arroyo</t>
  </si>
  <si>
    <t>andy coendet</t>
  </si>
  <si>
    <t>anna peter</t>
  </si>
  <si>
    <t>Anne Gine LØVNES</t>
  </si>
  <si>
    <t>anne gine løvnes</t>
  </si>
  <si>
    <t>anton broggini</t>
  </si>
  <si>
    <t>arnaud gillieron</t>
  </si>
  <si>
    <t>arnaud monney</t>
  </si>
  <si>
    <t>athing mu nikolayev</t>
  </si>
  <si>
    <t>august da silva sveen</t>
  </si>
  <si>
    <t>aya boughaida</t>
  </si>
  <si>
    <t>bahiya el arfaoui</t>
  </si>
  <si>
    <t>balazs vindics</t>
  </si>
  <si>
    <t>barroso david</t>
  </si>
  <si>
    <t>bartosz kitlinski</t>
  </si>
  <si>
    <t>Bayise TOLESA</t>
  </si>
  <si>
    <t>bayise tolesa</t>
  </si>
  <si>
    <t>Beatrice CHEBET</t>
  </si>
  <si>
    <t>beatrice chebet</t>
  </si>
  <si>
    <t>bendere oboya</t>
  </si>
  <si>
    <t>benjamin aberg</t>
  </si>
  <si>
    <t>bianka bartha keri</t>
  </si>
  <si>
    <t>bianka keri</t>
  </si>
  <si>
    <t>bjorn seifert</t>
  </si>
  <si>
    <t>boaz kiprugut</t>
  </si>
  <si>
    <t>brahim kaazouzi</t>
  </si>
  <si>
    <t>brahime charef</t>
  </si>
  <si>
    <t>brazier donavan</t>
  </si>
  <si>
    <t>brian komen</t>
  </si>
  <si>
    <t>brimin kiprono kiprotich</t>
  </si>
  <si>
    <t>Callum DAVIES</t>
  </si>
  <si>
    <t>callum davies</t>
  </si>
  <si>
    <t>camille laus</t>
  </si>
  <si>
    <t>Carlos SAEZ</t>
  </si>
  <si>
    <t>carlos saez</t>
  </si>
  <si>
    <t>caroline bredlinger</t>
  </si>
  <si>
    <t>Cathal DOYLE</t>
  </si>
  <si>
    <t>cathal doyle</t>
  </si>
  <si>
    <t>charles philibert thiboutot</t>
  </si>
  <si>
    <t>charlie da'vall grice</t>
  </si>
  <si>
    <t>charlotte pizzo</t>
  </si>
  <si>
    <t>chrisann gordon powell</t>
  </si>
  <si>
    <t>cian mcphillips</t>
  </si>
  <si>
    <t>clara liberman</t>
  </si>
  <si>
    <t>cooper lutkenhaus</t>
  </si>
  <si>
    <t>corentin le clezio</t>
  </si>
  <si>
    <t>corentin magnou</t>
  </si>
  <si>
    <t>daily cooper gaspar</t>
  </si>
  <si>
    <t>daniel huller</t>
  </si>
  <si>
    <t>daniela garcia</t>
  </si>
  <si>
    <t>david barroso</t>
  </si>
  <si>
    <t>david fischer</t>
  </si>
  <si>
    <t>deborah rodriguez</t>
  </si>
  <si>
    <t>dezhu liu</t>
  </si>
  <si>
    <t>diana mezulianikova</t>
  </si>
  <si>
    <t>diego menzi</t>
  </si>
  <si>
    <t>d'jamila tavares</t>
  </si>
  <si>
    <t>dominic lokinyomo lobalu</t>
  </si>
  <si>
    <t>Dorcus EWOI</t>
  </si>
  <si>
    <t>dorcus ewoi</t>
  </si>
  <si>
    <t>eglay nafuna nalyanya</t>
  </si>
  <si>
    <t>eivind tym wikshaland</t>
  </si>
  <si>
    <t>el hafez mahadi</t>
  </si>
  <si>
    <t>el houssaine hitrane</t>
  </si>
  <si>
    <t>elena bello</t>
  </si>
  <si>
    <t>elias ngeny</t>
  </si>
  <si>
    <t>elien brisse</t>
  </si>
  <si>
    <t>elise peysson</t>
  </si>
  <si>
    <t>elliot vermeulen</t>
  </si>
  <si>
    <t>Elsabet AMARE</t>
  </si>
  <si>
    <t>elsabet amare</t>
  </si>
  <si>
    <t>elzan bibic</t>
  </si>
  <si>
    <t>emeline delaville</t>
  </si>
  <si>
    <t>emma gicquel</t>
  </si>
  <si>
    <t>enzo granger</t>
  </si>
  <si>
    <t>erwann le courtois</t>
  </si>
  <si>
    <t>esten hansen møllerud hauen</t>
  </si>
  <si>
    <t>Ethan STRAND</t>
  </si>
  <si>
    <t>ethan strand</t>
  </si>
  <si>
    <t>eveliina maattanen</t>
  </si>
  <si>
    <t>fatima aafir</t>
  </si>
  <si>
    <t>fayez alsubaie</t>
  </si>
  <si>
    <t>federico riva</t>
  </si>
  <si>
    <t>Festus LAGAT</t>
  </si>
  <si>
    <t>festus lagat</t>
  </si>
  <si>
    <t>Filip RAK</t>
  </si>
  <si>
    <t>filip rak</t>
  </si>
  <si>
    <t>filip snejdr</t>
  </si>
  <si>
    <t>filippo moggi</t>
  </si>
  <si>
    <t>fiona von flue</t>
  </si>
  <si>
    <t>Flavien SZOT</t>
  </si>
  <si>
    <t>flavien szot</t>
  </si>
  <si>
    <t>Foster MALLECK</t>
  </si>
  <si>
    <t>foster malleck</t>
  </si>
  <si>
    <t>Fouad MESSAOUDI</t>
  </si>
  <si>
    <t>fouad messaoudi</t>
  </si>
  <si>
    <t>francky edgard mbotto</t>
  </si>
  <si>
    <t>gabija galvydyte</t>
  </si>
  <si>
    <t>gabriela debues stafford</t>
  </si>
  <si>
    <t>gabriela gajanova</t>
  </si>
  <si>
    <t>geordie beamish</t>
  </si>
  <si>
    <t>georgia bell</t>
  </si>
  <si>
    <t>georgia hunter bell</t>
  </si>
  <si>
    <t>gian andrea antener</t>
  </si>
  <si>
    <t>giovanni lazzaro</t>
  </si>
  <si>
    <t>giulia salvade'</t>
  </si>
  <si>
    <t>gonzalo garcia</t>
  </si>
  <si>
    <t>gresa bakraci</t>
  </si>
  <si>
    <t>guillaume laurent</t>
  </si>
  <si>
    <t>haingura kethobogile</t>
  </si>
  <si>
    <t>hakon moe berg</t>
  </si>
  <si>
    <t>halvor nymoen</t>
  </si>
  <si>
    <t>hassan ben hachimi</t>
  </si>
  <si>
    <t>hassana ibn abdel matey</t>
  </si>
  <si>
    <t>hatim ait oulghazi</t>
  </si>
  <si>
    <t xml:space="preserve">Heather MACLEAN </t>
  </si>
  <si>
    <t>hein htet aung</t>
  </si>
  <si>
    <t>Heithem CHENITEF</t>
  </si>
  <si>
    <t>heithem chenitef</t>
  </si>
  <si>
    <t>hongjiao wu</t>
  </si>
  <si>
    <t>housna ibnabdel matey</t>
  </si>
  <si>
    <t>Hugh KENT</t>
  </si>
  <si>
    <t>GUM</t>
  </si>
  <si>
    <t>hugh kent</t>
  </si>
  <si>
    <t>ibrahim abass chout m</t>
  </si>
  <si>
    <t>ibrahim abass m chuot</t>
  </si>
  <si>
    <t>Ibrahim BURAS</t>
  </si>
  <si>
    <t>ibrahim buras</t>
  </si>
  <si>
    <t>ihab jabbar hashim</t>
  </si>
  <si>
    <t>ilham el mach</t>
  </si>
  <si>
    <t>ilyas rabani</t>
  </si>
  <si>
    <t>Ingeborg ØSTGÅRD</t>
  </si>
  <si>
    <t>ingeborg østgard</t>
  </si>
  <si>
    <t>issa mben</t>
  </si>
  <si>
    <t>istvan szogi</t>
  </si>
  <si>
    <t>jakub dudycha</t>
  </si>
  <si>
    <t>jamal hairane</t>
  </si>
  <si>
    <t>jared micallef</t>
  </si>
  <si>
    <t>joanna jozwik</t>
  </si>
  <si>
    <t>joceline wind</t>
  </si>
  <si>
    <t>joel ibler lillesø</t>
  </si>
  <si>
    <t>Jolanda KALLABIS</t>
  </si>
  <si>
    <t>jolanda kallabis</t>
  </si>
  <si>
    <t>Jonah KOECH</t>
  </si>
  <si>
    <t>jonah koech</t>
  </si>
  <si>
    <t>jonas schopfer</t>
  </si>
  <si>
    <t>jonathan ruchti</t>
  </si>
  <si>
    <t>Jose Carlos PINTO</t>
  </si>
  <si>
    <t>jose carlos pinto</t>
  </si>
  <si>
    <t>José Carlos PINTO</t>
  </si>
  <si>
    <t>Joseph ROGERS</t>
  </si>
  <si>
    <t>joseph rogers</t>
  </si>
  <si>
    <t>josh hoey</t>
  </si>
  <si>
    <t>juan zijderlaan</t>
  </si>
  <si>
    <t>Jude THOMAS</t>
  </si>
  <si>
    <t>jude thomas</t>
  </si>
  <si>
    <t>julien stalhandske</t>
  </si>
  <si>
    <t>juliette dutruy</t>
  </si>
  <si>
    <t>justin o'toole</t>
  </si>
  <si>
    <t>kane elliott</t>
  </si>
  <si>
    <t>karoline bjerkeli grøvdal</t>
  </si>
  <si>
    <t>Kate CURRENT</t>
  </si>
  <si>
    <t>kate current</t>
  </si>
  <si>
    <t>Kazuto IIZAWA</t>
  </si>
  <si>
    <t>kazuto iizawa</t>
  </si>
  <si>
    <t>keanu simasotchi</t>
  </si>
  <si>
    <t>kebenei nicholas kiplangat</t>
  </si>
  <si>
    <t>kelly ann beckford</t>
  </si>
  <si>
    <t>kelvin kimtai loti</t>
  </si>
  <si>
    <t>kethobogile haingura</t>
  </si>
  <si>
    <t>kevin kamenschak</t>
  </si>
  <si>
    <t>kevin viezee</t>
  </si>
  <si>
    <t>khaddouj el bali</t>
  </si>
  <si>
    <t>kjetil brenno gagnas</t>
  </si>
  <si>
    <t>Knight ACIRU</t>
  </si>
  <si>
    <t>knight aciru</t>
  </si>
  <si>
    <t>ko ochiai</t>
  </si>
  <si>
    <t>kristiina sasinek maki</t>
  </si>
  <si>
    <t>kristoffer sagli</t>
  </si>
  <si>
    <t>laban kipkorir chepkwony</t>
  </si>
  <si>
    <t>lamiae mamouni</t>
  </si>
  <si>
    <t>laura galvan</t>
  </si>
  <si>
    <t>Laura NICHOLSON</t>
  </si>
  <si>
    <t>laura nicholson</t>
  </si>
  <si>
    <t>lena kandissounon</t>
  </si>
  <si>
    <t>leo ladermann</t>
  </si>
  <si>
    <t>lili anna vindics toth</t>
  </si>
  <si>
    <t>lilian odira</t>
  </si>
  <si>
    <t>lilly nageli</t>
  </si>
  <si>
    <t>linn soderholm</t>
  </si>
  <si>
    <t>Lodkeo INTHAKOUMMAN</t>
  </si>
  <si>
    <t>LAO</t>
  </si>
  <si>
    <t>lodkeo inthakoumman</t>
  </si>
  <si>
    <t>loic sombaert</t>
  </si>
  <si>
    <t>lorea ibarzabal</t>
  </si>
  <si>
    <t>lorenz herrmann</t>
  </si>
  <si>
    <t>loti kelvin kimtai</t>
  </si>
  <si>
    <t>loubna lahdar</t>
  </si>
  <si>
    <t>louey ouerrat</t>
  </si>
  <si>
    <t>Louis GILAVERT</t>
  </si>
  <si>
    <t>louis gilavert</t>
  </si>
  <si>
    <t>louis low beer</t>
  </si>
  <si>
    <t>luke boyes</t>
  </si>
  <si>
    <t>maciej wyderka</t>
  </si>
  <si>
    <t>mael gouyette</t>
  </si>
  <si>
    <t>maeliss trapeau</t>
  </si>
  <si>
    <t>maggi congdon</t>
  </si>
  <si>
    <t>malak esraidi</t>
  </si>
  <si>
    <t>manuel ataide</t>
  </si>
  <si>
    <t>margarita koczanowa</t>
  </si>
  <si>
    <t>María Pía FERNÁNDEZ</t>
  </si>
  <si>
    <t>maria pia fernandez</t>
  </si>
  <si>
    <t>mariano garcia</t>
  </si>
  <si>
    <t>mario garcia</t>
  </si>
  <si>
    <t>Marissa DAMINK-VAN DER MEIJDE</t>
  </si>
  <si>
    <t>marissa damink van der meijde</t>
  </si>
  <si>
    <t>Markus Kirk KJELDSEN</t>
  </si>
  <si>
    <t>markus kirk kjeldsen</t>
  </si>
  <si>
    <t>marta garcia</t>
  </si>
  <si>
    <t>marta mitjans</t>
  </si>
  <si>
    <t>marta perez</t>
  </si>
  <si>
    <t>Marta ZENONI</t>
  </si>
  <si>
    <t>marta zenoni</t>
  </si>
  <si>
    <t>matthew erickson</t>
  </si>
  <si>
    <t>max henrotin</t>
  </si>
  <si>
    <t>maxim wyss</t>
  </si>
  <si>
    <t>maxwell koulen</t>
  </si>
  <si>
    <t>mazen brahmi</t>
  </si>
  <si>
    <t>mcphillips cian</t>
  </si>
  <si>
    <t>Mebriht MEKONEN</t>
  </si>
  <si>
    <t>mebriht mekonen</t>
  </si>
  <si>
    <t>melina andorra</t>
  </si>
  <si>
    <t>melissa bishop nriagu</t>
  </si>
  <si>
    <t>melissa courtney bryant</t>
  </si>
  <si>
    <t>meryem elmoutacharraf</t>
  </si>
  <si>
    <t>meryeme azrour</t>
  </si>
  <si>
    <t>Mia BARNETT</t>
  </si>
  <si>
    <t>mia barnett</t>
  </si>
  <si>
    <t>mia mben</t>
  </si>
  <si>
    <t>Micaela LEVAGGI</t>
  </si>
  <si>
    <t>micaela levaggi</t>
  </si>
  <si>
    <t>mickael yeye</t>
  </si>
  <si>
    <t>Miguel de la TORRE</t>
  </si>
  <si>
    <t>miguel de la torre</t>
  </si>
  <si>
    <t>miguel matos</t>
  </si>
  <si>
    <t>mikkel blikstad thomassen</t>
  </si>
  <si>
    <t>mohamad algarni</t>
  </si>
  <si>
    <t>mohamed lyamine zemam</t>
  </si>
  <si>
    <t>mohamed makkaoui</t>
  </si>
  <si>
    <t>mohammed al suleimani</t>
  </si>
  <si>
    <t>moritz ebbeskotte</t>
  </si>
  <si>
    <t>mouad ouafik</t>
  </si>
  <si>
    <t>mubarak al yafaee</t>
  </si>
  <si>
    <t>Mukesh PAL</t>
  </si>
  <si>
    <t>NEP</t>
  </si>
  <si>
    <t>mukesh pal</t>
  </si>
  <si>
    <t>musa suliman</t>
  </si>
  <si>
    <t>nadia battocletti</t>
  </si>
  <si>
    <t>narve gilje nordas</t>
  </si>
  <si>
    <t>nassim lachgar</t>
  </si>
  <si>
    <t>natalіia krol</t>
  </si>
  <si>
    <t>nathan bruyere</t>
  </si>
  <si>
    <t>natoya goule toppin</t>
  </si>
  <si>
    <t>navid kerber</t>
  </si>
  <si>
    <t>Nele WEßEL</t>
  </si>
  <si>
    <t>nele weßel</t>
  </si>
  <si>
    <t>nelly jepkosgei</t>
  </si>
  <si>
    <t>nicholas kebenei</t>
  </si>
  <si>
    <t>nicholas kiplangat kebenei</t>
  </si>
  <si>
    <t>nigist getachew</t>
  </si>
  <si>
    <t>nizar elharchaoui</t>
  </si>
  <si>
    <t>noah baltus</t>
  </si>
  <si>
    <t>noelie yarigo</t>
  </si>
  <si>
    <t>noemi bellenger</t>
  </si>
  <si>
    <t>noureddine adel merzah</t>
  </si>
  <si>
    <t>Nuno PEREIRA</t>
  </si>
  <si>
    <t>nuno pereira</t>
  </si>
  <si>
    <t>oihan corret</t>
  </si>
  <si>
    <t>ole jakob høsteland solbu</t>
  </si>
  <si>
    <t>oratile nowe</t>
  </si>
  <si>
    <t>pablo sanchez valladares</t>
  </si>
  <si>
    <t>pascal furtwangler</t>
  </si>
  <si>
    <t>Paul ANSELMINI</t>
  </si>
  <si>
    <t>paul anselmini</t>
  </si>
  <si>
    <t>paul mcintyre</t>
  </si>
  <si>
    <t>pauline le bel</t>
  </si>
  <si>
    <t>pauline nonnotte</t>
  </si>
  <si>
    <t>perina lokure nakang</t>
  </si>
  <si>
    <t>pernici francesco</t>
  </si>
  <si>
    <t>peyton craig</t>
  </si>
  <si>
    <t>Phanuel Kipkosgei KOECH</t>
  </si>
  <si>
    <t>phanuel kipkosgei koech</t>
  </si>
  <si>
    <t>Phanuel KOECH</t>
  </si>
  <si>
    <t>phanuel koech</t>
  </si>
  <si>
    <t>pierre perruchoud</t>
  </si>
  <si>
    <t>pierre ambroise bosse</t>
  </si>
  <si>
    <t>Pierrik JOCTEUR-MONROZIER</t>
  </si>
  <si>
    <t>pierrik jocteur monrozier</t>
  </si>
  <si>
    <t>Pol ORIACH</t>
  </si>
  <si>
    <t>pol oriach</t>
  </si>
  <si>
    <t>pooja</t>
  </si>
  <si>
    <t>rachel pellaud</t>
  </si>
  <si>
    <t>reece sharman newell</t>
  </si>
  <si>
    <t>revee walcott nolan</t>
  </si>
  <si>
    <t>reynold cheruiyot</t>
  </si>
  <si>
    <t>rick van riel</t>
  </si>
  <si>
    <t>rin kubo</t>
  </si>
  <si>
    <t>rocco zaman browne</t>
  </si>
  <si>
    <t>rocio arroyo</t>
  </si>
  <si>
    <t>roisin willis</t>
  </si>
  <si>
    <t>romain fridez</t>
  </si>
  <si>
    <t>Romain MORNET</t>
  </si>
  <si>
    <t>romain mornet</t>
  </si>
  <si>
    <t>ryan sanchez</t>
  </si>
  <si>
    <t>saad aouaj</t>
  </si>
  <si>
    <t>safa ouald maazouza</t>
  </si>
  <si>
    <t>sage hurta klecker</t>
  </si>
  <si>
    <t>saida el bouzy</t>
  </si>
  <si>
    <t>salahedine boussaid</t>
  </si>
  <si>
    <t>salim abu mayanja</t>
  </si>
  <si>
    <t>salim elhalal</t>
  </si>
  <si>
    <t>salma elbadra</t>
  </si>
  <si>
    <t>salome afonso</t>
  </si>
  <si>
    <t>samer al yafaee</t>
  </si>
  <si>
    <t>samer ismail ismail</t>
  </si>
  <si>
    <t>sami masoud al yami</t>
  </si>
  <si>
    <t>Samrawit MULUGETA</t>
  </si>
  <si>
    <t>samrawit mulugeta</t>
  </si>
  <si>
    <t>samuel chapple</t>
  </si>
  <si>
    <t>samuel pihlstrom</t>
  </si>
  <si>
    <t>sana hammami</t>
  </si>
  <si>
    <t>sara christiansson</t>
  </si>
  <si>
    <t>sarah billings</t>
  </si>
  <si>
    <t>Sarah MADELEINE</t>
  </si>
  <si>
    <t>sarah madeleine</t>
  </si>
  <si>
    <t>sarah moraa</t>
  </si>
  <si>
    <t>saul ordonez</t>
  </si>
  <si>
    <t>Selemon BAREGA</t>
  </si>
  <si>
    <t>selemon barega</t>
  </si>
  <si>
    <t>shannon osika</t>
  </si>
  <si>
    <t>Shelby HOULIHAN</t>
  </si>
  <si>
    <t>shelby houlihan</t>
  </si>
  <si>
    <t>silan ayyildiz</t>
  </si>
  <si>
    <t>simon germaine</t>
  </si>
  <si>
    <t>siofra cleirigh buttner</t>
  </si>
  <si>
    <t>siro gentilini</t>
  </si>
  <si>
    <t>Skjalg KONGSSUND</t>
  </si>
  <si>
    <t>skjalg kongssund</t>
  </si>
  <si>
    <t>smilla kolbe</t>
  </si>
  <si>
    <t>sobhan ahmadi</t>
  </si>
  <si>
    <t>Sophie O'SULLIVAN</t>
  </si>
  <si>
    <t>sophie o'sullivan</t>
  </si>
  <si>
    <t>souad elhaddad</t>
  </si>
  <si>
    <t>soufiane elaaziz</t>
  </si>
  <si>
    <t>stefan nillessen</t>
  </si>
  <si>
    <t>stephen rahuasi</t>
  </si>
  <si>
    <t>susan lokayo ejore</t>
  </si>
  <si>
    <t>sven keusch</t>
  </si>
  <si>
    <t>tarik greych</t>
  </si>
  <si>
    <t>taylor tyrice</t>
  </si>
  <si>
    <t>Teresiah Muthoni GATERI</t>
  </si>
  <si>
    <t>teresiah muthoni gateri</t>
  </si>
  <si>
    <t>tess kirsopp cole</t>
  </si>
  <si>
    <t>thiago andre</t>
  </si>
  <si>
    <t>thomas gmur</t>
  </si>
  <si>
    <t>thomas marques de andrade</t>
  </si>
  <si>
    <t>tiarnan crorken</t>
  </si>
  <si>
    <t>tobias bontorno</t>
  </si>
  <si>
    <t>tobias grønstad</t>
  </si>
  <si>
    <t>Tomoka KIMURA</t>
  </si>
  <si>
    <t>tomoka kimura</t>
  </si>
  <si>
    <t>tsige duguma</t>
  </si>
  <si>
    <t>tyrice taylor</t>
  </si>
  <si>
    <t>vanessa feierabend</t>
  </si>
  <si>
    <t>vera bertemes hoffmann</t>
  </si>
  <si>
    <t>Vera SJÖBERG</t>
  </si>
  <si>
    <t>vera sjoberg</t>
  </si>
  <si>
    <t>veronica vancardo</t>
  </si>
  <si>
    <t>Vetle FARBU-SOLBAKKEN</t>
  </si>
  <si>
    <t>vetle farbu solbakken</t>
  </si>
  <si>
    <t>viktoria wagner gyurkes</t>
  </si>
  <si>
    <t>vivian chebet kiprotich</t>
  </si>
  <si>
    <t>wafa zaroual</t>
  </si>
  <si>
    <t>wesley vazquez</t>
  </si>
  <si>
    <t>Wiktor MILKOWSKI</t>
  </si>
  <si>
    <t>wiktor milkowski</t>
  </si>
  <si>
    <t>wilma nielsen</t>
  </si>
  <si>
    <t>wondimu bussy</t>
  </si>
  <si>
    <t>wyderka maciej</t>
  </si>
  <si>
    <t>yakob rayan sakhri</t>
  </si>
  <si>
    <t>Yeshnil KARAN</t>
  </si>
  <si>
    <t>FIJ</t>
  </si>
  <si>
    <t>yeshnil karan</t>
  </si>
  <si>
    <t>yohannes tefera</t>
  </si>
  <si>
    <t>zakaria al alhlami</t>
  </si>
  <si>
    <t>zan rudolf</t>
  </si>
  <si>
    <t>Name_new</t>
  </si>
  <si>
    <t>Nation_new</t>
  </si>
  <si>
    <t>Xiaoheng XI</t>
  </si>
  <si>
    <t>Diamond League Shanghai 2026</t>
  </si>
  <si>
    <t>Imad BOUCHAJDA</t>
  </si>
  <si>
    <t>Diamond League Rabat 2026</t>
  </si>
  <si>
    <t>Pernille Karlsen ANTONSEN</t>
  </si>
  <si>
    <t>Diamond League Stockholm 2026</t>
  </si>
  <si>
    <t>Nathan GREEN</t>
  </si>
  <si>
    <t>Diamond League Rome 2026</t>
  </si>
  <si>
    <t>Diamond League Oslo 2026</t>
  </si>
  <si>
    <t>Henry JONAS</t>
  </si>
  <si>
    <t>Bartlomiej KISIEL</t>
  </si>
  <si>
    <t>Markus WESTHAGEN</t>
  </si>
  <si>
    <t>Andreas FANTOFT</t>
  </si>
  <si>
    <t>Trym FJØSNE-HEXEBERG</t>
  </si>
  <si>
    <t>John Petter STEVIK</t>
  </si>
  <si>
    <t>Lars JOHANSSON HAUGE</t>
  </si>
  <si>
    <t>Vegard Høylo TREFALL</t>
  </si>
  <si>
    <t>Johannes SANDVIK BØ</t>
  </si>
  <si>
    <t>Diamond League Oslo 2026 - B race</t>
  </si>
  <si>
    <t>Amanda Marie FRØYNES</t>
  </si>
  <si>
    <t>Malin HOELSVEEN</t>
  </si>
  <si>
    <t>Laila YAHYAOUI</t>
  </si>
  <si>
    <t>Nora HAUGEN</t>
  </si>
  <si>
    <t>Hanna Kristine LARSEN</t>
  </si>
  <si>
    <t>Mia Helene MØRCK</t>
  </si>
  <si>
    <t>Selma Alison BOESEN SKISAKER</t>
  </si>
  <si>
    <t>Msgana HAILU</t>
  </si>
  <si>
    <t>Ageze Saida TSEHAYE</t>
  </si>
  <si>
    <t>Diamond League Doha 2026</t>
  </si>
  <si>
    <t>Femke BROEDERS-BOL</t>
  </si>
  <si>
    <t>Diamond League London 2026</t>
  </si>
  <si>
    <t>Cian McPHILLIPS</t>
  </si>
  <si>
    <t>Jack HIGGINS</t>
  </si>
  <si>
    <t>Justin DAVIES</t>
  </si>
  <si>
    <t>Callum DODDS</t>
  </si>
  <si>
    <t>David RACE</t>
  </si>
  <si>
    <t>Harry ROSS-HUGHES</t>
  </si>
  <si>
    <t>Henry FISHER</t>
  </si>
  <si>
    <t>William RABJOHNS</t>
  </si>
  <si>
    <t>Diamond League London 2026 - B race</t>
  </si>
  <si>
    <t>Daniel WILLIAMS</t>
  </si>
  <si>
    <t>Diamond League Eugene</t>
  </si>
  <si>
    <t>Sanu JALLOW</t>
  </si>
  <si>
    <t>GAM</t>
  </si>
  <si>
    <t>Hayley KITCHING</t>
  </si>
  <si>
    <t>Diamond League Paris</t>
  </si>
  <si>
    <t>PJ Vazel (not official)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</si>
</sst>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CHF&quot;;[Red]\-#,##0.00\ &quot;CHF&quot;"/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8" fontId="0" fillId="0" borderId="0" xfId="0" applyNumberFormat="1"/>
    <xf numFmtId="1" fontId="0" fillId="0" borderId="0" xfId="0" applyNumberFormat="1"/>
    <xf numFmtId="0" fontId="4" fillId="0" borderId="0" xfId="2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right" vertical="center" wrapText="1"/>
    </xf>
    <xf numFmtId="16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3">
    <cellStyle name="Lien hypertexte" xfId="2" builtinId="8"/>
    <cellStyle name="Normal" xfId="0" builtinId="0"/>
    <cellStyle name="Pourcentage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d/m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01271-1840-482B-BD9F-E101E29AB017}" name="Tableau1" displayName="Tableau1" ref="A1:AA1697" totalsRowShown="0" headerRowDxfId="20">
  <autoFilter ref="A1:AA1697" xr:uid="{EE301271-1840-482B-BD9F-E101E29AB017}">
    <filterColumn colId="23">
      <filters blank="1"/>
    </filterColumn>
  </autoFilter>
  <sortState xmlns:xlrd2="http://schemas.microsoft.com/office/spreadsheetml/2017/richdata2" ref="A110:AA1407">
    <sortCondition descending="1" ref="Q1:Q1541"/>
  </sortState>
  <tableColumns count="27">
    <tableColumn id="1" xr3:uid="{11E6D5EF-D3D6-4684-AEA5-97057567AC18}" name="ID" dataDxfId="19">
      <calculatedColumnFormula>_xlfn.CONCAT(#REF!,"_",#REF!,"_",Tableau1[[#This Row],[Competition_year]])</calculatedColumnFormula>
    </tableColumn>
    <tableColumn id="2" xr3:uid="{E7977AED-1AA3-481B-8EE3-DD1901277DDE}" name="Athletes" dataDxfId="18"/>
    <tableColumn id="3" xr3:uid="{40629B70-D270-4587-AB63-80BC3BAC27BF}" name="Gender"/>
    <tableColumn id="4" xr3:uid="{7D0471BE-54EC-41F5-B1F4-BCB75CC075C3}" name="Nationality" dataDxfId="17"/>
    <tableColumn id="5" xr3:uid="{8BDFB638-C558-48E1-A93A-7A72FF26C458}" name="0_100m"/>
    <tableColumn id="6" xr3:uid="{42E09782-A028-4229-BC17-8D3AF82C0878}" name="100_200m"/>
    <tableColumn id="7" xr3:uid="{7ACCD4ED-A2A0-432E-B6C1-A6240F973912}" name="200_300m"/>
    <tableColumn id="8" xr3:uid="{451A22E4-4877-4627-A2EE-3E0F26A0322C}" name="300_400m"/>
    <tableColumn id="9" xr3:uid="{543E52C9-9224-4E1E-BE87-64A368E354A1}" name="400_500m"/>
    <tableColumn id="10" xr3:uid="{A51AA002-BA18-4F89-B7D4-B51D2734BDE5}" name="500_600m"/>
    <tableColumn id="11" xr3:uid="{81517946-375E-4838-A72F-608231883C36}" name="600_700m"/>
    <tableColumn id="12" xr3:uid="{B2BF3579-1BD7-4140-ADEB-AFD5244F5766}" name="700_800m"/>
    <tableColumn id="13" xr3:uid="{EB6CDAE5-7526-4207-8FB0-B9106A767C49}" name="Final_time"/>
    <tableColumn id="24" xr3:uid="{EF669C09-D8DB-42C3-A96C-E991980A931D}" name="Sum_time">
      <calculatedColumnFormula>SUM(Tableau1[[#This Row],[0_100m]:[700_800m]])</calculatedColumnFormula>
    </tableColumn>
    <tableColumn id="25" xr3:uid="{9A6CED8E-8244-4744-A40F-73E09B62FCAF}" name="Diff">
      <calculatedColumnFormula>ABS(Tableau1[[#This Row],[Final_time]]-Tableau1[[#This Row],[Sum_time]])</calculatedColumnFormula>
    </tableColumn>
    <tableColumn id="16" xr3:uid="{56EF809A-7963-43EC-987B-3A9A4B80B7C3}" name="Q" dataDxfId="16"/>
    <tableColumn id="27" xr3:uid="{8C5AE450-71B2-4D71-8194-FB7EBA867537}" name="Comp_ID" dataDxfId="15">
      <calculatedColumnFormula>_xlfn.CONCAT(Tableau1[[#This Row],[Competition]],"_",Tableau1[[#This Row],[Championship_step]],"_",Tableau1[[#This Row],[Competition_date]],"_",Tableau1[[#This Row],[Gender]])</calculatedColumnFormula>
    </tableColumn>
    <tableColumn id="14" xr3:uid="{13FC0FA1-4181-4000-B95F-6A6B20EA88DC}" name="Competition"/>
    <tableColumn id="18" xr3:uid="{0BDA203B-2D49-4A71-8641-7411EBF32C9C}" name="Competition_type" dataDxfId="14"/>
    <tableColumn id="26" xr3:uid="{209AD342-92DA-45BA-8131-B563AEADED06}" name="Championship_step"/>
    <tableColumn id="19" xr3:uid="{F041EE9E-8D01-4FCA-B2FA-FE4C79626B2E}" name="Competition_level" dataDxfId="13"/>
    <tableColumn id="15" xr3:uid="{F085ADD6-4C07-4AA5-8680-C298EB4CE19C}" name="Competition_date" dataDxfId="12"/>
    <tableColumn id="20" xr3:uid="{E4587CE1-4217-4BA0-8E92-B5FDCE874C62}" name="Competition_year" dataDxfId="11">
      <calculatedColumnFormula>YEAR(Tableau1[[#This Row],[Competition_date]])</calculatedColumnFormula>
    </tableColumn>
    <tableColumn id="21" xr3:uid="{48DFFF3C-11DE-4A9B-9CAA-65A0ECA16DA2}" name="Temperature_C" dataDxfId="10"/>
    <tableColumn id="22" xr3:uid="{C352859E-83E0-4D92-A154-96CBBC9B00A8}" name="Humidity" dataCellStyle="Pourcentage"/>
    <tableColumn id="23" xr3:uid="{6526B257-F87B-4F6A-9230-F30CB5D8FC09}" name="Conditions" dataDxfId="9"/>
    <tableColumn id="17" xr3:uid="{8200E335-882C-4501-8E16-7108619F4CBC}" name="Referenc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A9522-1BA5-4EE8-B388-010056EC388B}" name="Tableau13" displayName="Tableau13" ref="A1:F816" totalsRowShown="0" headerRowDxfId="8" headerRowBorderDxfId="7" tableBorderDxfId="6">
  <autoFilter ref="A1:F816" xr:uid="{61FA9522-1BA5-4EE8-B388-010056EC388B}"/>
  <sortState xmlns:xlrd2="http://schemas.microsoft.com/office/spreadsheetml/2017/richdata2" ref="A2:F816">
    <sortCondition ref="A1:A816"/>
  </sortState>
  <tableColumns count="6">
    <tableColumn id="1" xr3:uid="{5D763E2D-9B4D-4C89-B92D-B1ABDB39972E}" name="Athletes"/>
    <tableColumn id="2" xr3:uid="{64F840D8-9A88-4356-8F54-E1B1DD5F4C1F}" name="Gender"/>
    <tableColumn id="3" xr3:uid="{0735FCF3-4D52-4C6C-AEF6-D0A66B4C70D8}" name="Nationality"/>
    <tableColumn id="4" xr3:uid="{D4166E35-ADC5-44BC-B3B6-7FD187596C10}" name="Name_clean"/>
    <tableColumn id="9" xr3:uid="{902CC5EB-42A4-4EF6-BCB4-B736169A9311}" name="Name_new" dataDxfId="5"/>
    <tableColumn id="10" xr3:uid="{F5AF0589-5DBC-48FF-803F-C40C6096A4A6}" name="Nation_ne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xiamen.diamondleague.com/archive/2024/xiamen/ATHM800M----DIAMOND---FNL-000100--_C77A_1.0.PDF" TargetMode="External"/><Relationship Id="rId1" Type="http://schemas.openxmlformats.org/officeDocument/2006/relationships/hyperlink" Target="https://doha.diamondleague.com/archive/2024/doha/ATHW800M----DIAMOND---FNL-000100--_C77A_1.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9BC8-384A-4EC3-89EC-63CC49320C26}">
  <dimension ref="A1:AA1697"/>
  <sheetViews>
    <sheetView tabSelected="1" topLeftCell="D1" zoomScale="70" zoomScaleNormal="70" workbookViewId="0">
      <selection activeCell="V962" sqref="V962"/>
    </sheetView>
  </sheetViews>
  <sheetFormatPr baseColWidth="10" defaultRowHeight="14.5" x14ac:dyDescent="0.35"/>
  <cols>
    <col min="1" max="1" width="32.81640625" bestFit="1" customWidth="1"/>
    <col min="2" max="2" width="28.1796875" bestFit="1" customWidth="1"/>
    <col min="3" max="3" width="9.6328125" customWidth="1"/>
    <col min="4" max="10" width="11.7265625" customWidth="1"/>
    <col min="11" max="13" width="11.6328125" customWidth="1"/>
    <col min="14" max="14" width="6.81640625" bestFit="1" customWidth="1"/>
    <col min="15" max="15" width="5" style="16" bestFit="1" customWidth="1"/>
    <col min="16" max="16" width="5" bestFit="1" customWidth="1"/>
    <col min="17" max="17" width="47.1796875" bestFit="1" customWidth="1"/>
    <col min="18" max="18" width="17.7265625" bestFit="1" customWidth="1"/>
    <col min="19" max="19" width="23.08984375" bestFit="1" customWidth="1"/>
    <col min="20" max="20" width="15.90625" bestFit="1" customWidth="1"/>
    <col min="21" max="24" width="15.90625" customWidth="1"/>
    <col min="26" max="26" width="21.08984375" bestFit="1" customWidth="1"/>
    <col min="27" max="27" width="29.36328125" customWidth="1"/>
    <col min="28" max="28" width="152.36328125" bestFit="1" customWidth="1"/>
  </cols>
  <sheetData>
    <row r="1" spans="1:27" ht="14" customHeight="1" x14ac:dyDescent="0.35">
      <c r="A1" s="2" t="s">
        <v>0</v>
      </c>
      <c r="B1" s="2" t="s">
        <v>74</v>
      </c>
      <c r="C1" s="2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2" t="s">
        <v>101</v>
      </c>
      <c r="O1" s="2" t="s">
        <v>102</v>
      </c>
      <c r="P1" s="2" t="s">
        <v>141</v>
      </c>
      <c r="Q1" s="15" t="s">
        <v>497</v>
      </c>
      <c r="R1" s="2" t="s">
        <v>12</v>
      </c>
      <c r="S1" s="2" t="s">
        <v>27</v>
      </c>
      <c r="T1" s="2" t="s">
        <v>146</v>
      </c>
      <c r="U1" s="2" t="s">
        <v>67</v>
      </c>
      <c r="V1" s="2" t="s">
        <v>13</v>
      </c>
      <c r="W1" s="2" t="s">
        <v>75</v>
      </c>
      <c r="X1" s="2" t="s">
        <v>76</v>
      </c>
      <c r="Y1" s="2" t="s">
        <v>77</v>
      </c>
      <c r="Z1" s="2" t="s">
        <v>78</v>
      </c>
      <c r="AA1" s="2" t="s">
        <v>22</v>
      </c>
    </row>
    <row r="2" spans="1:27" hidden="1" x14ac:dyDescent="0.35">
      <c r="A2" t="str">
        <f>_xlfn.CONCAT(Tableau1[[#This Row],[Athletes]],"_",Tableau1[[#This Row],[Nationality]],"_",Tableau1[[#This Row],[Competition_year]])</f>
        <v>Natoya GOULE-TOPPIN_JAM_2021</v>
      </c>
      <c r="B2" s="9" t="s">
        <v>222</v>
      </c>
      <c r="C2" s="9" t="s">
        <v>29</v>
      </c>
      <c r="D2" s="12" t="s">
        <v>33</v>
      </c>
      <c r="E2" s="14">
        <v>13.8</v>
      </c>
      <c r="F2" s="9">
        <v>13.7</v>
      </c>
      <c r="G2" s="9">
        <v>14.9</v>
      </c>
      <c r="H2" s="9">
        <v>15.1</v>
      </c>
      <c r="I2" s="9">
        <v>15.4</v>
      </c>
      <c r="J2">
        <v>15.3</v>
      </c>
      <c r="K2">
        <v>14.9</v>
      </c>
      <c r="L2">
        <f>Tableau1[[#This Row],[Final_time]]-SUM(Tableau1[[#This Row],[0_100m]:[600_700m]])</f>
        <v>14.989999999999995</v>
      </c>
      <c r="M2">
        <v>118.09</v>
      </c>
      <c r="N2">
        <f>SUM(Tableau1[[#This Row],[0_100m]:[700_800m]])</f>
        <v>118.09</v>
      </c>
      <c r="O2">
        <f>ABS(Tableau1[[#This Row],[Final_time]]-Tableau1[[#This Row],[Sum_time]])</f>
        <v>0</v>
      </c>
      <c r="P2" s="8"/>
      <c r="Q2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2" t="s">
        <v>467</v>
      </c>
      <c r="S2" s="1" t="s">
        <v>68</v>
      </c>
      <c r="U2" s="1" t="s">
        <v>69</v>
      </c>
      <c r="V2" s="1">
        <v>44442</v>
      </c>
      <c r="W2" s="4">
        <f>YEAR(Tableau1[[#This Row],[Competition_date]])</f>
        <v>2021</v>
      </c>
      <c r="X2" s="4">
        <v>22</v>
      </c>
      <c r="Y2" s="6">
        <v>0.61</v>
      </c>
      <c r="Z2" s="4" t="s">
        <v>82</v>
      </c>
      <c r="AA2" t="s">
        <v>176</v>
      </c>
    </row>
    <row r="3" spans="1:27" hidden="1" x14ac:dyDescent="0.35">
      <c r="A3" t="str">
        <f>_xlfn.CONCAT(Tableau1[[#This Row],[Athletes]],"_",Tableau1[[#This Row],[Nationality]],"_",Tableau1[[#This Row],[Competition_year]])</f>
        <v>Keely HODGKINSON_GBR_2021</v>
      </c>
      <c r="B3" s="9" t="s">
        <v>212</v>
      </c>
      <c r="C3" s="9" t="s">
        <v>29</v>
      </c>
      <c r="D3" s="12" t="s">
        <v>30</v>
      </c>
      <c r="E3" s="14">
        <v>13.9</v>
      </c>
      <c r="F3" s="9">
        <v>13.7</v>
      </c>
      <c r="G3" s="9">
        <v>15</v>
      </c>
      <c r="H3" s="9">
        <v>15.2</v>
      </c>
      <c r="I3" s="9">
        <v>15.3</v>
      </c>
      <c r="J3">
        <v>15.3</v>
      </c>
      <c r="K3">
        <v>14.8</v>
      </c>
      <c r="L3">
        <f>Tableau1[[#This Row],[Final_time]]-SUM(Tableau1[[#This Row],[0_100m]:[600_700m]])</f>
        <v>14.960000000000008</v>
      </c>
      <c r="M3">
        <v>118.16</v>
      </c>
      <c r="N3">
        <f>SUM(Tableau1[[#This Row],[0_100m]:[700_800m]])</f>
        <v>118.16</v>
      </c>
      <c r="O3">
        <f>ABS(Tableau1[[#This Row],[Final_time]]-Tableau1[[#This Row],[Sum_time]])</f>
        <v>0</v>
      </c>
      <c r="P3" s="8"/>
      <c r="Q3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3" t="s">
        <v>467</v>
      </c>
      <c r="S3" s="1" t="s">
        <v>68</v>
      </c>
      <c r="U3" s="1" t="s">
        <v>69</v>
      </c>
      <c r="V3" s="1">
        <v>44442</v>
      </c>
      <c r="W3" s="4">
        <f>YEAR(Tableau1[[#This Row],[Competition_date]])</f>
        <v>2021</v>
      </c>
      <c r="X3" s="4">
        <v>22</v>
      </c>
      <c r="Y3" s="6">
        <v>0.61</v>
      </c>
      <c r="Z3" s="4" t="s">
        <v>82</v>
      </c>
      <c r="AA3" t="s">
        <v>176</v>
      </c>
    </row>
    <row r="4" spans="1:27" hidden="1" x14ac:dyDescent="0.35">
      <c r="A4" t="str">
        <f>_xlfn.CONCAT(Tableau1[[#This Row],[Athletes]],"_",Tableau1[[#This Row],[Nationality]],"_",Tableau1[[#This Row],[Competition_year]])</f>
        <v>Jemma REEKIE_GBR_2021</v>
      </c>
      <c r="B4" s="9" t="s">
        <v>220</v>
      </c>
      <c r="C4" s="9" t="s">
        <v>29</v>
      </c>
      <c r="D4" s="12" t="s">
        <v>30</v>
      </c>
      <c r="E4" s="14">
        <v>13.9</v>
      </c>
      <c r="F4" s="9">
        <v>13.8</v>
      </c>
      <c r="G4" s="9">
        <v>14.9</v>
      </c>
      <c r="H4" s="9">
        <v>15.2</v>
      </c>
      <c r="I4" s="9">
        <v>15.2</v>
      </c>
      <c r="J4">
        <v>15.4</v>
      </c>
      <c r="K4">
        <v>14.9</v>
      </c>
      <c r="L4">
        <f>Tableau1[[#This Row],[Final_time]]-SUM(Tableau1[[#This Row],[0_100m]:[600_700m]])</f>
        <v>15.469999999999985</v>
      </c>
      <c r="M4">
        <v>118.77</v>
      </c>
      <c r="N4">
        <f>SUM(Tableau1[[#This Row],[0_100m]:[700_800m]])</f>
        <v>118.77</v>
      </c>
      <c r="O4">
        <f>ABS(Tableau1[[#This Row],[Final_time]]-Tableau1[[#This Row],[Sum_time]])</f>
        <v>0</v>
      </c>
      <c r="P4" s="8"/>
      <c r="Q4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4" t="s">
        <v>467</v>
      </c>
      <c r="S4" s="1" t="s">
        <v>68</v>
      </c>
      <c r="U4" s="1" t="s">
        <v>69</v>
      </c>
      <c r="V4" s="1">
        <v>44442</v>
      </c>
      <c r="W4" s="4">
        <f>YEAR(Tableau1[[#This Row],[Competition_date]])</f>
        <v>2021</v>
      </c>
      <c r="X4" s="4">
        <v>22</v>
      </c>
      <c r="Y4" s="6">
        <v>0.61</v>
      </c>
      <c r="Z4" s="4" t="s">
        <v>82</v>
      </c>
      <c r="AA4" t="s">
        <v>176</v>
      </c>
    </row>
    <row r="5" spans="1:27" hidden="1" x14ac:dyDescent="0.35">
      <c r="A5" t="str">
        <f>_xlfn.CONCAT(Tableau1[[#This Row],[Athletes]],"_",Tableau1[[#This Row],[Nationality]],"_",Tableau1[[#This Row],[Competition_year]])</f>
        <v>Habitam ALEMU_ETH_2021</v>
      </c>
      <c r="B5" s="9" t="s">
        <v>223</v>
      </c>
      <c r="C5" s="9" t="s">
        <v>29</v>
      </c>
      <c r="D5" s="12" t="s">
        <v>49</v>
      </c>
      <c r="E5" s="14">
        <v>14.2</v>
      </c>
      <c r="F5" s="9">
        <v>13.8</v>
      </c>
      <c r="G5" s="9">
        <v>14.9</v>
      </c>
      <c r="H5" s="9">
        <v>15.1</v>
      </c>
      <c r="I5" s="9">
        <v>15.4</v>
      </c>
      <c r="J5">
        <v>15.3</v>
      </c>
      <c r="K5">
        <v>15.1</v>
      </c>
      <c r="L5">
        <f>Tableau1[[#This Row],[Final_time]]-SUM(Tableau1[[#This Row],[0_100m]:[600_700m]])</f>
        <v>15.210000000000008</v>
      </c>
      <c r="M5">
        <v>119.01</v>
      </c>
      <c r="N5">
        <f>SUM(Tableau1[[#This Row],[0_100m]:[700_800m]])</f>
        <v>119.01</v>
      </c>
      <c r="O5">
        <f>ABS(Tableau1[[#This Row],[Final_time]]-Tableau1[[#This Row],[Sum_time]])</f>
        <v>0</v>
      </c>
      <c r="P5" s="8"/>
      <c r="Q5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5" t="s">
        <v>467</v>
      </c>
      <c r="S5" s="1" t="s">
        <v>68</v>
      </c>
      <c r="U5" s="1" t="s">
        <v>69</v>
      </c>
      <c r="V5" s="1">
        <v>44442</v>
      </c>
      <c r="W5" s="4">
        <f>YEAR(Tableau1[[#This Row],[Competition_date]])</f>
        <v>2021</v>
      </c>
      <c r="X5" s="4">
        <v>22</v>
      </c>
      <c r="Y5" s="6">
        <v>0.61</v>
      </c>
      <c r="Z5" s="4" t="s">
        <v>82</v>
      </c>
      <c r="AA5" t="s">
        <v>176</v>
      </c>
    </row>
    <row r="6" spans="1:27" hidden="1" x14ac:dyDescent="0.35">
      <c r="A6" t="str">
        <f>_xlfn.CONCAT(Tableau1[[#This Row],[Athletes]],"_",Tableau1[[#This Row],[Nationality]],"_",Tableau1[[#This Row],[Competition_year]])</f>
        <v>Kate GRACE_USA_2021</v>
      </c>
      <c r="B6" s="9" t="s">
        <v>468</v>
      </c>
      <c r="C6" s="9" t="s">
        <v>29</v>
      </c>
      <c r="D6" s="12" t="s">
        <v>35</v>
      </c>
      <c r="E6" s="14">
        <v>14</v>
      </c>
      <c r="F6" s="9">
        <v>13.9</v>
      </c>
      <c r="G6" s="9">
        <v>15.2</v>
      </c>
      <c r="H6" s="9">
        <v>14.9</v>
      </c>
      <c r="I6" s="9">
        <v>15.3</v>
      </c>
      <c r="J6">
        <v>15.2</v>
      </c>
      <c r="K6">
        <v>14.9</v>
      </c>
      <c r="L6">
        <f>Tableau1[[#This Row],[Final_time]]-SUM(Tableau1[[#This Row],[0_100m]:[600_700m]])</f>
        <v>15.819999999999993</v>
      </c>
      <c r="M6">
        <v>119.22</v>
      </c>
      <c r="N6">
        <f>SUM(Tableau1[[#This Row],[0_100m]:[700_800m]])</f>
        <v>119.22</v>
      </c>
      <c r="O6">
        <f>ABS(Tableau1[[#This Row],[Final_time]]-Tableau1[[#This Row],[Sum_time]])</f>
        <v>0</v>
      </c>
      <c r="P6" s="8"/>
      <c r="Q6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6" t="s">
        <v>467</v>
      </c>
      <c r="S6" s="1" t="s">
        <v>68</v>
      </c>
      <c r="U6" s="1" t="s">
        <v>69</v>
      </c>
      <c r="V6" s="1">
        <v>44442</v>
      </c>
      <c r="W6" s="4">
        <f>YEAR(Tableau1[[#This Row],[Competition_date]])</f>
        <v>2021</v>
      </c>
      <c r="X6" s="4">
        <v>22</v>
      </c>
      <c r="Y6" s="6">
        <v>0.61</v>
      </c>
      <c r="Z6" s="4" t="s">
        <v>82</v>
      </c>
      <c r="AA6" t="s">
        <v>176</v>
      </c>
    </row>
    <row r="7" spans="1:27" hidden="1" x14ac:dyDescent="0.35">
      <c r="A7" t="str">
        <f>_xlfn.CONCAT(Tableau1[[#This Row],[Athletes]],"_",Tableau1[[#This Row],[Nationality]],"_",Tableau1[[#This Row],[Competition_year]])</f>
        <v>Lovisa LINDH_SWE_2021</v>
      </c>
      <c r="B7" s="9" t="s">
        <v>378</v>
      </c>
      <c r="C7" s="9" t="s">
        <v>29</v>
      </c>
      <c r="D7" s="12" t="s">
        <v>28</v>
      </c>
      <c r="E7" s="14">
        <v>14.5</v>
      </c>
      <c r="F7" s="9">
        <v>13.7</v>
      </c>
      <c r="G7" s="9">
        <v>14.9</v>
      </c>
      <c r="H7" s="9">
        <v>15.2</v>
      </c>
      <c r="I7" s="9">
        <v>15.2</v>
      </c>
      <c r="J7">
        <v>15.3</v>
      </c>
      <c r="K7">
        <v>15.2</v>
      </c>
      <c r="L7">
        <f>Tableau1[[#This Row],[Final_time]]-SUM(Tableau1[[#This Row],[0_100m]:[600_700m]])</f>
        <v>15.489999999999995</v>
      </c>
      <c r="M7">
        <v>119.49</v>
      </c>
      <c r="N7">
        <f>SUM(Tableau1[[#This Row],[0_100m]:[700_800m]])</f>
        <v>119.49</v>
      </c>
      <c r="O7">
        <f>ABS(Tableau1[[#This Row],[Final_time]]-Tableau1[[#This Row],[Sum_time]])</f>
        <v>0</v>
      </c>
      <c r="P7" s="8"/>
      <c r="Q7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7" t="s">
        <v>467</v>
      </c>
      <c r="S7" s="1" t="s">
        <v>68</v>
      </c>
      <c r="U7" s="1" t="s">
        <v>69</v>
      </c>
      <c r="V7" s="1">
        <v>44442</v>
      </c>
      <c r="W7" s="4">
        <f>YEAR(Tableau1[[#This Row],[Competition_date]])</f>
        <v>2021</v>
      </c>
      <c r="X7" s="4">
        <v>22</v>
      </c>
      <c r="Y7" s="6">
        <v>0.61</v>
      </c>
      <c r="Z7" s="4" t="s">
        <v>82</v>
      </c>
      <c r="AA7" t="s">
        <v>176</v>
      </c>
    </row>
    <row r="8" spans="1:27" hidden="1" x14ac:dyDescent="0.35">
      <c r="A8" t="str">
        <f>_xlfn.CONCAT(Tableau1[[#This Row],[Athletes]],"_",Tableau1[[#This Row],[Nationality]],"_",Tableau1[[#This Row],[Competition_year]])</f>
        <v>Halimah NAKAAYI_UGA_2021</v>
      </c>
      <c r="B8" s="9" t="s">
        <v>230</v>
      </c>
      <c r="C8" s="9" t="s">
        <v>29</v>
      </c>
      <c r="D8" s="12" t="s">
        <v>34</v>
      </c>
      <c r="E8" s="14">
        <v>14.1</v>
      </c>
      <c r="F8" s="9">
        <v>13.6</v>
      </c>
      <c r="G8" s="9">
        <v>15.1</v>
      </c>
      <c r="H8" s="9">
        <v>15.2</v>
      </c>
      <c r="I8" s="9">
        <v>15.3</v>
      </c>
      <c r="J8">
        <v>15.2</v>
      </c>
      <c r="K8">
        <v>15.3</v>
      </c>
      <c r="L8">
        <f>Tableau1[[#This Row],[Final_time]]-SUM(Tableau1[[#This Row],[0_100m]:[600_700m]])</f>
        <v>15.75</v>
      </c>
      <c r="M8">
        <v>119.55</v>
      </c>
      <c r="N8">
        <f>SUM(Tableau1[[#This Row],[0_100m]:[700_800m]])</f>
        <v>119.55</v>
      </c>
      <c r="O8">
        <f>ABS(Tableau1[[#This Row],[Final_time]]-Tableau1[[#This Row],[Sum_time]])</f>
        <v>0</v>
      </c>
      <c r="P8" s="8"/>
      <c r="Q8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8" t="s">
        <v>467</v>
      </c>
      <c r="S8" s="1" t="s">
        <v>68</v>
      </c>
      <c r="U8" s="1" t="s">
        <v>69</v>
      </c>
      <c r="V8" s="1">
        <v>44442</v>
      </c>
      <c r="W8" s="4">
        <f>YEAR(Tableau1[[#This Row],[Competition_date]])</f>
        <v>2021</v>
      </c>
      <c r="X8" s="4">
        <v>22</v>
      </c>
      <c r="Y8" s="6">
        <v>0.61</v>
      </c>
      <c r="Z8" s="4" t="s">
        <v>82</v>
      </c>
      <c r="AA8" t="s">
        <v>176</v>
      </c>
    </row>
    <row r="9" spans="1:27" hidden="1" x14ac:dyDescent="0.35">
      <c r="A9" t="str">
        <f>_xlfn.CONCAT(Tableau1[[#This Row],[Athletes]],"_",Tableau1[[#This Row],[Nationality]],"_",Tableau1[[#This Row],[Competition_year]])</f>
        <v>Mary MORAA_KEN_2021</v>
      </c>
      <c r="B9" t="s">
        <v>228</v>
      </c>
      <c r="C9" t="s">
        <v>29</v>
      </c>
      <c r="D9" s="18" t="s">
        <v>15</v>
      </c>
      <c r="E9" s="7">
        <v>14</v>
      </c>
      <c r="F9">
        <v>13.9</v>
      </c>
      <c r="G9">
        <v>15.3</v>
      </c>
      <c r="H9">
        <v>14.6</v>
      </c>
      <c r="I9">
        <v>15.3</v>
      </c>
      <c r="J9">
        <v>15.1</v>
      </c>
      <c r="K9">
        <v>15.7</v>
      </c>
      <c r="L9">
        <f>Tableau1[[#This Row],[Final_time]]-SUM(Tableau1[[#This Row],[0_100m]:[600_700m]])</f>
        <v>15.89</v>
      </c>
      <c r="M9">
        <v>119.79</v>
      </c>
      <c r="N9">
        <f>SUM(Tableau1[[#This Row],[0_100m]:[700_800m]])</f>
        <v>119.79</v>
      </c>
      <c r="O9">
        <f>ABS(Tableau1[[#This Row],[Final_time]]-Tableau1[[#This Row],[Sum_time]])</f>
        <v>0</v>
      </c>
      <c r="P9" s="8"/>
      <c r="Q9" s="16" t="str">
        <f>_xlfn.CONCAT(Tableau1[[#This Row],[Competition]],"_",Tableau1[[#This Row],[Championship_step]],"_",Tableau1[[#This Row],[Competition_date]],"_",Tableau1[[#This Row],[Gender]])</f>
        <v>Diamond League Brussels 2021__44442_Female</v>
      </c>
      <c r="R9" t="s">
        <v>467</v>
      </c>
      <c r="S9" s="1" t="s">
        <v>68</v>
      </c>
      <c r="U9" s="1" t="s">
        <v>69</v>
      </c>
      <c r="V9" s="1">
        <v>44442</v>
      </c>
      <c r="W9" s="4">
        <f>YEAR(Tableau1[[#This Row],[Competition_date]])</f>
        <v>2021</v>
      </c>
      <c r="X9" s="4">
        <v>22</v>
      </c>
      <c r="Y9" s="6">
        <v>0.61</v>
      </c>
      <c r="Z9" s="4" t="s">
        <v>82</v>
      </c>
      <c r="AA9" t="s">
        <v>176</v>
      </c>
    </row>
    <row r="10" spans="1:27" hidden="1" x14ac:dyDescent="0.35">
      <c r="A10" t="str">
        <f>_xlfn.CONCAT(Tableau1[[#This Row],[Athletes]],"_",Tableau1[[#This Row],[Nationality]],"_",Tableau1[[#This Row],[Competition_year]])</f>
        <v>Ferguson Cheruiyot ROTICH_KEN_2021</v>
      </c>
      <c r="B10" s="9" t="s">
        <v>199</v>
      </c>
      <c r="C10" s="9" t="s">
        <v>14</v>
      </c>
      <c r="D10" s="12" t="s">
        <v>15</v>
      </c>
      <c r="E10" s="11">
        <v>12.8</v>
      </c>
      <c r="F10" s="11">
        <v>12</v>
      </c>
      <c r="G10" s="11">
        <v>13</v>
      </c>
      <c r="H10" s="11">
        <v>13.1</v>
      </c>
      <c r="I10" s="11">
        <v>13.2</v>
      </c>
      <c r="J10" s="11">
        <v>13.5</v>
      </c>
      <c r="K10" s="11">
        <v>13.2</v>
      </c>
      <c r="L10">
        <f>Tableau1[[#This Row],[Final_time]]-SUM(Tableau1[[#This Row],[0_100m]:[600_700m]])</f>
        <v>13.010000000000005</v>
      </c>
      <c r="M10" s="11">
        <v>103.81</v>
      </c>
      <c r="N10">
        <f>SUM(Tableau1[[#This Row],[0_100m]:[700_800m]])</f>
        <v>103.81</v>
      </c>
      <c r="O10">
        <f>ABS(Tableau1[[#This Row],[Final_time]]-Tableau1[[#This Row],[Sum_time]])</f>
        <v>0</v>
      </c>
      <c r="P10" s="8"/>
      <c r="Q10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0" t="s">
        <v>467</v>
      </c>
      <c r="S10" s="1" t="s">
        <v>68</v>
      </c>
      <c r="U10" s="1" t="s">
        <v>69</v>
      </c>
      <c r="V10" s="1">
        <v>44442</v>
      </c>
      <c r="W10" s="4">
        <f>YEAR(Tableau1[[#This Row],[Competition_date]])</f>
        <v>2021</v>
      </c>
      <c r="X10" s="4">
        <v>24</v>
      </c>
      <c r="Y10" s="6">
        <v>0.47</v>
      </c>
      <c r="Z10" s="4" t="s">
        <v>79</v>
      </c>
      <c r="AA10" t="s">
        <v>176</v>
      </c>
    </row>
    <row r="11" spans="1:27" hidden="1" x14ac:dyDescent="0.35">
      <c r="A11" t="str">
        <f>_xlfn.CONCAT(Tableau1[[#This Row],[Athletes]],"_",Tableau1[[#This Row],[Nationality]],"_",Tableau1[[#This Row],[Competition_year]])</f>
        <v>Eliott CRESTAN_BEL_2021</v>
      </c>
      <c r="B11" s="9" t="s">
        <v>244</v>
      </c>
      <c r="C11" s="9" t="s">
        <v>14</v>
      </c>
      <c r="D11" s="12" t="s">
        <v>18</v>
      </c>
      <c r="E11" s="11">
        <v>13.2</v>
      </c>
      <c r="F11" s="11">
        <v>12.1</v>
      </c>
      <c r="G11" s="11">
        <v>13.1</v>
      </c>
      <c r="H11" s="11">
        <v>13.2</v>
      </c>
      <c r="I11" s="11">
        <v>13.5</v>
      </c>
      <c r="J11" s="11">
        <v>13.2</v>
      </c>
      <c r="K11" s="11">
        <v>13.5</v>
      </c>
      <c r="L11">
        <f>Tableau1[[#This Row],[Final_time]]-SUM(Tableau1[[#This Row],[0_100m]:[600_700m]])</f>
        <v>13.439999999999998</v>
      </c>
      <c r="M11" s="11">
        <v>105.24</v>
      </c>
      <c r="N11">
        <f>SUM(Tableau1[[#This Row],[0_100m]:[700_800m]])</f>
        <v>105.24</v>
      </c>
      <c r="O11">
        <f>ABS(Tableau1[[#This Row],[Final_time]]-Tableau1[[#This Row],[Sum_time]])</f>
        <v>0</v>
      </c>
      <c r="P11" s="8"/>
      <c r="Q11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1" t="s">
        <v>467</v>
      </c>
      <c r="S11" s="1" t="s">
        <v>68</v>
      </c>
      <c r="U11" s="1" t="s">
        <v>69</v>
      </c>
      <c r="V11" s="1">
        <v>44442</v>
      </c>
      <c r="W11" s="4">
        <f>YEAR(Tableau1[[#This Row],[Competition_date]])</f>
        <v>2021</v>
      </c>
      <c r="X11" s="4">
        <v>24</v>
      </c>
      <c r="Y11" s="6">
        <v>0.47</v>
      </c>
      <c r="Z11" s="4" t="s">
        <v>79</v>
      </c>
      <c r="AA11" t="s">
        <v>176</v>
      </c>
    </row>
    <row r="12" spans="1:27" hidden="1" x14ac:dyDescent="0.35">
      <c r="A12" t="str">
        <f>_xlfn.CONCAT(Tableau1[[#This Row],[Athletes]],"_",Tableau1[[#This Row],[Nationality]],"_",Tableau1[[#This Row],[Competition_year]])</f>
        <v>Cornelius TUWEI_KEN_2021</v>
      </c>
      <c r="B12" s="9" t="s">
        <v>463</v>
      </c>
      <c r="C12" s="9" t="s">
        <v>14</v>
      </c>
      <c r="D12" s="12" t="s">
        <v>15</v>
      </c>
      <c r="E12" s="11">
        <v>13</v>
      </c>
      <c r="F12" s="11">
        <v>12.1</v>
      </c>
      <c r="G12" s="11">
        <v>13.1</v>
      </c>
      <c r="H12" s="11">
        <v>13.2</v>
      </c>
      <c r="I12" s="11">
        <v>13.3</v>
      </c>
      <c r="J12" s="11">
        <v>13.3</v>
      </c>
      <c r="K12" s="11">
        <v>13.6</v>
      </c>
      <c r="L12">
        <f>Tableau1[[#This Row],[Final_time]]-SUM(Tableau1[[#This Row],[0_100m]:[600_700m]])</f>
        <v>13.690000000000012</v>
      </c>
      <c r="M12" s="11">
        <v>105.29</v>
      </c>
      <c r="N12">
        <f>SUM(Tableau1[[#This Row],[0_100m]:[700_800m]])</f>
        <v>105.29</v>
      </c>
      <c r="O12">
        <f>ABS(Tableau1[[#This Row],[Final_time]]-Tableau1[[#This Row],[Sum_time]])</f>
        <v>0</v>
      </c>
      <c r="P12" s="8"/>
      <c r="Q12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2" t="s">
        <v>467</v>
      </c>
      <c r="S12" s="1" t="s">
        <v>68</v>
      </c>
      <c r="U12" s="1" t="s">
        <v>69</v>
      </c>
      <c r="V12" s="1">
        <v>44442</v>
      </c>
      <c r="W12" s="4">
        <f>YEAR(Tableau1[[#This Row],[Competition_date]])</f>
        <v>2021</v>
      </c>
      <c r="X12" s="4">
        <v>24</v>
      </c>
      <c r="Y12" s="6">
        <v>0.47</v>
      </c>
      <c r="Z12" s="4" t="s">
        <v>79</v>
      </c>
      <c r="AA12" t="s">
        <v>176</v>
      </c>
    </row>
    <row r="13" spans="1:27" hidden="1" x14ac:dyDescent="0.35">
      <c r="A13" t="str">
        <f>_xlfn.CONCAT(Tableau1[[#This Row],[Athletes]],"_",Tableau1[[#This Row],[Nationality]],"_",Tableau1[[#This Row],[Competition_year]])</f>
        <v>Aurele VANDEPUTTE_BEL_2021</v>
      </c>
      <c r="B13" s="9" t="s">
        <v>464</v>
      </c>
      <c r="C13" s="9" t="s">
        <v>14</v>
      </c>
      <c r="D13" s="12" t="s">
        <v>18</v>
      </c>
      <c r="E13" s="11">
        <v>12.8</v>
      </c>
      <c r="F13" s="11">
        <v>12.7</v>
      </c>
      <c r="G13" s="11">
        <v>13.1</v>
      </c>
      <c r="H13" s="11">
        <v>13.3</v>
      </c>
      <c r="I13" s="11">
        <v>13.3</v>
      </c>
      <c r="J13" s="11">
        <v>13.3</v>
      </c>
      <c r="K13" s="11">
        <v>13.5</v>
      </c>
      <c r="L13">
        <f>Tableau1[[#This Row],[Final_time]]-SUM(Tableau1[[#This Row],[0_100m]:[600_700m]])</f>
        <v>13.489999999999995</v>
      </c>
      <c r="M13" s="11">
        <v>105.49</v>
      </c>
      <c r="N13">
        <f>SUM(Tableau1[[#This Row],[0_100m]:[700_800m]])</f>
        <v>105.49</v>
      </c>
      <c r="O13">
        <f>ABS(Tableau1[[#This Row],[Final_time]]-Tableau1[[#This Row],[Sum_time]])</f>
        <v>0</v>
      </c>
      <c r="P13" s="8"/>
      <c r="Q13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3" t="s">
        <v>467</v>
      </c>
      <c r="S13" s="1" t="s">
        <v>68</v>
      </c>
      <c r="U13" s="1" t="s">
        <v>69</v>
      </c>
      <c r="V13" s="1">
        <v>44442</v>
      </c>
      <c r="W13" s="4">
        <f>YEAR(Tableau1[[#This Row],[Competition_date]])</f>
        <v>2021</v>
      </c>
      <c r="X13" s="4">
        <v>24</v>
      </c>
      <c r="Y13" s="6">
        <v>0.47</v>
      </c>
      <c r="Z13" s="4" t="s">
        <v>79</v>
      </c>
      <c r="AA13" t="s">
        <v>176</v>
      </c>
    </row>
    <row r="14" spans="1:27" hidden="1" x14ac:dyDescent="0.35">
      <c r="A14" t="str">
        <f>_xlfn.CONCAT(Tableau1[[#This Row],[Athletes]],"_",Tableau1[[#This Row],[Nationality]],"_",Tableau1[[#This Row],[Competition_year]])</f>
        <v>Moad ZAHAFI_MAR_2021</v>
      </c>
      <c r="B14" s="9" t="s">
        <v>282</v>
      </c>
      <c r="C14" s="9" t="s">
        <v>14</v>
      </c>
      <c r="D14" s="12" t="s">
        <v>21</v>
      </c>
      <c r="E14" s="11">
        <v>12.8</v>
      </c>
      <c r="F14" s="11">
        <v>12.2</v>
      </c>
      <c r="G14" s="11">
        <v>13.1</v>
      </c>
      <c r="H14" s="11">
        <v>13</v>
      </c>
      <c r="I14" s="11">
        <v>13.3</v>
      </c>
      <c r="J14" s="11">
        <v>13.4</v>
      </c>
      <c r="K14" s="11">
        <v>13.6</v>
      </c>
      <c r="L14">
        <f>Tableau1[[#This Row],[Final_time]]-SUM(Tableau1[[#This Row],[0_100m]:[600_700m]])</f>
        <v>14.299999999999997</v>
      </c>
      <c r="M14" s="11">
        <v>105.7</v>
      </c>
      <c r="N14">
        <f>SUM(Tableau1[[#This Row],[0_100m]:[700_800m]])</f>
        <v>105.7</v>
      </c>
      <c r="O14">
        <f>ABS(Tableau1[[#This Row],[Final_time]]-Tableau1[[#This Row],[Sum_time]])</f>
        <v>0</v>
      </c>
      <c r="P14" s="8"/>
      <c r="Q14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4" t="s">
        <v>467</v>
      </c>
      <c r="S14" s="1" t="s">
        <v>68</v>
      </c>
      <c r="U14" s="1" t="s">
        <v>69</v>
      </c>
      <c r="V14" s="1">
        <v>44442</v>
      </c>
      <c r="W14" s="4">
        <f>YEAR(Tableau1[[#This Row],[Competition_date]])</f>
        <v>2021</v>
      </c>
      <c r="X14" s="4">
        <v>24</v>
      </c>
      <c r="Y14" s="6">
        <v>0.47</v>
      </c>
      <c r="Z14" s="4" t="s">
        <v>79</v>
      </c>
      <c r="AA14" t="s">
        <v>176</v>
      </c>
    </row>
    <row r="15" spans="1:27" hidden="1" x14ac:dyDescent="0.35">
      <c r="A15" t="str">
        <f>_xlfn.CONCAT(Tableau1[[#This Row],[Athletes]],"_",Tableau1[[#This Row],[Nationality]],"_",Tableau1[[#This Row],[Competition_year]])</f>
        <v>Collins KIPRUTO_KEN_2021</v>
      </c>
      <c r="B15" s="9" t="s">
        <v>340</v>
      </c>
      <c r="C15" s="9" t="s">
        <v>14</v>
      </c>
      <c r="D15" s="12" t="s">
        <v>15</v>
      </c>
      <c r="E15" s="11">
        <v>13.4</v>
      </c>
      <c r="F15" s="11">
        <v>12.2</v>
      </c>
      <c r="G15" s="11">
        <v>13.2</v>
      </c>
      <c r="H15" s="11">
        <v>13.4</v>
      </c>
      <c r="I15" s="11">
        <v>13.6</v>
      </c>
      <c r="J15" s="11">
        <v>13.6</v>
      </c>
      <c r="K15" s="11">
        <v>13.4</v>
      </c>
      <c r="L15">
        <f>Tableau1[[#This Row],[Final_time]]-SUM(Tableau1[[#This Row],[0_100m]:[600_700m]])</f>
        <v>13.760000000000005</v>
      </c>
      <c r="M15" s="11">
        <v>106.56</v>
      </c>
      <c r="N15">
        <f>SUM(Tableau1[[#This Row],[0_100m]:[700_800m]])</f>
        <v>106.56</v>
      </c>
      <c r="O15">
        <f>ABS(Tableau1[[#This Row],[Final_time]]-Tableau1[[#This Row],[Sum_time]])</f>
        <v>0</v>
      </c>
      <c r="P15" s="8"/>
      <c r="Q15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5" t="s">
        <v>467</v>
      </c>
      <c r="S15" s="1" t="s">
        <v>68</v>
      </c>
      <c r="U15" s="1" t="s">
        <v>69</v>
      </c>
      <c r="V15" s="1">
        <v>44442</v>
      </c>
      <c r="W15" s="4">
        <f>YEAR(Tableau1[[#This Row],[Competition_date]])</f>
        <v>2021</v>
      </c>
      <c r="X15" s="4">
        <v>24</v>
      </c>
      <c r="Y15" s="6">
        <v>0.47</v>
      </c>
      <c r="Z15" s="4" t="s">
        <v>79</v>
      </c>
      <c r="AA15" t="s">
        <v>176</v>
      </c>
    </row>
    <row r="16" spans="1:27" hidden="1" x14ac:dyDescent="0.35">
      <c r="A16" t="str">
        <f>_xlfn.CONCAT(Tableau1[[#This Row],[Athletes]],"_",Tableau1[[#This Row],[Nationality]],"_",Tableau1[[#This Row],[Competition_year]])</f>
        <v>Tibo DE SMET_BEL_2021</v>
      </c>
      <c r="B16" s="9" t="s">
        <v>1269</v>
      </c>
      <c r="C16" s="9" t="s">
        <v>14</v>
      </c>
      <c r="D16" s="12" t="s">
        <v>18</v>
      </c>
      <c r="E16" s="11">
        <v>13.5</v>
      </c>
      <c r="F16" s="11">
        <v>12.3</v>
      </c>
      <c r="G16" s="11">
        <v>13.2</v>
      </c>
      <c r="H16" s="11">
        <v>13.4</v>
      </c>
      <c r="I16" s="11">
        <v>13.6</v>
      </c>
      <c r="J16" s="11">
        <v>13.8</v>
      </c>
      <c r="K16" s="11">
        <v>13.9</v>
      </c>
      <c r="L16">
        <f>Tableau1[[#This Row],[Final_time]]-SUM(Tableau1[[#This Row],[0_100m]:[600_700m]])</f>
        <v>13.980000000000004</v>
      </c>
      <c r="M16" s="11">
        <v>107.68</v>
      </c>
      <c r="N16">
        <f>SUM(Tableau1[[#This Row],[0_100m]:[700_800m]])</f>
        <v>107.68</v>
      </c>
      <c r="O16">
        <f>ABS(Tableau1[[#This Row],[Final_time]]-Tableau1[[#This Row],[Sum_time]])</f>
        <v>0</v>
      </c>
      <c r="P16" s="8"/>
      <c r="Q16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6" t="s">
        <v>467</v>
      </c>
      <c r="S16" s="1" t="s">
        <v>68</v>
      </c>
      <c r="U16" s="1" t="s">
        <v>69</v>
      </c>
      <c r="V16" s="1">
        <v>44442</v>
      </c>
      <c r="W16" s="4">
        <f>YEAR(Tableau1[[#This Row],[Competition_date]])</f>
        <v>2021</v>
      </c>
      <c r="X16" s="4">
        <v>24</v>
      </c>
      <c r="Y16" s="6">
        <v>0.47</v>
      </c>
      <c r="Z16" s="4" t="s">
        <v>79</v>
      </c>
      <c r="AA16" t="s">
        <v>176</v>
      </c>
    </row>
    <row r="17" spans="1:27" hidden="1" x14ac:dyDescent="0.35">
      <c r="A17" t="str">
        <f>_xlfn.CONCAT(Tableau1[[#This Row],[Athletes]],"_",Tableau1[[#This Row],[Nationality]],"_",Tableau1[[#This Row],[Competition_year]])</f>
        <v>Ruben VERHEYDEN_BEL_2021</v>
      </c>
      <c r="B17" s="9" t="s">
        <v>465</v>
      </c>
      <c r="C17" s="9" t="s">
        <v>14</v>
      </c>
      <c r="D17" s="12" t="s">
        <v>18</v>
      </c>
      <c r="E17" s="11">
        <v>13.3</v>
      </c>
      <c r="F17" s="11">
        <v>12.7</v>
      </c>
      <c r="G17" s="11">
        <v>13.2</v>
      </c>
      <c r="H17" s="11">
        <v>13.5</v>
      </c>
      <c r="I17" s="11">
        <v>13.6</v>
      </c>
      <c r="J17" s="11">
        <v>13.7</v>
      </c>
      <c r="K17" s="11">
        <v>13.8</v>
      </c>
      <c r="L17">
        <f>Tableau1[[#This Row],[Final_time]]-SUM(Tableau1[[#This Row],[0_100m]:[600_700m]])</f>
        <v>14.010000000000005</v>
      </c>
      <c r="M17" s="11">
        <v>107.81</v>
      </c>
      <c r="N17">
        <f>SUM(Tableau1[[#This Row],[0_100m]:[700_800m]])</f>
        <v>107.81</v>
      </c>
      <c r="O17">
        <f>ABS(Tableau1[[#This Row],[Final_time]]-Tableau1[[#This Row],[Sum_time]])</f>
        <v>0</v>
      </c>
      <c r="P17" s="8"/>
      <c r="Q17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7" t="s">
        <v>467</v>
      </c>
      <c r="S17" s="1" t="s">
        <v>68</v>
      </c>
      <c r="U17" s="1" t="s">
        <v>69</v>
      </c>
      <c r="V17" s="1">
        <v>44442</v>
      </c>
      <c r="W17" s="4">
        <f>YEAR(Tableau1[[#This Row],[Competition_date]])</f>
        <v>2021</v>
      </c>
      <c r="X17" s="4">
        <v>24</v>
      </c>
      <c r="Y17" s="6">
        <v>0.47</v>
      </c>
      <c r="Z17" s="4" t="s">
        <v>79</v>
      </c>
      <c r="AA17" t="s">
        <v>176</v>
      </c>
    </row>
    <row r="18" spans="1:27" hidden="1" x14ac:dyDescent="0.35">
      <c r="A18" t="str">
        <f>_xlfn.CONCAT(Tableau1[[#This Row],[Athletes]],"_",Tableau1[[#This Row],[Nationality]],"_",Tableau1[[#This Row],[Competition_year]])</f>
        <v>Pieter SISK_BEL_2021</v>
      </c>
      <c r="B18" s="9" t="s">
        <v>466</v>
      </c>
      <c r="C18" s="9" t="s">
        <v>14</v>
      </c>
      <c r="D18" s="12" t="s">
        <v>18</v>
      </c>
      <c r="E18" s="11">
        <v>12.8</v>
      </c>
      <c r="F18" s="11">
        <v>12.1</v>
      </c>
      <c r="G18" s="11">
        <v>13</v>
      </c>
      <c r="H18" s="11">
        <v>13.2</v>
      </c>
      <c r="I18" s="11">
        <v>13.4</v>
      </c>
      <c r="J18" s="11">
        <v>14</v>
      </c>
      <c r="K18" s="11">
        <v>14.5</v>
      </c>
      <c r="L18">
        <f>Tableau1[[#This Row],[Final_time]]-SUM(Tableau1[[#This Row],[0_100m]:[600_700m]])</f>
        <v>15.39</v>
      </c>
      <c r="M18" s="11">
        <v>108.39</v>
      </c>
      <c r="N18">
        <f>SUM(Tableau1[[#This Row],[0_100m]:[700_800m]])</f>
        <v>108.39</v>
      </c>
      <c r="O18">
        <f>ABS(Tableau1[[#This Row],[Final_time]]-Tableau1[[#This Row],[Sum_time]])</f>
        <v>0</v>
      </c>
      <c r="P18" s="8"/>
      <c r="Q18" s="1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R18" t="s">
        <v>467</v>
      </c>
      <c r="S18" s="1" t="s">
        <v>68</v>
      </c>
      <c r="U18" s="1" t="s">
        <v>69</v>
      </c>
      <c r="V18" s="1">
        <v>44442</v>
      </c>
      <c r="W18" s="4">
        <f>YEAR(Tableau1[[#This Row],[Competition_date]])</f>
        <v>2021</v>
      </c>
      <c r="X18" s="4">
        <v>24</v>
      </c>
      <c r="Y18" s="6">
        <v>0.47</v>
      </c>
      <c r="Z18" s="4" t="s">
        <v>79</v>
      </c>
      <c r="AA18" t="s">
        <v>176</v>
      </c>
    </row>
    <row r="19" spans="1:27" hidden="1" x14ac:dyDescent="0.35">
      <c r="A19" t="str">
        <f>_xlfn.CONCAT(Tableau1[[#This Row],[Athletes]],"_",Tableau1[[#This Row],[Nationality]],"_",Tableau1[[#This Row],[Competition_year]])</f>
        <v>Jake WIGHTMAN_GBR_2022</v>
      </c>
      <c r="B19" s="9" t="s">
        <v>339</v>
      </c>
      <c r="C19" s="9" t="s">
        <v>14</v>
      </c>
      <c r="D19" s="12" t="s">
        <v>30</v>
      </c>
      <c r="E19" s="9">
        <v>12.4</v>
      </c>
      <c r="F19" s="9">
        <v>11.8</v>
      </c>
      <c r="G19" s="9">
        <v>13</v>
      </c>
      <c r="H19" s="9">
        <v>13.1</v>
      </c>
      <c r="I19" s="9">
        <v>13.4</v>
      </c>
      <c r="J19" s="9">
        <v>13.1</v>
      </c>
      <c r="K19" s="9">
        <v>13.3</v>
      </c>
      <c r="L19">
        <f>Tableau1[[#This Row],[Final_time]]-SUM(Tableau1[[#This Row],[0_100m]:[600_700m]])</f>
        <v>13.550000000000011</v>
      </c>
      <c r="M19" s="9">
        <v>103.65</v>
      </c>
      <c r="N19">
        <f>SUM(Tableau1[[#This Row],[0_100m]:[700_800m]])</f>
        <v>103.65</v>
      </c>
      <c r="O19">
        <f>ABS(Tableau1[[#This Row],[Final_time]]-Tableau1[[#This Row],[Sum_time]])</f>
        <v>0</v>
      </c>
      <c r="P19" s="8"/>
      <c r="Q19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19" t="s">
        <v>341</v>
      </c>
      <c r="S19" s="1" t="s">
        <v>68</v>
      </c>
      <c r="U19" s="1" t="s">
        <v>69</v>
      </c>
      <c r="V19" s="1">
        <v>44806</v>
      </c>
      <c r="W19" s="4">
        <f>YEAR(Tableau1[[#This Row],[Competition_date]])</f>
        <v>2022</v>
      </c>
      <c r="X19" s="4">
        <v>23</v>
      </c>
      <c r="Y19" s="6">
        <v>0.47</v>
      </c>
      <c r="Z19" s="4" t="s">
        <v>80</v>
      </c>
      <c r="AA19" t="s">
        <v>176</v>
      </c>
    </row>
    <row r="20" spans="1:27" hidden="1" x14ac:dyDescent="0.35">
      <c r="A20" t="str">
        <f>_xlfn.CONCAT(Tableau1[[#This Row],[Athletes]],"_",Tableau1[[#This Row],[Nationality]],"_",Tableau1[[#This Row],[Competition_year]])</f>
        <v>Emmanuel Kipkurui KORIR_KEN_2022</v>
      </c>
      <c r="B20" s="9" t="s">
        <v>201</v>
      </c>
      <c r="C20" s="9" t="s">
        <v>14</v>
      </c>
      <c r="D20" s="12" t="s">
        <v>15</v>
      </c>
      <c r="E20" s="9">
        <v>12.7</v>
      </c>
      <c r="F20" s="9">
        <v>11.7</v>
      </c>
      <c r="G20" s="9">
        <v>13</v>
      </c>
      <c r="H20" s="9">
        <v>13.1</v>
      </c>
      <c r="I20" s="9">
        <v>13.3</v>
      </c>
      <c r="J20" s="9">
        <v>13.2</v>
      </c>
      <c r="K20" s="9">
        <v>13.3</v>
      </c>
      <c r="L20">
        <f>Tableau1[[#This Row],[Final_time]]-SUM(Tableau1[[#This Row],[0_100m]:[600_700m]])</f>
        <v>13.820000000000007</v>
      </c>
      <c r="M20" s="9">
        <v>104.12</v>
      </c>
      <c r="N20">
        <f>SUM(Tableau1[[#This Row],[0_100m]:[700_800m]])</f>
        <v>104.12</v>
      </c>
      <c r="O20">
        <f>ABS(Tableau1[[#This Row],[Final_time]]-Tableau1[[#This Row],[Sum_time]])</f>
        <v>0</v>
      </c>
      <c r="P20" s="8"/>
      <c r="Q20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0" t="s">
        <v>341</v>
      </c>
      <c r="S20" s="1" t="s">
        <v>68</v>
      </c>
      <c r="U20" s="1" t="s">
        <v>69</v>
      </c>
      <c r="V20" s="1">
        <v>44806</v>
      </c>
      <c r="W20" s="4">
        <f>YEAR(Tableau1[[#This Row],[Competition_date]])</f>
        <v>2022</v>
      </c>
      <c r="X20" s="4">
        <v>23</v>
      </c>
      <c r="Y20" s="6">
        <v>0.47</v>
      </c>
      <c r="Z20" s="4" t="s">
        <v>80</v>
      </c>
      <c r="AA20" t="s">
        <v>176</v>
      </c>
    </row>
    <row r="21" spans="1:27" hidden="1" x14ac:dyDescent="0.35">
      <c r="A21" t="str">
        <f>_xlfn.CONCAT(Tableau1[[#This Row],[Athletes]],"_",Tableau1[[#This Row],[Nationality]],"_",Tableau1[[#This Row],[Competition_year]])</f>
        <v>Djamel SEDJATI_ALG_2022</v>
      </c>
      <c r="B21" s="9" t="s">
        <v>170</v>
      </c>
      <c r="C21" s="9" t="s">
        <v>14</v>
      </c>
      <c r="D21" s="12" t="s">
        <v>24</v>
      </c>
      <c r="E21" s="9">
        <v>12.6</v>
      </c>
      <c r="F21" s="9">
        <v>12.1</v>
      </c>
      <c r="G21" s="9">
        <v>13</v>
      </c>
      <c r="H21" s="9">
        <v>13.3</v>
      </c>
      <c r="I21" s="9">
        <v>13.1</v>
      </c>
      <c r="J21" s="9">
        <v>13.2</v>
      </c>
      <c r="K21" s="9">
        <v>13.4</v>
      </c>
      <c r="L21">
        <f>Tableau1[[#This Row],[Final_time]]-SUM(Tableau1[[#This Row],[0_100m]:[600_700m]])</f>
        <v>13.420000000000002</v>
      </c>
      <c r="M21" s="9">
        <v>104.12</v>
      </c>
      <c r="N21">
        <f>SUM(Tableau1[[#This Row],[0_100m]:[700_800m]])</f>
        <v>104.12</v>
      </c>
      <c r="O21">
        <f>ABS(Tableau1[[#This Row],[Final_time]]-Tableau1[[#This Row],[Sum_time]])</f>
        <v>0</v>
      </c>
      <c r="P21" s="8"/>
      <c r="Q21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1" t="s">
        <v>341</v>
      </c>
      <c r="S21" s="1" t="s">
        <v>68</v>
      </c>
      <c r="U21" s="1" t="s">
        <v>69</v>
      </c>
      <c r="V21" s="1">
        <v>44806</v>
      </c>
      <c r="W21" s="4">
        <f>YEAR(Tableau1[[#This Row],[Competition_date]])</f>
        <v>2022</v>
      </c>
      <c r="X21" s="4">
        <v>23</v>
      </c>
      <c r="Y21" s="6">
        <v>0.47</v>
      </c>
      <c r="Z21" s="4" t="s">
        <v>80</v>
      </c>
      <c r="AA21" t="s">
        <v>176</v>
      </c>
    </row>
    <row r="22" spans="1:27" hidden="1" x14ac:dyDescent="0.35">
      <c r="A22" t="str">
        <f>_xlfn.CONCAT(Tableau1[[#This Row],[Athletes]],"_",Tableau1[[#This Row],[Nationality]],"_",Tableau1[[#This Row],[Competition_year]])</f>
        <v>Eliott CRESTAN_BEL_2022</v>
      </c>
      <c r="B22" s="9" t="s">
        <v>244</v>
      </c>
      <c r="C22" s="9" t="s">
        <v>14</v>
      </c>
      <c r="D22" s="12" t="s">
        <v>18</v>
      </c>
      <c r="E22" s="9">
        <v>12.5</v>
      </c>
      <c r="F22" s="9">
        <v>11.9</v>
      </c>
      <c r="G22" s="9">
        <v>13.1</v>
      </c>
      <c r="H22" s="9">
        <v>13.2</v>
      </c>
      <c r="I22" s="9">
        <v>13.5</v>
      </c>
      <c r="J22" s="9">
        <v>13.4</v>
      </c>
      <c r="K22" s="9">
        <v>13.5</v>
      </c>
      <c r="L22">
        <f>Tableau1[[#This Row],[Final_time]]-SUM(Tableau1[[#This Row],[0_100m]:[600_700m]])</f>
        <v>13.139999999999986</v>
      </c>
      <c r="M22" s="9">
        <v>104.24</v>
      </c>
      <c r="N22">
        <f>SUM(Tableau1[[#This Row],[0_100m]:[700_800m]])</f>
        <v>104.24</v>
      </c>
      <c r="O22">
        <f>ABS(Tableau1[[#This Row],[Final_time]]-Tableau1[[#This Row],[Sum_time]])</f>
        <v>0</v>
      </c>
      <c r="P22" s="8"/>
      <c r="Q22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2" t="s">
        <v>341</v>
      </c>
      <c r="S22" s="1" t="s">
        <v>68</v>
      </c>
      <c r="U22" s="1" t="s">
        <v>69</v>
      </c>
      <c r="V22" s="1">
        <v>44806</v>
      </c>
      <c r="W22" s="4">
        <f>YEAR(Tableau1[[#This Row],[Competition_date]])</f>
        <v>2022</v>
      </c>
      <c r="X22" s="4">
        <v>23</v>
      </c>
      <c r="Y22" s="6">
        <v>0.47</v>
      </c>
      <c r="Z22" s="4" t="s">
        <v>80</v>
      </c>
      <c r="AA22" t="s">
        <v>176</v>
      </c>
    </row>
    <row r="23" spans="1:27" hidden="1" x14ac:dyDescent="0.35">
      <c r="A23" t="str">
        <f>_xlfn.CONCAT(Tableau1[[#This Row],[Athletes]],"_",Tableau1[[#This Row],[Nationality]],"_",Tableau1[[#This Row],[Competition_year]])</f>
        <v>Marco AROP_CAN_2022</v>
      </c>
      <c r="B23" s="9" t="s">
        <v>177</v>
      </c>
      <c r="C23" s="9" t="s">
        <v>14</v>
      </c>
      <c r="D23" s="12" t="s">
        <v>19</v>
      </c>
      <c r="E23" s="9">
        <v>12.9</v>
      </c>
      <c r="F23" s="9">
        <v>11.5</v>
      </c>
      <c r="G23" s="9">
        <v>12.7</v>
      </c>
      <c r="H23" s="9">
        <v>13</v>
      </c>
      <c r="I23" s="9">
        <v>13.4</v>
      </c>
      <c r="J23" s="9">
        <v>13.5</v>
      </c>
      <c r="K23" s="9">
        <v>13.5</v>
      </c>
      <c r="L23">
        <f>Tableau1[[#This Row],[Final_time]]-SUM(Tableau1[[#This Row],[0_100m]:[600_700m]])</f>
        <v>13.980000000000004</v>
      </c>
      <c r="M23" s="9">
        <v>104.48</v>
      </c>
      <c r="N23">
        <f>SUM(Tableau1[[#This Row],[0_100m]:[700_800m]])</f>
        <v>104.48</v>
      </c>
      <c r="O23">
        <f>ABS(Tableau1[[#This Row],[Final_time]]-Tableau1[[#This Row],[Sum_time]])</f>
        <v>0</v>
      </c>
      <c r="P23" s="8"/>
      <c r="Q23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3" t="s">
        <v>341</v>
      </c>
      <c r="S23" s="1" t="s">
        <v>68</v>
      </c>
      <c r="U23" s="1" t="s">
        <v>69</v>
      </c>
      <c r="V23" s="1">
        <v>44806</v>
      </c>
      <c r="W23" s="4">
        <f>YEAR(Tableau1[[#This Row],[Competition_date]])</f>
        <v>2022</v>
      </c>
      <c r="X23" s="4">
        <v>23</v>
      </c>
      <c r="Y23" s="6">
        <v>0.47</v>
      </c>
      <c r="Z23" s="4" t="s">
        <v>80</v>
      </c>
      <c r="AA23" t="s">
        <v>176</v>
      </c>
    </row>
    <row r="24" spans="1:27" hidden="1" x14ac:dyDescent="0.35">
      <c r="A24" t="str">
        <f>_xlfn.CONCAT(Tableau1[[#This Row],[Athletes]],"_",Tableau1[[#This Row],[Nationality]],"_",Tableau1[[#This Row],[Competition_year]])</f>
        <v>Wyclife KINYAMAL_KEN_2022</v>
      </c>
      <c r="B24" s="9" t="s">
        <v>174</v>
      </c>
      <c r="C24" s="9" t="s">
        <v>14</v>
      </c>
      <c r="D24" s="12" t="s">
        <v>15</v>
      </c>
      <c r="E24" s="9">
        <v>12.4</v>
      </c>
      <c r="F24" s="9">
        <v>12.1</v>
      </c>
      <c r="G24" s="9">
        <v>13.1</v>
      </c>
      <c r="H24" s="9">
        <v>13.1</v>
      </c>
      <c r="I24" s="9">
        <v>13.2</v>
      </c>
      <c r="J24" s="9">
        <v>13.3</v>
      </c>
      <c r="K24" s="9">
        <v>13.7</v>
      </c>
      <c r="L24">
        <f>Tableau1[[#This Row],[Final_time]]-SUM(Tableau1[[#This Row],[0_100m]:[600_700m]])</f>
        <v>13.589999999999989</v>
      </c>
      <c r="M24" s="9">
        <v>104.49</v>
      </c>
      <c r="N24">
        <f>SUM(Tableau1[[#This Row],[0_100m]:[700_800m]])</f>
        <v>104.49</v>
      </c>
      <c r="O24">
        <f>ABS(Tableau1[[#This Row],[Final_time]]-Tableau1[[#This Row],[Sum_time]])</f>
        <v>0</v>
      </c>
      <c r="P24" s="8"/>
      <c r="Q24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4" t="s">
        <v>341</v>
      </c>
      <c r="S24" s="1" t="s">
        <v>68</v>
      </c>
      <c r="U24" s="1" t="s">
        <v>69</v>
      </c>
      <c r="V24" s="1">
        <v>44806</v>
      </c>
      <c r="W24" s="4">
        <f>YEAR(Tableau1[[#This Row],[Competition_date]])</f>
        <v>2022</v>
      </c>
      <c r="X24" s="4">
        <v>23</v>
      </c>
      <c r="Y24" s="6">
        <v>0.47</v>
      </c>
      <c r="Z24" s="4" t="s">
        <v>80</v>
      </c>
      <c r="AA24" t="s">
        <v>176</v>
      </c>
    </row>
    <row r="25" spans="1:27" hidden="1" x14ac:dyDescent="0.35">
      <c r="A25" t="str">
        <f>_xlfn.CONCAT(Tableau1[[#This Row],[Athletes]],"_",Tableau1[[#This Row],[Nationality]],"_",Tableau1[[#This Row],[Competition_year]])</f>
        <v>Mariano GARCÍA_ESP_2022</v>
      </c>
      <c r="B25" s="9" t="s">
        <v>241</v>
      </c>
      <c r="C25" s="9" t="s">
        <v>14</v>
      </c>
      <c r="D25" s="12" t="s">
        <v>37</v>
      </c>
      <c r="E25" s="9">
        <v>12.3</v>
      </c>
      <c r="F25" s="9">
        <v>11.8</v>
      </c>
      <c r="G25" s="9">
        <v>12.9</v>
      </c>
      <c r="H25" s="9">
        <v>13.1</v>
      </c>
      <c r="I25" s="9">
        <v>13.4</v>
      </c>
      <c r="J25" s="9">
        <v>13.6</v>
      </c>
      <c r="K25" s="9">
        <v>13.6</v>
      </c>
      <c r="L25">
        <f>Tableau1[[#This Row],[Final_time]]-SUM(Tableau1[[#This Row],[0_100m]:[600_700m]])</f>
        <v>14.160000000000011</v>
      </c>
      <c r="M25" s="9">
        <v>104.86</v>
      </c>
      <c r="N25">
        <f>SUM(Tableau1[[#This Row],[0_100m]:[700_800m]])</f>
        <v>104.86</v>
      </c>
      <c r="O25">
        <f>ABS(Tableau1[[#This Row],[Final_time]]-Tableau1[[#This Row],[Sum_time]])</f>
        <v>0</v>
      </c>
      <c r="P25" s="8"/>
      <c r="Q25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5" t="s">
        <v>341</v>
      </c>
      <c r="S25" s="1" t="s">
        <v>68</v>
      </c>
      <c r="U25" s="1" t="s">
        <v>69</v>
      </c>
      <c r="V25" s="1">
        <v>44806</v>
      </c>
      <c r="W25" s="4">
        <f>YEAR(Tableau1[[#This Row],[Competition_date]])</f>
        <v>2022</v>
      </c>
      <c r="X25" s="4">
        <v>23</v>
      </c>
      <c r="Y25" s="6">
        <v>0.47</v>
      </c>
      <c r="Z25" s="4" t="s">
        <v>80</v>
      </c>
      <c r="AA25" t="s">
        <v>176</v>
      </c>
    </row>
    <row r="26" spans="1:27" hidden="1" x14ac:dyDescent="0.35">
      <c r="A26" t="str">
        <f>_xlfn.CONCAT(Tableau1[[#This Row],[Athletes]],"_",Tableau1[[#This Row],[Nationality]],"_",Tableau1[[#This Row],[Competition_year]])</f>
        <v>Ferguson Cheruiyot ROTICH_KEN_2022</v>
      </c>
      <c r="B26" s="9" t="s">
        <v>199</v>
      </c>
      <c r="C26" s="9" t="s">
        <v>14</v>
      </c>
      <c r="D26" s="12" t="s">
        <v>15</v>
      </c>
      <c r="E26" s="9">
        <v>12.6</v>
      </c>
      <c r="F26" s="9">
        <v>12.4</v>
      </c>
      <c r="G26" s="9">
        <v>13</v>
      </c>
      <c r="H26" s="9">
        <v>13.2</v>
      </c>
      <c r="I26" s="9">
        <v>13.2</v>
      </c>
      <c r="J26" s="9">
        <v>13.4</v>
      </c>
      <c r="K26" s="9">
        <v>13.6</v>
      </c>
      <c r="L26">
        <f>Tableau1[[#This Row],[Final_time]]-SUM(Tableau1[[#This Row],[0_100m]:[600_700m]])</f>
        <v>13.759999999999991</v>
      </c>
      <c r="M26" s="9">
        <v>105.16</v>
      </c>
      <c r="N26">
        <f>SUM(Tableau1[[#This Row],[0_100m]:[700_800m]])</f>
        <v>105.16</v>
      </c>
      <c r="O26">
        <f>ABS(Tableau1[[#This Row],[Final_time]]-Tableau1[[#This Row],[Sum_time]])</f>
        <v>0</v>
      </c>
      <c r="P26" s="8"/>
      <c r="Q26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6" t="s">
        <v>341</v>
      </c>
      <c r="S26" s="1" t="s">
        <v>68</v>
      </c>
      <c r="U26" s="1" t="s">
        <v>69</v>
      </c>
      <c r="V26" s="1">
        <v>44806</v>
      </c>
      <c r="W26" s="4">
        <f>YEAR(Tableau1[[#This Row],[Competition_date]])</f>
        <v>2022</v>
      </c>
      <c r="X26" s="4">
        <v>23</v>
      </c>
      <c r="Y26" s="6">
        <v>0.47</v>
      </c>
      <c r="Z26" s="4" t="s">
        <v>80</v>
      </c>
      <c r="AA26" t="s">
        <v>176</v>
      </c>
    </row>
    <row r="27" spans="1:27" hidden="1" x14ac:dyDescent="0.35">
      <c r="A27" t="str">
        <f>_xlfn.CONCAT(Tableau1[[#This Row],[Athletes]],"_",Tableau1[[#This Row],[Nationality]],"_",Tableau1[[#This Row],[Competition_year]])</f>
        <v>Collins KIPRUTO_KEN_2022</v>
      </c>
      <c r="B27" s="9" t="s">
        <v>340</v>
      </c>
      <c r="C27" s="9" t="s">
        <v>14</v>
      </c>
      <c r="D27" s="12" t="s">
        <v>15</v>
      </c>
      <c r="E27" s="9">
        <v>12.6</v>
      </c>
      <c r="F27" s="9">
        <v>11.4</v>
      </c>
      <c r="G27" s="9">
        <v>12.8</v>
      </c>
      <c r="H27" s="9">
        <v>13.1</v>
      </c>
      <c r="I27" s="9">
        <v>13.3</v>
      </c>
      <c r="J27" s="9">
        <v>13.6</v>
      </c>
      <c r="K27" s="9">
        <v>14.3</v>
      </c>
      <c r="L27">
        <f>Tableau1[[#This Row],[Final_time]]-SUM(Tableau1[[#This Row],[0_100m]:[600_700m]])</f>
        <v>14.510000000000005</v>
      </c>
      <c r="M27" s="9">
        <v>105.61</v>
      </c>
      <c r="N27">
        <f>SUM(Tableau1[[#This Row],[0_100m]:[700_800m]])</f>
        <v>105.61</v>
      </c>
      <c r="O27">
        <f>ABS(Tableau1[[#This Row],[Final_time]]-Tableau1[[#This Row],[Sum_time]])</f>
        <v>0</v>
      </c>
      <c r="P27" s="8"/>
      <c r="Q27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7" t="s">
        <v>341</v>
      </c>
      <c r="S27" s="1" t="s">
        <v>68</v>
      </c>
      <c r="U27" s="1" t="s">
        <v>69</v>
      </c>
      <c r="V27" s="1">
        <v>44806</v>
      </c>
      <c r="W27" s="4">
        <f>YEAR(Tableau1[[#This Row],[Competition_date]])</f>
        <v>2022</v>
      </c>
      <c r="X27" s="4">
        <v>23</v>
      </c>
      <c r="Y27" s="6">
        <v>0.47</v>
      </c>
      <c r="Z27" s="4" t="s">
        <v>80</v>
      </c>
      <c r="AA27" t="s">
        <v>176</v>
      </c>
    </row>
    <row r="28" spans="1:27" hidden="1" x14ac:dyDescent="0.35">
      <c r="A28" t="str">
        <f>_xlfn.CONCAT(Tableau1[[#This Row],[Athletes]],"_",Tableau1[[#This Row],[Nationality]],"_",Tableau1[[#This Row],[Competition_year]])</f>
        <v>Gabriel TUAL_FRA_2022</v>
      </c>
      <c r="B28" s="9" t="s">
        <v>180</v>
      </c>
      <c r="C28" s="9" t="s">
        <v>14</v>
      </c>
      <c r="D28" s="12" t="s">
        <v>17</v>
      </c>
      <c r="E28" s="9">
        <v>12.6</v>
      </c>
      <c r="F28" s="9">
        <v>12.1</v>
      </c>
      <c r="G28" s="9">
        <v>13.4</v>
      </c>
      <c r="H28" s="9">
        <v>13.4</v>
      </c>
      <c r="I28" s="9">
        <v>13.5</v>
      </c>
      <c r="J28" s="9">
        <v>13.3</v>
      </c>
      <c r="K28" s="9">
        <v>13.4</v>
      </c>
      <c r="L28">
        <f>Tableau1[[#This Row],[Final_time]]-SUM(Tableau1[[#This Row],[0_100m]:[600_700m]])</f>
        <v>13.939999999999998</v>
      </c>
      <c r="M28" s="9">
        <v>105.64</v>
      </c>
      <c r="N28">
        <f>SUM(Tableau1[[#This Row],[0_100m]:[700_800m]])</f>
        <v>105.64</v>
      </c>
      <c r="O28">
        <f>ABS(Tableau1[[#This Row],[Final_time]]-Tableau1[[#This Row],[Sum_time]])</f>
        <v>0</v>
      </c>
      <c r="P28" s="8"/>
      <c r="Q28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8" t="s">
        <v>341</v>
      </c>
      <c r="S28" s="1" t="s">
        <v>68</v>
      </c>
      <c r="U28" s="1" t="s">
        <v>69</v>
      </c>
      <c r="V28" s="1">
        <v>44806</v>
      </c>
      <c r="W28" s="4">
        <f>YEAR(Tableau1[[#This Row],[Competition_date]])</f>
        <v>2022</v>
      </c>
      <c r="X28" s="4">
        <v>23</v>
      </c>
      <c r="Y28" s="6">
        <v>0.47</v>
      </c>
      <c r="Z28" s="4" t="s">
        <v>80</v>
      </c>
      <c r="AA28" t="s">
        <v>176</v>
      </c>
    </row>
    <row r="29" spans="1:27" hidden="1" x14ac:dyDescent="0.35">
      <c r="A29" t="str">
        <f>_xlfn.CONCAT(Tableau1[[#This Row],[Athletes]],"_",Tableau1[[#This Row],[Nationality]],"_",Tableau1[[#This Row],[Competition_year]])</f>
        <v>Benjamin ROBERT_FRA_2022</v>
      </c>
      <c r="B29" s="9" t="s">
        <v>111</v>
      </c>
      <c r="C29" s="9" t="s">
        <v>14</v>
      </c>
      <c r="D29" s="12" t="s">
        <v>17</v>
      </c>
      <c r="E29" s="9">
        <v>12.6</v>
      </c>
      <c r="F29" s="9">
        <v>12.1</v>
      </c>
      <c r="G29" s="9">
        <v>13.2</v>
      </c>
      <c r="H29" s="9">
        <v>13.5</v>
      </c>
      <c r="I29" s="9">
        <v>13.5</v>
      </c>
      <c r="J29" s="9">
        <v>13.9</v>
      </c>
      <c r="K29" s="9">
        <v>14.2</v>
      </c>
      <c r="L29">
        <f>Tableau1[[#This Row],[Final_time]]-SUM(Tableau1[[#This Row],[0_100m]:[600_700m]])</f>
        <v>14.939999999999984</v>
      </c>
      <c r="M29" s="9">
        <v>107.94</v>
      </c>
      <c r="N29">
        <f>SUM(Tableau1[[#This Row],[0_100m]:[700_800m]])</f>
        <v>107.94</v>
      </c>
      <c r="O29">
        <f>ABS(Tableau1[[#This Row],[Final_time]]-Tableau1[[#This Row],[Sum_time]])</f>
        <v>0</v>
      </c>
      <c r="P29" s="8"/>
      <c r="Q29" s="16" t="str">
        <f>_xlfn.CONCAT(Tableau1[[#This Row],[Competition]],"_",Tableau1[[#This Row],[Championship_step]],"_",Tableau1[[#This Row],[Competition_date]],"_",Tableau1[[#This Row],[Gender]])</f>
        <v>Diamond League Brussels 2022__44806_Male</v>
      </c>
      <c r="R29" t="s">
        <v>341</v>
      </c>
      <c r="S29" s="1" t="s">
        <v>68</v>
      </c>
      <c r="U29" s="1" t="s">
        <v>69</v>
      </c>
      <c r="V29" s="1">
        <v>44806</v>
      </c>
      <c r="W29" s="4">
        <f>YEAR(Tableau1[[#This Row],[Competition_date]])</f>
        <v>2022</v>
      </c>
      <c r="X29" s="4">
        <v>23</v>
      </c>
      <c r="Y29" s="6">
        <v>0.47</v>
      </c>
      <c r="Z29" s="4" t="s">
        <v>80</v>
      </c>
      <c r="AA29" t="s">
        <v>176</v>
      </c>
    </row>
    <row r="30" spans="1:27" hidden="1" x14ac:dyDescent="0.35">
      <c r="A30" t="str">
        <f>_xlfn.CONCAT(Tableau1[[#This Row],[Athletes]],"_",Tableau1[[#This Row],[Nationality]],"_",Tableau1[[#This Row],[Competition_year]])</f>
        <v>Djamel SEDJATI_ALG_2023</v>
      </c>
      <c r="B30" t="s">
        <v>170</v>
      </c>
      <c r="C30" t="s">
        <v>14</v>
      </c>
      <c r="D30" s="18" t="s">
        <v>24</v>
      </c>
      <c r="E30">
        <v>12.9</v>
      </c>
      <c r="F30">
        <v>11.8</v>
      </c>
      <c r="G30">
        <v>13.2</v>
      </c>
      <c r="H30">
        <v>13</v>
      </c>
      <c r="I30">
        <v>13.4</v>
      </c>
      <c r="J30">
        <v>12.7</v>
      </c>
      <c r="K30">
        <v>13.2</v>
      </c>
      <c r="L30">
        <f>Tableau1[[#This Row],[Final_time]]-SUM(Tableau1[[#This Row],[0_100m]:[600_700m]])</f>
        <v>13.399999999999977</v>
      </c>
      <c r="M30">
        <v>103.6</v>
      </c>
      <c r="N30">
        <f>SUM(Tableau1[[#This Row],[0_100m]:[700_800m]])</f>
        <v>103.6</v>
      </c>
      <c r="O30">
        <f>ABS(Tableau1[[#This Row],[Final_time]]-Tableau1[[#This Row],[Sum_time]])</f>
        <v>0</v>
      </c>
      <c r="P30" s="8"/>
      <c r="Q30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0" t="s">
        <v>175</v>
      </c>
      <c r="S30" s="1" t="s">
        <v>68</v>
      </c>
      <c r="U30" s="1" t="s">
        <v>69</v>
      </c>
      <c r="V30" s="1">
        <v>45177</v>
      </c>
      <c r="W30" s="4">
        <f>YEAR(Tableau1[[#This Row],[Competition_date]])</f>
        <v>2023</v>
      </c>
      <c r="X30" s="4">
        <v>26</v>
      </c>
      <c r="Y30" s="6">
        <v>0.66</v>
      </c>
      <c r="Z30" s="4" t="s">
        <v>82</v>
      </c>
      <c r="AA30" t="s">
        <v>176</v>
      </c>
    </row>
    <row r="31" spans="1:27" hidden="1" x14ac:dyDescent="0.35">
      <c r="A31" t="str">
        <f>_xlfn.CONCAT(Tableau1[[#This Row],[Athletes]],"_",Tableau1[[#This Row],[Nationality]],"_",Tableau1[[#This Row],[Competition_year]])</f>
        <v>Yanis MEZIANE_FRA_2023</v>
      </c>
      <c r="B31" t="s">
        <v>171</v>
      </c>
      <c r="C31" t="s">
        <v>14</v>
      </c>
      <c r="D31" s="18" t="s">
        <v>17</v>
      </c>
      <c r="E31">
        <v>12.4</v>
      </c>
      <c r="F31">
        <v>11.7</v>
      </c>
      <c r="G31">
        <v>12.5</v>
      </c>
      <c r="H31">
        <v>12.9</v>
      </c>
      <c r="I31">
        <v>13.4</v>
      </c>
      <c r="J31">
        <v>13.6</v>
      </c>
      <c r="K31">
        <v>13.7</v>
      </c>
      <c r="L31">
        <f>Tableau1[[#This Row],[Final_time]]-SUM(Tableau1[[#This Row],[0_100m]:[600_700m]])</f>
        <v>13.739999999999995</v>
      </c>
      <c r="M31">
        <v>103.94</v>
      </c>
      <c r="N31">
        <f>SUM(Tableau1[[#This Row],[0_100m]:[700_800m]])</f>
        <v>103.94</v>
      </c>
      <c r="O31">
        <f>ABS(Tableau1[[#This Row],[Final_time]]-Tableau1[[#This Row],[Sum_time]])</f>
        <v>0</v>
      </c>
      <c r="P31" s="8"/>
      <c r="Q31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1" t="s">
        <v>175</v>
      </c>
      <c r="S31" s="1" t="s">
        <v>68</v>
      </c>
      <c r="U31" s="1" t="s">
        <v>69</v>
      </c>
      <c r="V31" s="1">
        <v>45177</v>
      </c>
      <c r="W31" s="4">
        <f>YEAR(Tableau1[[#This Row],[Competition_date]])</f>
        <v>2023</v>
      </c>
      <c r="X31" s="4">
        <v>26</v>
      </c>
      <c r="Y31" s="6">
        <v>0.66</v>
      </c>
      <c r="Z31" s="4" t="s">
        <v>82</v>
      </c>
      <c r="AA31" t="s">
        <v>176</v>
      </c>
    </row>
    <row r="32" spans="1:27" hidden="1" x14ac:dyDescent="0.35">
      <c r="A32" t="str">
        <f>_xlfn.CONCAT(Tableau1[[#This Row],[Athletes]],"_",Tableau1[[#This Row],[Nationality]],"_",Tableau1[[#This Row],[Competition_year]])</f>
        <v>Tshepiso MASALELA_BOT_2023</v>
      </c>
      <c r="B32" t="s">
        <v>107</v>
      </c>
      <c r="C32" t="s">
        <v>14</v>
      </c>
      <c r="D32" s="18" t="s">
        <v>44</v>
      </c>
      <c r="E32">
        <v>12.5</v>
      </c>
      <c r="F32">
        <v>12</v>
      </c>
      <c r="G32">
        <v>13</v>
      </c>
      <c r="H32">
        <v>13.2</v>
      </c>
      <c r="I32">
        <v>13.3</v>
      </c>
      <c r="J32">
        <v>13.3</v>
      </c>
      <c r="K32">
        <v>13.3</v>
      </c>
      <c r="L32">
        <f>Tableau1[[#This Row],[Final_time]]-SUM(Tableau1[[#This Row],[0_100m]:[600_700m]])</f>
        <v>13.430000000000007</v>
      </c>
      <c r="M32">
        <v>104.03</v>
      </c>
      <c r="N32">
        <f>SUM(Tableau1[[#This Row],[0_100m]:[700_800m]])</f>
        <v>104.03</v>
      </c>
      <c r="O32">
        <f>ABS(Tableau1[[#This Row],[Final_time]]-Tableau1[[#This Row],[Sum_time]])</f>
        <v>0</v>
      </c>
      <c r="P32" s="8"/>
      <c r="Q32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2" t="s">
        <v>175</v>
      </c>
      <c r="S32" s="1" t="s">
        <v>68</v>
      </c>
      <c r="U32" s="1" t="s">
        <v>69</v>
      </c>
      <c r="V32" s="1">
        <v>45177</v>
      </c>
      <c r="W32" s="4">
        <f>YEAR(Tableau1[[#This Row],[Competition_date]])</f>
        <v>2023</v>
      </c>
      <c r="X32" s="4">
        <v>26</v>
      </c>
      <c r="Y32" s="6">
        <v>0.66</v>
      </c>
      <c r="Z32" s="4" t="s">
        <v>82</v>
      </c>
      <c r="AA32" t="s">
        <v>176</v>
      </c>
    </row>
    <row r="33" spans="1:27" hidden="1" x14ac:dyDescent="0.35">
      <c r="A33" t="str">
        <f>_xlfn.CONCAT(Tableau1[[#This Row],[Athletes]],"_",Tableau1[[#This Row],[Nationality]],"_",Tableau1[[#This Row],[Competition_year]])</f>
        <v>Daniel ROWDEN_GBR_2023</v>
      </c>
      <c r="B33" t="s">
        <v>172</v>
      </c>
      <c r="C33" t="s">
        <v>14</v>
      </c>
      <c r="D33" s="18" t="s">
        <v>30</v>
      </c>
      <c r="E33">
        <v>12.5</v>
      </c>
      <c r="F33">
        <v>11.7</v>
      </c>
      <c r="G33">
        <v>12.8</v>
      </c>
      <c r="H33">
        <v>13.2</v>
      </c>
      <c r="I33">
        <v>13.4</v>
      </c>
      <c r="J33">
        <v>13.4</v>
      </c>
      <c r="K33">
        <v>13.6</v>
      </c>
      <c r="L33">
        <f>Tableau1[[#This Row],[Final_time]]-SUM(Tableau1[[#This Row],[0_100m]:[600_700m]])</f>
        <v>13.52000000000001</v>
      </c>
      <c r="M33">
        <v>104.12</v>
      </c>
      <c r="N33">
        <f>SUM(Tableau1[[#This Row],[0_100m]:[700_800m]])</f>
        <v>104.12</v>
      </c>
      <c r="O33">
        <f>ABS(Tableau1[[#This Row],[Final_time]]-Tableau1[[#This Row],[Sum_time]])</f>
        <v>0</v>
      </c>
      <c r="P33" s="8"/>
      <c r="Q33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3" t="s">
        <v>175</v>
      </c>
      <c r="S33" s="1" t="s">
        <v>68</v>
      </c>
      <c r="U33" s="1" t="s">
        <v>69</v>
      </c>
      <c r="V33" s="1">
        <v>45177</v>
      </c>
      <c r="W33" s="4">
        <f>YEAR(Tableau1[[#This Row],[Competition_date]])</f>
        <v>2023</v>
      </c>
      <c r="X33" s="4">
        <v>26</v>
      </c>
      <c r="Y33" s="6">
        <v>0.66</v>
      </c>
      <c r="Z33" s="4" t="s">
        <v>82</v>
      </c>
      <c r="AA33" t="s">
        <v>176</v>
      </c>
    </row>
    <row r="34" spans="1:27" hidden="1" x14ac:dyDescent="0.35">
      <c r="A34" t="str">
        <f>_xlfn.CONCAT(Tableau1[[#This Row],[Athletes]],"_",Tableau1[[#This Row],[Nationality]],"_",Tableau1[[#This Row],[Competition_year]])</f>
        <v>Ben PATTISON_GBR_2023</v>
      </c>
      <c r="B34" t="s">
        <v>108</v>
      </c>
      <c r="C34" t="s">
        <v>14</v>
      </c>
      <c r="D34" s="18" t="s">
        <v>30</v>
      </c>
      <c r="E34">
        <v>12.6</v>
      </c>
      <c r="F34">
        <v>12</v>
      </c>
      <c r="G34">
        <v>13.1</v>
      </c>
      <c r="H34">
        <v>13.4</v>
      </c>
      <c r="I34">
        <v>13.5</v>
      </c>
      <c r="J34">
        <v>13.3</v>
      </c>
      <c r="K34">
        <v>13.5</v>
      </c>
      <c r="L34">
        <f>Tableau1[[#This Row],[Final_time]]-SUM(Tableau1[[#This Row],[0_100m]:[600_700m]])</f>
        <v>12.920000000000002</v>
      </c>
      <c r="M34">
        <v>104.32</v>
      </c>
      <c r="N34">
        <f>SUM(Tableau1[[#This Row],[0_100m]:[700_800m]])</f>
        <v>104.32</v>
      </c>
      <c r="O34">
        <f>ABS(Tableau1[[#This Row],[Final_time]]-Tableau1[[#This Row],[Sum_time]])</f>
        <v>0</v>
      </c>
      <c r="P34" s="8"/>
      <c r="Q34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4" t="s">
        <v>175</v>
      </c>
      <c r="S34" s="1" t="s">
        <v>68</v>
      </c>
      <c r="U34" s="1" t="s">
        <v>69</v>
      </c>
      <c r="V34" s="1">
        <v>45177</v>
      </c>
      <c r="W34" s="4">
        <f>YEAR(Tableau1[[#This Row],[Competition_date]])</f>
        <v>2023</v>
      </c>
      <c r="X34" s="4">
        <v>26</v>
      </c>
      <c r="Y34" s="6">
        <v>0.66</v>
      </c>
      <c r="Z34" s="4" t="s">
        <v>82</v>
      </c>
      <c r="AA34" t="s">
        <v>176</v>
      </c>
    </row>
    <row r="35" spans="1:27" hidden="1" x14ac:dyDescent="0.35">
      <c r="A35" t="str">
        <f>_xlfn.CONCAT(Tableau1[[#This Row],[Athletes]],"_",Tableau1[[#This Row],[Nationality]],"_",Tableau1[[#This Row],[Competition_year]])</f>
        <v>Bryce HOPPEL_USA_2023</v>
      </c>
      <c r="B35" t="s">
        <v>173</v>
      </c>
      <c r="C35" t="s">
        <v>14</v>
      </c>
      <c r="D35" s="18" t="s">
        <v>35</v>
      </c>
      <c r="E35">
        <v>12.5</v>
      </c>
      <c r="F35">
        <v>12</v>
      </c>
      <c r="G35">
        <v>12.8</v>
      </c>
      <c r="H35">
        <v>13.4</v>
      </c>
      <c r="I35">
        <v>13.5</v>
      </c>
      <c r="J35">
        <v>13.5</v>
      </c>
      <c r="K35">
        <v>13.4</v>
      </c>
      <c r="L35">
        <f>Tableau1[[#This Row],[Final_time]]-SUM(Tableau1[[#This Row],[0_100m]:[600_700m]])</f>
        <v>13.27000000000001</v>
      </c>
      <c r="M35">
        <v>104.37</v>
      </c>
      <c r="N35">
        <f>SUM(Tableau1[[#This Row],[0_100m]:[700_800m]])</f>
        <v>104.37</v>
      </c>
      <c r="O35">
        <f>ABS(Tableau1[[#This Row],[Final_time]]-Tableau1[[#This Row],[Sum_time]])</f>
        <v>0</v>
      </c>
      <c r="P35" s="8"/>
      <c r="Q35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5" t="s">
        <v>175</v>
      </c>
      <c r="S35" s="1" t="s">
        <v>68</v>
      </c>
      <c r="U35" s="1" t="s">
        <v>69</v>
      </c>
      <c r="V35" s="1">
        <v>45177</v>
      </c>
      <c r="W35" s="4">
        <f>YEAR(Tableau1[[#This Row],[Competition_date]])</f>
        <v>2023</v>
      </c>
      <c r="X35" s="4">
        <v>26</v>
      </c>
      <c r="Y35" s="6">
        <v>0.66</v>
      </c>
      <c r="Z35" s="4" t="s">
        <v>82</v>
      </c>
      <c r="AA35" t="s">
        <v>176</v>
      </c>
    </row>
    <row r="36" spans="1:27" hidden="1" x14ac:dyDescent="0.35">
      <c r="A36" t="str">
        <f>_xlfn.CONCAT(Tableau1[[#This Row],[Athletes]],"_",Tableau1[[#This Row],[Nationality]],"_",Tableau1[[#This Row],[Competition_year]])</f>
        <v>Wyclife KINYAMAL_KEN_2023</v>
      </c>
      <c r="B36" t="s">
        <v>174</v>
      </c>
      <c r="C36" t="s">
        <v>14</v>
      </c>
      <c r="D36" s="18" t="s">
        <v>15</v>
      </c>
      <c r="E36">
        <v>12.5</v>
      </c>
      <c r="F36">
        <v>11.7</v>
      </c>
      <c r="G36">
        <v>12.6</v>
      </c>
      <c r="H36">
        <v>13.2</v>
      </c>
      <c r="I36">
        <v>13.3</v>
      </c>
      <c r="J36">
        <v>13.5</v>
      </c>
      <c r="K36">
        <v>13.6</v>
      </c>
      <c r="L36">
        <f>Tableau1[[#This Row],[Final_time]]-SUM(Tableau1[[#This Row],[0_100m]:[600_700m]])</f>
        <v>13.980000000000004</v>
      </c>
      <c r="M36">
        <v>104.38</v>
      </c>
      <c r="N36">
        <f>SUM(Tableau1[[#This Row],[0_100m]:[700_800m]])</f>
        <v>104.38</v>
      </c>
      <c r="O36">
        <f>ABS(Tableau1[[#This Row],[Final_time]]-Tableau1[[#This Row],[Sum_time]])</f>
        <v>0</v>
      </c>
      <c r="P36" s="8"/>
      <c r="Q36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6" t="s">
        <v>175</v>
      </c>
      <c r="S36" s="1" t="s">
        <v>68</v>
      </c>
      <c r="U36" s="1" t="s">
        <v>69</v>
      </c>
      <c r="V36" s="1">
        <v>45177</v>
      </c>
      <c r="W36" s="4">
        <f>YEAR(Tableau1[[#This Row],[Competition_date]])</f>
        <v>2023</v>
      </c>
      <c r="X36" s="4">
        <v>26</v>
      </c>
      <c r="Y36" s="6">
        <v>0.66</v>
      </c>
      <c r="Z36" s="4" t="s">
        <v>82</v>
      </c>
      <c r="AA36" t="s">
        <v>176</v>
      </c>
    </row>
    <row r="37" spans="1:27" hidden="1" x14ac:dyDescent="0.35">
      <c r="A37" t="str">
        <f>_xlfn.CONCAT(Tableau1[[#This Row],[Athletes]],"_",Tableau1[[#This Row],[Nationality]],"_",Tableau1[[#This Row],[Competition_year]])</f>
        <v>Saúl ORDÓÑEZ_ESP_2023</v>
      </c>
      <c r="B37" t="s">
        <v>178</v>
      </c>
      <c r="C37" t="s">
        <v>14</v>
      </c>
      <c r="D37" s="18" t="s">
        <v>37</v>
      </c>
      <c r="E37">
        <v>12.8</v>
      </c>
      <c r="F37">
        <v>11.6</v>
      </c>
      <c r="G37">
        <v>12.9</v>
      </c>
      <c r="H37">
        <v>13.2</v>
      </c>
      <c r="I37">
        <v>13.3</v>
      </c>
      <c r="J37">
        <v>13.4</v>
      </c>
      <c r="K37">
        <v>13.6</v>
      </c>
      <c r="L37">
        <f>Tableau1[[#This Row],[Final_time]]-SUM(Tableau1[[#This Row],[0_100m]:[600_700m]])</f>
        <v>14.040000000000006</v>
      </c>
      <c r="M37">
        <v>104.84</v>
      </c>
      <c r="N37">
        <f>SUM(Tableau1[[#This Row],[0_100m]:[700_800m]])</f>
        <v>104.84</v>
      </c>
      <c r="O37">
        <f>ABS(Tableau1[[#This Row],[Final_time]]-Tableau1[[#This Row],[Sum_time]])</f>
        <v>0</v>
      </c>
      <c r="P37" s="8"/>
      <c r="Q37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7" t="s">
        <v>175</v>
      </c>
      <c r="S37" s="1" t="s">
        <v>68</v>
      </c>
      <c r="U37" s="1" t="s">
        <v>69</v>
      </c>
      <c r="V37" s="1">
        <v>45177</v>
      </c>
      <c r="W37" s="4">
        <f>YEAR(Tableau1[[#This Row],[Competition_date]])</f>
        <v>2023</v>
      </c>
      <c r="X37" s="4">
        <v>26</v>
      </c>
      <c r="Y37" s="6">
        <v>0.66</v>
      </c>
      <c r="Z37" s="4" t="s">
        <v>82</v>
      </c>
      <c r="AA37" t="s">
        <v>176</v>
      </c>
    </row>
    <row r="38" spans="1:27" hidden="1" x14ac:dyDescent="0.35">
      <c r="A38" t="str">
        <f>_xlfn.CONCAT(Tableau1[[#This Row],[Athletes]],"_",Tableau1[[#This Row],[Nationality]],"_",Tableau1[[#This Row],[Competition_year]])</f>
        <v>Slimane MOULA_ALG_2023</v>
      </c>
      <c r="B38" t="s">
        <v>103</v>
      </c>
      <c r="C38" t="s">
        <v>14</v>
      </c>
      <c r="D38" s="18" t="s">
        <v>24</v>
      </c>
      <c r="E38">
        <v>12.5</v>
      </c>
      <c r="F38">
        <v>11.8</v>
      </c>
      <c r="G38">
        <v>12.9</v>
      </c>
      <c r="H38">
        <v>13.2</v>
      </c>
      <c r="I38">
        <v>13.4</v>
      </c>
      <c r="J38">
        <v>13.6</v>
      </c>
      <c r="K38">
        <v>13.9</v>
      </c>
      <c r="L38">
        <f>Tableau1[[#This Row],[Final_time]]-SUM(Tableau1[[#This Row],[0_100m]:[600_700m]])</f>
        <v>14.499999999999986</v>
      </c>
      <c r="M38">
        <v>105.8</v>
      </c>
      <c r="N38">
        <f>SUM(Tableau1[[#This Row],[0_100m]:[700_800m]])</f>
        <v>105.8</v>
      </c>
      <c r="O38">
        <f>ABS(Tableau1[[#This Row],[Final_time]]-Tableau1[[#This Row],[Sum_time]])</f>
        <v>0</v>
      </c>
      <c r="P38" s="8"/>
      <c r="Q38" s="16" t="str">
        <f>_xlfn.CONCAT(Tableau1[[#This Row],[Competition]],"_",Tableau1[[#This Row],[Championship_step]],"_",Tableau1[[#This Row],[Competition_date]],"_",Tableau1[[#This Row],[Gender]])</f>
        <v>Diamond League Brussels 2023__45177_Male</v>
      </c>
      <c r="R38" t="s">
        <v>175</v>
      </c>
      <c r="S38" s="1" t="s">
        <v>68</v>
      </c>
      <c r="U38" s="1" t="s">
        <v>69</v>
      </c>
      <c r="V38" s="1">
        <v>45177</v>
      </c>
      <c r="W38" s="4">
        <f>YEAR(Tableau1[[#This Row],[Competition_date]])</f>
        <v>2023</v>
      </c>
      <c r="X38" s="4">
        <v>26</v>
      </c>
      <c r="Y38" s="6">
        <v>0.66</v>
      </c>
      <c r="Z38" s="4" t="s">
        <v>82</v>
      </c>
      <c r="AA38" t="s">
        <v>176</v>
      </c>
    </row>
    <row r="39" spans="1:27" hidden="1" x14ac:dyDescent="0.35">
      <c r="A39" t="str">
        <f>_xlfn.CONCAT(Tableau1[[#This Row],[Athletes]],"_",Tableau1[[#This Row],[Nationality]],"_",Tableau1[[#This Row],[Competition_year]])</f>
        <v>Mary MORAA_KEN_2024</v>
      </c>
      <c r="B39" t="s">
        <v>228</v>
      </c>
      <c r="C39" t="s">
        <v>29</v>
      </c>
      <c r="D39" s="18" t="s">
        <v>15</v>
      </c>
      <c r="E39">
        <v>13.7</v>
      </c>
      <c r="F39">
        <v>13.5</v>
      </c>
      <c r="G39">
        <v>14.6</v>
      </c>
      <c r="H39">
        <v>15.1</v>
      </c>
      <c r="I39">
        <v>15.5</v>
      </c>
      <c r="J39">
        <v>15.1</v>
      </c>
      <c r="K39">
        <v>14.5</v>
      </c>
      <c r="L39">
        <f>Tableau1[[#This Row],[Final_time]]-SUM(Tableau1[[#This Row],[0_100m]:[600_700m]])</f>
        <v>14.560000000000002</v>
      </c>
      <c r="M39">
        <v>116.56</v>
      </c>
      <c r="N39">
        <f>SUM(Tableau1[[#This Row],[0_100m]:[700_800m]])</f>
        <v>116.56</v>
      </c>
      <c r="O39">
        <f>ABS(Tableau1[[#This Row],[Final_time]]-Tableau1[[#This Row],[Sum_time]])</f>
        <v>0</v>
      </c>
      <c r="P39" s="8"/>
      <c r="Q39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39" t="s">
        <v>93</v>
      </c>
      <c r="S39" s="1" t="s">
        <v>68</v>
      </c>
      <c r="U39" s="1" t="s">
        <v>69</v>
      </c>
      <c r="V39" s="1">
        <v>45548</v>
      </c>
      <c r="W39" s="4">
        <f>YEAR(Tableau1[[#This Row],[Competition_date]])</f>
        <v>2024</v>
      </c>
      <c r="X39" s="4">
        <v>12</v>
      </c>
      <c r="Y39" s="6">
        <v>0.81</v>
      </c>
      <c r="Z39" s="4" t="s">
        <v>80</v>
      </c>
      <c r="AA39" t="s">
        <v>95</v>
      </c>
    </row>
    <row r="40" spans="1:27" hidden="1" x14ac:dyDescent="0.35">
      <c r="A40" t="str">
        <f>_xlfn.CONCAT(Tableau1[[#This Row],[Athletes]],"_",Tableau1[[#This Row],[Nationality]],"_",Tableau1[[#This Row],[Competition_year]])</f>
        <v>Georgia HUNTER BELL_GBR_2024</v>
      </c>
      <c r="B40" t="s">
        <v>1351</v>
      </c>
      <c r="C40" t="s">
        <v>29</v>
      </c>
      <c r="D40" s="18" t="s">
        <v>30</v>
      </c>
      <c r="E40">
        <v>14.1</v>
      </c>
      <c r="F40">
        <v>13.6</v>
      </c>
      <c r="G40">
        <v>14.9</v>
      </c>
      <c r="H40">
        <v>14.8</v>
      </c>
      <c r="I40">
        <v>15.3</v>
      </c>
      <c r="J40">
        <v>14.8</v>
      </c>
      <c r="K40">
        <v>14.6</v>
      </c>
      <c r="L40">
        <f>Tableau1[[#This Row],[Final_time]]-SUM(Tableau1[[#This Row],[0_100m]:[600_700m]])</f>
        <v>15.400000000000006</v>
      </c>
      <c r="M40">
        <v>117.5</v>
      </c>
      <c r="N40">
        <f>SUM(Tableau1[[#This Row],[0_100m]:[700_800m]])</f>
        <v>117.5</v>
      </c>
      <c r="O40">
        <f>ABS(Tableau1[[#This Row],[Final_time]]-Tableau1[[#This Row],[Sum_time]])</f>
        <v>0</v>
      </c>
      <c r="P40" s="8"/>
      <c r="Q40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0" t="s">
        <v>93</v>
      </c>
      <c r="S40" s="1" t="s">
        <v>68</v>
      </c>
      <c r="U40" s="1" t="s">
        <v>69</v>
      </c>
      <c r="V40" s="1">
        <v>45548</v>
      </c>
      <c r="W40" s="4">
        <f>YEAR(Tableau1[[#This Row],[Competition_date]])</f>
        <v>2024</v>
      </c>
      <c r="X40" s="4">
        <v>12</v>
      </c>
      <c r="Y40" s="6">
        <v>0.81</v>
      </c>
      <c r="Z40" s="4" t="s">
        <v>80</v>
      </c>
      <c r="AA40" t="s">
        <v>95</v>
      </c>
    </row>
    <row r="41" spans="1:27" hidden="1" x14ac:dyDescent="0.35">
      <c r="A41" t="str">
        <f>_xlfn.CONCAT(Tableau1[[#This Row],[Athletes]],"_",Tableau1[[#This Row],[Nationality]],"_",Tableau1[[#This Row],[Competition_year]])</f>
        <v>Rénelle LAMOTE_FRA_2024</v>
      </c>
      <c r="B41" t="s">
        <v>225</v>
      </c>
      <c r="C41" t="s">
        <v>29</v>
      </c>
      <c r="D41" s="18" t="s">
        <v>17</v>
      </c>
      <c r="E41">
        <v>13.9</v>
      </c>
      <c r="F41">
        <v>13.7</v>
      </c>
      <c r="G41">
        <v>14.8</v>
      </c>
      <c r="H41">
        <v>15.2</v>
      </c>
      <c r="I41">
        <v>15.6</v>
      </c>
      <c r="J41">
        <v>15.4</v>
      </c>
      <c r="K41">
        <v>15.3</v>
      </c>
      <c r="L41">
        <f>Tableau1[[#This Row],[Final_time]]-SUM(Tableau1[[#This Row],[0_100m]:[600_700m]])</f>
        <v>15.039999999999992</v>
      </c>
      <c r="M41">
        <v>118.94</v>
      </c>
      <c r="N41">
        <f>SUM(Tableau1[[#This Row],[0_100m]:[700_800m]])</f>
        <v>118.94</v>
      </c>
      <c r="O41">
        <f>ABS(Tableau1[[#This Row],[Final_time]]-Tableau1[[#This Row],[Sum_time]])</f>
        <v>0</v>
      </c>
      <c r="P41" s="8"/>
      <c r="Q41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1" t="s">
        <v>93</v>
      </c>
      <c r="S41" s="1" t="s">
        <v>68</v>
      </c>
      <c r="U41" s="1" t="s">
        <v>69</v>
      </c>
      <c r="V41" s="1">
        <v>45548</v>
      </c>
      <c r="W41" s="4">
        <f>YEAR(Tableau1[[#This Row],[Competition_date]])</f>
        <v>2024</v>
      </c>
      <c r="X41" s="4">
        <v>12</v>
      </c>
      <c r="Y41" s="6">
        <v>0.81</v>
      </c>
      <c r="Z41" s="4" t="s">
        <v>80</v>
      </c>
      <c r="AA41" t="s">
        <v>95</v>
      </c>
    </row>
    <row r="42" spans="1:27" hidden="1" x14ac:dyDescent="0.35">
      <c r="A42" t="str">
        <f>_xlfn.CONCAT(Tableau1[[#This Row],[Athletes]],"_",Tableau1[[#This Row],[Nationality]],"_",Tableau1[[#This Row],[Competition_year]])</f>
        <v>Natoya GOULE-TOPPIN_JAM_2024</v>
      </c>
      <c r="B42" t="s">
        <v>222</v>
      </c>
      <c r="C42" t="s">
        <v>29</v>
      </c>
      <c r="D42" s="18" t="s">
        <v>33</v>
      </c>
      <c r="E42">
        <v>13.7</v>
      </c>
      <c r="F42">
        <v>13.6</v>
      </c>
      <c r="G42">
        <v>14.7</v>
      </c>
      <c r="H42">
        <v>15.1</v>
      </c>
      <c r="I42">
        <v>15.3</v>
      </c>
      <c r="J42">
        <v>15.4</v>
      </c>
      <c r="K42">
        <v>15.4</v>
      </c>
      <c r="L42">
        <f>Tableau1[[#This Row],[Final_time]]-SUM(Tableau1[[#This Row],[0_100m]:[600_700m]])</f>
        <v>15.739999999999981</v>
      </c>
      <c r="M42">
        <v>118.94</v>
      </c>
      <c r="N42">
        <f>SUM(Tableau1[[#This Row],[0_100m]:[700_800m]])</f>
        <v>118.94</v>
      </c>
      <c r="O42">
        <f>ABS(Tableau1[[#This Row],[Final_time]]-Tableau1[[#This Row],[Sum_time]])</f>
        <v>0</v>
      </c>
      <c r="P42" s="8"/>
      <c r="Q42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2" t="s">
        <v>93</v>
      </c>
      <c r="S42" s="1" t="s">
        <v>68</v>
      </c>
      <c r="U42" s="1" t="s">
        <v>69</v>
      </c>
      <c r="V42" s="1">
        <v>45548</v>
      </c>
      <c r="W42" s="4">
        <f>YEAR(Tableau1[[#This Row],[Competition_date]])</f>
        <v>2024</v>
      </c>
      <c r="X42" s="4">
        <v>12</v>
      </c>
      <c r="Y42" s="6">
        <v>0.81</v>
      </c>
      <c r="Z42" s="4" t="s">
        <v>80</v>
      </c>
      <c r="AA42" t="s">
        <v>95</v>
      </c>
    </row>
    <row r="43" spans="1:27" hidden="1" x14ac:dyDescent="0.35">
      <c r="A43" t="str">
        <f>_xlfn.CONCAT(Tableau1[[#This Row],[Athletes]],"_",Tableau1[[#This Row],[Nationality]],"_",Tableau1[[#This Row],[Competition_year]])</f>
        <v>Jemma REEKIE_GBR_2024</v>
      </c>
      <c r="B43" t="s">
        <v>220</v>
      </c>
      <c r="C43" t="s">
        <v>29</v>
      </c>
      <c r="D43" s="18" t="s">
        <v>30</v>
      </c>
      <c r="E43">
        <v>13.9</v>
      </c>
      <c r="F43">
        <v>13.6</v>
      </c>
      <c r="G43">
        <v>14.9</v>
      </c>
      <c r="H43">
        <v>14.9</v>
      </c>
      <c r="I43">
        <v>15.3</v>
      </c>
      <c r="J43">
        <v>15.2</v>
      </c>
      <c r="K43">
        <v>15.1</v>
      </c>
      <c r="L43">
        <f>Tableau1[[#This Row],[Final_time]]-SUM(Tableau1[[#This Row],[0_100m]:[600_700m]])</f>
        <v>16.230000000000004</v>
      </c>
      <c r="M43">
        <v>119.13</v>
      </c>
      <c r="N43">
        <f>SUM(Tableau1[[#This Row],[0_100m]:[700_800m]])</f>
        <v>119.13</v>
      </c>
      <c r="O43">
        <f>ABS(Tableau1[[#This Row],[Final_time]]-Tableau1[[#This Row],[Sum_time]])</f>
        <v>0</v>
      </c>
      <c r="P43" s="8"/>
      <c r="Q43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3" t="s">
        <v>93</v>
      </c>
      <c r="S43" s="1" t="s">
        <v>68</v>
      </c>
      <c r="U43" s="1" t="s">
        <v>69</v>
      </c>
      <c r="V43" s="1">
        <v>45548</v>
      </c>
      <c r="W43" s="4">
        <f>YEAR(Tableau1[[#This Row],[Competition_date]])</f>
        <v>2024</v>
      </c>
      <c r="X43" s="4">
        <v>12</v>
      </c>
      <c r="Y43" s="6">
        <v>0.81</v>
      </c>
      <c r="Z43" s="4" t="s">
        <v>80</v>
      </c>
      <c r="AA43" t="s">
        <v>95</v>
      </c>
    </row>
    <row r="44" spans="1:27" hidden="1" x14ac:dyDescent="0.35">
      <c r="A44" t="str">
        <f>_xlfn.CONCAT(Tableau1[[#This Row],[Athletes]],"_",Tableau1[[#This Row],[Nationality]],"_",Tableau1[[#This Row],[Competition_year]])</f>
        <v>Habitam ALEMU_ETH_2024</v>
      </c>
      <c r="B44" t="s">
        <v>223</v>
      </c>
      <c r="C44" t="s">
        <v>29</v>
      </c>
      <c r="D44" s="18" t="s">
        <v>49</v>
      </c>
      <c r="E44">
        <v>14</v>
      </c>
      <c r="F44">
        <v>14</v>
      </c>
      <c r="G44">
        <v>14.9</v>
      </c>
      <c r="H44">
        <v>14.8</v>
      </c>
      <c r="I44">
        <v>15.4</v>
      </c>
      <c r="J44">
        <v>15.3</v>
      </c>
      <c r="K44">
        <v>15.5</v>
      </c>
      <c r="L44">
        <f>Tableau1[[#This Row],[Final_time]]-SUM(Tableau1[[#This Row],[0_100m]:[600_700m]])</f>
        <v>15.909999999999997</v>
      </c>
      <c r="M44">
        <v>119.81</v>
      </c>
      <c r="N44">
        <f>SUM(Tableau1[[#This Row],[0_100m]:[700_800m]])</f>
        <v>119.81</v>
      </c>
      <c r="O44">
        <f>ABS(Tableau1[[#This Row],[Final_time]]-Tableau1[[#This Row],[Sum_time]])</f>
        <v>0</v>
      </c>
      <c r="P44" s="8"/>
      <c r="Q44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4" t="s">
        <v>93</v>
      </c>
      <c r="S44" s="1" t="s">
        <v>68</v>
      </c>
      <c r="U44" s="1" t="s">
        <v>69</v>
      </c>
      <c r="V44" s="1">
        <v>45548</v>
      </c>
      <c r="W44" s="4">
        <f>YEAR(Tableau1[[#This Row],[Competition_date]])</f>
        <v>2024</v>
      </c>
      <c r="X44" s="4">
        <v>12</v>
      </c>
      <c r="Y44" s="6">
        <v>0.81</v>
      </c>
      <c r="Z44" s="4" t="s">
        <v>80</v>
      </c>
      <c r="AA44" t="s">
        <v>95</v>
      </c>
    </row>
    <row r="45" spans="1:27" hidden="1" x14ac:dyDescent="0.35">
      <c r="A45" t="str">
        <f>_xlfn.CONCAT(Tableau1[[#This Row],[Athletes]],"_",Tableau1[[#This Row],[Nationality]],"_",Tableau1[[#This Row],[Competition_year]])</f>
        <v>Halimah NAKAAYI_UGA_2024</v>
      </c>
      <c r="B45" t="s">
        <v>230</v>
      </c>
      <c r="C45" t="s">
        <v>29</v>
      </c>
      <c r="D45" s="18" t="s">
        <v>34</v>
      </c>
      <c r="E45">
        <v>14.1</v>
      </c>
      <c r="F45">
        <v>13.7</v>
      </c>
      <c r="G45">
        <v>15</v>
      </c>
      <c r="H45">
        <v>14.7</v>
      </c>
      <c r="I45">
        <v>15.5</v>
      </c>
      <c r="J45">
        <v>15.3</v>
      </c>
      <c r="K45">
        <v>15.3</v>
      </c>
      <c r="L45">
        <f>Tableau1[[#This Row],[Final_time]]-SUM(Tableau1[[#This Row],[0_100m]:[600_700m]])</f>
        <v>16.27000000000001</v>
      </c>
      <c r="M45">
        <v>119.87</v>
      </c>
      <c r="N45">
        <f>SUM(Tableau1[[#This Row],[0_100m]:[700_800m]])</f>
        <v>119.87</v>
      </c>
      <c r="O45">
        <f>ABS(Tableau1[[#This Row],[Final_time]]-Tableau1[[#This Row],[Sum_time]])</f>
        <v>0</v>
      </c>
      <c r="P45" s="8"/>
      <c r="Q45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5" t="s">
        <v>93</v>
      </c>
      <c r="S45" s="1" t="s">
        <v>68</v>
      </c>
      <c r="U45" s="1" t="s">
        <v>69</v>
      </c>
      <c r="V45" s="1">
        <v>45548</v>
      </c>
      <c r="W45" s="4">
        <f>YEAR(Tableau1[[#This Row],[Competition_date]])</f>
        <v>2024</v>
      </c>
      <c r="X45" s="4">
        <v>12</v>
      </c>
      <c r="Y45" s="6">
        <v>0.81</v>
      </c>
      <c r="Z45" s="4" t="s">
        <v>80</v>
      </c>
      <c r="AA45" t="s">
        <v>95</v>
      </c>
    </row>
    <row r="46" spans="1:27" hidden="1" x14ac:dyDescent="0.35">
      <c r="A46" t="str">
        <f>_xlfn.CONCAT(Tableau1[[#This Row],[Athletes]],"_",Tableau1[[#This Row],[Nationality]],"_",Tableau1[[#This Row],[Competition_year]])</f>
        <v>Prudence SEKGODISO_RSA_2024</v>
      </c>
      <c r="B46" t="s">
        <v>235</v>
      </c>
      <c r="C46" t="s">
        <v>29</v>
      </c>
      <c r="D46" s="18" t="s">
        <v>96</v>
      </c>
      <c r="E46">
        <v>13.7</v>
      </c>
      <c r="F46">
        <v>13.7</v>
      </c>
      <c r="G46">
        <v>14.8</v>
      </c>
      <c r="H46">
        <v>15.1</v>
      </c>
      <c r="I46">
        <v>15.5</v>
      </c>
      <c r="J46">
        <v>15.7</v>
      </c>
      <c r="K46">
        <v>16.5</v>
      </c>
      <c r="L46">
        <f>Tableau1[[#This Row],[Final_time]]-SUM(Tableau1[[#This Row],[0_100m]:[600_700m]])</f>
        <v>18.159999999999982</v>
      </c>
      <c r="M46">
        <v>123.16</v>
      </c>
      <c r="N46">
        <f>SUM(Tableau1[[#This Row],[0_100m]:[700_800m]])</f>
        <v>123.16</v>
      </c>
      <c r="O46">
        <f>ABS(Tableau1[[#This Row],[Final_time]]-Tableau1[[#This Row],[Sum_time]])</f>
        <v>0</v>
      </c>
      <c r="P46" s="8"/>
      <c r="Q46" s="16" t="str">
        <f>_xlfn.CONCAT(Tableau1[[#This Row],[Competition]],"_",Tableau1[[#This Row],[Championship_step]],"_",Tableau1[[#This Row],[Competition_date]],"_",Tableau1[[#This Row],[Gender]])</f>
        <v>Diamond League Brussels 2024__45548_Female</v>
      </c>
      <c r="R46" t="s">
        <v>93</v>
      </c>
      <c r="S46" s="1" t="s">
        <v>68</v>
      </c>
      <c r="U46" s="1" t="s">
        <v>69</v>
      </c>
      <c r="V46" s="1">
        <v>45548</v>
      </c>
      <c r="W46" s="4">
        <f>YEAR(Tableau1[[#This Row],[Competition_date]])</f>
        <v>2024</v>
      </c>
      <c r="X46" s="4">
        <v>12</v>
      </c>
      <c r="Y46" s="6">
        <v>0.81</v>
      </c>
      <c r="Z46" s="4" t="s">
        <v>80</v>
      </c>
      <c r="AA46" t="s">
        <v>95</v>
      </c>
    </row>
    <row r="47" spans="1:27" hidden="1" x14ac:dyDescent="0.35">
      <c r="A47" t="str">
        <f>_xlfn.CONCAT(Tableau1[[#This Row],[Athletes]],"_",Tableau1[[#This Row],[Nationality]],"_",Tableau1[[#This Row],[Competition_year]])</f>
        <v>Emmanuel WANYONYI_KEN_2024</v>
      </c>
      <c r="B47" t="s">
        <v>183</v>
      </c>
      <c r="C47" t="s">
        <v>14</v>
      </c>
      <c r="D47" s="18" t="s">
        <v>15</v>
      </c>
      <c r="E47">
        <v>12.5</v>
      </c>
      <c r="F47">
        <v>11.5</v>
      </c>
      <c r="G47">
        <v>12.8</v>
      </c>
      <c r="H47">
        <v>13</v>
      </c>
      <c r="I47">
        <v>13.2</v>
      </c>
      <c r="J47">
        <v>13.2</v>
      </c>
      <c r="K47">
        <v>13.3</v>
      </c>
      <c r="L47">
        <f>Tableau1[[#This Row],[Final_time]]-SUM(Tableau1[[#This Row],[0_100m]:[600_700m]])</f>
        <v>13.200000000000003</v>
      </c>
      <c r="M47">
        <v>102.7</v>
      </c>
      <c r="N47">
        <f>SUM(Tableau1[[#This Row],[0_100m]:[700_800m]])</f>
        <v>102.7</v>
      </c>
      <c r="O47">
        <f>ABS(Tableau1[[#This Row],[Final_time]]-Tableau1[[#This Row],[Sum_time]])</f>
        <v>0</v>
      </c>
      <c r="P47" s="8"/>
      <c r="Q47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47" t="s">
        <v>93</v>
      </c>
      <c r="S47" s="1" t="s">
        <v>68</v>
      </c>
      <c r="U47" s="1" t="s">
        <v>69</v>
      </c>
      <c r="V47" s="1">
        <v>45549</v>
      </c>
      <c r="W47" s="4">
        <f>YEAR(Tableau1[[#This Row],[Competition_date]])</f>
        <v>2024</v>
      </c>
      <c r="X47" s="4">
        <v>11</v>
      </c>
      <c r="Y47" s="6">
        <v>0.79</v>
      </c>
      <c r="Z47" s="4" t="s">
        <v>82</v>
      </c>
      <c r="AA47" t="s">
        <v>94</v>
      </c>
    </row>
    <row r="48" spans="1:27" hidden="1" x14ac:dyDescent="0.35">
      <c r="A48" t="str">
        <f>_xlfn.CONCAT(Tableau1[[#This Row],[Athletes]],"_",Tableau1[[#This Row],[Nationality]],"_",Tableau1[[#This Row],[Competition_year]])</f>
        <v>Djamel SEDJATI_ALG_2024</v>
      </c>
      <c r="B48" t="s">
        <v>170</v>
      </c>
      <c r="C48" t="s">
        <v>14</v>
      </c>
      <c r="D48" s="18" t="s">
        <v>24</v>
      </c>
      <c r="E48">
        <v>12.4</v>
      </c>
      <c r="F48">
        <v>11.6</v>
      </c>
      <c r="G48">
        <v>12.8</v>
      </c>
      <c r="H48">
        <v>13</v>
      </c>
      <c r="I48">
        <v>13.1</v>
      </c>
      <c r="J48">
        <v>12.9</v>
      </c>
      <c r="K48">
        <v>13.2</v>
      </c>
      <c r="L48">
        <f>Tableau1[[#This Row],[Final_time]]-SUM(Tableau1[[#This Row],[0_100m]:[600_700m]])</f>
        <v>13.86</v>
      </c>
      <c r="M48">
        <v>102.86</v>
      </c>
      <c r="N48">
        <f>SUM(Tableau1[[#This Row],[0_100m]:[700_800m]])</f>
        <v>102.86</v>
      </c>
      <c r="O48">
        <f>ABS(Tableau1[[#This Row],[Final_time]]-Tableau1[[#This Row],[Sum_time]])</f>
        <v>0</v>
      </c>
      <c r="P48" s="8"/>
      <c r="Q48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48" t="s">
        <v>93</v>
      </c>
      <c r="S48" s="1" t="s">
        <v>68</v>
      </c>
      <c r="U48" s="1" t="s">
        <v>69</v>
      </c>
      <c r="V48" s="1">
        <v>45549</v>
      </c>
      <c r="W48" s="4">
        <f>YEAR(Tableau1[[#This Row],[Competition_date]])</f>
        <v>2024</v>
      </c>
      <c r="X48" s="4">
        <v>11</v>
      </c>
      <c r="Y48" s="6">
        <v>0.79</v>
      </c>
      <c r="Z48" s="4" t="s">
        <v>82</v>
      </c>
      <c r="AA48" t="s">
        <v>94</v>
      </c>
    </row>
    <row r="49" spans="1:27" hidden="1" x14ac:dyDescent="0.35">
      <c r="A49" t="str">
        <f>_xlfn.CONCAT(Tableau1[[#This Row],[Athletes]],"_",Tableau1[[#This Row],[Nationality]],"_",Tableau1[[#This Row],[Competition_year]])</f>
        <v>Marco AROP_CAN_2024</v>
      </c>
      <c r="B49" t="s">
        <v>177</v>
      </c>
      <c r="C49" t="s">
        <v>14</v>
      </c>
      <c r="D49" s="18" t="s">
        <v>19</v>
      </c>
      <c r="E49">
        <v>12.7</v>
      </c>
      <c r="F49">
        <v>11.3</v>
      </c>
      <c r="G49">
        <v>12.4</v>
      </c>
      <c r="H49">
        <v>12.9</v>
      </c>
      <c r="I49">
        <v>13.1</v>
      </c>
      <c r="J49">
        <v>13.1</v>
      </c>
      <c r="K49">
        <v>13.3</v>
      </c>
      <c r="L49">
        <f>Tableau1[[#This Row],[Final_time]]-SUM(Tableau1[[#This Row],[0_100m]:[600_700m]])</f>
        <v>14.450000000000003</v>
      </c>
      <c r="M49">
        <v>103.25</v>
      </c>
      <c r="N49">
        <f>SUM(Tableau1[[#This Row],[0_100m]:[700_800m]])</f>
        <v>103.25</v>
      </c>
      <c r="O49">
        <f>ABS(Tableau1[[#This Row],[Final_time]]-Tableau1[[#This Row],[Sum_time]])</f>
        <v>0</v>
      </c>
      <c r="P49" s="8"/>
      <c r="Q49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49" t="s">
        <v>93</v>
      </c>
      <c r="S49" s="1" t="s">
        <v>68</v>
      </c>
      <c r="U49" s="1" t="s">
        <v>69</v>
      </c>
      <c r="V49" s="1">
        <v>45549</v>
      </c>
      <c r="W49" s="4">
        <f>YEAR(Tableau1[[#This Row],[Competition_date]])</f>
        <v>2024</v>
      </c>
      <c r="X49" s="4">
        <v>11</v>
      </c>
      <c r="Y49" s="6">
        <v>0.79</v>
      </c>
      <c r="Z49" s="4" t="s">
        <v>82</v>
      </c>
      <c r="AA49" t="s">
        <v>94</v>
      </c>
    </row>
    <row r="50" spans="1:27" hidden="1" x14ac:dyDescent="0.35">
      <c r="A50" t="str">
        <f>_xlfn.CONCAT(Tableau1[[#This Row],[Athletes]],"_",Tableau1[[#This Row],[Nationality]],"_",Tableau1[[#This Row],[Competition_year]])</f>
        <v>Gabriel TUAL_FRA_2024</v>
      </c>
      <c r="B50" t="s">
        <v>180</v>
      </c>
      <c r="C50" t="s">
        <v>14</v>
      </c>
      <c r="D50" s="18" t="s">
        <v>17</v>
      </c>
      <c r="E50">
        <v>12.5</v>
      </c>
      <c r="F50">
        <v>11.7</v>
      </c>
      <c r="G50">
        <v>12.9</v>
      </c>
      <c r="H50">
        <v>13</v>
      </c>
      <c r="I50">
        <v>13.3</v>
      </c>
      <c r="J50">
        <v>13.1</v>
      </c>
      <c r="K50">
        <v>13.4</v>
      </c>
      <c r="L50">
        <f>Tableau1[[#This Row],[Final_time]]-SUM(Tableau1[[#This Row],[0_100m]:[600_700m]])</f>
        <v>13.769999999999996</v>
      </c>
      <c r="M50">
        <v>103.67</v>
      </c>
      <c r="N50">
        <f>SUM(Tableau1[[#This Row],[0_100m]:[700_800m]])</f>
        <v>103.67</v>
      </c>
      <c r="O50">
        <f>ABS(Tableau1[[#This Row],[Final_time]]-Tableau1[[#This Row],[Sum_time]])</f>
        <v>0</v>
      </c>
      <c r="P50" s="8"/>
      <c r="Q50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50" t="s">
        <v>93</v>
      </c>
      <c r="S50" s="1" t="s">
        <v>68</v>
      </c>
      <c r="U50" s="1" t="s">
        <v>69</v>
      </c>
      <c r="V50" s="1">
        <v>45549</v>
      </c>
      <c r="W50" s="4">
        <f>YEAR(Tableau1[[#This Row],[Competition_date]])</f>
        <v>2024</v>
      </c>
      <c r="X50" s="4">
        <v>11</v>
      </c>
      <c r="Y50" s="6">
        <v>0.79</v>
      </c>
      <c r="Z50" s="4" t="s">
        <v>82</v>
      </c>
      <c r="AA50" t="s">
        <v>94</v>
      </c>
    </row>
    <row r="51" spans="1:27" hidden="1" x14ac:dyDescent="0.35">
      <c r="A51" t="str">
        <f>_xlfn.CONCAT(Tableau1[[#This Row],[Athletes]],"_",Tableau1[[#This Row],[Nationality]],"_",Tableau1[[#This Row],[Competition_year]])</f>
        <v>Eliott CRESTAN_BEL_2024</v>
      </c>
      <c r="B51" t="s">
        <v>244</v>
      </c>
      <c r="C51" t="s">
        <v>14</v>
      </c>
      <c r="D51" s="18" t="s">
        <v>18</v>
      </c>
      <c r="E51">
        <v>12.4</v>
      </c>
      <c r="F51">
        <v>11.7</v>
      </c>
      <c r="G51">
        <v>12.9</v>
      </c>
      <c r="H51">
        <v>13</v>
      </c>
      <c r="I51">
        <v>13.3</v>
      </c>
      <c r="J51">
        <v>13.4</v>
      </c>
      <c r="K51">
        <v>13.6</v>
      </c>
      <c r="L51">
        <f>Tableau1[[#This Row],[Final_time]]-SUM(Tableau1[[#This Row],[0_100m]:[600_700m]])</f>
        <v>13.439999999999998</v>
      </c>
      <c r="M51">
        <v>103.74</v>
      </c>
      <c r="N51">
        <f>SUM(Tableau1[[#This Row],[0_100m]:[700_800m]])</f>
        <v>103.74</v>
      </c>
      <c r="O51">
        <f>ABS(Tableau1[[#This Row],[Final_time]]-Tableau1[[#This Row],[Sum_time]])</f>
        <v>0</v>
      </c>
      <c r="P51" s="8"/>
      <c r="Q51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51" t="s">
        <v>93</v>
      </c>
      <c r="S51" s="1" t="s">
        <v>68</v>
      </c>
      <c r="U51" s="1" t="s">
        <v>69</v>
      </c>
      <c r="V51" s="1">
        <v>45549</v>
      </c>
      <c r="W51" s="4">
        <f>YEAR(Tableau1[[#This Row],[Competition_date]])</f>
        <v>2024</v>
      </c>
      <c r="X51" s="4">
        <v>11</v>
      </c>
      <c r="Y51" s="6">
        <v>0.79</v>
      </c>
      <c r="Z51" s="4" t="s">
        <v>82</v>
      </c>
      <c r="AA51" t="s">
        <v>94</v>
      </c>
    </row>
    <row r="52" spans="1:27" hidden="1" x14ac:dyDescent="0.35">
      <c r="A52" t="str">
        <f>_xlfn.CONCAT(Tableau1[[#This Row],[Athletes]],"_",Tableau1[[#This Row],[Nationality]],"_",Tableau1[[#This Row],[Competition_year]])</f>
        <v>Wyclife KINYAMAL_KEN_2024</v>
      </c>
      <c r="B52" t="s">
        <v>174</v>
      </c>
      <c r="C52" t="s">
        <v>14</v>
      </c>
      <c r="D52" s="18" t="s">
        <v>15</v>
      </c>
      <c r="E52">
        <v>12.1</v>
      </c>
      <c r="F52">
        <v>11.8</v>
      </c>
      <c r="G52">
        <v>12.7</v>
      </c>
      <c r="H52">
        <v>13</v>
      </c>
      <c r="I52">
        <v>13.1</v>
      </c>
      <c r="J52">
        <v>13.2</v>
      </c>
      <c r="K52">
        <v>13.6</v>
      </c>
      <c r="L52">
        <f>Tableau1[[#This Row],[Final_time]]-SUM(Tableau1[[#This Row],[0_100m]:[600_700m]])</f>
        <v>14.500000000000014</v>
      </c>
      <c r="M52">
        <v>104</v>
      </c>
      <c r="N52">
        <f>SUM(Tableau1[[#This Row],[0_100m]:[700_800m]])</f>
        <v>104</v>
      </c>
      <c r="O52">
        <f>ABS(Tableau1[[#This Row],[Final_time]]-Tableau1[[#This Row],[Sum_time]])</f>
        <v>0</v>
      </c>
      <c r="P52" s="8"/>
      <c r="Q52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52" t="s">
        <v>93</v>
      </c>
      <c r="S52" s="1" t="s">
        <v>68</v>
      </c>
      <c r="U52" s="1" t="s">
        <v>69</v>
      </c>
      <c r="V52" s="1">
        <v>45549</v>
      </c>
      <c r="W52" s="4">
        <f>YEAR(Tableau1[[#This Row],[Competition_date]])</f>
        <v>2024</v>
      </c>
      <c r="X52" s="4">
        <v>11</v>
      </c>
      <c r="Y52" s="6">
        <v>0.79</v>
      </c>
      <c r="Z52" s="4" t="s">
        <v>82</v>
      </c>
      <c r="AA52" t="s">
        <v>94</v>
      </c>
    </row>
    <row r="53" spans="1:27" hidden="1" x14ac:dyDescent="0.35">
      <c r="A53" t="str">
        <f>_xlfn.CONCAT(Tableau1[[#This Row],[Athletes]],"_",Tableau1[[#This Row],[Nationality]],"_",Tableau1[[#This Row],[Competition_year]])</f>
        <v>Andreas KRAMER_SWE_2024</v>
      </c>
      <c r="B53" t="s">
        <v>186</v>
      </c>
      <c r="C53" t="s">
        <v>14</v>
      </c>
      <c r="D53" s="18" t="s">
        <v>28</v>
      </c>
      <c r="E53">
        <v>12.5</v>
      </c>
      <c r="F53">
        <v>11.9</v>
      </c>
      <c r="G53">
        <v>12.9</v>
      </c>
      <c r="H53">
        <v>13</v>
      </c>
      <c r="I53">
        <v>13.3</v>
      </c>
      <c r="J53">
        <v>13.3</v>
      </c>
      <c r="K53">
        <v>13.6</v>
      </c>
      <c r="L53">
        <f>Tableau1[[#This Row],[Final_time]]-SUM(Tableau1[[#This Row],[0_100m]:[600_700m]])</f>
        <v>13.800000000000011</v>
      </c>
      <c r="M53">
        <v>104.3</v>
      </c>
      <c r="N53">
        <f>SUM(Tableau1[[#This Row],[0_100m]:[700_800m]])</f>
        <v>104.3</v>
      </c>
      <c r="O53">
        <f>ABS(Tableau1[[#This Row],[Final_time]]-Tableau1[[#This Row],[Sum_time]])</f>
        <v>0</v>
      </c>
      <c r="P53" s="8"/>
      <c r="Q53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53" t="s">
        <v>93</v>
      </c>
      <c r="S53" s="1" t="s">
        <v>68</v>
      </c>
      <c r="U53" s="1" t="s">
        <v>69</v>
      </c>
      <c r="V53" s="1">
        <v>45549</v>
      </c>
      <c r="W53" s="4">
        <f>YEAR(Tableau1[[#This Row],[Competition_date]])</f>
        <v>2024</v>
      </c>
      <c r="X53" s="4">
        <v>11</v>
      </c>
      <c r="Y53" s="6">
        <v>0.79</v>
      </c>
      <c r="Z53" s="4" t="s">
        <v>82</v>
      </c>
      <c r="AA53" t="s">
        <v>94</v>
      </c>
    </row>
    <row r="54" spans="1:27" hidden="1" x14ac:dyDescent="0.35">
      <c r="A54" t="str">
        <f>_xlfn.CONCAT(Tableau1[[#This Row],[Athletes]],"_",Tableau1[[#This Row],[Nationality]],"_",Tableau1[[#This Row],[Competition_year]])</f>
        <v>Tshepiso MASALELA_BOT_2024</v>
      </c>
      <c r="B54" t="s">
        <v>107</v>
      </c>
      <c r="C54" t="s">
        <v>14</v>
      </c>
      <c r="D54" s="18" t="s">
        <v>44</v>
      </c>
      <c r="E54">
        <v>12.9</v>
      </c>
      <c r="F54">
        <v>11.6</v>
      </c>
      <c r="G54">
        <v>12.9</v>
      </c>
      <c r="H54">
        <v>13</v>
      </c>
      <c r="I54">
        <v>13.3</v>
      </c>
      <c r="J54">
        <v>12.9</v>
      </c>
      <c r="K54">
        <v>13.5</v>
      </c>
      <c r="L54">
        <f>Tableau1[[#This Row],[Final_time]]-SUM(Tableau1[[#This Row],[0_100m]:[600_700m]])</f>
        <v>14.239999999999995</v>
      </c>
      <c r="M54">
        <v>104.34</v>
      </c>
      <c r="N54">
        <f>SUM(Tableau1[[#This Row],[0_100m]:[700_800m]])</f>
        <v>104.34</v>
      </c>
      <c r="O54">
        <f>ABS(Tableau1[[#This Row],[Final_time]]-Tableau1[[#This Row],[Sum_time]])</f>
        <v>0</v>
      </c>
      <c r="P54" s="8"/>
      <c r="Q54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54" t="s">
        <v>93</v>
      </c>
      <c r="S54" s="1" t="s">
        <v>68</v>
      </c>
      <c r="U54" s="1" t="s">
        <v>69</v>
      </c>
      <c r="V54" s="1">
        <v>45549</v>
      </c>
      <c r="W54" s="4">
        <f>YEAR(Tableau1[[#This Row],[Competition_date]])</f>
        <v>2024</v>
      </c>
      <c r="X54" s="4">
        <v>11</v>
      </c>
      <c r="Y54" s="6">
        <v>0.79</v>
      </c>
      <c r="Z54" s="4" t="s">
        <v>82</v>
      </c>
      <c r="AA54" t="s">
        <v>94</v>
      </c>
    </row>
    <row r="55" spans="1:27" hidden="1" x14ac:dyDescent="0.35">
      <c r="A55" t="str">
        <f>_xlfn.CONCAT(Tableau1[[#This Row],[Athletes]],"_",Tableau1[[#This Row],[Nationality]],"_",Tableau1[[#This Row],[Competition_year]])</f>
        <v>Ben PATTISON_GBR_2024</v>
      </c>
      <c r="B55" t="s">
        <v>108</v>
      </c>
      <c r="C55" t="s">
        <v>14</v>
      </c>
      <c r="D55" s="18" t="s">
        <v>30</v>
      </c>
      <c r="E55">
        <v>12.9</v>
      </c>
      <c r="F55">
        <v>11.7</v>
      </c>
      <c r="G55">
        <v>12.9</v>
      </c>
      <c r="H55">
        <v>13.2</v>
      </c>
      <c r="I55">
        <v>13.4</v>
      </c>
      <c r="J55">
        <v>13.5</v>
      </c>
      <c r="K55">
        <v>13.4</v>
      </c>
      <c r="L55">
        <f>Tableau1[[#This Row],[Final_time]]-SUM(Tableau1[[#This Row],[0_100m]:[600_700m]])</f>
        <v>13.639999999999986</v>
      </c>
      <c r="M55">
        <v>104.64</v>
      </c>
      <c r="N55">
        <f>SUM(Tableau1[[#This Row],[0_100m]:[700_800m]])</f>
        <v>104.64</v>
      </c>
      <c r="O55">
        <f>ABS(Tableau1[[#This Row],[Final_time]]-Tableau1[[#This Row],[Sum_time]])</f>
        <v>0</v>
      </c>
      <c r="P55" s="8"/>
      <c r="Q55" s="16" t="str">
        <f>_xlfn.CONCAT(Tableau1[[#This Row],[Competition]],"_",Tableau1[[#This Row],[Championship_step]],"_",Tableau1[[#This Row],[Competition_date]],"_",Tableau1[[#This Row],[Gender]])</f>
        <v>Diamond League Brussels 2024__45549_Male</v>
      </c>
      <c r="R55" t="s">
        <v>93</v>
      </c>
      <c r="S55" s="1" t="s">
        <v>68</v>
      </c>
      <c r="U55" s="1" t="s">
        <v>69</v>
      </c>
      <c r="V55" s="1">
        <v>45549</v>
      </c>
      <c r="W55" s="4">
        <f>YEAR(Tableau1[[#This Row],[Competition_date]])</f>
        <v>2024</v>
      </c>
      <c r="X55" s="4">
        <v>11</v>
      </c>
      <c r="Y55" s="6">
        <v>0.79</v>
      </c>
      <c r="Z55" s="4" t="s">
        <v>82</v>
      </c>
      <c r="AA55" t="s">
        <v>94</v>
      </c>
    </row>
    <row r="56" spans="1:27" hidden="1" x14ac:dyDescent="0.35">
      <c r="A56" t="str">
        <f>_xlfn.CONCAT(Tableau1[[#This Row],[Athletes]],"_",Tableau1[[#This Row],[Nationality]],"_",Tableau1[[#This Row],[Competition_year]])</f>
        <v>Eliott CRESTAN_BEL_2025</v>
      </c>
      <c r="B56" t="s">
        <v>244</v>
      </c>
      <c r="C56" t="s">
        <v>14</v>
      </c>
      <c r="D56" s="18" t="s">
        <v>18</v>
      </c>
      <c r="E56">
        <v>12.7</v>
      </c>
      <c r="F56">
        <v>11.7</v>
      </c>
      <c r="G56">
        <v>12.8</v>
      </c>
      <c r="H56">
        <v>13.3</v>
      </c>
      <c r="I56">
        <v>13.7</v>
      </c>
      <c r="J56">
        <v>13.1</v>
      </c>
      <c r="K56">
        <v>13.3</v>
      </c>
      <c r="L56">
        <f>Tableau1[[#This Row],[Final_time]]-SUM(Tableau1[[#This Row],[0_100m]:[600_700m]])</f>
        <v>13.310000000000002</v>
      </c>
      <c r="M56">
        <v>103.91</v>
      </c>
      <c r="N56">
        <f>SUM(Tableau1[[#This Row],[0_100m]:[700_800m]])</f>
        <v>103.91</v>
      </c>
      <c r="O56">
        <f>ABS(Tableau1[[#This Row],[Final_time]]-Tableau1[[#This Row],[Sum_time]])</f>
        <v>0</v>
      </c>
      <c r="P56" s="8"/>
      <c r="Q56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56" t="s">
        <v>1399</v>
      </c>
      <c r="S56" s="1" t="s">
        <v>68</v>
      </c>
      <c r="U56" s="1" t="s">
        <v>69</v>
      </c>
      <c r="V56" s="1">
        <v>45891</v>
      </c>
      <c r="W56" s="4">
        <f>YEAR(Tableau1[[#This Row],[Competition_date]])</f>
        <v>2025</v>
      </c>
      <c r="X56" s="4">
        <v>18</v>
      </c>
      <c r="Y56" s="6">
        <v>0.47</v>
      </c>
      <c r="Z56" s="4" t="s">
        <v>81</v>
      </c>
    </row>
    <row r="57" spans="1:27" hidden="1" x14ac:dyDescent="0.35">
      <c r="A57" t="str">
        <f>_xlfn.CONCAT(Tableau1[[#This Row],[Athletes]],"_",Tableau1[[#This Row],[Nationality]],"_",Tableau1[[#This Row],[Competition_year]])</f>
        <v>Francesco PERNICI_ITA_2025</v>
      </c>
      <c r="B57" t="s">
        <v>126</v>
      </c>
      <c r="C57" t="s">
        <v>14</v>
      </c>
      <c r="D57" s="18" t="s">
        <v>20</v>
      </c>
      <c r="E57">
        <v>12.6</v>
      </c>
      <c r="F57">
        <v>11.7</v>
      </c>
      <c r="G57">
        <v>12.7</v>
      </c>
      <c r="H57">
        <v>13.3</v>
      </c>
      <c r="I57">
        <v>13.7</v>
      </c>
      <c r="J57">
        <v>13.1</v>
      </c>
      <c r="K57">
        <v>13.3</v>
      </c>
      <c r="L57">
        <f>Tableau1[[#This Row],[Final_time]]-SUM(Tableau1[[#This Row],[0_100m]:[600_700m]])</f>
        <v>13.650000000000006</v>
      </c>
      <c r="M57">
        <v>104.05</v>
      </c>
      <c r="N57">
        <f>SUM(Tableau1[[#This Row],[0_100m]:[700_800m]])</f>
        <v>104.05</v>
      </c>
      <c r="O57">
        <f>ABS(Tableau1[[#This Row],[Final_time]]-Tableau1[[#This Row],[Sum_time]])</f>
        <v>0</v>
      </c>
      <c r="P57" s="8"/>
      <c r="Q57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57" t="s">
        <v>1399</v>
      </c>
      <c r="S57" s="1" t="s">
        <v>68</v>
      </c>
      <c r="U57" s="1" t="s">
        <v>69</v>
      </c>
      <c r="V57" s="1">
        <v>45891</v>
      </c>
      <c r="W57" s="4">
        <f>YEAR(Tableau1[[#This Row],[Competition_date]])</f>
        <v>2025</v>
      </c>
      <c r="X57" s="4">
        <v>18</v>
      </c>
      <c r="Y57" s="6">
        <v>0.47</v>
      </c>
      <c r="Z57" s="4" t="s">
        <v>81</v>
      </c>
    </row>
    <row r="58" spans="1:27" hidden="1" x14ac:dyDescent="0.35">
      <c r="A58" t="str">
        <f>_xlfn.CONCAT(Tableau1[[#This Row],[Athletes]],"_",Tableau1[[#This Row],[Nationality]],"_",Tableau1[[#This Row],[Competition_year]])</f>
        <v>Samuel CHAPPLE_NED_2025</v>
      </c>
      <c r="B58" t="s">
        <v>1397</v>
      </c>
      <c r="C58" t="s">
        <v>14</v>
      </c>
      <c r="D58" s="18" t="s">
        <v>158</v>
      </c>
      <c r="E58">
        <v>12.8</v>
      </c>
      <c r="F58">
        <v>11.9</v>
      </c>
      <c r="G58">
        <v>13.1</v>
      </c>
      <c r="H58">
        <v>13.2</v>
      </c>
      <c r="I58">
        <v>13.6</v>
      </c>
      <c r="J58">
        <v>13.1</v>
      </c>
      <c r="K58">
        <v>13.3</v>
      </c>
      <c r="L58">
        <f>Tableau1[[#This Row],[Final_time]]-SUM(Tableau1[[#This Row],[0_100m]:[600_700m]])</f>
        <v>13.360000000000014</v>
      </c>
      <c r="M58">
        <v>104.36</v>
      </c>
      <c r="N58">
        <f>SUM(Tableau1[[#This Row],[0_100m]:[700_800m]])</f>
        <v>104.36</v>
      </c>
      <c r="O58">
        <f>ABS(Tableau1[[#This Row],[Final_time]]-Tableau1[[#This Row],[Sum_time]])</f>
        <v>0</v>
      </c>
      <c r="P58" s="8"/>
      <c r="Q58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58" t="s">
        <v>1399</v>
      </c>
      <c r="S58" s="1" t="s">
        <v>68</v>
      </c>
      <c r="U58" s="1" t="s">
        <v>69</v>
      </c>
      <c r="V58" s="1">
        <v>45891</v>
      </c>
      <c r="W58" s="4">
        <f>YEAR(Tableau1[[#This Row],[Competition_date]])</f>
        <v>2025</v>
      </c>
      <c r="X58" s="4">
        <v>18</v>
      </c>
      <c r="Y58" s="6">
        <v>0.47</v>
      </c>
      <c r="Z58" s="4" t="s">
        <v>81</v>
      </c>
    </row>
    <row r="59" spans="1:27" hidden="1" x14ac:dyDescent="0.35">
      <c r="A59" t="str">
        <f>_xlfn.CONCAT(Tableau1[[#This Row],[Athletes]],"_",Tableau1[[#This Row],[Nationality]],"_",Tableau1[[#This Row],[Competition_year]])</f>
        <v>Moad ZAHAFI_MAR_2025</v>
      </c>
      <c r="B59" t="s">
        <v>282</v>
      </c>
      <c r="C59" t="s">
        <v>14</v>
      </c>
      <c r="D59" s="18" t="s">
        <v>21</v>
      </c>
      <c r="E59">
        <v>12.8</v>
      </c>
      <c r="F59">
        <v>11.8</v>
      </c>
      <c r="G59">
        <v>12.9</v>
      </c>
      <c r="H59">
        <v>13.3</v>
      </c>
      <c r="I59">
        <v>13.6</v>
      </c>
      <c r="J59">
        <v>13</v>
      </c>
      <c r="K59">
        <v>13.4</v>
      </c>
      <c r="L59">
        <f>Tableau1[[#This Row],[Final_time]]-SUM(Tableau1[[#This Row],[0_100m]:[600_700m]])</f>
        <v>13.64</v>
      </c>
      <c r="M59">
        <v>104.44</v>
      </c>
      <c r="N59">
        <f>SUM(Tableau1[[#This Row],[0_100m]:[700_800m]])</f>
        <v>104.44</v>
      </c>
      <c r="O59">
        <f>ABS(Tableau1[[#This Row],[Final_time]]-Tableau1[[#This Row],[Sum_time]])</f>
        <v>0</v>
      </c>
      <c r="P59" s="8"/>
      <c r="Q59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59" t="s">
        <v>1399</v>
      </c>
      <c r="S59" s="1" t="s">
        <v>68</v>
      </c>
      <c r="U59" s="1" t="s">
        <v>69</v>
      </c>
      <c r="V59" s="1">
        <v>45891</v>
      </c>
      <c r="W59" s="4">
        <f>YEAR(Tableau1[[#This Row],[Competition_date]])</f>
        <v>2025</v>
      </c>
      <c r="X59" s="4">
        <v>18</v>
      </c>
      <c r="Y59" s="6">
        <v>0.47</v>
      </c>
      <c r="Z59" s="4" t="s">
        <v>81</v>
      </c>
    </row>
    <row r="60" spans="1:27" hidden="1" x14ac:dyDescent="0.35">
      <c r="A60" t="str">
        <f>_xlfn.CONCAT(Tableau1[[#This Row],[Athletes]],"_",Tableau1[[#This Row],[Nationality]],"_",Tableau1[[#This Row],[Competition_year]])</f>
        <v>Ferguson Cheruiyot ROTICH_KEN_2025</v>
      </c>
      <c r="B60" t="s">
        <v>199</v>
      </c>
      <c r="C60" t="s">
        <v>14</v>
      </c>
      <c r="D60" s="18" t="s">
        <v>15</v>
      </c>
      <c r="E60">
        <v>12.9</v>
      </c>
      <c r="F60">
        <v>11.8</v>
      </c>
      <c r="G60">
        <v>13</v>
      </c>
      <c r="H60">
        <v>13.1</v>
      </c>
      <c r="I60">
        <v>13.6</v>
      </c>
      <c r="J60">
        <v>13.1</v>
      </c>
      <c r="K60">
        <v>13.5</v>
      </c>
      <c r="L60">
        <f>Tableau1[[#This Row],[Final_time]]-SUM(Tableau1[[#This Row],[0_100m]:[600_700m]])</f>
        <v>13.489999999999995</v>
      </c>
      <c r="M60">
        <v>104.49</v>
      </c>
      <c r="N60">
        <f>SUM(Tableau1[[#This Row],[0_100m]:[700_800m]])</f>
        <v>104.49</v>
      </c>
      <c r="O60">
        <f>ABS(Tableau1[[#This Row],[Final_time]]-Tableau1[[#This Row],[Sum_time]])</f>
        <v>0</v>
      </c>
      <c r="P60" s="8"/>
      <c r="Q60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60" t="s">
        <v>1399</v>
      </c>
      <c r="S60" s="1" t="s">
        <v>68</v>
      </c>
      <c r="U60" s="1" t="s">
        <v>69</v>
      </c>
      <c r="V60" s="1">
        <v>45891</v>
      </c>
      <c r="W60" s="4">
        <f>YEAR(Tableau1[[#This Row],[Competition_date]])</f>
        <v>2025</v>
      </c>
      <c r="X60" s="4">
        <v>18</v>
      </c>
      <c r="Y60" s="6">
        <v>0.47</v>
      </c>
      <c r="Z60" s="4" t="s">
        <v>81</v>
      </c>
    </row>
    <row r="61" spans="1:27" hidden="1" x14ac:dyDescent="0.35">
      <c r="A61" t="str">
        <f>_xlfn.CONCAT(Tableau1[[#This Row],[Athletes]],"_",Tableau1[[#This Row],[Nationality]],"_",Tableau1[[#This Row],[Competition_year]])</f>
        <v>Tibo DE SMET_BEL_2025</v>
      </c>
      <c r="B61" t="s">
        <v>1269</v>
      </c>
      <c r="C61" t="s">
        <v>14</v>
      </c>
      <c r="D61" s="18" t="s">
        <v>18</v>
      </c>
      <c r="E61">
        <v>13</v>
      </c>
      <c r="F61">
        <v>11.9</v>
      </c>
      <c r="G61">
        <v>13.2</v>
      </c>
      <c r="H61">
        <v>13.1</v>
      </c>
      <c r="I61">
        <v>13.6</v>
      </c>
      <c r="J61">
        <v>13.1</v>
      </c>
      <c r="K61">
        <v>13.3</v>
      </c>
      <c r="L61">
        <f>Tableau1[[#This Row],[Final_time]]-SUM(Tableau1[[#This Row],[0_100m]:[600_700m]])</f>
        <v>13.730000000000018</v>
      </c>
      <c r="M61">
        <v>104.93</v>
      </c>
      <c r="N61">
        <f>SUM(Tableau1[[#This Row],[0_100m]:[700_800m]])</f>
        <v>104.93</v>
      </c>
      <c r="O61">
        <f>ABS(Tableau1[[#This Row],[Final_time]]-Tableau1[[#This Row],[Sum_time]])</f>
        <v>0</v>
      </c>
      <c r="P61" s="8"/>
      <c r="Q61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61" t="s">
        <v>1399</v>
      </c>
      <c r="S61" s="1" t="s">
        <v>68</v>
      </c>
      <c r="U61" s="1" t="s">
        <v>69</v>
      </c>
      <c r="V61" s="1">
        <v>45891</v>
      </c>
      <c r="W61" s="4">
        <f>YEAR(Tableau1[[#This Row],[Competition_date]])</f>
        <v>2025</v>
      </c>
      <c r="X61" s="4">
        <v>18</v>
      </c>
      <c r="Y61" s="6">
        <v>0.47</v>
      </c>
      <c r="Z61" s="4" t="s">
        <v>81</v>
      </c>
    </row>
    <row r="62" spans="1:27" hidden="1" x14ac:dyDescent="0.35">
      <c r="A62" t="str">
        <f>_xlfn.CONCAT(Tableau1[[#This Row],[Athletes]],"_",Tableau1[[#This Row],[Nationality]],"_",Tableau1[[#This Row],[Competition_year]])</f>
        <v>Nicholas Kiplangat KEBENEI_KEN_2025</v>
      </c>
      <c r="B62" t="s">
        <v>1398</v>
      </c>
      <c r="C62" t="s">
        <v>14</v>
      </c>
      <c r="D62" s="18" t="s">
        <v>15</v>
      </c>
      <c r="E62">
        <v>12.7</v>
      </c>
      <c r="F62">
        <v>11.4</v>
      </c>
      <c r="G62">
        <v>12.7</v>
      </c>
      <c r="H62">
        <v>13.3</v>
      </c>
      <c r="I62">
        <v>13.6</v>
      </c>
      <c r="J62">
        <v>13.4</v>
      </c>
      <c r="K62">
        <v>13.7</v>
      </c>
      <c r="L62">
        <f>Tableau1[[#This Row],[Final_time]]-SUM(Tableau1[[#This Row],[0_100m]:[600_700m]])</f>
        <v>14.740000000000009</v>
      </c>
      <c r="M62">
        <v>105.54</v>
      </c>
      <c r="N62">
        <f>SUM(Tableau1[[#This Row],[0_100m]:[700_800m]])</f>
        <v>105.54</v>
      </c>
      <c r="O62">
        <f>ABS(Tableau1[[#This Row],[Final_time]]-Tableau1[[#This Row],[Sum_time]])</f>
        <v>0</v>
      </c>
      <c r="P62" s="8"/>
      <c r="Q62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62" t="s">
        <v>1399</v>
      </c>
      <c r="S62" s="1" t="s">
        <v>68</v>
      </c>
      <c r="U62" s="1" t="s">
        <v>69</v>
      </c>
      <c r="V62" s="1">
        <v>45891</v>
      </c>
      <c r="W62" s="4">
        <f>YEAR(Tableau1[[#This Row],[Competition_date]])</f>
        <v>2025</v>
      </c>
      <c r="X62" s="4">
        <v>18</v>
      </c>
      <c r="Y62" s="6">
        <v>0.47</v>
      </c>
      <c r="Z62" s="4" t="s">
        <v>81</v>
      </c>
    </row>
    <row r="63" spans="1:27" hidden="1" x14ac:dyDescent="0.35">
      <c r="A63" t="str">
        <f>_xlfn.CONCAT(Tableau1[[#This Row],[Athletes]],"_",Tableau1[[#This Row],[Nationality]],"_",Tableau1[[#This Row],[Competition_year]])</f>
        <v>Ethan HUSSEY_GBR_2025</v>
      </c>
      <c r="B63" t="s">
        <v>293</v>
      </c>
      <c r="C63" t="s">
        <v>14</v>
      </c>
      <c r="D63" s="18" t="s">
        <v>30</v>
      </c>
      <c r="E63">
        <v>12.8</v>
      </c>
      <c r="F63">
        <v>12</v>
      </c>
      <c r="G63">
        <v>13.2</v>
      </c>
      <c r="H63">
        <v>13.2</v>
      </c>
      <c r="I63">
        <v>13.9</v>
      </c>
      <c r="J63">
        <v>13.3</v>
      </c>
      <c r="K63">
        <v>13.7</v>
      </c>
      <c r="L63">
        <f>Tableau1[[#This Row],[Final_time]]-SUM(Tableau1[[#This Row],[0_100m]:[600_700m]])</f>
        <v>13.819999999999993</v>
      </c>
      <c r="M63">
        <v>105.92</v>
      </c>
      <c r="N63">
        <f>SUM(Tableau1[[#This Row],[0_100m]:[700_800m]])</f>
        <v>105.92</v>
      </c>
      <c r="O63">
        <f>ABS(Tableau1[[#This Row],[Final_time]]-Tableau1[[#This Row],[Sum_time]])</f>
        <v>0</v>
      </c>
      <c r="P63" s="8"/>
      <c r="Q63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63" t="s">
        <v>1399</v>
      </c>
      <c r="S63" s="1" t="s">
        <v>68</v>
      </c>
      <c r="U63" s="1" t="s">
        <v>69</v>
      </c>
      <c r="V63" s="1">
        <v>45891</v>
      </c>
      <c r="W63" s="4">
        <f>YEAR(Tableau1[[#This Row],[Competition_date]])</f>
        <v>2025</v>
      </c>
      <c r="X63" s="4">
        <v>18</v>
      </c>
      <c r="Y63" s="6">
        <v>0.47</v>
      </c>
      <c r="Z63" s="4" t="s">
        <v>81</v>
      </c>
    </row>
    <row r="64" spans="1:27" hidden="1" x14ac:dyDescent="0.35">
      <c r="A64" t="str">
        <f>_xlfn.CONCAT(Tableau1[[#This Row],[Athletes]],"_",Tableau1[[#This Row],[Nationality]],"_",Tableau1[[#This Row],[Competition_year]])</f>
        <v>Mohamed Ali GOUANED_ALG_2025</v>
      </c>
      <c r="B64" t="s">
        <v>381</v>
      </c>
      <c r="C64" t="s">
        <v>14</v>
      </c>
      <c r="D64" s="18" t="s">
        <v>24</v>
      </c>
      <c r="E64">
        <v>12.4</v>
      </c>
      <c r="F64">
        <v>11.9</v>
      </c>
      <c r="G64">
        <v>12.8</v>
      </c>
      <c r="H64">
        <v>13.4</v>
      </c>
      <c r="I64">
        <v>13.6</v>
      </c>
      <c r="J64">
        <v>13.5</v>
      </c>
      <c r="K64">
        <v>13.7</v>
      </c>
      <c r="L64">
        <f>Tableau1[[#This Row],[Final_time]]-SUM(Tableau1[[#This Row],[0_100m]:[600_700m]])</f>
        <v>14.700000000000003</v>
      </c>
      <c r="M64">
        <v>106</v>
      </c>
      <c r="N64">
        <f>SUM(Tableau1[[#This Row],[0_100m]:[700_800m]])</f>
        <v>106</v>
      </c>
      <c r="O64">
        <f>ABS(Tableau1[[#This Row],[Final_time]]-Tableau1[[#This Row],[Sum_time]])</f>
        <v>0</v>
      </c>
      <c r="P64" s="8"/>
      <c r="Q64" s="1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R64" t="s">
        <v>1399</v>
      </c>
      <c r="S64" s="1" t="s">
        <v>68</v>
      </c>
      <c r="U64" s="1" t="s">
        <v>69</v>
      </c>
      <c r="V64" s="1">
        <v>45891</v>
      </c>
      <c r="W64" s="4">
        <f>YEAR(Tableau1[[#This Row],[Competition_date]])</f>
        <v>2025</v>
      </c>
      <c r="X64" s="4">
        <v>18</v>
      </c>
      <c r="Y64" s="6">
        <v>0.47</v>
      </c>
      <c r="Z64" s="4" t="s">
        <v>81</v>
      </c>
    </row>
    <row r="65" spans="1:27" hidden="1" x14ac:dyDescent="0.35">
      <c r="A65" t="str">
        <f>_xlfn.CONCAT(Tableau1[[#This Row],[Athletes]],"_",Tableau1[[#This Row],[Nationality]],"_",Tableau1[[#This Row],[Competition_year]])</f>
        <v>Mohamed Ali GOUANED_ALG_2021</v>
      </c>
      <c r="B65" s="9" t="s">
        <v>381</v>
      </c>
      <c r="C65" s="9" t="s">
        <v>14</v>
      </c>
      <c r="D65" s="12" t="s">
        <v>24</v>
      </c>
      <c r="E65" s="13">
        <v>13.3</v>
      </c>
      <c r="F65" s="9">
        <v>12.5</v>
      </c>
      <c r="G65" s="9">
        <v>13.5</v>
      </c>
      <c r="H65" s="9">
        <v>13.1</v>
      </c>
      <c r="I65" s="9">
        <v>13.5</v>
      </c>
      <c r="J65">
        <v>13.1</v>
      </c>
      <c r="K65">
        <v>12.9</v>
      </c>
      <c r="L65">
        <f>Tableau1[[#This Row],[Final_time]]-SUM(Tableau1[[#This Row],[0_100m]:[600_700m]])</f>
        <v>13.569999999999993</v>
      </c>
      <c r="M65">
        <v>105.47</v>
      </c>
      <c r="N65">
        <f>SUM(Tableau1[[#This Row],[0_100m]:[700_800m]])</f>
        <v>105.47</v>
      </c>
      <c r="O65">
        <f>ABS(Tableau1[[#This Row],[Final_time]]-Tableau1[[#This Row],[Sum_time]])</f>
        <v>0</v>
      </c>
      <c r="P65" s="8"/>
      <c r="Q65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65" t="s">
        <v>472</v>
      </c>
      <c r="S65" s="1" t="s">
        <v>68</v>
      </c>
      <c r="U65" s="1" t="s">
        <v>288</v>
      </c>
      <c r="V65" s="1">
        <v>44344</v>
      </c>
      <c r="W65" s="4">
        <f>YEAR(Tableau1[[#This Row],[Competition_date]])</f>
        <v>2021</v>
      </c>
      <c r="X65" s="4">
        <v>39</v>
      </c>
      <c r="Y65" s="6">
        <v>0.14000000000000001</v>
      </c>
      <c r="Z65" s="4" t="s">
        <v>82</v>
      </c>
      <c r="AA65" t="s">
        <v>176</v>
      </c>
    </row>
    <row r="66" spans="1:27" hidden="1" x14ac:dyDescent="0.35">
      <c r="A66" t="str">
        <f>_xlfn.CONCAT(Tableau1[[#This Row],[Athletes]],"_",Tableau1[[#This Row],[Nationality]],"_",Tableau1[[#This Row],[Competition_year]])</f>
        <v>Moad ZAHAFI_MAR_2021</v>
      </c>
      <c r="B66" s="9" t="s">
        <v>282</v>
      </c>
      <c r="C66" s="9" t="s">
        <v>14</v>
      </c>
      <c r="D66" s="12" t="s">
        <v>21</v>
      </c>
      <c r="E66" s="13">
        <v>13.4</v>
      </c>
      <c r="F66" s="9">
        <v>13</v>
      </c>
      <c r="G66" s="9">
        <v>13.6</v>
      </c>
      <c r="H66" s="9">
        <v>13</v>
      </c>
      <c r="I66" s="9">
        <v>13.8</v>
      </c>
      <c r="J66">
        <v>13</v>
      </c>
      <c r="K66">
        <v>13.2</v>
      </c>
      <c r="L66">
        <f>Tableau1[[#This Row],[Final_time]]-SUM(Tableau1[[#This Row],[0_100m]:[600_700m]])</f>
        <v>13.650000000000006</v>
      </c>
      <c r="M66">
        <v>106.65</v>
      </c>
      <c r="N66">
        <f>SUM(Tableau1[[#This Row],[0_100m]:[700_800m]])</f>
        <v>106.65</v>
      </c>
      <c r="O66">
        <f>ABS(Tableau1[[#This Row],[Final_time]]-Tableau1[[#This Row],[Sum_time]])</f>
        <v>0</v>
      </c>
      <c r="P66" s="8"/>
      <c r="Q66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66" t="s">
        <v>472</v>
      </c>
      <c r="S66" s="1" t="s">
        <v>68</v>
      </c>
      <c r="U66" s="1" t="s">
        <v>288</v>
      </c>
      <c r="V66" s="1">
        <v>44344</v>
      </c>
      <c r="W66" s="4">
        <f>YEAR(Tableau1[[#This Row],[Competition_date]])</f>
        <v>2021</v>
      </c>
      <c r="X66" s="4">
        <v>39</v>
      </c>
      <c r="Y66" s="6">
        <v>0.14000000000000001</v>
      </c>
      <c r="Z66" s="4" t="s">
        <v>82</v>
      </c>
      <c r="AA66" t="s">
        <v>176</v>
      </c>
    </row>
    <row r="67" spans="1:27" hidden="1" x14ac:dyDescent="0.35">
      <c r="A67" t="str">
        <f>_xlfn.CONCAT(Tableau1[[#This Row],[Athletes]],"_",Tableau1[[#This Row],[Nationality]],"_",Tableau1[[#This Row],[Competition_year]])</f>
        <v>Musaeb Abdulrahman BALLA_QAT_2021</v>
      </c>
      <c r="B67" s="9" t="s">
        <v>283</v>
      </c>
      <c r="C67" s="9" t="s">
        <v>14</v>
      </c>
      <c r="D67" s="12" t="s">
        <v>57</v>
      </c>
      <c r="E67" s="13">
        <v>13.6</v>
      </c>
      <c r="F67" s="9">
        <v>12.8</v>
      </c>
      <c r="G67" s="9">
        <v>13.4</v>
      </c>
      <c r="H67" s="9">
        <v>13.2</v>
      </c>
      <c r="I67" s="9">
        <v>13.8</v>
      </c>
      <c r="J67">
        <v>13.4</v>
      </c>
      <c r="K67">
        <v>13.3</v>
      </c>
      <c r="L67">
        <f>Tableau1[[#This Row],[Final_time]]-SUM(Tableau1[[#This Row],[0_100m]:[600_700m]])</f>
        <v>13.590000000000003</v>
      </c>
      <c r="M67">
        <v>107.09</v>
      </c>
      <c r="N67">
        <f>SUM(Tableau1[[#This Row],[0_100m]:[700_800m]])</f>
        <v>107.09</v>
      </c>
      <c r="O67">
        <f>ABS(Tableau1[[#This Row],[Final_time]]-Tableau1[[#This Row],[Sum_time]])</f>
        <v>0</v>
      </c>
      <c r="P67" s="8"/>
      <c r="Q67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67" t="s">
        <v>472</v>
      </c>
      <c r="S67" s="1" t="s">
        <v>68</v>
      </c>
      <c r="U67" s="1" t="s">
        <v>288</v>
      </c>
      <c r="V67" s="1">
        <v>44344</v>
      </c>
      <c r="W67" s="4">
        <f>YEAR(Tableau1[[#This Row],[Competition_date]])</f>
        <v>2021</v>
      </c>
      <c r="X67" s="4">
        <v>39</v>
      </c>
      <c r="Y67" s="6">
        <v>0.14000000000000001</v>
      </c>
      <c r="Z67" s="4" t="s">
        <v>82</v>
      </c>
      <c r="AA67" t="s">
        <v>176</v>
      </c>
    </row>
    <row r="68" spans="1:27" hidden="1" x14ac:dyDescent="0.35">
      <c r="A68" t="str">
        <f>_xlfn.CONCAT(Tableau1[[#This Row],[Athletes]],"_",Tableau1[[#This Row],[Nationality]],"_",Tableau1[[#This Row],[Competition_year]])</f>
        <v>Abdessalem AYOUNI_TUN_2021</v>
      </c>
      <c r="B68" s="9" t="s">
        <v>202</v>
      </c>
      <c r="C68" s="9" t="s">
        <v>14</v>
      </c>
      <c r="D68" s="12" t="s">
        <v>124</v>
      </c>
      <c r="E68" s="13">
        <v>13.1</v>
      </c>
      <c r="F68" s="9">
        <v>12.9</v>
      </c>
      <c r="G68" s="9">
        <v>13.3</v>
      </c>
      <c r="H68" s="9">
        <v>13.3</v>
      </c>
      <c r="I68" s="9">
        <v>13.6</v>
      </c>
      <c r="J68">
        <v>13.1</v>
      </c>
      <c r="K68">
        <v>13.5</v>
      </c>
      <c r="L68">
        <f>Tableau1[[#This Row],[Final_time]]-SUM(Tableau1[[#This Row],[0_100m]:[600_700m]])</f>
        <v>14.380000000000024</v>
      </c>
      <c r="M68">
        <v>107.18</v>
      </c>
      <c r="N68">
        <f>SUM(Tableau1[[#This Row],[0_100m]:[700_800m]])</f>
        <v>107.18</v>
      </c>
      <c r="O68">
        <f>ABS(Tableau1[[#This Row],[Final_time]]-Tableau1[[#This Row],[Sum_time]])</f>
        <v>0</v>
      </c>
      <c r="P68" s="8"/>
      <c r="Q68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68" t="s">
        <v>472</v>
      </c>
      <c r="S68" s="1" t="s">
        <v>68</v>
      </c>
      <c r="U68" s="1" t="s">
        <v>288</v>
      </c>
      <c r="V68" s="1">
        <v>44344</v>
      </c>
      <c r="W68" s="4">
        <f>YEAR(Tableau1[[#This Row],[Competition_date]])</f>
        <v>2021</v>
      </c>
      <c r="X68" s="4">
        <v>39</v>
      </c>
      <c r="Y68" s="6">
        <v>0.14000000000000001</v>
      </c>
      <c r="Z68" s="4" t="s">
        <v>82</v>
      </c>
      <c r="AA68" t="s">
        <v>176</v>
      </c>
    </row>
    <row r="69" spans="1:27" hidden="1" x14ac:dyDescent="0.35">
      <c r="A69" t="str">
        <f>_xlfn.CONCAT(Tableau1[[#This Row],[Athletes]],"_",Tableau1[[#This Row],[Nationality]],"_",Tableau1[[#This Row],[Competition_year]])</f>
        <v>Manuel OLMEDO_ESP_2021</v>
      </c>
      <c r="B69" s="9" t="s">
        <v>469</v>
      </c>
      <c r="C69" s="9" t="s">
        <v>14</v>
      </c>
      <c r="D69" s="12" t="s">
        <v>37</v>
      </c>
      <c r="E69" s="13">
        <v>13.6</v>
      </c>
      <c r="F69" s="9">
        <v>12.9</v>
      </c>
      <c r="G69" s="9">
        <v>13.4</v>
      </c>
      <c r="H69" s="9">
        <v>13.2</v>
      </c>
      <c r="I69" s="9">
        <v>13.9</v>
      </c>
      <c r="J69">
        <v>13.5</v>
      </c>
      <c r="K69">
        <v>13.6</v>
      </c>
      <c r="L69">
        <f>Tableau1[[#This Row],[Final_time]]-SUM(Tableau1[[#This Row],[0_100m]:[600_700m]])</f>
        <v>13.240000000000009</v>
      </c>
      <c r="M69">
        <v>107.34</v>
      </c>
      <c r="N69">
        <f>SUM(Tableau1[[#This Row],[0_100m]:[700_800m]])</f>
        <v>107.34</v>
      </c>
      <c r="O69">
        <f>ABS(Tableau1[[#This Row],[Final_time]]-Tableau1[[#This Row],[Sum_time]])</f>
        <v>0</v>
      </c>
      <c r="P69" s="8"/>
      <c r="Q69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69" t="s">
        <v>472</v>
      </c>
      <c r="S69" s="1" t="s">
        <v>68</v>
      </c>
      <c r="U69" s="1" t="s">
        <v>288</v>
      </c>
      <c r="V69" s="1">
        <v>44344</v>
      </c>
      <c r="W69" s="4">
        <f>YEAR(Tableau1[[#This Row],[Competition_date]])</f>
        <v>2021</v>
      </c>
      <c r="X69" s="4">
        <v>39</v>
      </c>
      <c r="Y69" s="6">
        <v>0.14000000000000001</v>
      </c>
      <c r="Z69" s="4" t="s">
        <v>82</v>
      </c>
      <c r="AA69" t="s">
        <v>176</v>
      </c>
    </row>
    <row r="70" spans="1:27" hidden="1" x14ac:dyDescent="0.35">
      <c r="A70" t="str">
        <f>_xlfn.CONCAT(Tableau1[[#This Row],[Athletes]],"_",Tableau1[[#This Row],[Nationality]],"_",Tableau1[[#This Row],[Competition_year]])</f>
        <v>Erik SOWINSKI_USA_2021</v>
      </c>
      <c r="B70" s="9" t="s">
        <v>342</v>
      </c>
      <c r="C70" s="9" t="s">
        <v>14</v>
      </c>
      <c r="D70" s="12" t="s">
        <v>35</v>
      </c>
      <c r="E70" s="13">
        <v>13.3</v>
      </c>
      <c r="F70" s="9">
        <v>13</v>
      </c>
      <c r="G70" s="9">
        <v>13.2</v>
      </c>
      <c r="H70" s="9">
        <v>13.2</v>
      </c>
      <c r="I70" s="9">
        <v>13.6</v>
      </c>
      <c r="J70">
        <v>13.5</v>
      </c>
      <c r="K70">
        <v>13.8</v>
      </c>
      <c r="L70">
        <f>Tableau1[[#This Row],[Final_time]]-SUM(Tableau1[[#This Row],[0_100m]:[600_700m]])</f>
        <v>13.800000000000011</v>
      </c>
      <c r="M70">
        <v>107.4</v>
      </c>
      <c r="N70">
        <f>SUM(Tableau1[[#This Row],[0_100m]:[700_800m]])</f>
        <v>107.4</v>
      </c>
      <c r="O70">
        <f>ABS(Tableau1[[#This Row],[Final_time]]-Tableau1[[#This Row],[Sum_time]])</f>
        <v>0</v>
      </c>
      <c r="P70" s="8"/>
      <c r="Q70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70" t="s">
        <v>472</v>
      </c>
      <c r="S70" s="1" t="s">
        <v>68</v>
      </c>
      <c r="U70" s="1" t="s">
        <v>288</v>
      </c>
      <c r="V70" s="1">
        <v>44344</v>
      </c>
      <c r="W70" s="4">
        <f>YEAR(Tableau1[[#This Row],[Competition_date]])</f>
        <v>2021</v>
      </c>
      <c r="X70" s="4">
        <v>39</v>
      </c>
      <c r="Y70" s="6">
        <v>0.14000000000000001</v>
      </c>
      <c r="Z70" s="4" t="s">
        <v>82</v>
      </c>
      <c r="AA70" t="s">
        <v>176</v>
      </c>
    </row>
    <row r="71" spans="1:27" hidden="1" x14ac:dyDescent="0.35">
      <c r="A71" t="str">
        <f>_xlfn.CONCAT(Tableau1[[#This Row],[Athletes]],"_",Tableau1[[#This Row],[Nationality]],"_",Tableau1[[#This Row],[Competition_year]])</f>
        <v>Rabi Mohamoud MUBARAK_QAT_2021</v>
      </c>
      <c r="B71" s="9" t="s">
        <v>470</v>
      </c>
      <c r="C71" s="9" t="s">
        <v>14</v>
      </c>
      <c r="D71" s="12" t="s">
        <v>57</v>
      </c>
      <c r="E71" s="13">
        <v>13.2</v>
      </c>
      <c r="F71" s="9">
        <v>12.5</v>
      </c>
      <c r="G71" s="9">
        <v>13.2</v>
      </c>
      <c r="H71" s="9">
        <v>13.5</v>
      </c>
      <c r="I71" s="9">
        <v>13.5</v>
      </c>
      <c r="J71">
        <v>13.5</v>
      </c>
      <c r="K71">
        <v>13.9</v>
      </c>
      <c r="L71">
        <f>Tableau1[[#This Row],[Final_time]]-SUM(Tableau1[[#This Row],[0_100m]:[600_700m]])</f>
        <v>14.259999999999991</v>
      </c>
      <c r="M71">
        <v>107.56</v>
      </c>
      <c r="N71">
        <f>SUM(Tableau1[[#This Row],[0_100m]:[700_800m]])</f>
        <v>107.56</v>
      </c>
      <c r="O71">
        <f>ABS(Tableau1[[#This Row],[Final_time]]-Tableau1[[#This Row],[Sum_time]])</f>
        <v>0</v>
      </c>
      <c r="P71" s="8"/>
      <c r="Q71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71" t="s">
        <v>472</v>
      </c>
      <c r="S71" s="1" t="s">
        <v>68</v>
      </c>
      <c r="U71" s="1" t="s">
        <v>288</v>
      </c>
      <c r="V71" s="1">
        <v>44344</v>
      </c>
      <c r="W71" s="4">
        <f>YEAR(Tableau1[[#This Row],[Competition_date]])</f>
        <v>2021</v>
      </c>
      <c r="X71" s="4">
        <v>39</v>
      </c>
      <c r="Y71" s="6">
        <v>0.14000000000000001</v>
      </c>
      <c r="Z71" s="4" t="s">
        <v>82</v>
      </c>
      <c r="AA71" t="s">
        <v>176</v>
      </c>
    </row>
    <row r="72" spans="1:27" hidden="1" x14ac:dyDescent="0.35">
      <c r="A72" t="str">
        <f>_xlfn.CONCAT(Tableau1[[#This Row],[Athletes]],"_",Tableau1[[#This Row],[Nationality]],"_",Tableau1[[#This Row],[Competition_year]])</f>
        <v>Ebrahim ALZOFAIRI_KUW_2021</v>
      </c>
      <c r="B72" t="s">
        <v>194</v>
      </c>
      <c r="C72" t="s">
        <v>14</v>
      </c>
      <c r="D72" s="18" t="s">
        <v>118</v>
      </c>
      <c r="E72" s="10">
        <v>13.7</v>
      </c>
      <c r="F72">
        <v>12.9</v>
      </c>
      <c r="G72">
        <v>13.5</v>
      </c>
      <c r="H72">
        <v>13.1</v>
      </c>
      <c r="I72">
        <v>14</v>
      </c>
      <c r="J72">
        <v>13.2</v>
      </c>
      <c r="K72">
        <v>13.5</v>
      </c>
      <c r="L72">
        <f>Tableau1[[#This Row],[Final_time]]-SUM(Tableau1[[#This Row],[0_100m]:[600_700m]])</f>
        <v>13.669999999999987</v>
      </c>
      <c r="M72">
        <v>107.57</v>
      </c>
      <c r="N72">
        <f>SUM(Tableau1[[#This Row],[0_100m]:[700_800m]])</f>
        <v>107.57</v>
      </c>
      <c r="O72">
        <f>ABS(Tableau1[[#This Row],[Final_time]]-Tableau1[[#This Row],[Sum_time]])</f>
        <v>0</v>
      </c>
      <c r="P72" s="8"/>
      <c r="Q72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72" t="s">
        <v>472</v>
      </c>
      <c r="S72" s="1" t="s">
        <v>68</v>
      </c>
      <c r="U72" s="1" t="s">
        <v>288</v>
      </c>
      <c r="V72" s="1">
        <v>44344</v>
      </c>
      <c r="W72" s="4">
        <f>YEAR(Tableau1[[#This Row],[Competition_date]])</f>
        <v>2021</v>
      </c>
      <c r="X72" s="4">
        <v>39</v>
      </c>
      <c r="Y72" s="6">
        <v>0.14000000000000001</v>
      </c>
      <c r="Z72" s="4" t="s">
        <v>82</v>
      </c>
      <c r="AA72" t="s">
        <v>176</v>
      </c>
    </row>
    <row r="73" spans="1:27" hidden="1" x14ac:dyDescent="0.35">
      <c r="A73" t="str">
        <f>_xlfn.CONCAT(Tableau1[[#This Row],[Athletes]],"_",Tableau1[[#This Row],[Nationality]],"_",Tableau1[[#This Row],[Competition_year]])</f>
        <v>El Hafez MAHADI_QAT_2021</v>
      </c>
      <c r="B73" t="s">
        <v>725</v>
      </c>
      <c r="C73" t="s">
        <v>14</v>
      </c>
      <c r="D73" s="18" t="s">
        <v>57</v>
      </c>
      <c r="E73" s="10">
        <v>13.7</v>
      </c>
      <c r="F73">
        <v>13.2</v>
      </c>
      <c r="G73">
        <v>13.3</v>
      </c>
      <c r="H73">
        <v>13.4</v>
      </c>
      <c r="I73">
        <v>14.1</v>
      </c>
      <c r="J73">
        <v>14.5</v>
      </c>
      <c r="K73">
        <v>14.2</v>
      </c>
      <c r="L73">
        <f>Tableau1[[#This Row],[Final_time]]-SUM(Tableau1[[#This Row],[0_100m]:[600_700m]])</f>
        <v>14.329999999999998</v>
      </c>
      <c r="M73">
        <v>110.73</v>
      </c>
      <c r="N73">
        <f>SUM(Tableau1[[#This Row],[0_100m]:[700_800m]])</f>
        <v>110.73</v>
      </c>
      <c r="O73">
        <f>ABS(Tableau1[[#This Row],[Final_time]]-Tableau1[[#This Row],[Sum_time]])</f>
        <v>0</v>
      </c>
      <c r="P73" s="8"/>
      <c r="Q73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73" t="s">
        <v>472</v>
      </c>
      <c r="S73" s="1" t="s">
        <v>68</v>
      </c>
      <c r="U73" s="1" t="s">
        <v>288</v>
      </c>
      <c r="V73" s="1">
        <v>44344</v>
      </c>
      <c r="W73" s="4">
        <f>YEAR(Tableau1[[#This Row],[Competition_date]])</f>
        <v>2021</v>
      </c>
      <c r="X73" s="4">
        <v>39</v>
      </c>
      <c r="Y73" s="6">
        <v>0.14000000000000001</v>
      </c>
      <c r="Z73" s="4" t="s">
        <v>82</v>
      </c>
      <c r="AA73" t="s">
        <v>176</v>
      </c>
    </row>
    <row r="74" spans="1:27" hidden="1" x14ac:dyDescent="0.35">
      <c r="A74" t="str">
        <f>_xlfn.CONCAT(Tableau1[[#This Row],[Athletes]],"_",Tableau1[[#This Row],[Nationality]],"_",Tableau1[[#This Row],[Competition_year]])</f>
        <v>Khaled Mohamed Jaman AL HARBI_KUW_2021</v>
      </c>
      <c r="B74" t="s">
        <v>471</v>
      </c>
      <c r="C74" t="s">
        <v>14</v>
      </c>
      <c r="D74" s="18" t="s">
        <v>118</v>
      </c>
      <c r="E74" s="10">
        <v>13.9</v>
      </c>
      <c r="F74">
        <v>13.2</v>
      </c>
      <c r="G74">
        <v>13.3</v>
      </c>
      <c r="H74">
        <v>13.7</v>
      </c>
      <c r="I74">
        <v>14.2</v>
      </c>
      <c r="J74">
        <v>15.4</v>
      </c>
      <c r="K74">
        <v>15</v>
      </c>
      <c r="L74">
        <f>Tableau1[[#This Row],[Final_time]]-SUM(Tableau1[[#This Row],[0_100m]:[600_700m]])</f>
        <v>15.09999999999998</v>
      </c>
      <c r="M74">
        <v>113.8</v>
      </c>
      <c r="N74">
        <f>SUM(Tableau1[[#This Row],[0_100m]:[700_800m]])</f>
        <v>113.8</v>
      </c>
      <c r="O74">
        <f>ABS(Tableau1[[#This Row],[Final_time]]-Tableau1[[#This Row],[Sum_time]])</f>
        <v>0</v>
      </c>
      <c r="P74" s="8"/>
      <c r="Q74" s="16" t="str">
        <f>_xlfn.CONCAT(Tableau1[[#This Row],[Competition]],"_",Tableau1[[#This Row],[Championship_step]],"_",Tableau1[[#This Row],[Competition_date]],"_",Tableau1[[#This Row],[Gender]])</f>
        <v>Diamond League Doha 2021 - B race__44344_Male</v>
      </c>
      <c r="R74" t="s">
        <v>472</v>
      </c>
      <c r="S74" s="1" t="s">
        <v>68</v>
      </c>
      <c r="U74" s="1" t="s">
        <v>288</v>
      </c>
      <c r="V74" s="1">
        <v>44344</v>
      </c>
      <c r="W74" s="4">
        <f>YEAR(Tableau1[[#This Row],[Competition_date]])</f>
        <v>2021</v>
      </c>
      <c r="X74" s="4">
        <v>39</v>
      </c>
      <c r="Y74" s="6">
        <v>0.14000000000000001</v>
      </c>
      <c r="Z74" s="4" t="s">
        <v>82</v>
      </c>
      <c r="AA74" t="s">
        <v>176</v>
      </c>
    </row>
    <row r="75" spans="1:27" hidden="1" x14ac:dyDescent="0.35">
      <c r="A75" t="str">
        <f>_xlfn.CONCAT(Tableau1[[#This Row],[Athletes]],"_",Tableau1[[#This Row],[Nationality]],"_",Tableau1[[#This Row],[Competition_year]])</f>
        <v>Faith KIPYEGON_KEN_2021</v>
      </c>
      <c r="B75" s="9" t="s">
        <v>474</v>
      </c>
      <c r="C75" s="9" t="s">
        <v>29</v>
      </c>
      <c r="D75" s="12" t="s">
        <v>15</v>
      </c>
      <c r="E75" s="9">
        <v>14.8</v>
      </c>
      <c r="F75" s="9">
        <v>14.9</v>
      </c>
      <c r="G75" s="9">
        <v>16</v>
      </c>
      <c r="H75" s="9">
        <v>15.1</v>
      </c>
      <c r="I75" s="9">
        <v>15.2</v>
      </c>
      <c r="J75" s="9">
        <v>14.6</v>
      </c>
      <c r="K75" s="9">
        <v>13.8</v>
      </c>
      <c r="L75">
        <f>Tableau1[[#This Row],[Final_time]]-SUM(Tableau1[[#This Row],[0_100m]:[600_700m]])</f>
        <v>13.860000000000014</v>
      </c>
      <c r="M75" s="9">
        <v>118.26</v>
      </c>
      <c r="N75">
        <f>SUM(Tableau1[[#This Row],[0_100m]:[700_800m]])</f>
        <v>118.26</v>
      </c>
      <c r="O75">
        <f>ABS(Tableau1[[#This Row],[Final_time]]-Tableau1[[#This Row],[Sum_time]])</f>
        <v>0</v>
      </c>
      <c r="P75" s="8"/>
      <c r="Q75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75" t="s">
        <v>473</v>
      </c>
      <c r="S75" s="1" t="s">
        <v>68</v>
      </c>
      <c r="U75" s="1" t="s">
        <v>69</v>
      </c>
      <c r="V75" s="1">
        <v>44344</v>
      </c>
      <c r="W75" s="4">
        <f>YEAR(Tableau1[[#This Row],[Competition_date]])</f>
        <v>2021</v>
      </c>
      <c r="X75" s="4">
        <v>38</v>
      </c>
      <c r="Y75" s="6">
        <v>0.15</v>
      </c>
      <c r="Z75" s="4" t="s">
        <v>82</v>
      </c>
      <c r="AA75" t="s">
        <v>176</v>
      </c>
    </row>
    <row r="76" spans="1:27" hidden="1" x14ac:dyDescent="0.35">
      <c r="A76" t="str">
        <f>_xlfn.CONCAT(Tableau1[[#This Row],[Athletes]],"_",Tableau1[[#This Row],[Nationality]],"_",Tableau1[[#This Row],[Competition_year]])</f>
        <v>Natoya GOULE-TOPPIN_JAM_2021</v>
      </c>
      <c r="B76" s="9" t="s">
        <v>222</v>
      </c>
      <c r="C76" s="9" t="s">
        <v>29</v>
      </c>
      <c r="D76" s="12" t="s">
        <v>33</v>
      </c>
      <c r="E76" s="9">
        <v>14.6</v>
      </c>
      <c r="F76" s="9">
        <v>15</v>
      </c>
      <c r="G76" s="9">
        <v>15.9</v>
      </c>
      <c r="H76" s="9">
        <v>15.1</v>
      </c>
      <c r="I76" s="9">
        <v>15.2</v>
      </c>
      <c r="J76" s="9">
        <v>14.9</v>
      </c>
      <c r="K76" s="9">
        <v>14.4</v>
      </c>
      <c r="L76">
        <f>Tableau1[[#This Row],[Final_time]]-SUM(Tableau1[[#This Row],[0_100m]:[600_700m]])</f>
        <v>14.599999999999994</v>
      </c>
      <c r="M76" s="9">
        <v>119.7</v>
      </c>
      <c r="N76">
        <f>SUM(Tableau1[[#This Row],[0_100m]:[700_800m]])</f>
        <v>119.7</v>
      </c>
      <c r="O76">
        <f>ABS(Tableau1[[#This Row],[Final_time]]-Tableau1[[#This Row],[Sum_time]])</f>
        <v>0</v>
      </c>
      <c r="P76" s="8"/>
      <c r="Q76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76" t="s">
        <v>473</v>
      </c>
      <c r="S76" s="1" t="s">
        <v>68</v>
      </c>
      <c r="U76" s="1" t="s">
        <v>69</v>
      </c>
      <c r="V76" s="1">
        <v>44344</v>
      </c>
      <c r="W76" s="4">
        <f>YEAR(Tableau1[[#This Row],[Competition_date]])</f>
        <v>2021</v>
      </c>
      <c r="X76" s="4">
        <v>38</v>
      </c>
      <c r="Y76" s="6">
        <v>0.15</v>
      </c>
      <c r="Z76" s="4" t="s">
        <v>82</v>
      </c>
      <c r="AA76" t="s">
        <v>176</v>
      </c>
    </row>
    <row r="77" spans="1:27" hidden="1" x14ac:dyDescent="0.35">
      <c r="A77" t="str">
        <f>_xlfn.CONCAT(Tableau1[[#This Row],[Athletes]],"_",Tableau1[[#This Row],[Nationality]],"_",Tableau1[[#This Row],[Competition_year]])</f>
        <v>Rababe ARAFI_MAR_2021</v>
      </c>
      <c r="B77" s="9" t="s">
        <v>455</v>
      </c>
      <c r="C77" s="9" t="s">
        <v>29</v>
      </c>
      <c r="D77" s="12" t="s">
        <v>21</v>
      </c>
      <c r="E77" s="9">
        <v>15.3</v>
      </c>
      <c r="F77" s="9">
        <v>14.9</v>
      </c>
      <c r="G77" s="9">
        <v>15.9</v>
      </c>
      <c r="H77" s="9">
        <v>14.9</v>
      </c>
      <c r="I77" s="9">
        <v>15.2</v>
      </c>
      <c r="J77" s="9">
        <v>14.7</v>
      </c>
      <c r="K77" s="9">
        <v>14.4</v>
      </c>
      <c r="L77">
        <f>Tableau1[[#This Row],[Final_time]]-SUM(Tableau1[[#This Row],[0_100m]:[600_700m]])</f>
        <v>14.529999999999987</v>
      </c>
      <c r="M77" s="9">
        <v>119.83</v>
      </c>
      <c r="N77">
        <f>SUM(Tableau1[[#This Row],[0_100m]:[700_800m]])</f>
        <v>119.83</v>
      </c>
      <c r="O77">
        <f>ABS(Tableau1[[#This Row],[Final_time]]-Tableau1[[#This Row],[Sum_time]])</f>
        <v>0</v>
      </c>
      <c r="P77" s="8"/>
      <c r="Q77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77" t="s">
        <v>473</v>
      </c>
      <c r="S77" s="1" t="s">
        <v>68</v>
      </c>
      <c r="U77" s="1" t="s">
        <v>69</v>
      </c>
      <c r="V77" s="1">
        <v>44344</v>
      </c>
      <c r="W77" s="4">
        <f>YEAR(Tableau1[[#This Row],[Competition_date]])</f>
        <v>2021</v>
      </c>
      <c r="X77" s="4">
        <v>38</v>
      </c>
      <c r="Y77" s="6">
        <v>0.15</v>
      </c>
      <c r="Z77" s="4" t="s">
        <v>82</v>
      </c>
      <c r="AA77" t="s">
        <v>176</v>
      </c>
    </row>
    <row r="78" spans="1:27" hidden="1" x14ac:dyDescent="0.35">
      <c r="A78" t="str">
        <f>_xlfn.CONCAT(Tableau1[[#This Row],[Athletes]],"_",Tableau1[[#This Row],[Nationality]],"_",Tableau1[[#This Row],[Competition_year]])</f>
        <v>Habitam ALEMU_ETH_2021</v>
      </c>
      <c r="B78" s="9" t="s">
        <v>223</v>
      </c>
      <c r="C78" s="9" t="s">
        <v>29</v>
      </c>
      <c r="D78" s="12" t="s">
        <v>49</v>
      </c>
      <c r="E78" s="9">
        <v>14.5</v>
      </c>
      <c r="F78" s="9">
        <v>15</v>
      </c>
      <c r="G78" s="9">
        <v>16.2</v>
      </c>
      <c r="H78" s="9">
        <v>15.1</v>
      </c>
      <c r="I78" s="9">
        <v>15.2</v>
      </c>
      <c r="J78" s="9">
        <v>14.7</v>
      </c>
      <c r="K78" s="9">
        <v>14.2</v>
      </c>
      <c r="L78">
        <f>Tableau1[[#This Row],[Final_time]]-SUM(Tableau1[[#This Row],[0_100m]:[600_700m]])</f>
        <v>15.11999999999999</v>
      </c>
      <c r="M78" s="9">
        <v>120.02</v>
      </c>
      <c r="N78">
        <f>SUM(Tableau1[[#This Row],[0_100m]:[700_800m]])</f>
        <v>120.02</v>
      </c>
      <c r="O78">
        <f>ABS(Tableau1[[#This Row],[Final_time]]-Tableau1[[#This Row],[Sum_time]])</f>
        <v>0</v>
      </c>
      <c r="P78" s="8"/>
      <c r="Q78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78" t="s">
        <v>473</v>
      </c>
      <c r="S78" s="1" t="s">
        <v>68</v>
      </c>
      <c r="U78" s="1" t="s">
        <v>69</v>
      </c>
      <c r="V78" s="1">
        <v>44344</v>
      </c>
      <c r="W78" s="4">
        <f>YEAR(Tableau1[[#This Row],[Competition_date]])</f>
        <v>2021</v>
      </c>
      <c r="X78" s="4">
        <v>38</v>
      </c>
      <c r="Y78" s="6">
        <v>0.15</v>
      </c>
      <c r="Z78" s="4" t="s">
        <v>82</v>
      </c>
      <c r="AA78" t="s">
        <v>176</v>
      </c>
    </row>
    <row r="79" spans="1:27" hidden="1" x14ac:dyDescent="0.35">
      <c r="A79" t="str">
        <f>_xlfn.CONCAT(Tableau1[[#This Row],[Athletes]],"_",Tableau1[[#This Row],[Nationality]],"_",Tableau1[[#This Row],[Competition_year]])</f>
        <v>Keely HODGKINSON_GBR_2021</v>
      </c>
      <c r="B79" s="9" t="s">
        <v>212</v>
      </c>
      <c r="C79" s="9" t="s">
        <v>29</v>
      </c>
      <c r="D79" s="12" t="s">
        <v>30</v>
      </c>
      <c r="E79" s="9">
        <v>14.7</v>
      </c>
      <c r="F79" s="9">
        <v>15.2</v>
      </c>
      <c r="G79" s="9">
        <v>16.100000000000001</v>
      </c>
      <c r="H79" s="9">
        <v>15.3</v>
      </c>
      <c r="I79" s="9">
        <v>14.8</v>
      </c>
      <c r="J79" s="9">
        <v>14.8</v>
      </c>
      <c r="K79" s="9">
        <v>15</v>
      </c>
      <c r="L79">
        <f>Tableau1[[#This Row],[Final_time]]-SUM(Tableau1[[#This Row],[0_100m]:[600_700m]])</f>
        <v>14.730000000000004</v>
      </c>
      <c r="M79" s="9">
        <v>120.63</v>
      </c>
      <c r="N79">
        <f>SUM(Tableau1[[#This Row],[0_100m]:[700_800m]])</f>
        <v>120.63</v>
      </c>
      <c r="O79">
        <f>ABS(Tableau1[[#This Row],[Final_time]]-Tableau1[[#This Row],[Sum_time]])</f>
        <v>0</v>
      </c>
      <c r="P79" s="8"/>
      <c r="Q79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79" t="s">
        <v>473</v>
      </c>
      <c r="S79" s="1" t="s">
        <v>68</v>
      </c>
      <c r="U79" s="1" t="s">
        <v>69</v>
      </c>
      <c r="V79" s="1">
        <v>44344</v>
      </c>
      <c r="W79" s="4">
        <f>YEAR(Tableau1[[#This Row],[Competition_date]])</f>
        <v>2021</v>
      </c>
      <c r="X79" s="4">
        <v>38</v>
      </c>
      <c r="Y79" s="6">
        <v>0.15</v>
      </c>
      <c r="Z79" s="4" t="s">
        <v>82</v>
      </c>
      <c r="AA79" t="s">
        <v>176</v>
      </c>
    </row>
    <row r="80" spans="1:27" hidden="1" x14ac:dyDescent="0.35">
      <c r="A80" t="str">
        <f>_xlfn.CONCAT(Tableau1[[#This Row],[Athletes]],"_",Tableau1[[#This Row],[Nationality]],"_",Tableau1[[#This Row],[Competition_year]])</f>
        <v>Winnie NANYONDO_UGA_2021</v>
      </c>
      <c r="B80" s="9" t="s">
        <v>441</v>
      </c>
      <c r="C80" s="9" t="s">
        <v>29</v>
      </c>
      <c r="D80" s="12" t="s">
        <v>34</v>
      </c>
      <c r="E80" s="9">
        <v>14.6</v>
      </c>
      <c r="F80" s="9">
        <v>15</v>
      </c>
      <c r="G80" s="9">
        <v>16.3</v>
      </c>
      <c r="H80" s="9">
        <v>15.2</v>
      </c>
      <c r="I80" s="9">
        <v>15.1</v>
      </c>
      <c r="J80" s="9">
        <v>14.9</v>
      </c>
      <c r="K80" s="9">
        <v>14.6</v>
      </c>
      <c r="L80">
        <f>Tableau1[[#This Row],[Final_time]]-SUM(Tableau1[[#This Row],[0_100m]:[600_700m]])</f>
        <v>16.060000000000002</v>
      </c>
      <c r="M80" s="9">
        <v>121.76</v>
      </c>
      <c r="N80">
        <f>SUM(Tableau1[[#This Row],[0_100m]:[700_800m]])</f>
        <v>121.76</v>
      </c>
      <c r="O80">
        <f>ABS(Tableau1[[#This Row],[Final_time]]-Tableau1[[#This Row],[Sum_time]])</f>
        <v>0</v>
      </c>
      <c r="P80" s="8"/>
      <c r="Q80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80" t="s">
        <v>473</v>
      </c>
      <c r="S80" s="1" t="s">
        <v>68</v>
      </c>
      <c r="U80" s="1" t="s">
        <v>69</v>
      </c>
      <c r="V80" s="1">
        <v>44344</v>
      </c>
      <c r="W80" s="4">
        <f>YEAR(Tableau1[[#This Row],[Competition_date]])</f>
        <v>2021</v>
      </c>
      <c r="X80" s="4">
        <v>38</v>
      </c>
      <c r="Y80" s="6">
        <v>0.15</v>
      </c>
      <c r="Z80" s="4" t="s">
        <v>82</v>
      </c>
      <c r="AA80" t="s">
        <v>176</v>
      </c>
    </row>
    <row r="81" spans="1:27" hidden="1" x14ac:dyDescent="0.35">
      <c r="A81" t="str">
        <f>_xlfn.CONCAT(Tableau1[[#This Row],[Athletes]],"_",Tableau1[[#This Row],[Nationality]],"_",Tableau1[[#This Row],[Competition_year]])</f>
        <v>Hedda HYNNE_NOR_2021</v>
      </c>
      <c r="B81" s="9" t="s">
        <v>281</v>
      </c>
      <c r="C81" s="9" t="s">
        <v>29</v>
      </c>
      <c r="D81" s="12" t="s">
        <v>123</v>
      </c>
      <c r="E81" s="9">
        <v>14.9</v>
      </c>
      <c r="F81" s="9">
        <v>15.1</v>
      </c>
      <c r="G81" s="9">
        <v>16.3</v>
      </c>
      <c r="H81" s="9">
        <v>15.1</v>
      </c>
      <c r="I81" s="9">
        <v>15</v>
      </c>
      <c r="J81" s="9">
        <v>15.1</v>
      </c>
      <c r="K81" s="9">
        <v>15.2</v>
      </c>
      <c r="L81">
        <f>Tableau1[[#This Row],[Final_time]]-SUM(Tableau1[[#This Row],[0_100m]:[600_700m]])</f>
        <v>15.769999999999996</v>
      </c>
      <c r="M81" s="9">
        <v>122.47</v>
      </c>
      <c r="N81">
        <f>SUM(Tableau1[[#This Row],[0_100m]:[700_800m]])</f>
        <v>122.47</v>
      </c>
      <c r="O81">
        <f>ABS(Tableau1[[#This Row],[Final_time]]-Tableau1[[#This Row],[Sum_time]])</f>
        <v>0</v>
      </c>
      <c r="P81" s="8"/>
      <c r="Q81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81" t="s">
        <v>473</v>
      </c>
      <c r="S81" s="1" t="s">
        <v>68</v>
      </c>
      <c r="U81" s="1" t="s">
        <v>69</v>
      </c>
      <c r="V81" s="1">
        <v>44344</v>
      </c>
      <c r="W81" s="4">
        <f>YEAR(Tableau1[[#This Row],[Competition_date]])</f>
        <v>2021</v>
      </c>
      <c r="X81" s="4">
        <v>38</v>
      </c>
      <c r="Y81" s="6">
        <v>0.15</v>
      </c>
      <c r="Z81" s="4" t="s">
        <v>82</v>
      </c>
      <c r="AA81" t="s">
        <v>176</v>
      </c>
    </row>
    <row r="82" spans="1:27" hidden="1" x14ac:dyDescent="0.35">
      <c r="A82" t="str">
        <f>_xlfn.CONCAT(Tableau1[[#This Row],[Athletes]],"_",Tableau1[[#This Row],[Nationality]],"_",Tableau1[[#This Row],[Competition_year]])</f>
        <v>Hanna GREEN_USA_2021</v>
      </c>
      <c r="B82" s="9" t="s">
        <v>475</v>
      </c>
      <c r="C82" s="9" t="s">
        <v>29</v>
      </c>
      <c r="D82" s="12" t="s">
        <v>35</v>
      </c>
      <c r="E82" s="9">
        <v>14.8</v>
      </c>
      <c r="F82" s="9">
        <v>15.1</v>
      </c>
      <c r="G82" s="9">
        <v>16.399999999999999</v>
      </c>
      <c r="H82" s="9">
        <v>15.2</v>
      </c>
      <c r="I82" s="9">
        <v>14.9</v>
      </c>
      <c r="J82" s="9">
        <v>15</v>
      </c>
      <c r="K82" s="9">
        <v>15.2</v>
      </c>
      <c r="L82">
        <f>Tableau1[[#This Row],[Final_time]]-SUM(Tableau1[[#This Row],[0_100m]:[600_700m]])</f>
        <v>16.109999999999985</v>
      </c>
      <c r="M82" s="9">
        <v>122.71</v>
      </c>
      <c r="N82">
        <f>SUM(Tableau1[[#This Row],[0_100m]:[700_800m]])</f>
        <v>122.71</v>
      </c>
      <c r="O82">
        <f>ABS(Tableau1[[#This Row],[Final_time]]-Tableau1[[#This Row],[Sum_time]])</f>
        <v>0</v>
      </c>
      <c r="P82" s="8"/>
      <c r="Q82" s="16" t="str">
        <f>_xlfn.CONCAT(Tableau1[[#This Row],[Competition]],"_",Tableau1[[#This Row],[Championship_step]],"_",Tableau1[[#This Row],[Competition_date]],"_",Tableau1[[#This Row],[Gender]])</f>
        <v>Diamond League Doha 2021__44344_Female</v>
      </c>
      <c r="R82" t="s">
        <v>473</v>
      </c>
      <c r="S82" s="1" t="s">
        <v>68</v>
      </c>
      <c r="U82" s="1" t="s">
        <v>69</v>
      </c>
      <c r="V82" s="1">
        <v>44344</v>
      </c>
      <c r="W82" s="4">
        <f>YEAR(Tableau1[[#This Row],[Competition_date]])</f>
        <v>2021</v>
      </c>
      <c r="X82" s="4">
        <v>38</v>
      </c>
      <c r="Y82" s="6">
        <v>0.15</v>
      </c>
      <c r="Z82" s="4" t="s">
        <v>82</v>
      </c>
      <c r="AA82" t="s">
        <v>176</v>
      </c>
    </row>
    <row r="83" spans="1:27" hidden="1" x14ac:dyDescent="0.35">
      <c r="A83" t="str">
        <f>_xlfn.CONCAT(Tableau1[[#This Row],[Athletes]],"_",Tableau1[[#This Row],[Nationality]],"_",Tableau1[[#This Row],[Competition_year]])</f>
        <v>Wyclife KINYAMAL_KEN_2021</v>
      </c>
      <c r="B83" s="9" t="s">
        <v>174</v>
      </c>
      <c r="C83" s="9" t="s">
        <v>14</v>
      </c>
      <c r="D83" s="12" t="s">
        <v>15</v>
      </c>
      <c r="E83" s="13">
        <v>12.7</v>
      </c>
      <c r="F83" s="9">
        <v>12.6</v>
      </c>
      <c r="G83" s="9">
        <v>13</v>
      </c>
      <c r="H83" s="9">
        <v>12.8</v>
      </c>
      <c r="I83" s="9">
        <v>13.2</v>
      </c>
      <c r="J83">
        <v>13.2</v>
      </c>
      <c r="K83">
        <v>13.2</v>
      </c>
      <c r="L83">
        <f>Tableau1[[#This Row],[Final_time]]-SUM(Tableau1[[#This Row],[0_100m]:[600_700m]])</f>
        <v>13.209999999999994</v>
      </c>
      <c r="M83">
        <v>103.91</v>
      </c>
      <c r="N83">
        <f>SUM(Tableau1[[#This Row],[0_100m]:[700_800m]])</f>
        <v>103.91</v>
      </c>
      <c r="O83">
        <f>ABS(Tableau1[[#This Row],[Final_time]]-Tableau1[[#This Row],[Sum_time]])</f>
        <v>0</v>
      </c>
      <c r="P83" s="8"/>
      <c r="Q83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3" t="s">
        <v>473</v>
      </c>
      <c r="S83" s="1" t="s">
        <v>68</v>
      </c>
      <c r="U83" s="1" t="s">
        <v>69</v>
      </c>
      <c r="V83" s="1">
        <v>44344</v>
      </c>
      <c r="W83" s="4">
        <f>YEAR(Tableau1[[#This Row],[Competition_date]])</f>
        <v>2021</v>
      </c>
      <c r="X83" s="4">
        <v>34</v>
      </c>
      <c r="Y83" s="6">
        <v>0.16</v>
      </c>
      <c r="Z83" s="4" t="s">
        <v>82</v>
      </c>
      <c r="AA83" t="s">
        <v>176</v>
      </c>
    </row>
    <row r="84" spans="1:27" hidden="1" x14ac:dyDescent="0.35">
      <c r="A84" t="str">
        <f>_xlfn.CONCAT(Tableau1[[#This Row],[Athletes]],"_",Tableau1[[#This Row],[Nationality]],"_",Tableau1[[#This Row],[Competition_year]])</f>
        <v>Ferguson Cheruiyot ROTICH_KEN_2021</v>
      </c>
      <c r="B84" s="9" t="s">
        <v>199</v>
      </c>
      <c r="C84" s="9" t="s">
        <v>14</v>
      </c>
      <c r="D84" s="12" t="s">
        <v>15</v>
      </c>
      <c r="E84" s="13">
        <v>13.2</v>
      </c>
      <c r="F84" s="9">
        <v>12.3</v>
      </c>
      <c r="G84" s="9">
        <v>12.9</v>
      </c>
      <c r="H84" s="9">
        <v>12.9</v>
      </c>
      <c r="I84" s="9">
        <v>13.4</v>
      </c>
      <c r="J84">
        <v>13.1</v>
      </c>
      <c r="K84">
        <v>13.3</v>
      </c>
      <c r="L84">
        <f>Tableau1[[#This Row],[Final_time]]-SUM(Tableau1[[#This Row],[0_100m]:[600_700m]])</f>
        <v>13.350000000000009</v>
      </c>
      <c r="M84">
        <v>104.45</v>
      </c>
      <c r="N84">
        <f>SUM(Tableau1[[#This Row],[0_100m]:[700_800m]])</f>
        <v>104.45</v>
      </c>
      <c r="O84">
        <f>ABS(Tableau1[[#This Row],[Final_time]]-Tableau1[[#This Row],[Sum_time]])</f>
        <v>0</v>
      </c>
      <c r="P84" s="8"/>
      <c r="Q84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4" t="s">
        <v>473</v>
      </c>
      <c r="S84" s="1" t="s">
        <v>68</v>
      </c>
      <c r="U84" s="1" t="s">
        <v>69</v>
      </c>
      <c r="V84" s="1">
        <v>44344</v>
      </c>
      <c r="W84" s="4">
        <f>YEAR(Tableau1[[#This Row],[Competition_date]])</f>
        <v>2021</v>
      </c>
      <c r="X84" s="4">
        <v>34</v>
      </c>
      <c r="Y84" s="6">
        <v>0.16</v>
      </c>
      <c r="Z84" s="4" t="s">
        <v>82</v>
      </c>
      <c r="AA84" t="s">
        <v>176</v>
      </c>
    </row>
    <row r="85" spans="1:27" hidden="1" x14ac:dyDescent="0.35">
      <c r="A85" t="str">
        <f>_xlfn.CONCAT(Tableau1[[#This Row],[Athletes]],"_",Tableau1[[#This Row],[Nationality]],"_",Tableau1[[#This Row],[Competition_year]])</f>
        <v>Daniel ROWDEN_GBR_2021</v>
      </c>
      <c r="B85" s="9" t="s">
        <v>172</v>
      </c>
      <c r="C85" s="9" t="s">
        <v>14</v>
      </c>
      <c r="D85" s="12" t="s">
        <v>30</v>
      </c>
      <c r="E85" s="13">
        <v>12.7</v>
      </c>
      <c r="F85" s="9">
        <v>12.3</v>
      </c>
      <c r="G85" s="9">
        <v>12.8</v>
      </c>
      <c r="H85" s="9">
        <v>12.9</v>
      </c>
      <c r="I85" s="9">
        <v>13.1</v>
      </c>
      <c r="J85">
        <v>13.4</v>
      </c>
      <c r="K85">
        <v>13.6</v>
      </c>
      <c r="L85">
        <f>Tableau1[[#This Row],[Final_time]]-SUM(Tableau1[[#This Row],[0_100m]:[600_700m]])</f>
        <v>13.799999999999997</v>
      </c>
      <c r="M85">
        <v>104.6</v>
      </c>
      <c r="N85">
        <f>SUM(Tableau1[[#This Row],[0_100m]:[700_800m]])</f>
        <v>104.6</v>
      </c>
      <c r="O85">
        <f>ABS(Tableau1[[#This Row],[Final_time]]-Tableau1[[#This Row],[Sum_time]])</f>
        <v>0</v>
      </c>
      <c r="P85" s="8"/>
      <c r="Q85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5" t="s">
        <v>473</v>
      </c>
      <c r="S85" s="1" t="s">
        <v>68</v>
      </c>
      <c r="U85" s="1" t="s">
        <v>69</v>
      </c>
      <c r="V85" s="1">
        <v>44344</v>
      </c>
      <c r="W85" s="4">
        <f>YEAR(Tableau1[[#This Row],[Competition_date]])</f>
        <v>2021</v>
      </c>
      <c r="X85" s="4">
        <v>34</v>
      </c>
      <c r="Y85" s="6">
        <v>0.16</v>
      </c>
      <c r="Z85" s="4" t="s">
        <v>82</v>
      </c>
      <c r="AA85" t="s">
        <v>176</v>
      </c>
    </row>
    <row r="86" spans="1:27" hidden="1" x14ac:dyDescent="0.35">
      <c r="A86" t="str">
        <f>_xlfn.CONCAT(Tableau1[[#This Row],[Athletes]],"_",Tableau1[[#This Row],[Nationality]],"_",Tableau1[[#This Row],[Competition_year]])</f>
        <v>Amel TUKA_BIH_2021</v>
      </c>
      <c r="B86" s="9" t="s">
        <v>196</v>
      </c>
      <c r="C86" s="9" t="s">
        <v>14</v>
      </c>
      <c r="D86" s="12" t="s">
        <v>120</v>
      </c>
      <c r="E86" s="13">
        <v>12.9</v>
      </c>
      <c r="F86" s="9">
        <v>12.8</v>
      </c>
      <c r="G86" s="9">
        <v>13</v>
      </c>
      <c r="H86" s="9">
        <v>13.1</v>
      </c>
      <c r="I86" s="9">
        <v>13.4</v>
      </c>
      <c r="J86">
        <v>13.1</v>
      </c>
      <c r="K86">
        <v>13.3</v>
      </c>
      <c r="L86">
        <f>Tableau1[[#This Row],[Final_time]]-SUM(Tableau1[[#This Row],[0_100m]:[600_700m]])</f>
        <v>13.160000000000011</v>
      </c>
      <c r="M86">
        <v>104.76</v>
      </c>
      <c r="N86">
        <f>SUM(Tableau1[[#This Row],[0_100m]:[700_800m]])</f>
        <v>104.76</v>
      </c>
      <c r="O86">
        <f>ABS(Tableau1[[#This Row],[Final_time]]-Tableau1[[#This Row],[Sum_time]])</f>
        <v>0</v>
      </c>
      <c r="P86" s="8"/>
      <c r="Q86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6" t="s">
        <v>473</v>
      </c>
      <c r="S86" s="1" t="s">
        <v>68</v>
      </c>
      <c r="U86" s="1" t="s">
        <v>69</v>
      </c>
      <c r="V86" s="1">
        <v>44344</v>
      </c>
      <c r="W86" s="4">
        <f>YEAR(Tableau1[[#This Row],[Competition_date]])</f>
        <v>2021</v>
      </c>
      <c r="X86" s="4">
        <v>34</v>
      </c>
      <c r="Y86" s="6">
        <v>0.16</v>
      </c>
      <c r="Z86" s="4" t="s">
        <v>82</v>
      </c>
      <c r="AA86" t="s">
        <v>176</v>
      </c>
    </row>
    <row r="87" spans="1:27" hidden="1" x14ac:dyDescent="0.35">
      <c r="A87" t="str">
        <f>_xlfn.CONCAT(Tableau1[[#This Row],[Athletes]],"_",Tableau1[[#This Row],[Nationality]],"_",Tableau1[[#This Row],[Competition_year]])</f>
        <v>Adrián BEN_ESP_2021</v>
      </c>
      <c r="B87" s="9" t="s">
        <v>184</v>
      </c>
      <c r="C87" s="9" t="s">
        <v>14</v>
      </c>
      <c r="D87" s="12" t="s">
        <v>37</v>
      </c>
      <c r="E87" s="13">
        <v>13.3</v>
      </c>
      <c r="F87" s="9">
        <v>12.8</v>
      </c>
      <c r="G87" s="9">
        <v>13.1</v>
      </c>
      <c r="H87" s="9">
        <v>13.2</v>
      </c>
      <c r="I87" s="9">
        <v>13.2</v>
      </c>
      <c r="J87">
        <v>13</v>
      </c>
      <c r="K87">
        <v>13.2</v>
      </c>
      <c r="L87">
        <f>Tableau1[[#This Row],[Final_time]]-SUM(Tableau1[[#This Row],[0_100m]:[600_700m]])</f>
        <v>13.299999999999983</v>
      </c>
      <c r="M87">
        <v>105.1</v>
      </c>
      <c r="N87">
        <f>SUM(Tableau1[[#This Row],[0_100m]:[700_800m]])</f>
        <v>105.1</v>
      </c>
      <c r="O87">
        <f>ABS(Tableau1[[#This Row],[Final_time]]-Tableau1[[#This Row],[Sum_time]])</f>
        <v>0</v>
      </c>
      <c r="P87" s="8"/>
      <c r="Q87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7" t="s">
        <v>473</v>
      </c>
      <c r="S87" s="1" t="s">
        <v>68</v>
      </c>
      <c r="U87" s="1" t="s">
        <v>69</v>
      </c>
      <c r="V87" s="1">
        <v>44344</v>
      </c>
      <c r="W87" s="4">
        <f>YEAR(Tableau1[[#This Row],[Competition_date]])</f>
        <v>2021</v>
      </c>
      <c r="X87" s="4">
        <v>34</v>
      </c>
      <c r="Y87" s="6">
        <v>0.16</v>
      </c>
      <c r="Z87" s="4" t="s">
        <v>82</v>
      </c>
      <c r="AA87" t="s">
        <v>176</v>
      </c>
    </row>
    <row r="88" spans="1:27" hidden="1" x14ac:dyDescent="0.35">
      <c r="A88" t="str">
        <f>_xlfn.CONCAT(Tableau1[[#This Row],[Athletes]],"_",Tableau1[[#This Row],[Nationality]],"_",Tableau1[[#This Row],[Competition_year]])</f>
        <v>Tshepo TSHITE_RSA_2021</v>
      </c>
      <c r="B88" s="9" t="s">
        <v>249</v>
      </c>
      <c r="C88" s="9" t="s">
        <v>14</v>
      </c>
      <c r="D88" s="12" t="s">
        <v>96</v>
      </c>
      <c r="E88" s="13">
        <v>12.9</v>
      </c>
      <c r="F88" s="9">
        <v>12.5</v>
      </c>
      <c r="G88" s="9">
        <v>13.2</v>
      </c>
      <c r="H88" s="9">
        <v>13</v>
      </c>
      <c r="I88" s="9">
        <v>13.4</v>
      </c>
      <c r="J88">
        <v>13.1</v>
      </c>
      <c r="K88">
        <v>13.4</v>
      </c>
      <c r="L88">
        <f>Tableau1[[#This Row],[Final_time]]-SUM(Tableau1[[#This Row],[0_100m]:[600_700m]])</f>
        <v>14.040000000000006</v>
      </c>
      <c r="M88">
        <v>105.54</v>
      </c>
      <c r="N88">
        <f>SUM(Tableau1[[#This Row],[0_100m]:[700_800m]])</f>
        <v>105.54</v>
      </c>
      <c r="O88">
        <f>ABS(Tableau1[[#This Row],[Final_time]]-Tableau1[[#This Row],[Sum_time]])</f>
        <v>0</v>
      </c>
      <c r="P88" s="8"/>
      <c r="Q88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8" t="s">
        <v>473</v>
      </c>
      <c r="S88" s="1" t="s">
        <v>68</v>
      </c>
      <c r="U88" s="1" t="s">
        <v>69</v>
      </c>
      <c r="V88" s="1">
        <v>44344</v>
      </c>
      <c r="W88" s="4">
        <f>YEAR(Tableau1[[#This Row],[Competition_date]])</f>
        <v>2021</v>
      </c>
      <c r="X88" s="4">
        <v>34</v>
      </c>
      <c r="Y88" s="6">
        <v>0.16</v>
      </c>
      <c r="Z88" s="4" t="s">
        <v>82</v>
      </c>
      <c r="AA88" t="s">
        <v>176</v>
      </c>
    </row>
    <row r="89" spans="1:27" hidden="1" x14ac:dyDescent="0.35">
      <c r="A89" t="str">
        <f>_xlfn.CONCAT(Tableau1[[#This Row],[Athletes]],"_",Tableau1[[#This Row],[Nationality]],"_",Tableau1[[#This Row],[Competition_year]])</f>
        <v>Jamal HAIRANE_QAT_2021</v>
      </c>
      <c r="B89" s="9" t="s">
        <v>876</v>
      </c>
      <c r="C89" s="9" t="s">
        <v>14</v>
      </c>
      <c r="D89" s="12" t="s">
        <v>57</v>
      </c>
      <c r="E89" s="13">
        <v>13.2</v>
      </c>
      <c r="F89" s="9">
        <v>12.6</v>
      </c>
      <c r="G89" s="9">
        <v>13.1</v>
      </c>
      <c r="H89" s="9">
        <v>13</v>
      </c>
      <c r="I89" s="9">
        <v>13.4</v>
      </c>
      <c r="J89">
        <v>13.3</v>
      </c>
      <c r="K89">
        <v>13.7</v>
      </c>
      <c r="L89">
        <f>Tableau1[[#This Row],[Final_time]]-SUM(Tableau1[[#This Row],[0_100m]:[600_700m]])</f>
        <v>13.570000000000007</v>
      </c>
      <c r="M89">
        <v>105.87</v>
      </c>
      <c r="N89">
        <f>SUM(Tableau1[[#This Row],[0_100m]:[700_800m]])</f>
        <v>105.87</v>
      </c>
      <c r="O89">
        <f>ABS(Tableau1[[#This Row],[Final_time]]-Tableau1[[#This Row],[Sum_time]])</f>
        <v>0</v>
      </c>
      <c r="P89" s="8"/>
      <c r="Q89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89" t="s">
        <v>473</v>
      </c>
      <c r="S89" s="1" t="s">
        <v>68</v>
      </c>
      <c r="U89" s="1" t="s">
        <v>69</v>
      </c>
      <c r="V89" s="1">
        <v>44344</v>
      </c>
      <c r="W89" s="4">
        <f>YEAR(Tableau1[[#This Row],[Competition_date]])</f>
        <v>2021</v>
      </c>
      <c r="X89" s="4">
        <v>34</v>
      </c>
      <c r="Y89" s="6">
        <v>0.16</v>
      </c>
      <c r="Z89" s="4" t="s">
        <v>82</v>
      </c>
      <c r="AA89" t="s">
        <v>176</v>
      </c>
    </row>
    <row r="90" spans="1:27" hidden="1" x14ac:dyDescent="0.35">
      <c r="A90" t="str">
        <f>_xlfn.CONCAT(Tableau1[[#This Row],[Athletes]],"_",Tableau1[[#This Row],[Nationality]],"_",Tableau1[[#This Row],[Competition_year]])</f>
        <v>Abdirahman Saeed HASSAN_QAT_2021</v>
      </c>
      <c r="B90" t="s">
        <v>284</v>
      </c>
      <c r="C90" s="9" t="s">
        <v>14</v>
      </c>
      <c r="D90" s="18" t="s">
        <v>57</v>
      </c>
      <c r="E90" s="10">
        <v>12.7</v>
      </c>
      <c r="F90">
        <v>12.4</v>
      </c>
      <c r="G90">
        <v>12.9</v>
      </c>
      <c r="H90">
        <v>12.9</v>
      </c>
      <c r="I90">
        <v>13.1</v>
      </c>
      <c r="J90">
        <v>13.3</v>
      </c>
      <c r="K90">
        <v>13.8</v>
      </c>
      <c r="L90">
        <f>Tableau1[[#This Row],[Final_time]]-SUM(Tableau1[[#This Row],[0_100m]:[600_700m]])</f>
        <v>14.89</v>
      </c>
      <c r="M90">
        <v>105.99</v>
      </c>
      <c r="N90">
        <f>SUM(Tableau1[[#This Row],[0_100m]:[700_800m]])</f>
        <v>105.99</v>
      </c>
      <c r="O90">
        <f>ABS(Tableau1[[#This Row],[Final_time]]-Tableau1[[#This Row],[Sum_time]])</f>
        <v>0</v>
      </c>
      <c r="P90" s="8"/>
      <c r="Q90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90" t="s">
        <v>473</v>
      </c>
      <c r="S90" s="1" t="s">
        <v>68</v>
      </c>
      <c r="U90" s="1" t="s">
        <v>69</v>
      </c>
      <c r="V90" s="1">
        <v>44344</v>
      </c>
      <c r="W90" s="4">
        <f>YEAR(Tableau1[[#This Row],[Competition_date]])</f>
        <v>2021</v>
      </c>
      <c r="X90" s="4">
        <v>34</v>
      </c>
      <c r="Y90" s="6">
        <v>0.16</v>
      </c>
      <c r="Z90" s="4" t="s">
        <v>82</v>
      </c>
      <c r="AA90" t="s">
        <v>176</v>
      </c>
    </row>
    <row r="91" spans="1:27" hidden="1" x14ac:dyDescent="0.35">
      <c r="A91" t="str">
        <f>_xlfn.CONCAT(Tableau1[[#This Row],[Athletes]],"_",Tableau1[[#This Row],[Nationality]],"_",Tableau1[[#This Row],[Competition_year]])</f>
        <v>Jamie WEBB_GBR_2021</v>
      </c>
      <c r="B91" t="s">
        <v>360</v>
      </c>
      <c r="C91" s="9" t="s">
        <v>14</v>
      </c>
      <c r="D91" s="18" t="s">
        <v>30</v>
      </c>
      <c r="E91" s="10">
        <v>13</v>
      </c>
      <c r="F91">
        <v>12.4</v>
      </c>
      <c r="G91">
        <v>13.1</v>
      </c>
      <c r="H91">
        <v>13</v>
      </c>
      <c r="I91">
        <v>13.3</v>
      </c>
      <c r="J91">
        <v>13.4</v>
      </c>
      <c r="K91">
        <v>14.3</v>
      </c>
      <c r="L91">
        <f>Tableau1[[#This Row],[Final_time]]-SUM(Tableau1[[#This Row],[0_100m]:[600_700m]])</f>
        <v>16.099999999999994</v>
      </c>
      <c r="M91">
        <v>108.6</v>
      </c>
      <c r="N91">
        <f>SUM(Tableau1[[#This Row],[0_100m]:[700_800m]])</f>
        <v>108.6</v>
      </c>
      <c r="O91">
        <f>ABS(Tableau1[[#This Row],[Final_time]]-Tableau1[[#This Row],[Sum_time]])</f>
        <v>0</v>
      </c>
      <c r="P91" s="8"/>
      <c r="Q91" s="16" t="str">
        <f>_xlfn.CONCAT(Tableau1[[#This Row],[Competition]],"_",Tableau1[[#This Row],[Championship_step]],"_",Tableau1[[#This Row],[Competition_date]],"_",Tableau1[[#This Row],[Gender]])</f>
        <v>Diamond League Doha 2021__44344_Male</v>
      </c>
      <c r="R91" t="s">
        <v>473</v>
      </c>
      <c r="S91" s="1" t="s">
        <v>68</v>
      </c>
      <c r="U91" s="1" t="s">
        <v>69</v>
      </c>
      <c r="V91" s="1">
        <v>44344</v>
      </c>
      <c r="W91" s="4">
        <f>YEAR(Tableau1[[#This Row],[Competition_date]])</f>
        <v>2021</v>
      </c>
      <c r="X91" s="4">
        <v>34</v>
      </c>
      <c r="Y91" s="6">
        <v>0.16</v>
      </c>
      <c r="Z91" s="4" t="s">
        <v>82</v>
      </c>
      <c r="AA91" t="s">
        <v>176</v>
      </c>
    </row>
    <row r="92" spans="1:27" hidden="1" x14ac:dyDescent="0.35">
      <c r="A92" t="str">
        <f>_xlfn.CONCAT(Tableau1[[#This Row],[Athletes]],"_",Tableau1[[#This Row],[Nationality]],"_",Tableau1[[#This Row],[Competition_year]])</f>
        <v>Noah KIBET_KEN_2022</v>
      </c>
      <c r="B92" s="9" t="s">
        <v>250</v>
      </c>
      <c r="C92" s="9" t="s">
        <v>14</v>
      </c>
      <c r="D92" s="12" t="s">
        <v>15</v>
      </c>
      <c r="E92" s="9">
        <v>13.7</v>
      </c>
      <c r="F92" s="9">
        <v>13.9</v>
      </c>
      <c r="G92" s="9">
        <v>17.399999999999999</v>
      </c>
      <c r="H92" s="9">
        <v>11.1</v>
      </c>
      <c r="I92" s="9">
        <v>13.4</v>
      </c>
      <c r="J92" s="9">
        <v>14.2</v>
      </c>
      <c r="K92" s="9">
        <v>12.2</v>
      </c>
      <c r="L92">
        <f>Tableau1[[#This Row],[Final_time]]-SUM(Tableau1[[#This Row],[0_100m]:[600_700m]])</f>
        <v>13.179999999999993</v>
      </c>
      <c r="M92" s="9">
        <v>109.08</v>
      </c>
      <c r="N92">
        <f>SUM(Tableau1[[#This Row],[0_100m]:[700_800m]])</f>
        <v>109.08</v>
      </c>
      <c r="O92">
        <f>ABS(Tableau1[[#This Row],[Final_time]]-Tableau1[[#This Row],[Sum_time]])</f>
        <v>0</v>
      </c>
      <c r="P92" s="8"/>
      <c r="Q92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2" t="s">
        <v>343</v>
      </c>
      <c r="S92" s="1" t="s">
        <v>68</v>
      </c>
      <c r="U92" s="1" t="s">
        <v>69</v>
      </c>
      <c r="V92" s="1">
        <v>44694</v>
      </c>
      <c r="W92" s="4">
        <f>YEAR(Tableau1[[#This Row],[Competition_date]])</f>
        <v>2022</v>
      </c>
      <c r="X92" s="4">
        <v>31</v>
      </c>
      <c r="Y92" s="6">
        <v>0.16</v>
      </c>
      <c r="Z92" s="4" t="s">
        <v>82</v>
      </c>
      <c r="AA92" t="s">
        <v>176</v>
      </c>
    </row>
    <row r="93" spans="1:27" hidden="1" x14ac:dyDescent="0.35">
      <c r="A93" t="str">
        <f>_xlfn.CONCAT(Tableau1[[#This Row],[Athletes]],"_",Tableau1[[#This Row],[Nationality]],"_",Tableau1[[#This Row],[Competition_year]])</f>
        <v>Peter BOL_AUS_2022</v>
      </c>
      <c r="B93" s="9" t="s">
        <v>127</v>
      </c>
      <c r="C93" s="9" t="s">
        <v>14</v>
      </c>
      <c r="D93" s="12" t="s">
        <v>36</v>
      </c>
      <c r="E93" s="9">
        <v>13.6</v>
      </c>
      <c r="F93" s="9">
        <v>14.5</v>
      </c>
      <c r="G93" s="9">
        <v>14.5</v>
      </c>
      <c r="H93" s="9">
        <v>14.1</v>
      </c>
      <c r="I93" s="9">
        <v>13.9</v>
      </c>
      <c r="J93" s="9">
        <v>13.6</v>
      </c>
      <c r="K93" s="9">
        <v>12.8</v>
      </c>
      <c r="L93">
        <f>Tableau1[[#This Row],[Final_time]]-SUM(Tableau1[[#This Row],[0_100m]:[600_700m]])</f>
        <v>12.349999999999994</v>
      </c>
      <c r="M93" s="9">
        <v>109.35</v>
      </c>
      <c r="N93">
        <f>SUM(Tableau1[[#This Row],[0_100m]:[700_800m]])</f>
        <v>109.35</v>
      </c>
      <c r="O93">
        <f>ABS(Tableau1[[#This Row],[Final_time]]-Tableau1[[#This Row],[Sum_time]])</f>
        <v>0</v>
      </c>
      <c r="P93" s="8"/>
      <c r="Q93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3" t="s">
        <v>343</v>
      </c>
      <c r="S93" s="1" t="s">
        <v>68</v>
      </c>
      <c r="U93" s="1" t="s">
        <v>69</v>
      </c>
      <c r="V93" s="1">
        <v>44694</v>
      </c>
      <c r="W93" s="4">
        <f>YEAR(Tableau1[[#This Row],[Competition_date]])</f>
        <v>2022</v>
      </c>
      <c r="X93" s="4">
        <v>31</v>
      </c>
      <c r="Y93" s="6">
        <v>0.16</v>
      </c>
      <c r="Z93" s="4" t="s">
        <v>82</v>
      </c>
      <c r="AA93" t="s">
        <v>176</v>
      </c>
    </row>
    <row r="94" spans="1:27" hidden="1" x14ac:dyDescent="0.35">
      <c r="A94" t="str">
        <f>_xlfn.CONCAT(Tableau1[[#This Row],[Athletes]],"_",Tableau1[[#This Row],[Nationality]],"_",Tableau1[[#This Row],[Competition_year]])</f>
        <v>Marco AROP_CAN_2022</v>
      </c>
      <c r="B94" s="9" t="s">
        <v>177</v>
      </c>
      <c r="C94" s="9" t="s">
        <v>14</v>
      </c>
      <c r="D94" s="12" t="s">
        <v>19</v>
      </c>
      <c r="E94" s="9">
        <v>13.8</v>
      </c>
      <c r="F94" s="9">
        <v>14</v>
      </c>
      <c r="G94" s="9">
        <v>14.6</v>
      </c>
      <c r="H94" s="9">
        <v>14.1</v>
      </c>
      <c r="I94" s="9">
        <v>13.7</v>
      </c>
      <c r="J94" s="9">
        <v>14.1</v>
      </c>
      <c r="K94" s="9">
        <v>12.5</v>
      </c>
      <c r="L94">
        <f>Tableau1[[#This Row],[Final_time]]-SUM(Tableau1[[#This Row],[0_100m]:[600_700m]])</f>
        <v>12.710000000000008</v>
      </c>
      <c r="M94" s="9">
        <v>109.51</v>
      </c>
      <c r="N94">
        <f>SUM(Tableau1[[#This Row],[0_100m]:[700_800m]])</f>
        <v>109.51</v>
      </c>
      <c r="O94">
        <f>ABS(Tableau1[[#This Row],[Final_time]]-Tableau1[[#This Row],[Sum_time]])</f>
        <v>0</v>
      </c>
      <c r="P94" s="8"/>
      <c r="Q94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4" t="s">
        <v>343</v>
      </c>
      <c r="S94" s="1" t="s">
        <v>68</v>
      </c>
      <c r="U94" s="1" t="s">
        <v>69</v>
      </c>
      <c r="V94" s="1">
        <v>44694</v>
      </c>
      <c r="W94" s="4">
        <f>YEAR(Tableau1[[#This Row],[Competition_date]])</f>
        <v>2022</v>
      </c>
      <c r="X94" s="4">
        <v>31</v>
      </c>
      <c r="Y94" s="6">
        <v>0.16</v>
      </c>
      <c r="Z94" s="4" t="s">
        <v>82</v>
      </c>
      <c r="AA94" t="s">
        <v>176</v>
      </c>
    </row>
    <row r="95" spans="1:27" hidden="1" x14ac:dyDescent="0.35">
      <c r="A95" t="str">
        <f>_xlfn.CONCAT(Tableau1[[#This Row],[Athletes]],"_",Tableau1[[#This Row],[Nationality]],"_",Tableau1[[#This Row],[Competition_year]])</f>
        <v>Daniel ROWDEN_GBR_2022</v>
      </c>
      <c r="B95" s="9" t="s">
        <v>172</v>
      </c>
      <c r="C95" s="9" t="s">
        <v>14</v>
      </c>
      <c r="D95" s="12" t="s">
        <v>30</v>
      </c>
      <c r="E95" s="9">
        <v>13.3</v>
      </c>
      <c r="F95" s="9">
        <v>14.5</v>
      </c>
      <c r="G95" s="9">
        <v>14.5</v>
      </c>
      <c r="H95" s="9">
        <v>13.5</v>
      </c>
      <c r="I95" s="9">
        <v>13.9</v>
      </c>
      <c r="J95" s="9">
        <v>14.2</v>
      </c>
      <c r="K95" s="9">
        <v>13.1</v>
      </c>
      <c r="L95">
        <f>Tableau1[[#This Row],[Final_time]]-SUM(Tableau1[[#This Row],[0_100m]:[600_700m]])</f>
        <v>12.560000000000002</v>
      </c>
      <c r="M95" s="9">
        <v>109.56</v>
      </c>
      <c r="N95">
        <f>SUM(Tableau1[[#This Row],[0_100m]:[700_800m]])</f>
        <v>109.56</v>
      </c>
      <c r="O95">
        <f>ABS(Tableau1[[#This Row],[Final_time]]-Tableau1[[#This Row],[Sum_time]])</f>
        <v>0</v>
      </c>
      <c r="P95" s="8"/>
      <c r="Q95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5" t="s">
        <v>343</v>
      </c>
      <c r="S95" s="1" t="s">
        <v>68</v>
      </c>
      <c r="U95" s="1" t="s">
        <v>69</v>
      </c>
      <c r="V95" s="1">
        <v>44694</v>
      </c>
      <c r="W95" s="4">
        <f>YEAR(Tableau1[[#This Row],[Competition_date]])</f>
        <v>2022</v>
      </c>
      <c r="X95" s="4">
        <v>31</v>
      </c>
      <c r="Y95" s="6">
        <v>0.16</v>
      </c>
      <c r="Z95" s="4" t="s">
        <v>82</v>
      </c>
      <c r="AA95" t="s">
        <v>176</v>
      </c>
    </row>
    <row r="96" spans="1:27" hidden="1" x14ac:dyDescent="0.35">
      <c r="A96" t="str">
        <f>_xlfn.CONCAT(Tableau1[[#This Row],[Athletes]],"_",Tableau1[[#This Row],[Nationality]],"_",Tableau1[[#This Row],[Competition_year]])</f>
        <v>Ferguson Cheruiyot ROTICH_KEN_2022</v>
      </c>
      <c r="B96" s="9" t="s">
        <v>199</v>
      </c>
      <c r="C96" s="9" t="s">
        <v>14</v>
      </c>
      <c r="D96" s="12" t="s">
        <v>15</v>
      </c>
      <c r="E96" s="9"/>
      <c r="F96" s="9"/>
      <c r="G96" s="9"/>
      <c r="H96" s="9"/>
      <c r="I96" s="9"/>
      <c r="J96" s="9"/>
      <c r="K96" s="9"/>
      <c r="M96" s="9">
        <v>110.48</v>
      </c>
      <c r="N96">
        <f>SUM(Tableau1[[#This Row],[0_100m]:[700_800m]])</f>
        <v>0</v>
      </c>
      <c r="O96">
        <f>ABS(Tableau1[[#This Row],[Final_time]]-Tableau1[[#This Row],[Sum_time]])</f>
        <v>110.48</v>
      </c>
      <c r="P96" s="8"/>
      <c r="Q96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6" t="s">
        <v>343</v>
      </c>
      <c r="S96" s="1" t="s">
        <v>68</v>
      </c>
      <c r="U96" s="1" t="s">
        <v>69</v>
      </c>
      <c r="V96" s="1">
        <v>44694</v>
      </c>
      <c r="W96" s="4">
        <f>YEAR(Tableau1[[#This Row],[Competition_date]])</f>
        <v>2022</v>
      </c>
      <c r="X96" s="4">
        <v>31</v>
      </c>
      <c r="Y96" s="6">
        <v>0.16</v>
      </c>
      <c r="Z96" s="4" t="s">
        <v>82</v>
      </c>
      <c r="AA96" t="s">
        <v>176</v>
      </c>
    </row>
    <row r="97" spans="1:27" hidden="1" x14ac:dyDescent="0.35">
      <c r="A97" t="str">
        <f>_xlfn.CONCAT(Tableau1[[#This Row],[Athletes]],"_",Tableau1[[#This Row],[Nationality]],"_",Tableau1[[#This Row],[Competition_year]])</f>
        <v>Donavan BRAZIER_USA_2022</v>
      </c>
      <c r="B97" s="9" t="s">
        <v>242</v>
      </c>
      <c r="C97" s="9" t="s">
        <v>14</v>
      </c>
      <c r="D97" s="12" t="s">
        <v>35</v>
      </c>
      <c r="E97" s="9">
        <v>13.4</v>
      </c>
      <c r="F97" s="9">
        <v>14.6</v>
      </c>
      <c r="G97" s="9">
        <v>14.7</v>
      </c>
      <c r="H97" s="9">
        <v>11.6</v>
      </c>
      <c r="I97" s="9">
        <v>20.100000000000001</v>
      </c>
      <c r="J97" s="9">
        <v>10.4</v>
      </c>
      <c r="K97" s="9">
        <v>12.7</v>
      </c>
      <c r="L97">
        <f>Tableau1[[#This Row],[Final_time]]-SUM(Tableau1[[#This Row],[0_100m]:[600_700m]])</f>
        <v>13.079999999999984</v>
      </c>
      <c r="M97" s="9">
        <v>110.58</v>
      </c>
      <c r="N97">
        <f>SUM(Tableau1[[#This Row],[0_100m]:[700_800m]])</f>
        <v>110.58</v>
      </c>
      <c r="O97">
        <f>ABS(Tableau1[[#This Row],[Final_time]]-Tableau1[[#This Row],[Sum_time]])</f>
        <v>0</v>
      </c>
      <c r="P97" s="8"/>
      <c r="Q97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7" t="s">
        <v>343</v>
      </c>
      <c r="S97" s="1" t="s">
        <v>68</v>
      </c>
      <c r="U97" s="1" t="s">
        <v>69</v>
      </c>
      <c r="V97" s="1">
        <v>44694</v>
      </c>
      <c r="W97" s="4">
        <f>YEAR(Tableau1[[#This Row],[Competition_date]])</f>
        <v>2022</v>
      </c>
      <c r="X97" s="4">
        <v>31</v>
      </c>
      <c r="Y97" s="6">
        <v>0.16</v>
      </c>
      <c r="Z97" s="4" t="s">
        <v>82</v>
      </c>
      <c r="AA97" t="s">
        <v>176</v>
      </c>
    </row>
    <row r="98" spans="1:27" hidden="1" x14ac:dyDescent="0.35">
      <c r="A98" t="str">
        <f>_xlfn.CONCAT(Tableau1[[#This Row],[Athletes]],"_",Tableau1[[#This Row],[Nationality]],"_",Tableau1[[#This Row],[Competition_year]])</f>
        <v>Abdirahman Saeed HASSAN_QAT_2022</v>
      </c>
      <c r="B98" s="9" t="s">
        <v>284</v>
      </c>
      <c r="C98" s="9" t="s">
        <v>14</v>
      </c>
      <c r="D98" s="12" t="s">
        <v>57</v>
      </c>
      <c r="E98" s="9">
        <v>13.5</v>
      </c>
      <c r="F98" s="9">
        <v>13.6</v>
      </c>
      <c r="G98" s="9">
        <v>15.5</v>
      </c>
      <c r="H98" s="9">
        <v>15.6</v>
      </c>
      <c r="I98" s="9">
        <v>11.4</v>
      </c>
      <c r="J98" s="9">
        <v>14.1</v>
      </c>
      <c r="K98" s="9">
        <v>13.3</v>
      </c>
      <c r="L98">
        <f>Tableau1[[#This Row],[Final_time]]-SUM(Tableau1[[#This Row],[0_100m]:[600_700m]])</f>
        <v>13.89</v>
      </c>
      <c r="M98" s="9">
        <v>110.89</v>
      </c>
      <c r="N98">
        <f>SUM(Tableau1[[#This Row],[0_100m]:[700_800m]])</f>
        <v>110.89</v>
      </c>
      <c r="O98">
        <f>ABS(Tableau1[[#This Row],[Final_time]]-Tableau1[[#This Row],[Sum_time]])</f>
        <v>0</v>
      </c>
      <c r="P98" s="8"/>
      <c r="Q98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8" t="s">
        <v>343</v>
      </c>
      <c r="S98" s="1" t="s">
        <v>68</v>
      </c>
      <c r="U98" s="1" t="s">
        <v>69</v>
      </c>
      <c r="V98" s="1">
        <v>44694</v>
      </c>
      <c r="W98" s="4">
        <f>YEAR(Tableau1[[#This Row],[Competition_date]])</f>
        <v>2022</v>
      </c>
      <c r="X98" s="4">
        <v>31</v>
      </c>
      <c r="Y98" s="6">
        <v>0.16</v>
      </c>
      <c r="Z98" s="4" t="s">
        <v>82</v>
      </c>
      <c r="AA98" t="s">
        <v>176</v>
      </c>
    </row>
    <row r="99" spans="1:27" hidden="1" x14ac:dyDescent="0.35">
      <c r="A99" t="str">
        <f>_xlfn.CONCAT(Tableau1[[#This Row],[Athletes]],"_",Tableau1[[#This Row],[Nationality]],"_",Tableau1[[#This Row],[Competition_year]])</f>
        <v>Musaeb Abdulrahman BALLA_QAT_2022</v>
      </c>
      <c r="B99" s="9" t="s">
        <v>283</v>
      </c>
      <c r="C99" s="9" t="s">
        <v>14</v>
      </c>
      <c r="D99" s="12" t="s">
        <v>57</v>
      </c>
      <c r="E99" s="9">
        <v>13</v>
      </c>
      <c r="F99" s="9">
        <v>14.5</v>
      </c>
      <c r="G99" s="9">
        <v>14.3</v>
      </c>
      <c r="H99" s="9">
        <v>12.6</v>
      </c>
      <c r="I99" s="9">
        <v>15.3</v>
      </c>
      <c r="J99" s="9">
        <v>14.3</v>
      </c>
      <c r="K99" s="9">
        <v>13.3</v>
      </c>
      <c r="L99">
        <f>Tableau1[[#This Row],[Final_time]]-SUM(Tableau1[[#This Row],[0_100m]:[600_700m]])</f>
        <v>13.620000000000005</v>
      </c>
      <c r="M99" s="9">
        <v>110.92</v>
      </c>
      <c r="N99">
        <f>SUM(Tableau1[[#This Row],[0_100m]:[700_800m]])</f>
        <v>110.92</v>
      </c>
      <c r="O99">
        <f>ABS(Tableau1[[#This Row],[Final_time]]-Tableau1[[#This Row],[Sum_time]])</f>
        <v>0</v>
      </c>
      <c r="P99" s="8"/>
      <c r="Q99" s="16" t="str">
        <f>_xlfn.CONCAT(Tableau1[[#This Row],[Competition]],"_",Tableau1[[#This Row],[Championship_step]],"_",Tableau1[[#This Row],[Competition_date]],"_",Tableau1[[#This Row],[Gender]])</f>
        <v>Diamond League Doha 2022__44694_Male</v>
      </c>
      <c r="R99" t="s">
        <v>343</v>
      </c>
      <c r="S99" s="1" t="s">
        <v>68</v>
      </c>
      <c r="U99" s="1" t="s">
        <v>69</v>
      </c>
      <c r="V99" s="1">
        <v>44694</v>
      </c>
      <c r="W99" s="4">
        <f>YEAR(Tableau1[[#This Row],[Competition_date]])</f>
        <v>2022</v>
      </c>
      <c r="X99" s="4">
        <v>31</v>
      </c>
      <c r="Y99" s="6">
        <v>0.16</v>
      </c>
      <c r="Z99" s="4" t="s">
        <v>82</v>
      </c>
      <c r="AA99" t="s">
        <v>176</v>
      </c>
    </row>
    <row r="100" spans="1:27" hidden="1" x14ac:dyDescent="0.35">
      <c r="A100" t="str">
        <f>_xlfn.CONCAT(Tableau1[[#This Row],[Athletes]],"_",Tableau1[[#This Row],[Nationality]],"_",Tableau1[[#This Row],[Competition_year]])</f>
        <v>Slimane MOULA_ALG_2023</v>
      </c>
      <c r="B100" t="s">
        <v>103</v>
      </c>
      <c r="C100" t="s">
        <v>14</v>
      </c>
      <c r="D100" s="18" t="s">
        <v>24</v>
      </c>
      <c r="E100">
        <v>13.05</v>
      </c>
      <c r="F100">
        <v>12.85</v>
      </c>
      <c r="G100">
        <v>14.9</v>
      </c>
      <c r="H100">
        <v>14.3</v>
      </c>
      <c r="I100">
        <v>13.8</v>
      </c>
      <c r="J100">
        <v>12.6</v>
      </c>
      <c r="K100">
        <v>12.3</v>
      </c>
      <c r="L100">
        <f>Tableau1[[#This Row],[Final_time]]-SUM(Tableau1[[#This Row],[0_100m]:[600_700m]])</f>
        <v>12.260000000000019</v>
      </c>
      <c r="M100">
        <v>106.06</v>
      </c>
      <c r="N100">
        <f>SUM(Tableau1[[#This Row],[0_100m]:[700_800m]])</f>
        <v>106.06</v>
      </c>
      <c r="O100">
        <f>ABS(Tableau1[[#This Row],[Final_time]]-Tableau1[[#This Row],[Sum_time]])</f>
        <v>0</v>
      </c>
      <c r="P100" s="8"/>
      <c r="Q100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0" t="s">
        <v>285</v>
      </c>
      <c r="S100" s="1" t="s">
        <v>68</v>
      </c>
      <c r="U100" s="1" t="s">
        <v>69</v>
      </c>
      <c r="V100" s="1">
        <v>45051</v>
      </c>
      <c r="W100" s="4">
        <f>YEAR(Tableau1[[#This Row],[Competition_date]])</f>
        <v>2023</v>
      </c>
      <c r="X100" s="4">
        <v>27</v>
      </c>
      <c r="Y100" s="6">
        <v>0.36</v>
      </c>
      <c r="Z100" s="4" t="s">
        <v>82</v>
      </c>
      <c r="AA100" t="s">
        <v>176</v>
      </c>
    </row>
    <row r="101" spans="1:27" hidden="1" x14ac:dyDescent="0.35">
      <c r="A101" t="str">
        <f>_xlfn.CONCAT(Tableau1[[#This Row],[Athletes]],"_",Tableau1[[#This Row],[Nationality]],"_",Tableau1[[#This Row],[Competition_year]])</f>
        <v>Wyclife KINYAMAL_KEN_2023</v>
      </c>
      <c r="B101" t="s">
        <v>174</v>
      </c>
      <c r="C101" t="s">
        <v>14</v>
      </c>
      <c r="D101" s="18" t="s">
        <v>15</v>
      </c>
      <c r="E101">
        <v>12.85</v>
      </c>
      <c r="F101">
        <v>12.65</v>
      </c>
      <c r="G101">
        <v>15.1</v>
      </c>
      <c r="H101">
        <v>14.3</v>
      </c>
      <c r="I101">
        <v>13.7</v>
      </c>
      <c r="J101">
        <v>12.5</v>
      </c>
      <c r="K101">
        <v>12.4</v>
      </c>
      <c r="L101">
        <f>Tableau1[[#This Row],[Final_time]]-SUM(Tableau1[[#This Row],[0_100m]:[600_700m]])</f>
        <v>13.109999999999985</v>
      </c>
      <c r="M101">
        <v>106.61</v>
      </c>
      <c r="N101">
        <f>SUM(Tableau1[[#This Row],[0_100m]:[700_800m]])</f>
        <v>106.61</v>
      </c>
      <c r="O101">
        <f>ABS(Tableau1[[#This Row],[Final_time]]-Tableau1[[#This Row],[Sum_time]])</f>
        <v>0</v>
      </c>
      <c r="P101" s="8"/>
      <c r="Q101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1" t="s">
        <v>285</v>
      </c>
      <c r="S101" s="1" t="s">
        <v>68</v>
      </c>
      <c r="U101" s="1" t="s">
        <v>69</v>
      </c>
      <c r="V101" s="1">
        <v>45051</v>
      </c>
      <c r="W101" s="4">
        <f>YEAR(Tableau1[[#This Row],[Competition_date]])</f>
        <v>2023</v>
      </c>
      <c r="X101" s="4">
        <v>27</v>
      </c>
      <c r="Y101" s="6">
        <v>0.36</v>
      </c>
      <c r="Z101" s="4" t="s">
        <v>82</v>
      </c>
      <c r="AA101" t="s">
        <v>176</v>
      </c>
    </row>
    <row r="102" spans="1:27" hidden="1" x14ac:dyDescent="0.35">
      <c r="A102" t="str">
        <f>_xlfn.CONCAT(Tableau1[[#This Row],[Athletes]],"_",Tableau1[[#This Row],[Nationality]],"_",Tableau1[[#This Row],[Competition_year]])</f>
        <v>Djamel SEDJATI_ALG_2023</v>
      </c>
      <c r="B102" t="s">
        <v>170</v>
      </c>
      <c r="C102" t="s">
        <v>14</v>
      </c>
      <c r="D102" s="18" t="s">
        <v>24</v>
      </c>
      <c r="E102">
        <v>13.05</v>
      </c>
      <c r="F102">
        <v>12.95</v>
      </c>
      <c r="G102">
        <v>15.4</v>
      </c>
      <c r="H102">
        <v>13.9</v>
      </c>
      <c r="I102">
        <v>13.7</v>
      </c>
      <c r="J102">
        <v>12.7</v>
      </c>
      <c r="K102">
        <v>12.3</v>
      </c>
      <c r="L102">
        <f>Tableau1[[#This Row],[Final_time]]-SUM(Tableau1[[#This Row],[0_100m]:[600_700m]])</f>
        <v>12.969999999999999</v>
      </c>
      <c r="M102">
        <v>106.97</v>
      </c>
      <c r="N102">
        <f>SUM(Tableau1[[#This Row],[0_100m]:[700_800m]])</f>
        <v>106.97</v>
      </c>
      <c r="O102">
        <f>ABS(Tableau1[[#This Row],[Final_time]]-Tableau1[[#This Row],[Sum_time]])</f>
        <v>0</v>
      </c>
      <c r="P102" s="8"/>
      <c r="Q102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2" t="s">
        <v>285</v>
      </c>
      <c r="S102" s="1" t="s">
        <v>68</v>
      </c>
      <c r="U102" s="1" t="s">
        <v>69</v>
      </c>
      <c r="V102" s="1">
        <v>45051</v>
      </c>
      <c r="W102" s="4">
        <f>YEAR(Tableau1[[#This Row],[Competition_date]])</f>
        <v>2023</v>
      </c>
      <c r="X102" s="4">
        <v>27</v>
      </c>
      <c r="Y102" s="6">
        <v>0.36</v>
      </c>
      <c r="Z102" s="4" t="s">
        <v>82</v>
      </c>
      <c r="AA102" t="s">
        <v>176</v>
      </c>
    </row>
    <row r="103" spans="1:27" hidden="1" x14ac:dyDescent="0.35">
      <c r="A103" t="str">
        <f>_xlfn.CONCAT(Tableau1[[#This Row],[Athletes]],"_",Tableau1[[#This Row],[Nationality]],"_",Tableau1[[#This Row],[Competition_year]])</f>
        <v>Clayton MURPHY_USA_2023</v>
      </c>
      <c r="B103" t="s">
        <v>203</v>
      </c>
      <c r="C103" t="s">
        <v>14</v>
      </c>
      <c r="D103" s="18" t="s">
        <v>35</v>
      </c>
      <c r="E103">
        <v>13</v>
      </c>
      <c r="F103">
        <v>13</v>
      </c>
      <c r="G103">
        <v>14.9</v>
      </c>
      <c r="H103">
        <v>14</v>
      </c>
      <c r="I103">
        <v>14</v>
      </c>
      <c r="J103">
        <v>12.9</v>
      </c>
      <c r="K103">
        <v>13.2</v>
      </c>
      <c r="L103">
        <f>Tableau1[[#This Row],[Final_time]]-SUM(Tableau1[[#This Row],[0_100m]:[600_700m]])</f>
        <v>12.95999999999998</v>
      </c>
      <c r="M103">
        <v>107.96</v>
      </c>
      <c r="N103">
        <f>SUM(Tableau1[[#This Row],[0_100m]:[700_800m]])</f>
        <v>107.96</v>
      </c>
      <c r="O103">
        <f>ABS(Tableau1[[#This Row],[Final_time]]-Tableau1[[#This Row],[Sum_time]])</f>
        <v>0</v>
      </c>
      <c r="P103" s="8"/>
      <c r="Q103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3" t="s">
        <v>285</v>
      </c>
      <c r="S103" s="1" t="s">
        <v>68</v>
      </c>
      <c r="U103" s="1" t="s">
        <v>69</v>
      </c>
      <c r="V103" s="1">
        <v>45051</v>
      </c>
      <c r="W103" s="4">
        <f>YEAR(Tableau1[[#This Row],[Competition_date]])</f>
        <v>2023</v>
      </c>
      <c r="X103" s="4">
        <v>27</v>
      </c>
      <c r="Y103" s="6">
        <v>0.36</v>
      </c>
      <c r="Z103" s="4" t="s">
        <v>82</v>
      </c>
      <c r="AA103" t="s">
        <v>176</v>
      </c>
    </row>
    <row r="104" spans="1:27" hidden="1" x14ac:dyDescent="0.35">
      <c r="A104" t="str">
        <f>_xlfn.CONCAT(Tableau1[[#This Row],[Athletes]],"_",Tableau1[[#This Row],[Nationality]],"_",Tableau1[[#This Row],[Competition_year]])</f>
        <v>Moad ZAHAFI_MAR_2023</v>
      </c>
      <c r="B104" t="s">
        <v>282</v>
      </c>
      <c r="C104" t="s">
        <v>14</v>
      </c>
      <c r="D104" s="18" t="s">
        <v>21</v>
      </c>
      <c r="E104">
        <v>13.5</v>
      </c>
      <c r="F104">
        <v>13.2</v>
      </c>
      <c r="G104">
        <v>14.7</v>
      </c>
      <c r="H104">
        <v>14.2</v>
      </c>
      <c r="I104">
        <v>13.6</v>
      </c>
      <c r="J104">
        <v>12.6</v>
      </c>
      <c r="K104">
        <v>12.6</v>
      </c>
      <c r="L104">
        <f>Tableau1[[#This Row],[Final_time]]-SUM(Tableau1[[#This Row],[0_100m]:[600_700m]])</f>
        <v>13.770000000000024</v>
      </c>
      <c r="M104">
        <v>108.17</v>
      </c>
      <c r="N104">
        <f>SUM(Tableau1[[#This Row],[0_100m]:[700_800m]])</f>
        <v>108.17</v>
      </c>
      <c r="O104">
        <f>ABS(Tableau1[[#This Row],[Final_time]]-Tableau1[[#This Row],[Sum_time]])</f>
        <v>0</v>
      </c>
      <c r="P104" s="8"/>
      <c r="Q104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4" t="s">
        <v>285</v>
      </c>
      <c r="S104" s="1" t="s">
        <v>68</v>
      </c>
      <c r="U104" s="1" t="s">
        <v>69</v>
      </c>
      <c r="V104" s="1">
        <v>45051</v>
      </c>
      <c r="W104" s="4">
        <f>YEAR(Tableau1[[#This Row],[Competition_date]])</f>
        <v>2023</v>
      </c>
      <c r="X104" s="4">
        <v>27</v>
      </c>
      <c r="Y104" s="6">
        <v>0.36</v>
      </c>
      <c r="Z104" s="4" t="s">
        <v>82</v>
      </c>
      <c r="AA104" t="s">
        <v>176</v>
      </c>
    </row>
    <row r="105" spans="1:27" hidden="1" x14ac:dyDescent="0.35">
      <c r="A105" t="str">
        <f>_xlfn.CONCAT(Tableau1[[#This Row],[Athletes]],"_",Tableau1[[#This Row],[Nationality]],"_",Tableau1[[#This Row],[Competition_year]])</f>
        <v>Andreas KRAMER_SWE_2023</v>
      </c>
      <c r="B105" t="s">
        <v>186</v>
      </c>
      <c r="C105" t="s">
        <v>14</v>
      </c>
      <c r="D105" s="18" t="s">
        <v>28</v>
      </c>
      <c r="E105">
        <v>13.25</v>
      </c>
      <c r="F105">
        <v>13.25</v>
      </c>
      <c r="G105">
        <v>15.2</v>
      </c>
      <c r="H105">
        <v>14.1</v>
      </c>
      <c r="I105">
        <v>13.7</v>
      </c>
      <c r="J105">
        <v>12.9</v>
      </c>
      <c r="K105">
        <v>12.8</v>
      </c>
      <c r="L105">
        <f>Tableau1[[#This Row],[Final_time]]-SUM(Tableau1[[#This Row],[0_100m]:[600_700m]])</f>
        <v>12.980000000000004</v>
      </c>
      <c r="M105">
        <v>108.18</v>
      </c>
      <c r="N105">
        <f>SUM(Tableau1[[#This Row],[0_100m]:[700_800m]])</f>
        <v>108.18</v>
      </c>
      <c r="O105">
        <f>ABS(Tableau1[[#This Row],[Final_time]]-Tableau1[[#This Row],[Sum_time]])</f>
        <v>0</v>
      </c>
      <c r="P105" s="8"/>
      <c r="Q105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5" t="s">
        <v>285</v>
      </c>
      <c r="S105" s="1" t="s">
        <v>68</v>
      </c>
      <c r="U105" s="1" t="s">
        <v>69</v>
      </c>
      <c r="V105" s="1">
        <v>45051</v>
      </c>
      <c r="W105" s="4">
        <f>YEAR(Tableau1[[#This Row],[Competition_date]])</f>
        <v>2023</v>
      </c>
      <c r="X105" s="4">
        <v>27</v>
      </c>
      <c r="Y105" s="6">
        <v>0.36</v>
      </c>
      <c r="Z105" s="4" t="s">
        <v>82</v>
      </c>
      <c r="AA105" t="s">
        <v>176</v>
      </c>
    </row>
    <row r="106" spans="1:27" hidden="1" x14ac:dyDescent="0.35">
      <c r="A106" t="str">
        <f>_xlfn.CONCAT(Tableau1[[#This Row],[Athletes]],"_",Tableau1[[#This Row],[Nationality]],"_",Tableau1[[#This Row],[Competition_year]])</f>
        <v>Mark ENGLISH_IRL_2023</v>
      </c>
      <c r="B106" t="s">
        <v>187</v>
      </c>
      <c r="C106" t="s">
        <v>14</v>
      </c>
      <c r="D106" s="18" t="s">
        <v>66</v>
      </c>
      <c r="E106">
        <v>13.45</v>
      </c>
      <c r="F106">
        <v>12.75</v>
      </c>
      <c r="G106">
        <v>15</v>
      </c>
      <c r="H106">
        <v>14.5</v>
      </c>
      <c r="I106">
        <v>14.1</v>
      </c>
      <c r="J106">
        <v>13.1</v>
      </c>
      <c r="K106">
        <v>12.8</v>
      </c>
      <c r="L106">
        <f>Tableau1[[#This Row],[Final_time]]-SUM(Tableau1[[#This Row],[0_100m]:[600_700m]])</f>
        <v>12.860000000000014</v>
      </c>
      <c r="M106">
        <v>108.56</v>
      </c>
      <c r="N106">
        <f>SUM(Tableau1[[#This Row],[0_100m]:[700_800m]])</f>
        <v>108.56</v>
      </c>
      <c r="O106">
        <f>ABS(Tableau1[[#This Row],[Final_time]]-Tableau1[[#This Row],[Sum_time]])</f>
        <v>0</v>
      </c>
      <c r="P106" s="8"/>
      <c r="Q106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6" t="s">
        <v>285</v>
      </c>
      <c r="S106" s="1" t="s">
        <v>68</v>
      </c>
      <c r="U106" s="1" t="s">
        <v>69</v>
      </c>
      <c r="V106" s="1">
        <v>45051</v>
      </c>
      <c r="W106" s="4">
        <f>YEAR(Tableau1[[#This Row],[Competition_date]])</f>
        <v>2023</v>
      </c>
      <c r="X106" s="4">
        <v>27</v>
      </c>
      <c r="Y106" s="6">
        <v>0.36</v>
      </c>
      <c r="Z106" s="4" t="s">
        <v>82</v>
      </c>
      <c r="AA106" t="s">
        <v>176</v>
      </c>
    </row>
    <row r="107" spans="1:27" hidden="1" x14ac:dyDescent="0.35">
      <c r="A107" t="str">
        <f>_xlfn.CONCAT(Tableau1[[#This Row],[Athletes]],"_",Tableau1[[#This Row],[Nationality]],"_",Tableau1[[#This Row],[Competition_year]])</f>
        <v>Musaeb Abdulrahman BALLA_QAT_2023</v>
      </c>
      <c r="B107" t="s">
        <v>283</v>
      </c>
      <c r="C107" t="s">
        <v>14</v>
      </c>
      <c r="D107" s="18" t="s">
        <v>57</v>
      </c>
      <c r="E107">
        <v>12.9</v>
      </c>
      <c r="F107">
        <v>13</v>
      </c>
      <c r="G107">
        <v>14.8</v>
      </c>
      <c r="H107">
        <v>14.4</v>
      </c>
      <c r="I107">
        <v>13.9</v>
      </c>
      <c r="J107">
        <v>13.8</v>
      </c>
      <c r="K107">
        <v>12.4</v>
      </c>
      <c r="L107">
        <f>Tableau1[[#This Row],[Final_time]]-SUM(Tableau1[[#This Row],[0_100m]:[600_700m]])</f>
        <v>13.679999999999993</v>
      </c>
      <c r="M107">
        <v>108.88</v>
      </c>
      <c r="N107">
        <f>SUM(Tableau1[[#This Row],[0_100m]:[700_800m]])</f>
        <v>108.88</v>
      </c>
      <c r="O107">
        <f>ABS(Tableau1[[#This Row],[Final_time]]-Tableau1[[#This Row],[Sum_time]])</f>
        <v>0</v>
      </c>
      <c r="P107" s="8"/>
      <c r="Q107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7" t="s">
        <v>285</v>
      </c>
      <c r="S107" s="1" t="s">
        <v>68</v>
      </c>
      <c r="U107" s="1" t="s">
        <v>69</v>
      </c>
      <c r="V107" s="1">
        <v>45051</v>
      </c>
      <c r="W107" s="4">
        <f>YEAR(Tableau1[[#This Row],[Competition_date]])</f>
        <v>2023</v>
      </c>
      <c r="X107" s="4">
        <v>27</v>
      </c>
      <c r="Y107" s="6">
        <v>0.36</v>
      </c>
      <c r="Z107" s="4" t="s">
        <v>82</v>
      </c>
      <c r="AA107" t="s">
        <v>176</v>
      </c>
    </row>
    <row r="108" spans="1:27" hidden="1" x14ac:dyDescent="0.35">
      <c r="A108" t="str">
        <f>_xlfn.CONCAT(Tableau1[[#This Row],[Athletes]],"_",Tableau1[[#This Row],[Nationality]],"_",Tableau1[[#This Row],[Competition_year]])</f>
        <v>Abdirahman Saeed HASSAN_QAT_2023</v>
      </c>
      <c r="B108" t="s">
        <v>284</v>
      </c>
      <c r="C108" t="s">
        <v>14</v>
      </c>
      <c r="D108" s="18" t="s">
        <v>57</v>
      </c>
      <c r="E108">
        <v>13.15</v>
      </c>
      <c r="F108">
        <v>13.05</v>
      </c>
      <c r="G108">
        <v>15.3</v>
      </c>
      <c r="H108">
        <v>13.9</v>
      </c>
      <c r="I108">
        <v>14.1</v>
      </c>
      <c r="J108">
        <v>14.2</v>
      </c>
      <c r="K108">
        <v>11.6</v>
      </c>
      <c r="L108">
        <f>Tableau1[[#This Row],[Final_time]]-SUM(Tableau1[[#This Row],[0_100m]:[600_700m]])</f>
        <v>13.730000000000004</v>
      </c>
      <c r="M108">
        <v>109.03</v>
      </c>
      <c r="N108">
        <f>SUM(Tableau1[[#This Row],[0_100m]:[700_800m]])</f>
        <v>109.03</v>
      </c>
      <c r="O108">
        <f>ABS(Tableau1[[#This Row],[Final_time]]-Tableau1[[#This Row],[Sum_time]])</f>
        <v>0</v>
      </c>
      <c r="P108" s="8"/>
      <c r="Q108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8" t="s">
        <v>285</v>
      </c>
      <c r="S108" s="1" t="s">
        <v>68</v>
      </c>
      <c r="U108" s="1" t="s">
        <v>69</v>
      </c>
      <c r="V108" s="1">
        <v>45051</v>
      </c>
      <c r="W108" s="4">
        <f>YEAR(Tableau1[[#This Row],[Competition_date]])</f>
        <v>2023</v>
      </c>
      <c r="X108" s="4">
        <v>27</v>
      </c>
      <c r="Y108" s="6">
        <v>0.36</v>
      </c>
      <c r="Z108" s="4" t="s">
        <v>82</v>
      </c>
      <c r="AA108" t="s">
        <v>176</v>
      </c>
    </row>
    <row r="109" spans="1:27" hidden="1" x14ac:dyDescent="0.35">
      <c r="A109" t="str">
        <f>_xlfn.CONCAT(Tableau1[[#This Row],[Athletes]],"_",Tableau1[[#This Row],[Nationality]],"_",Tableau1[[#This Row],[Competition_year]])</f>
        <v>Noah KIBET_KEN_2023</v>
      </c>
      <c r="B109" t="s">
        <v>250</v>
      </c>
      <c r="C109" t="s">
        <v>14</v>
      </c>
      <c r="D109" s="18" t="s">
        <v>15</v>
      </c>
      <c r="E109">
        <v>13.2</v>
      </c>
      <c r="F109">
        <v>12.5</v>
      </c>
      <c r="G109">
        <v>14.8</v>
      </c>
      <c r="H109">
        <v>14.4</v>
      </c>
      <c r="I109">
        <v>13.8</v>
      </c>
      <c r="J109">
        <v>12.9</v>
      </c>
      <c r="K109">
        <v>13.4</v>
      </c>
      <c r="L109">
        <f>Tableau1[[#This Row],[Final_time]]-SUM(Tableau1[[#This Row],[0_100m]:[600_700m]])</f>
        <v>14.949999999999989</v>
      </c>
      <c r="M109">
        <v>109.95</v>
      </c>
      <c r="N109">
        <f>SUM(Tableau1[[#This Row],[0_100m]:[700_800m]])</f>
        <v>109.95</v>
      </c>
      <c r="O109">
        <f>ABS(Tableau1[[#This Row],[Final_time]]-Tableau1[[#This Row],[Sum_time]])</f>
        <v>0</v>
      </c>
      <c r="P109" s="8"/>
      <c r="Q109" s="16" t="str">
        <f>_xlfn.CONCAT(Tableau1[[#This Row],[Competition]],"_",Tableau1[[#This Row],[Championship_step]],"_",Tableau1[[#This Row],[Competition_date]],"_",Tableau1[[#This Row],[Gender]])</f>
        <v>Diamond League Doha 2023__45051_Male</v>
      </c>
      <c r="R109" t="s">
        <v>285</v>
      </c>
      <c r="S109" s="1" t="s">
        <v>68</v>
      </c>
      <c r="U109" s="1" t="s">
        <v>69</v>
      </c>
      <c r="V109" s="1">
        <v>45051</v>
      </c>
      <c r="W109" s="4">
        <f>YEAR(Tableau1[[#This Row],[Competition_date]])</f>
        <v>2023</v>
      </c>
      <c r="X109" s="4">
        <v>27</v>
      </c>
      <c r="Y109" s="6">
        <v>0.36</v>
      </c>
      <c r="Z109" s="4" t="s">
        <v>82</v>
      </c>
      <c r="AA109" t="s">
        <v>176</v>
      </c>
    </row>
    <row r="110" spans="1:27" hidden="1" x14ac:dyDescent="0.35">
      <c r="A110" t="str">
        <f>_xlfn.CONCAT(Tableau1[[#This Row],[Athletes]],"_",Tableau1[[#This Row],[Nationality]],"_",Tableau1[[#This Row],[Competition_year]])</f>
        <v>Athing MU-NIKOLAYEV_USA_2022</v>
      </c>
      <c r="B110" t="s">
        <v>1376</v>
      </c>
      <c r="C110" t="s">
        <v>29</v>
      </c>
      <c r="D110" s="18" t="s">
        <v>35</v>
      </c>
      <c r="E110">
        <v>13.44</v>
      </c>
      <c r="F110">
        <v>14.19</v>
      </c>
      <c r="G110">
        <v>14.71</v>
      </c>
      <c r="H110">
        <v>14.82</v>
      </c>
      <c r="I110">
        <v>14.8</v>
      </c>
      <c r="J110">
        <v>14.83</v>
      </c>
      <c r="K110">
        <v>14.95</v>
      </c>
      <c r="L110">
        <f>Tableau1[[#This Row],[Final_time]]-SUM(Tableau1[[#This Row],[0_100m]:[600_700m]])</f>
        <v>14.559999999999988</v>
      </c>
      <c r="M110">
        <v>116.3</v>
      </c>
      <c r="N110">
        <f>SUM(Tableau1[[#This Row],[0_100m]:[700_800m]])</f>
        <v>116.3</v>
      </c>
      <c r="O110">
        <f>ABS(Tableau1[[#This Row],[Final_time]]-Tableau1[[#This Row],[Sum_time]])</f>
        <v>0</v>
      </c>
      <c r="P110" s="8"/>
      <c r="Q110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0" t="s">
        <v>143</v>
      </c>
      <c r="S110" s="1" t="s">
        <v>136</v>
      </c>
      <c r="T110" t="s">
        <v>149</v>
      </c>
      <c r="U110" s="1" t="s">
        <v>69</v>
      </c>
      <c r="V110" s="1">
        <v>44766</v>
      </c>
      <c r="W110" s="4">
        <f>YEAR(Tableau1[[#This Row],[Competition_date]])</f>
        <v>2022</v>
      </c>
      <c r="X110" s="4">
        <v>31</v>
      </c>
      <c r="Y110" s="6">
        <v>0.4</v>
      </c>
      <c r="Z110" s="4"/>
      <c r="AA110" t="s">
        <v>169</v>
      </c>
    </row>
    <row r="111" spans="1:27" hidden="1" x14ac:dyDescent="0.35">
      <c r="A111" t="str">
        <f>_xlfn.CONCAT(Tableau1[[#This Row],[Athletes]],"_",Tableau1[[#This Row],[Nationality]],"_",Tableau1[[#This Row],[Competition_year]])</f>
        <v>Keely HODGKINSON_GBR_2022</v>
      </c>
      <c r="B111" t="s">
        <v>212</v>
      </c>
      <c r="C111" t="s">
        <v>29</v>
      </c>
      <c r="D111" s="18" t="s">
        <v>30</v>
      </c>
      <c r="E111">
        <v>13.42</v>
      </c>
      <c r="F111">
        <v>14.18</v>
      </c>
      <c r="G111">
        <v>14.82</v>
      </c>
      <c r="H111">
        <v>14.9</v>
      </c>
      <c r="I111">
        <v>14.82</v>
      </c>
      <c r="J111">
        <v>14.98</v>
      </c>
      <c r="K111">
        <v>14.59</v>
      </c>
      <c r="L111">
        <f>Tableau1[[#This Row],[Final_time]]-SUM(Tableau1[[#This Row],[0_100m]:[600_700m]])</f>
        <v>14.669999999999987</v>
      </c>
      <c r="M111">
        <v>116.38</v>
      </c>
      <c r="N111">
        <f>SUM(Tableau1[[#This Row],[0_100m]:[700_800m]])</f>
        <v>116.38</v>
      </c>
      <c r="O111">
        <f>ABS(Tableau1[[#This Row],[Final_time]]-Tableau1[[#This Row],[Sum_time]])</f>
        <v>0</v>
      </c>
      <c r="P111" s="8"/>
      <c r="Q111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1" t="s">
        <v>143</v>
      </c>
      <c r="S111" s="1" t="s">
        <v>136</v>
      </c>
      <c r="T111" t="s">
        <v>149</v>
      </c>
      <c r="U111" s="1" t="s">
        <v>69</v>
      </c>
      <c r="V111" s="1">
        <v>44766</v>
      </c>
      <c r="W111" s="4">
        <f>YEAR(Tableau1[[#This Row],[Competition_date]])</f>
        <v>2022</v>
      </c>
      <c r="X111" s="4">
        <v>31</v>
      </c>
      <c r="Y111" s="6">
        <v>0.4</v>
      </c>
      <c r="Z111" s="4"/>
      <c r="AA111" t="s">
        <v>169</v>
      </c>
    </row>
    <row r="112" spans="1:27" hidden="1" x14ac:dyDescent="0.35">
      <c r="A112" t="str">
        <f>_xlfn.CONCAT(Tableau1[[#This Row],[Athletes]],"_",Tableau1[[#This Row],[Nationality]],"_",Tableau1[[#This Row],[Competition_year]])</f>
        <v>Mary MORAA_KEN_2022</v>
      </c>
      <c r="B112" t="s">
        <v>228</v>
      </c>
      <c r="C112" t="s">
        <v>29</v>
      </c>
      <c r="D112" s="18" t="s">
        <v>15</v>
      </c>
      <c r="E112">
        <v>13.56</v>
      </c>
      <c r="F112">
        <v>14.21</v>
      </c>
      <c r="G112">
        <v>14.8</v>
      </c>
      <c r="H112">
        <v>14.89</v>
      </c>
      <c r="I112">
        <v>14.77</v>
      </c>
      <c r="J112">
        <v>15.05</v>
      </c>
      <c r="K112">
        <v>14.93</v>
      </c>
      <c r="L112">
        <f>Tableau1[[#This Row],[Final_time]]-SUM(Tableau1[[#This Row],[0_100m]:[600_700m]])</f>
        <v>14.499999999999986</v>
      </c>
      <c r="M112">
        <v>116.71</v>
      </c>
      <c r="N112">
        <f>SUM(Tableau1[[#This Row],[0_100m]:[700_800m]])</f>
        <v>116.71</v>
      </c>
      <c r="O112">
        <f>ABS(Tableau1[[#This Row],[Final_time]]-Tableau1[[#This Row],[Sum_time]])</f>
        <v>0</v>
      </c>
      <c r="P112" s="8"/>
      <c r="Q112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2" t="s">
        <v>143</v>
      </c>
      <c r="S112" s="1" t="s">
        <v>136</v>
      </c>
      <c r="T112" t="s">
        <v>149</v>
      </c>
      <c r="U112" s="1" t="s">
        <v>69</v>
      </c>
      <c r="V112" s="1">
        <v>44766</v>
      </c>
      <c r="W112" s="4">
        <f>YEAR(Tableau1[[#This Row],[Competition_date]])</f>
        <v>2022</v>
      </c>
      <c r="X112" s="4">
        <v>31</v>
      </c>
      <c r="Y112" s="6">
        <v>0.4</v>
      </c>
      <c r="Z112" s="4"/>
      <c r="AA112" t="s">
        <v>169</v>
      </c>
    </row>
    <row r="113" spans="1:27" hidden="1" x14ac:dyDescent="0.35">
      <c r="A113" t="str">
        <f>_xlfn.CONCAT(Tableau1[[#This Row],[Athletes]],"_",Tableau1[[#This Row],[Nationality]],"_",Tableau1[[#This Row],[Competition_year]])</f>
        <v>Diribe WELTEJI_ETH_2022</v>
      </c>
      <c r="B113" t="s">
        <v>255</v>
      </c>
      <c r="C113" t="s">
        <v>29</v>
      </c>
      <c r="D113" s="18" t="s">
        <v>49</v>
      </c>
      <c r="E113">
        <v>13.63</v>
      </c>
      <c r="F113">
        <v>13.93</v>
      </c>
      <c r="G113">
        <v>14.73</v>
      </c>
      <c r="H113">
        <v>14.8</v>
      </c>
      <c r="I113">
        <v>14.92</v>
      </c>
      <c r="J113">
        <v>15.35</v>
      </c>
      <c r="K113">
        <v>14.79</v>
      </c>
      <c r="L113">
        <f>Tableau1[[#This Row],[Final_time]]-SUM(Tableau1[[#This Row],[0_100m]:[600_700m]])</f>
        <v>14.86999999999999</v>
      </c>
      <c r="M113">
        <v>117.02</v>
      </c>
      <c r="N113">
        <f>SUM(Tableau1[[#This Row],[0_100m]:[700_800m]])</f>
        <v>117.02</v>
      </c>
      <c r="O113">
        <f>ABS(Tableau1[[#This Row],[Final_time]]-Tableau1[[#This Row],[Sum_time]])</f>
        <v>0</v>
      </c>
      <c r="P113" s="8"/>
      <c r="Q113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3" t="s">
        <v>143</v>
      </c>
      <c r="S113" s="1" t="s">
        <v>136</v>
      </c>
      <c r="T113" t="s">
        <v>149</v>
      </c>
      <c r="U113" s="1" t="s">
        <v>69</v>
      </c>
      <c r="V113" s="1">
        <v>44766</v>
      </c>
      <c r="W113" s="4">
        <f>YEAR(Tableau1[[#This Row],[Competition_date]])</f>
        <v>2022</v>
      </c>
      <c r="X113" s="4">
        <v>31</v>
      </c>
      <c r="Y113" s="6">
        <v>0.4</v>
      </c>
      <c r="Z113" s="4"/>
      <c r="AA113" t="s">
        <v>169</v>
      </c>
    </row>
    <row r="114" spans="1:27" hidden="1" x14ac:dyDescent="0.35">
      <c r="A114" t="str">
        <f>_xlfn.CONCAT(Tableau1[[#This Row],[Athletes]],"_",Tableau1[[#This Row],[Nationality]],"_",Tableau1[[#This Row],[Competition_year]])</f>
        <v>Natoya GOULE-TOPPIN_JAM_2022</v>
      </c>
      <c r="B114" t="s">
        <v>222</v>
      </c>
      <c r="C114" t="s">
        <v>29</v>
      </c>
      <c r="D114" s="18" t="s">
        <v>33</v>
      </c>
      <c r="E114">
        <v>13.86</v>
      </c>
      <c r="F114">
        <v>14.2</v>
      </c>
      <c r="G114">
        <v>15.24</v>
      </c>
      <c r="H114">
        <v>14.54</v>
      </c>
      <c r="I114">
        <v>15.11</v>
      </c>
      <c r="J114">
        <v>14.7</v>
      </c>
      <c r="K114">
        <v>15.08</v>
      </c>
      <c r="L114">
        <f>Tableau1[[#This Row],[Final_time]]-SUM(Tableau1[[#This Row],[0_100m]:[600_700m]])</f>
        <v>15.170000000000016</v>
      </c>
      <c r="M114">
        <v>117.9</v>
      </c>
      <c r="N114">
        <f>SUM(Tableau1[[#This Row],[0_100m]:[700_800m]])</f>
        <v>117.9</v>
      </c>
      <c r="O114">
        <f>ABS(Tableau1[[#This Row],[Final_time]]-Tableau1[[#This Row],[Sum_time]])</f>
        <v>0</v>
      </c>
      <c r="P114" s="8"/>
      <c r="Q114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4" t="s">
        <v>143</v>
      </c>
      <c r="S114" s="1" t="s">
        <v>136</v>
      </c>
      <c r="T114" t="s">
        <v>149</v>
      </c>
      <c r="U114" s="1" t="s">
        <v>69</v>
      </c>
      <c r="V114" s="1">
        <v>44766</v>
      </c>
      <c r="W114" s="4">
        <f>YEAR(Tableau1[[#This Row],[Competition_date]])</f>
        <v>2022</v>
      </c>
      <c r="X114" s="4">
        <v>31</v>
      </c>
      <c r="Y114" s="6">
        <v>0.4</v>
      </c>
      <c r="Z114" s="4"/>
      <c r="AA114" t="s">
        <v>169</v>
      </c>
    </row>
    <row r="115" spans="1:27" hidden="1" x14ac:dyDescent="0.35">
      <c r="A115" t="str">
        <f>_xlfn.CONCAT(Tableau1[[#This Row],[Athletes]],"_",Tableau1[[#This Row],[Nationality]],"_",Tableau1[[#This Row],[Competition_year]])</f>
        <v>Raevyn ROGERS_USA_2022</v>
      </c>
      <c r="B115" t="s">
        <v>221</v>
      </c>
      <c r="C115" t="s">
        <v>29</v>
      </c>
      <c r="D115" s="18" t="s">
        <v>35</v>
      </c>
      <c r="E115">
        <v>13.76</v>
      </c>
      <c r="F115">
        <v>14.12</v>
      </c>
      <c r="G115">
        <v>14.96</v>
      </c>
      <c r="H115">
        <v>15.03</v>
      </c>
      <c r="I115">
        <v>14.83</v>
      </c>
      <c r="J115">
        <v>14.83</v>
      </c>
      <c r="K115">
        <v>15.27</v>
      </c>
      <c r="L115">
        <f>Tableau1[[#This Row],[Final_time]]-SUM(Tableau1[[#This Row],[0_100m]:[600_700m]])</f>
        <v>15.460000000000008</v>
      </c>
      <c r="M115">
        <v>118.26</v>
      </c>
      <c r="N115">
        <f>SUM(Tableau1[[#This Row],[0_100m]:[700_800m]])</f>
        <v>118.26</v>
      </c>
      <c r="O115">
        <f>ABS(Tableau1[[#This Row],[Final_time]]-Tableau1[[#This Row],[Sum_time]])</f>
        <v>0</v>
      </c>
      <c r="P115" s="8"/>
      <c r="Q115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5" t="s">
        <v>143</v>
      </c>
      <c r="S115" s="1" t="s">
        <v>136</v>
      </c>
      <c r="T115" t="s">
        <v>149</v>
      </c>
      <c r="U115" s="1" t="s">
        <v>69</v>
      </c>
      <c r="V115" s="1">
        <v>44766</v>
      </c>
      <c r="W115" s="4">
        <f>YEAR(Tableau1[[#This Row],[Competition_date]])</f>
        <v>2022</v>
      </c>
      <c r="X115" s="4">
        <v>31</v>
      </c>
      <c r="Y115" s="6">
        <v>0.4</v>
      </c>
      <c r="Z115" s="4"/>
      <c r="AA115" t="s">
        <v>169</v>
      </c>
    </row>
    <row r="116" spans="1:27" hidden="1" x14ac:dyDescent="0.35">
      <c r="A116" t="str">
        <f>_xlfn.CONCAT(Tableau1[[#This Row],[Athletes]],"_",Tableau1[[#This Row],[Nationality]],"_",Tableau1[[#This Row],[Competition_year]])</f>
        <v>Anita HORVAT_SLO_2022</v>
      </c>
      <c r="B116" t="s">
        <v>218</v>
      </c>
      <c r="C116" t="s">
        <v>29</v>
      </c>
      <c r="D116" s="18" t="s">
        <v>53</v>
      </c>
      <c r="E116">
        <v>13.79</v>
      </c>
      <c r="F116">
        <v>14</v>
      </c>
      <c r="G116">
        <v>14.92</v>
      </c>
      <c r="H116">
        <v>14.93</v>
      </c>
      <c r="I116">
        <v>15.13</v>
      </c>
      <c r="J116">
        <v>15.46</v>
      </c>
      <c r="K116">
        <v>15.51</v>
      </c>
      <c r="L116">
        <f>Tableau1[[#This Row],[Final_time]]-SUM(Tableau1[[#This Row],[0_100m]:[600_700m]])</f>
        <v>16.090000000000003</v>
      </c>
      <c r="M116">
        <v>119.83</v>
      </c>
      <c r="N116">
        <f>SUM(Tableau1[[#This Row],[0_100m]:[700_800m]])</f>
        <v>119.83</v>
      </c>
      <c r="O116">
        <f>ABS(Tableau1[[#This Row],[Final_time]]-Tableau1[[#This Row],[Sum_time]])</f>
        <v>0</v>
      </c>
      <c r="P116" s="8"/>
      <c r="Q116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6" t="s">
        <v>143</v>
      </c>
      <c r="S116" s="1" t="s">
        <v>136</v>
      </c>
      <c r="T116" t="s">
        <v>149</v>
      </c>
      <c r="U116" s="1" t="s">
        <v>69</v>
      </c>
      <c r="V116" s="1">
        <v>44766</v>
      </c>
      <c r="W116" s="4">
        <f>YEAR(Tableau1[[#This Row],[Competition_date]])</f>
        <v>2022</v>
      </c>
      <c r="X116" s="4">
        <v>31</v>
      </c>
      <c r="Y116" s="6">
        <v>0.4</v>
      </c>
      <c r="Z116" s="4"/>
      <c r="AA116" t="s">
        <v>169</v>
      </c>
    </row>
    <row r="117" spans="1:27" hidden="1" x14ac:dyDescent="0.35">
      <c r="A117" t="str">
        <f>_xlfn.CONCAT(Tableau1[[#This Row],[Athletes]],"_",Tableau1[[#This Row],[Nationality]],"_",Tableau1[[#This Row],[Competition_year]])</f>
        <v>Ajee' WILSON_USA_2022</v>
      </c>
      <c r="B117" t="s">
        <v>549</v>
      </c>
      <c r="C117" t="s">
        <v>29</v>
      </c>
      <c r="D117" s="18" t="s">
        <v>35</v>
      </c>
      <c r="E117">
        <v>13.71</v>
      </c>
      <c r="F117">
        <v>14.27</v>
      </c>
      <c r="G117">
        <v>15.06</v>
      </c>
      <c r="H117">
        <v>14.71</v>
      </c>
      <c r="I117">
        <v>14.85</v>
      </c>
      <c r="J117">
        <v>14.8</v>
      </c>
      <c r="K117">
        <v>15.71</v>
      </c>
      <c r="L117">
        <f>Tableau1[[#This Row],[Final_time]]-SUM(Tableau1[[#This Row],[0_100m]:[600_700m]])</f>
        <v>17.080000000000013</v>
      </c>
      <c r="M117">
        <v>120.19</v>
      </c>
      <c r="N117">
        <f>SUM(Tableau1[[#This Row],[0_100m]:[700_800m]])</f>
        <v>120.19</v>
      </c>
      <c r="O117">
        <f>ABS(Tableau1[[#This Row],[Final_time]]-Tableau1[[#This Row],[Sum_time]])</f>
        <v>0</v>
      </c>
      <c r="P117" s="8"/>
      <c r="Q117" s="16" t="str">
        <f>_xlfn.CONCAT(Tableau1[[#This Row],[Competition]],"_",Tableau1[[#This Row],[Championship_step]],"_",Tableau1[[#This Row],[Competition_date]],"_",Tableau1[[#This Row],[Gender]])</f>
        <v>World Championships Eugene 2022_Final_44766_Female</v>
      </c>
      <c r="R117" t="s">
        <v>143</v>
      </c>
      <c r="S117" s="1" t="s">
        <v>136</v>
      </c>
      <c r="T117" t="s">
        <v>149</v>
      </c>
      <c r="U117" s="1" t="s">
        <v>69</v>
      </c>
      <c r="V117" s="1">
        <v>44766</v>
      </c>
      <c r="W117" s="4">
        <f>YEAR(Tableau1[[#This Row],[Competition_date]])</f>
        <v>2022</v>
      </c>
      <c r="X117" s="4">
        <v>31</v>
      </c>
      <c r="Y117" s="6">
        <v>0.4</v>
      </c>
      <c r="Z117" s="4"/>
      <c r="AA117" t="s">
        <v>169</v>
      </c>
    </row>
    <row r="118" spans="1:27" hidden="1" x14ac:dyDescent="0.35">
      <c r="A118" t="str">
        <f>_xlfn.CONCAT(Tableau1[[#This Row],[Athletes]],"_",Tableau1[[#This Row],[Nationality]],"_",Tableau1[[#This Row],[Competition_year]])</f>
        <v>Emmanuel Kipkurui KORIR_KEN_2022</v>
      </c>
      <c r="B118" t="s">
        <v>201</v>
      </c>
      <c r="C118" t="s">
        <v>14</v>
      </c>
      <c r="D118" s="18" t="s">
        <v>15</v>
      </c>
      <c r="E118">
        <v>12.73</v>
      </c>
      <c r="F118">
        <v>12.52</v>
      </c>
      <c r="G118">
        <v>13.64</v>
      </c>
      <c r="H118">
        <v>13.4</v>
      </c>
      <c r="I118">
        <v>13.04</v>
      </c>
      <c r="J118">
        <v>12.56</v>
      </c>
      <c r="K118">
        <v>12.68</v>
      </c>
      <c r="L118">
        <f>Tableau1[[#This Row],[Final_time]]-SUM(Tableau1[[#This Row],[0_100m]:[600_700m]])</f>
        <v>13.14</v>
      </c>
      <c r="M118">
        <v>103.71</v>
      </c>
      <c r="N118">
        <f>SUM(Tableau1[[#This Row],[0_100m]:[700_800m]])</f>
        <v>103.71</v>
      </c>
      <c r="O118">
        <f>ABS(Tableau1[[#This Row],[Final_time]]-Tableau1[[#This Row],[Sum_time]])</f>
        <v>0</v>
      </c>
      <c r="P118" s="8"/>
      <c r="Q118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118" t="s">
        <v>143</v>
      </c>
      <c r="S118" s="1" t="s">
        <v>136</v>
      </c>
      <c r="T118" t="s">
        <v>149</v>
      </c>
      <c r="U118" s="1" t="s">
        <v>69</v>
      </c>
      <c r="V118" s="1">
        <v>44765</v>
      </c>
      <c r="W118" s="4">
        <f>YEAR(Tableau1[[#This Row],[Competition_date]])</f>
        <v>2022</v>
      </c>
      <c r="X118" s="4">
        <v>25</v>
      </c>
      <c r="Y118" s="6">
        <v>0.44</v>
      </c>
      <c r="Z118" s="4"/>
      <c r="AA118" t="s">
        <v>161</v>
      </c>
    </row>
    <row r="119" spans="1:27" hidden="1" x14ac:dyDescent="0.35">
      <c r="A119" t="str">
        <f>_xlfn.CONCAT(Tableau1[[#This Row],[Athletes]],"_",Tableau1[[#This Row],[Nationality]],"_",Tableau1[[#This Row],[Competition_year]])</f>
        <v>Mary MORAA_KEN_2024</v>
      </c>
      <c r="B119" t="s">
        <v>228</v>
      </c>
      <c r="C119" t="s">
        <v>29</v>
      </c>
      <c r="D119" s="18" t="s">
        <v>15</v>
      </c>
      <c r="E119">
        <v>13.7</v>
      </c>
      <c r="F119">
        <v>13.8</v>
      </c>
      <c r="G119">
        <v>14.6</v>
      </c>
      <c r="H119">
        <v>14.7</v>
      </c>
      <c r="I119">
        <v>15.2</v>
      </c>
      <c r="J119">
        <v>15.8</v>
      </c>
      <c r="K119">
        <v>15.4</v>
      </c>
      <c r="L119">
        <f>Tableau1[[#This Row],[Final_time]]-SUM(Tableau1[[#This Row],[0_100m]:[600_700m]])</f>
        <v>14.709999999999994</v>
      </c>
      <c r="M119">
        <v>117.91</v>
      </c>
      <c r="N119">
        <f>SUM(Tableau1[[#This Row],[0_100m]:[700_800m]])</f>
        <v>117.91</v>
      </c>
      <c r="O119">
        <f>ABS(Tableau1[[#This Row],[Final_time]]-Tableau1[[#This Row],[Sum_time]])</f>
        <v>0</v>
      </c>
      <c r="P119" s="8"/>
      <c r="Q119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19" t="s">
        <v>50</v>
      </c>
      <c r="S119" s="1" t="s">
        <v>68</v>
      </c>
      <c r="U119" s="1" t="s">
        <v>69</v>
      </c>
      <c r="V119" s="1">
        <v>45422</v>
      </c>
      <c r="W119" s="4">
        <f>YEAR(Tableau1[[#This Row],[Competition_date]])</f>
        <v>2024</v>
      </c>
      <c r="X119" s="4">
        <v>30</v>
      </c>
      <c r="Y119" s="6">
        <v>0.22</v>
      </c>
      <c r="Z119" s="4" t="s">
        <v>82</v>
      </c>
      <c r="AA119" s="5" t="s">
        <v>51</v>
      </c>
    </row>
    <row r="120" spans="1:27" hidden="1" x14ac:dyDescent="0.35">
      <c r="A120" t="str">
        <f>_xlfn.CONCAT(Tableau1[[#This Row],[Athletes]],"_",Tableau1[[#This Row],[Nationality]],"_",Tableau1[[#This Row],[Competition_year]])</f>
        <v>Jemma REEKIE_GBR_2024</v>
      </c>
      <c r="B120" t="s">
        <v>220</v>
      </c>
      <c r="C120" t="s">
        <v>29</v>
      </c>
      <c r="D120" s="18" t="s">
        <v>30</v>
      </c>
      <c r="E120">
        <v>13.8</v>
      </c>
      <c r="F120">
        <v>14</v>
      </c>
      <c r="G120">
        <v>14.5</v>
      </c>
      <c r="H120">
        <v>14.8</v>
      </c>
      <c r="I120">
        <v>15.1</v>
      </c>
      <c r="J120">
        <v>15.8</v>
      </c>
      <c r="K120">
        <v>15.4</v>
      </c>
      <c r="L120">
        <f>Tableau1[[#This Row],[Final_time]]-SUM(Tableau1[[#This Row],[0_100m]:[600_700m]])</f>
        <v>15.02000000000001</v>
      </c>
      <c r="M120">
        <v>118.42</v>
      </c>
      <c r="N120">
        <f>SUM(Tableau1[[#This Row],[0_100m]:[700_800m]])</f>
        <v>118.42</v>
      </c>
      <c r="O120">
        <f>ABS(Tableau1[[#This Row],[Final_time]]-Tableau1[[#This Row],[Sum_time]])</f>
        <v>0</v>
      </c>
      <c r="P120" s="8"/>
      <c r="Q120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0" t="s">
        <v>50</v>
      </c>
      <c r="S120" s="1" t="s">
        <v>68</v>
      </c>
      <c r="U120" s="1" t="s">
        <v>69</v>
      </c>
      <c r="V120" s="1">
        <v>45422</v>
      </c>
      <c r="W120" s="4">
        <f>YEAR(Tableau1[[#This Row],[Competition_date]])</f>
        <v>2024</v>
      </c>
      <c r="X120" s="4">
        <v>30</v>
      </c>
      <c r="Y120" s="6">
        <v>0.22</v>
      </c>
      <c r="Z120" s="4" t="s">
        <v>82</v>
      </c>
      <c r="AA120" t="s">
        <v>51</v>
      </c>
    </row>
    <row r="121" spans="1:27" hidden="1" x14ac:dyDescent="0.35">
      <c r="A121" t="str">
        <f>_xlfn.CONCAT(Tableau1[[#This Row],[Athletes]],"_",Tableau1[[#This Row],[Nationality]],"_",Tableau1[[#This Row],[Competition_year]])</f>
        <v>Noélie YARIGO_BEN_2024</v>
      </c>
      <c r="B121" t="s">
        <v>214</v>
      </c>
      <c r="C121" t="s">
        <v>29</v>
      </c>
      <c r="D121" s="18" t="s">
        <v>52</v>
      </c>
      <c r="E121">
        <v>14</v>
      </c>
      <c r="F121">
        <v>14</v>
      </c>
      <c r="G121">
        <v>14.7</v>
      </c>
      <c r="H121">
        <v>14.7</v>
      </c>
      <c r="I121">
        <v>15.1</v>
      </c>
      <c r="J121">
        <v>15.5</v>
      </c>
      <c r="K121">
        <v>15.4</v>
      </c>
      <c r="L121">
        <f>Tableau1[[#This Row],[Final_time]]-SUM(Tableau1[[#This Row],[0_100m]:[600_700m]])</f>
        <v>15.299999999999997</v>
      </c>
      <c r="M121">
        <v>118.7</v>
      </c>
      <c r="N121">
        <f>SUM(Tableau1[[#This Row],[0_100m]:[700_800m]])</f>
        <v>118.7</v>
      </c>
      <c r="O121">
        <f>ABS(Tableau1[[#This Row],[Final_time]]-Tableau1[[#This Row],[Sum_time]])</f>
        <v>0</v>
      </c>
      <c r="P121" s="8"/>
      <c r="Q121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1" t="s">
        <v>50</v>
      </c>
      <c r="S121" s="1" t="s">
        <v>68</v>
      </c>
      <c r="U121" s="1" t="s">
        <v>69</v>
      </c>
      <c r="V121" s="1">
        <v>45422</v>
      </c>
      <c r="W121" s="4">
        <f>YEAR(Tableau1[[#This Row],[Competition_date]])</f>
        <v>2024</v>
      </c>
      <c r="X121" s="4">
        <v>30</v>
      </c>
      <c r="Y121" s="6">
        <v>0.22</v>
      </c>
      <c r="Z121" s="4" t="s">
        <v>82</v>
      </c>
      <c r="AA121" t="s">
        <v>51</v>
      </c>
    </row>
    <row r="122" spans="1:27" hidden="1" x14ac:dyDescent="0.35">
      <c r="A122" t="str">
        <f>_xlfn.CONCAT(Tableau1[[#This Row],[Athletes]],"_",Tableau1[[#This Row],[Nationality]],"_",Tableau1[[#This Row],[Competition_year]])</f>
        <v>Habitam ALEMU_ETH_2024</v>
      </c>
      <c r="B122" t="s">
        <v>223</v>
      </c>
      <c r="C122" t="s">
        <v>29</v>
      </c>
      <c r="D122" s="18" t="s">
        <v>49</v>
      </c>
      <c r="E122">
        <v>14.3</v>
      </c>
      <c r="F122">
        <v>13.8</v>
      </c>
      <c r="G122">
        <v>14.3</v>
      </c>
      <c r="H122">
        <v>14.7</v>
      </c>
      <c r="I122">
        <v>15.2</v>
      </c>
      <c r="J122">
        <v>15.6</v>
      </c>
      <c r="K122">
        <v>15.5</v>
      </c>
      <c r="L122">
        <f>Tableau1[[#This Row],[Final_time]]-SUM(Tableau1[[#This Row],[0_100m]:[600_700m]])</f>
        <v>15.679999999999993</v>
      </c>
      <c r="M122">
        <v>119.08</v>
      </c>
      <c r="N122">
        <f>SUM(Tableau1[[#This Row],[0_100m]:[700_800m]])</f>
        <v>119.08</v>
      </c>
      <c r="O122">
        <f>ABS(Tableau1[[#This Row],[Final_time]]-Tableau1[[#This Row],[Sum_time]])</f>
        <v>0</v>
      </c>
      <c r="P122" s="8"/>
      <c r="Q122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2" t="s">
        <v>50</v>
      </c>
      <c r="S122" s="1" t="s">
        <v>68</v>
      </c>
      <c r="U122" s="1" t="s">
        <v>69</v>
      </c>
      <c r="V122" s="1">
        <v>45422</v>
      </c>
      <c r="W122" s="4">
        <f>YEAR(Tableau1[[#This Row],[Competition_date]])</f>
        <v>2024</v>
      </c>
      <c r="X122" s="4">
        <v>30</v>
      </c>
      <c r="Y122" s="6">
        <v>0.22</v>
      </c>
      <c r="Z122" s="4" t="s">
        <v>82</v>
      </c>
      <c r="AA122" t="s">
        <v>51</v>
      </c>
    </row>
    <row r="123" spans="1:27" hidden="1" x14ac:dyDescent="0.35">
      <c r="A123" t="str">
        <f>_xlfn.CONCAT(Tableau1[[#This Row],[Athletes]],"_",Tableau1[[#This Row],[Nationality]],"_",Tableau1[[#This Row],[Competition_year]])</f>
        <v>Halimah NAKAAYI_UGA_2024</v>
      </c>
      <c r="B123" t="s">
        <v>230</v>
      </c>
      <c r="C123" t="s">
        <v>29</v>
      </c>
      <c r="D123" s="18" t="s">
        <v>34</v>
      </c>
      <c r="E123">
        <v>14.1</v>
      </c>
      <c r="F123">
        <v>14.2</v>
      </c>
      <c r="G123">
        <v>14.8</v>
      </c>
      <c r="H123">
        <v>14.7</v>
      </c>
      <c r="I123">
        <v>15.1</v>
      </c>
      <c r="J123">
        <v>15.4</v>
      </c>
      <c r="K123">
        <v>15.6</v>
      </c>
      <c r="L123">
        <f>Tableau1[[#This Row],[Final_time]]-SUM(Tableau1[[#This Row],[0_100m]:[600_700m]])</f>
        <v>15.580000000000013</v>
      </c>
      <c r="M123">
        <v>119.48</v>
      </c>
      <c r="N123">
        <f>SUM(Tableau1[[#This Row],[0_100m]:[700_800m]])</f>
        <v>119.48</v>
      </c>
      <c r="O123">
        <f>ABS(Tableau1[[#This Row],[Final_time]]-Tableau1[[#This Row],[Sum_time]])</f>
        <v>0</v>
      </c>
      <c r="P123" s="8"/>
      <c r="Q123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3" t="s">
        <v>50</v>
      </c>
      <c r="S123" s="1" t="s">
        <v>68</v>
      </c>
      <c r="U123" s="1" t="s">
        <v>69</v>
      </c>
      <c r="V123" s="1">
        <v>45422</v>
      </c>
      <c r="W123" s="4">
        <f>YEAR(Tableau1[[#This Row],[Competition_date]])</f>
        <v>2024</v>
      </c>
      <c r="X123" s="4">
        <v>30</v>
      </c>
      <c r="Y123" s="6">
        <v>0.22</v>
      </c>
      <c r="Z123" s="4" t="s">
        <v>82</v>
      </c>
      <c r="AA123" t="s">
        <v>51</v>
      </c>
    </row>
    <row r="124" spans="1:27" hidden="1" x14ac:dyDescent="0.35">
      <c r="A124" t="str">
        <f>_xlfn.CONCAT(Tableau1[[#This Row],[Athletes]],"_",Tableau1[[#This Row],[Nationality]],"_",Tableau1[[#This Row],[Competition_year]])</f>
        <v>Natoya GOULE-TOPPIN_JAM_2024</v>
      </c>
      <c r="B124" t="s">
        <v>222</v>
      </c>
      <c r="C124" t="s">
        <v>29</v>
      </c>
      <c r="D124" s="18" t="s">
        <v>33</v>
      </c>
      <c r="E124">
        <v>14.1</v>
      </c>
      <c r="F124">
        <v>14</v>
      </c>
      <c r="G124">
        <v>15</v>
      </c>
      <c r="H124">
        <v>15</v>
      </c>
      <c r="I124">
        <v>14.9</v>
      </c>
      <c r="J124">
        <v>15.4</v>
      </c>
      <c r="K124">
        <v>15.7</v>
      </c>
      <c r="L124">
        <f>Tableau1[[#This Row],[Final_time]]-SUM(Tableau1[[#This Row],[0_100m]:[600_700m]])</f>
        <v>15.639999999999986</v>
      </c>
      <c r="M124">
        <v>119.74</v>
      </c>
      <c r="N124">
        <f>SUM(Tableau1[[#This Row],[0_100m]:[700_800m]])</f>
        <v>119.74</v>
      </c>
      <c r="O124">
        <f>ABS(Tableau1[[#This Row],[Final_time]]-Tableau1[[#This Row],[Sum_time]])</f>
        <v>0</v>
      </c>
      <c r="P124" s="8"/>
      <c r="Q124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4" t="s">
        <v>50</v>
      </c>
      <c r="S124" s="1" t="s">
        <v>68</v>
      </c>
      <c r="U124" s="1" t="s">
        <v>69</v>
      </c>
      <c r="V124" s="1">
        <v>45422</v>
      </c>
      <c r="W124" s="4">
        <f>YEAR(Tableau1[[#This Row],[Competition_date]])</f>
        <v>2024</v>
      </c>
      <c r="X124" s="4">
        <v>30</v>
      </c>
      <c r="Y124" s="6">
        <v>0.22</v>
      </c>
      <c r="Z124" s="4" t="s">
        <v>82</v>
      </c>
      <c r="AA124" t="s">
        <v>51</v>
      </c>
    </row>
    <row r="125" spans="1:27" hidden="1" x14ac:dyDescent="0.35">
      <c r="A125" t="str">
        <f>_xlfn.CONCAT(Tableau1[[#This Row],[Athletes]],"_",Tableau1[[#This Row],[Nationality]],"_",Tableau1[[#This Row],[Competition_year]])</f>
        <v>Elena BELLÒ_ITA_2024</v>
      </c>
      <c r="B125" t="s">
        <v>261</v>
      </c>
      <c r="C125" t="s">
        <v>29</v>
      </c>
      <c r="D125" s="18" t="s">
        <v>20</v>
      </c>
      <c r="E125">
        <v>14</v>
      </c>
      <c r="F125">
        <v>14.3</v>
      </c>
      <c r="G125">
        <v>14.9</v>
      </c>
      <c r="H125">
        <v>14.9</v>
      </c>
      <c r="I125">
        <v>15.1</v>
      </c>
      <c r="J125">
        <v>15.3</v>
      </c>
      <c r="K125">
        <v>15.7</v>
      </c>
      <c r="L125">
        <f>Tableau1[[#This Row],[Final_time]]-SUM(Tableau1[[#This Row],[0_100m]:[600_700m]])</f>
        <v>15.629999999999995</v>
      </c>
      <c r="M125">
        <v>119.83</v>
      </c>
      <c r="N125">
        <f>SUM(Tableau1[[#This Row],[0_100m]:[700_800m]])</f>
        <v>119.83</v>
      </c>
      <c r="O125">
        <f>ABS(Tableau1[[#This Row],[Final_time]]-Tableau1[[#This Row],[Sum_time]])</f>
        <v>0</v>
      </c>
      <c r="P125" s="8"/>
      <c r="Q125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5" t="s">
        <v>50</v>
      </c>
      <c r="S125" s="1" t="s">
        <v>68</v>
      </c>
      <c r="U125" s="1" t="s">
        <v>69</v>
      </c>
      <c r="V125" s="1">
        <v>45422</v>
      </c>
      <c r="W125" s="4">
        <f>YEAR(Tableau1[[#This Row],[Competition_date]])</f>
        <v>2024</v>
      </c>
      <c r="X125" s="4">
        <v>30</v>
      </c>
      <c r="Y125" s="6">
        <v>0.22</v>
      </c>
      <c r="Z125" s="4" t="s">
        <v>82</v>
      </c>
      <c r="AA125" t="s">
        <v>51</v>
      </c>
    </row>
    <row r="126" spans="1:27" hidden="1" x14ac:dyDescent="0.35">
      <c r="A126" t="str">
        <f>_xlfn.CONCAT(Tableau1[[#This Row],[Athletes]],"_",Tableau1[[#This Row],[Nationality]],"_",Tableau1[[#This Row],[Competition_year]])</f>
        <v>Isabelle BOFFEY_GBR_2024</v>
      </c>
      <c r="B126" t="s">
        <v>364</v>
      </c>
      <c r="C126" t="s">
        <v>29</v>
      </c>
      <c r="D126" s="18" t="s">
        <v>30</v>
      </c>
      <c r="E126">
        <v>14.2</v>
      </c>
      <c r="F126">
        <v>14.3</v>
      </c>
      <c r="G126">
        <v>15</v>
      </c>
      <c r="H126">
        <v>14.9</v>
      </c>
      <c r="I126">
        <v>15</v>
      </c>
      <c r="J126">
        <v>15.4</v>
      </c>
      <c r="K126">
        <v>15.6</v>
      </c>
      <c r="L126">
        <f>Tableau1[[#This Row],[Final_time]]-SUM(Tableau1[[#This Row],[0_100m]:[600_700m]])</f>
        <v>16.629999999999995</v>
      </c>
      <c r="M126">
        <v>121.03</v>
      </c>
      <c r="N126">
        <f>SUM(Tableau1[[#This Row],[0_100m]:[700_800m]])</f>
        <v>121.03</v>
      </c>
      <c r="O126">
        <f>ABS(Tableau1[[#This Row],[Final_time]]-Tableau1[[#This Row],[Sum_time]])</f>
        <v>0</v>
      </c>
      <c r="P126" s="8"/>
      <c r="Q126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6" t="s">
        <v>50</v>
      </c>
      <c r="S126" s="1" t="s">
        <v>68</v>
      </c>
      <c r="U126" s="1" t="s">
        <v>69</v>
      </c>
      <c r="V126" s="1">
        <v>45422</v>
      </c>
      <c r="W126" s="4">
        <f>YEAR(Tableau1[[#This Row],[Competition_date]])</f>
        <v>2024</v>
      </c>
      <c r="X126" s="4">
        <v>30</v>
      </c>
      <c r="Y126" s="6">
        <v>0.22</v>
      </c>
      <c r="Z126" s="4" t="s">
        <v>82</v>
      </c>
      <c r="AA126" t="s">
        <v>51</v>
      </c>
    </row>
    <row r="127" spans="1:27" hidden="1" x14ac:dyDescent="0.35">
      <c r="A127" t="str">
        <f>_xlfn.CONCAT(Tableau1[[#This Row],[Athletes]],"_",Tableau1[[#This Row],[Nationality]],"_",Tableau1[[#This Row],[Competition_year]])</f>
        <v>Alexandra BELL_GBR_2024</v>
      </c>
      <c r="B127" t="s">
        <v>268</v>
      </c>
      <c r="C127" t="s">
        <v>29</v>
      </c>
      <c r="D127" s="18" t="s">
        <v>30</v>
      </c>
      <c r="E127">
        <v>14.3</v>
      </c>
      <c r="F127">
        <v>14.4</v>
      </c>
      <c r="G127">
        <v>14.9</v>
      </c>
      <c r="H127">
        <v>15</v>
      </c>
      <c r="I127">
        <v>15</v>
      </c>
      <c r="J127">
        <v>15.7</v>
      </c>
      <c r="K127">
        <v>16</v>
      </c>
      <c r="L127">
        <f>Tableau1[[#This Row],[Final_time]]-SUM(Tableau1[[#This Row],[0_100m]:[600_700m]])</f>
        <v>16.260000000000005</v>
      </c>
      <c r="M127">
        <v>121.56</v>
      </c>
      <c r="N127">
        <f>SUM(Tableau1[[#This Row],[0_100m]:[700_800m]])</f>
        <v>121.56</v>
      </c>
      <c r="O127">
        <f>ABS(Tableau1[[#This Row],[Final_time]]-Tableau1[[#This Row],[Sum_time]])</f>
        <v>0</v>
      </c>
      <c r="P127" s="8"/>
      <c r="Q127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7" t="s">
        <v>50</v>
      </c>
      <c r="S127" s="1" t="s">
        <v>68</v>
      </c>
      <c r="U127" s="1" t="s">
        <v>69</v>
      </c>
      <c r="V127" s="1">
        <v>45422</v>
      </c>
      <c r="W127" s="4">
        <f>YEAR(Tableau1[[#This Row],[Competition_date]])</f>
        <v>2024</v>
      </c>
      <c r="X127" s="4">
        <v>30</v>
      </c>
      <c r="Y127" s="6">
        <v>0.22</v>
      </c>
      <c r="Z127" s="4" t="s">
        <v>82</v>
      </c>
      <c r="AA127" t="s">
        <v>51</v>
      </c>
    </row>
    <row r="128" spans="1:27" hidden="1" x14ac:dyDescent="0.35">
      <c r="A128" t="str">
        <f>_xlfn.CONCAT(Tableau1[[#This Row],[Athletes]],"_",Tableau1[[#This Row],[Nationality]],"_",Tableau1[[#This Row],[Competition_year]])</f>
        <v>Anita HORVAT_SLO_2024</v>
      </c>
      <c r="B128" t="s">
        <v>218</v>
      </c>
      <c r="C128" t="s">
        <v>29</v>
      </c>
      <c r="D128" s="18" t="s">
        <v>53</v>
      </c>
      <c r="E128">
        <v>14.1</v>
      </c>
      <c r="F128">
        <v>14.3</v>
      </c>
      <c r="G128">
        <v>15</v>
      </c>
      <c r="H128">
        <v>14.9</v>
      </c>
      <c r="I128">
        <v>15.4</v>
      </c>
      <c r="J128">
        <v>16.399999999999999</v>
      </c>
      <c r="K128">
        <v>17.100000000000001</v>
      </c>
      <c r="L128">
        <f>Tableau1[[#This Row],[Final_time]]-SUM(Tableau1[[#This Row],[0_100m]:[600_700m]])</f>
        <v>17.860000000000014</v>
      </c>
      <c r="M128">
        <v>125.06</v>
      </c>
      <c r="N128">
        <f>SUM(Tableau1[[#This Row],[0_100m]:[700_800m]])</f>
        <v>125.06</v>
      </c>
      <c r="O128">
        <f>ABS(Tableau1[[#This Row],[Final_time]]-Tableau1[[#This Row],[Sum_time]])</f>
        <v>0</v>
      </c>
      <c r="P128" s="8"/>
      <c r="Q128" s="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R128" t="s">
        <v>50</v>
      </c>
      <c r="S128" s="1" t="s">
        <v>68</v>
      </c>
      <c r="U128" s="1" t="s">
        <v>69</v>
      </c>
      <c r="V128" s="1">
        <v>45422</v>
      </c>
      <c r="W128" s="4">
        <f>YEAR(Tableau1[[#This Row],[Competition_date]])</f>
        <v>2024</v>
      </c>
      <c r="X128" s="4">
        <v>30</v>
      </c>
      <c r="Y128" s="6">
        <v>0.22</v>
      </c>
      <c r="Z128" s="4" t="s">
        <v>82</v>
      </c>
      <c r="AA128" t="s">
        <v>51</v>
      </c>
    </row>
    <row r="129" spans="1:26" hidden="1" x14ac:dyDescent="0.35">
      <c r="A129" t="str">
        <f>_xlfn.CONCAT(Tableau1[[#This Row],[Athletes]],"_",Tableau1[[#This Row],[Nationality]],"_",Tableau1[[#This Row],[Competition_year]])</f>
        <v>Abdikadir SULEIMAN_SOM_2025</v>
      </c>
      <c r="B129" t="s">
        <v>1338</v>
      </c>
      <c r="C129" t="s">
        <v>14</v>
      </c>
      <c r="D129" s="18" t="s">
        <v>1339</v>
      </c>
      <c r="E129">
        <v>14.2</v>
      </c>
      <c r="F129">
        <v>14</v>
      </c>
      <c r="G129">
        <v>14</v>
      </c>
      <c r="H129">
        <v>13.4</v>
      </c>
      <c r="I129">
        <v>13.6</v>
      </c>
      <c r="J129">
        <v>13.8</v>
      </c>
      <c r="K129">
        <v>14.7</v>
      </c>
      <c r="L129">
        <f>Tableau1[[#This Row],[Final_time]]-SUM(Tableau1[[#This Row],[0_100m]:[600_700m]])</f>
        <v>13.879999999999995</v>
      </c>
      <c r="M129">
        <v>111.58</v>
      </c>
      <c r="N129">
        <f>SUM(Tableau1[[#This Row],[0_100m]:[700_800m]])</f>
        <v>111.58</v>
      </c>
      <c r="O129">
        <f>ABS(Tableau1[[#This Row],[Final_time]]-Tableau1[[#This Row],[Sum_time]])</f>
        <v>0</v>
      </c>
      <c r="P129" s="8"/>
      <c r="Q129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29" t="s">
        <v>1350</v>
      </c>
      <c r="S129" s="1" t="s">
        <v>68</v>
      </c>
      <c r="U129" s="1" t="s">
        <v>288</v>
      </c>
      <c r="V129" s="1">
        <v>45793</v>
      </c>
      <c r="W129" s="4">
        <f>YEAR(Tableau1[[#This Row],[Competition_date]])</f>
        <v>2025</v>
      </c>
      <c r="X129" s="4">
        <v>38</v>
      </c>
      <c r="Y129" s="6">
        <v>0.23</v>
      </c>
      <c r="Z129" s="4" t="s">
        <v>79</v>
      </c>
    </row>
    <row r="130" spans="1:26" hidden="1" x14ac:dyDescent="0.35">
      <c r="A130" t="str">
        <f>_xlfn.CONCAT(Tableau1[[#This Row],[Athletes]],"_",Tableau1[[#This Row],[Nationality]],"_",Tableau1[[#This Row],[Competition_year]])</f>
        <v>Saad AOUAJ_MAR_2025</v>
      </c>
      <c r="B130" t="s">
        <v>1340</v>
      </c>
      <c r="C130" t="s">
        <v>14</v>
      </c>
      <c r="D130" s="18" t="s">
        <v>21</v>
      </c>
      <c r="E130">
        <v>14</v>
      </c>
      <c r="F130">
        <v>14</v>
      </c>
      <c r="G130">
        <v>13.8</v>
      </c>
      <c r="H130">
        <v>13.4</v>
      </c>
      <c r="I130">
        <v>13.5</v>
      </c>
      <c r="J130">
        <v>14.3</v>
      </c>
      <c r="K130">
        <v>14.5</v>
      </c>
      <c r="L130">
        <f>Tableau1[[#This Row],[Final_time]]-SUM(Tableau1[[#This Row],[0_100m]:[600_700m]])</f>
        <v>14.470000000000013</v>
      </c>
      <c r="M130">
        <v>111.97</v>
      </c>
      <c r="N130">
        <f>SUM(Tableau1[[#This Row],[0_100m]:[700_800m]])</f>
        <v>111.97</v>
      </c>
      <c r="O130">
        <f>ABS(Tableau1[[#This Row],[Final_time]]-Tableau1[[#This Row],[Sum_time]])</f>
        <v>0</v>
      </c>
      <c r="P130" s="8"/>
      <c r="Q130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0" t="s">
        <v>1350</v>
      </c>
      <c r="S130" s="1" t="s">
        <v>68</v>
      </c>
      <c r="U130" s="1" t="s">
        <v>288</v>
      </c>
      <c r="V130" s="1">
        <v>45793</v>
      </c>
      <c r="W130" s="4">
        <f>YEAR(Tableau1[[#This Row],[Competition_date]])</f>
        <v>2025</v>
      </c>
      <c r="X130" s="4">
        <v>38</v>
      </c>
      <c r="Y130" s="6">
        <v>0.23</v>
      </c>
      <c r="Z130" s="4" t="s">
        <v>79</v>
      </c>
    </row>
    <row r="131" spans="1:26" hidden="1" x14ac:dyDescent="0.35">
      <c r="A131" t="str">
        <f>_xlfn.CONCAT(Tableau1[[#This Row],[Athletes]],"_",Tableau1[[#This Row],[Nationality]],"_",Tableau1[[#This Row],[Competition_year]])</f>
        <v>Yakob Rayan SAKHRI_ALG_2025</v>
      </c>
      <c r="B131" t="s">
        <v>1341</v>
      </c>
      <c r="C131" t="s">
        <v>14</v>
      </c>
      <c r="D131" s="18" t="s">
        <v>24</v>
      </c>
      <c r="E131">
        <v>14</v>
      </c>
      <c r="F131">
        <v>14.2</v>
      </c>
      <c r="G131">
        <v>13.8</v>
      </c>
      <c r="H131">
        <v>13.4</v>
      </c>
      <c r="I131">
        <v>13.5</v>
      </c>
      <c r="J131">
        <v>14.2</v>
      </c>
      <c r="K131">
        <v>14.8</v>
      </c>
      <c r="L131">
        <f>Tableau1[[#This Row],[Final_time]]-SUM(Tableau1[[#This Row],[0_100m]:[600_700m]])</f>
        <v>15.47999999999999</v>
      </c>
      <c r="M131">
        <v>113.38</v>
      </c>
      <c r="N131">
        <f>SUM(Tableau1[[#This Row],[0_100m]:[700_800m]])</f>
        <v>113.38</v>
      </c>
      <c r="O131">
        <f>ABS(Tableau1[[#This Row],[Final_time]]-Tableau1[[#This Row],[Sum_time]])</f>
        <v>0</v>
      </c>
      <c r="P131" s="8"/>
      <c r="Q131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1" t="s">
        <v>1350</v>
      </c>
      <c r="S131" s="1" t="s">
        <v>68</v>
      </c>
      <c r="U131" s="1" t="s">
        <v>288</v>
      </c>
      <c r="V131" s="1">
        <v>45793</v>
      </c>
      <c r="W131" s="4">
        <f>YEAR(Tableau1[[#This Row],[Competition_date]])</f>
        <v>2025</v>
      </c>
      <c r="X131" s="4">
        <v>38</v>
      </c>
      <c r="Y131" s="6">
        <v>0.23</v>
      </c>
      <c r="Z131" s="4" t="s">
        <v>79</v>
      </c>
    </row>
    <row r="132" spans="1:26" hidden="1" x14ac:dyDescent="0.35">
      <c r="A132" t="str">
        <f>_xlfn.CONCAT(Tableau1[[#This Row],[Athletes]],"_",Tableau1[[#This Row],[Nationality]],"_",Tableau1[[#This Row],[Competition_year]])</f>
        <v>Ahmed AMRANE_MAR_2025</v>
      </c>
      <c r="B132" t="s">
        <v>1342</v>
      </c>
      <c r="C132" t="s">
        <v>14</v>
      </c>
      <c r="D132" s="18" t="s">
        <v>21</v>
      </c>
      <c r="E132">
        <v>14.5</v>
      </c>
      <c r="F132">
        <v>14.2</v>
      </c>
      <c r="G132">
        <v>14.2</v>
      </c>
      <c r="H132">
        <v>13.7</v>
      </c>
      <c r="I132">
        <v>14</v>
      </c>
      <c r="J132">
        <v>14.5</v>
      </c>
      <c r="K132">
        <v>14.8</v>
      </c>
      <c r="L132">
        <f>Tableau1[[#This Row],[Final_time]]-SUM(Tableau1[[#This Row],[0_100m]:[600_700m]])</f>
        <v>14.810000000000002</v>
      </c>
      <c r="M132">
        <v>114.71</v>
      </c>
      <c r="N132">
        <f>SUM(Tableau1[[#This Row],[0_100m]:[700_800m]])</f>
        <v>114.71</v>
      </c>
      <c r="O132">
        <f>ABS(Tableau1[[#This Row],[Final_time]]-Tableau1[[#This Row],[Sum_time]])</f>
        <v>0</v>
      </c>
      <c r="P132" s="8"/>
      <c r="Q132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2" t="s">
        <v>1350</v>
      </c>
      <c r="S132" s="1" t="s">
        <v>68</v>
      </c>
      <c r="U132" s="1" t="s">
        <v>288</v>
      </c>
      <c r="V132" s="1">
        <v>45793</v>
      </c>
      <c r="W132" s="4">
        <f>YEAR(Tableau1[[#This Row],[Competition_date]])</f>
        <v>2025</v>
      </c>
      <c r="X132" s="4">
        <v>38</v>
      </c>
      <c r="Y132" s="6">
        <v>0.23</v>
      </c>
      <c r="Z132" s="4" t="s">
        <v>79</v>
      </c>
    </row>
    <row r="133" spans="1:26" hidden="1" x14ac:dyDescent="0.35">
      <c r="A133" t="str">
        <f>_xlfn.CONCAT(Tableau1[[#This Row],[Athletes]],"_",Tableau1[[#This Row],[Nationality]],"_",Tableau1[[#This Row],[Competition_year]])</f>
        <v>Ali DAUOUK_SUD_2025</v>
      </c>
      <c r="B133" t="s">
        <v>1343</v>
      </c>
      <c r="C133" t="s">
        <v>14</v>
      </c>
      <c r="D133" s="18" t="s">
        <v>1344</v>
      </c>
      <c r="E133">
        <v>14.3</v>
      </c>
      <c r="F133">
        <v>14.1</v>
      </c>
      <c r="G133">
        <v>14.3</v>
      </c>
      <c r="H133">
        <v>13.7</v>
      </c>
      <c r="I133">
        <v>14.2</v>
      </c>
      <c r="J133">
        <v>14.6</v>
      </c>
      <c r="K133">
        <v>14.7</v>
      </c>
      <c r="L133">
        <f>Tableau1[[#This Row],[Final_time]]-SUM(Tableau1[[#This Row],[0_100m]:[600_700m]])</f>
        <v>15.269999999999996</v>
      </c>
      <c r="M133">
        <v>115.17</v>
      </c>
      <c r="N133">
        <f>SUM(Tableau1[[#This Row],[0_100m]:[700_800m]])</f>
        <v>115.17</v>
      </c>
      <c r="O133">
        <f>ABS(Tableau1[[#This Row],[Final_time]]-Tableau1[[#This Row],[Sum_time]])</f>
        <v>0</v>
      </c>
      <c r="P133" s="8"/>
      <c r="Q133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3" t="s">
        <v>1350</v>
      </c>
      <c r="S133" s="1" t="s">
        <v>68</v>
      </c>
      <c r="U133" s="1" t="s">
        <v>288</v>
      </c>
      <c r="V133" s="1">
        <v>45793</v>
      </c>
      <c r="W133" s="4">
        <f>YEAR(Tableau1[[#This Row],[Competition_date]])</f>
        <v>2025</v>
      </c>
      <c r="X133" s="4">
        <v>38</v>
      </c>
      <c r="Y133" s="6">
        <v>0.23</v>
      </c>
      <c r="Z133" s="4" t="s">
        <v>79</v>
      </c>
    </row>
    <row r="134" spans="1:26" hidden="1" x14ac:dyDescent="0.35">
      <c r="A134" t="str">
        <f>_xlfn.CONCAT(Tableau1[[#This Row],[Athletes]],"_",Tableau1[[#This Row],[Nationality]],"_",Tableau1[[#This Row],[Competition_year]])</f>
        <v>Nassim LACHGAR_MAR_2025</v>
      </c>
      <c r="B134" t="s">
        <v>1345</v>
      </c>
      <c r="C134" t="s">
        <v>14</v>
      </c>
      <c r="D134" s="18" t="s">
        <v>21</v>
      </c>
      <c r="E134">
        <v>14.4</v>
      </c>
      <c r="F134">
        <v>14.1</v>
      </c>
      <c r="G134">
        <v>14.2</v>
      </c>
      <c r="H134">
        <v>13.7</v>
      </c>
      <c r="I134">
        <v>14.4</v>
      </c>
      <c r="J134">
        <v>14.2</v>
      </c>
      <c r="K134">
        <v>14.8</v>
      </c>
      <c r="L134">
        <f>Tableau1[[#This Row],[Final_time]]-SUM(Tableau1[[#This Row],[0_100m]:[600_700m]])</f>
        <v>15.509999999999991</v>
      </c>
      <c r="M134">
        <v>115.31</v>
      </c>
      <c r="N134">
        <f>SUM(Tableau1[[#This Row],[0_100m]:[700_800m]])</f>
        <v>115.31</v>
      </c>
      <c r="O134">
        <f>ABS(Tableau1[[#This Row],[Final_time]]-Tableau1[[#This Row],[Sum_time]])</f>
        <v>0</v>
      </c>
      <c r="P134" s="8"/>
      <c r="Q134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4" t="s">
        <v>1350</v>
      </c>
      <c r="S134" s="1" t="s">
        <v>68</v>
      </c>
      <c r="U134" s="1" t="s">
        <v>288</v>
      </c>
      <c r="V134" s="1">
        <v>45793</v>
      </c>
      <c r="W134" s="4">
        <f>YEAR(Tableau1[[#This Row],[Competition_date]])</f>
        <v>2025</v>
      </c>
      <c r="X134" s="4">
        <v>38</v>
      </c>
      <c r="Y134" s="6">
        <v>0.23</v>
      </c>
      <c r="Z134" s="4" t="s">
        <v>79</v>
      </c>
    </row>
    <row r="135" spans="1:26" hidden="1" x14ac:dyDescent="0.35">
      <c r="A135" t="str">
        <f>_xlfn.CONCAT(Tableau1[[#This Row],[Athletes]],"_",Tableau1[[#This Row],[Nationality]],"_",Tableau1[[#This Row],[Competition_year]])</f>
        <v>Samer Ismail ISMAIL_QAT_2025</v>
      </c>
      <c r="B135" t="s">
        <v>1346</v>
      </c>
      <c r="C135" t="s">
        <v>14</v>
      </c>
      <c r="D135" s="18" t="s">
        <v>57</v>
      </c>
      <c r="E135">
        <v>14.2</v>
      </c>
      <c r="F135">
        <v>14.2</v>
      </c>
      <c r="G135">
        <v>14.5</v>
      </c>
      <c r="H135">
        <v>13.4</v>
      </c>
      <c r="I135">
        <v>14.2</v>
      </c>
      <c r="J135">
        <v>14.2</v>
      </c>
      <c r="K135">
        <v>15.1</v>
      </c>
      <c r="L135">
        <f>Tableau1[[#This Row],[Final_time]]-SUM(Tableau1[[#This Row],[0_100m]:[600_700m]])</f>
        <v>16.260000000000005</v>
      </c>
      <c r="M135">
        <v>116.06</v>
      </c>
      <c r="N135">
        <f>SUM(Tableau1[[#This Row],[0_100m]:[700_800m]])</f>
        <v>116.06</v>
      </c>
      <c r="O135">
        <f>ABS(Tableau1[[#This Row],[Final_time]]-Tableau1[[#This Row],[Sum_time]])</f>
        <v>0</v>
      </c>
      <c r="P135" s="8"/>
      <c r="Q135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5" t="s">
        <v>1350</v>
      </c>
      <c r="S135" s="1" t="s">
        <v>68</v>
      </c>
      <c r="U135" s="1" t="s">
        <v>288</v>
      </c>
      <c r="V135" s="1">
        <v>45793</v>
      </c>
      <c r="W135" s="4">
        <f>YEAR(Tableau1[[#This Row],[Competition_date]])</f>
        <v>2025</v>
      </c>
      <c r="X135" s="4">
        <v>38</v>
      </c>
      <c r="Y135" s="6">
        <v>0.23</v>
      </c>
      <c r="Z135" s="4" t="s">
        <v>79</v>
      </c>
    </row>
    <row r="136" spans="1:26" hidden="1" x14ac:dyDescent="0.35">
      <c r="A136" t="str">
        <f>_xlfn.CONCAT(Tableau1[[#This Row],[Athletes]],"_",Tableau1[[#This Row],[Nationality]],"_",Tableau1[[#This Row],[Competition_year]])</f>
        <v>Mazen BRAHMI_TUN_2025</v>
      </c>
      <c r="B136" t="s">
        <v>1347</v>
      </c>
      <c r="C136" t="s">
        <v>14</v>
      </c>
      <c r="D136" s="18" t="s">
        <v>124</v>
      </c>
      <c r="E136">
        <v>14.4</v>
      </c>
      <c r="F136">
        <v>14.3</v>
      </c>
      <c r="G136">
        <v>14.2</v>
      </c>
      <c r="H136">
        <v>13.2</v>
      </c>
      <c r="I136">
        <v>13.8</v>
      </c>
      <c r="J136">
        <v>15</v>
      </c>
      <c r="K136">
        <v>16.100000000000001</v>
      </c>
      <c r="L136">
        <f>Tableau1[[#This Row],[Final_time]]-SUM(Tableau1[[#This Row],[0_100m]:[600_700m]])</f>
        <v>15.950000000000003</v>
      </c>
      <c r="M136">
        <v>116.95</v>
      </c>
      <c r="N136">
        <f>SUM(Tableau1[[#This Row],[0_100m]:[700_800m]])</f>
        <v>116.95</v>
      </c>
      <c r="O136">
        <f>ABS(Tableau1[[#This Row],[Final_time]]-Tableau1[[#This Row],[Sum_time]])</f>
        <v>0</v>
      </c>
      <c r="P136" s="8"/>
      <c r="Q136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6" t="s">
        <v>1350</v>
      </c>
      <c r="S136" s="1" t="s">
        <v>68</v>
      </c>
      <c r="U136" s="1" t="s">
        <v>288</v>
      </c>
      <c r="V136" s="1">
        <v>45793</v>
      </c>
      <c r="W136" s="4">
        <f>YEAR(Tableau1[[#This Row],[Competition_date]])</f>
        <v>2025</v>
      </c>
      <c r="X136" s="4">
        <v>38</v>
      </c>
      <c r="Y136" s="6">
        <v>0.23</v>
      </c>
      <c r="Z136" s="4" t="s">
        <v>79</v>
      </c>
    </row>
    <row r="137" spans="1:26" hidden="1" x14ac:dyDescent="0.35">
      <c r="A137" t="str">
        <f>_xlfn.CONCAT(Tableau1[[#This Row],[Athletes]],"_",Tableau1[[#This Row],[Nationality]],"_",Tableau1[[#This Row],[Competition_year]])</f>
        <v>Tarik GREYCH_MAR_2025</v>
      </c>
      <c r="B137" t="s">
        <v>1348</v>
      </c>
      <c r="C137" t="s">
        <v>14</v>
      </c>
      <c r="D137" s="18" t="s">
        <v>21</v>
      </c>
      <c r="E137">
        <v>14.2</v>
      </c>
      <c r="F137">
        <v>14.1</v>
      </c>
      <c r="G137">
        <v>14.2</v>
      </c>
      <c r="H137">
        <v>13.7</v>
      </c>
      <c r="I137">
        <v>14.2</v>
      </c>
      <c r="J137">
        <v>15.4</v>
      </c>
      <c r="K137">
        <v>16.2</v>
      </c>
      <c r="L137">
        <f>Tableau1[[#This Row],[Final_time]]-SUM(Tableau1[[#This Row],[0_100m]:[600_700m]])</f>
        <v>17.409999999999982</v>
      </c>
      <c r="M137">
        <v>119.41</v>
      </c>
      <c r="N137">
        <f>SUM(Tableau1[[#This Row],[0_100m]:[700_800m]])</f>
        <v>119.41</v>
      </c>
      <c r="O137">
        <f>ABS(Tableau1[[#This Row],[Final_time]]-Tableau1[[#This Row],[Sum_time]])</f>
        <v>0</v>
      </c>
      <c r="P137" s="8"/>
      <c r="Q137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7" t="s">
        <v>1350</v>
      </c>
      <c r="S137" s="1" t="s">
        <v>68</v>
      </c>
      <c r="U137" s="1" t="s">
        <v>288</v>
      </c>
      <c r="V137" s="1">
        <v>45793</v>
      </c>
      <c r="W137" s="4">
        <f>YEAR(Tableau1[[#This Row],[Competition_date]])</f>
        <v>2025</v>
      </c>
      <c r="X137" s="4">
        <v>38</v>
      </c>
      <c r="Y137" s="6">
        <v>0.23</v>
      </c>
      <c r="Z137" s="4" t="s">
        <v>79</v>
      </c>
    </row>
    <row r="138" spans="1:26" hidden="1" x14ac:dyDescent="0.35">
      <c r="A138" t="str">
        <f>_xlfn.CONCAT(Tableau1[[#This Row],[Athletes]],"_",Tableau1[[#This Row],[Nationality]],"_",Tableau1[[#This Row],[Competition_year]])</f>
        <v>Mohamed LYAMINE ZEMAM_QAT_2025</v>
      </c>
      <c r="B138" t="s">
        <v>1349</v>
      </c>
      <c r="C138" t="s">
        <v>14</v>
      </c>
      <c r="D138" s="18" t="s">
        <v>57</v>
      </c>
      <c r="E138">
        <v>14.1</v>
      </c>
      <c r="F138">
        <v>14.1</v>
      </c>
      <c r="G138">
        <v>14.3</v>
      </c>
      <c r="H138">
        <v>14.1</v>
      </c>
      <c r="I138">
        <v>14.8</v>
      </c>
      <c r="J138">
        <v>15.9</v>
      </c>
      <c r="K138">
        <v>17.3</v>
      </c>
      <c r="L138">
        <f>Tableau1[[#This Row],[Final_time]]-SUM(Tableau1[[#This Row],[0_100m]:[600_700m]])</f>
        <v>17.649999999999991</v>
      </c>
      <c r="M138">
        <v>122.25</v>
      </c>
      <c r="N138">
        <f>SUM(Tableau1[[#This Row],[0_100m]:[700_800m]])</f>
        <v>122.25</v>
      </c>
      <c r="O138">
        <f>ABS(Tableau1[[#This Row],[Final_time]]-Tableau1[[#This Row],[Sum_time]])</f>
        <v>0</v>
      </c>
      <c r="P138" s="8"/>
      <c r="Q138" s="16" t="str">
        <f>_xlfn.CONCAT(Tableau1[[#This Row],[Competition]],"_",Tableau1[[#This Row],[Championship_step]],"_",Tableau1[[#This Row],[Competition_date]],"_",Tableau1[[#This Row],[Gender]])</f>
        <v>Diamond League Doha 2025 - Youth Invitational__45793_Male</v>
      </c>
      <c r="R138" t="s">
        <v>1350</v>
      </c>
      <c r="S138" s="1" t="s">
        <v>68</v>
      </c>
      <c r="U138" s="1" t="s">
        <v>288</v>
      </c>
      <c r="V138" s="1">
        <v>45793</v>
      </c>
      <c r="W138" s="4">
        <f>YEAR(Tableau1[[#This Row],[Competition_date]])</f>
        <v>2025</v>
      </c>
      <c r="X138" s="4">
        <v>38</v>
      </c>
      <c r="Y138" s="6">
        <v>0.23</v>
      </c>
      <c r="Z138" s="4" t="s">
        <v>79</v>
      </c>
    </row>
    <row r="139" spans="1:26" hidden="1" x14ac:dyDescent="0.35">
      <c r="A139" t="str">
        <f>_xlfn.CONCAT(Tableau1[[#This Row],[Athletes]],"_",Tableau1[[#This Row],[Nationality]],"_",Tableau1[[#This Row],[Competition_year]])</f>
        <v>Tshepiso MASALELA_BOT_2025</v>
      </c>
      <c r="B139" t="s">
        <v>107</v>
      </c>
      <c r="C139" t="s">
        <v>14</v>
      </c>
      <c r="D139" s="18" t="s">
        <v>44</v>
      </c>
      <c r="E139">
        <v>12.5</v>
      </c>
      <c r="F139">
        <v>12</v>
      </c>
      <c r="G139">
        <v>12.7</v>
      </c>
      <c r="H139">
        <v>13</v>
      </c>
      <c r="I139">
        <v>13.3</v>
      </c>
      <c r="J139">
        <v>12.8</v>
      </c>
      <c r="K139">
        <v>13.2</v>
      </c>
      <c r="L139">
        <f>Tableau1[[#This Row],[Final_time]]-SUM(Tableau1[[#This Row],[0_100m]:[600_700m]])</f>
        <v>13.61</v>
      </c>
      <c r="M139">
        <v>103.11</v>
      </c>
      <c r="N139">
        <f>SUM(Tableau1[[#This Row],[0_100m]:[700_800m]])</f>
        <v>103.11</v>
      </c>
      <c r="O139">
        <f>ABS(Tableau1[[#This Row],[Final_time]]-Tableau1[[#This Row],[Sum_time]])</f>
        <v>0</v>
      </c>
      <c r="P139" s="8"/>
      <c r="Q139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39" t="s">
        <v>1337</v>
      </c>
      <c r="S139" s="1" t="s">
        <v>68</v>
      </c>
      <c r="U139" s="1" t="s">
        <v>69</v>
      </c>
      <c r="V139" s="1">
        <v>45793</v>
      </c>
      <c r="W139" s="4">
        <f>YEAR(Tableau1[[#This Row],[Competition_date]])</f>
        <v>2025</v>
      </c>
      <c r="X139" s="4">
        <v>33</v>
      </c>
      <c r="Y139" s="6">
        <v>0.33</v>
      </c>
      <c r="Z139" s="4" t="s">
        <v>79</v>
      </c>
    </row>
    <row r="140" spans="1:26" hidden="1" x14ac:dyDescent="0.35">
      <c r="A140" t="str">
        <f>_xlfn.CONCAT(Tableau1[[#This Row],[Athletes]],"_",Tableau1[[#This Row],[Nationality]],"_",Tableau1[[#This Row],[Competition_year]])</f>
        <v>Bryce HOPPEL_USA_2025</v>
      </c>
      <c r="B140" t="s">
        <v>173</v>
      </c>
      <c r="C140" t="s">
        <v>14</v>
      </c>
      <c r="D140" s="18" t="s">
        <v>35</v>
      </c>
      <c r="E140">
        <v>12.7</v>
      </c>
      <c r="F140">
        <v>11.7</v>
      </c>
      <c r="G140">
        <v>12.6</v>
      </c>
      <c r="H140">
        <v>13.1</v>
      </c>
      <c r="I140">
        <v>13.2</v>
      </c>
      <c r="J140">
        <v>13.1</v>
      </c>
      <c r="K140">
        <v>13.4</v>
      </c>
      <c r="L140">
        <f>Tableau1[[#This Row],[Final_time]]-SUM(Tableau1[[#This Row],[0_100m]:[600_700m]])</f>
        <v>13.460000000000008</v>
      </c>
      <c r="M140">
        <v>103.26</v>
      </c>
      <c r="N140">
        <f>SUM(Tableau1[[#This Row],[0_100m]:[700_800m]])</f>
        <v>103.26</v>
      </c>
      <c r="O140">
        <f>ABS(Tableau1[[#This Row],[Final_time]]-Tableau1[[#This Row],[Sum_time]])</f>
        <v>0</v>
      </c>
      <c r="P140" s="8"/>
      <c r="Q140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0" t="s">
        <v>1337</v>
      </c>
      <c r="S140" s="1" t="s">
        <v>68</v>
      </c>
      <c r="U140" s="1" t="s">
        <v>69</v>
      </c>
      <c r="V140" s="1">
        <v>45793</v>
      </c>
      <c r="W140" s="4">
        <f>YEAR(Tableau1[[#This Row],[Competition_date]])</f>
        <v>2025</v>
      </c>
      <c r="X140" s="4">
        <v>33</v>
      </c>
      <c r="Y140" s="6">
        <v>0.33</v>
      </c>
      <c r="Z140" s="4" t="s">
        <v>79</v>
      </c>
    </row>
    <row r="141" spans="1:26" hidden="1" x14ac:dyDescent="0.35">
      <c r="A141" t="str">
        <f>_xlfn.CONCAT(Tableau1[[#This Row],[Athletes]],"_",Tableau1[[#This Row],[Nationality]],"_",Tableau1[[#This Row],[Competition_year]])</f>
        <v>Wyclife KINYAMAL_KEN_2025</v>
      </c>
      <c r="B141" t="s">
        <v>174</v>
      </c>
      <c r="C141" t="s">
        <v>14</v>
      </c>
      <c r="D141" s="18" t="s">
        <v>15</v>
      </c>
      <c r="E141">
        <v>12.2</v>
      </c>
      <c r="F141">
        <v>12.1</v>
      </c>
      <c r="G141">
        <v>12.6</v>
      </c>
      <c r="H141">
        <v>13.1</v>
      </c>
      <c r="I141">
        <v>13.2</v>
      </c>
      <c r="J141">
        <v>13</v>
      </c>
      <c r="K141">
        <v>13.2</v>
      </c>
      <c r="L141">
        <f>Tableau1[[#This Row],[Final_time]]-SUM(Tableau1[[#This Row],[0_100m]:[600_700m]])</f>
        <v>13.969999999999999</v>
      </c>
      <c r="M141">
        <v>103.37</v>
      </c>
      <c r="N141">
        <f>SUM(Tableau1[[#This Row],[0_100m]:[700_800m]])</f>
        <v>103.37</v>
      </c>
      <c r="O141">
        <f>ABS(Tableau1[[#This Row],[Final_time]]-Tableau1[[#This Row],[Sum_time]])</f>
        <v>0</v>
      </c>
      <c r="P141" s="8"/>
      <c r="Q141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1" t="s">
        <v>1337</v>
      </c>
      <c r="S141" s="1" t="s">
        <v>68</v>
      </c>
      <c r="U141" s="1" t="s">
        <v>69</v>
      </c>
      <c r="V141" s="1">
        <v>45793</v>
      </c>
      <c r="W141" s="4">
        <f>YEAR(Tableau1[[#This Row],[Competition_date]])</f>
        <v>2025</v>
      </c>
      <c r="X141" s="4">
        <v>33</v>
      </c>
      <c r="Y141" s="6">
        <v>0.33</v>
      </c>
      <c r="Z141" s="4" t="s">
        <v>79</v>
      </c>
    </row>
    <row r="142" spans="1:26" hidden="1" x14ac:dyDescent="0.35">
      <c r="A142" t="str">
        <f>_xlfn.CONCAT(Tableau1[[#This Row],[Athletes]],"_",Tableau1[[#This Row],[Nationality]],"_",Tableau1[[#This Row],[Competition_year]])</f>
        <v>Slimane MOULA_ALG_2025</v>
      </c>
      <c r="B142" t="s">
        <v>103</v>
      </c>
      <c r="C142" t="s">
        <v>14</v>
      </c>
      <c r="D142" s="18" t="s">
        <v>24</v>
      </c>
      <c r="M142">
        <v>103.55</v>
      </c>
      <c r="N142">
        <f>SUM(Tableau1[[#This Row],[0_100m]:[700_800m]])</f>
        <v>0</v>
      </c>
      <c r="O142">
        <f>ABS(Tableau1[[#This Row],[Final_time]]-Tableau1[[#This Row],[Sum_time]])</f>
        <v>103.55</v>
      </c>
      <c r="P142" s="8"/>
      <c r="Q142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2" t="s">
        <v>1337</v>
      </c>
      <c r="S142" s="1" t="s">
        <v>68</v>
      </c>
      <c r="U142" s="1" t="s">
        <v>69</v>
      </c>
      <c r="V142" s="1">
        <v>45793</v>
      </c>
      <c r="W142" s="4">
        <f>YEAR(Tableau1[[#This Row],[Competition_date]])</f>
        <v>2025</v>
      </c>
      <c r="X142" s="4">
        <v>33</v>
      </c>
      <c r="Y142" s="6">
        <v>0.33</v>
      </c>
      <c r="Z142" s="4" t="s">
        <v>79</v>
      </c>
    </row>
    <row r="143" spans="1:26" hidden="1" x14ac:dyDescent="0.35">
      <c r="A143" t="str">
        <f>_xlfn.CONCAT(Tableau1[[#This Row],[Athletes]],"_",Tableau1[[#This Row],[Nationality]],"_",Tableau1[[#This Row],[Competition_year]])</f>
        <v>Ibrahim Abass CHOUT M_QAT_2025</v>
      </c>
      <c r="B143" t="s">
        <v>1334</v>
      </c>
      <c r="C143" t="s">
        <v>14</v>
      </c>
      <c r="D143" s="18" t="s">
        <v>57</v>
      </c>
      <c r="M143">
        <v>104.08</v>
      </c>
      <c r="N143">
        <f>SUM(Tableau1[[#This Row],[0_100m]:[700_800m]])</f>
        <v>0</v>
      </c>
      <c r="O143">
        <f>ABS(Tableau1[[#This Row],[Final_time]]-Tableau1[[#This Row],[Sum_time]])</f>
        <v>104.08</v>
      </c>
      <c r="P143" s="8"/>
      <c r="Q143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3" t="s">
        <v>1337</v>
      </c>
      <c r="S143" s="1" t="s">
        <v>68</v>
      </c>
      <c r="U143" s="1" t="s">
        <v>69</v>
      </c>
      <c r="V143" s="1">
        <v>45793</v>
      </c>
      <c r="W143" s="4">
        <f>YEAR(Tableau1[[#This Row],[Competition_date]])</f>
        <v>2025</v>
      </c>
      <c r="X143" s="4">
        <v>33</v>
      </c>
      <c r="Y143" s="6">
        <v>0.33</v>
      </c>
      <c r="Z143" s="4" t="s">
        <v>79</v>
      </c>
    </row>
    <row r="144" spans="1:26" hidden="1" x14ac:dyDescent="0.35">
      <c r="A144" t="str">
        <f>_xlfn.CONCAT(Tableau1[[#This Row],[Athletes]],"_",Tableau1[[#This Row],[Nationality]],"_",Tableau1[[#This Row],[Competition_year]])</f>
        <v>Andreas KRAMER_SWE_2025</v>
      </c>
      <c r="B144" t="s">
        <v>186</v>
      </c>
      <c r="C144" t="s">
        <v>14</v>
      </c>
      <c r="D144" s="18" t="s">
        <v>28</v>
      </c>
      <c r="E144">
        <v>13.1</v>
      </c>
      <c r="F144">
        <v>12</v>
      </c>
      <c r="G144">
        <v>12.7</v>
      </c>
      <c r="H144">
        <v>12.8</v>
      </c>
      <c r="I144">
        <v>13.3</v>
      </c>
      <c r="J144">
        <v>13.3</v>
      </c>
      <c r="K144">
        <v>13.6</v>
      </c>
      <c r="L144">
        <f>Tableau1[[#This Row],[Final_time]]-SUM(Tableau1[[#This Row],[0_100m]:[600_700m]])</f>
        <v>14.04000000000002</v>
      </c>
      <c r="M144">
        <v>104.84</v>
      </c>
      <c r="N144">
        <f>SUM(Tableau1[[#This Row],[0_100m]:[700_800m]])</f>
        <v>104.84</v>
      </c>
      <c r="O144">
        <f>ABS(Tableau1[[#This Row],[Final_time]]-Tableau1[[#This Row],[Sum_time]])</f>
        <v>0</v>
      </c>
      <c r="P144" s="8"/>
      <c r="Q144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4" t="s">
        <v>1337</v>
      </c>
      <c r="S144" s="1" t="s">
        <v>68</v>
      </c>
      <c r="U144" s="1" t="s">
        <v>69</v>
      </c>
      <c r="V144" s="1">
        <v>45793</v>
      </c>
      <c r="W144" s="4">
        <f>YEAR(Tableau1[[#This Row],[Competition_date]])</f>
        <v>2025</v>
      </c>
      <c r="X144" s="4">
        <v>33</v>
      </c>
      <c r="Y144" s="6">
        <v>0.33</v>
      </c>
      <c r="Z144" s="4" t="s">
        <v>79</v>
      </c>
    </row>
    <row r="145" spans="1:27" hidden="1" x14ac:dyDescent="0.35">
      <c r="A145" t="str">
        <f>_xlfn.CONCAT(Tableau1[[#This Row],[Athletes]],"_",Tableau1[[#This Row],[Nationality]],"_",Tableau1[[#This Row],[Competition_year]])</f>
        <v>Abdelati EL GUESSE_MAR_2025</v>
      </c>
      <c r="B145" t="s">
        <v>112</v>
      </c>
      <c r="C145" t="s">
        <v>14</v>
      </c>
      <c r="D145" s="18" t="s">
        <v>21</v>
      </c>
      <c r="E145">
        <v>13.1</v>
      </c>
      <c r="F145">
        <v>12.3</v>
      </c>
      <c r="G145">
        <v>12.6</v>
      </c>
      <c r="H145">
        <v>12.9</v>
      </c>
      <c r="I145">
        <v>13.5</v>
      </c>
      <c r="J145">
        <v>13.1</v>
      </c>
      <c r="K145">
        <v>13.5</v>
      </c>
      <c r="L145">
        <f>Tableau1[[#This Row],[Final_time]]-SUM(Tableau1[[#This Row],[0_100m]:[600_700m]])</f>
        <v>14.019999999999996</v>
      </c>
      <c r="M145">
        <v>105.02</v>
      </c>
      <c r="N145">
        <f>SUM(Tableau1[[#This Row],[0_100m]:[700_800m]])</f>
        <v>105.02</v>
      </c>
      <c r="O145">
        <f>ABS(Tableau1[[#This Row],[Final_time]]-Tableau1[[#This Row],[Sum_time]])</f>
        <v>0</v>
      </c>
      <c r="P145" s="8"/>
      <c r="Q145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5" t="s">
        <v>1337</v>
      </c>
      <c r="S145" s="1" t="s">
        <v>68</v>
      </c>
      <c r="U145" s="1" t="s">
        <v>69</v>
      </c>
      <c r="V145" s="1">
        <v>45793</v>
      </c>
      <c r="W145" s="4">
        <f>YEAR(Tableau1[[#This Row],[Competition_date]])</f>
        <v>2025</v>
      </c>
      <c r="X145" s="4">
        <v>33</v>
      </c>
      <c r="Y145" s="6">
        <v>0.33</v>
      </c>
      <c r="Z145" s="4" t="s">
        <v>79</v>
      </c>
    </row>
    <row r="146" spans="1:27" hidden="1" x14ac:dyDescent="0.35">
      <c r="A146" t="str">
        <f>_xlfn.CONCAT(Tableau1[[#This Row],[Athletes]],"_",Tableau1[[#This Row],[Nationality]],"_",Tableau1[[#This Row],[Competition_year]])</f>
        <v>Aaron Kemei CHEMININGWA_KEN_2025</v>
      </c>
      <c r="B146" t="s">
        <v>499</v>
      </c>
      <c r="C146" t="s">
        <v>14</v>
      </c>
      <c r="D146" s="18" t="s">
        <v>15</v>
      </c>
      <c r="E146">
        <v>12.5</v>
      </c>
      <c r="F146">
        <v>12.2</v>
      </c>
      <c r="G146">
        <v>12.8</v>
      </c>
      <c r="H146">
        <v>12.8</v>
      </c>
      <c r="I146">
        <v>13.3</v>
      </c>
      <c r="J146">
        <v>13.1</v>
      </c>
      <c r="K146">
        <v>13.9</v>
      </c>
      <c r="L146">
        <f>Tableau1[[#This Row],[Final_time]]-SUM(Tableau1[[#This Row],[0_100m]:[600_700m]])</f>
        <v>14.61</v>
      </c>
      <c r="M146">
        <v>105.21</v>
      </c>
      <c r="N146">
        <f>SUM(Tableau1[[#This Row],[0_100m]:[700_800m]])</f>
        <v>105.21</v>
      </c>
      <c r="O146">
        <f>ABS(Tableau1[[#This Row],[Final_time]]-Tableau1[[#This Row],[Sum_time]])</f>
        <v>0</v>
      </c>
      <c r="P146" s="8"/>
      <c r="Q146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6" t="s">
        <v>1337</v>
      </c>
      <c r="S146" s="1" t="s">
        <v>68</v>
      </c>
      <c r="U146" s="1" t="s">
        <v>69</v>
      </c>
      <c r="V146" s="1">
        <v>45793</v>
      </c>
      <c r="W146" s="4">
        <f>YEAR(Tableau1[[#This Row],[Competition_date]])</f>
        <v>2025</v>
      </c>
      <c r="X146" s="4">
        <v>33</v>
      </c>
      <c r="Y146" s="6">
        <v>0.33</v>
      </c>
      <c r="Z146" s="4" t="s">
        <v>79</v>
      </c>
    </row>
    <row r="147" spans="1:27" hidden="1" x14ac:dyDescent="0.35">
      <c r="A147" t="str">
        <f>_xlfn.CONCAT(Tableau1[[#This Row],[Athletes]],"_",Tableau1[[#This Row],[Nationality]],"_",Tableau1[[#This Row],[Competition_year]])</f>
        <v>Hatim AIT OULGHAZI_QAT_2025</v>
      </c>
      <c r="B147" t="s">
        <v>1335</v>
      </c>
      <c r="C147" t="s">
        <v>14</v>
      </c>
      <c r="D147" s="18" t="s">
        <v>57</v>
      </c>
      <c r="E147">
        <v>13.2</v>
      </c>
      <c r="F147">
        <v>11.9</v>
      </c>
      <c r="G147">
        <v>12.7</v>
      </c>
      <c r="H147">
        <v>12.8</v>
      </c>
      <c r="I147">
        <v>13.5</v>
      </c>
      <c r="J147">
        <v>13.5</v>
      </c>
      <c r="K147">
        <v>13.8</v>
      </c>
      <c r="L147">
        <f>Tableau1[[#This Row],[Final_time]]-SUM(Tableau1[[#This Row],[0_100m]:[600_700m]])</f>
        <v>14.820000000000007</v>
      </c>
      <c r="M147">
        <v>106.22</v>
      </c>
      <c r="N147">
        <f>SUM(Tableau1[[#This Row],[0_100m]:[700_800m]])</f>
        <v>106.22</v>
      </c>
      <c r="O147">
        <f>ABS(Tableau1[[#This Row],[Final_time]]-Tableau1[[#This Row],[Sum_time]])</f>
        <v>0</v>
      </c>
      <c r="P147" s="8"/>
      <c r="Q147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7" t="s">
        <v>1337</v>
      </c>
      <c r="S147" s="1" t="s">
        <v>68</v>
      </c>
      <c r="U147" s="1" t="s">
        <v>69</v>
      </c>
      <c r="V147" s="1">
        <v>45793</v>
      </c>
      <c r="W147" s="4">
        <f>YEAR(Tableau1[[#This Row],[Competition_date]])</f>
        <v>2025</v>
      </c>
      <c r="X147" s="4">
        <v>33</v>
      </c>
      <c r="Y147" s="6">
        <v>0.33</v>
      </c>
      <c r="Z147" s="4" t="s">
        <v>79</v>
      </c>
    </row>
    <row r="148" spans="1:27" hidden="1" x14ac:dyDescent="0.35">
      <c r="A148" t="str">
        <f>_xlfn.CONCAT(Tableau1[[#This Row],[Athletes]],"_",Tableau1[[#This Row],[Nationality]],"_",Tableau1[[#This Row],[Competition_year]])</f>
        <v>Laban Kipkorir CHEPKWONY_KEN_2025</v>
      </c>
      <c r="B148" t="s">
        <v>1336</v>
      </c>
      <c r="C148" t="s">
        <v>14</v>
      </c>
      <c r="D148" s="18" t="s">
        <v>15</v>
      </c>
      <c r="E148">
        <v>12</v>
      </c>
      <c r="F148">
        <v>12.1</v>
      </c>
      <c r="G148">
        <v>12.5</v>
      </c>
      <c r="H148">
        <v>13.1</v>
      </c>
      <c r="I148">
        <v>13.3</v>
      </c>
      <c r="J148">
        <v>13.6</v>
      </c>
      <c r="K148">
        <v>14.4</v>
      </c>
      <c r="L148">
        <f>Tableau1[[#This Row],[Final_time]]-SUM(Tableau1[[#This Row],[0_100m]:[600_700m]])</f>
        <v>16</v>
      </c>
      <c r="M148">
        <v>107</v>
      </c>
      <c r="N148">
        <f>SUM(Tableau1[[#This Row],[0_100m]:[700_800m]])</f>
        <v>107</v>
      </c>
      <c r="O148">
        <f>ABS(Tableau1[[#This Row],[Final_time]]-Tableau1[[#This Row],[Sum_time]])</f>
        <v>0</v>
      </c>
      <c r="P148" s="8"/>
      <c r="Q148" s="16" t="str">
        <f>_xlfn.CONCAT(Tableau1[[#This Row],[Competition]],"_",Tableau1[[#This Row],[Championship_step]],"_",Tableau1[[#This Row],[Competition_date]],"_",Tableau1[[#This Row],[Gender]])</f>
        <v>Diamond League Doha 2025__45793_Male</v>
      </c>
      <c r="R148" t="s">
        <v>1337</v>
      </c>
      <c r="S148" s="1" t="s">
        <v>68</v>
      </c>
      <c r="U148" s="1" t="s">
        <v>69</v>
      </c>
      <c r="V148" s="1">
        <v>45793</v>
      </c>
      <c r="W148" s="4">
        <f>YEAR(Tableau1[[#This Row],[Competition_date]])</f>
        <v>2025</v>
      </c>
      <c r="X148" s="4">
        <v>33</v>
      </c>
      <c r="Y148" s="6">
        <v>0.33</v>
      </c>
      <c r="Z148" s="4" t="s">
        <v>79</v>
      </c>
    </row>
    <row r="149" spans="1:27" hidden="1" x14ac:dyDescent="0.35">
      <c r="A149" t="str">
        <f>_xlfn.CONCAT(Tableau1[[#This Row],[Athletes]],"_",Tableau1[[#This Row],[Nationality]],"_",Tableau1[[#This Row],[Competition_year]])</f>
        <v>Athing MU-NIKOLAYEV_USA_2021</v>
      </c>
      <c r="B149" s="9" t="s">
        <v>1376</v>
      </c>
      <c r="C149" s="9" t="s">
        <v>29</v>
      </c>
      <c r="D149" s="12" t="s">
        <v>35</v>
      </c>
      <c r="E149" s="13">
        <v>14.3</v>
      </c>
      <c r="F149" s="9">
        <v>13.1</v>
      </c>
      <c r="G149" s="9">
        <v>14</v>
      </c>
      <c r="H149" s="9">
        <v>14.1</v>
      </c>
      <c r="I149" s="9">
        <v>14.3</v>
      </c>
      <c r="J149">
        <v>14.7</v>
      </c>
      <c r="K149">
        <v>15.1</v>
      </c>
      <c r="L149">
        <f>Tableau1[[#This Row],[Final_time]]-SUM(Tableau1[[#This Row],[0_100m]:[600_700m]])</f>
        <v>15.440000000000012</v>
      </c>
      <c r="M149">
        <v>115.04</v>
      </c>
      <c r="N149">
        <f>SUM(Tableau1[[#This Row],[0_100m]:[700_800m]])</f>
        <v>115.04</v>
      </c>
      <c r="O149">
        <f>ABS(Tableau1[[#This Row],[Final_time]]-Tableau1[[#This Row],[Sum_time]])</f>
        <v>0</v>
      </c>
      <c r="P149" s="8"/>
      <c r="Q149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49" t="s">
        <v>476</v>
      </c>
      <c r="S149" s="1" t="s">
        <v>68</v>
      </c>
      <c r="U149" s="1" t="s">
        <v>69</v>
      </c>
      <c r="V149" s="1">
        <v>44429</v>
      </c>
      <c r="W149" s="4">
        <f>YEAR(Tableau1[[#This Row],[Competition_date]])</f>
        <v>2021</v>
      </c>
      <c r="X149" s="4">
        <v>22</v>
      </c>
      <c r="Y149" s="6">
        <v>0.45</v>
      </c>
      <c r="Z149" s="4" t="s">
        <v>81</v>
      </c>
      <c r="AA149" t="s">
        <v>176</v>
      </c>
    </row>
    <row r="150" spans="1:27" hidden="1" x14ac:dyDescent="0.35">
      <c r="A150" t="str">
        <f>_xlfn.CONCAT(Tableau1[[#This Row],[Athletes]],"_",Tableau1[[#This Row],[Nationality]],"_",Tableau1[[#This Row],[Competition_year]])</f>
        <v>Kate GRACE_USA_2021</v>
      </c>
      <c r="B150" s="9" t="s">
        <v>468</v>
      </c>
      <c r="C150" s="9" t="s">
        <v>29</v>
      </c>
      <c r="D150" s="12" t="s">
        <v>35</v>
      </c>
      <c r="E150" s="13">
        <v>14.2</v>
      </c>
      <c r="F150" s="9">
        <v>13.7</v>
      </c>
      <c r="G150" s="9">
        <v>14.5</v>
      </c>
      <c r="H150" s="9">
        <v>14.8</v>
      </c>
      <c r="I150" s="9">
        <v>14.8</v>
      </c>
      <c r="J150">
        <v>15.2</v>
      </c>
      <c r="K150">
        <v>15.3</v>
      </c>
      <c r="L150">
        <f>Tableau1[[#This Row],[Final_time]]-SUM(Tableau1[[#This Row],[0_100m]:[600_700m]])</f>
        <v>15.099999999999994</v>
      </c>
      <c r="M150">
        <v>117.6</v>
      </c>
      <c r="N150">
        <f>SUM(Tableau1[[#This Row],[0_100m]:[700_800m]])</f>
        <v>117.6</v>
      </c>
      <c r="O150">
        <f>ABS(Tableau1[[#This Row],[Final_time]]-Tableau1[[#This Row],[Sum_time]])</f>
        <v>0</v>
      </c>
      <c r="P150" s="8"/>
      <c r="Q150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0" t="s">
        <v>476</v>
      </c>
      <c r="S150" s="1" t="s">
        <v>68</v>
      </c>
      <c r="U150" s="1" t="s">
        <v>69</v>
      </c>
      <c r="V150" s="1">
        <v>44429</v>
      </c>
      <c r="W150" s="4">
        <f>YEAR(Tableau1[[#This Row],[Competition_date]])</f>
        <v>2021</v>
      </c>
      <c r="X150" s="4">
        <v>22</v>
      </c>
      <c r="Y150" s="6">
        <v>0.45</v>
      </c>
      <c r="Z150" s="4" t="s">
        <v>81</v>
      </c>
      <c r="AA150" t="s">
        <v>176</v>
      </c>
    </row>
    <row r="151" spans="1:27" hidden="1" x14ac:dyDescent="0.35">
      <c r="A151" t="str">
        <f>_xlfn.CONCAT(Tableau1[[#This Row],[Athletes]],"_",Tableau1[[#This Row],[Nationality]],"_",Tableau1[[#This Row],[Competition_year]])</f>
        <v>Natoya GOULE-TOPPIN_JAM_2021</v>
      </c>
      <c r="B151" s="9" t="s">
        <v>222</v>
      </c>
      <c r="C151" s="9" t="s">
        <v>29</v>
      </c>
      <c r="D151" s="12" t="s">
        <v>33</v>
      </c>
      <c r="E151" s="13">
        <v>14.1</v>
      </c>
      <c r="F151" s="9">
        <v>13.8</v>
      </c>
      <c r="G151" s="9">
        <v>14.3</v>
      </c>
      <c r="H151" s="9">
        <v>14.8</v>
      </c>
      <c r="I151" s="9">
        <v>14.9</v>
      </c>
      <c r="J151">
        <v>15.2</v>
      </c>
      <c r="K151">
        <v>15.3</v>
      </c>
      <c r="L151">
        <f>Tableau1[[#This Row],[Final_time]]-SUM(Tableau1[[#This Row],[0_100m]:[600_700m]])</f>
        <v>15.309999999999988</v>
      </c>
      <c r="M151">
        <v>117.71</v>
      </c>
      <c r="N151">
        <f>SUM(Tableau1[[#This Row],[0_100m]:[700_800m]])</f>
        <v>117.71</v>
      </c>
      <c r="O151">
        <f>ABS(Tableau1[[#This Row],[Final_time]]-Tableau1[[#This Row],[Sum_time]])</f>
        <v>0</v>
      </c>
      <c r="P151" s="8"/>
      <c r="Q151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1" t="s">
        <v>476</v>
      </c>
      <c r="S151" s="1" t="s">
        <v>68</v>
      </c>
      <c r="U151" s="1" t="s">
        <v>69</v>
      </c>
      <c r="V151" s="1">
        <v>44429</v>
      </c>
      <c r="W151" s="4">
        <f>YEAR(Tableau1[[#This Row],[Competition_date]])</f>
        <v>2021</v>
      </c>
      <c r="X151" s="4">
        <v>22</v>
      </c>
      <c r="Y151" s="6">
        <v>0.45</v>
      </c>
      <c r="Z151" s="4" t="s">
        <v>81</v>
      </c>
      <c r="AA151" t="s">
        <v>176</v>
      </c>
    </row>
    <row r="152" spans="1:27" hidden="1" x14ac:dyDescent="0.35">
      <c r="A152" t="str">
        <f>_xlfn.CONCAT(Tableau1[[#This Row],[Athletes]],"_",Tableau1[[#This Row],[Nationality]],"_",Tableau1[[#This Row],[Competition_year]])</f>
        <v>Raevyn ROGERS_USA_2021</v>
      </c>
      <c r="B152" s="9" t="s">
        <v>221</v>
      </c>
      <c r="C152" s="9" t="s">
        <v>29</v>
      </c>
      <c r="D152" s="12" t="s">
        <v>35</v>
      </c>
      <c r="E152" s="13">
        <v>14.4</v>
      </c>
      <c r="F152" s="9">
        <v>13.7</v>
      </c>
      <c r="G152" s="9">
        <v>14.7</v>
      </c>
      <c r="H152" s="9">
        <v>14.7</v>
      </c>
      <c r="I152" s="9">
        <v>14.9</v>
      </c>
      <c r="J152">
        <v>15.2</v>
      </c>
      <c r="K152">
        <v>15.2</v>
      </c>
      <c r="L152">
        <f>Tableau1[[#This Row],[Final_time]]-SUM(Tableau1[[#This Row],[0_100m]:[600_700m]])</f>
        <v>15.209999999999994</v>
      </c>
      <c r="M152">
        <v>118.01</v>
      </c>
      <c r="N152">
        <f>SUM(Tableau1[[#This Row],[0_100m]:[700_800m]])</f>
        <v>118.01</v>
      </c>
      <c r="O152">
        <f>ABS(Tableau1[[#This Row],[Final_time]]-Tableau1[[#This Row],[Sum_time]])</f>
        <v>0</v>
      </c>
      <c r="P152" s="8"/>
      <c r="Q152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2" t="s">
        <v>476</v>
      </c>
      <c r="S152" s="1" t="s">
        <v>68</v>
      </c>
      <c r="U152" s="1" t="s">
        <v>69</v>
      </c>
      <c r="V152" s="1">
        <v>44429</v>
      </c>
      <c r="W152" s="4">
        <f>YEAR(Tableau1[[#This Row],[Competition_date]])</f>
        <v>2021</v>
      </c>
      <c r="X152" s="4">
        <v>22</v>
      </c>
      <c r="Y152" s="6">
        <v>0.45</v>
      </c>
      <c r="Z152" s="4" t="s">
        <v>81</v>
      </c>
      <c r="AA152" t="s">
        <v>176</v>
      </c>
    </row>
    <row r="153" spans="1:27" hidden="1" x14ac:dyDescent="0.35">
      <c r="A153" t="str">
        <f>_xlfn.CONCAT(Tableau1[[#This Row],[Athletes]],"_",Tableau1[[#This Row],[Nationality]],"_",Tableau1[[#This Row],[Competition_year]])</f>
        <v>Keely HODGKINSON_GBR_2021</v>
      </c>
      <c r="B153" s="9" t="s">
        <v>212</v>
      </c>
      <c r="C153" s="9" t="s">
        <v>29</v>
      </c>
      <c r="D153" s="12" t="s">
        <v>30</v>
      </c>
      <c r="E153" s="13">
        <v>14.5</v>
      </c>
      <c r="F153" s="9">
        <v>14.1</v>
      </c>
      <c r="G153" s="9">
        <v>14.8</v>
      </c>
      <c r="H153" s="9">
        <v>14.6</v>
      </c>
      <c r="I153" s="9">
        <v>15</v>
      </c>
      <c r="J153">
        <v>15.1</v>
      </c>
      <c r="K153">
        <v>15</v>
      </c>
      <c r="L153">
        <f>Tableau1[[#This Row],[Final_time]]-SUM(Tableau1[[#This Row],[0_100m]:[600_700m]])</f>
        <v>15.200000000000003</v>
      </c>
      <c r="M153">
        <v>118.3</v>
      </c>
      <c r="N153">
        <f>SUM(Tableau1[[#This Row],[0_100m]:[700_800m]])</f>
        <v>118.3</v>
      </c>
      <c r="O153">
        <f>ABS(Tableau1[[#This Row],[Final_time]]-Tableau1[[#This Row],[Sum_time]])</f>
        <v>0</v>
      </c>
      <c r="P153" s="8"/>
      <c r="Q153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3" t="s">
        <v>476</v>
      </c>
      <c r="S153" s="1" t="s">
        <v>68</v>
      </c>
      <c r="U153" s="1" t="s">
        <v>69</v>
      </c>
      <c r="V153" s="1">
        <v>44429</v>
      </c>
      <c r="W153" s="4">
        <f>YEAR(Tableau1[[#This Row],[Competition_date]])</f>
        <v>2021</v>
      </c>
      <c r="X153" s="4">
        <v>22</v>
      </c>
      <c r="Y153" s="6">
        <v>0.45</v>
      </c>
      <c r="Z153" s="4" t="s">
        <v>81</v>
      </c>
      <c r="AA153" t="s">
        <v>176</v>
      </c>
    </row>
    <row r="154" spans="1:27" hidden="1" x14ac:dyDescent="0.35">
      <c r="A154" t="str">
        <f>_xlfn.CONCAT(Tableau1[[#This Row],[Athletes]],"_",Tableau1[[#This Row],[Nationality]],"_",Tableau1[[#This Row],[Competition_year]])</f>
        <v>Halimah NAKAAYI_UGA_2021</v>
      </c>
      <c r="B154" s="9" t="s">
        <v>230</v>
      </c>
      <c r="C154" s="9" t="s">
        <v>29</v>
      </c>
      <c r="D154" s="12" t="s">
        <v>34</v>
      </c>
      <c r="E154" s="13">
        <v>14.5</v>
      </c>
      <c r="F154" s="9">
        <v>13.8</v>
      </c>
      <c r="G154" s="9">
        <v>14.8</v>
      </c>
      <c r="H154" s="9">
        <v>14.9</v>
      </c>
      <c r="I154" s="9">
        <v>15.1</v>
      </c>
      <c r="J154">
        <v>15</v>
      </c>
      <c r="K154">
        <v>15.2</v>
      </c>
      <c r="L154">
        <f>Tableau1[[#This Row],[Final_time]]-SUM(Tableau1[[#This Row],[0_100m]:[600_700m]])</f>
        <v>15.480000000000004</v>
      </c>
      <c r="M154">
        <v>118.78</v>
      </c>
      <c r="N154">
        <f>SUM(Tableau1[[#This Row],[0_100m]:[700_800m]])</f>
        <v>118.78</v>
      </c>
      <c r="O154">
        <f>ABS(Tableau1[[#This Row],[Final_time]]-Tableau1[[#This Row],[Sum_time]])</f>
        <v>0</v>
      </c>
      <c r="P154" s="8"/>
      <c r="Q154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4" t="s">
        <v>476</v>
      </c>
      <c r="S154" s="1" t="s">
        <v>68</v>
      </c>
      <c r="U154" s="1" t="s">
        <v>69</v>
      </c>
      <c r="V154" s="1">
        <v>44429</v>
      </c>
      <c r="W154" s="4">
        <f>YEAR(Tableau1[[#This Row],[Competition_date]])</f>
        <v>2021</v>
      </c>
      <c r="X154" s="4">
        <v>22</v>
      </c>
      <c r="Y154" s="6">
        <v>0.45</v>
      </c>
      <c r="Z154" s="4" t="s">
        <v>81</v>
      </c>
      <c r="AA154" t="s">
        <v>176</v>
      </c>
    </row>
    <row r="155" spans="1:27" hidden="1" x14ac:dyDescent="0.35">
      <c r="A155" t="str">
        <f>_xlfn.CONCAT(Tableau1[[#This Row],[Athletes]],"_",Tableau1[[#This Row],[Nationality]],"_",Tableau1[[#This Row],[Competition_year]])</f>
        <v>Ajee' WILSON_USA_2021</v>
      </c>
      <c r="B155" s="9" t="s">
        <v>549</v>
      </c>
      <c r="C155" s="9" t="s">
        <v>29</v>
      </c>
      <c r="D155" s="12" t="s">
        <v>35</v>
      </c>
      <c r="E155" s="13">
        <v>14.3</v>
      </c>
      <c r="F155" s="9">
        <v>14.1</v>
      </c>
      <c r="G155" s="9">
        <v>14.8</v>
      </c>
      <c r="H155" s="9">
        <v>14.8</v>
      </c>
      <c r="I155" s="9">
        <v>15</v>
      </c>
      <c r="J155">
        <v>15.2</v>
      </c>
      <c r="K155">
        <v>15.8</v>
      </c>
      <c r="L155">
        <f>Tableau1[[#This Row],[Final_time]]-SUM(Tableau1[[#This Row],[0_100m]:[600_700m]])</f>
        <v>16.209999999999994</v>
      </c>
      <c r="M155">
        <v>120.21</v>
      </c>
      <c r="N155">
        <f>SUM(Tableau1[[#This Row],[0_100m]:[700_800m]])</f>
        <v>120.21</v>
      </c>
      <c r="O155">
        <f>ABS(Tableau1[[#This Row],[Final_time]]-Tableau1[[#This Row],[Sum_time]])</f>
        <v>0</v>
      </c>
      <c r="P155" s="8"/>
      <c r="Q155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5" t="s">
        <v>476</v>
      </c>
      <c r="S155" s="1" t="s">
        <v>68</v>
      </c>
      <c r="U155" s="1" t="s">
        <v>69</v>
      </c>
      <c r="V155" s="1">
        <v>44429</v>
      </c>
      <c r="W155" s="4">
        <f>YEAR(Tableau1[[#This Row],[Competition_date]])</f>
        <v>2021</v>
      </c>
      <c r="X155" s="4">
        <v>22</v>
      </c>
      <c r="Y155" s="6">
        <v>0.45</v>
      </c>
      <c r="Z155" s="4" t="s">
        <v>81</v>
      </c>
      <c r="AA155" t="s">
        <v>176</v>
      </c>
    </row>
    <row r="156" spans="1:27" hidden="1" x14ac:dyDescent="0.35">
      <c r="A156" t="str">
        <f>_xlfn.CONCAT(Tableau1[[#This Row],[Athletes]],"_",Tableau1[[#This Row],[Nationality]],"_",Tableau1[[#This Row],[Competition_year]])</f>
        <v>Jemma REEKIE_GBR_2021</v>
      </c>
      <c r="B156" t="s">
        <v>220</v>
      </c>
      <c r="C156" s="9" t="s">
        <v>29</v>
      </c>
      <c r="D156" s="18" t="s">
        <v>30</v>
      </c>
      <c r="E156" s="10">
        <v>13.8</v>
      </c>
      <c r="F156">
        <v>13.8</v>
      </c>
      <c r="G156">
        <v>14</v>
      </c>
      <c r="H156">
        <v>14.3</v>
      </c>
      <c r="I156">
        <v>15</v>
      </c>
      <c r="J156">
        <v>15.9</v>
      </c>
      <c r="K156">
        <v>16.399999999999999</v>
      </c>
      <c r="L156">
        <f>Tableau1[[#This Row],[Final_time]]-SUM(Tableau1[[#This Row],[0_100m]:[600_700m]])</f>
        <v>17.069999999999979</v>
      </c>
      <c r="M156">
        <v>120.27</v>
      </c>
      <c r="N156">
        <f>SUM(Tableau1[[#This Row],[0_100m]:[700_800m]])</f>
        <v>120.27</v>
      </c>
      <c r="O156">
        <f>ABS(Tableau1[[#This Row],[Final_time]]-Tableau1[[#This Row],[Sum_time]])</f>
        <v>0</v>
      </c>
      <c r="P156" s="8"/>
      <c r="Q156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6" t="s">
        <v>476</v>
      </c>
      <c r="S156" s="1" t="s">
        <v>68</v>
      </c>
      <c r="U156" s="1" t="s">
        <v>69</v>
      </c>
      <c r="V156" s="1">
        <v>44429</v>
      </c>
      <c r="W156" s="4">
        <f>YEAR(Tableau1[[#This Row],[Competition_date]])</f>
        <v>2021</v>
      </c>
      <c r="X156" s="4">
        <v>22</v>
      </c>
      <c r="Y156" s="6">
        <v>0.45</v>
      </c>
      <c r="Z156" s="4" t="s">
        <v>81</v>
      </c>
      <c r="AA156" t="s">
        <v>176</v>
      </c>
    </row>
    <row r="157" spans="1:27" hidden="1" x14ac:dyDescent="0.35">
      <c r="A157" t="str">
        <f>_xlfn.CONCAT(Tableau1[[#This Row],[Athletes]],"_",Tableau1[[#This Row],[Nationality]],"_",Tableau1[[#This Row],[Competition_year]])</f>
        <v>Sabrina SOUTHERLAND_USA_2021</v>
      </c>
      <c r="B157" t="s">
        <v>477</v>
      </c>
      <c r="C157" s="9" t="s">
        <v>29</v>
      </c>
      <c r="D157" s="18" t="s">
        <v>35</v>
      </c>
      <c r="E157" s="10">
        <v>14.3</v>
      </c>
      <c r="F157">
        <v>13.8</v>
      </c>
      <c r="G157">
        <v>14.5</v>
      </c>
      <c r="H157">
        <v>14.9</v>
      </c>
      <c r="I157">
        <v>15.7</v>
      </c>
      <c r="J157">
        <v>15.7</v>
      </c>
      <c r="K157">
        <v>16.2</v>
      </c>
      <c r="L157">
        <f>Tableau1[[#This Row],[Final_time]]-SUM(Tableau1[[#This Row],[0_100m]:[600_700m]])</f>
        <v>16.769999999999996</v>
      </c>
      <c r="M157">
        <v>121.87</v>
      </c>
      <c r="N157">
        <f>SUM(Tableau1[[#This Row],[0_100m]:[700_800m]])</f>
        <v>121.87</v>
      </c>
      <c r="O157">
        <f>ABS(Tableau1[[#This Row],[Final_time]]-Tableau1[[#This Row],[Sum_time]])</f>
        <v>0</v>
      </c>
      <c r="P157" s="8"/>
      <c r="Q157" s="1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R157" t="s">
        <v>476</v>
      </c>
      <c r="S157" s="1" t="s">
        <v>68</v>
      </c>
      <c r="U157" s="1" t="s">
        <v>69</v>
      </c>
      <c r="V157" s="1">
        <v>44429</v>
      </c>
      <c r="W157" s="4">
        <f>YEAR(Tableau1[[#This Row],[Competition_date]])</f>
        <v>2021</v>
      </c>
      <c r="X157" s="4">
        <v>22</v>
      </c>
      <c r="Y157" s="6">
        <v>0.45</v>
      </c>
      <c r="Z157" s="4" t="s">
        <v>81</v>
      </c>
      <c r="AA157" t="s">
        <v>176</v>
      </c>
    </row>
    <row r="158" spans="1:27" hidden="1" x14ac:dyDescent="0.35">
      <c r="A158" t="str">
        <f>_xlfn.CONCAT(Tableau1[[#This Row],[Athletes]],"_",Tableau1[[#This Row],[Nationality]],"_",Tableau1[[#This Row],[Competition_year]])</f>
        <v>Marco AROP_CAN_2021</v>
      </c>
      <c r="B158" s="9" t="s">
        <v>177</v>
      </c>
      <c r="C158" s="9" t="s">
        <v>14</v>
      </c>
      <c r="D158" s="12" t="s">
        <v>19</v>
      </c>
      <c r="E158" s="13">
        <v>13</v>
      </c>
      <c r="F158" s="9">
        <v>12.4</v>
      </c>
      <c r="G158" s="9">
        <v>13.8</v>
      </c>
      <c r="H158" s="9">
        <v>13.4</v>
      </c>
      <c r="I158" s="9">
        <v>13.6</v>
      </c>
      <c r="J158">
        <v>12.6</v>
      </c>
      <c r="K158">
        <v>13</v>
      </c>
      <c r="L158">
        <f>Tableau1[[#This Row],[Final_time]]-SUM(Tableau1[[#This Row],[0_100m]:[600_700m]])</f>
        <v>12.710000000000008</v>
      </c>
      <c r="M158">
        <v>104.51</v>
      </c>
      <c r="N158">
        <f>SUM(Tableau1[[#This Row],[0_100m]:[700_800m]])</f>
        <v>104.51</v>
      </c>
      <c r="O158">
        <f>ABS(Tableau1[[#This Row],[Final_time]]-Tableau1[[#This Row],[Sum_time]])</f>
        <v>0</v>
      </c>
      <c r="P158" s="8"/>
      <c r="Q158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58" t="s">
        <v>476</v>
      </c>
      <c r="S158" s="1" t="s">
        <v>68</v>
      </c>
      <c r="U158" s="1" t="s">
        <v>69</v>
      </c>
      <c r="V158" s="1">
        <v>44429</v>
      </c>
      <c r="W158" s="4">
        <f>YEAR(Tableau1[[#This Row],[Competition_date]])</f>
        <v>2021</v>
      </c>
      <c r="X158" s="4">
        <v>21</v>
      </c>
      <c r="Y158" s="6">
        <v>0.52</v>
      </c>
      <c r="Z158" s="4" t="s">
        <v>81</v>
      </c>
      <c r="AA158" t="s">
        <v>176</v>
      </c>
    </row>
    <row r="159" spans="1:27" hidden="1" x14ac:dyDescent="0.35">
      <c r="A159" t="str">
        <f>_xlfn.CONCAT(Tableau1[[#This Row],[Athletes]],"_",Tableau1[[#This Row],[Nationality]],"_",Tableau1[[#This Row],[Competition_year]])</f>
        <v>Ferguson Cheruiyot ROTICH_KEN_2021</v>
      </c>
      <c r="B159" s="9" t="s">
        <v>199</v>
      </c>
      <c r="C159" s="9" t="s">
        <v>14</v>
      </c>
      <c r="D159" s="12" t="s">
        <v>15</v>
      </c>
      <c r="E159" s="13">
        <v>13.2</v>
      </c>
      <c r="F159" s="9">
        <v>12.3</v>
      </c>
      <c r="G159" s="9">
        <v>13.5</v>
      </c>
      <c r="H159" s="9">
        <v>13.4</v>
      </c>
      <c r="I159" s="9">
        <v>13.6</v>
      </c>
      <c r="J159">
        <v>13.2</v>
      </c>
      <c r="K159">
        <v>13.3</v>
      </c>
      <c r="L159">
        <f>Tableau1[[#This Row],[Final_time]]-SUM(Tableau1[[#This Row],[0_100m]:[600_700m]])</f>
        <v>12.519999999999996</v>
      </c>
      <c r="M159">
        <v>105.02</v>
      </c>
      <c r="N159">
        <f>SUM(Tableau1[[#This Row],[0_100m]:[700_800m]])</f>
        <v>105.02</v>
      </c>
      <c r="O159">
        <f>ABS(Tableau1[[#This Row],[Final_time]]-Tableau1[[#This Row],[Sum_time]])</f>
        <v>0</v>
      </c>
      <c r="P159" s="8"/>
      <c r="Q159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59" t="s">
        <v>476</v>
      </c>
      <c r="S159" s="1" t="s">
        <v>68</v>
      </c>
      <c r="U159" s="1" t="s">
        <v>69</v>
      </c>
      <c r="V159" s="1">
        <v>44429</v>
      </c>
      <c r="W159" s="4">
        <f>YEAR(Tableau1[[#This Row],[Competition_date]])</f>
        <v>2021</v>
      </c>
      <c r="X159" s="4">
        <v>21</v>
      </c>
      <c r="Y159" s="6">
        <v>0.52</v>
      </c>
      <c r="Z159" s="4" t="s">
        <v>81</v>
      </c>
      <c r="AA159" t="s">
        <v>176</v>
      </c>
    </row>
    <row r="160" spans="1:27" hidden="1" x14ac:dyDescent="0.35">
      <c r="A160" t="str">
        <f>_xlfn.CONCAT(Tableau1[[#This Row],[Athletes]],"_",Tableau1[[#This Row],[Nationality]],"_",Tableau1[[#This Row],[Competition_year]])</f>
        <v>Emmanuel Kipkurui KORIR_KEN_2021</v>
      </c>
      <c r="B160" s="9" t="s">
        <v>201</v>
      </c>
      <c r="C160" s="9" t="s">
        <v>14</v>
      </c>
      <c r="D160" s="12" t="s">
        <v>15</v>
      </c>
      <c r="E160" s="13">
        <v>13.1</v>
      </c>
      <c r="F160" s="9">
        <v>12</v>
      </c>
      <c r="G160" s="9">
        <v>13.4</v>
      </c>
      <c r="H160" s="9">
        <v>13.4</v>
      </c>
      <c r="I160" s="9">
        <v>13.4</v>
      </c>
      <c r="J160">
        <v>13.5</v>
      </c>
      <c r="K160">
        <v>13.4</v>
      </c>
      <c r="L160">
        <f>Tableau1[[#This Row],[Final_time]]-SUM(Tableau1[[#This Row],[0_100m]:[600_700m]])</f>
        <v>12.849999999999994</v>
      </c>
      <c r="M160">
        <v>105.05</v>
      </c>
      <c r="N160">
        <f>SUM(Tableau1[[#This Row],[0_100m]:[700_800m]])</f>
        <v>105.05</v>
      </c>
      <c r="O160">
        <f>ABS(Tableau1[[#This Row],[Final_time]]-Tableau1[[#This Row],[Sum_time]])</f>
        <v>0</v>
      </c>
      <c r="P160" s="8"/>
      <c r="Q160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60" t="s">
        <v>476</v>
      </c>
      <c r="S160" s="1" t="s">
        <v>68</v>
      </c>
      <c r="U160" s="1" t="s">
        <v>69</v>
      </c>
      <c r="V160" s="1">
        <v>44429</v>
      </c>
      <c r="W160" s="4">
        <f>YEAR(Tableau1[[#This Row],[Competition_date]])</f>
        <v>2021</v>
      </c>
      <c r="X160" s="4">
        <v>21</v>
      </c>
      <c r="Y160" s="6">
        <v>0.52</v>
      </c>
      <c r="Z160" s="4" t="s">
        <v>81</v>
      </c>
      <c r="AA160" t="s">
        <v>176</v>
      </c>
    </row>
    <row r="161" spans="1:27" hidden="1" x14ac:dyDescent="0.35">
      <c r="A161" t="str">
        <f>_xlfn.CONCAT(Tableau1[[#This Row],[Athletes]],"_",Tableau1[[#This Row],[Nationality]],"_",Tableau1[[#This Row],[Competition_year]])</f>
        <v>Elliot GILES_GBR_2021</v>
      </c>
      <c r="B161" s="9" t="s">
        <v>383</v>
      </c>
      <c r="C161" s="9" t="s">
        <v>14</v>
      </c>
      <c r="D161" s="12" t="s">
        <v>30</v>
      </c>
      <c r="E161" s="13">
        <v>12.9</v>
      </c>
      <c r="F161" s="9">
        <v>12.3</v>
      </c>
      <c r="G161" s="9">
        <v>13.5</v>
      </c>
      <c r="H161" s="9">
        <v>13.4</v>
      </c>
      <c r="I161" s="9">
        <v>13.3</v>
      </c>
      <c r="J161">
        <v>13.4</v>
      </c>
      <c r="K161">
        <v>13.3</v>
      </c>
      <c r="L161">
        <f>Tableau1[[#This Row],[Final_time]]-SUM(Tableau1[[#This Row],[0_100m]:[600_700m]])</f>
        <v>13.359999999999985</v>
      </c>
      <c r="M161">
        <v>105.46</v>
      </c>
      <c r="N161">
        <f>SUM(Tableau1[[#This Row],[0_100m]:[700_800m]])</f>
        <v>105.46</v>
      </c>
      <c r="O161">
        <f>ABS(Tableau1[[#This Row],[Final_time]]-Tableau1[[#This Row],[Sum_time]])</f>
        <v>0</v>
      </c>
      <c r="P161" s="8"/>
      <c r="Q161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61" t="s">
        <v>476</v>
      </c>
      <c r="S161" s="1" t="s">
        <v>68</v>
      </c>
      <c r="U161" s="1" t="s">
        <v>69</v>
      </c>
      <c r="V161" s="1">
        <v>44429</v>
      </c>
      <c r="W161" s="4">
        <f>YEAR(Tableau1[[#This Row],[Competition_date]])</f>
        <v>2021</v>
      </c>
      <c r="X161" s="4">
        <v>21</v>
      </c>
      <c r="Y161" s="6">
        <v>0.52</v>
      </c>
      <c r="Z161" s="4" t="s">
        <v>81</v>
      </c>
      <c r="AA161" t="s">
        <v>176</v>
      </c>
    </row>
    <row r="162" spans="1:27" hidden="1" x14ac:dyDescent="0.35">
      <c r="A162" t="str">
        <f>_xlfn.CONCAT(Tableau1[[#This Row],[Athletes]],"_",Tableau1[[#This Row],[Nationality]],"_",Tableau1[[#This Row],[Competition_year]])</f>
        <v>Clayton MURPHY_USA_2021</v>
      </c>
      <c r="B162" s="9" t="s">
        <v>203</v>
      </c>
      <c r="C162" s="9" t="s">
        <v>14</v>
      </c>
      <c r="D162" s="12" t="s">
        <v>35</v>
      </c>
      <c r="E162" s="13">
        <v>13</v>
      </c>
      <c r="F162" s="9">
        <v>12</v>
      </c>
      <c r="G162" s="9">
        <v>13.3</v>
      </c>
      <c r="H162" s="9">
        <v>13.4</v>
      </c>
      <c r="I162" s="9">
        <v>13.4</v>
      </c>
      <c r="J162">
        <v>13.6</v>
      </c>
      <c r="K162">
        <v>13.7</v>
      </c>
      <c r="L162">
        <f>Tableau1[[#This Row],[Final_time]]-SUM(Tableau1[[#This Row],[0_100m]:[600_700m]])</f>
        <v>13.570000000000007</v>
      </c>
      <c r="M162">
        <v>105.97</v>
      </c>
      <c r="N162">
        <f>SUM(Tableau1[[#This Row],[0_100m]:[700_800m]])</f>
        <v>105.97</v>
      </c>
      <c r="O162">
        <f>ABS(Tableau1[[#This Row],[Final_time]]-Tableau1[[#This Row],[Sum_time]])</f>
        <v>0</v>
      </c>
      <c r="P162" s="8"/>
      <c r="Q162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62" t="s">
        <v>476</v>
      </c>
      <c r="S162" s="1" t="s">
        <v>68</v>
      </c>
      <c r="U162" s="1" t="s">
        <v>69</v>
      </c>
      <c r="V162" s="1">
        <v>44429</v>
      </c>
      <c r="W162" s="4">
        <f>YEAR(Tableau1[[#This Row],[Competition_date]])</f>
        <v>2021</v>
      </c>
      <c r="X162" s="4">
        <v>21</v>
      </c>
      <c r="Y162" s="6">
        <v>0.52</v>
      </c>
      <c r="Z162" s="4" t="s">
        <v>81</v>
      </c>
      <c r="AA162" t="s">
        <v>176</v>
      </c>
    </row>
    <row r="163" spans="1:27" hidden="1" x14ac:dyDescent="0.35">
      <c r="A163" t="str">
        <f>_xlfn.CONCAT(Tableau1[[#This Row],[Athletes]],"_",Tableau1[[#This Row],[Nationality]],"_",Tableau1[[#This Row],[Competition_year]])</f>
        <v>Isaiah HARRIS_USA_2021</v>
      </c>
      <c r="B163" s="9" t="s">
        <v>192</v>
      </c>
      <c r="C163" s="9" t="s">
        <v>14</v>
      </c>
      <c r="D163" s="12" t="s">
        <v>35</v>
      </c>
      <c r="E163" s="13">
        <v>13.1</v>
      </c>
      <c r="F163" s="9">
        <v>12.1</v>
      </c>
      <c r="G163" s="9">
        <v>13.8</v>
      </c>
      <c r="H163" s="9">
        <v>13.4</v>
      </c>
      <c r="I163" s="9">
        <v>13.2</v>
      </c>
      <c r="J163">
        <v>13</v>
      </c>
      <c r="K163">
        <v>13.6</v>
      </c>
      <c r="L163">
        <f>Tableau1[[#This Row],[Final_time]]-SUM(Tableau1[[#This Row],[0_100m]:[600_700m]])</f>
        <v>13.800000000000011</v>
      </c>
      <c r="M163">
        <v>106</v>
      </c>
      <c r="N163">
        <f>SUM(Tableau1[[#This Row],[0_100m]:[700_800m]])</f>
        <v>106</v>
      </c>
      <c r="O163">
        <f>ABS(Tableau1[[#This Row],[Final_time]]-Tableau1[[#This Row],[Sum_time]])</f>
        <v>0</v>
      </c>
      <c r="P163" s="8"/>
      <c r="Q163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63" t="s">
        <v>476</v>
      </c>
      <c r="S163" s="1" t="s">
        <v>68</v>
      </c>
      <c r="U163" s="1" t="s">
        <v>69</v>
      </c>
      <c r="V163" s="1">
        <v>44429</v>
      </c>
      <c r="W163" s="4">
        <f>YEAR(Tableau1[[#This Row],[Competition_date]])</f>
        <v>2021</v>
      </c>
      <c r="X163" s="4">
        <v>21</v>
      </c>
      <c r="Y163" s="6">
        <v>0.52</v>
      </c>
      <c r="Z163" s="4" t="s">
        <v>81</v>
      </c>
      <c r="AA163" t="s">
        <v>176</v>
      </c>
    </row>
    <row r="164" spans="1:27" hidden="1" x14ac:dyDescent="0.35">
      <c r="A164" t="str">
        <f>_xlfn.CONCAT(Tableau1[[#This Row],[Athletes]],"_",Tableau1[[#This Row],[Nationality]],"_",Tableau1[[#This Row],[Competition_year]])</f>
        <v>Oliver DUSTIN_GBR_2021</v>
      </c>
      <c r="B164" s="9" t="s">
        <v>422</v>
      </c>
      <c r="C164" s="9" t="s">
        <v>14</v>
      </c>
      <c r="D164" s="12" t="s">
        <v>30</v>
      </c>
      <c r="E164" s="13">
        <v>12.9</v>
      </c>
      <c r="F164" s="9">
        <v>12.6</v>
      </c>
      <c r="G164" s="9">
        <v>13.8</v>
      </c>
      <c r="H164" s="9">
        <v>12.5</v>
      </c>
      <c r="I164" s="9">
        <v>13.4</v>
      </c>
      <c r="J164">
        <v>13.3</v>
      </c>
      <c r="K164">
        <v>13.5</v>
      </c>
      <c r="L164">
        <f>Tableau1[[#This Row],[Final_time]]-SUM(Tableau1[[#This Row],[0_100m]:[600_700m]])</f>
        <v>14.61</v>
      </c>
      <c r="M164">
        <v>106.61</v>
      </c>
      <c r="N164">
        <f>SUM(Tableau1[[#This Row],[0_100m]:[700_800m]])</f>
        <v>106.61</v>
      </c>
      <c r="O164">
        <f>ABS(Tableau1[[#This Row],[Final_time]]-Tableau1[[#This Row],[Sum_time]])</f>
        <v>0</v>
      </c>
      <c r="P164" s="8"/>
      <c r="Q164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64" t="s">
        <v>476</v>
      </c>
      <c r="S164" s="1" t="s">
        <v>68</v>
      </c>
      <c r="U164" s="1" t="s">
        <v>69</v>
      </c>
      <c r="V164" s="1">
        <v>44429</v>
      </c>
      <c r="W164" s="4">
        <f>YEAR(Tableau1[[#This Row],[Competition_date]])</f>
        <v>2021</v>
      </c>
      <c r="X164" s="4">
        <v>21</v>
      </c>
      <c r="Y164" s="6">
        <v>0.52</v>
      </c>
      <c r="Z164" s="4" t="s">
        <v>81</v>
      </c>
      <c r="AA164" t="s">
        <v>176</v>
      </c>
    </row>
    <row r="165" spans="1:27" hidden="1" x14ac:dyDescent="0.35">
      <c r="A165" t="str">
        <f>_xlfn.CONCAT(Tableau1[[#This Row],[Athletes]],"_",Tableau1[[#This Row],[Nationality]],"_",Tableau1[[#This Row],[Competition_year]])</f>
        <v>Bryce HOPPEL_USA_2021</v>
      </c>
      <c r="B165" t="s">
        <v>173</v>
      </c>
      <c r="C165" t="s">
        <v>14</v>
      </c>
      <c r="D165" s="18" t="s">
        <v>35</v>
      </c>
      <c r="E165" s="10">
        <v>12.9</v>
      </c>
      <c r="F165">
        <v>12.4</v>
      </c>
      <c r="G165">
        <v>13.5</v>
      </c>
      <c r="H165">
        <v>13.4</v>
      </c>
      <c r="I165">
        <v>13.4</v>
      </c>
      <c r="J165">
        <v>13.4</v>
      </c>
      <c r="K165">
        <v>14.1</v>
      </c>
      <c r="L165">
        <f>Tableau1[[#This Row],[Final_time]]-SUM(Tableau1[[#This Row],[0_100m]:[600_700m]])</f>
        <v>14.120000000000005</v>
      </c>
      <c r="M165">
        <v>107.22</v>
      </c>
      <c r="N165">
        <f>SUM(Tableau1[[#This Row],[0_100m]:[700_800m]])</f>
        <v>107.22</v>
      </c>
      <c r="O165">
        <f>ABS(Tableau1[[#This Row],[Final_time]]-Tableau1[[#This Row],[Sum_time]])</f>
        <v>0</v>
      </c>
      <c r="P165" s="8"/>
      <c r="Q165" s="16" t="str">
        <f>_xlfn.CONCAT(Tableau1[[#This Row],[Competition]],"_",Tableau1[[#This Row],[Championship_step]],"_",Tableau1[[#This Row],[Competition_date]],"_",Tableau1[[#This Row],[Gender]])</f>
        <v>Diamond League Eugene 2021__44429_Male</v>
      </c>
      <c r="R165" t="s">
        <v>476</v>
      </c>
      <c r="S165" s="1" t="s">
        <v>68</v>
      </c>
      <c r="U165" s="1" t="s">
        <v>69</v>
      </c>
      <c r="V165" s="1">
        <v>44429</v>
      </c>
      <c r="W165" s="4">
        <f>YEAR(Tableau1[[#This Row],[Competition_date]])</f>
        <v>2021</v>
      </c>
      <c r="X165" s="4">
        <v>21</v>
      </c>
      <c r="Y165" s="6">
        <v>0.52</v>
      </c>
      <c r="Z165" s="4" t="s">
        <v>81</v>
      </c>
      <c r="AA165" t="s">
        <v>176</v>
      </c>
    </row>
    <row r="166" spans="1:27" hidden="1" x14ac:dyDescent="0.35">
      <c r="A166" t="str">
        <f>_xlfn.CONCAT(Tableau1[[#This Row],[Athletes]],"_",Tableau1[[#This Row],[Nationality]],"_",Tableau1[[#This Row],[Competition_year]])</f>
        <v>Keely HODGKINSON_GBR_2022</v>
      </c>
      <c r="B166" s="9" t="s">
        <v>212</v>
      </c>
      <c r="C166" s="9" t="s">
        <v>29</v>
      </c>
      <c r="D166" s="12" t="s">
        <v>30</v>
      </c>
      <c r="E166" s="9">
        <v>13.7</v>
      </c>
      <c r="F166" s="9">
        <v>14.2</v>
      </c>
      <c r="G166" s="9">
        <v>15.1</v>
      </c>
      <c r="H166" s="9">
        <v>15.8</v>
      </c>
      <c r="I166" s="9">
        <v>15.3</v>
      </c>
      <c r="J166" s="9">
        <v>14.9</v>
      </c>
      <c r="K166" s="9">
        <v>14.4</v>
      </c>
      <c r="L166">
        <f>Tableau1[[#This Row],[Final_time]]-SUM(Tableau1[[#This Row],[0_100m]:[600_700m]])</f>
        <v>14.319999999999993</v>
      </c>
      <c r="M166" s="9">
        <v>117.72</v>
      </c>
      <c r="N166">
        <f>SUM(Tableau1[[#This Row],[0_100m]:[700_800m]])</f>
        <v>117.72</v>
      </c>
      <c r="O166">
        <f>ABS(Tableau1[[#This Row],[Final_time]]-Tableau1[[#This Row],[Sum_time]])</f>
        <v>0</v>
      </c>
      <c r="P166" s="8"/>
      <c r="Q166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66" t="s">
        <v>344</v>
      </c>
      <c r="S166" s="1" t="s">
        <v>68</v>
      </c>
      <c r="U166" s="1" t="s">
        <v>69</v>
      </c>
      <c r="V166" s="1">
        <v>44709</v>
      </c>
      <c r="W166" s="4">
        <f>YEAR(Tableau1[[#This Row],[Competition_date]])</f>
        <v>2022</v>
      </c>
      <c r="X166" s="4">
        <v>16</v>
      </c>
      <c r="Y166" s="6">
        <v>0.85</v>
      </c>
      <c r="Z166" s="4" t="s">
        <v>81</v>
      </c>
      <c r="AA166" t="s">
        <v>176</v>
      </c>
    </row>
    <row r="167" spans="1:27" hidden="1" x14ac:dyDescent="0.35">
      <c r="A167" t="str">
        <f>_xlfn.CONCAT(Tableau1[[#This Row],[Athletes]],"_",Tableau1[[#This Row],[Nationality]],"_",Tableau1[[#This Row],[Competition_year]])</f>
        <v>Ajee' WILSON_USA_2022</v>
      </c>
      <c r="B167" s="9" t="s">
        <v>549</v>
      </c>
      <c r="C167" s="9" t="s">
        <v>29</v>
      </c>
      <c r="D167" s="12" t="s">
        <v>35</v>
      </c>
      <c r="E167" s="9">
        <v>13.9</v>
      </c>
      <c r="F167" s="9">
        <v>14.4</v>
      </c>
      <c r="G167" s="9">
        <v>15.3</v>
      </c>
      <c r="H167" s="9">
        <v>15.7</v>
      </c>
      <c r="I167" s="9">
        <v>15</v>
      </c>
      <c r="J167" s="9">
        <v>15</v>
      </c>
      <c r="K167" s="9">
        <v>14.5</v>
      </c>
      <c r="L167">
        <f>Tableau1[[#This Row],[Final_time]]-SUM(Tableau1[[#This Row],[0_100m]:[600_700m]])</f>
        <v>14.260000000000005</v>
      </c>
      <c r="M167" s="9">
        <v>118.06</v>
      </c>
      <c r="N167">
        <f>SUM(Tableau1[[#This Row],[0_100m]:[700_800m]])</f>
        <v>118.06</v>
      </c>
      <c r="O167">
        <f>ABS(Tableau1[[#This Row],[Final_time]]-Tableau1[[#This Row],[Sum_time]])</f>
        <v>0</v>
      </c>
      <c r="P167" s="8"/>
      <c r="Q167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67" t="s">
        <v>344</v>
      </c>
      <c r="S167" s="1" t="s">
        <v>68</v>
      </c>
      <c r="U167" s="1" t="s">
        <v>69</v>
      </c>
      <c r="V167" s="1">
        <v>44709</v>
      </c>
      <c r="W167" s="4">
        <f>YEAR(Tableau1[[#This Row],[Competition_date]])</f>
        <v>2022</v>
      </c>
      <c r="X167" s="4">
        <v>16</v>
      </c>
      <c r="Y167" s="6">
        <v>0.85</v>
      </c>
      <c r="Z167" s="4" t="s">
        <v>81</v>
      </c>
      <c r="AA167" t="s">
        <v>176</v>
      </c>
    </row>
    <row r="168" spans="1:27" hidden="1" x14ac:dyDescent="0.35">
      <c r="A168" t="str">
        <f>_xlfn.CONCAT(Tableau1[[#This Row],[Athletes]],"_",Tableau1[[#This Row],[Nationality]],"_",Tableau1[[#This Row],[Competition_year]])</f>
        <v>Raevyn ROGERS_USA_2022</v>
      </c>
      <c r="B168" s="9" t="s">
        <v>221</v>
      </c>
      <c r="C168" s="9" t="s">
        <v>29</v>
      </c>
      <c r="D168" s="12" t="s">
        <v>35</v>
      </c>
      <c r="E168" s="9">
        <v>13.9</v>
      </c>
      <c r="F168" s="9">
        <v>14.2</v>
      </c>
      <c r="G168" s="9">
        <v>15.3</v>
      </c>
      <c r="H168" s="9">
        <v>15.7</v>
      </c>
      <c r="I168" s="9">
        <v>15.3</v>
      </c>
      <c r="J168" s="9">
        <v>15</v>
      </c>
      <c r="K168" s="9">
        <v>14.6</v>
      </c>
      <c r="L168">
        <f>Tableau1[[#This Row],[Final_time]]-SUM(Tableau1[[#This Row],[0_100m]:[600_700m]])</f>
        <v>14.439999999999998</v>
      </c>
      <c r="M168" s="9">
        <v>118.44</v>
      </c>
      <c r="N168">
        <f>SUM(Tableau1[[#This Row],[0_100m]:[700_800m]])</f>
        <v>118.44</v>
      </c>
      <c r="O168">
        <f>ABS(Tableau1[[#This Row],[Final_time]]-Tableau1[[#This Row],[Sum_time]])</f>
        <v>0</v>
      </c>
      <c r="P168" s="8"/>
      <c r="Q168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68" t="s">
        <v>344</v>
      </c>
      <c r="S168" s="1" t="s">
        <v>68</v>
      </c>
      <c r="U168" s="1" t="s">
        <v>69</v>
      </c>
      <c r="V168" s="1">
        <v>44709</v>
      </c>
      <c r="W168" s="4">
        <f>YEAR(Tableau1[[#This Row],[Competition_date]])</f>
        <v>2022</v>
      </c>
      <c r="X168" s="4">
        <v>16</v>
      </c>
      <c r="Y168" s="6">
        <v>0.85</v>
      </c>
      <c r="Z168" s="4" t="s">
        <v>81</v>
      </c>
      <c r="AA168" t="s">
        <v>176</v>
      </c>
    </row>
    <row r="169" spans="1:27" hidden="1" x14ac:dyDescent="0.35">
      <c r="A169" t="str">
        <f>_xlfn.CONCAT(Tableau1[[#This Row],[Athletes]],"_",Tableau1[[#This Row],[Nationality]],"_",Tableau1[[#This Row],[Competition_year]])</f>
        <v>Natoya GOULE-TOPPIN_JAM_2022</v>
      </c>
      <c r="B169" s="9" t="s">
        <v>222</v>
      </c>
      <c r="C169" s="9" t="s">
        <v>29</v>
      </c>
      <c r="D169" s="12" t="s">
        <v>33</v>
      </c>
      <c r="E169" s="9">
        <v>13.7</v>
      </c>
      <c r="F169" s="9">
        <v>13.8</v>
      </c>
      <c r="G169" s="9">
        <v>15</v>
      </c>
      <c r="H169" s="9">
        <v>15.8</v>
      </c>
      <c r="I169" s="9">
        <v>15.3</v>
      </c>
      <c r="J169" s="9">
        <v>15.2</v>
      </c>
      <c r="K169" s="9">
        <v>14.6</v>
      </c>
      <c r="L169">
        <f>Tableau1[[#This Row],[Final_time]]-SUM(Tableau1[[#This Row],[0_100m]:[600_700m]])</f>
        <v>15.990000000000009</v>
      </c>
      <c r="M169" s="9">
        <v>119.39</v>
      </c>
      <c r="N169">
        <f>SUM(Tableau1[[#This Row],[0_100m]:[700_800m]])</f>
        <v>119.39</v>
      </c>
      <c r="O169">
        <f>ABS(Tableau1[[#This Row],[Final_time]]-Tableau1[[#This Row],[Sum_time]])</f>
        <v>0</v>
      </c>
      <c r="P169" s="8"/>
      <c r="Q169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69" t="s">
        <v>344</v>
      </c>
      <c r="S169" s="1" t="s">
        <v>68</v>
      </c>
      <c r="U169" s="1" t="s">
        <v>69</v>
      </c>
      <c r="V169" s="1">
        <v>44709</v>
      </c>
      <c r="W169" s="4">
        <f>YEAR(Tableau1[[#This Row],[Competition_date]])</f>
        <v>2022</v>
      </c>
      <c r="X169" s="4">
        <v>16</v>
      </c>
      <c r="Y169" s="6">
        <v>0.85</v>
      </c>
      <c r="Z169" s="4" t="s">
        <v>81</v>
      </c>
      <c r="AA169" t="s">
        <v>176</v>
      </c>
    </row>
    <row r="170" spans="1:27" hidden="1" x14ac:dyDescent="0.35">
      <c r="A170" t="str">
        <f>_xlfn.CONCAT(Tableau1[[#This Row],[Athletes]],"_",Tableau1[[#This Row],[Nationality]],"_",Tableau1[[#This Row],[Competition_year]])</f>
        <v>Sage HURTA-KLECKER_USA_2022</v>
      </c>
      <c r="B170" s="9" t="s">
        <v>289</v>
      </c>
      <c r="C170" s="9" t="s">
        <v>29</v>
      </c>
      <c r="D170" s="12" t="s">
        <v>35</v>
      </c>
      <c r="E170" s="9">
        <v>14.1</v>
      </c>
      <c r="F170" s="9">
        <v>13.7</v>
      </c>
      <c r="G170" s="9">
        <v>15.1</v>
      </c>
      <c r="H170" s="9">
        <v>15.7</v>
      </c>
      <c r="I170" s="9">
        <v>15.3</v>
      </c>
      <c r="J170" s="9">
        <v>15.1</v>
      </c>
      <c r="K170" s="9">
        <v>15</v>
      </c>
      <c r="L170">
        <f>Tableau1[[#This Row],[Final_time]]-SUM(Tableau1[[#This Row],[0_100m]:[600_700m]])</f>
        <v>15.590000000000018</v>
      </c>
      <c r="M170" s="9">
        <v>119.59</v>
      </c>
      <c r="N170">
        <f>SUM(Tableau1[[#This Row],[0_100m]:[700_800m]])</f>
        <v>119.59</v>
      </c>
      <c r="O170">
        <f>ABS(Tableau1[[#This Row],[Final_time]]-Tableau1[[#This Row],[Sum_time]])</f>
        <v>0</v>
      </c>
      <c r="P170" s="8"/>
      <c r="Q170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70" t="s">
        <v>344</v>
      </c>
      <c r="S170" s="1" t="s">
        <v>68</v>
      </c>
      <c r="U170" s="1" t="s">
        <v>69</v>
      </c>
      <c r="V170" s="1">
        <v>44709</v>
      </c>
      <c r="W170" s="4">
        <f>YEAR(Tableau1[[#This Row],[Competition_date]])</f>
        <v>2022</v>
      </c>
      <c r="X170" s="4">
        <v>16</v>
      </c>
      <c r="Y170" s="6">
        <v>0.85</v>
      </c>
      <c r="Z170" s="4" t="s">
        <v>81</v>
      </c>
      <c r="AA170" t="s">
        <v>176</v>
      </c>
    </row>
    <row r="171" spans="1:27" hidden="1" x14ac:dyDescent="0.35">
      <c r="A171" t="str">
        <f>_xlfn.CONCAT(Tableau1[[#This Row],[Athletes]],"_",Tableau1[[#This Row],[Nationality]],"_",Tableau1[[#This Row],[Competition_year]])</f>
        <v>Halimah NAKAAYI_UGA_2022</v>
      </c>
      <c r="B171" s="9" t="s">
        <v>230</v>
      </c>
      <c r="C171" s="9" t="s">
        <v>29</v>
      </c>
      <c r="D171" s="12" t="s">
        <v>34</v>
      </c>
      <c r="E171" s="9">
        <v>14</v>
      </c>
      <c r="F171" s="9">
        <v>14.3</v>
      </c>
      <c r="G171" s="9">
        <v>15.2</v>
      </c>
      <c r="H171" s="9">
        <v>15.7</v>
      </c>
      <c r="I171" s="9">
        <v>15.3</v>
      </c>
      <c r="J171" s="9">
        <v>15.2</v>
      </c>
      <c r="K171" s="9">
        <v>14.9</v>
      </c>
      <c r="L171">
        <f>Tableau1[[#This Row],[Final_time]]-SUM(Tableau1[[#This Row],[0_100m]:[600_700m]])</f>
        <v>15.339999999999989</v>
      </c>
      <c r="M171" s="9">
        <v>119.94</v>
      </c>
      <c r="N171">
        <f>SUM(Tableau1[[#This Row],[0_100m]:[700_800m]])</f>
        <v>119.94</v>
      </c>
      <c r="O171">
        <f>ABS(Tableau1[[#This Row],[Final_time]]-Tableau1[[#This Row],[Sum_time]])</f>
        <v>0</v>
      </c>
      <c r="P171" s="8"/>
      <c r="Q171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71" t="s">
        <v>344</v>
      </c>
      <c r="S171" s="1" t="s">
        <v>68</v>
      </c>
      <c r="U171" s="1" t="s">
        <v>69</v>
      </c>
      <c r="V171" s="1">
        <v>44709</v>
      </c>
      <c r="W171" s="4">
        <f>YEAR(Tableau1[[#This Row],[Competition_date]])</f>
        <v>2022</v>
      </c>
      <c r="X171" s="4">
        <v>16</v>
      </c>
      <c r="Y171" s="6">
        <v>0.85</v>
      </c>
      <c r="Z171" s="4" t="s">
        <v>81</v>
      </c>
      <c r="AA171" t="s">
        <v>176</v>
      </c>
    </row>
    <row r="172" spans="1:27" hidden="1" x14ac:dyDescent="0.35">
      <c r="A172" t="str">
        <f>_xlfn.CONCAT(Tableau1[[#This Row],[Athletes]],"_",Tableau1[[#This Row],[Nationality]],"_",Tableau1[[#This Row],[Competition_year]])</f>
        <v>Allie WILSON_USA_2022</v>
      </c>
      <c r="B172" s="9" t="s">
        <v>345</v>
      </c>
      <c r="C172" s="9" t="s">
        <v>29</v>
      </c>
      <c r="D172" s="12" t="s">
        <v>35</v>
      </c>
      <c r="E172" s="9">
        <v>14.1</v>
      </c>
      <c r="F172" s="9">
        <v>14.1</v>
      </c>
      <c r="G172" s="9">
        <v>15.2</v>
      </c>
      <c r="H172" s="9">
        <v>15.7</v>
      </c>
      <c r="I172" s="9">
        <v>15.2</v>
      </c>
      <c r="J172" s="9">
        <v>15.2</v>
      </c>
      <c r="K172" s="9">
        <v>15</v>
      </c>
      <c r="L172">
        <f>Tableau1[[#This Row],[Final_time]]-SUM(Tableau1[[#This Row],[0_100m]:[600_700m]])</f>
        <v>15.650000000000006</v>
      </c>
      <c r="M172" s="9">
        <v>120.15</v>
      </c>
      <c r="N172">
        <f>SUM(Tableau1[[#This Row],[0_100m]:[700_800m]])</f>
        <v>120.15</v>
      </c>
      <c r="O172">
        <f>ABS(Tableau1[[#This Row],[Final_time]]-Tableau1[[#This Row],[Sum_time]])</f>
        <v>0</v>
      </c>
      <c r="P172" s="8"/>
      <c r="Q172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72" t="s">
        <v>344</v>
      </c>
      <c r="S172" s="1" t="s">
        <v>68</v>
      </c>
      <c r="U172" s="1" t="s">
        <v>69</v>
      </c>
      <c r="V172" s="1">
        <v>44709</v>
      </c>
      <c r="W172" s="4">
        <f>YEAR(Tableau1[[#This Row],[Competition_date]])</f>
        <v>2022</v>
      </c>
      <c r="X172" s="4">
        <v>16</v>
      </c>
      <c r="Y172" s="6">
        <v>0.85</v>
      </c>
      <c r="Z172" s="4" t="s">
        <v>81</v>
      </c>
      <c r="AA172" t="s">
        <v>176</v>
      </c>
    </row>
    <row r="173" spans="1:27" hidden="1" x14ac:dyDescent="0.35">
      <c r="A173" t="str">
        <f>_xlfn.CONCAT(Tableau1[[#This Row],[Athletes]],"_",Tableau1[[#This Row],[Nationality]],"_",Tableau1[[#This Row],[Competition_year]])</f>
        <v>Jemma REEKIE_GBR_2022</v>
      </c>
      <c r="B173" s="9" t="s">
        <v>220</v>
      </c>
      <c r="C173" s="9" t="s">
        <v>29</v>
      </c>
      <c r="D173" s="12" t="s">
        <v>30</v>
      </c>
      <c r="E173" s="9">
        <v>14.1</v>
      </c>
      <c r="F173" s="9">
        <v>13.9</v>
      </c>
      <c r="G173" s="9">
        <v>15.2</v>
      </c>
      <c r="H173" s="9">
        <v>15.8</v>
      </c>
      <c r="I173" s="9">
        <v>15.3</v>
      </c>
      <c r="J173" s="9">
        <v>14.8</v>
      </c>
      <c r="K173" s="9">
        <v>15.1</v>
      </c>
      <c r="L173">
        <f>Tableau1[[#This Row],[Final_time]]-SUM(Tableau1[[#This Row],[0_100m]:[600_700m]])</f>
        <v>16.330000000000013</v>
      </c>
      <c r="M173" s="9">
        <v>120.53</v>
      </c>
      <c r="N173">
        <f>SUM(Tableau1[[#This Row],[0_100m]:[700_800m]])</f>
        <v>120.53</v>
      </c>
      <c r="O173">
        <f>ABS(Tableau1[[#This Row],[Final_time]]-Tableau1[[#This Row],[Sum_time]])</f>
        <v>0</v>
      </c>
      <c r="P173" s="8"/>
      <c r="Q173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73" t="s">
        <v>344</v>
      </c>
      <c r="S173" s="1" t="s">
        <v>68</v>
      </c>
      <c r="U173" s="1" t="s">
        <v>69</v>
      </c>
      <c r="V173" s="1">
        <v>44709</v>
      </c>
      <c r="W173" s="4">
        <f>YEAR(Tableau1[[#This Row],[Competition_date]])</f>
        <v>2022</v>
      </c>
      <c r="X173" s="4">
        <v>16</v>
      </c>
      <c r="Y173" s="6">
        <v>0.85</v>
      </c>
      <c r="Z173" s="4" t="s">
        <v>81</v>
      </c>
      <c r="AA173" t="s">
        <v>176</v>
      </c>
    </row>
    <row r="174" spans="1:27" hidden="1" x14ac:dyDescent="0.35">
      <c r="A174" t="str">
        <f>_xlfn.CONCAT(Tableau1[[#This Row],[Athletes]],"_",Tableau1[[#This Row],[Nationality]],"_",Tableau1[[#This Row],[Competition_year]])</f>
        <v>Michaela MEYER_USA_2022</v>
      </c>
      <c r="B174" s="9" t="s">
        <v>346</v>
      </c>
      <c r="C174" s="9" t="s">
        <v>29</v>
      </c>
      <c r="D174" s="12" t="s">
        <v>35</v>
      </c>
      <c r="E174" s="9">
        <v>14.3</v>
      </c>
      <c r="F174" s="9">
        <v>13.8</v>
      </c>
      <c r="G174" s="9">
        <v>15.1</v>
      </c>
      <c r="H174" s="9">
        <v>15.8</v>
      </c>
      <c r="I174" s="9">
        <v>15.4</v>
      </c>
      <c r="J174" s="9">
        <v>15.1</v>
      </c>
      <c r="K174" s="9">
        <v>15.7</v>
      </c>
      <c r="L174">
        <f>Tableau1[[#This Row],[Final_time]]-SUM(Tableau1[[#This Row],[0_100m]:[600_700m]])</f>
        <v>16.11</v>
      </c>
      <c r="M174" s="9">
        <v>121.31</v>
      </c>
      <c r="N174">
        <f>SUM(Tableau1[[#This Row],[0_100m]:[700_800m]])</f>
        <v>121.31</v>
      </c>
      <c r="O174">
        <f>ABS(Tableau1[[#This Row],[Final_time]]-Tableau1[[#This Row],[Sum_time]])</f>
        <v>0</v>
      </c>
      <c r="P174" s="8"/>
      <c r="Q174" s="1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R174" t="s">
        <v>344</v>
      </c>
      <c r="S174" s="1" t="s">
        <v>68</v>
      </c>
      <c r="U174" s="1" t="s">
        <v>69</v>
      </c>
      <c r="V174" s="1">
        <v>44709</v>
      </c>
      <c r="W174" s="4">
        <f>YEAR(Tableau1[[#This Row],[Competition_date]])</f>
        <v>2022</v>
      </c>
      <c r="X174" s="4">
        <v>16</v>
      </c>
      <c r="Y174" s="6">
        <v>0.85</v>
      </c>
      <c r="Z174" s="4" t="s">
        <v>81</v>
      </c>
      <c r="AA174" t="s">
        <v>176</v>
      </c>
    </row>
    <row r="175" spans="1:27" hidden="1" x14ac:dyDescent="0.35">
      <c r="A175" t="str">
        <f>_xlfn.CONCAT(Tableau1[[#This Row],[Athletes]],"_",Tableau1[[#This Row],[Nationality]],"_",Tableau1[[#This Row],[Competition_year]])</f>
        <v>Athing MU-NIKOLAYEV_USA_2023</v>
      </c>
      <c r="B175" t="s">
        <v>1376</v>
      </c>
      <c r="C175" t="s">
        <v>29</v>
      </c>
      <c r="D175" s="18" t="s">
        <v>35</v>
      </c>
      <c r="E175">
        <v>13.9</v>
      </c>
      <c r="F175">
        <v>13.7</v>
      </c>
      <c r="G175">
        <v>14.8</v>
      </c>
      <c r="H175">
        <v>14.8</v>
      </c>
      <c r="I175">
        <v>14.7</v>
      </c>
      <c r="J175">
        <v>14.5</v>
      </c>
      <c r="K175">
        <v>14.3</v>
      </c>
      <c r="L175">
        <f>Tableau1[[#This Row],[Final_time]]-SUM(Tableau1[[#This Row],[0_100m]:[600_700m]])</f>
        <v>14.269999999999996</v>
      </c>
      <c r="M175">
        <v>114.97</v>
      </c>
      <c r="N175">
        <f>SUM(Tableau1[[#This Row],[0_100m]:[700_800m]])</f>
        <v>114.97</v>
      </c>
      <c r="O175">
        <f>ABS(Tableau1[[#This Row],[Final_time]]-Tableau1[[#This Row],[Sum_time]])</f>
        <v>0</v>
      </c>
      <c r="P175" s="8"/>
      <c r="Q175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75" t="s">
        <v>286</v>
      </c>
      <c r="S175" s="1" t="s">
        <v>68</v>
      </c>
      <c r="U175" s="1" t="s">
        <v>69</v>
      </c>
      <c r="V175" s="1">
        <v>45186</v>
      </c>
      <c r="W175" s="4">
        <f>YEAR(Tableau1[[#This Row],[Competition_date]])</f>
        <v>2023</v>
      </c>
      <c r="X175" s="4">
        <v>22</v>
      </c>
      <c r="Y175" s="6">
        <v>0.47</v>
      </c>
      <c r="Z175" s="4" t="s">
        <v>80</v>
      </c>
      <c r="AA175" t="s">
        <v>176</v>
      </c>
    </row>
    <row r="176" spans="1:27" hidden="1" x14ac:dyDescent="0.35">
      <c r="A176" t="str">
        <f>_xlfn.CONCAT(Tableau1[[#This Row],[Athletes]],"_",Tableau1[[#This Row],[Nationality]],"_",Tableau1[[#This Row],[Competition_year]])</f>
        <v>Keely HODGKINSON_GBR_2023</v>
      </c>
      <c r="B176" t="s">
        <v>212</v>
      </c>
      <c r="C176" t="s">
        <v>29</v>
      </c>
      <c r="D176" s="18" t="s">
        <v>30</v>
      </c>
      <c r="E176">
        <v>13.6</v>
      </c>
      <c r="F176">
        <v>13.9</v>
      </c>
      <c r="G176">
        <v>14.8</v>
      </c>
      <c r="H176">
        <v>14.9</v>
      </c>
      <c r="I176">
        <v>14.7</v>
      </c>
      <c r="J176">
        <v>14.5</v>
      </c>
      <c r="K176">
        <v>14.3</v>
      </c>
      <c r="L176">
        <f>Tableau1[[#This Row],[Final_time]]-SUM(Tableau1[[#This Row],[0_100m]:[600_700m]])</f>
        <v>14.490000000000009</v>
      </c>
      <c r="M176">
        <v>115.19</v>
      </c>
      <c r="N176">
        <f>SUM(Tableau1[[#This Row],[0_100m]:[700_800m]])</f>
        <v>115.19</v>
      </c>
      <c r="O176">
        <f>ABS(Tableau1[[#This Row],[Final_time]]-Tableau1[[#This Row],[Sum_time]])</f>
        <v>0</v>
      </c>
      <c r="P176" s="8"/>
      <c r="Q176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76" t="s">
        <v>286</v>
      </c>
      <c r="S176" s="1" t="s">
        <v>68</v>
      </c>
      <c r="U176" s="1" t="s">
        <v>69</v>
      </c>
      <c r="V176" s="1">
        <v>45186</v>
      </c>
      <c r="W176" s="4">
        <f>YEAR(Tableau1[[#This Row],[Competition_date]])</f>
        <v>2023</v>
      </c>
      <c r="X176" s="4">
        <v>22</v>
      </c>
      <c r="Y176" s="6">
        <v>0.47</v>
      </c>
      <c r="Z176" s="4" t="s">
        <v>80</v>
      </c>
      <c r="AA176" t="s">
        <v>176</v>
      </c>
    </row>
    <row r="177" spans="1:27" hidden="1" x14ac:dyDescent="0.35">
      <c r="A177" t="str">
        <f>_xlfn.CONCAT(Tableau1[[#This Row],[Athletes]],"_",Tableau1[[#This Row],[Nationality]],"_",Tableau1[[#This Row],[Competition_year]])</f>
        <v>Natoya GOULE-TOPPIN_JAM_2023</v>
      </c>
      <c r="B177" t="s">
        <v>222</v>
      </c>
      <c r="C177" t="s">
        <v>29</v>
      </c>
      <c r="D177" s="18" t="s">
        <v>33</v>
      </c>
      <c r="E177">
        <v>13.8</v>
      </c>
      <c r="F177">
        <v>13.8</v>
      </c>
      <c r="G177">
        <v>15</v>
      </c>
      <c r="H177">
        <v>14.8</v>
      </c>
      <c r="I177">
        <v>14.7</v>
      </c>
      <c r="J177">
        <v>14.5</v>
      </c>
      <c r="K177">
        <v>14.5</v>
      </c>
      <c r="L177">
        <f>Tableau1[[#This Row],[Final_time]]-SUM(Tableau1[[#This Row],[0_100m]:[600_700m]])</f>
        <v>14.859999999999985</v>
      </c>
      <c r="M177">
        <v>115.96</v>
      </c>
      <c r="N177">
        <f>SUM(Tableau1[[#This Row],[0_100m]:[700_800m]])</f>
        <v>115.96</v>
      </c>
      <c r="O177">
        <f>ABS(Tableau1[[#This Row],[Final_time]]-Tableau1[[#This Row],[Sum_time]])</f>
        <v>0</v>
      </c>
      <c r="P177" s="8"/>
      <c r="Q177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77" t="s">
        <v>286</v>
      </c>
      <c r="S177" s="1" t="s">
        <v>68</v>
      </c>
      <c r="U177" s="1" t="s">
        <v>69</v>
      </c>
      <c r="V177" s="1">
        <v>45186</v>
      </c>
      <c r="W177" s="4">
        <f>YEAR(Tableau1[[#This Row],[Competition_date]])</f>
        <v>2023</v>
      </c>
      <c r="X177" s="4">
        <v>22</v>
      </c>
      <c r="Y177" s="6">
        <v>0.47</v>
      </c>
      <c r="Z177" s="4" t="s">
        <v>80</v>
      </c>
      <c r="AA177" t="s">
        <v>176</v>
      </c>
    </row>
    <row r="178" spans="1:27" hidden="1" x14ac:dyDescent="0.35">
      <c r="A178" t="str">
        <f>_xlfn.CONCAT(Tableau1[[#This Row],[Athletes]],"_",Tableau1[[#This Row],[Nationality]],"_",Tableau1[[#This Row],[Competition_year]])</f>
        <v>Mary MORAA_KEN_2023</v>
      </c>
      <c r="B178" t="s">
        <v>228</v>
      </c>
      <c r="C178" t="s">
        <v>29</v>
      </c>
      <c r="D178" s="18" t="s">
        <v>15</v>
      </c>
      <c r="E178">
        <v>13.9</v>
      </c>
      <c r="F178">
        <v>13.8</v>
      </c>
      <c r="G178">
        <v>14.8</v>
      </c>
      <c r="H178">
        <v>14.8</v>
      </c>
      <c r="I178">
        <v>14.7</v>
      </c>
      <c r="J178">
        <v>14.5</v>
      </c>
      <c r="K178">
        <v>15</v>
      </c>
      <c r="L178">
        <f>Tableau1[[#This Row],[Final_time]]-SUM(Tableau1[[#This Row],[0_100m]:[600_700m]])</f>
        <v>15.920000000000002</v>
      </c>
      <c r="M178">
        <v>117.42</v>
      </c>
      <c r="N178">
        <f>SUM(Tableau1[[#This Row],[0_100m]:[700_800m]])</f>
        <v>117.42</v>
      </c>
      <c r="O178">
        <f>ABS(Tableau1[[#This Row],[Final_time]]-Tableau1[[#This Row],[Sum_time]])</f>
        <v>0</v>
      </c>
      <c r="P178" s="8"/>
      <c r="Q178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78" t="s">
        <v>286</v>
      </c>
      <c r="S178" s="1" t="s">
        <v>68</v>
      </c>
      <c r="U178" s="1" t="s">
        <v>69</v>
      </c>
      <c r="V178" s="1">
        <v>45186</v>
      </c>
      <c r="W178" s="4">
        <f>YEAR(Tableau1[[#This Row],[Competition_date]])</f>
        <v>2023</v>
      </c>
      <c r="X178" s="4">
        <v>22</v>
      </c>
      <c r="Y178" s="6">
        <v>0.47</v>
      </c>
      <c r="Z178" s="4" t="s">
        <v>80</v>
      </c>
      <c r="AA178" t="s">
        <v>176</v>
      </c>
    </row>
    <row r="179" spans="1:27" hidden="1" x14ac:dyDescent="0.35">
      <c r="A179" t="str">
        <f>_xlfn.CONCAT(Tableau1[[#This Row],[Athletes]],"_",Tableau1[[#This Row],[Nationality]],"_",Tableau1[[#This Row],[Competition_year]])</f>
        <v>Halimah NAKAAYI_UGA_2023</v>
      </c>
      <c r="B179" t="s">
        <v>230</v>
      </c>
      <c r="C179" t="s">
        <v>29</v>
      </c>
      <c r="D179" s="18" t="s">
        <v>34</v>
      </c>
      <c r="E179">
        <v>14.3</v>
      </c>
      <c r="F179">
        <v>13.9</v>
      </c>
      <c r="G179">
        <v>15.1</v>
      </c>
      <c r="H179">
        <v>14.7</v>
      </c>
      <c r="I179">
        <v>15.2</v>
      </c>
      <c r="J179">
        <v>15.2</v>
      </c>
      <c r="K179">
        <v>15.1</v>
      </c>
      <c r="L179">
        <f>Tableau1[[#This Row],[Final_time]]-SUM(Tableau1[[#This Row],[0_100m]:[600_700m]])</f>
        <v>14.840000000000003</v>
      </c>
      <c r="M179">
        <v>118.34</v>
      </c>
      <c r="N179">
        <f>SUM(Tableau1[[#This Row],[0_100m]:[700_800m]])</f>
        <v>118.34</v>
      </c>
      <c r="O179">
        <f>ABS(Tableau1[[#This Row],[Final_time]]-Tableau1[[#This Row],[Sum_time]])</f>
        <v>0</v>
      </c>
      <c r="P179" s="8"/>
      <c r="Q179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79" t="s">
        <v>286</v>
      </c>
      <c r="S179" s="1" t="s">
        <v>68</v>
      </c>
      <c r="U179" s="1" t="s">
        <v>69</v>
      </c>
      <c r="V179" s="1">
        <v>45186</v>
      </c>
      <c r="W179" s="4">
        <f>YEAR(Tableau1[[#This Row],[Competition_date]])</f>
        <v>2023</v>
      </c>
      <c r="X179" s="4">
        <v>22</v>
      </c>
      <c r="Y179" s="6">
        <v>0.47</v>
      </c>
      <c r="Z179" s="4" t="s">
        <v>80</v>
      </c>
      <c r="AA179" t="s">
        <v>176</v>
      </c>
    </row>
    <row r="180" spans="1:27" hidden="1" x14ac:dyDescent="0.35">
      <c r="A180" t="str">
        <f>_xlfn.CONCAT(Tableau1[[#This Row],[Athletes]],"_",Tableau1[[#This Row],[Nationality]],"_",Tableau1[[#This Row],[Competition_year]])</f>
        <v>Catriona BISSET_AUS_2023</v>
      </c>
      <c r="B180" t="s">
        <v>217</v>
      </c>
      <c r="C180" t="s">
        <v>29</v>
      </c>
      <c r="D180" s="18" t="s">
        <v>36</v>
      </c>
      <c r="E180">
        <v>14</v>
      </c>
      <c r="F180">
        <v>14.1</v>
      </c>
      <c r="G180">
        <v>14.9</v>
      </c>
      <c r="H180">
        <v>15.2</v>
      </c>
      <c r="I180">
        <v>15.1</v>
      </c>
      <c r="J180">
        <v>14.9</v>
      </c>
      <c r="K180">
        <v>15</v>
      </c>
      <c r="L180">
        <f>Tableau1[[#This Row],[Final_time]]-SUM(Tableau1[[#This Row],[0_100m]:[600_700m]])</f>
        <v>15.149999999999991</v>
      </c>
      <c r="M180">
        <v>118.35</v>
      </c>
      <c r="N180">
        <f>SUM(Tableau1[[#This Row],[0_100m]:[700_800m]])</f>
        <v>118.35</v>
      </c>
      <c r="O180">
        <f>ABS(Tableau1[[#This Row],[Final_time]]-Tableau1[[#This Row],[Sum_time]])</f>
        <v>0</v>
      </c>
      <c r="P180" s="8"/>
      <c r="Q180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80" t="s">
        <v>286</v>
      </c>
      <c r="S180" s="1" t="s">
        <v>68</v>
      </c>
      <c r="U180" s="1" t="s">
        <v>69</v>
      </c>
      <c r="V180" s="1">
        <v>45186</v>
      </c>
      <c r="W180" s="4">
        <f>YEAR(Tableau1[[#This Row],[Competition_date]])</f>
        <v>2023</v>
      </c>
      <c r="X180" s="4">
        <v>22</v>
      </c>
      <c r="Y180" s="6">
        <v>0.47</v>
      </c>
      <c r="Z180" s="4" t="s">
        <v>80</v>
      </c>
      <c r="AA180" t="s">
        <v>176</v>
      </c>
    </row>
    <row r="181" spans="1:27" hidden="1" x14ac:dyDescent="0.35">
      <c r="A181" t="str">
        <f>_xlfn.CONCAT(Tableau1[[#This Row],[Athletes]],"_",Tableau1[[#This Row],[Nationality]],"_",Tableau1[[#This Row],[Competition_year]])</f>
        <v>Rénelle LAMOTE_FRA_2023</v>
      </c>
      <c r="B181" t="s">
        <v>225</v>
      </c>
      <c r="C181" t="s">
        <v>29</v>
      </c>
      <c r="D181" s="18" t="s">
        <v>17</v>
      </c>
      <c r="E181">
        <v>14</v>
      </c>
      <c r="F181">
        <v>13.8</v>
      </c>
      <c r="G181">
        <v>15</v>
      </c>
      <c r="H181">
        <v>14.9</v>
      </c>
      <c r="I181">
        <v>14.9</v>
      </c>
      <c r="J181">
        <v>14.9</v>
      </c>
      <c r="K181">
        <v>15.3</v>
      </c>
      <c r="L181">
        <f>Tableau1[[#This Row],[Final_time]]-SUM(Tableau1[[#This Row],[0_100m]:[600_700m]])</f>
        <v>15.710000000000008</v>
      </c>
      <c r="M181">
        <v>118.51</v>
      </c>
      <c r="N181">
        <f>SUM(Tableau1[[#This Row],[0_100m]:[700_800m]])</f>
        <v>118.51</v>
      </c>
      <c r="O181">
        <f>ABS(Tableau1[[#This Row],[Final_time]]-Tableau1[[#This Row],[Sum_time]])</f>
        <v>0</v>
      </c>
      <c r="P181" s="8"/>
      <c r="Q181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81" t="s">
        <v>286</v>
      </c>
      <c r="S181" s="1" t="s">
        <v>68</v>
      </c>
      <c r="U181" s="1" t="s">
        <v>69</v>
      </c>
      <c r="V181" s="1">
        <v>45186</v>
      </c>
      <c r="W181" s="4">
        <f>YEAR(Tableau1[[#This Row],[Competition_date]])</f>
        <v>2023</v>
      </c>
      <c r="X181" s="4">
        <v>22</v>
      </c>
      <c r="Y181" s="6">
        <v>0.47</v>
      </c>
      <c r="Z181" s="4" t="s">
        <v>80</v>
      </c>
      <c r="AA181" t="s">
        <v>176</v>
      </c>
    </row>
    <row r="182" spans="1:27" hidden="1" x14ac:dyDescent="0.35">
      <c r="A182" t="str">
        <f>_xlfn.CONCAT(Tableau1[[#This Row],[Athletes]],"_",Tableau1[[#This Row],[Nationality]],"_",Tableau1[[#This Row],[Competition_year]])</f>
        <v>Sage HURTA-KLECKER_USA_2023</v>
      </c>
      <c r="B182" t="s">
        <v>289</v>
      </c>
      <c r="C182" t="s">
        <v>29</v>
      </c>
      <c r="D182" s="18" t="s">
        <v>35</v>
      </c>
      <c r="E182">
        <v>14.4</v>
      </c>
      <c r="F182">
        <v>14</v>
      </c>
      <c r="G182">
        <v>15</v>
      </c>
      <c r="H182">
        <v>15</v>
      </c>
      <c r="I182">
        <v>15.2</v>
      </c>
      <c r="J182">
        <v>15.1</v>
      </c>
      <c r="K182">
        <v>15.2</v>
      </c>
      <c r="L182">
        <f>Tableau1[[#This Row],[Final_time]]-SUM(Tableau1[[#This Row],[0_100m]:[600_700m]])</f>
        <v>15.750000000000014</v>
      </c>
      <c r="M182">
        <v>119.65</v>
      </c>
      <c r="N182">
        <f>SUM(Tableau1[[#This Row],[0_100m]:[700_800m]])</f>
        <v>119.65</v>
      </c>
      <c r="O182">
        <f>ABS(Tableau1[[#This Row],[Final_time]]-Tableau1[[#This Row],[Sum_time]])</f>
        <v>0</v>
      </c>
      <c r="P182" s="8"/>
      <c r="Q182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82" t="s">
        <v>286</v>
      </c>
      <c r="S182" s="1" t="s">
        <v>68</v>
      </c>
      <c r="U182" s="1" t="s">
        <v>69</v>
      </c>
      <c r="V182" s="1">
        <v>45186</v>
      </c>
      <c r="W182" s="4">
        <f>YEAR(Tableau1[[#This Row],[Competition_date]])</f>
        <v>2023</v>
      </c>
      <c r="X182" s="4">
        <v>22</v>
      </c>
      <c r="Y182" s="6">
        <v>0.47</v>
      </c>
      <c r="Z182" s="4" t="s">
        <v>80</v>
      </c>
      <c r="AA182" t="s">
        <v>176</v>
      </c>
    </row>
    <row r="183" spans="1:27" hidden="1" x14ac:dyDescent="0.35">
      <c r="A183" t="str">
        <f>_xlfn.CONCAT(Tableau1[[#This Row],[Athletes]],"_",Tableau1[[#This Row],[Nationality]],"_",Tableau1[[#This Row],[Competition_year]])</f>
        <v>Jemma REEKIE_GBR_2023</v>
      </c>
      <c r="B183" t="s">
        <v>220</v>
      </c>
      <c r="C183" t="s">
        <v>29</v>
      </c>
      <c r="D183" s="18" t="s">
        <v>30</v>
      </c>
      <c r="E183">
        <v>14.2</v>
      </c>
      <c r="F183">
        <v>13.6</v>
      </c>
      <c r="G183">
        <v>15</v>
      </c>
      <c r="H183">
        <v>14.8</v>
      </c>
      <c r="I183">
        <v>14.8</v>
      </c>
      <c r="J183">
        <v>15</v>
      </c>
      <c r="K183">
        <v>16.2</v>
      </c>
      <c r="L183">
        <f>Tableau1[[#This Row],[Final_time]]-SUM(Tableau1[[#This Row],[0_100m]:[600_700m]])</f>
        <v>16.740000000000009</v>
      </c>
      <c r="M183">
        <v>120.34</v>
      </c>
      <c r="N183">
        <f>SUM(Tableau1[[#This Row],[0_100m]:[700_800m]])</f>
        <v>120.34</v>
      </c>
      <c r="O183">
        <f>ABS(Tableau1[[#This Row],[Final_time]]-Tableau1[[#This Row],[Sum_time]])</f>
        <v>0</v>
      </c>
      <c r="P183" s="8"/>
      <c r="Q183" s="16" t="str">
        <f>_xlfn.CONCAT(Tableau1[[#This Row],[Competition]],"_",Tableau1[[#This Row],[Championship_step]],"_",Tableau1[[#This Row],[Competition_date]],"_",Tableau1[[#This Row],[Gender]])</f>
        <v>Diamond League Eugene 2023__45186_Female</v>
      </c>
      <c r="R183" t="s">
        <v>286</v>
      </c>
      <c r="S183" s="1" t="s">
        <v>68</v>
      </c>
      <c r="U183" s="1" t="s">
        <v>69</v>
      </c>
      <c r="V183" s="1">
        <v>45186</v>
      </c>
      <c r="W183" s="4">
        <f>YEAR(Tableau1[[#This Row],[Competition_date]])</f>
        <v>2023</v>
      </c>
      <c r="X183" s="4">
        <v>22</v>
      </c>
      <c r="Y183" s="6">
        <v>0.47</v>
      </c>
      <c r="Z183" s="4" t="s">
        <v>80</v>
      </c>
      <c r="AA183" t="s">
        <v>176</v>
      </c>
    </row>
    <row r="184" spans="1:27" hidden="1" x14ac:dyDescent="0.35">
      <c r="A184" t="str">
        <f>_xlfn.CONCAT(Tableau1[[#This Row],[Athletes]],"_",Tableau1[[#This Row],[Nationality]],"_",Tableau1[[#This Row],[Competition_year]])</f>
        <v>Emmanuel WANYONYI_KEN_2023</v>
      </c>
      <c r="B184" t="s">
        <v>183</v>
      </c>
      <c r="C184" t="s">
        <v>14</v>
      </c>
      <c r="D184" s="18" t="s">
        <v>15</v>
      </c>
      <c r="E184">
        <v>12.7</v>
      </c>
      <c r="F184">
        <v>11.7</v>
      </c>
      <c r="G184">
        <v>12.7</v>
      </c>
      <c r="H184">
        <v>12.6</v>
      </c>
      <c r="I184">
        <v>13.3</v>
      </c>
      <c r="J184">
        <v>13.2</v>
      </c>
      <c r="K184">
        <v>13.4</v>
      </c>
      <c r="L184">
        <f>Tableau1[[#This Row],[Final_time]]-SUM(Tableau1[[#This Row],[0_100m]:[600_700m]])</f>
        <v>13.199999999999989</v>
      </c>
      <c r="M184">
        <v>102.8</v>
      </c>
      <c r="N184">
        <f>SUM(Tableau1[[#This Row],[0_100m]:[700_800m]])</f>
        <v>102.8</v>
      </c>
      <c r="O184">
        <f>ABS(Tableau1[[#This Row],[Final_time]]-Tableau1[[#This Row],[Sum_time]])</f>
        <v>0</v>
      </c>
      <c r="P184" s="8"/>
      <c r="Q184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84" t="s">
        <v>286</v>
      </c>
      <c r="S184" s="1" t="s">
        <v>68</v>
      </c>
      <c r="U184" s="1" t="s">
        <v>69</v>
      </c>
      <c r="V184" s="1">
        <v>45186</v>
      </c>
      <c r="W184" s="4">
        <f>YEAR(Tableau1[[#This Row],[Competition_date]])</f>
        <v>2023</v>
      </c>
      <c r="X184" s="4">
        <v>19</v>
      </c>
      <c r="Y184" s="6">
        <v>0.6</v>
      </c>
      <c r="Z184" s="4" t="s">
        <v>80</v>
      </c>
      <c r="AA184" t="s">
        <v>176</v>
      </c>
    </row>
    <row r="185" spans="1:27" hidden="1" x14ac:dyDescent="0.35">
      <c r="A185" t="str">
        <f>_xlfn.CONCAT(Tableau1[[#This Row],[Athletes]],"_",Tableau1[[#This Row],[Nationality]],"_",Tableau1[[#This Row],[Competition_year]])</f>
        <v>Marco AROP_CAN_2023</v>
      </c>
      <c r="B185" t="s">
        <v>177</v>
      </c>
      <c r="C185" t="s">
        <v>14</v>
      </c>
      <c r="D185" s="18" t="s">
        <v>19</v>
      </c>
      <c r="E185">
        <v>12.7</v>
      </c>
      <c r="F185">
        <v>11.4</v>
      </c>
      <c r="G185">
        <v>12.7</v>
      </c>
      <c r="H185">
        <v>12.7</v>
      </c>
      <c r="I185">
        <v>13.2</v>
      </c>
      <c r="J185">
        <v>13.2</v>
      </c>
      <c r="K185">
        <v>13.4</v>
      </c>
      <c r="L185">
        <f>Tableau1[[#This Row],[Final_time]]-SUM(Tableau1[[#This Row],[0_100m]:[600_700m]])</f>
        <v>13.549999999999983</v>
      </c>
      <c r="M185">
        <v>102.85</v>
      </c>
      <c r="N185">
        <f>SUM(Tableau1[[#This Row],[0_100m]:[700_800m]])</f>
        <v>102.85</v>
      </c>
      <c r="O185">
        <f>ABS(Tableau1[[#This Row],[Final_time]]-Tableau1[[#This Row],[Sum_time]])</f>
        <v>0</v>
      </c>
      <c r="P185" s="8"/>
      <c r="Q185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85" t="s">
        <v>286</v>
      </c>
      <c r="S185" s="1" t="s">
        <v>68</v>
      </c>
      <c r="U185" s="1" t="s">
        <v>69</v>
      </c>
      <c r="V185" s="1">
        <v>45186</v>
      </c>
      <c r="W185" s="4">
        <f>YEAR(Tableau1[[#This Row],[Competition_date]])</f>
        <v>2023</v>
      </c>
      <c r="X185" s="4">
        <v>19</v>
      </c>
      <c r="Y185" s="6">
        <v>0.6</v>
      </c>
      <c r="Z185" s="4" t="s">
        <v>80</v>
      </c>
      <c r="AA185" t="s">
        <v>176</v>
      </c>
    </row>
    <row r="186" spans="1:27" hidden="1" x14ac:dyDescent="0.35">
      <c r="A186" t="str">
        <f>_xlfn.CONCAT(Tableau1[[#This Row],[Athletes]],"_",Tableau1[[#This Row],[Nationality]],"_",Tableau1[[#This Row],[Competition_year]])</f>
        <v>Djamel SEDJATI_ALG_2023</v>
      </c>
      <c r="B186" t="s">
        <v>170</v>
      </c>
      <c r="C186" t="s">
        <v>14</v>
      </c>
      <c r="D186" s="18" t="s">
        <v>24</v>
      </c>
      <c r="E186">
        <v>13.2</v>
      </c>
      <c r="F186">
        <v>11.7</v>
      </c>
      <c r="G186">
        <v>12.9</v>
      </c>
      <c r="H186">
        <v>12.8</v>
      </c>
      <c r="I186">
        <v>13.2</v>
      </c>
      <c r="J186">
        <v>12.8</v>
      </c>
      <c r="K186">
        <v>13.2</v>
      </c>
      <c r="L186">
        <f>Tableau1[[#This Row],[Final_time]]-SUM(Tableau1[[#This Row],[0_100m]:[600_700m]])</f>
        <v>13.260000000000005</v>
      </c>
      <c r="M186">
        <v>103.06</v>
      </c>
      <c r="N186">
        <f>SUM(Tableau1[[#This Row],[0_100m]:[700_800m]])</f>
        <v>103.06</v>
      </c>
      <c r="O186">
        <f>ABS(Tableau1[[#This Row],[Final_time]]-Tableau1[[#This Row],[Sum_time]])</f>
        <v>0</v>
      </c>
      <c r="P186" s="8"/>
      <c r="Q186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86" t="s">
        <v>286</v>
      </c>
      <c r="S186" s="1" t="s">
        <v>68</v>
      </c>
      <c r="U186" s="1" t="s">
        <v>69</v>
      </c>
      <c r="V186" s="1">
        <v>45186</v>
      </c>
      <c r="W186" s="4">
        <f>YEAR(Tableau1[[#This Row],[Competition_date]])</f>
        <v>2023</v>
      </c>
      <c r="X186" s="4">
        <v>19</v>
      </c>
      <c r="Y186" s="6">
        <v>0.6</v>
      </c>
      <c r="Z186" s="4" t="s">
        <v>80</v>
      </c>
      <c r="AA186" t="s">
        <v>176</v>
      </c>
    </row>
    <row r="187" spans="1:27" hidden="1" x14ac:dyDescent="0.35">
      <c r="A187" t="str">
        <f>_xlfn.CONCAT(Tableau1[[#This Row],[Athletes]],"_",Tableau1[[#This Row],[Nationality]],"_",Tableau1[[#This Row],[Competition_year]])</f>
        <v>Yanis MEZIANE_FRA_2023</v>
      </c>
      <c r="B187" t="s">
        <v>171</v>
      </c>
      <c r="C187" t="s">
        <v>14</v>
      </c>
      <c r="D187" s="18" t="s">
        <v>17</v>
      </c>
      <c r="E187">
        <v>12.9</v>
      </c>
      <c r="F187">
        <v>11.7</v>
      </c>
      <c r="G187">
        <v>12.7</v>
      </c>
      <c r="H187">
        <v>12.8</v>
      </c>
      <c r="I187">
        <v>13.3</v>
      </c>
      <c r="J187">
        <v>13</v>
      </c>
      <c r="K187">
        <v>13.4</v>
      </c>
      <c r="L187">
        <f>Tableau1[[#This Row],[Final_time]]-SUM(Tableau1[[#This Row],[0_100m]:[600_700m]])</f>
        <v>14.14</v>
      </c>
      <c r="M187">
        <v>103.94</v>
      </c>
      <c r="N187">
        <f>SUM(Tableau1[[#This Row],[0_100m]:[700_800m]])</f>
        <v>103.94</v>
      </c>
      <c r="O187">
        <f>ABS(Tableau1[[#This Row],[Final_time]]-Tableau1[[#This Row],[Sum_time]])</f>
        <v>0</v>
      </c>
      <c r="P187" s="8"/>
      <c r="Q187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87" t="s">
        <v>286</v>
      </c>
      <c r="S187" s="1" t="s">
        <v>68</v>
      </c>
      <c r="U187" s="1" t="s">
        <v>69</v>
      </c>
      <c r="V187" s="1">
        <v>45186</v>
      </c>
      <c r="W187" s="4">
        <f>YEAR(Tableau1[[#This Row],[Competition_date]])</f>
        <v>2023</v>
      </c>
      <c r="X187" s="4">
        <v>19</v>
      </c>
      <c r="Y187" s="6">
        <v>0.6</v>
      </c>
      <c r="Z187" s="4" t="s">
        <v>80</v>
      </c>
      <c r="AA187" t="s">
        <v>176</v>
      </c>
    </row>
    <row r="188" spans="1:27" hidden="1" x14ac:dyDescent="0.35">
      <c r="A188" t="str">
        <f>_xlfn.CONCAT(Tableau1[[#This Row],[Athletes]],"_",Tableau1[[#This Row],[Nationality]],"_",Tableau1[[#This Row],[Competition_year]])</f>
        <v>Daniel ROWDEN_GBR_2023</v>
      </c>
      <c r="B188" t="s">
        <v>172</v>
      </c>
      <c r="C188" t="s">
        <v>14</v>
      </c>
      <c r="D188" s="18" t="s">
        <v>30</v>
      </c>
      <c r="E188">
        <v>12.6</v>
      </c>
      <c r="F188">
        <v>11.7</v>
      </c>
      <c r="G188">
        <v>12.8</v>
      </c>
      <c r="H188">
        <v>12.9</v>
      </c>
      <c r="I188">
        <v>13.3</v>
      </c>
      <c r="J188">
        <v>13.1</v>
      </c>
      <c r="K188">
        <v>13.6</v>
      </c>
      <c r="L188">
        <f>Tableau1[[#This Row],[Final_time]]-SUM(Tableau1[[#This Row],[0_100m]:[600_700m]])</f>
        <v>14.210000000000008</v>
      </c>
      <c r="M188">
        <v>104.21</v>
      </c>
      <c r="N188">
        <f>SUM(Tableau1[[#This Row],[0_100m]:[700_800m]])</f>
        <v>104.21</v>
      </c>
      <c r="O188">
        <f>ABS(Tableau1[[#This Row],[Final_time]]-Tableau1[[#This Row],[Sum_time]])</f>
        <v>0</v>
      </c>
      <c r="P188" s="8"/>
      <c r="Q188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88" t="s">
        <v>286</v>
      </c>
      <c r="S188" s="1" t="s">
        <v>68</v>
      </c>
      <c r="U188" s="1" t="s">
        <v>69</v>
      </c>
      <c r="V188" s="1">
        <v>45186</v>
      </c>
      <c r="W188" s="4">
        <f>YEAR(Tableau1[[#This Row],[Competition_date]])</f>
        <v>2023</v>
      </c>
      <c r="X188" s="4">
        <v>19</v>
      </c>
      <c r="Y188" s="6">
        <v>0.6</v>
      </c>
      <c r="Z188" s="4" t="s">
        <v>80</v>
      </c>
      <c r="AA188" t="s">
        <v>176</v>
      </c>
    </row>
    <row r="189" spans="1:27" hidden="1" x14ac:dyDescent="0.35">
      <c r="A189" t="str">
        <f>_xlfn.CONCAT(Tableau1[[#This Row],[Athletes]],"_",Tableau1[[#This Row],[Nationality]],"_",Tableau1[[#This Row],[Competition_year]])</f>
        <v>Bryce HOPPEL_USA_2023</v>
      </c>
      <c r="B189" t="s">
        <v>173</v>
      </c>
      <c r="C189" t="s">
        <v>14</v>
      </c>
      <c r="D189" s="18" t="s">
        <v>35</v>
      </c>
      <c r="E189">
        <v>12.8</v>
      </c>
      <c r="F189">
        <v>11.9</v>
      </c>
      <c r="G189">
        <v>13</v>
      </c>
      <c r="H189">
        <v>12.9</v>
      </c>
      <c r="I189">
        <v>13.3</v>
      </c>
      <c r="J189">
        <v>13.3</v>
      </c>
      <c r="K189">
        <v>13.7</v>
      </c>
      <c r="L189">
        <f>Tableau1[[#This Row],[Final_time]]-SUM(Tableau1[[#This Row],[0_100m]:[600_700m]])</f>
        <v>13.72999999999999</v>
      </c>
      <c r="M189">
        <v>104.63</v>
      </c>
      <c r="N189">
        <f>SUM(Tableau1[[#This Row],[0_100m]:[700_800m]])</f>
        <v>104.63</v>
      </c>
      <c r="O189">
        <f>ABS(Tableau1[[#This Row],[Final_time]]-Tableau1[[#This Row],[Sum_time]])</f>
        <v>0</v>
      </c>
      <c r="P189" s="8"/>
      <c r="Q189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89" t="s">
        <v>286</v>
      </c>
      <c r="S189" s="1" t="s">
        <v>68</v>
      </c>
      <c r="U189" s="1" t="s">
        <v>69</v>
      </c>
      <c r="V189" s="1">
        <v>45186</v>
      </c>
      <c r="W189" s="4">
        <f>YEAR(Tableau1[[#This Row],[Competition_date]])</f>
        <v>2023</v>
      </c>
      <c r="X189" s="4">
        <v>19</v>
      </c>
      <c r="Y189" s="6">
        <v>0.6</v>
      </c>
      <c r="Z189" s="4" t="s">
        <v>80</v>
      </c>
      <c r="AA189" t="s">
        <v>176</v>
      </c>
    </row>
    <row r="190" spans="1:27" hidden="1" x14ac:dyDescent="0.35">
      <c r="A190" t="str">
        <f>_xlfn.CONCAT(Tableau1[[#This Row],[Athletes]],"_",Tableau1[[#This Row],[Nationality]],"_",Tableau1[[#This Row],[Competition_year]])</f>
        <v>Benjamin ROBERT_FRA_2023</v>
      </c>
      <c r="B190" t="s">
        <v>111</v>
      </c>
      <c r="C190" t="s">
        <v>14</v>
      </c>
      <c r="D190" s="18" t="s">
        <v>17</v>
      </c>
      <c r="E190">
        <v>13</v>
      </c>
      <c r="F190">
        <v>12</v>
      </c>
      <c r="G190">
        <v>12.8</v>
      </c>
      <c r="H190">
        <v>13</v>
      </c>
      <c r="I190">
        <v>13.3</v>
      </c>
      <c r="J190">
        <v>13.3</v>
      </c>
      <c r="K190">
        <v>13.7</v>
      </c>
      <c r="L190">
        <f>Tableau1[[#This Row],[Final_time]]-SUM(Tableau1[[#This Row],[0_100m]:[600_700m]])</f>
        <v>14.330000000000013</v>
      </c>
      <c r="M190">
        <v>105.43</v>
      </c>
      <c r="N190">
        <f>SUM(Tableau1[[#This Row],[0_100m]:[700_800m]])</f>
        <v>105.43</v>
      </c>
      <c r="O190">
        <f>ABS(Tableau1[[#This Row],[Final_time]]-Tableau1[[#This Row],[Sum_time]])</f>
        <v>0</v>
      </c>
      <c r="P190" s="8"/>
      <c r="Q190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90" t="s">
        <v>286</v>
      </c>
      <c r="S190" s="1" t="s">
        <v>68</v>
      </c>
      <c r="U190" s="1" t="s">
        <v>69</v>
      </c>
      <c r="V190" s="1">
        <v>45186</v>
      </c>
      <c r="W190" s="4">
        <f>YEAR(Tableau1[[#This Row],[Competition_date]])</f>
        <v>2023</v>
      </c>
      <c r="X190" s="4">
        <v>19</v>
      </c>
      <c r="Y190" s="6">
        <v>0.6</v>
      </c>
      <c r="Z190" s="4" t="s">
        <v>80</v>
      </c>
      <c r="AA190" t="s">
        <v>176</v>
      </c>
    </row>
    <row r="191" spans="1:27" hidden="1" x14ac:dyDescent="0.35">
      <c r="A191" t="str">
        <f>_xlfn.CONCAT(Tableau1[[#This Row],[Athletes]],"_",Tableau1[[#This Row],[Nationality]],"_",Tableau1[[#This Row],[Competition_year]])</f>
        <v>Saúl ORDÓÑEZ_ESP_2023</v>
      </c>
      <c r="B191" t="s">
        <v>178</v>
      </c>
      <c r="C191" t="s">
        <v>14</v>
      </c>
      <c r="D191" s="18" t="s">
        <v>37</v>
      </c>
      <c r="E191">
        <v>12.7</v>
      </c>
      <c r="F191">
        <v>11.7</v>
      </c>
      <c r="G191">
        <v>12.9</v>
      </c>
      <c r="H191">
        <v>12.9</v>
      </c>
      <c r="I191">
        <v>13.3</v>
      </c>
      <c r="J191">
        <v>13.2</v>
      </c>
      <c r="K191">
        <v>13.9</v>
      </c>
      <c r="L191">
        <f>Tableau1[[#This Row],[Final_time]]-SUM(Tableau1[[#This Row],[0_100m]:[600_700m]])</f>
        <v>15.299999999999997</v>
      </c>
      <c r="M191">
        <v>105.9</v>
      </c>
      <c r="N191">
        <f>SUM(Tableau1[[#This Row],[0_100m]:[700_800m]])</f>
        <v>105.9</v>
      </c>
      <c r="O191">
        <f>ABS(Tableau1[[#This Row],[Final_time]]-Tableau1[[#This Row],[Sum_time]])</f>
        <v>0</v>
      </c>
      <c r="P191" s="8"/>
      <c r="Q191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91" t="s">
        <v>286</v>
      </c>
      <c r="S191" s="1" t="s">
        <v>68</v>
      </c>
      <c r="U191" s="1" t="s">
        <v>69</v>
      </c>
      <c r="V191" s="1">
        <v>45186</v>
      </c>
      <c r="W191" s="4">
        <f>YEAR(Tableau1[[#This Row],[Competition_date]])</f>
        <v>2023</v>
      </c>
      <c r="X191" s="4">
        <v>19</v>
      </c>
      <c r="Y191" s="6">
        <v>0.6</v>
      </c>
      <c r="Z191" s="4" t="s">
        <v>80</v>
      </c>
      <c r="AA191" t="s">
        <v>176</v>
      </c>
    </row>
    <row r="192" spans="1:27" hidden="1" x14ac:dyDescent="0.35">
      <c r="A192" t="str">
        <f>_xlfn.CONCAT(Tableau1[[#This Row],[Athletes]],"_",Tableau1[[#This Row],[Nationality]],"_",Tableau1[[#This Row],[Competition_year]])</f>
        <v>Wyclife KINYAMAL_KEN_2023</v>
      </c>
      <c r="B192" t="s">
        <v>174</v>
      </c>
      <c r="C192" t="s">
        <v>14</v>
      </c>
      <c r="D192" s="18" t="s">
        <v>15</v>
      </c>
      <c r="E192">
        <v>12.6</v>
      </c>
      <c r="F192">
        <v>11.9</v>
      </c>
      <c r="G192">
        <v>13</v>
      </c>
      <c r="H192">
        <v>12.8</v>
      </c>
      <c r="I192">
        <v>13.3</v>
      </c>
      <c r="J192">
        <v>13.3</v>
      </c>
      <c r="K192">
        <v>14</v>
      </c>
      <c r="L192">
        <f>Tableau1[[#This Row],[Final_time]]-SUM(Tableau1[[#This Row],[0_100m]:[600_700m]])</f>
        <v>15.430000000000007</v>
      </c>
      <c r="M192">
        <v>106.33</v>
      </c>
      <c r="N192">
        <f>SUM(Tableau1[[#This Row],[0_100m]:[700_800m]])</f>
        <v>106.33</v>
      </c>
      <c r="O192">
        <f>ABS(Tableau1[[#This Row],[Final_time]]-Tableau1[[#This Row],[Sum_time]])</f>
        <v>0</v>
      </c>
      <c r="P192" s="8"/>
      <c r="Q192" s="16" t="str">
        <f>_xlfn.CONCAT(Tableau1[[#This Row],[Competition]],"_",Tableau1[[#This Row],[Championship_step]],"_",Tableau1[[#This Row],[Competition_date]],"_",Tableau1[[#This Row],[Gender]])</f>
        <v>Diamond League Eugene 2023__45186_Male</v>
      </c>
      <c r="R192" t="s">
        <v>286</v>
      </c>
      <c r="S192" s="1" t="s">
        <v>68</v>
      </c>
      <c r="U192" s="1" t="s">
        <v>69</v>
      </c>
      <c r="V192" s="1">
        <v>45186</v>
      </c>
      <c r="W192" s="4">
        <f>YEAR(Tableau1[[#This Row],[Competition_date]])</f>
        <v>2023</v>
      </c>
      <c r="X192" s="4">
        <v>19</v>
      </c>
      <c r="Y192" s="6">
        <v>0.6</v>
      </c>
      <c r="Z192" s="4" t="s">
        <v>80</v>
      </c>
      <c r="AA192" t="s">
        <v>176</v>
      </c>
    </row>
    <row r="193" spans="1:27" hidden="1" x14ac:dyDescent="0.35">
      <c r="A193" t="str">
        <f>_xlfn.CONCAT(Tableau1[[#This Row],[Athletes]],"_",Tableau1[[#This Row],[Nationality]],"_",Tableau1[[#This Row],[Competition_year]])</f>
        <v>Keely HODGKINSON_GBR_2024</v>
      </c>
      <c r="B193" t="s">
        <v>212</v>
      </c>
      <c r="C193" t="s">
        <v>29</v>
      </c>
      <c r="D193" s="18" t="s">
        <v>30</v>
      </c>
      <c r="M193">
        <v>115.78</v>
      </c>
      <c r="N193">
        <f>SUM(Tableau1[[#This Row],[0_100m]:[700_800m]])</f>
        <v>0</v>
      </c>
      <c r="O193">
        <f>ABS(Tableau1[[#This Row],[Final_time]]-Tableau1[[#This Row],[Sum_time]])</f>
        <v>115.78</v>
      </c>
      <c r="P193" s="8"/>
      <c r="Q193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3" t="s">
        <v>46</v>
      </c>
      <c r="S193" s="1" t="s">
        <v>68</v>
      </c>
      <c r="U193" s="1" t="s">
        <v>69</v>
      </c>
      <c r="V193" s="1">
        <v>45437</v>
      </c>
      <c r="W193" s="4">
        <f>YEAR(Tableau1[[#This Row],[Competition_date]])</f>
        <v>2024</v>
      </c>
      <c r="X193" s="4">
        <v>17</v>
      </c>
      <c r="Y193" s="6">
        <v>0.45</v>
      </c>
      <c r="Z193" s="4" t="s">
        <v>81</v>
      </c>
      <c r="AA193" t="s">
        <v>47</v>
      </c>
    </row>
    <row r="194" spans="1:27" hidden="1" x14ac:dyDescent="0.35">
      <c r="A194" t="str">
        <f>_xlfn.CONCAT(Tableau1[[#This Row],[Athletes]],"_",Tableau1[[#This Row],[Nationality]],"_",Tableau1[[#This Row],[Competition_year]])</f>
        <v>Mary MORAA_KEN_2024</v>
      </c>
      <c r="B194" t="s">
        <v>228</v>
      </c>
      <c r="C194" t="s">
        <v>29</v>
      </c>
      <c r="D194" s="18" t="s">
        <v>15</v>
      </c>
      <c r="E194">
        <v>13.8</v>
      </c>
      <c r="F194">
        <v>13.2</v>
      </c>
      <c r="G194">
        <v>14.4</v>
      </c>
      <c r="H194">
        <v>14.8</v>
      </c>
      <c r="I194">
        <v>15.4</v>
      </c>
      <c r="J194">
        <v>15.4</v>
      </c>
      <c r="K194">
        <v>15.1</v>
      </c>
      <c r="L194">
        <f>Tableau1[[#This Row],[Final_time]]-SUM(Tableau1[[#This Row],[0_100m]:[600_700m]])</f>
        <v>14.609999999999985</v>
      </c>
      <c r="M194">
        <v>116.71</v>
      </c>
      <c r="N194">
        <f>SUM(Tableau1[[#This Row],[0_100m]:[700_800m]])</f>
        <v>116.71</v>
      </c>
      <c r="O194">
        <f>ABS(Tableau1[[#This Row],[Final_time]]-Tableau1[[#This Row],[Sum_time]])</f>
        <v>0</v>
      </c>
      <c r="P194" s="8"/>
      <c r="Q194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4" t="s">
        <v>46</v>
      </c>
      <c r="S194" s="1" t="s">
        <v>68</v>
      </c>
      <c r="U194" s="1" t="s">
        <v>69</v>
      </c>
      <c r="V194" s="1">
        <v>45437</v>
      </c>
      <c r="W194" s="4">
        <f>YEAR(Tableau1[[#This Row],[Competition_date]])</f>
        <v>2024</v>
      </c>
      <c r="X194" s="4">
        <v>17</v>
      </c>
      <c r="Y194" s="6">
        <v>0.45</v>
      </c>
      <c r="Z194" s="4" t="s">
        <v>81</v>
      </c>
      <c r="AA194" t="s">
        <v>47</v>
      </c>
    </row>
    <row r="195" spans="1:27" hidden="1" x14ac:dyDescent="0.35">
      <c r="A195" t="str">
        <f>_xlfn.CONCAT(Tableau1[[#This Row],[Athletes]],"_",Tableau1[[#This Row],[Nationality]],"_",Tableau1[[#This Row],[Competition_year]])</f>
        <v>Jemma REEKIE_GBR_2024</v>
      </c>
      <c r="B195" t="s">
        <v>220</v>
      </c>
      <c r="C195" t="s">
        <v>29</v>
      </c>
      <c r="D195" s="18" t="s">
        <v>30</v>
      </c>
      <c r="E195">
        <v>13.9</v>
      </c>
      <c r="F195">
        <v>13.7</v>
      </c>
      <c r="G195">
        <v>14.7</v>
      </c>
      <c r="H195">
        <v>15.3</v>
      </c>
      <c r="I195">
        <v>15.2</v>
      </c>
      <c r="J195">
        <v>14.9</v>
      </c>
      <c r="K195">
        <v>14.9</v>
      </c>
      <c r="L195">
        <f>Tableau1[[#This Row],[Final_time]]-SUM(Tableau1[[#This Row],[0_100m]:[600_700m]])</f>
        <v>14.849999999999994</v>
      </c>
      <c r="M195">
        <v>117.45</v>
      </c>
      <c r="N195">
        <f>SUM(Tableau1[[#This Row],[0_100m]:[700_800m]])</f>
        <v>117.45</v>
      </c>
      <c r="O195">
        <f>ABS(Tableau1[[#This Row],[Final_time]]-Tableau1[[#This Row],[Sum_time]])</f>
        <v>0</v>
      </c>
      <c r="P195" s="8"/>
      <c r="Q195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5" t="s">
        <v>46</v>
      </c>
      <c r="S195" s="1" t="s">
        <v>68</v>
      </c>
      <c r="U195" s="1" t="s">
        <v>69</v>
      </c>
      <c r="V195" s="1">
        <v>45437</v>
      </c>
      <c r="W195" s="4">
        <f>YEAR(Tableau1[[#This Row],[Competition_date]])</f>
        <v>2024</v>
      </c>
      <c r="X195" s="4">
        <v>17</v>
      </c>
      <c r="Y195" s="6">
        <v>0.45</v>
      </c>
      <c r="Z195" s="4" t="s">
        <v>81</v>
      </c>
      <c r="AA195" t="s">
        <v>47</v>
      </c>
    </row>
    <row r="196" spans="1:27" hidden="1" x14ac:dyDescent="0.35">
      <c r="A196" t="str">
        <f>_xlfn.CONCAT(Tableau1[[#This Row],[Athletes]],"_",Tableau1[[#This Row],[Nationality]],"_",Tableau1[[#This Row],[Competition_year]])</f>
        <v>Nia AKINS_USA_2024</v>
      </c>
      <c r="B196" t="s">
        <v>213</v>
      </c>
      <c r="C196" t="s">
        <v>29</v>
      </c>
      <c r="D196" s="18" t="s">
        <v>35</v>
      </c>
      <c r="E196">
        <v>14</v>
      </c>
      <c r="F196">
        <v>13.7</v>
      </c>
      <c r="G196">
        <v>15</v>
      </c>
      <c r="H196">
        <v>15.2</v>
      </c>
      <c r="I196">
        <v>15.2</v>
      </c>
      <c r="J196">
        <v>14.8</v>
      </c>
      <c r="K196">
        <v>14.9</v>
      </c>
      <c r="L196">
        <f>Tableau1[[#This Row],[Final_time]]-SUM(Tableau1[[#This Row],[0_100m]:[600_700m]])</f>
        <v>15.179999999999993</v>
      </c>
      <c r="M196">
        <v>117.98</v>
      </c>
      <c r="N196">
        <f>SUM(Tableau1[[#This Row],[0_100m]:[700_800m]])</f>
        <v>117.98</v>
      </c>
      <c r="O196">
        <f>ABS(Tableau1[[#This Row],[Final_time]]-Tableau1[[#This Row],[Sum_time]])</f>
        <v>0</v>
      </c>
      <c r="P196" s="8"/>
      <c r="Q196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6" t="s">
        <v>46</v>
      </c>
      <c r="S196" s="1" t="s">
        <v>68</v>
      </c>
      <c r="U196" s="1" t="s">
        <v>69</v>
      </c>
      <c r="V196" s="1">
        <v>45437</v>
      </c>
      <c r="W196" s="4">
        <f>YEAR(Tableau1[[#This Row],[Competition_date]])</f>
        <v>2024</v>
      </c>
      <c r="X196" s="4">
        <v>17</v>
      </c>
      <c r="Y196" s="6">
        <v>0.45</v>
      </c>
      <c r="Z196" s="4" t="s">
        <v>81</v>
      </c>
      <c r="AA196" t="s">
        <v>47</v>
      </c>
    </row>
    <row r="197" spans="1:27" hidden="1" x14ac:dyDescent="0.35">
      <c r="A197" t="str">
        <f>_xlfn.CONCAT(Tableau1[[#This Row],[Athletes]],"_",Tableau1[[#This Row],[Nationality]],"_",Tableau1[[#This Row],[Competition_year]])</f>
        <v>Halimah NAKAAYI_UGA_2024</v>
      </c>
      <c r="B197" t="s">
        <v>230</v>
      </c>
      <c r="C197" t="s">
        <v>29</v>
      </c>
      <c r="D197" s="18" t="s">
        <v>34</v>
      </c>
      <c r="E197">
        <v>13.6</v>
      </c>
      <c r="F197">
        <v>13.6</v>
      </c>
      <c r="G197">
        <v>14.5</v>
      </c>
      <c r="H197">
        <v>14.7</v>
      </c>
      <c r="I197">
        <v>15.3</v>
      </c>
      <c r="J197">
        <v>15.5</v>
      </c>
      <c r="K197">
        <v>15.3</v>
      </c>
      <c r="L197">
        <f>Tableau1[[#This Row],[Final_time]]-SUM(Tableau1[[#This Row],[0_100m]:[600_700m]])</f>
        <v>15.680000000000007</v>
      </c>
      <c r="M197">
        <v>118.18</v>
      </c>
      <c r="N197">
        <f>SUM(Tableau1[[#This Row],[0_100m]:[700_800m]])</f>
        <v>118.18</v>
      </c>
      <c r="O197">
        <f>ABS(Tableau1[[#This Row],[Final_time]]-Tableau1[[#This Row],[Sum_time]])</f>
        <v>0</v>
      </c>
      <c r="P197" s="8"/>
      <c r="Q197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7" t="s">
        <v>46</v>
      </c>
      <c r="S197" s="1" t="s">
        <v>68</v>
      </c>
      <c r="U197" s="1" t="s">
        <v>69</v>
      </c>
      <c r="V197" s="1">
        <v>45437</v>
      </c>
      <c r="W197" s="4">
        <f>YEAR(Tableau1[[#This Row],[Competition_date]])</f>
        <v>2024</v>
      </c>
      <c r="X197" s="4">
        <v>17</v>
      </c>
      <c r="Y197" s="6">
        <v>0.45</v>
      </c>
      <c r="Z197" s="4" t="s">
        <v>81</v>
      </c>
      <c r="AA197" t="s">
        <v>47</v>
      </c>
    </row>
    <row r="198" spans="1:27" hidden="1" x14ac:dyDescent="0.35">
      <c r="A198" t="str">
        <f>_xlfn.CONCAT(Tableau1[[#This Row],[Athletes]],"_",Tableau1[[#This Row],[Nationality]],"_",Tableau1[[#This Row],[Competition_year]])</f>
        <v>Catriona BISSET_AUS_2024</v>
      </c>
      <c r="B198" t="s">
        <v>217</v>
      </c>
      <c r="C198" t="s">
        <v>29</v>
      </c>
      <c r="D198" s="18" t="s">
        <v>36</v>
      </c>
      <c r="E198">
        <v>14.5</v>
      </c>
      <c r="F198">
        <v>14</v>
      </c>
      <c r="G198">
        <v>14.7</v>
      </c>
      <c r="H198">
        <v>15.1</v>
      </c>
      <c r="I198">
        <v>15.4</v>
      </c>
      <c r="J198">
        <v>15</v>
      </c>
      <c r="K198">
        <v>14.9</v>
      </c>
      <c r="L198">
        <f>Tableau1[[#This Row],[Final_time]]-SUM(Tableau1[[#This Row],[0_100m]:[600_700m]])</f>
        <v>14.839999999999989</v>
      </c>
      <c r="M198">
        <v>118.44</v>
      </c>
      <c r="N198">
        <f>SUM(Tableau1[[#This Row],[0_100m]:[700_800m]])</f>
        <v>118.44</v>
      </c>
      <c r="O198">
        <f>ABS(Tableau1[[#This Row],[Final_time]]-Tableau1[[#This Row],[Sum_time]])</f>
        <v>0</v>
      </c>
      <c r="P198" s="8"/>
      <c r="Q198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8" t="s">
        <v>46</v>
      </c>
      <c r="S198" s="1" t="s">
        <v>68</v>
      </c>
      <c r="U198" s="1" t="s">
        <v>69</v>
      </c>
      <c r="V198" s="1">
        <v>45437</v>
      </c>
      <c r="W198" s="4">
        <f>YEAR(Tableau1[[#This Row],[Competition_date]])</f>
        <v>2024</v>
      </c>
      <c r="X198" s="4">
        <v>17</v>
      </c>
      <c r="Y198" s="6">
        <v>0.45</v>
      </c>
      <c r="Z198" s="4" t="s">
        <v>81</v>
      </c>
      <c r="AA198" t="s">
        <v>47</v>
      </c>
    </row>
    <row r="199" spans="1:27" hidden="1" x14ac:dyDescent="0.35">
      <c r="A199" t="str">
        <f>_xlfn.CONCAT(Tableau1[[#This Row],[Athletes]],"_",Tableau1[[#This Row],[Nationality]],"_",Tableau1[[#This Row],[Competition_year]])</f>
        <v>Sage HURTA-KLECKER_USA_2024</v>
      </c>
      <c r="B199" t="s">
        <v>289</v>
      </c>
      <c r="C199" t="s">
        <v>29</v>
      </c>
      <c r="D199" s="18" t="s">
        <v>35</v>
      </c>
      <c r="E199">
        <v>14.2</v>
      </c>
      <c r="F199">
        <v>13.8</v>
      </c>
      <c r="G199">
        <v>14.9</v>
      </c>
      <c r="H199">
        <v>15.2</v>
      </c>
      <c r="I199">
        <v>15.3</v>
      </c>
      <c r="J199">
        <v>14.7</v>
      </c>
      <c r="K199">
        <v>14.9</v>
      </c>
      <c r="L199">
        <f>Tableau1[[#This Row],[Final_time]]-SUM(Tableau1[[#This Row],[0_100m]:[600_700m]])</f>
        <v>15.480000000000004</v>
      </c>
      <c r="M199">
        <v>118.48</v>
      </c>
      <c r="N199">
        <f>SUM(Tableau1[[#This Row],[0_100m]:[700_800m]])</f>
        <v>118.48</v>
      </c>
      <c r="O199">
        <f>ABS(Tableau1[[#This Row],[Final_time]]-Tableau1[[#This Row],[Sum_time]])</f>
        <v>0</v>
      </c>
      <c r="P199" s="8"/>
      <c r="Q199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199" t="s">
        <v>46</v>
      </c>
      <c r="S199" s="1" t="s">
        <v>68</v>
      </c>
      <c r="U199" s="1" t="s">
        <v>69</v>
      </c>
      <c r="V199" s="1">
        <v>45437</v>
      </c>
      <c r="W199" s="4">
        <f>YEAR(Tableau1[[#This Row],[Competition_date]])</f>
        <v>2024</v>
      </c>
      <c r="X199" s="4">
        <v>17</v>
      </c>
      <c r="Y199" s="6">
        <v>0.45</v>
      </c>
      <c r="Z199" s="4" t="s">
        <v>81</v>
      </c>
      <c r="AA199" t="s">
        <v>47</v>
      </c>
    </row>
    <row r="200" spans="1:27" hidden="1" x14ac:dyDescent="0.35">
      <c r="A200" t="str">
        <f>_xlfn.CONCAT(Tableau1[[#This Row],[Athletes]],"_",Tableau1[[#This Row],[Nationality]],"_",Tableau1[[#This Row],[Competition_year]])</f>
        <v>Tsige DUGUMA_ETH_2024</v>
      </c>
      <c r="B200" t="s">
        <v>1283</v>
      </c>
      <c r="C200" t="s">
        <v>29</v>
      </c>
      <c r="D200" s="18" t="s">
        <v>49</v>
      </c>
      <c r="E200">
        <v>13.8</v>
      </c>
      <c r="F200">
        <v>13.5</v>
      </c>
      <c r="G200">
        <v>14.5</v>
      </c>
      <c r="H200">
        <v>14.7</v>
      </c>
      <c r="I200">
        <v>15.4</v>
      </c>
      <c r="J200">
        <v>15.3</v>
      </c>
      <c r="K200">
        <v>15.3</v>
      </c>
      <c r="L200">
        <f>Tableau1[[#This Row],[Final_time]]-SUM(Tableau1[[#This Row],[0_100m]:[600_700m]])</f>
        <v>16.200000000000003</v>
      </c>
      <c r="M200">
        <v>118.7</v>
      </c>
      <c r="N200">
        <f>SUM(Tableau1[[#This Row],[0_100m]:[700_800m]])</f>
        <v>118.7</v>
      </c>
      <c r="O200">
        <f>ABS(Tableau1[[#This Row],[Final_time]]-Tableau1[[#This Row],[Sum_time]])</f>
        <v>0</v>
      </c>
      <c r="P200" s="8"/>
      <c r="Q200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200" t="s">
        <v>46</v>
      </c>
      <c r="S200" s="1" t="s">
        <v>68</v>
      </c>
      <c r="U200" s="1" t="s">
        <v>69</v>
      </c>
      <c r="V200" s="1">
        <v>45437</v>
      </c>
      <c r="W200" s="4">
        <f>YEAR(Tableau1[[#This Row],[Competition_date]])</f>
        <v>2024</v>
      </c>
      <c r="X200" s="4">
        <v>17</v>
      </c>
      <c r="Y200" s="6">
        <v>0.45</v>
      </c>
      <c r="Z200" s="4" t="s">
        <v>81</v>
      </c>
      <c r="AA200" t="s">
        <v>47</v>
      </c>
    </row>
    <row r="201" spans="1:27" hidden="1" x14ac:dyDescent="0.35">
      <c r="A201" t="str">
        <f>_xlfn.CONCAT(Tableau1[[#This Row],[Athletes]],"_",Tableau1[[#This Row],[Nationality]],"_",Tableau1[[#This Row],[Competition_year]])</f>
        <v>Natoya GOULE-TOPPIN_JAM_2024</v>
      </c>
      <c r="B201" t="s">
        <v>222</v>
      </c>
      <c r="C201" t="s">
        <v>29</v>
      </c>
      <c r="D201" s="18" t="s">
        <v>33</v>
      </c>
      <c r="E201">
        <v>13.7</v>
      </c>
      <c r="F201">
        <v>13.9</v>
      </c>
      <c r="G201">
        <v>15</v>
      </c>
      <c r="H201">
        <v>15.2</v>
      </c>
      <c r="I201">
        <v>15.1</v>
      </c>
      <c r="J201">
        <v>15.2</v>
      </c>
      <c r="K201">
        <v>15.4</v>
      </c>
      <c r="L201">
        <f>Tableau1[[#This Row],[Final_time]]-SUM(Tableau1[[#This Row],[0_100m]:[600_700m]])</f>
        <v>16.420000000000002</v>
      </c>
      <c r="M201">
        <v>119.92</v>
      </c>
      <c r="N201">
        <f>SUM(Tableau1[[#This Row],[0_100m]:[700_800m]])</f>
        <v>119.92</v>
      </c>
      <c r="O201">
        <f>ABS(Tableau1[[#This Row],[Final_time]]-Tableau1[[#This Row],[Sum_time]])</f>
        <v>0</v>
      </c>
      <c r="P201" s="8"/>
      <c r="Q201" s="16" t="str">
        <f>_xlfn.CONCAT(Tableau1[[#This Row],[Competition]],"_",Tableau1[[#This Row],[Championship_step]],"_",Tableau1[[#This Row],[Competition_date]],"_",Tableau1[[#This Row],[Gender]])</f>
        <v>Diamond League Eugene 2024__45437_Female</v>
      </c>
      <c r="R201" t="s">
        <v>46</v>
      </c>
      <c r="S201" s="1" t="s">
        <v>68</v>
      </c>
      <c r="U201" s="1" t="s">
        <v>69</v>
      </c>
      <c r="V201" s="1">
        <v>45437</v>
      </c>
      <c r="W201" s="4">
        <f>YEAR(Tableau1[[#This Row],[Competition_date]])</f>
        <v>2024</v>
      </c>
      <c r="X201" s="4">
        <v>17</v>
      </c>
      <c r="Y201" s="6">
        <v>0.45</v>
      </c>
      <c r="Z201" s="4" t="s">
        <v>81</v>
      </c>
      <c r="AA201" t="s">
        <v>47</v>
      </c>
    </row>
    <row r="202" spans="1:27" hidden="1" x14ac:dyDescent="0.35">
      <c r="A202" t="str">
        <f>_xlfn.CONCAT(Tableau1[[#This Row],[Athletes]],"_",Tableau1[[#This Row],[Nationality]],"_",Tableau1[[#This Row],[Competition_year]])</f>
        <v>Tsige DUGUMA_ETH_2025</v>
      </c>
      <c r="B202" t="s">
        <v>1283</v>
      </c>
      <c r="C202" t="s">
        <v>29</v>
      </c>
      <c r="D202" s="18" t="s">
        <v>49</v>
      </c>
      <c r="E202">
        <v>13.8</v>
      </c>
      <c r="F202">
        <v>13.6</v>
      </c>
      <c r="G202">
        <v>15.4</v>
      </c>
      <c r="H202">
        <v>15.5</v>
      </c>
      <c r="I202">
        <v>14.7</v>
      </c>
      <c r="J202">
        <v>14.8</v>
      </c>
      <c r="K202">
        <v>14.7</v>
      </c>
      <c r="L202">
        <f>Tableau1[[#This Row],[Final_time]]-SUM(Tableau1[[#This Row],[0_100m]:[600_700m]])</f>
        <v>14.599999999999994</v>
      </c>
      <c r="M202">
        <v>117.1</v>
      </c>
      <c r="N202">
        <f>SUM(Tableau1[[#This Row],[0_100m]:[700_800m]])</f>
        <v>117.1</v>
      </c>
      <c r="O202">
        <f>ABS(Tableau1[[#This Row],[Final_time]]-Tableau1[[#This Row],[Sum_time]])</f>
        <v>0</v>
      </c>
      <c r="P202" s="8"/>
      <c r="Q202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2" t="s">
        <v>1377</v>
      </c>
      <c r="S202" s="1" t="s">
        <v>68</v>
      </c>
      <c r="U202" s="1" t="s">
        <v>69</v>
      </c>
      <c r="V202" s="1">
        <v>45843</v>
      </c>
      <c r="W202" s="4">
        <f>YEAR(Tableau1[[#This Row],[Competition_date]])</f>
        <v>2025</v>
      </c>
      <c r="X202" s="4">
        <v>24</v>
      </c>
      <c r="Y202" s="6">
        <v>0.4</v>
      </c>
      <c r="Z202" s="4" t="s">
        <v>79</v>
      </c>
    </row>
    <row r="203" spans="1:27" hidden="1" x14ac:dyDescent="0.35">
      <c r="A203" t="str">
        <f>_xlfn.CONCAT(Tableau1[[#This Row],[Athletes]],"_",Tableau1[[#This Row],[Nationality]],"_",Tableau1[[#This Row],[Competition_year]])</f>
        <v>Prudence SEKGODISO_RSA_2025</v>
      </c>
      <c r="B203" t="s">
        <v>235</v>
      </c>
      <c r="C203" t="s">
        <v>29</v>
      </c>
      <c r="D203" s="18" t="s">
        <v>96</v>
      </c>
      <c r="E203">
        <v>13.4</v>
      </c>
      <c r="F203">
        <v>14.2</v>
      </c>
      <c r="G203">
        <v>15.4</v>
      </c>
      <c r="H203">
        <v>15.4</v>
      </c>
      <c r="I203">
        <v>14.7</v>
      </c>
      <c r="J203">
        <v>14.8</v>
      </c>
      <c r="K203">
        <v>14.6</v>
      </c>
      <c r="L203">
        <f>Tableau1[[#This Row],[Final_time]]-SUM(Tableau1[[#This Row],[0_100m]:[600_700m]])</f>
        <v>14.660000000000011</v>
      </c>
      <c r="M203">
        <v>117.16</v>
      </c>
      <c r="N203">
        <f>SUM(Tableau1[[#This Row],[0_100m]:[700_800m]])</f>
        <v>117.16</v>
      </c>
      <c r="O203">
        <f>ABS(Tableau1[[#This Row],[Final_time]]-Tableau1[[#This Row],[Sum_time]])</f>
        <v>0</v>
      </c>
      <c r="P203" s="8"/>
      <c r="Q203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3" t="s">
        <v>1377</v>
      </c>
      <c r="S203" s="1" t="s">
        <v>68</v>
      </c>
      <c r="U203" s="1" t="s">
        <v>69</v>
      </c>
      <c r="V203" s="1">
        <v>45843</v>
      </c>
      <c r="W203" s="4">
        <f>YEAR(Tableau1[[#This Row],[Competition_date]])</f>
        <v>2025</v>
      </c>
      <c r="X203" s="4">
        <v>24</v>
      </c>
      <c r="Y203" s="6">
        <v>0.4</v>
      </c>
      <c r="Z203" s="4" t="s">
        <v>79</v>
      </c>
    </row>
    <row r="204" spans="1:27" hidden="1" x14ac:dyDescent="0.35">
      <c r="A204" t="str">
        <f>_xlfn.CONCAT(Tableau1[[#This Row],[Athletes]],"_",Tableau1[[#This Row],[Nationality]],"_",Tableau1[[#This Row],[Competition_year]])</f>
        <v>Halimah NAKAAYI_UGA_2025</v>
      </c>
      <c r="B204" t="s">
        <v>230</v>
      </c>
      <c r="C204" t="s">
        <v>29</v>
      </c>
      <c r="D204" s="18" t="s">
        <v>34</v>
      </c>
      <c r="E204">
        <v>13.6</v>
      </c>
      <c r="F204">
        <v>14.2</v>
      </c>
      <c r="G204">
        <v>15.5</v>
      </c>
      <c r="H204">
        <v>15.4</v>
      </c>
      <c r="I204">
        <v>14.7</v>
      </c>
      <c r="J204">
        <v>14.8</v>
      </c>
      <c r="K204">
        <v>14.9</v>
      </c>
      <c r="L204">
        <f>Tableau1[[#This Row],[Final_time]]-SUM(Tableau1[[#This Row],[0_100m]:[600_700m]])</f>
        <v>14.790000000000006</v>
      </c>
      <c r="M204">
        <v>117.89</v>
      </c>
      <c r="N204">
        <f>SUM(Tableau1[[#This Row],[0_100m]:[700_800m]])</f>
        <v>117.89</v>
      </c>
      <c r="O204">
        <f>ABS(Tableau1[[#This Row],[Final_time]]-Tableau1[[#This Row],[Sum_time]])</f>
        <v>0</v>
      </c>
      <c r="P204" s="8"/>
      <c r="Q204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4" t="s">
        <v>1377</v>
      </c>
      <c r="S204" s="1" t="s">
        <v>68</v>
      </c>
      <c r="U204" s="1" t="s">
        <v>69</v>
      </c>
      <c r="V204" s="1">
        <v>45843</v>
      </c>
      <c r="W204" s="4">
        <f>YEAR(Tableau1[[#This Row],[Competition_date]])</f>
        <v>2025</v>
      </c>
      <c r="X204" s="4">
        <v>24</v>
      </c>
      <c r="Y204" s="6">
        <v>0.4</v>
      </c>
      <c r="Z204" s="4" t="s">
        <v>79</v>
      </c>
    </row>
    <row r="205" spans="1:27" hidden="1" x14ac:dyDescent="0.35">
      <c r="A205" t="str">
        <f>_xlfn.CONCAT(Tableau1[[#This Row],[Athletes]],"_",Tableau1[[#This Row],[Nationality]],"_",Tableau1[[#This Row],[Competition_year]])</f>
        <v>Anaïs BOURGOIN_FRA_2025</v>
      </c>
      <c r="B205" t="s">
        <v>1375</v>
      </c>
      <c r="C205" t="s">
        <v>29</v>
      </c>
      <c r="D205" s="18" t="s">
        <v>17</v>
      </c>
      <c r="E205">
        <v>14.3</v>
      </c>
      <c r="F205">
        <v>13.4</v>
      </c>
      <c r="G205">
        <v>15.6</v>
      </c>
      <c r="H205">
        <v>15.5</v>
      </c>
      <c r="I205">
        <v>14.9</v>
      </c>
      <c r="J205">
        <v>14.7</v>
      </c>
      <c r="K205">
        <v>14.9</v>
      </c>
      <c r="L205">
        <f>Tableau1[[#This Row],[Final_time]]-SUM(Tableau1[[#This Row],[0_100m]:[600_700m]])</f>
        <v>15.109999999999985</v>
      </c>
      <c r="M205">
        <v>118.41</v>
      </c>
      <c r="N205">
        <f>SUM(Tableau1[[#This Row],[0_100m]:[700_800m]])</f>
        <v>118.41</v>
      </c>
      <c r="O205">
        <f>ABS(Tableau1[[#This Row],[Final_time]]-Tableau1[[#This Row],[Sum_time]])</f>
        <v>0</v>
      </c>
      <c r="P205" s="8"/>
      <c r="Q205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5" t="s">
        <v>1377</v>
      </c>
      <c r="S205" s="1" t="s">
        <v>68</v>
      </c>
      <c r="U205" s="1" t="s">
        <v>69</v>
      </c>
      <c r="V205" s="1">
        <v>45843</v>
      </c>
      <c r="W205" s="4">
        <f>YEAR(Tableau1[[#This Row],[Competition_date]])</f>
        <v>2025</v>
      </c>
      <c r="X205" s="4">
        <v>24</v>
      </c>
      <c r="Y205" s="6">
        <v>0.4</v>
      </c>
      <c r="Z205" s="4" t="s">
        <v>79</v>
      </c>
    </row>
    <row r="206" spans="1:27" hidden="1" x14ac:dyDescent="0.35">
      <c r="A206" t="str">
        <f>_xlfn.CONCAT(Tableau1[[#This Row],[Athletes]],"_",Tableau1[[#This Row],[Nationality]],"_",Tableau1[[#This Row],[Competition_year]])</f>
        <v>Raevyn ROGERS_USA_2025</v>
      </c>
      <c r="B206" t="s">
        <v>221</v>
      </c>
      <c r="C206" t="s">
        <v>29</v>
      </c>
      <c r="D206" s="18" t="s">
        <v>35</v>
      </c>
      <c r="E206">
        <v>13.8</v>
      </c>
      <c r="F206">
        <v>13.8</v>
      </c>
      <c r="G206">
        <v>15.5</v>
      </c>
      <c r="H206">
        <v>15.6</v>
      </c>
      <c r="I206">
        <v>14.8</v>
      </c>
      <c r="J206">
        <v>14.7</v>
      </c>
      <c r="K206">
        <v>15.2</v>
      </c>
      <c r="L206">
        <f>Tableau1[[#This Row],[Final_time]]-SUM(Tableau1[[#This Row],[0_100m]:[600_700m]])</f>
        <v>15.089999999999989</v>
      </c>
      <c r="M206">
        <v>118.49</v>
      </c>
      <c r="N206">
        <f>SUM(Tableau1[[#This Row],[0_100m]:[700_800m]])</f>
        <v>118.49</v>
      </c>
      <c r="O206">
        <f>ABS(Tableau1[[#This Row],[Final_time]]-Tableau1[[#This Row],[Sum_time]])</f>
        <v>0</v>
      </c>
      <c r="P206" s="8"/>
      <c r="Q206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6" t="s">
        <v>1377</v>
      </c>
      <c r="S206" s="1" t="s">
        <v>68</v>
      </c>
      <c r="U206" s="1" t="s">
        <v>69</v>
      </c>
      <c r="V206" s="1">
        <v>45843</v>
      </c>
      <c r="W206" s="4">
        <f>YEAR(Tableau1[[#This Row],[Competition_date]])</f>
        <v>2025</v>
      </c>
      <c r="X206" s="4">
        <v>24</v>
      </c>
      <c r="Y206" s="6">
        <v>0.4</v>
      </c>
      <c r="Z206" s="4" t="s">
        <v>79</v>
      </c>
    </row>
    <row r="207" spans="1:27" hidden="1" x14ac:dyDescent="0.35">
      <c r="A207" t="str">
        <f>_xlfn.CONCAT(Tableau1[[#This Row],[Athletes]],"_",Tableau1[[#This Row],[Nationality]],"_",Tableau1[[#This Row],[Competition_year]])</f>
        <v>Shafiqua MALONEY_VIN_2025</v>
      </c>
      <c r="B207" t="s">
        <v>270</v>
      </c>
      <c r="C207" t="s">
        <v>29</v>
      </c>
      <c r="D207" s="18" t="s">
        <v>72</v>
      </c>
      <c r="E207">
        <v>13.6</v>
      </c>
      <c r="F207">
        <v>14.2</v>
      </c>
      <c r="G207">
        <v>15.3</v>
      </c>
      <c r="H207">
        <v>15.4</v>
      </c>
      <c r="I207">
        <v>14.8</v>
      </c>
      <c r="J207">
        <v>15</v>
      </c>
      <c r="K207">
        <v>15.3</v>
      </c>
      <c r="L207">
        <f>Tableau1[[#This Row],[Final_time]]-SUM(Tableau1[[#This Row],[0_100m]:[600_700m]])</f>
        <v>14.89</v>
      </c>
      <c r="M207">
        <v>118.49</v>
      </c>
      <c r="N207">
        <f>SUM(Tableau1[[#This Row],[0_100m]:[700_800m]])</f>
        <v>118.49</v>
      </c>
      <c r="O207">
        <f>ABS(Tableau1[[#This Row],[Final_time]]-Tableau1[[#This Row],[Sum_time]])</f>
        <v>0</v>
      </c>
      <c r="P207" s="8"/>
      <c r="Q207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7" t="s">
        <v>1377</v>
      </c>
      <c r="S207" s="1" t="s">
        <v>68</v>
      </c>
      <c r="U207" s="1" t="s">
        <v>69</v>
      </c>
      <c r="V207" s="1">
        <v>45843</v>
      </c>
      <c r="W207" s="4">
        <f>YEAR(Tableau1[[#This Row],[Competition_date]])</f>
        <v>2025</v>
      </c>
      <c r="X207" s="4">
        <v>24</v>
      </c>
      <c r="Y207" s="6">
        <v>0.4</v>
      </c>
      <c r="Z207" s="4" t="s">
        <v>79</v>
      </c>
    </row>
    <row r="208" spans="1:27" hidden="1" x14ac:dyDescent="0.35">
      <c r="A208" t="str">
        <f>_xlfn.CONCAT(Tableau1[[#This Row],[Athletes]],"_",Tableau1[[#This Row],[Nationality]],"_",Tableau1[[#This Row],[Competition_year]])</f>
        <v>Jemma REEKIE_GBR_2025</v>
      </c>
      <c r="B208" t="s">
        <v>220</v>
      </c>
      <c r="C208" t="s">
        <v>29</v>
      </c>
      <c r="D208" s="18" t="s">
        <v>30</v>
      </c>
      <c r="E208">
        <v>14.4</v>
      </c>
      <c r="F208">
        <v>12.9</v>
      </c>
      <c r="G208">
        <v>14.8</v>
      </c>
      <c r="H208">
        <v>15.7</v>
      </c>
      <c r="I208">
        <v>14.9</v>
      </c>
      <c r="J208">
        <v>15.4</v>
      </c>
      <c r="K208">
        <v>14.8</v>
      </c>
      <c r="L208">
        <f>Tableau1[[#This Row],[Final_time]]-SUM(Tableau1[[#This Row],[0_100m]:[600_700m]])</f>
        <v>15.759999999999991</v>
      </c>
      <c r="M208">
        <v>118.66</v>
      </c>
      <c r="N208">
        <f>SUM(Tableau1[[#This Row],[0_100m]:[700_800m]])</f>
        <v>118.66</v>
      </c>
      <c r="O208">
        <f>ABS(Tableau1[[#This Row],[Final_time]]-Tableau1[[#This Row],[Sum_time]])</f>
        <v>0</v>
      </c>
      <c r="P208" s="8"/>
      <c r="Q208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8" t="s">
        <v>1377</v>
      </c>
      <c r="S208" s="1" t="s">
        <v>68</v>
      </c>
      <c r="U208" s="1" t="s">
        <v>69</v>
      </c>
      <c r="V208" s="1">
        <v>45843</v>
      </c>
      <c r="W208" s="4">
        <f>YEAR(Tableau1[[#This Row],[Competition_date]])</f>
        <v>2025</v>
      </c>
      <c r="X208" s="4">
        <v>24</v>
      </c>
      <c r="Y208" s="6">
        <v>0.4</v>
      </c>
      <c r="Z208" s="4" t="s">
        <v>79</v>
      </c>
    </row>
    <row r="209" spans="1:27" hidden="1" x14ac:dyDescent="0.35">
      <c r="A209" t="str">
        <f>_xlfn.CONCAT(Tableau1[[#This Row],[Athletes]],"_",Tableau1[[#This Row],[Nationality]],"_",Tableau1[[#This Row],[Competition_year]])</f>
        <v>Worknesh MESELE_ETH_2025</v>
      </c>
      <c r="B209" t="s">
        <v>215</v>
      </c>
      <c r="C209" t="s">
        <v>29</v>
      </c>
      <c r="D209" s="18" t="s">
        <v>49</v>
      </c>
      <c r="E209">
        <v>13.8</v>
      </c>
      <c r="F209">
        <v>14.2</v>
      </c>
      <c r="G209">
        <v>15.5</v>
      </c>
      <c r="H209">
        <v>15.6</v>
      </c>
      <c r="I209">
        <v>14.8</v>
      </c>
      <c r="J209">
        <v>14.9</v>
      </c>
      <c r="K209">
        <v>15.3</v>
      </c>
      <c r="L209">
        <f>Tableau1[[#This Row],[Final_time]]-SUM(Tableau1[[#This Row],[0_100m]:[600_700m]])</f>
        <v>15.61999999999999</v>
      </c>
      <c r="M209">
        <v>119.72</v>
      </c>
      <c r="N209">
        <f>SUM(Tableau1[[#This Row],[0_100m]:[700_800m]])</f>
        <v>119.72</v>
      </c>
      <c r="O209">
        <f>ABS(Tableau1[[#This Row],[Final_time]]-Tableau1[[#This Row],[Sum_time]])</f>
        <v>0</v>
      </c>
      <c r="P209" s="8"/>
      <c r="Q209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09" t="s">
        <v>1377</v>
      </c>
      <c r="S209" s="1" t="s">
        <v>68</v>
      </c>
      <c r="U209" s="1" t="s">
        <v>69</v>
      </c>
      <c r="V209" s="1">
        <v>45843</v>
      </c>
      <c r="W209" s="4">
        <f>YEAR(Tableau1[[#This Row],[Competition_date]])</f>
        <v>2025</v>
      </c>
      <c r="X209" s="4">
        <v>24</v>
      </c>
      <c r="Y209" s="6">
        <v>0.4</v>
      </c>
      <c r="Z209" s="4" t="s">
        <v>79</v>
      </c>
    </row>
    <row r="210" spans="1:27" hidden="1" x14ac:dyDescent="0.35">
      <c r="A210" t="str">
        <f>_xlfn.CONCAT(Tableau1[[#This Row],[Athletes]],"_",Tableau1[[#This Row],[Nationality]],"_",Tableau1[[#This Row],[Competition_year]])</f>
        <v>Mary MORAA_KEN_2025</v>
      </c>
      <c r="B210" t="s">
        <v>228</v>
      </c>
      <c r="C210" t="s">
        <v>29</v>
      </c>
      <c r="D210" s="18" t="s">
        <v>15</v>
      </c>
      <c r="E210">
        <v>14</v>
      </c>
      <c r="F210">
        <v>14</v>
      </c>
      <c r="G210">
        <v>15.4</v>
      </c>
      <c r="H210">
        <v>15.4</v>
      </c>
      <c r="I210">
        <v>14.8</v>
      </c>
      <c r="J210">
        <v>14.5</v>
      </c>
      <c r="K210">
        <v>15.2</v>
      </c>
      <c r="L210">
        <f>Tableau1[[#This Row],[Final_time]]-SUM(Tableau1[[#This Row],[0_100m]:[600_700m]])</f>
        <v>17.210000000000008</v>
      </c>
      <c r="M210">
        <v>120.51</v>
      </c>
      <c r="N210">
        <f>SUM(Tableau1[[#This Row],[0_100m]:[700_800m]])</f>
        <v>120.51</v>
      </c>
      <c r="O210">
        <f>ABS(Tableau1[[#This Row],[Final_time]]-Tableau1[[#This Row],[Sum_time]])</f>
        <v>0</v>
      </c>
      <c r="P210" s="8"/>
      <c r="Q210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10" t="s">
        <v>1377</v>
      </c>
      <c r="S210" s="1" t="s">
        <v>68</v>
      </c>
      <c r="U210" s="1" t="s">
        <v>69</v>
      </c>
      <c r="V210" s="1">
        <v>45843</v>
      </c>
      <c r="W210" s="4">
        <f>YEAR(Tableau1[[#This Row],[Competition_date]])</f>
        <v>2025</v>
      </c>
      <c r="X210" s="4">
        <v>24</v>
      </c>
      <c r="Y210" s="6">
        <v>0.4</v>
      </c>
      <c r="Z210" s="4" t="s">
        <v>79</v>
      </c>
    </row>
    <row r="211" spans="1:27" hidden="1" x14ac:dyDescent="0.35">
      <c r="A211" t="str">
        <f>_xlfn.CONCAT(Tableau1[[#This Row],[Athletes]],"_",Tableau1[[#This Row],[Nationality]],"_",Tableau1[[#This Row],[Competition_year]])</f>
        <v>Athing MU-NIKOLAYEV_USA_2025</v>
      </c>
      <c r="B211" t="s">
        <v>1376</v>
      </c>
      <c r="C211" t="s">
        <v>29</v>
      </c>
      <c r="D211" s="18" t="s">
        <v>35</v>
      </c>
      <c r="E211">
        <v>13.8</v>
      </c>
      <c r="F211">
        <v>14.3</v>
      </c>
      <c r="G211">
        <v>15.4</v>
      </c>
      <c r="H211">
        <v>15.2</v>
      </c>
      <c r="I211">
        <v>14.8</v>
      </c>
      <c r="J211">
        <v>15.1</v>
      </c>
      <c r="K211">
        <v>16.3</v>
      </c>
      <c r="L211">
        <f>Tableau1[[#This Row],[Final_time]]-SUM(Tableau1[[#This Row],[0_100m]:[600_700m]])</f>
        <v>18.540000000000006</v>
      </c>
      <c r="M211">
        <v>123.44</v>
      </c>
      <c r="N211">
        <f>SUM(Tableau1[[#This Row],[0_100m]:[700_800m]])</f>
        <v>123.44</v>
      </c>
      <c r="O211">
        <f>ABS(Tableau1[[#This Row],[Final_time]]-Tableau1[[#This Row],[Sum_time]])</f>
        <v>0</v>
      </c>
      <c r="P211" s="8"/>
      <c r="Q211" s="1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R211" t="s">
        <v>1377</v>
      </c>
      <c r="S211" s="1" t="s">
        <v>68</v>
      </c>
      <c r="U211" s="1" t="s">
        <v>69</v>
      </c>
      <c r="V211" s="1">
        <v>45843</v>
      </c>
      <c r="W211" s="4">
        <f>YEAR(Tableau1[[#This Row],[Competition_date]])</f>
        <v>2025</v>
      </c>
      <c r="X211" s="4">
        <v>24</v>
      </c>
      <c r="Y211" s="6">
        <v>0.4</v>
      </c>
      <c r="Z211" s="4" t="s">
        <v>79</v>
      </c>
    </row>
    <row r="212" spans="1:27" hidden="1" x14ac:dyDescent="0.35">
      <c r="A212" t="str">
        <f>_xlfn.CONCAT(Tableau1[[#This Row],[Athletes]],"_",Tableau1[[#This Row],[Nationality]],"_",Tableau1[[#This Row],[Competition_year]])</f>
        <v>Thomas RANDOLPH_GBR_2021</v>
      </c>
      <c r="B212" s="9" t="s">
        <v>292</v>
      </c>
      <c r="C212" s="9" t="s">
        <v>14</v>
      </c>
      <c r="D212" s="12" t="s">
        <v>30</v>
      </c>
      <c r="E212" s="13">
        <v>13.4</v>
      </c>
      <c r="F212" s="9">
        <v>13.8</v>
      </c>
      <c r="G212" s="9">
        <v>13.2</v>
      </c>
      <c r="H212" s="9">
        <v>13.4</v>
      </c>
      <c r="I212" s="9">
        <v>13.4</v>
      </c>
      <c r="J212">
        <v>13.9</v>
      </c>
      <c r="K212">
        <v>13.6</v>
      </c>
      <c r="L212">
        <f>Tableau1[[#This Row],[Final_time]]-SUM(Tableau1[[#This Row],[0_100m]:[600_700m]])</f>
        <v>12.819999999999993</v>
      </c>
      <c r="M212">
        <v>107.52</v>
      </c>
      <c r="N212">
        <f>SUM(Tableau1[[#This Row],[0_100m]:[700_800m]])</f>
        <v>107.52</v>
      </c>
      <c r="O212">
        <f>ABS(Tableau1[[#This Row],[Final_time]]-Tableau1[[#This Row],[Sum_time]])</f>
        <v>0</v>
      </c>
      <c r="P212" s="8"/>
      <c r="Q212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2" t="s">
        <v>478</v>
      </c>
      <c r="S212" s="1" t="s">
        <v>68</v>
      </c>
      <c r="U212" s="1" t="s">
        <v>288</v>
      </c>
      <c r="V212" s="1">
        <v>44434</v>
      </c>
      <c r="W212" s="4">
        <f>YEAR(Tableau1[[#This Row],[Competition_date]])</f>
        <v>2021</v>
      </c>
      <c r="X212" s="4">
        <v>23</v>
      </c>
      <c r="Y212" s="6">
        <v>0.48</v>
      </c>
      <c r="Z212" s="4" t="s">
        <v>79</v>
      </c>
      <c r="AA212" t="s">
        <v>176</v>
      </c>
    </row>
    <row r="213" spans="1:27" hidden="1" x14ac:dyDescent="0.35">
      <c r="A213" t="str">
        <f>_xlfn.CONCAT(Tableau1[[#This Row],[Athletes]],"_",Tableau1[[#This Row],[Nationality]],"_",Tableau1[[#This Row],[Competition_year]])</f>
        <v>Ruben VERHEYDEN_BEL_2021</v>
      </c>
      <c r="B213" s="9" t="s">
        <v>465</v>
      </c>
      <c r="C213" s="9" t="s">
        <v>14</v>
      </c>
      <c r="D213" s="12" t="s">
        <v>18</v>
      </c>
      <c r="E213" s="13">
        <v>13.6</v>
      </c>
      <c r="F213" s="9">
        <v>13.6</v>
      </c>
      <c r="G213" s="9">
        <v>13.5</v>
      </c>
      <c r="H213" s="9">
        <v>13.5</v>
      </c>
      <c r="I213" s="9">
        <v>13.5</v>
      </c>
      <c r="J213">
        <v>13.8</v>
      </c>
      <c r="K213">
        <v>13.4</v>
      </c>
      <c r="L213">
        <f>Tableau1[[#This Row],[Final_time]]-SUM(Tableau1[[#This Row],[0_100m]:[600_700m]])</f>
        <v>13.319999999999993</v>
      </c>
      <c r="M213">
        <v>108.22</v>
      </c>
      <c r="N213">
        <f>SUM(Tableau1[[#This Row],[0_100m]:[700_800m]])</f>
        <v>108.22</v>
      </c>
      <c r="O213">
        <f>ABS(Tableau1[[#This Row],[Final_time]]-Tableau1[[#This Row],[Sum_time]])</f>
        <v>0</v>
      </c>
      <c r="P213" s="8"/>
      <c r="Q213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3" t="s">
        <v>478</v>
      </c>
      <c r="S213" s="1" t="s">
        <v>68</v>
      </c>
      <c r="U213" s="1" t="s">
        <v>288</v>
      </c>
      <c r="V213" s="1">
        <v>44434</v>
      </c>
      <c r="W213" s="4">
        <f>YEAR(Tableau1[[#This Row],[Competition_date]])</f>
        <v>2021</v>
      </c>
      <c r="X213" s="4">
        <v>23</v>
      </c>
      <c r="Y213" s="6">
        <v>0.48</v>
      </c>
      <c r="Z213" s="4" t="s">
        <v>79</v>
      </c>
      <c r="AA213" t="s">
        <v>176</v>
      </c>
    </row>
    <row r="214" spans="1:27" hidden="1" x14ac:dyDescent="0.35">
      <c r="A214" t="str">
        <f>_xlfn.CONCAT(Tableau1[[#This Row],[Athletes]],"_",Tableau1[[#This Row],[Nationality]],"_",Tableau1[[#This Row],[Competition_year]])</f>
        <v>Charlie DA'VALL GRICE_GBR_2021</v>
      </c>
      <c r="B214" s="9" t="s">
        <v>666</v>
      </c>
      <c r="C214" s="9" t="s">
        <v>14</v>
      </c>
      <c r="D214" s="12" t="s">
        <v>30</v>
      </c>
      <c r="E214" s="13">
        <v>13.4</v>
      </c>
      <c r="F214" s="9">
        <v>13.4</v>
      </c>
      <c r="G214" s="9">
        <v>13.1</v>
      </c>
      <c r="H214" s="9">
        <v>13.5</v>
      </c>
      <c r="I214" s="9">
        <v>13.5</v>
      </c>
      <c r="J214">
        <v>14</v>
      </c>
      <c r="K214">
        <v>13.8</v>
      </c>
      <c r="L214">
        <f>Tableau1[[#This Row],[Final_time]]-SUM(Tableau1[[#This Row],[0_100m]:[600_700m]])</f>
        <v>13.739999999999995</v>
      </c>
      <c r="M214">
        <v>108.44</v>
      </c>
      <c r="N214">
        <f>SUM(Tableau1[[#This Row],[0_100m]:[700_800m]])</f>
        <v>108.44</v>
      </c>
      <c r="O214">
        <f>ABS(Tableau1[[#This Row],[Final_time]]-Tableau1[[#This Row],[Sum_time]])</f>
        <v>0</v>
      </c>
      <c r="P214" s="8"/>
      <c r="Q214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4" t="s">
        <v>478</v>
      </c>
      <c r="S214" s="1" t="s">
        <v>68</v>
      </c>
      <c r="U214" s="1" t="s">
        <v>288</v>
      </c>
      <c r="V214" s="1">
        <v>44434</v>
      </c>
      <c r="W214" s="4">
        <f>YEAR(Tableau1[[#This Row],[Competition_date]])</f>
        <v>2021</v>
      </c>
      <c r="X214" s="4">
        <v>23</v>
      </c>
      <c r="Y214" s="6">
        <v>0.48</v>
      </c>
      <c r="Z214" s="4" t="s">
        <v>79</v>
      </c>
      <c r="AA214" t="s">
        <v>176</v>
      </c>
    </row>
    <row r="215" spans="1:27" hidden="1" x14ac:dyDescent="0.35">
      <c r="A215" t="str">
        <f>_xlfn.CONCAT(Tableau1[[#This Row],[Athletes]],"_",Tableau1[[#This Row],[Nationality]],"_",Tableau1[[#This Row],[Competition_year]])</f>
        <v>Tom ELMER_SUI_2021</v>
      </c>
      <c r="B215" s="9" t="s">
        <v>352</v>
      </c>
      <c r="C215" s="9" t="s">
        <v>14</v>
      </c>
      <c r="D215" s="12" t="s">
        <v>73</v>
      </c>
      <c r="E215" s="13">
        <v>13.5</v>
      </c>
      <c r="F215" s="9">
        <v>13.5</v>
      </c>
      <c r="G215" s="9">
        <v>13.2</v>
      </c>
      <c r="H215" s="9">
        <v>13.5</v>
      </c>
      <c r="I215" s="9">
        <v>13.5</v>
      </c>
      <c r="J215">
        <v>14.2</v>
      </c>
      <c r="K215">
        <v>13.8</v>
      </c>
      <c r="L215">
        <f>Tableau1[[#This Row],[Final_time]]-SUM(Tableau1[[#This Row],[0_100m]:[600_700m]])</f>
        <v>13.61</v>
      </c>
      <c r="M215">
        <v>108.81</v>
      </c>
      <c r="N215">
        <f>SUM(Tableau1[[#This Row],[0_100m]:[700_800m]])</f>
        <v>108.81</v>
      </c>
      <c r="O215">
        <f>ABS(Tableau1[[#This Row],[Final_time]]-Tableau1[[#This Row],[Sum_time]])</f>
        <v>0</v>
      </c>
      <c r="P215" s="8"/>
      <c r="Q215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5" t="s">
        <v>478</v>
      </c>
      <c r="S215" s="1" t="s">
        <v>68</v>
      </c>
      <c r="U215" s="1" t="s">
        <v>288</v>
      </c>
      <c r="V215" s="1">
        <v>44434</v>
      </c>
      <c r="W215" s="4">
        <f>YEAR(Tableau1[[#This Row],[Competition_date]])</f>
        <v>2021</v>
      </c>
      <c r="X215" s="4">
        <v>23</v>
      </c>
      <c r="Y215" s="6">
        <v>0.48</v>
      </c>
      <c r="Z215" s="4" t="s">
        <v>79</v>
      </c>
      <c r="AA215" t="s">
        <v>176</v>
      </c>
    </row>
    <row r="216" spans="1:27" hidden="1" x14ac:dyDescent="0.35">
      <c r="A216" t="str">
        <f>_xlfn.CONCAT(Tableau1[[#This Row],[Athletes]],"_",Tableau1[[#This Row],[Nationality]],"_",Tableau1[[#This Row],[Competition_year]])</f>
        <v>Guillaume LAURENT_SUI_2021</v>
      </c>
      <c r="B216" s="9" t="s">
        <v>812</v>
      </c>
      <c r="C216" s="9" t="s">
        <v>14</v>
      </c>
      <c r="D216" s="12" t="s">
        <v>73</v>
      </c>
      <c r="E216" s="13">
        <v>13.7</v>
      </c>
      <c r="F216" s="9">
        <v>13.7</v>
      </c>
      <c r="G216" s="9">
        <v>13.5</v>
      </c>
      <c r="H216" s="9">
        <v>13.5</v>
      </c>
      <c r="I216" s="9">
        <v>13.5</v>
      </c>
      <c r="J216">
        <v>13.9</v>
      </c>
      <c r="K216">
        <v>13.5</v>
      </c>
      <c r="L216">
        <f>Tableau1[[#This Row],[Final_time]]-SUM(Tableau1[[#This Row],[0_100m]:[600_700m]])</f>
        <v>13.86999999999999</v>
      </c>
      <c r="M216">
        <v>109.17</v>
      </c>
      <c r="N216">
        <f>SUM(Tableau1[[#This Row],[0_100m]:[700_800m]])</f>
        <v>109.17</v>
      </c>
      <c r="O216">
        <f>ABS(Tableau1[[#This Row],[Final_time]]-Tableau1[[#This Row],[Sum_time]])</f>
        <v>0</v>
      </c>
      <c r="P216" s="8"/>
      <c r="Q216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6" t="s">
        <v>478</v>
      </c>
      <c r="S216" s="1" t="s">
        <v>68</v>
      </c>
      <c r="U216" s="1" t="s">
        <v>288</v>
      </c>
      <c r="V216" s="1">
        <v>44434</v>
      </c>
      <c r="W216" s="4">
        <f>YEAR(Tableau1[[#This Row],[Competition_date]])</f>
        <v>2021</v>
      </c>
      <c r="X216" s="4">
        <v>23</v>
      </c>
      <c r="Y216" s="6">
        <v>0.48</v>
      </c>
      <c r="Z216" s="4" t="s">
        <v>79</v>
      </c>
      <c r="AA216" t="s">
        <v>176</v>
      </c>
    </row>
    <row r="217" spans="1:27" hidden="1" x14ac:dyDescent="0.35">
      <c r="A217" t="str">
        <f>_xlfn.CONCAT(Tableau1[[#This Row],[Athletes]],"_",Tableau1[[#This Row],[Nationality]],"_",Tableau1[[#This Row],[Competition_year]])</f>
        <v>Julien STALHANDSKE_SUI_2021</v>
      </c>
      <c r="B217" s="9" t="s">
        <v>935</v>
      </c>
      <c r="C217" s="9" t="s">
        <v>14</v>
      </c>
      <c r="D217" s="12" t="s">
        <v>73</v>
      </c>
      <c r="E217" s="13">
        <v>14.1</v>
      </c>
      <c r="F217" s="9">
        <v>13.8</v>
      </c>
      <c r="G217" s="9">
        <v>14</v>
      </c>
      <c r="H217" s="9">
        <v>13.6</v>
      </c>
      <c r="I217" s="9">
        <v>13.9</v>
      </c>
      <c r="J217">
        <v>13.9</v>
      </c>
      <c r="K217">
        <v>13.7</v>
      </c>
      <c r="L217">
        <f>Tableau1[[#This Row],[Final_time]]-SUM(Tableau1[[#This Row],[0_100m]:[600_700m]])</f>
        <v>13.649999999999991</v>
      </c>
      <c r="M217">
        <v>110.65</v>
      </c>
      <c r="N217">
        <f>SUM(Tableau1[[#This Row],[0_100m]:[700_800m]])</f>
        <v>110.65</v>
      </c>
      <c r="O217">
        <f>ABS(Tableau1[[#This Row],[Final_time]]-Tableau1[[#This Row],[Sum_time]])</f>
        <v>0</v>
      </c>
      <c r="P217" s="8"/>
      <c r="Q217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7" t="s">
        <v>478</v>
      </c>
      <c r="S217" s="1" t="s">
        <v>68</v>
      </c>
      <c r="U217" s="1" t="s">
        <v>288</v>
      </c>
      <c r="V217" s="1">
        <v>44434</v>
      </c>
      <c r="W217" s="4">
        <f>YEAR(Tableau1[[#This Row],[Competition_date]])</f>
        <v>2021</v>
      </c>
      <c r="X217" s="4">
        <v>23</v>
      </c>
      <c r="Y217" s="6">
        <v>0.48</v>
      </c>
      <c r="Z217" s="4" t="s">
        <v>79</v>
      </c>
      <c r="AA217" t="s">
        <v>176</v>
      </c>
    </row>
    <row r="218" spans="1:27" hidden="1" x14ac:dyDescent="0.35">
      <c r="A218" t="str">
        <f>_xlfn.CONCAT(Tableau1[[#This Row],[Athletes]],"_",Tableau1[[#This Row],[Nationality]],"_",Tableau1[[#This Row],[Competition_year]])</f>
        <v>Louis LOW-BEER_SUI_2021</v>
      </c>
      <c r="B218" s="9" t="s">
        <v>356</v>
      </c>
      <c r="C218" s="9" t="s">
        <v>14</v>
      </c>
      <c r="D218" s="12" t="s">
        <v>73</v>
      </c>
      <c r="E218" s="13">
        <v>13.9</v>
      </c>
      <c r="F218" s="9">
        <v>13.7</v>
      </c>
      <c r="G218" s="9">
        <v>13.8</v>
      </c>
      <c r="H218" s="9">
        <v>13.6</v>
      </c>
      <c r="I218" s="9">
        <v>14</v>
      </c>
      <c r="J218">
        <v>13.9</v>
      </c>
      <c r="K218">
        <v>14.1</v>
      </c>
      <c r="L218">
        <f>Tableau1[[#This Row],[Final_time]]-SUM(Tableau1[[#This Row],[0_100m]:[600_700m]])</f>
        <v>13.810000000000002</v>
      </c>
      <c r="M218">
        <v>110.81</v>
      </c>
      <c r="N218">
        <f>SUM(Tableau1[[#This Row],[0_100m]:[700_800m]])</f>
        <v>110.81</v>
      </c>
      <c r="O218">
        <f>ABS(Tableau1[[#This Row],[Final_time]]-Tableau1[[#This Row],[Sum_time]])</f>
        <v>0</v>
      </c>
      <c r="P218" s="8"/>
      <c r="Q218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8" t="s">
        <v>478</v>
      </c>
      <c r="S218" s="1" t="s">
        <v>68</v>
      </c>
      <c r="U218" s="1" t="s">
        <v>288</v>
      </c>
      <c r="V218" s="1">
        <v>44434</v>
      </c>
      <c r="W218" s="4">
        <f>YEAR(Tableau1[[#This Row],[Competition_date]])</f>
        <v>2021</v>
      </c>
      <c r="X218" s="4">
        <v>23</v>
      </c>
      <c r="Y218" s="6">
        <v>0.48</v>
      </c>
      <c r="Z218" s="4" t="s">
        <v>79</v>
      </c>
      <c r="AA218" t="s">
        <v>176</v>
      </c>
    </row>
    <row r="219" spans="1:27" hidden="1" x14ac:dyDescent="0.35">
      <c r="A219" t="str">
        <f>_xlfn.CONCAT(Tableau1[[#This Row],[Athletes]],"_",Tableau1[[#This Row],[Nationality]],"_",Tableau1[[#This Row],[Competition_year]])</f>
        <v>Ramon WIPFLI_SUI_2021</v>
      </c>
      <c r="B219" t="s">
        <v>355</v>
      </c>
      <c r="C219" s="9" t="s">
        <v>14</v>
      </c>
      <c r="D219" s="18" t="s">
        <v>73</v>
      </c>
      <c r="E219" s="10">
        <v>13.6</v>
      </c>
      <c r="F219">
        <v>14.2</v>
      </c>
      <c r="G219">
        <v>13.9</v>
      </c>
      <c r="H219">
        <v>13.6</v>
      </c>
      <c r="I219">
        <v>13.9</v>
      </c>
      <c r="J219">
        <v>13.9</v>
      </c>
      <c r="K219">
        <v>14.3</v>
      </c>
      <c r="L219">
        <f>Tableau1[[#This Row],[Final_time]]-SUM(Tableau1[[#This Row],[0_100m]:[600_700m]])</f>
        <v>13.679999999999993</v>
      </c>
      <c r="M219">
        <v>111.08</v>
      </c>
      <c r="N219">
        <f>SUM(Tableau1[[#This Row],[0_100m]:[700_800m]])</f>
        <v>111.08</v>
      </c>
      <c r="O219">
        <f>ABS(Tableau1[[#This Row],[Final_time]]-Tableau1[[#This Row],[Sum_time]])</f>
        <v>0</v>
      </c>
      <c r="P219" s="8"/>
      <c r="Q219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19" t="s">
        <v>478</v>
      </c>
      <c r="S219" s="1" t="s">
        <v>68</v>
      </c>
      <c r="U219" s="1" t="s">
        <v>288</v>
      </c>
      <c r="V219" s="1">
        <v>44434</v>
      </c>
      <c r="W219" s="4">
        <f>YEAR(Tableau1[[#This Row],[Competition_date]])</f>
        <v>2021</v>
      </c>
      <c r="X219" s="4">
        <v>23</v>
      </c>
      <c r="Y219" s="6">
        <v>0.48</v>
      </c>
      <c r="Z219" s="4" t="s">
        <v>79</v>
      </c>
      <c r="AA219" t="s">
        <v>176</v>
      </c>
    </row>
    <row r="220" spans="1:27" hidden="1" x14ac:dyDescent="0.35">
      <c r="A220" t="str">
        <f>_xlfn.CONCAT(Tableau1[[#This Row],[Athletes]],"_",Tableau1[[#This Row],[Nationality]],"_",Tableau1[[#This Row],[Competition_year]])</f>
        <v>Vincent NOTZ_SUI_2021</v>
      </c>
      <c r="B220" t="s">
        <v>357</v>
      </c>
      <c r="C220" s="9" t="s">
        <v>14</v>
      </c>
      <c r="D220" s="18" t="s">
        <v>73</v>
      </c>
      <c r="E220" s="10">
        <v>13.8</v>
      </c>
      <c r="F220">
        <v>13.7</v>
      </c>
      <c r="G220">
        <v>13.7</v>
      </c>
      <c r="H220">
        <v>13.6</v>
      </c>
      <c r="I220">
        <v>13.8</v>
      </c>
      <c r="J220">
        <v>13.7</v>
      </c>
      <c r="K220">
        <v>14.2</v>
      </c>
      <c r="L220">
        <f>Tableau1[[#This Row],[Final_time]]-SUM(Tableau1[[#This Row],[0_100m]:[600_700m]])</f>
        <v>14.859999999999985</v>
      </c>
      <c r="M220">
        <v>111.36</v>
      </c>
      <c r="N220">
        <f>SUM(Tableau1[[#This Row],[0_100m]:[700_800m]])</f>
        <v>111.36</v>
      </c>
      <c r="O220">
        <f>ABS(Tableau1[[#This Row],[Final_time]]-Tableau1[[#This Row],[Sum_time]])</f>
        <v>0</v>
      </c>
      <c r="P220" s="8"/>
      <c r="Q220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20" t="s">
        <v>478</v>
      </c>
      <c r="S220" s="1" t="s">
        <v>68</v>
      </c>
      <c r="U220" s="1" t="s">
        <v>288</v>
      </c>
      <c r="V220" s="1">
        <v>44434</v>
      </c>
      <c r="W220" s="4">
        <f>YEAR(Tableau1[[#This Row],[Competition_date]])</f>
        <v>2021</v>
      </c>
      <c r="X220" s="4">
        <v>23</v>
      </c>
      <c r="Y220" s="6">
        <v>0.48</v>
      </c>
      <c r="Z220" s="4" t="s">
        <v>79</v>
      </c>
      <c r="AA220" t="s">
        <v>176</v>
      </c>
    </row>
    <row r="221" spans="1:27" hidden="1" x14ac:dyDescent="0.35">
      <c r="A221" t="str">
        <f>_xlfn.CONCAT(Tableau1[[#This Row],[Athletes]],"_",Tableau1[[#This Row],[Nationality]],"_",Tableau1[[#This Row],[Competition_year]])</f>
        <v>Navid KERBER_SUI_2021</v>
      </c>
      <c r="B221" t="s">
        <v>1093</v>
      </c>
      <c r="C221" s="9" t="s">
        <v>14</v>
      </c>
      <c r="D221" s="18" t="s">
        <v>73</v>
      </c>
      <c r="E221" s="10">
        <v>13.8</v>
      </c>
      <c r="F221">
        <v>13.7</v>
      </c>
      <c r="G221">
        <v>13.8</v>
      </c>
      <c r="H221">
        <v>13.6</v>
      </c>
      <c r="I221">
        <v>13.9</v>
      </c>
      <c r="J221">
        <v>14.4</v>
      </c>
      <c r="K221">
        <v>14.5</v>
      </c>
      <c r="L221">
        <f>Tableau1[[#This Row],[Final_time]]-SUM(Tableau1[[#This Row],[0_100m]:[600_700m]])</f>
        <v>14.11999999999999</v>
      </c>
      <c r="M221">
        <v>111.82</v>
      </c>
      <c r="N221">
        <f>SUM(Tableau1[[#This Row],[0_100m]:[700_800m]])</f>
        <v>111.82</v>
      </c>
      <c r="O221">
        <f>ABS(Tableau1[[#This Row],[Final_time]]-Tableau1[[#This Row],[Sum_time]])</f>
        <v>0</v>
      </c>
      <c r="P221" s="8"/>
      <c r="Q221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21" t="s">
        <v>478</v>
      </c>
      <c r="S221" s="1" t="s">
        <v>68</v>
      </c>
      <c r="U221" s="1" t="s">
        <v>288</v>
      </c>
      <c r="V221" s="1">
        <v>44434</v>
      </c>
      <c r="W221" s="4">
        <f>YEAR(Tableau1[[#This Row],[Competition_date]])</f>
        <v>2021</v>
      </c>
      <c r="X221" s="4">
        <v>23</v>
      </c>
      <c r="Y221" s="6">
        <v>0.48</v>
      </c>
      <c r="Z221" s="4" t="s">
        <v>79</v>
      </c>
      <c r="AA221" t="s">
        <v>176</v>
      </c>
    </row>
    <row r="222" spans="1:27" hidden="1" x14ac:dyDescent="0.35">
      <c r="A222" t="str">
        <f>_xlfn.CONCAT(Tableau1[[#This Row],[Athletes]],"_",Tableau1[[#This Row],[Nationality]],"_",Tableau1[[#This Row],[Competition_year]])</f>
        <v>Jonas SCHÖPFER_SUI_2021</v>
      </c>
      <c r="B222" t="s">
        <v>915</v>
      </c>
      <c r="C222" s="9" t="s">
        <v>14</v>
      </c>
      <c r="D222" s="18" t="s">
        <v>73</v>
      </c>
      <c r="E222" s="10">
        <v>13.7</v>
      </c>
      <c r="F222">
        <v>13.8</v>
      </c>
      <c r="G222">
        <v>13.6</v>
      </c>
      <c r="H222">
        <v>13.6</v>
      </c>
      <c r="I222">
        <v>13.7</v>
      </c>
      <c r="J222">
        <v>14.3</v>
      </c>
      <c r="K222">
        <v>14.7</v>
      </c>
      <c r="L222">
        <f>Tableau1[[#This Row],[Final_time]]-SUM(Tableau1[[#This Row],[0_100m]:[600_700m]])</f>
        <v>14.989999999999995</v>
      </c>
      <c r="M222">
        <v>112.39</v>
      </c>
      <c r="N222">
        <f>SUM(Tableau1[[#This Row],[0_100m]:[700_800m]])</f>
        <v>112.39</v>
      </c>
      <c r="O222">
        <f>ABS(Tableau1[[#This Row],[Final_time]]-Tableau1[[#This Row],[Sum_time]])</f>
        <v>0</v>
      </c>
      <c r="P222" s="8"/>
      <c r="Q222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22" t="s">
        <v>478</v>
      </c>
      <c r="S222" s="1" t="s">
        <v>68</v>
      </c>
      <c r="U222" s="1" t="s">
        <v>288</v>
      </c>
      <c r="V222" s="1">
        <v>44434</v>
      </c>
      <c r="W222" s="4">
        <f>YEAR(Tableau1[[#This Row],[Competition_date]])</f>
        <v>2021</v>
      </c>
      <c r="X222" s="4">
        <v>23</v>
      </c>
      <c r="Y222" s="6">
        <v>0.48</v>
      </c>
      <c r="Z222" s="4" t="s">
        <v>79</v>
      </c>
      <c r="AA222" t="s">
        <v>176</v>
      </c>
    </row>
    <row r="223" spans="1:27" hidden="1" x14ac:dyDescent="0.35">
      <c r="A223" t="str">
        <f>_xlfn.CONCAT(Tableau1[[#This Row],[Athletes]],"_",Tableau1[[#This Row],[Nationality]],"_",Tableau1[[#This Row],[Competition_year]])</f>
        <v>Diego MENZI_SUI_2021</v>
      </c>
      <c r="B223" t="s">
        <v>709</v>
      </c>
      <c r="C223" s="9" t="s">
        <v>14</v>
      </c>
      <c r="D223" s="18" t="s">
        <v>73</v>
      </c>
      <c r="E223" s="10">
        <v>13.9</v>
      </c>
      <c r="F223">
        <v>14.2</v>
      </c>
      <c r="G223">
        <v>14.1</v>
      </c>
      <c r="H223">
        <v>13.6</v>
      </c>
      <c r="I223">
        <v>13.8</v>
      </c>
      <c r="J223">
        <v>14</v>
      </c>
      <c r="K223">
        <v>14.4</v>
      </c>
      <c r="L223">
        <f>Tableau1[[#This Row],[Final_time]]-SUM(Tableau1[[#This Row],[0_100m]:[600_700m]])</f>
        <v>14.95999999999998</v>
      </c>
      <c r="M223">
        <v>112.96</v>
      </c>
      <c r="N223">
        <f>SUM(Tableau1[[#This Row],[0_100m]:[700_800m]])</f>
        <v>112.96</v>
      </c>
      <c r="O223">
        <f>ABS(Tableau1[[#This Row],[Final_time]]-Tableau1[[#This Row],[Sum_time]])</f>
        <v>0</v>
      </c>
      <c r="P223" s="8"/>
      <c r="Q223" s="16" t="str">
        <f>_xlfn.CONCAT(Tableau1[[#This Row],[Competition]],"_",Tableau1[[#This Row],[Championship_step]],"_",Tableau1[[#This Row],[Competition_date]],"_",Tableau1[[#This Row],[Gender]])</f>
        <v>Diamond League Lausanne 2021 - B race__44434_Male</v>
      </c>
      <c r="R223" t="s">
        <v>478</v>
      </c>
      <c r="S223" s="1" t="s">
        <v>68</v>
      </c>
      <c r="U223" s="1" t="s">
        <v>288</v>
      </c>
      <c r="V223" s="1">
        <v>44434</v>
      </c>
      <c r="W223" s="4">
        <f>YEAR(Tableau1[[#This Row],[Competition_date]])</f>
        <v>2021</v>
      </c>
      <c r="X223" s="4">
        <v>23</v>
      </c>
      <c r="Y223" s="6">
        <v>0.48</v>
      </c>
      <c r="Z223" s="4" t="s">
        <v>79</v>
      </c>
      <c r="AA223" t="s">
        <v>176</v>
      </c>
    </row>
    <row r="224" spans="1:27" hidden="1" x14ac:dyDescent="0.35">
      <c r="A224" t="str">
        <f>_xlfn.CONCAT(Tableau1[[#This Row],[Athletes]],"_",Tableau1[[#This Row],[Nationality]],"_",Tableau1[[#This Row],[Competition_year]])</f>
        <v>Ellie BAKER_GBR_2021</v>
      </c>
      <c r="B224" s="9" t="s">
        <v>262</v>
      </c>
      <c r="C224" s="12" t="s">
        <v>29</v>
      </c>
      <c r="D224" s="13" t="s">
        <v>30</v>
      </c>
      <c r="E224" s="9">
        <v>14.5</v>
      </c>
      <c r="F224" s="9">
        <v>14.5</v>
      </c>
      <c r="G224" s="9">
        <v>14.9</v>
      </c>
      <c r="H224" s="9">
        <v>14.8</v>
      </c>
      <c r="I224">
        <v>15.6</v>
      </c>
      <c r="J224">
        <v>15.8</v>
      </c>
      <c r="K224">
        <v>15.4</v>
      </c>
      <c r="L224">
        <f>Tableau1[[#This Row],[Final_time]]-SUM(Tableau1[[#This Row],[0_100m]:[600_700m]])</f>
        <v>14.950000000000003</v>
      </c>
      <c r="M224">
        <v>120.45</v>
      </c>
      <c r="N224">
        <f>SUM(Tableau1[[#This Row],[0_100m]:[700_800m]])</f>
        <v>120.45</v>
      </c>
      <c r="O224">
        <f>ABS(Tableau1[[#This Row],[Final_time]]-Tableau1[[#This Row],[Sum_time]])</f>
        <v>0</v>
      </c>
      <c r="P224" s="8"/>
      <c r="Q224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24" t="s">
        <v>479</v>
      </c>
      <c r="S224" s="1" t="s">
        <v>68</v>
      </c>
      <c r="U224" s="1" t="s">
        <v>69</v>
      </c>
      <c r="V224" s="1">
        <v>44434</v>
      </c>
      <c r="W224" s="4">
        <f>YEAR(Tableau1[[#This Row],[Competition_date]])</f>
        <v>2021</v>
      </c>
      <c r="X224" s="4">
        <v>22</v>
      </c>
      <c r="Y224" s="6">
        <v>0.51</v>
      </c>
      <c r="Z224" s="4" t="s">
        <v>80</v>
      </c>
      <c r="AA224" t="s">
        <v>176</v>
      </c>
    </row>
    <row r="225" spans="1:27" hidden="1" x14ac:dyDescent="0.35">
      <c r="A225" t="str">
        <f>_xlfn.CONCAT(Tableau1[[#This Row],[Athletes]],"_",Tableau1[[#This Row],[Nationality]],"_",Tableau1[[#This Row],[Competition_year]])</f>
        <v>Lore HOFFMANN_SUI_2021</v>
      </c>
      <c r="B225" s="9" t="s">
        <v>224</v>
      </c>
      <c r="C225" s="12" t="s">
        <v>29</v>
      </c>
      <c r="D225" s="13" t="s">
        <v>73</v>
      </c>
      <c r="E225" s="9">
        <v>14.6</v>
      </c>
      <c r="F225" s="9">
        <v>14.8</v>
      </c>
      <c r="G225" s="9">
        <v>15.1</v>
      </c>
      <c r="H225" s="9">
        <v>14.6</v>
      </c>
      <c r="I225">
        <v>15.5</v>
      </c>
      <c r="J225">
        <v>15.8</v>
      </c>
      <c r="K225">
        <v>15.5</v>
      </c>
      <c r="L225">
        <f>Tableau1[[#This Row],[Final_time]]-SUM(Tableau1[[#This Row],[0_100m]:[600_700m]])</f>
        <v>15.160000000000011</v>
      </c>
      <c r="M225">
        <v>121.06</v>
      </c>
      <c r="N225">
        <f>SUM(Tableau1[[#This Row],[0_100m]:[700_800m]])</f>
        <v>121.06</v>
      </c>
      <c r="O225">
        <f>ABS(Tableau1[[#This Row],[Final_time]]-Tableau1[[#This Row],[Sum_time]])</f>
        <v>0</v>
      </c>
      <c r="P225" s="8"/>
      <c r="Q225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25" t="s">
        <v>479</v>
      </c>
      <c r="S225" s="1" t="s">
        <v>68</v>
      </c>
      <c r="U225" s="1" t="s">
        <v>69</v>
      </c>
      <c r="V225" s="1">
        <v>44434</v>
      </c>
      <c r="W225" s="4">
        <f>YEAR(Tableau1[[#This Row],[Competition_date]])</f>
        <v>2021</v>
      </c>
      <c r="X225" s="4">
        <v>22</v>
      </c>
      <c r="Y225" s="6">
        <v>0.51</v>
      </c>
      <c r="Z225" s="4" t="s">
        <v>80</v>
      </c>
      <c r="AA225" t="s">
        <v>176</v>
      </c>
    </row>
    <row r="226" spans="1:27" hidden="1" x14ac:dyDescent="0.35">
      <c r="A226" t="str">
        <f>_xlfn.CONCAT(Tableau1[[#This Row],[Athletes]],"_",Tableau1[[#This Row],[Nationality]],"_",Tableau1[[#This Row],[Competition_year]])</f>
        <v>Hedda HYNNE_NOR_2021</v>
      </c>
      <c r="B226" s="9" t="s">
        <v>281</v>
      </c>
      <c r="C226" s="9" t="s">
        <v>29</v>
      </c>
      <c r="D226" s="13" t="s">
        <v>123</v>
      </c>
      <c r="E226" s="9">
        <v>14.5</v>
      </c>
      <c r="F226" s="9">
        <v>14.6</v>
      </c>
      <c r="G226" s="9">
        <v>15</v>
      </c>
      <c r="H226" s="9">
        <v>14.9</v>
      </c>
      <c r="I226">
        <v>15.5</v>
      </c>
      <c r="J226">
        <v>15.7</v>
      </c>
      <c r="K226">
        <v>15.5</v>
      </c>
      <c r="L226">
        <f>Tableau1[[#This Row],[Final_time]]-SUM(Tableau1[[#This Row],[0_100m]:[600_700m]])</f>
        <v>15.469999999999999</v>
      </c>
      <c r="M226">
        <v>121.17</v>
      </c>
      <c r="N226">
        <f>SUM(Tableau1[[#This Row],[0_100m]:[700_800m]])</f>
        <v>121.17</v>
      </c>
      <c r="O226">
        <f>ABS(Tableau1[[#This Row],[Final_time]]-Tableau1[[#This Row],[Sum_time]])</f>
        <v>0</v>
      </c>
      <c r="P226" s="8"/>
      <c r="Q226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26" t="s">
        <v>479</v>
      </c>
      <c r="S226" s="1" t="s">
        <v>68</v>
      </c>
      <c r="U226" s="1" t="s">
        <v>69</v>
      </c>
      <c r="V226" s="1">
        <v>44434</v>
      </c>
      <c r="W226" s="4">
        <f>YEAR(Tableau1[[#This Row],[Competition_date]])</f>
        <v>2021</v>
      </c>
      <c r="X226" s="4">
        <v>22</v>
      </c>
      <c r="Y226" s="6">
        <v>0.51</v>
      </c>
      <c r="Z226" s="4" t="s">
        <v>80</v>
      </c>
      <c r="AA226" t="s">
        <v>176</v>
      </c>
    </row>
    <row r="227" spans="1:27" hidden="1" x14ac:dyDescent="0.35">
      <c r="A227" t="str">
        <f>_xlfn.CONCAT(Tableau1[[#This Row],[Athletes]],"_",Tableau1[[#This Row],[Nationality]],"_",Tableau1[[#This Row],[Competition_year]])</f>
        <v>Eglay Nafuna NALYANYA_KEN_2021</v>
      </c>
      <c r="B227" s="9" t="s">
        <v>721</v>
      </c>
      <c r="C227" s="12" t="s">
        <v>29</v>
      </c>
      <c r="D227" s="13" t="s">
        <v>15</v>
      </c>
      <c r="E227" s="9">
        <v>14.7</v>
      </c>
      <c r="F227" s="9">
        <v>14.2</v>
      </c>
      <c r="G227" s="9">
        <v>15</v>
      </c>
      <c r="H227" s="9">
        <v>14.9</v>
      </c>
      <c r="I227">
        <v>15.4</v>
      </c>
      <c r="J227">
        <v>15.8</v>
      </c>
      <c r="K227">
        <v>15.6</v>
      </c>
      <c r="L227">
        <f>Tableau1[[#This Row],[Final_time]]-SUM(Tableau1[[#This Row],[0_100m]:[600_700m]])</f>
        <v>15.660000000000011</v>
      </c>
      <c r="M227">
        <v>121.26</v>
      </c>
      <c r="N227">
        <f>SUM(Tableau1[[#This Row],[0_100m]:[700_800m]])</f>
        <v>121.26</v>
      </c>
      <c r="O227">
        <f>ABS(Tableau1[[#This Row],[Final_time]]-Tableau1[[#This Row],[Sum_time]])</f>
        <v>0</v>
      </c>
      <c r="P227" s="8"/>
      <c r="Q227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27" t="s">
        <v>479</v>
      </c>
      <c r="S227" s="1" t="s">
        <v>68</v>
      </c>
      <c r="U227" s="1" t="s">
        <v>69</v>
      </c>
      <c r="V227" s="1">
        <v>44434</v>
      </c>
      <c r="W227" s="4">
        <f>YEAR(Tableau1[[#This Row],[Competition_date]])</f>
        <v>2021</v>
      </c>
      <c r="X227" s="4">
        <v>22</v>
      </c>
      <c r="Y227" s="6">
        <v>0.51</v>
      </c>
      <c r="Z227" s="4" t="s">
        <v>80</v>
      </c>
      <c r="AA227" t="s">
        <v>176</v>
      </c>
    </row>
    <row r="228" spans="1:27" hidden="1" x14ac:dyDescent="0.35">
      <c r="A228" t="str">
        <f>_xlfn.CONCAT(Tableau1[[#This Row],[Athletes]],"_",Tableau1[[#This Row],[Nationality]],"_",Tableau1[[#This Row],[Competition_year]])</f>
        <v>Lovisa LINDH_SWE_2021</v>
      </c>
      <c r="B228" s="9" t="s">
        <v>378</v>
      </c>
      <c r="C228" s="12" t="s">
        <v>29</v>
      </c>
      <c r="D228" s="13" t="s">
        <v>28</v>
      </c>
      <c r="E228" s="9">
        <v>14.4</v>
      </c>
      <c r="F228" s="9">
        <v>14.9</v>
      </c>
      <c r="G228" s="9">
        <v>15.1</v>
      </c>
      <c r="H228" s="9">
        <v>14.8</v>
      </c>
      <c r="I228">
        <v>15.5</v>
      </c>
      <c r="J228">
        <v>15.8</v>
      </c>
      <c r="K228">
        <v>15.5</v>
      </c>
      <c r="L228">
        <f>Tableau1[[#This Row],[Final_time]]-SUM(Tableau1[[#This Row],[0_100m]:[600_700m]])</f>
        <v>15.519999999999996</v>
      </c>
      <c r="M228">
        <v>121.52</v>
      </c>
      <c r="N228">
        <f>SUM(Tableau1[[#This Row],[0_100m]:[700_800m]])</f>
        <v>121.52</v>
      </c>
      <c r="O228">
        <f>ABS(Tableau1[[#This Row],[Final_time]]-Tableau1[[#This Row],[Sum_time]])</f>
        <v>0</v>
      </c>
      <c r="P228" s="8"/>
      <c r="Q228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28" t="s">
        <v>479</v>
      </c>
      <c r="S228" s="1" t="s">
        <v>68</v>
      </c>
      <c r="U228" s="1" t="s">
        <v>69</v>
      </c>
      <c r="V228" s="1">
        <v>44434</v>
      </c>
      <c r="W228" s="4">
        <f>YEAR(Tableau1[[#This Row],[Competition_date]])</f>
        <v>2021</v>
      </c>
      <c r="X228" s="4">
        <v>22</v>
      </c>
      <c r="Y228" s="6">
        <v>0.51</v>
      </c>
      <c r="Z228" s="4" t="s">
        <v>80</v>
      </c>
      <c r="AA228" t="s">
        <v>176</v>
      </c>
    </row>
    <row r="229" spans="1:27" hidden="1" x14ac:dyDescent="0.35">
      <c r="A229" t="str">
        <f>_xlfn.CONCAT(Tableau1[[#This Row],[Athletes]],"_",Tableau1[[#This Row],[Nationality]],"_",Tableau1[[#This Row],[Competition_year]])</f>
        <v>Gabriela GAJANOVÁ_SVK_2021</v>
      </c>
      <c r="B229" s="9" t="s">
        <v>349</v>
      </c>
      <c r="C229" s="12" t="s">
        <v>29</v>
      </c>
      <c r="D229" s="13" t="s">
        <v>100</v>
      </c>
      <c r="E229" s="9">
        <v>14.6</v>
      </c>
      <c r="F229" s="9">
        <v>14.6</v>
      </c>
      <c r="G229" s="9">
        <v>15.2</v>
      </c>
      <c r="H229" s="9">
        <v>15</v>
      </c>
      <c r="I229">
        <f>74.5-SUM(Tableau1[[#This Row],[0_100m]:[300_400m]])</f>
        <v>15.100000000000001</v>
      </c>
      <c r="J229">
        <v>15.3</v>
      </c>
      <c r="K229">
        <v>15.6</v>
      </c>
      <c r="L229">
        <f>Tableau1[[#This Row],[Final_time]]-SUM(Tableau1[[#This Row],[0_100m]:[600_700m]])</f>
        <v>16.300000000000011</v>
      </c>
      <c r="M229">
        <v>121.7</v>
      </c>
      <c r="N229">
        <f>SUM(Tableau1[[#This Row],[0_100m]:[700_800m]])</f>
        <v>121.7</v>
      </c>
      <c r="O229">
        <f>ABS(Tableau1[[#This Row],[Final_time]]-Tableau1[[#This Row],[Sum_time]])</f>
        <v>0</v>
      </c>
      <c r="P229" s="8"/>
      <c r="Q229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29" t="s">
        <v>479</v>
      </c>
      <c r="S229" s="1" t="s">
        <v>68</v>
      </c>
      <c r="U229" s="1" t="s">
        <v>69</v>
      </c>
      <c r="V229" s="1">
        <v>44434</v>
      </c>
      <c r="W229" s="4">
        <f>YEAR(Tableau1[[#This Row],[Competition_date]])</f>
        <v>2021</v>
      </c>
      <c r="X229" s="4">
        <v>22</v>
      </c>
      <c r="Y229" s="6">
        <v>0.51</v>
      </c>
      <c r="Z229" s="4" t="s">
        <v>80</v>
      </c>
      <c r="AA229" t="s">
        <v>176</v>
      </c>
    </row>
    <row r="230" spans="1:27" hidden="1" x14ac:dyDescent="0.35">
      <c r="A230" t="str">
        <f>_xlfn.CONCAT(Tableau1[[#This Row],[Athletes]],"_",Tableau1[[#This Row],[Nationality]],"_",Tableau1[[#This Row],[Competition_year]])</f>
        <v>Delia SCLABAS_SUI_2021</v>
      </c>
      <c r="B230" s="9" t="s">
        <v>456</v>
      </c>
      <c r="C230" s="12" t="s">
        <v>29</v>
      </c>
      <c r="D230" s="13" t="s">
        <v>73</v>
      </c>
      <c r="E230" s="9">
        <v>14.7</v>
      </c>
      <c r="F230" s="9">
        <v>14.9</v>
      </c>
      <c r="G230" s="9">
        <v>15.2</v>
      </c>
      <c r="H230" s="9">
        <v>14.9</v>
      </c>
      <c r="I230">
        <v>15.3</v>
      </c>
      <c r="J230">
        <v>15.8</v>
      </c>
      <c r="K230">
        <v>15.7</v>
      </c>
      <c r="L230">
        <f>Tableau1[[#This Row],[Final_time]]-SUM(Tableau1[[#This Row],[0_100m]:[600_700m]])</f>
        <v>15.680000000000007</v>
      </c>
      <c r="M230">
        <v>122.18</v>
      </c>
      <c r="N230">
        <f>SUM(Tableau1[[#This Row],[0_100m]:[700_800m]])</f>
        <v>122.18</v>
      </c>
      <c r="O230">
        <f>ABS(Tableau1[[#This Row],[Final_time]]-Tableau1[[#This Row],[Sum_time]])</f>
        <v>0</v>
      </c>
      <c r="P230" s="8"/>
      <c r="Q230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30" t="s">
        <v>479</v>
      </c>
      <c r="S230" s="1" t="s">
        <v>68</v>
      </c>
      <c r="U230" s="1" t="s">
        <v>69</v>
      </c>
      <c r="V230" s="1">
        <v>44434</v>
      </c>
      <c r="W230" s="4">
        <f>YEAR(Tableau1[[#This Row],[Competition_date]])</f>
        <v>2021</v>
      </c>
      <c r="X230" s="4">
        <v>22</v>
      </c>
      <c r="Y230" s="6">
        <v>0.51</v>
      </c>
      <c r="Z230" s="4" t="s">
        <v>80</v>
      </c>
      <c r="AA230" t="s">
        <v>176</v>
      </c>
    </row>
    <row r="231" spans="1:27" hidden="1" x14ac:dyDescent="0.35">
      <c r="A231" t="str">
        <f>_xlfn.CONCAT(Tableau1[[#This Row],[Athletes]],"_",Tableau1[[#This Row],[Nationality]],"_",Tableau1[[#This Row],[Competition_year]])</f>
        <v>Noélie YARIGO_BEN_2021</v>
      </c>
      <c r="B231" s="9" t="s">
        <v>214</v>
      </c>
      <c r="C231" t="s">
        <v>29</v>
      </c>
      <c r="D231" s="10" t="s">
        <v>52</v>
      </c>
      <c r="E231">
        <v>14.5</v>
      </c>
      <c r="F231">
        <v>14.3</v>
      </c>
      <c r="G231">
        <v>14.8</v>
      </c>
      <c r="H231">
        <v>14.8</v>
      </c>
      <c r="I231">
        <v>15.7</v>
      </c>
      <c r="J231">
        <v>16.2</v>
      </c>
      <c r="K231">
        <v>16</v>
      </c>
      <c r="L231">
        <f>Tableau1[[#This Row],[Final_time]]-SUM(Tableau1[[#This Row],[0_100m]:[600_700m]])</f>
        <v>15.939999999999984</v>
      </c>
      <c r="M231">
        <v>122.24</v>
      </c>
      <c r="N231">
        <f>SUM(Tableau1[[#This Row],[0_100m]:[700_800m]])</f>
        <v>122.24</v>
      </c>
      <c r="O231">
        <f>ABS(Tableau1[[#This Row],[Final_time]]-Tableau1[[#This Row],[Sum_time]])</f>
        <v>0</v>
      </c>
      <c r="P231" s="8"/>
      <c r="Q231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31" t="s">
        <v>479</v>
      </c>
      <c r="S231" s="1" t="s">
        <v>68</v>
      </c>
      <c r="U231" s="1" t="s">
        <v>69</v>
      </c>
      <c r="V231" s="1">
        <v>44434</v>
      </c>
      <c r="W231" s="4">
        <f>YEAR(Tableau1[[#This Row],[Competition_date]])</f>
        <v>2021</v>
      </c>
      <c r="X231" s="4">
        <v>22</v>
      </c>
      <c r="Y231" s="6">
        <v>0.51</v>
      </c>
      <c r="Z231" s="4" t="s">
        <v>80</v>
      </c>
      <c r="AA231" t="s">
        <v>176</v>
      </c>
    </row>
    <row r="232" spans="1:27" hidden="1" x14ac:dyDescent="0.35">
      <c r="A232" t="str">
        <f>_xlfn.CONCAT(Tableau1[[#This Row],[Athletes]],"_",Tableau1[[#This Row],[Nationality]],"_",Tableau1[[#This Row],[Competition_year]])</f>
        <v>Valentina ROSAMILIA_SUI_2021</v>
      </c>
      <c r="B232" s="9" t="s">
        <v>350</v>
      </c>
      <c r="C232" t="s">
        <v>29</v>
      </c>
      <c r="D232" s="10" t="s">
        <v>73</v>
      </c>
      <c r="E232">
        <v>14.9</v>
      </c>
      <c r="F232">
        <v>14.7</v>
      </c>
      <c r="G232">
        <v>15.3</v>
      </c>
      <c r="H232">
        <v>15.2</v>
      </c>
      <c r="I232">
        <v>15.6</v>
      </c>
      <c r="J232">
        <v>16.2</v>
      </c>
      <c r="K232">
        <v>16.8</v>
      </c>
      <c r="L232">
        <f>Tableau1[[#This Row],[Final_time]]-SUM(Tableau1[[#This Row],[0_100m]:[600_700m]])</f>
        <v>17.11</v>
      </c>
      <c r="M232">
        <v>125.81</v>
      </c>
      <c r="N232">
        <f>SUM(Tableau1[[#This Row],[0_100m]:[700_800m]])</f>
        <v>125.81</v>
      </c>
      <c r="O232">
        <f>ABS(Tableau1[[#This Row],[Final_time]]-Tableau1[[#This Row],[Sum_time]])</f>
        <v>0</v>
      </c>
      <c r="P232" s="8"/>
      <c r="Q232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32" t="s">
        <v>479</v>
      </c>
      <c r="S232" s="1" t="s">
        <v>68</v>
      </c>
      <c r="U232" s="1" t="s">
        <v>69</v>
      </c>
      <c r="V232" s="1">
        <v>44434</v>
      </c>
      <c r="W232" s="4">
        <f>YEAR(Tableau1[[#This Row],[Competition_date]])</f>
        <v>2021</v>
      </c>
      <c r="X232" s="4">
        <v>22</v>
      </c>
      <c r="Y232" s="6">
        <v>0.51</v>
      </c>
      <c r="Z232" s="4" t="s">
        <v>80</v>
      </c>
      <c r="AA232" t="s">
        <v>176</v>
      </c>
    </row>
    <row r="233" spans="1:27" hidden="1" x14ac:dyDescent="0.35">
      <c r="A233" t="str">
        <f>_xlfn.CONCAT(Tableau1[[#This Row],[Athletes]],"_",Tableau1[[#This Row],[Nationality]],"_",Tableau1[[#This Row],[Competition_year]])</f>
        <v>Audrey WERRO_SUI_2021</v>
      </c>
      <c r="B233" s="9" t="s">
        <v>329</v>
      </c>
      <c r="C233" t="s">
        <v>29</v>
      </c>
      <c r="D233" s="10" t="s">
        <v>73</v>
      </c>
      <c r="E233">
        <v>14.6</v>
      </c>
      <c r="F233">
        <v>15.3</v>
      </c>
      <c r="G233">
        <v>15.4</v>
      </c>
      <c r="H233">
        <v>15.6</v>
      </c>
      <c r="I233">
        <v>16.5</v>
      </c>
      <c r="J233">
        <v>16.8</v>
      </c>
      <c r="K233">
        <v>16.399999999999999</v>
      </c>
      <c r="L233">
        <f>Tableau1[[#This Row],[Final_time]]-SUM(Tableau1[[#This Row],[0_100m]:[600_700m]])</f>
        <v>16.190000000000012</v>
      </c>
      <c r="M233">
        <v>126.79</v>
      </c>
      <c r="N233">
        <f>SUM(Tableau1[[#This Row],[0_100m]:[700_800m]])</f>
        <v>126.79</v>
      </c>
      <c r="O233">
        <f>ABS(Tableau1[[#This Row],[Final_time]]-Tableau1[[#This Row],[Sum_time]])</f>
        <v>0</v>
      </c>
      <c r="P233" s="8"/>
      <c r="Q233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33" t="s">
        <v>479</v>
      </c>
      <c r="S233" s="1" t="s">
        <v>68</v>
      </c>
      <c r="U233" s="1" t="s">
        <v>69</v>
      </c>
      <c r="V233" s="1">
        <v>44434</v>
      </c>
      <c r="W233" s="4">
        <f>YEAR(Tableau1[[#This Row],[Competition_date]])</f>
        <v>2021</v>
      </c>
      <c r="X233" s="4">
        <v>22</v>
      </c>
      <c r="Y233" s="6">
        <v>0.51</v>
      </c>
      <c r="Z233" s="4" t="s">
        <v>80</v>
      </c>
      <c r="AA233" t="s">
        <v>176</v>
      </c>
    </row>
    <row r="234" spans="1:27" hidden="1" x14ac:dyDescent="0.35">
      <c r="A234" t="str">
        <f>_xlfn.CONCAT(Tableau1[[#This Row],[Athletes]],"_",Tableau1[[#This Row],[Nationality]],"_",Tableau1[[#This Row],[Competition_year]])</f>
        <v>Lilly NÄGELI_SUI_2021</v>
      </c>
      <c r="B234" s="9" t="s">
        <v>480</v>
      </c>
      <c r="C234" t="s">
        <v>29</v>
      </c>
      <c r="D234" s="10" t="s">
        <v>73</v>
      </c>
      <c r="E234">
        <v>15.4</v>
      </c>
      <c r="F234">
        <v>15.1</v>
      </c>
      <c r="G234">
        <v>16.100000000000001</v>
      </c>
      <c r="H234">
        <v>15.8</v>
      </c>
      <c r="I234">
        <v>15.8</v>
      </c>
      <c r="J234">
        <v>16</v>
      </c>
      <c r="K234">
        <v>16.5</v>
      </c>
      <c r="L234">
        <f>Tableau1[[#This Row],[Final_time]]-SUM(Tableau1[[#This Row],[0_100m]:[600_700m]])</f>
        <v>16.179999999999993</v>
      </c>
      <c r="M234">
        <v>126.88</v>
      </c>
      <c r="N234">
        <f>SUM(Tableau1[[#This Row],[0_100m]:[700_800m]])</f>
        <v>126.88</v>
      </c>
      <c r="O234">
        <f>ABS(Tableau1[[#This Row],[Final_time]]-Tableau1[[#This Row],[Sum_time]])</f>
        <v>0</v>
      </c>
      <c r="P234" s="8"/>
      <c r="Q234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34" t="s">
        <v>479</v>
      </c>
      <c r="S234" s="1" t="s">
        <v>68</v>
      </c>
      <c r="U234" s="1" t="s">
        <v>69</v>
      </c>
      <c r="V234" s="1">
        <v>44434</v>
      </c>
      <c r="W234" s="4">
        <f>YEAR(Tableau1[[#This Row],[Competition_date]])</f>
        <v>2021</v>
      </c>
      <c r="X234" s="4">
        <v>22</v>
      </c>
      <c r="Y234" s="6">
        <v>0.51</v>
      </c>
      <c r="Z234" s="4" t="s">
        <v>80</v>
      </c>
      <c r="AA234" t="s">
        <v>176</v>
      </c>
    </row>
    <row r="235" spans="1:27" hidden="1" x14ac:dyDescent="0.35">
      <c r="A235" t="str">
        <f>_xlfn.CONCAT(Tableau1[[#This Row],[Athletes]],"_",Tableau1[[#This Row],[Nationality]],"_",Tableau1[[#This Row],[Competition_year]])</f>
        <v>Lea AMMANN_SUI_2021</v>
      </c>
      <c r="B235" s="9" t="s">
        <v>481</v>
      </c>
      <c r="C235" t="s">
        <v>29</v>
      </c>
      <c r="D235" s="10" t="s">
        <v>73</v>
      </c>
      <c r="E235">
        <v>15.4</v>
      </c>
      <c r="F235">
        <v>15.2</v>
      </c>
      <c r="G235">
        <v>16.2</v>
      </c>
      <c r="H235">
        <v>15.9</v>
      </c>
      <c r="I235">
        <v>15.7</v>
      </c>
      <c r="J235">
        <v>16.100000000000001</v>
      </c>
      <c r="K235">
        <v>16.5</v>
      </c>
      <c r="L235">
        <f>Tableau1[[#This Row],[Final_time]]-SUM(Tableau1[[#This Row],[0_100m]:[600_700m]])</f>
        <v>16.329999999999998</v>
      </c>
      <c r="M235">
        <v>127.33</v>
      </c>
      <c r="N235">
        <f>SUM(Tableau1[[#This Row],[0_100m]:[700_800m]])</f>
        <v>127.33</v>
      </c>
      <c r="O235">
        <f>ABS(Tableau1[[#This Row],[Final_time]]-Tableau1[[#This Row],[Sum_time]])</f>
        <v>0</v>
      </c>
      <c r="P235" s="8"/>
      <c r="Q235" s="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R235" t="s">
        <v>479</v>
      </c>
      <c r="S235" s="1" t="s">
        <v>68</v>
      </c>
      <c r="U235" s="1" t="s">
        <v>69</v>
      </c>
      <c r="V235" s="1">
        <v>44434</v>
      </c>
      <c r="W235" s="4">
        <f>YEAR(Tableau1[[#This Row],[Competition_date]])</f>
        <v>2021</v>
      </c>
      <c r="X235" s="4">
        <v>22</v>
      </c>
      <c r="Y235" s="6">
        <v>0.51</v>
      </c>
      <c r="Z235" s="4" t="s">
        <v>80</v>
      </c>
      <c r="AA235" t="s">
        <v>176</v>
      </c>
    </row>
    <row r="236" spans="1:27" hidden="1" x14ac:dyDescent="0.35">
      <c r="A236" t="str">
        <f>_xlfn.CONCAT(Tableau1[[#This Row],[Athletes]],"_",Tableau1[[#This Row],[Nationality]],"_",Tableau1[[#This Row],[Competition_year]])</f>
        <v>Marco AROP_CAN_2021</v>
      </c>
      <c r="B236" s="9" t="s">
        <v>177</v>
      </c>
      <c r="C236" s="9" t="s">
        <v>14</v>
      </c>
      <c r="D236" s="12" t="s">
        <v>19</v>
      </c>
      <c r="E236" s="9">
        <v>13.2</v>
      </c>
      <c r="F236" s="9">
        <v>12.2</v>
      </c>
      <c r="G236" s="9">
        <v>13.4</v>
      </c>
      <c r="H236" s="9">
        <v>13.3</v>
      </c>
      <c r="I236" s="9">
        <v>13.1</v>
      </c>
      <c r="J236" s="9">
        <v>13.3</v>
      </c>
      <c r="K236" s="9">
        <v>12.9</v>
      </c>
      <c r="L236">
        <f>Tableau1[[#This Row],[Final_time]]-SUM(Tableau1[[#This Row],[0_100m]:[600_700m]])</f>
        <v>13.100000000000009</v>
      </c>
      <c r="M236" s="9">
        <v>104.5</v>
      </c>
      <c r="N236">
        <f>SUM(Tableau1[[#This Row],[0_100m]:[700_800m]])</f>
        <v>104.5</v>
      </c>
      <c r="O236">
        <f>ABS(Tableau1[[#This Row],[Final_time]]-Tableau1[[#This Row],[Sum_time]])</f>
        <v>0</v>
      </c>
      <c r="P236" s="8"/>
      <c r="Q236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36" t="s">
        <v>479</v>
      </c>
      <c r="S236" s="1" t="s">
        <v>68</v>
      </c>
      <c r="U236" s="1" t="s">
        <v>69</v>
      </c>
      <c r="V236" s="1">
        <v>44434</v>
      </c>
      <c r="W236" s="4">
        <f>YEAR(Tableau1[[#This Row],[Competition_date]])</f>
        <v>2021</v>
      </c>
      <c r="X236" s="4">
        <v>22</v>
      </c>
      <c r="Y236" s="6">
        <v>0.51</v>
      </c>
      <c r="Z236" s="4" t="s">
        <v>80</v>
      </c>
      <c r="AA236" t="s">
        <v>176</v>
      </c>
    </row>
    <row r="237" spans="1:27" hidden="1" x14ac:dyDescent="0.35">
      <c r="A237" t="str">
        <f>_xlfn.CONCAT(Tableau1[[#This Row],[Athletes]],"_",Tableau1[[#This Row],[Nationality]],"_",Tableau1[[#This Row],[Competition_year]])</f>
        <v>Emmanuel Kipkurui KORIR_KEN_2021</v>
      </c>
      <c r="B237" s="9" t="s">
        <v>201</v>
      </c>
      <c r="C237" s="9" t="s">
        <v>14</v>
      </c>
      <c r="D237" s="12" t="s">
        <v>15</v>
      </c>
      <c r="E237" s="9">
        <v>12.8</v>
      </c>
      <c r="F237" s="9">
        <v>12.6</v>
      </c>
      <c r="G237" s="9">
        <v>13.8</v>
      </c>
      <c r="H237" s="9">
        <v>13.4</v>
      </c>
      <c r="I237" s="9">
        <v>13.3</v>
      </c>
      <c r="J237" s="9">
        <v>13.1</v>
      </c>
      <c r="K237" s="9">
        <v>12.7</v>
      </c>
      <c r="L237">
        <f>Tableau1[[#This Row],[Final_time]]-SUM(Tableau1[[#This Row],[0_100m]:[600_700m]])</f>
        <v>12.920000000000002</v>
      </c>
      <c r="M237" s="9">
        <v>104.62</v>
      </c>
      <c r="N237">
        <f>SUM(Tableau1[[#This Row],[0_100m]:[700_800m]])</f>
        <v>104.62</v>
      </c>
      <c r="O237">
        <f>ABS(Tableau1[[#This Row],[Final_time]]-Tableau1[[#This Row],[Sum_time]])</f>
        <v>0</v>
      </c>
      <c r="P237" s="8"/>
      <c r="Q237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37" t="s">
        <v>479</v>
      </c>
      <c r="S237" s="1" t="s">
        <v>68</v>
      </c>
      <c r="U237" s="1" t="s">
        <v>69</v>
      </c>
      <c r="V237" s="1">
        <v>44434</v>
      </c>
      <c r="W237" s="4">
        <f>YEAR(Tableau1[[#This Row],[Competition_date]])</f>
        <v>2021</v>
      </c>
      <c r="X237" s="4">
        <v>22</v>
      </c>
      <c r="Y237" s="6">
        <v>0.51</v>
      </c>
      <c r="Z237" s="4" t="s">
        <v>80</v>
      </c>
      <c r="AA237" t="s">
        <v>176</v>
      </c>
    </row>
    <row r="238" spans="1:27" hidden="1" x14ac:dyDescent="0.35">
      <c r="A238" t="str">
        <f>_xlfn.CONCAT(Tableau1[[#This Row],[Athletes]],"_",Tableau1[[#This Row],[Nationality]],"_",Tableau1[[#This Row],[Competition_year]])</f>
        <v>Ferguson Cheruiyot ROTICH_KEN_2021</v>
      </c>
      <c r="B238" s="9" t="s">
        <v>199</v>
      </c>
      <c r="C238" s="9" t="s">
        <v>14</v>
      </c>
      <c r="D238" s="12" t="s">
        <v>15</v>
      </c>
      <c r="E238" s="9">
        <v>12.7</v>
      </c>
      <c r="F238" s="9">
        <v>12.7</v>
      </c>
      <c r="G238" s="9">
        <v>13.6</v>
      </c>
      <c r="H238" s="9">
        <v>13.5</v>
      </c>
      <c r="I238" s="9">
        <v>13.3</v>
      </c>
      <c r="J238" s="9">
        <v>13.3</v>
      </c>
      <c r="K238" s="9">
        <v>13.1</v>
      </c>
      <c r="L238">
        <f>Tableau1[[#This Row],[Final_time]]-SUM(Tableau1[[#This Row],[0_100m]:[600_700m]])</f>
        <v>13.280000000000015</v>
      </c>
      <c r="M238" s="9">
        <v>105.48</v>
      </c>
      <c r="N238">
        <f>SUM(Tableau1[[#This Row],[0_100m]:[700_800m]])</f>
        <v>105.48</v>
      </c>
      <c r="O238">
        <f>ABS(Tableau1[[#This Row],[Final_time]]-Tableau1[[#This Row],[Sum_time]])</f>
        <v>0</v>
      </c>
      <c r="P238" s="8"/>
      <c r="Q238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38" t="s">
        <v>479</v>
      </c>
      <c r="S238" s="1" t="s">
        <v>68</v>
      </c>
      <c r="U238" s="1" t="s">
        <v>69</v>
      </c>
      <c r="V238" s="1">
        <v>44434</v>
      </c>
      <c r="W238" s="4">
        <f>YEAR(Tableau1[[#This Row],[Competition_date]])</f>
        <v>2021</v>
      </c>
      <c r="X238" s="4">
        <v>22</v>
      </c>
      <c r="Y238" s="6">
        <v>0.51</v>
      </c>
      <c r="Z238" s="4" t="s">
        <v>80</v>
      </c>
      <c r="AA238" t="s">
        <v>176</v>
      </c>
    </row>
    <row r="239" spans="1:27" hidden="1" x14ac:dyDescent="0.35">
      <c r="A239" t="str">
        <f>_xlfn.CONCAT(Tableau1[[#This Row],[Athletes]],"_",Tableau1[[#This Row],[Nationality]],"_",Tableau1[[#This Row],[Competition_year]])</f>
        <v>Gabriel TUAL_FRA_2021</v>
      </c>
      <c r="B239" s="9" t="s">
        <v>180</v>
      </c>
      <c r="C239" s="9" t="s">
        <v>14</v>
      </c>
      <c r="D239" s="12" t="s">
        <v>17</v>
      </c>
      <c r="E239" s="9">
        <v>12.8</v>
      </c>
      <c r="F239" s="9">
        <v>12.8</v>
      </c>
      <c r="G239" s="9">
        <v>13.9</v>
      </c>
      <c r="H239" s="9">
        <v>13.4</v>
      </c>
      <c r="I239" s="9">
        <v>13.4</v>
      </c>
      <c r="J239" s="9">
        <v>13.1</v>
      </c>
      <c r="K239" s="9">
        <v>13.2</v>
      </c>
      <c r="L239">
        <f>Tableau1[[#This Row],[Final_time]]-SUM(Tableau1[[#This Row],[0_100m]:[600_700m]])</f>
        <v>13.100000000000009</v>
      </c>
      <c r="M239" s="9">
        <v>105.7</v>
      </c>
      <c r="N239">
        <f>SUM(Tableau1[[#This Row],[0_100m]:[700_800m]])</f>
        <v>105.7</v>
      </c>
      <c r="O239">
        <f>ABS(Tableau1[[#This Row],[Final_time]]-Tableau1[[#This Row],[Sum_time]])</f>
        <v>0</v>
      </c>
      <c r="P239" s="8"/>
      <c r="Q239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39" t="s">
        <v>479</v>
      </c>
      <c r="S239" s="1" t="s">
        <v>68</v>
      </c>
      <c r="U239" s="1" t="s">
        <v>69</v>
      </c>
      <c r="V239" s="1">
        <v>44434</v>
      </c>
      <c r="W239" s="4">
        <f>YEAR(Tableau1[[#This Row],[Competition_date]])</f>
        <v>2021</v>
      </c>
      <c r="X239" s="4">
        <v>22</v>
      </c>
      <c r="Y239" s="6">
        <v>0.51</v>
      </c>
      <c r="Z239" s="4" t="s">
        <v>80</v>
      </c>
      <c r="AA239" t="s">
        <v>176</v>
      </c>
    </row>
    <row r="240" spans="1:27" hidden="1" x14ac:dyDescent="0.35">
      <c r="A240" t="str">
        <f>_xlfn.CONCAT(Tableau1[[#This Row],[Athletes]],"_",Tableau1[[#This Row],[Nationality]],"_",Tableau1[[#This Row],[Competition_year]])</f>
        <v>Clayton MURPHY_USA_2021</v>
      </c>
      <c r="B240" s="9" t="s">
        <v>203</v>
      </c>
      <c r="C240" s="9" t="s">
        <v>14</v>
      </c>
      <c r="D240" s="12" t="s">
        <v>35</v>
      </c>
      <c r="E240" s="9">
        <v>12.7</v>
      </c>
      <c r="F240" s="9">
        <v>13.1</v>
      </c>
      <c r="G240" s="9">
        <v>13.9</v>
      </c>
      <c r="H240" s="9">
        <v>13.6</v>
      </c>
      <c r="I240" s="9">
        <v>13.2</v>
      </c>
      <c r="J240" s="9">
        <v>13.1</v>
      </c>
      <c r="K240" s="9">
        <v>13.2</v>
      </c>
      <c r="L240">
        <f>Tableau1[[#This Row],[Final_time]]-SUM(Tableau1[[#This Row],[0_100m]:[600_700m]])</f>
        <v>12.969999999999999</v>
      </c>
      <c r="M240" s="9">
        <v>105.77</v>
      </c>
      <c r="N240">
        <f>SUM(Tableau1[[#This Row],[0_100m]:[700_800m]])</f>
        <v>105.77</v>
      </c>
      <c r="O240">
        <f>ABS(Tableau1[[#This Row],[Final_time]]-Tableau1[[#This Row],[Sum_time]])</f>
        <v>0</v>
      </c>
      <c r="P240" s="8"/>
      <c r="Q240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40" t="s">
        <v>479</v>
      </c>
      <c r="S240" s="1" t="s">
        <v>68</v>
      </c>
      <c r="U240" s="1" t="s">
        <v>69</v>
      </c>
      <c r="V240" s="1">
        <v>44434</v>
      </c>
      <c r="W240" s="4">
        <f>YEAR(Tableau1[[#This Row],[Competition_date]])</f>
        <v>2021</v>
      </c>
      <c r="X240" s="4">
        <v>22</v>
      </c>
      <c r="Y240" s="6">
        <v>0.51</v>
      </c>
      <c r="Z240" s="4" t="s">
        <v>80</v>
      </c>
      <c r="AA240" t="s">
        <v>176</v>
      </c>
    </row>
    <row r="241" spans="1:27" hidden="1" x14ac:dyDescent="0.35">
      <c r="A241" t="str">
        <f>_xlfn.CONCAT(Tableau1[[#This Row],[Athletes]],"_",Tableau1[[#This Row],[Nationality]],"_",Tableau1[[#This Row],[Competition_year]])</f>
        <v>Amel TUKA_BIH_2021</v>
      </c>
      <c r="B241" s="9" t="s">
        <v>196</v>
      </c>
      <c r="C241" s="9" t="s">
        <v>14</v>
      </c>
      <c r="D241" s="12" t="s">
        <v>120</v>
      </c>
      <c r="E241" s="9">
        <v>12.7</v>
      </c>
      <c r="F241" s="9">
        <v>12.9</v>
      </c>
      <c r="G241" s="9">
        <v>13.8</v>
      </c>
      <c r="H241" s="9">
        <v>13.4</v>
      </c>
      <c r="I241" s="9">
        <v>13.3</v>
      </c>
      <c r="J241" s="9">
        <v>13.1</v>
      </c>
      <c r="K241" s="9">
        <v>13.3</v>
      </c>
      <c r="L241">
        <f>Tableau1[[#This Row],[Final_time]]-SUM(Tableau1[[#This Row],[0_100m]:[600_700m]])</f>
        <v>13.480000000000004</v>
      </c>
      <c r="M241" s="9">
        <v>105.98</v>
      </c>
      <c r="N241">
        <f>SUM(Tableau1[[#This Row],[0_100m]:[700_800m]])</f>
        <v>105.98</v>
      </c>
      <c r="O241">
        <f>ABS(Tableau1[[#This Row],[Final_time]]-Tableau1[[#This Row],[Sum_time]])</f>
        <v>0</v>
      </c>
      <c r="P241" s="8"/>
      <c r="Q241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41" t="s">
        <v>479</v>
      </c>
      <c r="S241" s="1" t="s">
        <v>68</v>
      </c>
      <c r="U241" s="1" t="s">
        <v>69</v>
      </c>
      <c r="V241" s="1">
        <v>44434</v>
      </c>
      <c r="W241" s="4">
        <f>YEAR(Tableau1[[#This Row],[Competition_date]])</f>
        <v>2021</v>
      </c>
      <c r="X241" s="4">
        <v>22</v>
      </c>
      <c r="Y241" s="6">
        <v>0.51</v>
      </c>
      <c r="Z241" s="4" t="s">
        <v>80</v>
      </c>
      <c r="AA241" t="s">
        <v>176</v>
      </c>
    </row>
    <row r="242" spans="1:27" hidden="1" x14ac:dyDescent="0.35">
      <c r="A242" t="str">
        <f>_xlfn.CONCAT(Tableau1[[#This Row],[Athletes]],"_",Tableau1[[#This Row],[Nationality]],"_",Tableau1[[#This Row],[Competition_year]])</f>
        <v>Cornelius TUWEI_KEN_2021</v>
      </c>
      <c r="B242" s="9" t="s">
        <v>463</v>
      </c>
      <c r="C242" s="9" t="s">
        <v>14</v>
      </c>
      <c r="D242" s="12" t="s">
        <v>15</v>
      </c>
      <c r="E242" s="9">
        <v>12.7</v>
      </c>
      <c r="F242" s="9">
        <v>13</v>
      </c>
      <c r="G242" s="9">
        <v>13.9</v>
      </c>
      <c r="H242" s="9">
        <v>13.5</v>
      </c>
      <c r="I242" s="9">
        <v>13.3</v>
      </c>
      <c r="J242" s="9">
        <v>13.1</v>
      </c>
      <c r="K242" s="9">
        <v>13.6</v>
      </c>
      <c r="L242">
        <f>Tableau1[[#This Row],[Final_time]]-SUM(Tableau1[[#This Row],[0_100m]:[600_700m]])</f>
        <v>13.430000000000007</v>
      </c>
      <c r="M242" s="9">
        <v>106.53</v>
      </c>
      <c r="N242">
        <f>SUM(Tableau1[[#This Row],[0_100m]:[700_800m]])</f>
        <v>106.53</v>
      </c>
      <c r="O242">
        <f>ABS(Tableau1[[#This Row],[Final_time]]-Tableau1[[#This Row],[Sum_time]])</f>
        <v>0</v>
      </c>
      <c r="P242" s="8"/>
      <c r="Q242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42" t="s">
        <v>479</v>
      </c>
      <c r="S242" s="1" t="s">
        <v>68</v>
      </c>
      <c r="U242" s="1" t="s">
        <v>69</v>
      </c>
      <c r="V242" s="1">
        <v>44434</v>
      </c>
      <c r="W242" s="4">
        <f>YEAR(Tableau1[[#This Row],[Competition_date]])</f>
        <v>2021</v>
      </c>
      <c r="X242" s="4">
        <v>22</v>
      </c>
      <c r="Y242" s="6">
        <v>0.51</v>
      </c>
      <c r="Z242" s="4" t="s">
        <v>80</v>
      </c>
      <c r="AA242" t="s">
        <v>176</v>
      </c>
    </row>
    <row r="243" spans="1:27" hidden="1" x14ac:dyDescent="0.35">
      <c r="A243" t="str">
        <f>_xlfn.CONCAT(Tableau1[[#This Row],[Athletes]],"_",Tableau1[[#This Row],[Nationality]],"_",Tableau1[[#This Row],[Competition_year]])</f>
        <v>Adrián BEN_ESP_2021</v>
      </c>
      <c r="B243" s="9" t="s">
        <v>184</v>
      </c>
      <c r="C243" s="9" t="s">
        <v>14</v>
      </c>
      <c r="D243" s="12" t="s">
        <v>37</v>
      </c>
      <c r="E243" s="9">
        <v>12.7</v>
      </c>
      <c r="F243" s="9">
        <v>12.7</v>
      </c>
      <c r="G243" s="9">
        <v>13.7</v>
      </c>
      <c r="H243" s="9">
        <v>13.6</v>
      </c>
      <c r="I243" s="9">
        <v>13.4</v>
      </c>
      <c r="J243" s="9">
        <v>13.2</v>
      </c>
      <c r="K243" s="9">
        <v>13.5</v>
      </c>
      <c r="L243">
        <f>Tableau1[[#This Row],[Final_time]]-SUM(Tableau1[[#This Row],[0_100m]:[600_700m]])</f>
        <v>13.939999999999998</v>
      </c>
      <c r="M243" s="9">
        <v>106.74</v>
      </c>
      <c r="N243">
        <f>SUM(Tableau1[[#This Row],[0_100m]:[700_800m]])</f>
        <v>106.74</v>
      </c>
      <c r="O243">
        <f>ABS(Tableau1[[#This Row],[Final_time]]-Tableau1[[#This Row],[Sum_time]])</f>
        <v>0</v>
      </c>
      <c r="P243" s="8"/>
      <c r="Q243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43" t="s">
        <v>479</v>
      </c>
      <c r="S243" s="1" t="s">
        <v>68</v>
      </c>
      <c r="U243" s="1" t="s">
        <v>69</v>
      </c>
      <c r="V243" s="1">
        <v>44434</v>
      </c>
      <c r="W243" s="4">
        <f>YEAR(Tableau1[[#This Row],[Competition_date]])</f>
        <v>2021</v>
      </c>
      <c r="X243" s="4">
        <v>22</v>
      </c>
      <c r="Y243" s="6">
        <v>0.51</v>
      </c>
      <c r="Z243" s="4" t="s">
        <v>80</v>
      </c>
      <c r="AA243" t="s">
        <v>176</v>
      </c>
    </row>
    <row r="244" spans="1:27" hidden="1" x14ac:dyDescent="0.35">
      <c r="A244" t="str">
        <f>_xlfn.CONCAT(Tableau1[[#This Row],[Athletes]],"_",Tableau1[[#This Row],[Nationality]],"_",Tableau1[[#This Row],[Competition_year]])</f>
        <v>Peter BOL_AUS_2021</v>
      </c>
      <c r="B244" s="9" t="s">
        <v>127</v>
      </c>
      <c r="C244" s="9" t="s">
        <v>14</v>
      </c>
      <c r="D244" s="12" t="s">
        <v>36</v>
      </c>
      <c r="E244" s="9">
        <v>13.2</v>
      </c>
      <c r="F244" s="9">
        <v>12.8</v>
      </c>
      <c r="G244" s="9">
        <v>13.9</v>
      </c>
      <c r="H244" s="9">
        <v>13.6</v>
      </c>
      <c r="I244" s="9">
        <v>13.3</v>
      </c>
      <c r="J244" s="9">
        <v>13.2</v>
      </c>
      <c r="K244" s="9">
        <v>13.3</v>
      </c>
      <c r="L244">
        <f>Tableau1[[#This Row],[Final_time]]-SUM(Tableau1[[#This Row],[0_100m]:[600_700m]])</f>
        <v>14.189999999999998</v>
      </c>
      <c r="M244" s="9">
        <v>107.49</v>
      </c>
      <c r="N244">
        <f>SUM(Tableau1[[#This Row],[0_100m]:[700_800m]])</f>
        <v>107.49</v>
      </c>
      <c r="O244">
        <f>ABS(Tableau1[[#This Row],[Final_time]]-Tableau1[[#This Row],[Sum_time]])</f>
        <v>0</v>
      </c>
      <c r="P244" s="8"/>
      <c r="Q244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44" t="s">
        <v>479</v>
      </c>
      <c r="S244" s="1" t="s">
        <v>68</v>
      </c>
      <c r="U244" s="1" t="s">
        <v>69</v>
      </c>
      <c r="V244" s="1">
        <v>44434</v>
      </c>
      <c r="W244" s="4">
        <f>YEAR(Tableau1[[#This Row],[Competition_date]])</f>
        <v>2021</v>
      </c>
      <c r="X244" s="4">
        <v>22</v>
      </c>
      <c r="Y244" s="6">
        <v>0.51</v>
      </c>
      <c r="Z244" s="4" t="s">
        <v>80</v>
      </c>
      <c r="AA244" t="s">
        <v>176</v>
      </c>
    </row>
    <row r="245" spans="1:27" hidden="1" x14ac:dyDescent="0.35">
      <c r="A245" t="str">
        <f>_xlfn.CONCAT(Tableau1[[#This Row],[Athletes]],"_",Tableau1[[#This Row],[Nationality]],"_",Tableau1[[#This Row],[Competition_year]])</f>
        <v>Patryk DOBEK_POL_2021</v>
      </c>
      <c r="B245" s="9" t="s">
        <v>253</v>
      </c>
      <c r="C245" s="9" t="s">
        <v>14</v>
      </c>
      <c r="D245" s="12" t="s">
        <v>88</v>
      </c>
      <c r="E245" s="9">
        <v>13.1</v>
      </c>
      <c r="F245" s="9">
        <v>12.8</v>
      </c>
      <c r="G245" s="9">
        <v>13.8</v>
      </c>
      <c r="H245" s="9">
        <v>13.5</v>
      </c>
      <c r="I245" s="9">
        <v>13.5</v>
      </c>
      <c r="J245" s="9">
        <v>13.6</v>
      </c>
      <c r="K245" s="9">
        <v>14.4</v>
      </c>
      <c r="L245">
        <f>Tableau1[[#This Row],[Final_time]]-SUM(Tableau1[[#This Row],[0_100m]:[600_700m]])</f>
        <v>15.899999999999991</v>
      </c>
      <c r="M245" s="9">
        <v>110.6</v>
      </c>
      <c r="N245">
        <f>SUM(Tableau1[[#This Row],[0_100m]:[700_800m]])</f>
        <v>110.6</v>
      </c>
      <c r="O245">
        <f>ABS(Tableau1[[#This Row],[Final_time]]-Tableau1[[#This Row],[Sum_time]])</f>
        <v>0</v>
      </c>
      <c r="P245" s="8"/>
      <c r="Q245" s="16" t="str">
        <f>_xlfn.CONCAT(Tableau1[[#This Row],[Competition]],"_",Tableau1[[#This Row],[Championship_step]],"_",Tableau1[[#This Row],[Competition_date]],"_",Tableau1[[#This Row],[Gender]])</f>
        <v>Diamond League Lausanne 2021__44434_Male</v>
      </c>
      <c r="R245" t="s">
        <v>479</v>
      </c>
      <c r="S245" s="1" t="s">
        <v>68</v>
      </c>
      <c r="U245" s="1" t="s">
        <v>69</v>
      </c>
      <c r="V245" s="1">
        <v>44434</v>
      </c>
      <c r="W245" s="4">
        <f>YEAR(Tableau1[[#This Row],[Competition_date]])</f>
        <v>2021</v>
      </c>
      <c r="X245" s="4">
        <v>22</v>
      </c>
      <c r="Y245" s="6">
        <v>0.51</v>
      </c>
      <c r="Z245" s="4" t="s">
        <v>80</v>
      </c>
      <c r="AA245" t="s">
        <v>176</v>
      </c>
    </row>
    <row r="246" spans="1:27" hidden="1" x14ac:dyDescent="0.35">
      <c r="A246" t="str">
        <f>_xlfn.CONCAT(Tableau1[[#This Row],[Athletes]],"_",Tableau1[[#This Row],[Nationality]],"_",Tableau1[[#This Row],[Competition_year]])</f>
        <v>Rénelle LAMOTE_FRA_2022</v>
      </c>
      <c r="B246" s="9" t="s">
        <v>225</v>
      </c>
      <c r="C246" s="9" t="s">
        <v>29</v>
      </c>
      <c r="D246" s="12" t="s">
        <v>17</v>
      </c>
      <c r="E246" s="9">
        <v>13.7</v>
      </c>
      <c r="F246" s="9">
        <v>13.3</v>
      </c>
      <c r="G246" s="9">
        <v>15.3</v>
      </c>
      <c r="H246" s="9">
        <v>15.5</v>
      </c>
      <c r="I246" s="9">
        <v>15.2</v>
      </c>
      <c r="J246" s="9">
        <v>14.7</v>
      </c>
      <c r="K246" s="9">
        <v>14.8</v>
      </c>
      <c r="L246">
        <f>Tableau1[[#This Row],[Final_time]]-SUM(Tableau1[[#This Row],[0_100m]:[600_700m]])</f>
        <v>15.340000000000003</v>
      </c>
      <c r="M246" s="9">
        <v>117.84</v>
      </c>
      <c r="N246">
        <f>SUM(Tableau1[[#This Row],[0_100m]:[700_800m]])</f>
        <v>117.84</v>
      </c>
      <c r="O246">
        <f>ABS(Tableau1[[#This Row],[Final_time]]-Tableau1[[#This Row],[Sum_time]])</f>
        <v>0</v>
      </c>
      <c r="P246" s="8"/>
      <c r="Q246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46" t="s">
        <v>347</v>
      </c>
      <c r="S246" s="1" t="s">
        <v>68</v>
      </c>
      <c r="U246" s="1" t="s">
        <v>69</v>
      </c>
      <c r="V246" s="1">
        <v>44799</v>
      </c>
      <c r="W246" s="4">
        <f>YEAR(Tableau1[[#This Row],[Competition_date]])</f>
        <v>2022</v>
      </c>
      <c r="X246" s="4">
        <v>22</v>
      </c>
      <c r="Y246" s="6">
        <v>0.56999999999999995</v>
      </c>
      <c r="Z246" s="4" t="s">
        <v>80</v>
      </c>
      <c r="AA246" t="s">
        <v>176</v>
      </c>
    </row>
    <row r="247" spans="1:27" hidden="1" x14ac:dyDescent="0.35">
      <c r="A247" t="str">
        <f>_xlfn.CONCAT(Tableau1[[#This Row],[Athletes]],"_",Tableau1[[#This Row],[Nationality]],"_",Tableau1[[#This Row],[Competition_year]])</f>
        <v>Allie WILSON_USA_2022</v>
      </c>
      <c r="B247" s="9" t="s">
        <v>345</v>
      </c>
      <c r="C247" s="9" t="s">
        <v>29</v>
      </c>
      <c r="D247" s="12" t="s">
        <v>35</v>
      </c>
      <c r="E247" s="9">
        <v>13.8</v>
      </c>
      <c r="F247" s="9">
        <v>13.5</v>
      </c>
      <c r="G247" s="9">
        <v>15.3</v>
      </c>
      <c r="H247" s="9">
        <v>15.4</v>
      </c>
      <c r="I247" s="9">
        <v>15.3</v>
      </c>
      <c r="J247" s="9">
        <v>14.5</v>
      </c>
      <c r="K247" s="9">
        <v>14.9</v>
      </c>
      <c r="L247">
        <f>Tableau1[[#This Row],[Final_time]]-SUM(Tableau1[[#This Row],[0_100m]:[600_700m]])</f>
        <v>15.39</v>
      </c>
      <c r="M247" s="9">
        <v>118.09</v>
      </c>
      <c r="N247">
        <f>SUM(Tableau1[[#This Row],[0_100m]:[700_800m]])</f>
        <v>118.09</v>
      </c>
      <c r="O247">
        <f>ABS(Tableau1[[#This Row],[Final_time]]-Tableau1[[#This Row],[Sum_time]])</f>
        <v>0</v>
      </c>
      <c r="P247" s="8"/>
      <c r="Q247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47" t="s">
        <v>347</v>
      </c>
      <c r="S247" s="1" t="s">
        <v>68</v>
      </c>
      <c r="U247" s="1" t="s">
        <v>69</v>
      </c>
      <c r="V247" s="1">
        <v>44799</v>
      </c>
      <c r="W247" s="4">
        <f>YEAR(Tableau1[[#This Row],[Competition_date]])</f>
        <v>2022</v>
      </c>
      <c r="X247" s="4">
        <v>22</v>
      </c>
      <c r="Y247" s="6">
        <v>0.56999999999999995</v>
      </c>
      <c r="Z247" s="4" t="s">
        <v>80</v>
      </c>
      <c r="AA247" t="s">
        <v>176</v>
      </c>
    </row>
    <row r="248" spans="1:27" hidden="1" x14ac:dyDescent="0.35">
      <c r="A248" t="str">
        <f>_xlfn.CONCAT(Tableau1[[#This Row],[Athletes]],"_",Tableau1[[#This Row],[Nationality]],"_",Tableau1[[#This Row],[Competition_year]])</f>
        <v>Jemma REEKIE_GBR_2022</v>
      </c>
      <c r="B248" s="9" t="s">
        <v>220</v>
      </c>
      <c r="C248" s="9" t="s">
        <v>29</v>
      </c>
      <c r="D248" s="12" t="s">
        <v>30</v>
      </c>
      <c r="E248" s="9">
        <v>13.9</v>
      </c>
      <c r="F248" s="9">
        <v>13.7</v>
      </c>
      <c r="G248" s="9">
        <v>15.3</v>
      </c>
      <c r="H248" s="9">
        <v>15.5</v>
      </c>
      <c r="I248" s="9">
        <v>15.5</v>
      </c>
      <c r="J248" s="9">
        <v>14.9</v>
      </c>
      <c r="K248" s="9">
        <v>14.7</v>
      </c>
      <c r="L248">
        <f>Tableau1[[#This Row],[Final_time]]-SUM(Tableau1[[#This Row],[0_100m]:[600_700m]])</f>
        <v>15.499999999999986</v>
      </c>
      <c r="M248" s="9">
        <v>119</v>
      </c>
      <c r="N248">
        <f>SUM(Tableau1[[#This Row],[0_100m]:[700_800m]])</f>
        <v>119</v>
      </c>
      <c r="O248">
        <f>ABS(Tableau1[[#This Row],[Final_time]]-Tableau1[[#This Row],[Sum_time]])</f>
        <v>0</v>
      </c>
      <c r="P248" s="8"/>
      <c r="Q248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48" t="s">
        <v>347</v>
      </c>
      <c r="S248" s="1" t="s">
        <v>68</v>
      </c>
      <c r="U248" s="1" t="s">
        <v>69</v>
      </c>
      <c r="V248" s="1">
        <v>44799</v>
      </c>
      <c r="W248" s="4">
        <f>YEAR(Tableau1[[#This Row],[Competition_date]])</f>
        <v>2022</v>
      </c>
      <c r="X248" s="4">
        <v>22</v>
      </c>
      <c r="Y248" s="6">
        <v>0.56999999999999995</v>
      </c>
      <c r="Z248" s="4" t="s">
        <v>80</v>
      </c>
      <c r="AA248" t="s">
        <v>176</v>
      </c>
    </row>
    <row r="249" spans="1:27" hidden="1" x14ac:dyDescent="0.35">
      <c r="A249" t="str">
        <f>_xlfn.CONCAT(Tableau1[[#This Row],[Athletes]],"_",Tableau1[[#This Row],[Nationality]],"_",Tableau1[[#This Row],[Competition_year]])</f>
        <v>Halimah NAKAAYI_UGA_2022</v>
      </c>
      <c r="B249" s="9" t="s">
        <v>230</v>
      </c>
      <c r="C249" s="9" t="s">
        <v>29</v>
      </c>
      <c r="D249" s="12" t="s">
        <v>34</v>
      </c>
      <c r="E249" s="9">
        <v>13.7</v>
      </c>
      <c r="F249" s="9">
        <v>13.5</v>
      </c>
      <c r="G249" s="9">
        <v>15.5</v>
      </c>
      <c r="H249" s="9">
        <v>15.5</v>
      </c>
      <c r="I249" s="9">
        <v>15.4</v>
      </c>
      <c r="J249" s="9">
        <v>15.2</v>
      </c>
      <c r="K249" s="9">
        <v>15.2</v>
      </c>
      <c r="L249">
        <f>Tableau1[[#This Row],[Final_time]]-SUM(Tableau1[[#This Row],[0_100m]:[600_700m]])</f>
        <v>15.72999999999999</v>
      </c>
      <c r="M249" s="9">
        <v>119.73</v>
      </c>
      <c r="N249">
        <f>SUM(Tableau1[[#This Row],[0_100m]:[700_800m]])</f>
        <v>119.73</v>
      </c>
      <c r="O249">
        <f>ABS(Tableau1[[#This Row],[Final_time]]-Tableau1[[#This Row],[Sum_time]])</f>
        <v>0</v>
      </c>
      <c r="P249" s="8"/>
      <c r="Q249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49" t="s">
        <v>347</v>
      </c>
      <c r="S249" s="1" t="s">
        <v>68</v>
      </c>
      <c r="U249" s="1" t="s">
        <v>69</v>
      </c>
      <c r="V249" s="1">
        <v>44799</v>
      </c>
      <c r="W249" s="4">
        <f>YEAR(Tableau1[[#This Row],[Competition_date]])</f>
        <v>2022</v>
      </c>
      <c r="X249" s="4">
        <v>22</v>
      </c>
      <c r="Y249" s="6">
        <v>0.56999999999999995</v>
      </c>
      <c r="Z249" s="4" t="s">
        <v>80</v>
      </c>
      <c r="AA249" t="s">
        <v>176</v>
      </c>
    </row>
    <row r="250" spans="1:27" hidden="1" x14ac:dyDescent="0.35">
      <c r="A250" t="str">
        <f>_xlfn.CONCAT(Tableau1[[#This Row],[Athletes]],"_",Tableau1[[#This Row],[Nationality]],"_",Tableau1[[#This Row],[Competition_year]])</f>
        <v>Audrey WERRO_SUI_2022</v>
      </c>
      <c r="B250" s="9" t="s">
        <v>329</v>
      </c>
      <c r="C250" s="9" t="s">
        <v>29</v>
      </c>
      <c r="D250" s="12" t="s">
        <v>73</v>
      </c>
      <c r="E250" s="9">
        <v>13.8</v>
      </c>
      <c r="F250" s="9">
        <v>13.1</v>
      </c>
      <c r="G250" s="9">
        <v>15.1</v>
      </c>
      <c r="H250" s="9">
        <v>15.6</v>
      </c>
      <c r="I250" s="9">
        <v>15.3</v>
      </c>
      <c r="J250" s="9">
        <v>15.2</v>
      </c>
      <c r="K250" s="9">
        <v>15.2</v>
      </c>
      <c r="L250">
        <f>Tableau1[[#This Row],[Final_time]]-SUM(Tableau1[[#This Row],[0_100m]:[600_700m]])</f>
        <v>16.569999999999993</v>
      </c>
      <c r="M250" s="9">
        <v>119.87</v>
      </c>
      <c r="N250">
        <f>SUM(Tableau1[[#This Row],[0_100m]:[700_800m]])</f>
        <v>119.87</v>
      </c>
      <c r="O250">
        <f>ABS(Tableau1[[#This Row],[Final_time]]-Tableau1[[#This Row],[Sum_time]])</f>
        <v>0</v>
      </c>
      <c r="P250" s="8"/>
      <c r="Q250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0" t="s">
        <v>347</v>
      </c>
      <c r="S250" s="1" t="s">
        <v>68</v>
      </c>
      <c r="U250" s="1" t="s">
        <v>69</v>
      </c>
      <c r="V250" s="1">
        <v>44799</v>
      </c>
      <c r="W250" s="4">
        <f>YEAR(Tableau1[[#This Row],[Competition_date]])</f>
        <v>2022</v>
      </c>
      <c r="X250" s="4">
        <v>22</v>
      </c>
      <c r="Y250" s="6">
        <v>0.56999999999999995</v>
      </c>
      <c r="Z250" s="4" t="s">
        <v>80</v>
      </c>
      <c r="AA250" t="s">
        <v>176</v>
      </c>
    </row>
    <row r="251" spans="1:27" hidden="1" x14ac:dyDescent="0.35">
      <c r="A251" t="str">
        <f>_xlfn.CONCAT(Tableau1[[#This Row],[Athletes]],"_",Tableau1[[#This Row],[Nationality]],"_",Tableau1[[#This Row],[Competition_year]])</f>
        <v>Sinclaire JOHNSON_USA_2022</v>
      </c>
      <c r="B251" s="9" t="s">
        <v>348</v>
      </c>
      <c r="C251" s="9" t="s">
        <v>29</v>
      </c>
      <c r="D251" s="12" t="s">
        <v>35</v>
      </c>
      <c r="E251" s="9">
        <v>14.1</v>
      </c>
      <c r="F251" s="9">
        <v>13.6</v>
      </c>
      <c r="G251" s="9">
        <v>15.6</v>
      </c>
      <c r="H251" s="9">
        <v>15.1</v>
      </c>
      <c r="I251" s="9">
        <v>15.4</v>
      </c>
      <c r="J251" s="9">
        <v>14.9</v>
      </c>
      <c r="K251" s="9">
        <v>15.5</v>
      </c>
      <c r="L251">
        <f>Tableau1[[#This Row],[Final_time]]-SUM(Tableau1[[#This Row],[0_100m]:[600_700m]])</f>
        <v>15.700000000000003</v>
      </c>
      <c r="M251" s="9">
        <v>119.9</v>
      </c>
      <c r="N251">
        <f>SUM(Tableau1[[#This Row],[0_100m]:[700_800m]])</f>
        <v>119.9</v>
      </c>
      <c r="O251">
        <f>ABS(Tableau1[[#This Row],[Final_time]]-Tableau1[[#This Row],[Sum_time]])</f>
        <v>0</v>
      </c>
      <c r="P251" s="8"/>
      <c r="Q251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1" t="s">
        <v>347</v>
      </c>
      <c r="S251" s="1" t="s">
        <v>68</v>
      </c>
      <c r="U251" s="1" t="s">
        <v>69</v>
      </c>
      <c r="V251" s="1">
        <v>44799</v>
      </c>
      <c r="W251" s="4">
        <f>YEAR(Tableau1[[#This Row],[Competition_date]])</f>
        <v>2022</v>
      </c>
      <c r="X251" s="4">
        <v>22</v>
      </c>
      <c r="Y251" s="6">
        <v>0.56999999999999995</v>
      </c>
      <c r="Z251" s="4" t="s">
        <v>80</v>
      </c>
      <c r="AA251" t="s">
        <v>176</v>
      </c>
    </row>
    <row r="252" spans="1:27" hidden="1" x14ac:dyDescent="0.35">
      <c r="A252" t="str">
        <f>_xlfn.CONCAT(Tableau1[[#This Row],[Athletes]],"_",Tableau1[[#This Row],[Nationality]],"_",Tableau1[[#This Row],[Competition_year]])</f>
        <v>Anna WIELGOSZ_POL_2022</v>
      </c>
      <c r="B252" s="9" t="s">
        <v>276</v>
      </c>
      <c r="C252" s="9" t="s">
        <v>29</v>
      </c>
      <c r="D252" s="12" t="s">
        <v>88</v>
      </c>
      <c r="E252" s="9">
        <v>13.9</v>
      </c>
      <c r="F252" s="9">
        <v>13.5</v>
      </c>
      <c r="G252" s="9">
        <v>15.2</v>
      </c>
      <c r="H252" s="9">
        <v>15.6</v>
      </c>
      <c r="I252" s="9">
        <v>15.5</v>
      </c>
      <c r="J252" s="9">
        <v>15.3</v>
      </c>
      <c r="K252" s="9">
        <v>15.4</v>
      </c>
      <c r="L252">
        <f>Tableau1[[#This Row],[Final_time]]-SUM(Tableau1[[#This Row],[0_100m]:[600_700m]])</f>
        <v>15.670000000000002</v>
      </c>
      <c r="M252" s="9">
        <v>120.07</v>
      </c>
      <c r="N252">
        <f>SUM(Tableau1[[#This Row],[0_100m]:[700_800m]])</f>
        <v>120.07</v>
      </c>
      <c r="O252">
        <f>ABS(Tableau1[[#This Row],[Final_time]]-Tableau1[[#This Row],[Sum_time]])</f>
        <v>0</v>
      </c>
      <c r="P252" s="8"/>
      <c r="Q252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2" t="s">
        <v>347</v>
      </c>
      <c r="S252" s="1" t="s">
        <v>68</v>
      </c>
      <c r="U252" s="1" t="s">
        <v>69</v>
      </c>
      <c r="V252" s="1">
        <v>44799</v>
      </c>
      <c r="W252" s="4">
        <f>YEAR(Tableau1[[#This Row],[Competition_date]])</f>
        <v>2022</v>
      </c>
      <c r="X252" s="4">
        <v>22</v>
      </c>
      <c r="Y252" s="6">
        <v>0.56999999999999995</v>
      </c>
      <c r="Z252" s="4" t="s">
        <v>80</v>
      </c>
      <c r="AA252" t="s">
        <v>176</v>
      </c>
    </row>
    <row r="253" spans="1:27" hidden="1" x14ac:dyDescent="0.35">
      <c r="A253" t="str">
        <f>_xlfn.CONCAT(Tableau1[[#This Row],[Athletes]],"_",Tableau1[[#This Row],[Nationality]],"_",Tableau1[[#This Row],[Competition_year]])</f>
        <v>Lore HOFFMANN_SUI_2022</v>
      </c>
      <c r="B253" s="9" t="s">
        <v>224</v>
      </c>
      <c r="C253" s="9" t="s">
        <v>29</v>
      </c>
      <c r="D253" s="12" t="s">
        <v>73</v>
      </c>
      <c r="E253" s="9">
        <v>13.9</v>
      </c>
      <c r="F253" s="9">
        <v>13.3</v>
      </c>
      <c r="G253" s="9">
        <v>15.3</v>
      </c>
      <c r="H253" s="9">
        <v>15.5</v>
      </c>
      <c r="I253" s="9">
        <v>15.3</v>
      </c>
      <c r="J253" s="9">
        <v>15</v>
      </c>
      <c r="K253" s="9">
        <v>15.2</v>
      </c>
      <c r="L253">
        <f>Tableau1[[#This Row],[Final_time]]-SUM(Tableau1[[#This Row],[0_100m]:[600_700m]])</f>
        <v>16.579999999999998</v>
      </c>
      <c r="M253" s="9">
        <v>120.08</v>
      </c>
      <c r="N253">
        <f>SUM(Tableau1[[#This Row],[0_100m]:[700_800m]])</f>
        <v>120.08</v>
      </c>
      <c r="O253">
        <f>ABS(Tableau1[[#This Row],[Final_time]]-Tableau1[[#This Row],[Sum_time]])</f>
        <v>0</v>
      </c>
      <c r="P253" s="8"/>
      <c r="Q253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3" t="s">
        <v>347</v>
      </c>
      <c r="S253" s="1" t="s">
        <v>68</v>
      </c>
      <c r="U253" s="1" t="s">
        <v>69</v>
      </c>
      <c r="V253" s="1">
        <v>44799</v>
      </c>
      <c r="W253" s="4">
        <f>YEAR(Tableau1[[#This Row],[Competition_date]])</f>
        <v>2022</v>
      </c>
      <c r="X253" s="4">
        <v>22</v>
      </c>
      <c r="Y253" s="6">
        <v>0.56999999999999995</v>
      </c>
      <c r="Z253" s="4" t="s">
        <v>80</v>
      </c>
      <c r="AA253" t="s">
        <v>176</v>
      </c>
    </row>
    <row r="254" spans="1:27" hidden="1" x14ac:dyDescent="0.35">
      <c r="A254" t="str">
        <f>_xlfn.CONCAT(Tableau1[[#This Row],[Athletes]],"_",Tableau1[[#This Row],[Nationality]],"_",Tableau1[[#This Row],[Competition_year]])</f>
        <v>Gabriela GAJANOVÁ_SVK_2022</v>
      </c>
      <c r="B254" s="9" t="s">
        <v>349</v>
      </c>
      <c r="C254" s="9" t="s">
        <v>29</v>
      </c>
      <c r="D254" s="12" t="s">
        <v>100</v>
      </c>
      <c r="E254" s="9">
        <v>14</v>
      </c>
      <c r="F254" s="9">
        <v>13.5</v>
      </c>
      <c r="G254" s="9">
        <v>15.6</v>
      </c>
      <c r="H254" s="9">
        <v>15.5</v>
      </c>
      <c r="I254" s="9">
        <v>15.8</v>
      </c>
      <c r="J254" s="9">
        <v>15</v>
      </c>
      <c r="K254" s="9">
        <v>15.1</v>
      </c>
      <c r="L254">
        <f>Tableau1[[#This Row],[Final_time]]-SUM(Tableau1[[#This Row],[0_100m]:[600_700m]])</f>
        <v>16.319999999999993</v>
      </c>
      <c r="M254" s="9">
        <v>120.82</v>
      </c>
      <c r="N254">
        <f>SUM(Tableau1[[#This Row],[0_100m]:[700_800m]])</f>
        <v>120.82</v>
      </c>
      <c r="O254">
        <f>ABS(Tableau1[[#This Row],[Final_time]]-Tableau1[[#This Row],[Sum_time]])</f>
        <v>0</v>
      </c>
      <c r="P254" s="8"/>
      <c r="Q254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4" t="s">
        <v>347</v>
      </c>
      <c r="S254" s="1" t="s">
        <v>68</v>
      </c>
      <c r="U254" s="1" t="s">
        <v>69</v>
      </c>
      <c r="V254" s="1">
        <v>44799</v>
      </c>
      <c r="W254" s="4">
        <f>YEAR(Tableau1[[#This Row],[Competition_date]])</f>
        <v>2022</v>
      </c>
      <c r="X254" s="4">
        <v>22</v>
      </c>
      <c r="Y254" s="6">
        <v>0.56999999999999995</v>
      </c>
      <c r="Z254" s="4" t="s">
        <v>80</v>
      </c>
      <c r="AA254" t="s">
        <v>176</v>
      </c>
    </row>
    <row r="255" spans="1:27" hidden="1" x14ac:dyDescent="0.35">
      <c r="A255" t="str">
        <f>_xlfn.CONCAT(Tableau1[[#This Row],[Athletes]],"_",Tableau1[[#This Row],[Nationality]],"_",Tableau1[[#This Row],[Competition_year]])</f>
        <v>Anita HORVAT_SLO_2022</v>
      </c>
      <c r="B255" s="9" t="s">
        <v>218</v>
      </c>
      <c r="C255" s="9" t="s">
        <v>29</v>
      </c>
      <c r="D255" s="12" t="s">
        <v>53</v>
      </c>
      <c r="E255" s="9">
        <v>13.7</v>
      </c>
      <c r="F255" s="9">
        <v>13.6</v>
      </c>
      <c r="G255" s="9">
        <v>15.6</v>
      </c>
      <c r="H255" s="9">
        <v>15.5</v>
      </c>
      <c r="I255" s="9">
        <v>15.8</v>
      </c>
      <c r="J255" s="9">
        <v>15.5</v>
      </c>
      <c r="K255" s="9">
        <v>15.8</v>
      </c>
      <c r="L255">
        <f>Tableau1[[#This Row],[Final_time]]-SUM(Tableau1[[#This Row],[0_100m]:[600_700m]])</f>
        <v>16.700000000000003</v>
      </c>
      <c r="M255" s="9">
        <v>122.2</v>
      </c>
      <c r="N255">
        <f>SUM(Tableau1[[#This Row],[0_100m]:[700_800m]])</f>
        <v>122.2</v>
      </c>
      <c r="O255">
        <f>ABS(Tableau1[[#This Row],[Final_time]]-Tableau1[[#This Row],[Sum_time]])</f>
        <v>0</v>
      </c>
      <c r="P255" s="8"/>
      <c r="Q255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5" t="s">
        <v>347</v>
      </c>
      <c r="S255" s="1" t="s">
        <v>68</v>
      </c>
      <c r="U255" s="1" t="s">
        <v>69</v>
      </c>
      <c r="V255" s="1">
        <v>44799</v>
      </c>
      <c r="W255" s="4">
        <f>YEAR(Tableau1[[#This Row],[Competition_date]])</f>
        <v>2022</v>
      </c>
      <c r="X255" s="4">
        <v>22</v>
      </c>
      <c r="Y255" s="6">
        <v>0.56999999999999995</v>
      </c>
      <c r="Z255" s="4" t="s">
        <v>80</v>
      </c>
      <c r="AA255" t="s">
        <v>176</v>
      </c>
    </row>
    <row r="256" spans="1:27" hidden="1" x14ac:dyDescent="0.35">
      <c r="A256" t="str">
        <f>_xlfn.CONCAT(Tableau1[[#This Row],[Athletes]],"_",Tableau1[[#This Row],[Nationality]],"_",Tableau1[[#This Row],[Competition_year]])</f>
        <v>Valentina ROSAMILIA_SUI_2022</v>
      </c>
      <c r="B256" s="9" t="s">
        <v>350</v>
      </c>
      <c r="C256" s="9" t="s">
        <v>29</v>
      </c>
      <c r="D256" s="12" t="s">
        <v>73</v>
      </c>
      <c r="E256" s="9">
        <v>14.2</v>
      </c>
      <c r="F256" s="9">
        <v>13.5</v>
      </c>
      <c r="G256" s="9">
        <v>15.5</v>
      </c>
      <c r="H256" s="9">
        <v>15.5</v>
      </c>
      <c r="I256" s="9">
        <v>15.8</v>
      </c>
      <c r="J256" s="9">
        <v>15.7</v>
      </c>
      <c r="K256" s="9">
        <f>106.9-SUM(Tableau1[[#This Row],[0_100m]:[500_600m]])</f>
        <v>16.700000000000003</v>
      </c>
      <c r="L256">
        <f>Tableau1[[#This Row],[Final_time]]-SUM(Tableau1[[#This Row],[0_100m]:[600_700m]])</f>
        <v>17.559999999999988</v>
      </c>
      <c r="M256" s="9">
        <v>124.46</v>
      </c>
      <c r="N256">
        <f>SUM(Tableau1[[#This Row],[0_100m]:[700_800m]])</f>
        <v>124.46</v>
      </c>
      <c r="O256">
        <f>ABS(Tableau1[[#This Row],[Final_time]]-Tableau1[[#This Row],[Sum_time]])</f>
        <v>0</v>
      </c>
      <c r="P256" s="8"/>
      <c r="Q256" s="16" t="str">
        <f>_xlfn.CONCAT(Tableau1[[#This Row],[Competition]],"_",Tableau1[[#This Row],[Championship_step]],"_",Tableau1[[#This Row],[Competition_date]],"_",Tableau1[[#This Row],[Gender]])</f>
        <v>Diamond League Lausanne 2022__44799_Female</v>
      </c>
      <c r="R256" t="s">
        <v>347</v>
      </c>
      <c r="S256" s="1" t="s">
        <v>68</v>
      </c>
      <c r="U256" s="1" t="s">
        <v>69</v>
      </c>
      <c r="V256" s="1">
        <v>44799</v>
      </c>
      <c r="W256" s="4">
        <f>YEAR(Tableau1[[#This Row],[Competition_date]])</f>
        <v>2022</v>
      </c>
      <c r="X256" s="4">
        <v>22</v>
      </c>
      <c r="Y256" s="6">
        <v>0.56999999999999995</v>
      </c>
      <c r="Z256" s="4" t="s">
        <v>80</v>
      </c>
      <c r="AA256" t="s">
        <v>176</v>
      </c>
    </row>
    <row r="257" spans="1:27" hidden="1" x14ac:dyDescent="0.35">
      <c r="A257" t="str">
        <f>_xlfn.CONCAT(Tableau1[[#This Row],[Athletes]],"_",Tableau1[[#This Row],[Nationality]],"_",Tableau1[[#This Row],[Competition_year]])</f>
        <v>George MILLS_GBR_2022</v>
      </c>
      <c r="B257" s="9" t="s">
        <v>351</v>
      </c>
      <c r="C257" s="9" t="s">
        <v>14</v>
      </c>
      <c r="D257" s="12" t="s">
        <v>30</v>
      </c>
      <c r="E257" s="9">
        <v>13.3</v>
      </c>
      <c r="F257" s="9">
        <v>12.6</v>
      </c>
      <c r="G257" s="9">
        <v>13.4</v>
      </c>
      <c r="H257" s="9">
        <v>13.3</v>
      </c>
      <c r="I257" s="9">
        <v>13.3</v>
      </c>
      <c r="J257" s="9">
        <v>13.5</v>
      </c>
      <c r="K257" s="9">
        <v>13.4</v>
      </c>
      <c r="L257">
        <f>Tableau1[[#This Row],[Final_time]]-SUM(Tableau1[[#This Row],[0_100m]:[600_700m]])</f>
        <v>13.939999999999998</v>
      </c>
      <c r="M257" s="9">
        <v>106.74</v>
      </c>
      <c r="N257">
        <f>SUM(Tableau1[[#This Row],[0_100m]:[700_800m]])</f>
        <v>106.74</v>
      </c>
      <c r="O257">
        <f>ABS(Tableau1[[#This Row],[Final_time]]-Tableau1[[#This Row],[Sum_time]])</f>
        <v>0</v>
      </c>
      <c r="P257" s="8"/>
      <c r="Q257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57" t="s">
        <v>347</v>
      </c>
      <c r="S257" s="1" t="s">
        <v>68</v>
      </c>
      <c r="U257" s="1" t="s">
        <v>288</v>
      </c>
      <c r="V257" s="1">
        <v>44799</v>
      </c>
      <c r="W257" s="4">
        <f>YEAR(Tableau1[[#This Row],[Competition_date]])</f>
        <v>2022</v>
      </c>
      <c r="X257" s="4">
        <v>22</v>
      </c>
      <c r="Y257" s="6">
        <v>0.56999999999999995</v>
      </c>
      <c r="Z257" s="4" t="s">
        <v>80</v>
      </c>
      <c r="AA257" t="s">
        <v>176</v>
      </c>
    </row>
    <row r="258" spans="1:27" hidden="1" x14ac:dyDescent="0.35">
      <c r="A258" t="str">
        <f>_xlfn.CONCAT(Tableau1[[#This Row],[Athletes]],"_",Tableau1[[#This Row],[Nationality]],"_",Tableau1[[#This Row],[Competition_year]])</f>
        <v>Tom ELMER_SUI_2022</v>
      </c>
      <c r="B258" s="9" t="s">
        <v>352</v>
      </c>
      <c r="C258" s="9" t="s">
        <v>14</v>
      </c>
      <c r="D258" s="12" t="s">
        <v>73</v>
      </c>
      <c r="E258" s="9">
        <v>13.3</v>
      </c>
      <c r="F258" s="9">
        <v>12.6</v>
      </c>
      <c r="G258" s="9">
        <v>13.7</v>
      </c>
      <c r="H258" s="9">
        <v>13.2</v>
      </c>
      <c r="I258" s="9">
        <v>13.3</v>
      </c>
      <c r="J258" s="9">
        <v>13.6</v>
      </c>
      <c r="K258" s="9">
        <v>13.6</v>
      </c>
      <c r="L258">
        <f>Tableau1[[#This Row],[Final_time]]-SUM(Tableau1[[#This Row],[0_100m]:[600_700m]])</f>
        <v>14.140000000000015</v>
      </c>
      <c r="M258" s="9">
        <v>107.44</v>
      </c>
      <c r="N258">
        <f>SUM(Tableau1[[#This Row],[0_100m]:[700_800m]])</f>
        <v>107.44</v>
      </c>
      <c r="O258">
        <f>ABS(Tableau1[[#This Row],[Final_time]]-Tableau1[[#This Row],[Sum_time]])</f>
        <v>0</v>
      </c>
      <c r="P258" s="8"/>
      <c r="Q258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58" t="s">
        <v>347</v>
      </c>
      <c r="S258" s="1" t="s">
        <v>68</v>
      </c>
      <c r="U258" s="1" t="s">
        <v>288</v>
      </c>
      <c r="V258" s="1">
        <v>44799</v>
      </c>
      <c r="W258" s="4">
        <f>YEAR(Tableau1[[#This Row],[Competition_date]])</f>
        <v>2022</v>
      </c>
      <c r="X258" s="4">
        <v>22</v>
      </c>
      <c r="Y258" s="6">
        <v>0.56999999999999995</v>
      </c>
      <c r="Z258" s="4" t="s">
        <v>80</v>
      </c>
      <c r="AA258" t="s">
        <v>176</v>
      </c>
    </row>
    <row r="259" spans="1:27" hidden="1" x14ac:dyDescent="0.35">
      <c r="A259" t="str">
        <f>_xlfn.CONCAT(Tableau1[[#This Row],[Athletes]],"_",Tableau1[[#This Row],[Nationality]],"_",Tableau1[[#This Row],[Competition_year]])</f>
        <v>Robin OESTER_SUI_2022</v>
      </c>
      <c r="B259" s="9" t="s">
        <v>353</v>
      </c>
      <c r="C259" s="9" t="s">
        <v>14</v>
      </c>
      <c r="D259" s="12" t="s">
        <v>73</v>
      </c>
      <c r="E259" s="9">
        <v>13.3</v>
      </c>
      <c r="F259" s="9">
        <v>12.8</v>
      </c>
      <c r="G259" s="9">
        <v>13.8</v>
      </c>
      <c r="H259" s="9">
        <v>13.2</v>
      </c>
      <c r="I259" s="9">
        <v>13.4</v>
      </c>
      <c r="J259" s="9">
        <v>13.4</v>
      </c>
      <c r="K259" s="9">
        <v>13.7</v>
      </c>
      <c r="L259">
        <f>Tableau1[[#This Row],[Final_time]]-SUM(Tableau1[[#This Row],[0_100m]:[600_700m]])</f>
        <v>14.45999999999998</v>
      </c>
      <c r="M259" s="9">
        <v>108.06</v>
      </c>
      <c r="N259">
        <f>SUM(Tableau1[[#This Row],[0_100m]:[700_800m]])</f>
        <v>108.06</v>
      </c>
      <c r="O259">
        <f>ABS(Tableau1[[#This Row],[Final_time]]-Tableau1[[#This Row],[Sum_time]])</f>
        <v>0</v>
      </c>
      <c r="P259" s="8"/>
      <c r="Q259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59" t="s">
        <v>347</v>
      </c>
      <c r="S259" s="1" t="s">
        <v>68</v>
      </c>
      <c r="U259" s="1" t="s">
        <v>288</v>
      </c>
      <c r="V259" s="1">
        <v>44799</v>
      </c>
      <c r="W259" s="4">
        <f>YEAR(Tableau1[[#This Row],[Competition_date]])</f>
        <v>2022</v>
      </c>
      <c r="X259" s="4">
        <v>22</v>
      </c>
      <c r="Y259" s="6">
        <v>0.56999999999999995</v>
      </c>
      <c r="Z259" s="4" t="s">
        <v>80</v>
      </c>
      <c r="AA259" t="s">
        <v>176</v>
      </c>
    </row>
    <row r="260" spans="1:27" hidden="1" x14ac:dyDescent="0.35">
      <c r="A260" t="str">
        <f>_xlfn.CONCAT(Tableau1[[#This Row],[Athletes]],"_",Tableau1[[#This Row],[Nationality]],"_",Tableau1[[#This Row],[Competition_year]])</f>
        <v>Ivan PELIZZA_SUI_2022</v>
      </c>
      <c r="B260" s="9" t="s">
        <v>354</v>
      </c>
      <c r="C260" s="9" t="s">
        <v>14</v>
      </c>
      <c r="D260" s="12" t="s">
        <v>73</v>
      </c>
      <c r="E260" s="9">
        <v>13.3</v>
      </c>
      <c r="F260" s="9">
        <v>13.1</v>
      </c>
      <c r="G260" s="9">
        <v>13.8</v>
      </c>
      <c r="H260" s="9">
        <v>13.6</v>
      </c>
      <c r="I260" s="9">
        <v>13.5</v>
      </c>
      <c r="J260" s="9">
        <v>13.4</v>
      </c>
      <c r="K260" s="9">
        <v>14.1</v>
      </c>
      <c r="L260">
        <f>Tableau1[[#This Row],[Final_time]]-SUM(Tableau1[[#This Row],[0_100m]:[600_700m]])</f>
        <v>14.259999999999991</v>
      </c>
      <c r="M260" s="9">
        <v>109.06</v>
      </c>
      <c r="N260">
        <f>SUM(Tableau1[[#This Row],[0_100m]:[700_800m]])</f>
        <v>109.06</v>
      </c>
      <c r="O260">
        <f>ABS(Tableau1[[#This Row],[Final_time]]-Tableau1[[#This Row],[Sum_time]])</f>
        <v>0</v>
      </c>
      <c r="P260" s="8"/>
      <c r="Q260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60" t="s">
        <v>347</v>
      </c>
      <c r="S260" s="1" t="s">
        <v>68</v>
      </c>
      <c r="U260" s="1" t="s">
        <v>288</v>
      </c>
      <c r="V260" s="1">
        <v>44799</v>
      </c>
      <c r="W260" s="4">
        <f>YEAR(Tableau1[[#This Row],[Competition_date]])</f>
        <v>2022</v>
      </c>
      <c r="X260" s="4">
        <v>22</v>
      </c>
      <c r="Y260" s="6">
        <v>0.56999999999999995</v>
      </c>
      <c r="Z260" s="4" t="s">
        <v>80</v>
      </c>
      <c r="AA260" t="s">
        <v>176</v>
      </c>
    </row>
    <row r="261" spans="1:27" hidden="1" x14ac:dyDescent="0.35">
      <c r="A261" t="str">
        <f>_xlfn.CONCAT(Tableau1[[#This Row],[Athletes]],"_",Tableau1[[#This Row],[Nationality]],"_",Tableau1[[#This Row],[Competition_year]])</f>
        <v>Ramon WIPFLI_SUI_2022</v>
      </c>
      <c r="B261" s="9" t="s">
        <v>355</v>
      </c>
      <c r="C261" s="9" t="s">
        <v>14</v>
      </c>
      <c r="D261" s="12" t="s">
        <v>73</v>
      </c>
      <c r="E261" s="9">
        <v>13.2</v>
      </c>
      <c r="F261" s="9">
        <v>12.8</v>
      </c>
      <c r="G261" s="9">
        <v>13.9</v>
      </c>
      <c r="H261" s="9">
        <v>13.4</v>
      </c>
      <c r="I261" s="9">
        <v>13.5</v>
      </c>
      <c r="J261" s="9">
        <v>13.5</v>
      </c>
      <c r="K261" s="9">
        <v>14.2</v>
      </c>
      <c r="L261">
        <f>Tableau1[[#This Row],[Final_time]]-SUM(Tableau1[[#This Row],[0_100m]:[600_700m]])</f>
        <v>14.829999999999998</v>
      </c>
      <c r="M261" s="9">
        <v>109.33</v>
      </c>
      <c r="N261">
        <f>SUM(Tableau1[[#This Row],[0_100m]:[700_800m]])</f>
        <v>109.33</v>
      </c>
      <c r="O261">
        <f>ABS(Tableau1[[#This Row],[Final_time]]-Tableau1[[#This Row],[Sum_time]])</f>
        <v>0</v>
      </c>
      <c r="P261" s="8"/>
      <c r="Q261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61" t="s">
        <v>347</v>
      </c>
      <c r="S261" s="1" t="s">
        <v>68</v>
      </c>
      <c r="U261" s="1" t="s">
        <v>288</v>
      </c>
      <c r="V261" s="1">
        <v>44799</v>
      </c>
      <c r="W261" s="4">
        <f>YEAR(Tableau1[[#This Row],[Competition_date]])</f>
        <v>2022</v>
      </c>
      <c r="X261" s="4">
        <v>22</v>
      </c>
      <c r="Y261" s="6">
        <v>0.56999999999999995</v>
      </c>
      <c r="Z261" s="4" t="s">
        <v>80</v>
      </c>
      <c r="AA261" t="s">
        <v>176</v>
      </c>
    </row>
    <row r="262" spans="1:27" hidden="1" x14ac:dyDescent="0.35">
      <c r="A262" t="str">
        <f>_xlfn.CONCAT(Tableau1[[#This Row],[Athletes]],"_",Tableau1[[#This Row],[Nationality]],"_",Tableau1[[#This Row],[Competition_year]])</f>
        <v>Louis LOW-BEER_SUI_2022</v>
      </c>
      <c r="B262" s="9" t="s">
        <v>356</v>
      </c>
      <c r="C262" s="9" t="s">
        <v>14</v>
      </c>
      <c r="D262" s="12" t="s">
        <v>73</v>
      </c>
      <c r="E262" s="9">
        <v>13.2</v>
      </c>
      <c r="F262" s="9">
        <v>13</v>
      </c>
      <c r="G262" s="9">
        <v>13.9</v>
      </c>
      <c r="H262" s="9">
        <v>13.4</v>
      </c>
      <c r="I262" s="9">
        <v>13.5</v>
      </c>
      <c r="J262" s="9">
        <v>13.9</v>
      </c>
      <c r="K262" s="9">
        <v>14.1</v>
      </c>
      <c r="L262">
        <f>Tableau1[[#This Row],[Final_time]]-SUM(Tableau1[[#This Row],[0_100m]:[600_700m]])</f>
        <v>15.040000000000006</v>
      </c>
      <c r="M262" s="9">
        <v>110.04</v>
      </c>
      <c r="N262">
        <f>SUM(Tableau1[[#This Row],[0_100m]:[700_800m]])</f>
        <v>110.04</v>
      </c>
      <c r="O262">
        <f>ABS(Tableau1[[#This Row],[Final_time]]-Tableau1[[#This Row],[Sum_time]])</f>
        <v>0</v>
      </c>
      <c r="P262" s="8"/>
      <c r="Q262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62" t="s">
        <v>347</v>
      </c>
      <c r="S262" s="1" t="s">
        <v>68</v>
      </c>
      <c r="U262" s="1" t="s">
        <v>288</v>
      </c>
      <c r="V262" s="1">
        <v>44799</v>
      </c>
      <c r="W262" s="4">
        <f>YEAR(Tableau1[[#This Row],[Competition_date]])</f>
        <v>2022</v>
      </c>
      <c r="X262" s="4">
        <v>22</v>
      </c>
      <c r="Y262" s="6">
        <v>0.56999999999999995</v>
      </c>
      <c r="Z262" s="4" t="s">
        <v>80</v>
      </c>
      <c r="AA262" t="s">
        <v>176</v>
      </c>
    </row>
    <row r="263" spans="1:27" hidden="1" x14ac:dyDescent="0.35">
      <c r="A263" t="str">
        <f>_xlfn.CONCAT(Tableau1[[#This Row],[Athletes]],"_",Tableau1[[#This Row],[Nationality]],"_",Tableau1[[#This Row],[Competition_year]])</f>
        <v>Vincent NOTZ_SUI_2022</v>
      </c>
      <c r="B263" s="9" t="s">
        <v>357</v>
      </c>
      <c r="C263" s="9" t="s">
        <v>14</v>
      </c>
      <c r="D263" s="12" t="s">
        <v>73</v>
      </c>
      <c r="E263" s="9">
        <v>13.1</v>
      </c>
      <c r="F263" s="9">
        <v>12.9</v>
      </c>
      <c r="G263" s="9">
        <v>13.8</v>
      </c>
      <c r="H263" s="9">
        <v>13.2</v>
      </c>
      <c r="I263" s="9">
        <v>13.3</v>
      </c>
      <c r="J263" s="9">
        <v>13.8</v>
      </c>
      <c r="K263" s="9">
        <f>93.4-SUM(Tableau1[[#This Row],[0_100m]:[500_600m]])</f>
        <v>13.300000000000011</v>
      </c>
      <c r="L263">
        <f>Tableau1[[#This Row],[Final_time]]-SUM(Tableau1[[#This Row],[0_100m]:[600_700m]])</f>
        <v>17.129999999999995</v>
      </c>
      <c r="M263" s="9">
        <v>110.53</v>
      </c>
      <c r="N263">
        <f>SUM(Tableau1[[#This Row],[0_100m]:[700_800m]])</f>
        <v>110.53</v>
      </c>
      <c r="O263">
        <f>ABS(Tableau1[[#This Row],[Final_time]]-Tableau1[[#This Row],[Sum_time]])</f>
        <v>0</v>
      </c>
      <c r="P263" s="8"/>
      <c r="Q263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63" t="s">
        <v>347</v>
      </c>
      <c r="S263" s="1" t="s">
        <v>68</v>
      </c>
      <c r="U263" s="1" t="s">
        <v>288</v>
      </c>
      <c r="V263" s="1">
        <v>44799</v>
      </c>
      <c r="W263" s="4">
        <f>YEAR(Tableau1[[#This Row],[Competition_date]])</f>
        <v>2022</v>
      </c>
      <c r="X263" s="4">
        <v>22</v>
      </c>
      <c r="Y263" s="6">
        <v>0.56999999999999995</v>
      </c>
      <c r="Z263" s="4" t="s">
        <v>80</v>
      </c>
      <c r="AA263" t="s">
        <v>176</v>
      </c>
    </row>
    <row r="264" spans="1:27" hidden="1" x14ac:dyDescent="0.35">
      <c r="A264" t="str">
        <f>_xlfn.CONCAT(Tableau1[[#This Row],[Athletes]],"_",Tableau1[[#This Row],[Nationality]],"_",Tableau1[[#This Row],[Competition_year]])</f>
        <v>Victor AMIOT_FRA_2022</v>
      </c>
      <c r="B264" s="9" t="s">
        <v>358</v>
      </c>
      <c r="C264" s="9" t="s">
        <v>14</v>
      </c>
      <c r="D264" s="12" t="s">
        <v>17</v>
      </c>
      <c r="E264" s="9">
        <v>13.5</v>
      </c>
      <c r="F264" s="9">
        <v>13.1</v>
      </c>
      <c r="G264" s="9">
        <v>14.2</v>
      </c>
      <c r="H264" s="9">
        <v>13.6</v>
      </c>
      <c r="I264" s="9">
        <v>13.7</v>
      </c>
      <c r="J264" s="9">
        <v>14.2</v>
      </c>
      <c r="K264" s="9">
        <v>14.5</v>
      </c>
      <c r="L264">
        <f>Tableau1[[#This Row],[Final_time]]-SUM(Tableau1[[#This Row],[0_100m]:[600_700m]])</f>
        <v>14.960000000000008</v>
      </c>
      <c r="M264" s="9">
        <v>111.76</v>
      </c>
      <c r="N264">
        <f>SUM(Tableau1[[#This Row],[0_100m]:[700_800m]])</f>
        <v>111.76</v>
      </c>
      <c r="O264">
        <f>ABS(Tableau1[[#This Row],[Final_time]]-Tableau1[[#This Row],[Sum_time]])</f>
        <v>0</v>
      </c>
      <c r="P264" s="8"/>
      <c r="Q264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64" t="s">
        <v>347</v>
      </c>
      <c r="S264" s="1" t="s">
        <v>68</v>
      </c>
      <c r="U264" s="1" t="s">
        <v>288</v>
      </c>
      <c r="V264" s="1">
        <v>44799</v>
      </c>
      <c r="W264" s="4">
        <f>YEAR(Tableau1[[#This Row],[Competition_date]])</f>
        <v>2022</v>
      </c>
      <c r="X264" s="4">
        <v>22</v>
      </c>
      <c r="Y264" s="6">
        <v>0.56999999999999995</v>
      </c>
      <c r="Z264" s="4" t="s">
        <v>80</v>
      </c>
      <c r="AA264" t="s">
        <v>176</v>
      </c>
    </row>
    <row r="265" spans="1:27" hidden="1" x14ac:dyDescent="0.35">
      <c r="A265" t="str">
        <f>_xlfn.CONCAT(Tableau1[[#This Row],[Athletes]],"_",Tableau1[[#This Row],[Nationality]],"_",Tableau1[[#This Row],[Competition_year]])</f>
        <v>Diego KLOPFENSTEIN_SUI_2022</v>
      </c>
      <c r="B265" s="9" t="s">
        <v>359</v>
      </c>
      <c r="C265" s="9" t="s">
        <v>14</v>
      </c>
      <c r="D265" s="12" t="s">
        <v>73</v>
      </c>
      <c r="E265" s="9">
        <v>13.7</v>
      </c>
      <c r="F265" s="9">
        <v>12.9</v>
      </c>
      <c r="G265" s="9">
        <v>14</v>
      </c>
      <c r="H265" s="9">
        <v>13.5</v>
      </c>
      <c r="I265" s="9">
        <v>13.5</v>
      </c>
      <c r="J265" s="9">
        <v>14.2</v>
      </c>
      <c r="K265" s="9">
        <v>15.1</v>
      </c>
      <c r="L265">
        <f>Tableau1[[#This Row],[Final_time]]-SUM(Tableau1[[#This Row],[0_100m]:[600_700m]])</f>
        <v>17.600000000000009</v>
      </c>
      <c r="M265" s="9">
        <v>114.5</v>
      </c>
      <c r="N265">
        <f>SUM(Tableau1[[#This Row],[0_100m]:[700_800m]])</f>
        <v>114.5</v>
      </c>
      <c r="O265">
        <f>ABS(Tableau1[[#This Row],[Final_time]]-Tableau1[[#This Row],[Sum_time]])</f>
        <v>0</v>
      </c>
      <c r="P265" s="8"/>
      <c r="Q265" s="1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R265" t="s">
        <v>347</v>
      </c>
      <c r="S265" s="1" t="s">
        <v>68</v>
      </c>
      <c r="U265" s="1" t="s">
        <v>288</v>
      </c>
      <c r="V265" s="1">
        <v>44799</v>
      </c>
      <c r="W265" s="4">
        <f>YEAR(Tableau1[[#This Row],[Competition_date]])</f>
        <v>2022</v>
      </c>
      <c r="X265" s="4">
        <v>22</v>
      </c>
      <c r="Y265" s="6">
        <v>0.56999999999999995</v>
      </c>
      <c r="Z265" s="4" t="s">
        <v>80</v>
      </c>
      <c r="AA265" t="s">
        <v>176</v>
      </c>
    </row>
    <row r="266" spans="1:27" hidden="1" x14ac:dyDescent="0.35">
      <c r="A266" t="str">
        <f>_xlfn.CONCAT(Tableau1[[#This Row],[Athletes]],"_",Tableau1[[#This Row],[Nationality]],"_",Tableau1[[#This Row],[Competition_year]])</f>
        <v>Musa SULIMAN_ART_2023</v>
      </c>
      <c r="B266" t="s">
        <v>1081</v>
      </c>
      <c r="C266" t="s">
        <v>14</v>
      </c>
      <c r="D266" s="18" t="s">
        <v>427</v>
      </c>
      <c r="E266">
        <v>12.9</v>
      </c>
      <c r="F266">
        <v>12.9</v>
      </c>
      <c r="G266">
        <v>13.5</v>
      </c>
      <c r="H266">
        <v>13.5</v>
      </c>
      <c r="I266">
        <v>13.7</v>
      </c>
      <c r="J266">
        <v>13.8</v>
      </c>
      <c r="K266">
        <v>14.2</v>
      </c>
      <c r="L266">
        <f>Tableau1[[#This Row],[Final_time]]-SUM(Tableau1[[#This Row],[0_100m]:[600_700m]])</f>
        <v>14.409999999999997</v>
      </c>
      <c r="M266">
        <v>108.91</v>
      </c>
      <c r="N266">
        <f>SUM(Tableau1[[#This Row],[0_100m]:[700_800m]])</f>
        <v>108.91</v>
      </c>
      <c r="O266">
        <f>ABS(Tableau1[[#This Row],[Final_time]]-Tableau1[[#This Row],[Sum_time]])</f>
        <v>0</v>
      </c>
      <c r="P266" s="8"/>
      <c r="Q266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66" t="s">
        <v>287</v>
      </c>
      <c r="S266" s="1" t="s">
        <v>68</v>
      </c>
      <c r="U266" s="1" t="s">
        <v>288</v>
      </c>
      <c r="V266" s="1">
        <v>45107</v>
      </c>
      <c r="W266" s="4">
        <f>YEAR(Tableau1[[#This Row],[Competition_date]])</f>
        <v>2023</v>
      </c>
      <c r="X266" s="4">
        <v>19</v>
      </c>
      <c r="Y266" s="6">
        <v>0.73</v>
      </c>
      <c r="Z266" s="4" t="s">
        <v>98</v>
      </c>
      <c r="AA266" t="s">
        <v>176</v>
      </c>
    </row>
    <row r="267" spans="1:27" hidden="1" x14ac:dyDescent="0.35">
      <c r="A267" t="str">
        <f>_xlfn.CONCAT(Tableau1[[#This Row],[Athletes]],"_",Tableau1[[#This Row],[Nationality]],"_",Tableau1[[#This Row],[Competition_year]])</f>
        <v>Navid KERBER_SUI_2023</v>
      </c>
      <c r="B267" t="s">
        <v>1093</v>
      </c>
      <c r="C267" t="s">
        <v>14</v>
      </c>
      <c r="D267" s="18" t="s">
        <v>73</v>
      </c>
      <c r="E267">
        <v>13.2</v>
      </c>
      <c r="F267">
        <v>12.7</v>
      </c>
      <c r="G267">
        <v>13.7</v>
      </c>
      <c r="H267">
        <v>13.9</v>
      </c>
      <c r="I267">
        <v>14</v>
      </c>
      <c r="J267">
        <v>14</v>
      </c>
      <c r="K267">
        <v>14.1</v>
      </c>
      <c r="L267">
        <f>Tableau1[[#This Row],[Final_time]]-SUM(Tableau1[[#This Row],[0_100m]:[600_700m]])</f>
        <v>14.13000000000001</v>
      </c>
      <c r="M267">
        <v>109.73</v>
      </c>
      <c r="N267">
        <f>SUM(Tableau1[[#This Row],[0_100m]:[700_800m]])</f>
        <v>109.73</v>
      </c>
      <c r="O267">
        <f>ABS(Tableau1[[#This Row],[Final_time]]-Tableau1[[#This Row],[Sum_time]])</f>
        <v>0</v>
      </c>
      <c r="P267" s="8"/>
      <c r="Q267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67" t="s">
        <v>287</v>
      </c>
      <c r="S267" s="1" t="s">
        <v>68</v>
      </c>
      <c r="U267" s="1" t="s">
        <v>288</v>
      </c>
      <c r="V267" s="1">
        <v>45107</v>
      </c>
      <c r="W267" s="4">
        <f>YEAR(Tableau1[[#This Row],[Competition_date]])</f>
        <v>2023</v>
      </c>
      <c r="X267" s="4">
        <v>19</v>
      </c>
      <c r="Y267" s="6">
        <v>0.73</v>
      </c>
      <c r="Z267" s="4" t="s">
        <v>98</v>
      </c>
      <c r="AA267" t="s">
        <v>176</v>
      </c>
    </row>
    <row r="268" spans="1:27" hidden="1" x14ac:dyDescent="0.35">
      <c r="A268" t="str">
        <f>_xlfn.CONCAT(Tableau1[[#This Row],[Athletes]],"_",Tableau1[[#This Row],[Nationality]],"_",Tableau1[[#This Row],[Competition_year]])</f>
        <v>Ivan PELIZZA_SUI_2023</v>
      </c>
      <c r="B268" t="s">
        <v>354</v>
      </c>
      <c r="C268" t="s">
        <v>14</v>
      </c>
      <c r="D268" s="18" t="s">
        <v>73</v>
      </c>
      <c r="E268">
        <v>12.8</v>
      </c>
      <c r="F268">
        <v>13.2</v>
      </c>
      <c r="G268">
        <v>14</v>
      </c>
      <c r="H268">
        <v>13.7</v>
      </c>
      <c r="I268">
        <v>13.6</v>
      </c>
      <c r="J268">
        <v>13.7</v>
      </c>
      <c r="K268">
        <v>14</v>
      </c>
      <c r="L268">
        <f>Tableau1[[#This Row],[Final_time]]-SUM(Tableau1[[#This Row],[0_100m]:[600_700m]])</f>
        <v>14.769999999999996</v>
      </c>
      <c r="M268">
        <v>109.77</v>
      </c>
      <c r="N268">
        <f>SUM(Tableau1[[#This Row],[0_100m]:[700_800m]])</f>
        <v>109.77</v>
      </c>
      <c r="O268">
        <f>ABS(Tableau1[[#This Row],[Final_time]]-Tableau1[[#This Row],[Sum_time]])</f>
        <v>0</v>
      </c>
      <c r="P268" s="8"/>
      <c r="Q268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68" t="s">
        <v>287</v>
      </c>
      <c r="S268" s="1" t="s">
        <v>68</v>
      </c>
      <c r="U268" s="1" t="s">
        <v>288</v>
      </c>
      <c r="V268" s="1">
        <v>45107</v>
      </c>
      <c r="W268" s="4">
        <f>YEAR(Tableau1[[#This Row],[Competition_date]])</f>
        <v>2023</v>
      </c>
      <c r="X268" s="4">
        <v>19</v>
      </c>
      <c r="Y268" s="6">
        <v>0.73</v>
      </c>
      <c r="Z268" s="4" t="s">
        <v>98</v>
      </c>
      <c r="AA268" t="s">
        <v>176</v>
      </c>
    </row>
    <row r="269" spans="1:27" hidden="1" x14ac:dyDescent="0.35">
      <c r="A269" t="str">
        <f>_xlfn.CONCAT(Tableau1[[#This Row],[Athletes]],"_",Tableau1[[#This Row],[Nationality]],"_",Tableau1[[#This Row],[Competition_year]])</f>
        <v>Filippo MOGGI_SUI_2023</v>
      </c>
      <c r="B269" t="s">
        <v>787</v>
      </c>
      <c r="C269" t="s">
        <v>14</v>
      </c>
      <c r="D269" s="18" t="s">
        <v>73</v>
      </c>
      <c r="E269">
        <v>12.9</v>
      </c>
      <c r="F269">
        <v>13.3</v>
      </c>
      <c r="G269">
        <v>14.2</v>
      </c>
      <c r="H269">
        <v>13.9</v>
      </c>
      <c r="I269">
        <v>13.6</v>
      </c>
      <c r="J269">
        <v>13.7</v>
      </c>
      <c r="K269">
        <v>14.1</v>
      </c>
      <c r="L269">
        <f>Tableau1[[#This Row],[Final_time]]-SUM(Tableau1[[#This Row],[0_100m]:[600_700m]])</f>
        <v>14.11999999999999</v>
      </c>
      <c r="M269">
        <v>109.82</v>
      </c>
      <c r="N269">
        <f>SUM(Tableau1[[#This Row],[0_100m]:[700_800m]])</f>
        <v>109.82</v>
      </c>
      <c r="O269">
        <f>ABS(Tableau1[[#This Row],[Final_time]]-Tableau1[[#This Row],[Sum_time]])</f>
        <v>0</v>
      </c>
      <c r="P269" s="8"/>
      <c r="Q269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69" t="s">
        <v>287</v>
      </c>
      <c r="S269" s="1" t="s">
        <v>68</v>
      </c>
      <c r="U269" s="1" t="s">
        <v>288</v>
      </c>
      <c r="V269" s="1">
        <v>45107</v>
      </c>
      <c r="W269" s="4">
        <f>YEAR(Tableau1[[#This Row],[Competition_date]])</f>
        <v>2023</v>
      </c>
      <c r="X269" s="4">
        <v>19</v>
      </c>
      <c r="Y269" s="6">
        <v>0.73</v>
      </c>
      <c r="Z269" s="4" t="s">
        <v>98</v>
      </c>
      <c r="AA269" t="s">
        <v>176</v>
      </c>
    </row>
    <row r="270" spans="1:27" hidden="1" x14ac:dyDescent="0.35">
      <c r="A270" t="str">
        <f>_xlfn.CONCAT(Tableau1[[#This Row],[Athletes]],"_",Tableau1[[#This Row],[Nationality]],"_",Tableau1[[#This Row],[Competition_year]])</f>
        <v>Louis LOW-BEER_SUI_2023</v>
      </c>
      <c r="B270" t="s">
        <v>356</v>
      </c>
      <c r="C270" t="s">
        <v>14</v>
      </c>
      <c r="D270" s="18" t="s">
        <v>73</v>
      </c>
      <c r="E270">
        <v>12.7</v>
      </c>
      <c r="F270">
        <v>13.2</v>
      </c>
      <c r="G270">
        <v>13.9</v>
      </c>
      <c r="H270">
        <v>13.6</v>
      </c>
      <c r="I270">
        <v>13.7</v>
      </c>
      <c r="J270">
        <v>14.1</v>
      </c>
      <c r="K270">
        <v>14.1</v>
      </c>
      <c r="L270">
        <f>Tableau1[[#This Row],[Final_time]]-SUM(Tableau1[[#This Row],[0_100m]:[600_700m]])</f>
        <v>14.680000000000021</v>
      </c>
      <c r="M270">
        <v>109.98</v>
      </c>
      <c r="N270">
        <f>SUM(Tableau1[[#This Row],[0_100m]:[700_800m]])</f>
        <v>109.98</v>
      </c>
      <c r="O270">
        <f>ABS(Tableau1[[#This Row],[Final_time]]-Tableau1[[#This Row],[Sum_time]])</f>
        <v>0</v>
      </c>
      <c r="P270" s="8"/>
      <c r="Q270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70" t="s">
        <v>287</v>
      </c>
      <c r="S270" s="1" t="s">
        <v>68</v>
      </c>
      <c r="U270" s="1" t="s">
        <v>288</v>
      </c>
      <c r="V270" s="1">
        <v>45107</v>
      </c>
      <c r="W270" s="4">
        <f>YEAR(Tableau1[[#This Row],[Competition_date]])</f>
        <v>2023</v>
      </c>
      <c r="X270" s="4">
        <v>19</v>
      </c>
      <c r="Y270" s="6">
        <v>0.73</v>
      </c>
      <c r="Z270" s="4" t="s">
        <v>98</v>
      </c>
      <c r="AA270" t="s">
        <v>176</v>
      </c>
    </row>
    <row r="271" spans="1:27" hidden="1" x14ac:dyDescent="0.35">
      <c r="A271" t="str">
        <f>_xlfn.CONCAT(Tableau1[[#This Row],[Athletes]],"_",Tableau1[[#This Row],[Nationality]],"_",Tableau1[[#This Row],[Competition_year]])</f>
        <v>Pascal FURTWÄNGLER_SUI_2023</v>
      </c>
      <c r="B271" t="s">
        <v>1128</v>
      </c>
      <c r="C271" t="s">
        <v>14</v>
      </c>
      <c r="D271" s="18" t="s">
        <v>73</v>
      </c>
      <c r="E271">
        <v>13.4</v>
      </c>
      <c r="F271">
        <v>12.8</v>
      </c>
      <c r="G271">
        <v>14</v>
      </c>
      <c r="H271">
        <v>13.8</v>
      </c>
      <c r="I271">
        <v>13.7</v>
      </c>
      <c r="J271">
        <v>14</v>
      </c>
      <c r="K271">
        <v>14.1</v>
      </c>
      <c r="L271">
        <f>Tableau1[[#This Row],[Final_time]]-SUM(Tableau1[[#This Row],[0_100m]:[600_700m]])</f>
        <v>14.36</v>
      </c>
      <c r="M271">
        <v>110.16</v>
      </c>
      <c r="N271">
        <f>SUM(Tableau1[[#This Row],[0_100m]:[700_800m]])</f>
        <v>110.16</v>
      </c>
      <c r="O271">
        <f>ABS(Tableau1[[#This Row],[Final_time]]-Tableau1[[#This Row],[Sum_time]])</f>
        <v>0</v>
      </c>
      <c r="P271" s="8"/>
      <c r="Q271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71" t="s">
        <v>287</v>
      </c>
      <c r="S271" s="1" t="s">
        <v>68</v>
      </c>
      <c r="U271" s="1" t="s">
        <v>288</v>
      </c>
      <c r="V271" s="1">
        <v>45107</v>
      </c>
      <c r="W271" s="4">
        <f>YEAR(Tableau1[[#This Row],[Competition_date]])</f>
        <v>2023</v>
      </c>
      <c r="X271" s="4">
        <v>19</v>
      </c>
      <c r="Y271" s="6">
        <v>0.73</v>
      </c>
      <c r="Z271" s="4" t="s">
        <v>98</v>
      </c>
      <c r="AA271" t="s">
        <v>176</v>
      </c>
    </row>
    <row r="272" spans="1:27" hidden="1" x14ac:dyDescent="0.35">
      <c r="A272" t="str">
        <f>_xlfn.CONCAT(Tableau1[[#This Row],[Athletes]],"_",Tableau1[[#This Row],[Nationality]],"_",Tableau1[[#This Row],[Competition_year]])</f>
        <v>Vincent NOTZ_SUI_2023</v>
      </c>
      <c r="B272" t="s">
        <v>357</v>
      </c>
      <c r="C272" t="s">
        <v>14</v>
      </c>
      <c r="D272" s="18" t="s">
        <v>73</v>
      </c>
      <c r="E272">
        <v>13.3</v>
      </c>
      <c r="F272">
        <v>13</v>
      </c>
      <c r="G272">
        <v>14.3</v>
      </c>
      <c r="H272">
        <v>13.8</v>
      </c>
      <c r="I272">
        <v>13.4</v>
      </c>
      <c r="J272">
        <v>13.4</v>
      </c>
      <c r="K272">
        <v>14</v>
      </c>
      <c r="L272">
        <f>Tableau1[[#This Row],[Final_time]]-SUM(Tableau1[[#This Row],[0_100m]:[600_700m]])</f>
        <v>15.219999999999985</v>
      </c>
      <c r="M272">
        <v>110.42</v>
      </c>
      <c r="N272">
        <f>SUM(Tableau1[[#This Row],[0_100m]:[700_800m]])</f>
        <v>110.42</v>
      </c>
      <c r="O272">
        <f>ABS(Tableau1[[#This Row],[Final_time]]-Tableau1[[#This Row],[Sum_time]])</f>
        <v>0</v>
      </c>
      <c r="P272" s="8"/>
      <c r="Q272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72" t="s">
        <v>287</v>
      </c>
      <c r="S272" s="1" t="s">
        <v>68</v>
      </c>
      <c r="U272" s="1" t="s">
        <v>288</v>
      </c>
      <c r="V272" s="1">
        <v>45107</v>
      </c>
      <c r="W272" s="4">
        <f>YEAR(Tableau1[[#This Row],[Competition_date]])</f>
        <v>2023</v>
      </c>
      <c r="X272" s="4">
        <v>19</v>
      </c>
      <c r="Y272" s="6">
        <v>0.73</v>
      </c>
      <c r="Z272" s="4" t="s">
        <v>98</v>
      </c>
      <c r="AA272" t="s">
        <v>176</v>
      </c>
    </row>
    <row r="273" spans="1:27" hidden="1" x14ac:dyDescent="0.35">
      <c r="A273" t="str">
        <f>_xlfn.CONCAT(Tableau1[[#This Row],[Athletes]],"_",Tableau1[[#This Row],[Nationality]],"_",Tableau1[[#This Row],[Competition_year]])</f>
        <v>Lorenz HERRMANN_GER_2023</v>
      </c>
      <c r="B273" t="s">
        <v>1002</v>
      </c>
      <c r="C273" t="s">
        <v>14</v>
      </c>
      <c r="D273" s="18" t="s">
        <v>139</v>
      </c>
      <c r="E273">
        <v>13.1</v>
      </c>
      <c r="F273">
        <v>12.5</v>
      </c>
      <c r="G273">
        <v>13.5</v>
      </c>
      <c r="H273">
        <v>13.5</v>
      </c>
      <c r="I273">
        <v>13.6</v>
      </c>
      <c r="J273">
        <v>14</v>
      </c>
      <c r="K273">
        <v>14.2</v>
      </c>
      <c r="L273">
        <f>Tableau1[[#This Row],[Final_time]]-SUM(Tableau1[[#This Row],[0_100m]:[600_700m]])</f>
        <v>16.019999999999996</v>
      </c>
      <c r="M273">
        <v>110.42</v>
      </c>
      <c r="N273">
        <f>SUM(Tableau1[[#This Row],[0_100m]:[700_800m]])</f>
        <v>110.42</v>
      </c>
      <c r="O273">
        <f>ABS(Tableau1[[#This Row],[Final_time]]-Tableau1[[#This Row],[Sum_time]])</f>
        <v>0</v>
      </c>
      <c r="P273" s="8"/>
      <c r="Q273" s="16" t="str">
        <f>_xlfn.CONCAT(Tableau1[[#This Row],[Competition]],"_",Tableau1[[#This Row],[Championship_step]],"_",Tableau1[[#This Row],[Competition_date]],"_",Tableau1[[#This Row],[Gender]])</f>
        <v>Diamond League Lausanne 2023 - B race__45107_Male</v>
      </c>
      <c r="R273" t="s">
        <v>287</v>
      </c>
      <c r="S273" s="1" t="s">
        <v>68</v>
      </c>
      <c r="U273" s="1" t="s">
        <v>288</v>
      </c>
      <c r="V273" s="1">
        <v>45107</v>
      </c>
      <c r="W273" s="4">
        <f>YEAR(Tableau1[[#This Row],[Competition_date]])</f>
        <v>2023</v>
      </c>
      <c r="X273" s="4">
        <v>19</v>
      </c>
      <c r="Y273" s="6">
        <v>0.73</v>
      </c>
      <c r="Z273" s="4" t="s">
        <v>98</v>
      </c>
      <c r="AA273" t="s">
        <v>176</v>
      </c>
    </row>
    <row r="274" spans="1:27" hidden="1" x14ac:dyDescent="0.35">
      <c r="A274" t="str">
        <f>_xlfn.CONCAT(Tableau1[[#This Row],[Athletes]],"_",Tableau1[[#This Row],[Nationality]],"_",Tableau1[[#This Row],[Competition_year]])</f>
        <v>Lorea IBARZABAL_ESP_2024</v>
      </c>
      <c r="B274" t="s">
        <v>1001</v>
      </c>
      <c r="C274" t="s">
        <v>29</v>
      </c>
      <c r="D274" s="18" t="s">
        <v>37</v>
      </c>
      <c r="E274">
        <v>14.3</v>
      </c>
      <c r="F274">
        <v>14.5</v>
      </c>
      <c r="G274">
        <v>15.1</v>
      </c>
      <c r="H274">
        <v>15.1</v>
      </c>
      <c r="I274">
        <v>15.1</v>
      </c>
      <c r="J274">
        <v>15.2</v>
      </c>
      <c r="K274">
        <v>15.6</v>
      </c>
      <c r="L274">
        <f>Tableau1[[#This Row],[Final_time]]-SUM(Tableau1[[#This Row],[0_100m]:[600_700m]])</f>
        <v>16.410000000000011</v>
      </c>
      <c r="M274">
        <v>121.31</v>
      </c>
      <c r="N274">
        <f>SUM(Tableau1[[#This Row],[0_100m]:[700_800m]])</f>
        <v>121.31</v>
      </c>
      <c r="O274">
        <f>ABS(Tableau1[[#This Row],[Final_time]]-Tableau1[[#This Row],[Sum_time]])</f>
        <v>0</v>
      </c>
      <c r="P274" s="8"/>
      <c r="Q274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74" t="s">
        <v>91</v>
      </c>
      <c r="S274" s="1" t="s">
        <v>68</v>
      </c>
      <c r="U274" s="1" t="s">
        <v>288</v>
      </c>
      <c r="V274" s="1">
        <v>45526</v>
      </c>
      <c r="W274" s="4">
        <f>YEAR(Tableau1[[#This Row],[Competition_date]])</f>
        <v>2024</v>
      </c>
      <c r="X274" s="4">
        <v>24</v>
      </c>
      <c r="Y274" s="6">
        <v>0.49</v>
      </c>
      <c r="Z274" s="4" t="s">
        <v>79</v>
      </c>
      <c r="AA274" t="s">
        <v>92</v>
      </c>
    </row>
    <row r="275" spans="1:27" hidden="1" x14ac:dyDescent="0.35">
      <c r="A275" t="str">
        <f>_xlfn.CONCAT(Tableau1[[#This Row],[Athletes]],"_",Tableau1[[#This Row],[Nationality]],"_",Tableau1[[#This Row],[Competition_year]])</f>
        <v>Lore HOFFMANN_SUI_2024</v>
      </c>
      <c r="B275" t="s">
        <v>224</v>
      </c>
      <c r="C275" t="s">
        <v>29</v>
      </c>
      <c r="D275" s="18" t="s">
        <v>73</v>
      </c>
      <c r="E275">
        <v>14.5</v>
      </c>
      <c r="F275">
        <v>14.4</v>
      </c>
      <c r="G275">
        <v>15.2</v>
      </c>
      <c r="H275">
        <v>15.2</v>
      </c>
      <c r="I275">
        <v>15</v>
      </c>
      <c r="J275">
        <v>15.2</v>
      </c>
      <c r="K275">
        <v>15.5</v>
      </c>
      <c r="L275">
        <f>Tableau1[[#This Row],[Final_time]]-SUM(Tableau1[[#This Row],[0_100m]:[600_700m]])</f>
        <v>16.689999999999998</v>
      </c>
      <c r="M275">
        <v>121.69</v>
      </c>
      <c r="N275">
        <f>SUM(Tableau1[[#This Row],[0_100m]:[700_800m]])</f>
        <v>121.69</v>
      </c>
      <c r="O275">
        <f>ABS(Tableau1[[#This Row],[Final_time]]-Tableau1[[#This Row],[Sum_time]])</f>
        <v>0</v>
      </c>
      <c r="P275" s="8"/>
      <c r="Q275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75" t="s">
        <v>91</v>
      </c>
      <c r="S275" s="1" t="s">
        <v>68</v>
      </c>
      <c r="U275" s="1" t="s">
        <v>288</v>
      </c>
      <c r="V275" s="1">
        <v>45526</v>
      </c>
      <c r="W275" s="4">
        <f>YEAR(Tableau1[[#This Row],[Competition_date]])</f>
        <v>2024</v>
      </c>
      <c r="X275" s="4">
        <v>24</v>
      </c>
      <c r="Y275" s="6">
        <v>0.49</v>
      </c>
      <c r="Z275" s="4" t="s">
        <v>79</v>
      </c>
      <c r="AA275" t="s">
        <v>92</v>
      </c>
    </row>
    <row r="276" spans="1:27" hidden="1" x14ac:dyDescent="0.35">
      <c r="A276" t="str">
        <f>_xlfn.CONCAT(Tableau1[[#This Row],[Athletes]],"_",Tableau1[[#This Row],[Nationality]],"_",Tableau1[[#This Row],[Competition_year]])</f>
        <v>Agnès RAHAROLAHY_FRA_2024</v>
      </c>
      <c r="B276" t="s">
        <v>377</v>
      </c>
      <c r="C276" t="s">
        <v>29</v>
      </c>
      <c r="D276" s="18" t="s">
        <v>17</v>
      </c>
      <c r="E276">
        <v>14.3</v>
      </c>
      <c r="F276">
        <v>14.2</v>
      </c>
      <c r="G276">
        <v>14.9</v>
      </c>
      <c r="H276">
        <v>14.9</v>
      </c>
      <c r="I276">
        <v>15.1</v>
      </c>
      <c r="J276">
        <v>15.3</v>
      </c>
      <c r="K276">
        <v>16.100000000000001</v>
      </c>
      <c r="L276">
        <f>Tableau1[[#This Row],[Final_time]]-SUM(Tableau1[[#This Row],[0_100m]:[600_700m]])</f>
        <v>17.590000000000018</v>
      </c>
      <c r="M276">
        <v>122.39</v>
      </c>
      <c r="N276">
        <f>SUM(Tableau1[[#This Row],[0_100m]:[700_800m]])</f>
        <v>122.39</v>
      </c>
      <c r="O276">
        <f>ABS(Tableau1[[#This Row],[Final_time]]-Tableau1[[#This Row],[Sum_time]])</f>
        <v>0</v>
      </c>
      <c r="P276" s="8"/>
      <c r="Q276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76" t="s">
        <v>91</v>
      </c>
      <c r="S276" s="1" t="s">
        <v>68</v>
      </c>
      <c r="U276" s="1" t="s">
        <v>288</v>
      </c>
      <c r="V276" s="1">
        <v>45526</v>
      </c>
      <c r="W276" s="4">
        <f>YEAR(Tableau1[[#This Row],[Competition_date]])</f>
        <v>2024</v>
      </c>
      <c r="X276" s="4">
        <v>24</v>
      </c>
      <c r="Y276" s="6">
        <v>0.49</v>
      </c>
      <c r="Z276" s="4" t="s">
        <v>79</v>
      </c>
      <c r="AA276" t="s">
        <v>92</v>
      </c>
    </row>
    <row r="277" spans="1:27" hidden="1" x14ac:dyDescent="0.35">
      <c r="A277" t="str">
        <f>_xlfn.CONCAT(Tableau1[[#This Row],[Athletes]],"_",Tableau1[[#This Row],[Nationality]],"_",Tableau1[[#This Row],[Competition_year]])</f>
        <v>Joceline WIND_SUI_2024</v>
      </c>
      <c r="B277" t="s">
        <v>902</v>
      </c>
      <c r="C277" t="s">
        <v>29</v>
      </c>
      <c r="D277" s="18" t="s">
        <v>73</v>
      </c>
      <c r="E277">
        <v>14.3</v>
      </c>
      <c r="F277">
        <v>14.7</v>
      </c>
      <c r="G277">
        <v>15.4</v>
      </c>
      <c r="H277">
        <v>15.4</v>
      </c>
      <c r="I277">
        <v>15.8</v>
      </c>
      <c r="J277">
        <v>15.8</v>
      </c>
      <c r="K277">
        <v>16.100000000000001</v>
      </c>
      <c r="L277">
        <f>Tableau1[[#This Row],[Final_time]]-SUM(Tableau1[[#This Row],[0_100m]:[600_700m]])</f>
        <v>16.260000000000005</v>
      </c>
      <c r="M277">
        <v>123.76</v>
      </c>
      <c r="N277">
        <f>SUM(Tableau1[[#This Row],[0_100m]:[700_800m]])</f>
        <v>123.76</v>
      </c>
      <c r="O277">
        <f>ABS(Tableau1[[#This Row],[Final_time]]-Tableau1[[#This Row],[Sum_time]])</f>
        <v>0</v>
      </c>
      <c r="P277" s="8"/>
      <c r="Q277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77" t="s">
        <v>91</v>
      </c>
      <c r="S277" s="1" t="s">
        <v>68</v>
      </c>
      <c r="U277" s="1" t="s">
        <v>288</v>
      </c>
      <c r="V277" s="1">
        <v>45526</v>
      </c>
      <c r="W277" s="4">
        <f>YEAR(Tableau1[[#This Row],[Competition_date]])</f>
        <v>2024</v>
      </c>
      <c r="X277" s="4">
        <v>24</v>
      </c>
      <c r="Y277" s="6">
        <v>0.49</v>
      </c>
      <c r="Z277" s="4" t="s">
        <v>79</v>
      </c>
      <c r="AA277" t="s">
        <v>92</v>
      </c>
    </row>
    <row r="278" spans="1:27" hidden="1" x14ac:dyDescent="0.35">
      <c r="A278" t="str">
        <f>_xlfn.CONCAT(Tableau1[[#This Row],[Athletes]],"_",Tableau1[[#This Row],[Nationality]],"_",Tableau1[[#This Row],[Competition_year]])</f>
        <v>Maria FREIJ_SWE_2024</v>
      </c>
      <c r="B278" t="s">
        <v>334</v>
      </c>
      <c r="C278" t="s">
        <v>29</v>
      </c>
      <c r="D278" s="18" t="s">
        <v>28</v>
      </c>
      <c r="E278">
        <v>14.5</v>
      </c>
      <c r="F278">
        <v>14.6</v>
      </c>
      <c r="G278">
        <v>15.3</v>
      </c>
      <c r="H278">
        <v>15.5</v>
      </c>
      <c r="I278">
        <v>15.9</v>
      </c>
      <c r="J278">
        <v>15.7</v>
      </c>
      <c r="K278">
        <v>16</v>
      </c>
      <c r="L278">
        <f>Tableau1[[#This Row],[Final_time]]-SUM(Tableau1[[#This Row],[0_100m]:[600_700m]])</f>
        <v>16.739999999999981</v>
      </c>
      <c r="M278">
        <v>124.24</v>
      </c>
      <c r="N278">
        <f>SUM(Tableau1[[#This Row],[0_100m]:[700_800m]])</f>
        <v>124.24</v>
      </c>
      <c r="O278">
        <f>ABS(Tableau1[[#This Row],[Final_time]]-Tableau1[[#This Row],[Sum_time]])</f>
        <v>0</v>
      </c>
      <c r="P278" s="8"/>
      <c r="Q278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78" t="s">
        <v>91</v>
      </c>
      <c r="S278" s="1" t="s">
        <v>68</v>
      </c>
      <c r="U278" s="1" t="s">
        <v>288</v>
      </c>
      <c r="V278" s="1">
        <v>45526</v>
      </c>
      <c r="W278" s="4">
        <f>YEAR(Tableau1[[#This Row],[Competition_date]])</f>
        <v>2024</v>
      </c>
      <c r="X278" s="4">
        <v>24</v>
      </c>
      <c r="Y278" s="6">
        <v>0.49</v>
      </c>
      <c r="Z278" s="4" t="s">
        <v>79</v>
      </c>
      <c r="AA278" t="s">
        <v>92</v>
      </c>
    </row>
    <row r="279" spans="1:27" hidden="1" x14ac:dyDescent="0.35">
      <c r="A279" t="str">
        <f>_xlfn.CONCAT(Tableau1[[#This Row],[Athletes]],"_",Tableau1[[#This Row],[Nationality]],"_",Tableau1[[#This Row],[Competition_year]])</f>
        <v>Fiona VON FLÜE_SUI_2024</v>
      </c>
      <c r="B279" t="s">
        <v>788</v>
      </c>
      <c r="C279" t="s">
        <v>29</v>
      </c>
      <c r="D279" s="18" t="s">
        <v>73</v>
      </c>
      <c r="M279">
        <v>125.76</v>
      </c>
      <c r="N279">
        <f>SUM(Tableau1[[#This Row],[0_100m]:[700_800m]])</f>
        <v>0</v>
      </c>
      <c r="O279">
        <f>ABS(Tableau1[[#This Row],[Final_time]]-Tableau1[[#This Row],[Sum_time]])</f>
        <v>125.76</v>
      </c>
      <c r="P279" s="8"/>
      <c r="Q279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79" t="s">
        <v>91</v>
      </c>
      <c r="S279" s="1" t="s">
        <v>68</v>
      </c>
      <c r="U279" s="1" t="s">
        <v>288</v>
      </c>
      <c r="V279" s="1">
        <v>45526</v>
      </c>
      <c r="W279" s="4">
        <f>YEAR(Tableau1[[#This Row],[Competition_date]])</f>
        <v>2024</v>
      </c>
      <c r="X279" s="4">
        <v>24</v>
      </c>
      <c r="Y279" s="6">
        <v>0.49</v>
      </c>
      <c r="Z279" s="4" t="s">
        <v>79</v>
      </c>
      <c r="AA279" t="s">
        <v>92</v>
      </c>
    </row>
    <row r="280" spans="1:27" hidden="1" x14ac:dyDescent="0.35">
      <c r="A280" t="str">
        <f>_xlfn.CONCAT(Tableau1[[#This Row],[Athletes]],"_",Tableau1[[#This Row],[Nationality]],"_",Tableau1[[#This Row],[Competition_year]])</f>
        <v>Melina ANDORRA_SUI_2024</v>
      </c>
      <c r="B280" t="s">
        <v>1052</v>
      </c>
      <c r="C280" t="s">
        <v>29</v>
      </c>
      <c r="D280" s="18" t="s">
        <v>73</v>
      </c>
      <c r="E280">
        <v>15</v>
      </c>
      <c r="F280">
        <v>14.9</v>
      </c>
      <c r="G280">
        <v>15.5</v>
      </c>
      <c r="H280">
        <v>15.9</v>
      </c>
      <c r="I280">
        <v>16.399999999999999</v>
      </c>
      <c r="J280">
        <v>16.3</v>
      </c>
      <c r="K280">
        <v>16.399999999999999</v>
      </c>
      <c r="L280">
        <f>Tableau1[[#This Row],[Final_time]]-SUM(Tableau1[[#This Row],[0_100m]:[600_700m]])</f>
        <v>17.28000000000003</v>
      </c>
      <c r="M280">
        <v>127.68</v>
      </c>
      <c r="N280">
        <f>SUM(Tableau1[[#This Row],[0_100m]:[700_800m]])</f>
        <v>127.68</v>
      </c>
      <c r="O280">
        <f>ABS(Tableau1[[#This Row],[Final_time]]-Tableau1[[#This Row],[Sum_time]])</f>
        <v>0</v>
      </c>
      <c r="P280" s="8"/>
      <c r="Q280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80" t="s">
        <v>91</v>
      </c>
      <c r="S280" s="1" t="s">
        <v>68</v>
      </c>
      <c r="U280" s="1" t="s">
        <v>288</v>
      </c>
      <c r="V280" s="1">
        <v>45526</v>
      </c>
      <c r="W280" s="4">
        <f>YEAR(Tableau1[[#This Row],[Competition_date]])</f>
        <v>2024</v>
      </c>
      <c r="X280" s="4">
        <v>24</v>
      </c>
      <c r="Y280" s="6">
        <v>0.49</v>
      </c>
      <c r="Z280" s="4" t="s">
        <v>79</v>
      </c>
      <c r="AA280" t="s">
        <v>92</v>
      </c>
    </row>
    <row r="281" spans="1:27" hidden="1" x14ac:dyDescent="0.35">
      <c r="A281" t="str">
        <f>_xlfn.CONCAT(Tableau1[[#This Row],[Athletes]],"_",Tableau1[[#This Row],[Nationality]],"_",Tableau1[[#This Row],[Competition_year]])</f>
        <v>Juliette DUTRUY_SUI_2024</v>
      </c>
      <c r="B281" t="s">
        <v>936</v>
      </c>
      <c r="C281" t="s">
        <v>29</v>
      </c>
      <c r="D281" s="18" t="s">
        <v>73</v>
      </c>
      <c r="E281">
        <v>15.2</v>
      </c>
      <c r="F281">
        <v>14.8</v>
      </c>
      <c r="G281">
        <v>15.7</v>
      </c>
      <c r="H281">
        <v>16.5</v>
      </c>
      <c r="I281">
        <v>17.2</v>
      </c>
      <c r="J281">
        <v>16.899999999999999</v>
      </c>
      <c r="K281">
        <v>16.5</v>
      </c>
      <c r="L281">
        <f>Tableau1[[#This Row],[Final_time]]-SUM(Tableau1[[#This Row],[0_100m]:[600_700m]])</f>
        <v>17.22999999999999</v>
      </c>
      <c r="M281">
        <v>130.03</v>
      </c>
      <c r="N281">
        <f>SUM(Tableau1[[#This Row],[0_100m]:[700_800m]])</f>
        <v>130.03</v>
      </c>
      <c r="O281">
        <f>ABS(Tableau1[[#This Row],[Final_time]]-Tableau1[[#This Row],[Sum_time]])</f>
        <v>0</v>
      </c>
      <c r="P281" s="8"/>
      <c r="Q281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81" t="s">
        <v>91</v>
      </c>
      <c r="S281" s="1" t="s">
        <v>68</v>
      </c>
      <c r="U281" s="1" t="s">
        <v>288</v>
      </c>
      <c r="V281" s="1">
        <v>45526</v>
      </c>
      <c r="W281" s="4">
        <f>YEAR(Tableau1[[#This Row],[Competition_date]])</f>
        <v>2024</v>
      </c>
      <c r="X281" s="4">
        <v>24</v>
      </c>
      <c r="Y281" s="6">
        <v>0.49</v>
      </c>
      <c r="Z281" s="4" t="s">
        <v>79</v>
      </c>
      <c r="AA281" t="s">
        <v>92</v>
      </c>
    </row>
    <row r="282" spans="1:27" hidden="1" x14ac:dyDescent="0.35">
      <c r="A282" t="str">
        <f>_xlfn.CONCAT(Tableau1[[#This Row],[Athletes]],"_",Tableau1[[#This Row],[Nationality]],"_",Tableau1[[#This Row],[Competition_year]])</f>
        <v>Anna PETER_SUI_2024</v>
      </c>
      <c r="B282" t="s">
        <v>586</v>
      </c>
      <c r="C282" t="s">
        <v>29</v>
      </c>
      <c r="D282" s="18" t="s">
        <v>73</v>
      </c>
      <c r="E282">
        <v>15</v>
      </c>
      <c r="F282">
        <v>14.5</v>
      </c>
      <c r="G282">
        <v>15.4</v>
      </c>
      <c r="H282">
        <v>15.9</v>
      </c>
      <c r="I282">
        <v>16.600000000000001</v>
      </c>
      <c r="J282">
        <v>17</v>
      </c>
      <c r="K282">
        <v>18</v>
      </c>
      <c r="L282">
        <f>Tableau1[[#This Row],[Final_time]]-SUM(Tableau1[[#This Row],[0_100m]:[600_700m]])</f>
        <v>19.419999999999987</v>
      </c>
      <c r="M282">
        <v>131.82</v>
      </c>
      <c r="N282">
        <f>SUM(Tableau1[[#This Row],[0_100m]:[700_800m]])</f>
        <v>131.82</v>
      </c>
      <c r="O282">
        <f>ABS(Tableau1[[#This Row],[Final_time]]-Tableau1[[#This Row],[Sum_time]])</f>
        <v>0</v>
      </c>
      <c r="P282" s="8"/>
      <c r="Q282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82" t="s">
        <v>91</v>
      </c>
      <c r="S282" s="1" t="s">
        <v>68</v>
      </c>
      <c r="U282" s="1" t="s">
        <v>288</v>
      </c>
      <c r="V282" s="1">
        <v>45526</v>
      </c>
      <c r="W282" s="4">
        <f>YEAR(Tableau1[[#This Row],[Competition_date]])</f>
        <v>2024</v>
      </c>
      <c r="X282" s="4">
        <v>24</v>
      </c>
      <c r="Y282" s="6">
        <v>0.49</v>
      </c>
      <c r="Z282" s="4" t="s">
        <v>79</v>
      </c>
      <c r="AA282" t="s">
        <v>92</v>
      </c>
    </row>
    <row r="283" spans="1:27" hidden="1" x14ac:dyDescent="0.35">
      <c r="A283" t="str">
        <f>_xlfn.CONCAT(Tableau1[[#This Row],[Athletes]],"_",Tableau1[[#This Row],[Nationality]],"_",Tableau1[[#This Row],[Competition_year]])</f>
        <v>Vanessa FEIERABEND_SUI_2024</v>
      </c>
      <c r="B283" t="s">
        <v>1285</v>
      </c>
      <c r="C283" t="s">
        <v>29</v>
      </c>
      <c r="D283" s="18" t="s">
        <v>73</v>
      </c>
      <c r="E283">
        <v>15.1</v>
      </c>
      <c r="F283">
        <v>15.2</v>
      </c>
      <c r="G283">
        <v>16</v>
      </c>
      <c r="H283">
        <v>17</v>
      </c>
      <c r="I283">
        <v>17.899999999999999</v>
      </c>
      <c r="J283">
        <v>17.600000000000001</v>
      </c>
      <c r="K283">
        <v>17.899999999999999</v>
      </c>
      <c r="L283">
        <f>Tableau1[[#This Row],[Final_time]]-SUM(Tableau1[[#This Row],[0_100m]:[600_700m]])</f>
        <v>18.310000000000002</v>
      </c>
      <c r="M283">
        <v>135.01</v>
      </c>
      <c r="N283">
        <f>SUM(Tableau1[[#This Row],[0_100m]:[700_800m]])</f>
        <v>135.01</v>
      </c>
      <c r="O283">
        <f>ABS(Tableau1[[#This Row],[Final_time]]-Tableau1[[#This Row],[Sum_time]])</f>
        <v>0</v>
      </c>
      <c r="P283" s="8"/>
      <c r="Q283" s="16" t="str">
        <f>_xlfn.CONCAT(Tableau1[[#This Row],[Competition]],"_",Tableau1[[#This Row],[Championship_step]],"_",Tableau1[[#This Row],[Competition_date]],"_",Tableau1[[#This Row],[Gender]])</f>
        <v>Diamond League Lausanne 2024 - B race__45526_Female</v>
      </c>
      <c r="R283" t="s">
        <v>91</v>
      </c>
      <c r="S283" s="1" t="s">
        <v>68</v>
      </c>
      <c r="U283" s="1" t="s">
        <v>288</v>
      </c>
      <c r="V283" s="1">
        <v>45526</v>
      </c>
      <c r="W283" s="4">
        <f>YEAR(Tableau1[[#This Row],[Competition_date]])</f>
        <v>2024</v>
      </c>
      <c r="X283" s="4">
        <v>24</v>
      </c>
      <c r="Y283" s="6">
        <v>0.49</v>
      </c>
      <c r="Z283" s="4" t="s">
        <v>79</v>
      </c>
      <c r="AA283" t="s">
        <v>92</v>
      </c>
    </row>
    <row r="284" spans="1:27" hidden="1" x14ac:dyDescent="0.35">
      <c r="A284" t="str">
        <f>_xlfn.CONCAT(Tableau1[[#This Row],[Athletes]],"_",Tableau1[[#This Row],[Nationality]],"_",Tableau1[[#This Row],[Competition_year]])</f>
        <v>Mary MORAA_KEN_2024</v>
      </c>
      <c r="B284" t="s">
        <v>228</v>
      </c>
      <c r="C284" t="s">
        <v>29</v>
      </c>
      <c r="D284" s="18" t="s">
        <v>15</v>
      </c>
      <c r="E284">
        <v>13.7</v>
      </c>
      <c r="F284">
        <v>13.1</v>
      </c>
      <c r="G284">
        <v>14.9</v>
      </c>
      <c r="H284">
        <v>15.4</v>
      </c>
      <c r="I284">
        <v>15.2</v>
      </c>
      <c r="J284">
        <v>15.2</v>
      </c>
      <c r="K284">
        <v>15.5</v>
      </c>
      <c r="L284">
        <f>Tableau1[[#This Row],[Final_time]]-SUM(Tableau1[[#This Row],[0_100m]:[600_700m]])</f>
        <v>14.909999999999997</v>
      </c>
      <c r="M284">
        <v>117.91</v>
      </c>
      <c r="N284">
        <f>SUM(Tableau1[[#This Row],[0_100m]:[700_800m]])</f>
        <v>117.91</v>
      </c>
      <c r="O284">
        <f>ABS(Tableau1[[#This Row],[Final_time]]-Tableau1[[#This Row],[Sum_time]])</f>
        <v>0</v>
      </c>
      <c r="P284" s="8"/>
      <c r="Q284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84" t="s">
        <v>70</v>
      </c>
      <c r="S284" s="1" t="s">
        <v>68</v>
      </c>
      <c r="U284" s="1" t="s">
        <v>69</v>
      </c>
      <c r="V284" s="1">
        <v>45526</v>
      </c>
      <c r="W284" s="4">
        <f>YEAR(Tableau1[[#This Row],[Competition_date]])</f>
        <v>2024</v>
      </c>
      <c r="X284" s="4">
        <v>21</v>
      </c>
      <c r="Y284" s="6">
        <v>0.57999999999999996</v>
      </c>
      <c r="Z284" s="4" t="s">
        <v>79</v>
      </c>
      <c r="AA284" t="s">
        <v>71</v>
      </c>
    </row>
    <row r="285" spans="1:27" hidden="1" x14ac:dyDescent="0.35">
      <c r="A285" t="str">
        <f>_xlfn.CONCAT(Tableau1[[#This Row],[Athletes]],"_",Tableau1[[#This Row],[Nationality]],"_",Tableau1[[#This Row],[Competition_year]])</f>
        <v>Georgia HUNTER BELL_GBR_2024</v>
      </c>
      <c r="B285" t="s">
        <v>1351</v>
      </c>
      <c r="C285" t="s">
        <v>29</v>
      </c>
      <c r="D285" s="18" t="s">
        <v>30</v>
      </c>
      <c r="E285" s="7">
        <v>14.1</v>
      </c>
      <c r="F285" s="7">
        <v>13.24</v>
      </c>
      <c r="G285" s="7">
        <v>14.9</v>
      </c>
      <c r="H285" s="4">
        <v>15</v>
      </c>
      <c r="I285" s="7">
        <v>15.25</v>
      </c>
      <c r="J285" s="7">
        <v>15.23</v>
      </c>
      <c r="K285" s="7">
        <v>15.59</v>
      </c>
      <c r="L285">
        <f>Tableau1[[#This Row],[Final_time]]-SUM(Tableau1[[#This Row],[0_100m]:[600_700m]])</f>
        <v>15.219999999999985</v>
      </c>
      <c r="M285">
        <v>118.53</v>
      </c>
      <c r="N285">
        <f>SUM(Tableau1[[#This Row],[0_100m]:[700_800m]])</f>
        <v>118.53</v>
      </c>
      <c r="O285">
        <f>ABS(Tableau1[[#This Row],[Final_time]]-Tableau1[[#This Row],[Sum_time]])</f>
        <v>0</v>
      </c>
      <c r="P285" s="8"/>
      <c r="Q285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85" t="s">
        <v>70</v>
      </c>
      <c r="S285" s="1" t="s">
        <v>68</v>
      </c>
      <c r="U285" s="1" t="s">
        <v>69</v>
      </c>
      <c r="V285" s="1">
        <v>45526</v>
      </c>
      <c r="W285" s="4">
        <f>YEAR(Tableau1[[#This Row],[Competition_date]])</f>
        <v>2024</v>
      </c>
      <c r="X285" s="4">
        <v>21</v>
      </c>
      <c r="Y285" s="6">
        <v>0.57999999999999996</v>
      </c>
      <c r="Z285" s="4" t="s">
        <v>79</v>
      </c>
      <c r="AA285" t="s">
        <v>71</v>
      </c>
    </row>
    <row r="286" spans="1:27" hidden="1" x14ac:dyDescent="0.35">
      <c r="A286" t="str">
        <f>_xlfn.CONCAT(Tableau1[[#This Row],[Athletes]],"_",Tableau1[[#This Row],[Nationality]],"_",Tableau1[[#This Row],[Competition_year]])</f>
        <v>Jemma REEKIE_GBR_2024</v>
      </c>
      <c r="B286" t="s">
        <v>220</v>
      </c>
      <c r="C286" t="s">
        <v>29</v>
      </c>
      <c r="D286" s="18" t="s">
        <v>30</v>
      </c>
      <c r="E286" s="7">
        <v>13.7</v>
      </c>
      <c r="F286" s="7">
        <v>13.2</v>
      </c>
      <c r="G286" s="4">
        <v>15</v>
      </c>
      <c r="H286" s="7">
        <v>15.4</v>
      </c>
      <c r="I286" s="7">
        <v>15.5</v>
      </c>
      <c r="J286" s="7">
        <v>15</v>
      </c>
      <c r="K286" s="7">
        <v>15.5</v>
      </c>
      <c r="L286">
        <f>Tableau1[[#This Row],[Final_time]]-SUM(Tableau1[[#This Row],[0_100m]:[600_700m]])</f>
        <v>15.430000000000007</v>
      </c>
      <c r="M286">
        <v>118.73</v>
      </c>
      <c r="N286">
        <f>SUM(Tableau1[[#This Row],[0_100m]:[700_800m]])</f>
        <v>118.73</v>
      </c>
      <c r="O286">
        <f>ABS(Tableau1[[#This Row],[Final_time]]-Tableau1[[#This Row],[Sum_time]])</f>
        <v>0</v>
      </c>
      <c r="P286" s="8"/>
      <c r="Q286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86" t="s">
        <v>70</v>
      </c>
      <c r="S286" s="1" t="s">
        <v>68</v>
      </c>
      <c r="U286" s="1" t="s">
        <v>69</v>
      </c>
      <c r="V286" s="1">
        <v>45526</v>
      </c>
      <c r="W286" s="4">
        <f>YEAR(Tableau1[[#This Row],[Competition_date]])</f>
        <v>2024</v>
      </c>
      <c r="X286" s="4">
        <v>21</v>
      </c>
      <c r="Y286" s="6">
        <v>0.57999999999999996</v>
      </c>
      <c r="Z286" s="4" t="s">
        <v>79</v>
      </c>
      <c r="AA286" t="s">
        <v>71</v>
      </c>
    </row>
    <row r="287" spans="1:27" hidden="1" x14ac:dyDescent="0.35">
      <c r="A287" t="str">
        <f>_xlfn.CONCAT(Tableau1[[#This Row],[Athletes]],"_",Tableau1[[#This Row],[Nationality]],"_",Tableau1[[#This Row],[Competition_year]])</f>
        <v>Halimah NAKAAYI_UGA_2024</v>
      </c>
      <c r="B287" t="s">
        <v>230</v>
      </c>
      <c r="C287" t="s">
        <v>29</v>
      </c>
      <c r="D287" s="18" t="s">
        <v>34</v>
      </c>
      <c r="E287" s="7">
        <v>13.66</v>
      </c>
      <c r="F287" s="7">
        <v>13.54</v>
      </c>
      <c r="G287" s="7">
        <v>15.3</v>
      </c>
      <c r="H287" s="7">
        <v>15.29</v>
      </c>
      <c r="I287" s="7">
        <v>15.26</v>
      </c>
      <c r="J287" s="7">
        <v>14.83</v>
      </c>
      <c r="K287" s="7">
        <v>15.48</v>
      </c>
      <c r="L287">
        <f>Tableau1[[#This Row],[Final_time]]-SUM(Tableau1[[#This Row],[0_100m]:[600_700m]])</f>
        <v>15.540000000000006</v>
      </c>
      <c r="M287">
        <v>118.9</v>
      </c>
      <c r="N287">
        <f>SUM(Tableau1[[#This Row],[0_100m]:[700_800m]])</f>
        <v>118.9</v>
      </c>
      <c r="O287">
        <f>ABS(Tableau1[[#This Row],[Final_time]]-Tableau1[[#This Row],[Sum_time]])</f>
        <v>0</v>
      </c>
      <c r="P287" s="8"/>
      <c r="Q287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87" t="s">
        <v>70</v>
      </c>
      <c r="S287" s="1" t="s">
        <v>68</v>
      </c>
      <c r="U287" s="1" t="s">
        <v>69</v>
      </c>
      <c r="V287" s="1">
        <v>45526</v>
      </c>
      <c r="W287" s="4">
        <f>YEAR(Tableau1[[#This Row],[Competition_date]])</f>
        <v>2024</v>
      </c>
      <c r="X287" s="4">
        <v>21</v>
      </c>
      <c r="Y287" s="6">
        <v>0.57999999999999996</v>
      </c>
      <c r="Z287" s="4" t="s">
        <v>79</v>
      </c>
      <c r="AA287" t="s">
        <v>71</v>
      </c>
    </row>
    <row r="288" spans="1:27" hidden="1" x14ac:dyDescent="0.35">
      <c r="A288" t="str">
        <f>_xlfn.CONCAT(Tableau1[[#This Row],[Athletes]],"_",Tableau1[[#This Row],[Nationality]],"_",Tableau1[[#This Row],[Competition_year]])</f>
        <v>Rénelle LAMOTE_FRA_2024</v>
      </c>
      <c r="B288" t="s">
        <v>225</v>
      </c>
      <c r="C288" t="s">
        <v>29</v>
      </c>
      <c r="D288" s="18" t="s">
        <v>17</v>
      </c>
      <c r="E288" s="7">
        <v>13.7</v>
      </c>
      <c r="F288" s="7">
        <v>13.5</v>
      </c>
      <c r="G288" s="7">
        <v>15.3</v>
      </c>
      <c r="H288" s="7">
        <v>15.18</v>
      </c>
      <c r="I288" s="7">
        <v>15.31</v>
      </c>
      <c r="J288" s="7">
        <v>15.18</v>
      </c>
      <c r="K288" s="7">
        <v>15.4</v>
      </c>
      <c r="L288">
        <f>Tableau1[[#This Row],[Final_time]]-SUM(Tableau1[[#This Row],[0_100m]:[600_700m]])</f>
        <v>15.560000000000002</v>
      </c>
      <c r="M288">
        <v>119.13</v>
      </c>
      <c r="N288">
        <f>SUM(Tableau1[[#This Row],[0_100m]:[700_800m]])</f>
        <v>119.13</v>
      </c>
      <c r="O288">
        <f>ABS(Tableau1[[#This Row],[Final_time]]-Tableau1[[#This Row],[Sum_time]])</f>
        <v>0</v>
      </c>
      <c r="P288" s="8"/>
      <c r="Q288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88" t="s">
        <v>70</v>
      </c>
      <c r="S288" s="1" t="s">
        <v>68</v>
      </c>
      <c r="U288" s="1" t="s">
        <v>69</v>
      </c>
      <c r="V288" s="1">
        <v>45526</v>
      </c>
      <c r="W288" s="4">
        <f>YEAR(Tableau1[[#This Row],[Competition_date]])</f>
        <v>2024</v>
      </c>
      <c r="X288" s="4">
        <v>21</v>
      </c>
      <c r="Y288" s="6">
        <v>0.57999999999999996</v>
      </c>
      <c r="Z288" s="4" t="s">
        <v>79</v>
      </c>
      <c r="AA288" t="s">
        <v>71</v>
      </c>
    </row>
    <row r="289" spans="1:27" hidden="1" x14ac:dyDescent="0.35">
      <c r="A289" t="str">
        <f>_xlfn.CONCAT(Tableau1[[#This Row],[Athletes]],"_",Tableau1[[#This Row],[Nationality]],"_",Tableau1[[#This Row],[Competition_year]])</f>
        <v>Shafiqua MALONEY_VIN_2024</v>
      </c>
      <c r="B289" t="s">
        <v>270</v>
      </c>
      <c r="C289" t="s">
        <v>29</v>
      </c>
      <c r="D289" s="18" t="s">
        <v>72</v>
      </c>
      <c r="E289" s="7">
        <v>13.5</v>
      </c>
      <c r="F289" s="7">
        <v>13.6</v>
      </c>
      <c r="G289" s="4">
        <v>15</v>
      </c>
      <c r="H289" s="7">
        <v>15.4</v>
      </c>
      <c r="I289" s="7">
        <v>15.2</v>
      </c>
      <c r="J289" s="4">
        <v>15</v>
      </c>
      <c r="K289" s="7">
        <v>15.6</v>
      </c>
      <c r="L289">
        <f>Tableau1[[#This Row],[Final_time]]-SUM(Tableau1[[#This Row],[0_100m]:[600_700m]])</f>
        <v>15.980000000000004</v>
      </c>
      <c r="M289">
        <v>119.28</v>
      </c>
      <c r="N289">
        <f>SUM(Tableau1[[#This Row],[0_100m]:[700_800m]])</f>
        <v>119.28</v>
      </c>
      <c r="O289">
        <f>ABS(Tableau1[[#This Row],[Final_time]]-Tableau1[[#This Row],[Sum_time]])</f>
        <v>0</v>
      </c>
      <c r="P289" s="8"/>
      <c r="Q289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89" t="s">
        <v>70</v>
      </c>
      <c r="S289" s="1" t="s">
        <v>68</v>
      </c>
      <c r="U289" s="1" t="s">
        <v>69</v>
      </c>
      <c r="V289" s="1">
        <v>45526</v>
      </c>
      <c r="W289" s="4">
        <f>YEAR(Tableau1[[#This Row],[Competition_date]])</f>
        <v>2024</v>
      </c>
      <c r="X289" s="4">
        <v>21</v>
      </c>
      <c r="Y289" s="6">
        <v>0.57999999999999996</v>
      </c>
      <c r="Z289" s="4" t="s">
        <v>79</v>
      </c>
      <c r="AA289" t="s">
        <v>71</v>
      </c>
    </row>
    <row r="290" spans="1:27" hidden="1" x14ac:dyDescent="0.35">
      <c r="A290" t="str">
        <f>_xlfn.CONCAT(Tableau1[[#This Row],[Athletes]],"_",Tableau1[[#This Row],[Nationality]],"_",Tableau1[[#This Row],[Competition_year]])</f>
        <v>Audrey WERRO_SUI_2024</v>
      </c>
      <c r="B290" t="s">
        <v>329</v>
      </c>
      <c r="C290" t="s">
        <v>29</v>
      </c>
      <c r="D290" s="18" t="s">
        <v>73</v>
      </c>
      <c r="E290" s="7">
        <v>13.85</v>
      </c>
      <c r="F290" s="7">
        <v>13.34</v>
      </c>
      <c r="G290" s="7">
        <v>15.1</v>
      </c>
      <c r="H290" s="7">
        <v>15.4</v>
      </c>
      <c r="I290" s="7">
        <v>15.41</v>
      </c>
      <c r="J290" s="7">
        <v>15.23</v>
      </c>
      <c r="K290" s="7">
        <v>15.5</v>
      </c>
      <c r="L290">
        <f>Tableau1[[#This Row],[Final_time]]-SUM(Tableau1[[#This Row],[0_100m]:[600_700m]])</f>
        <v>15.480000000000004</v>
      </c>
      <c r="M290">
        <v>119.31</v>
      </c>
      <c r="N290">
        <f>SUM(Tableau1[[#This Row],[0_100m]:[700_800m]])</f>
        <v>119.31</v>
      </c>
      <c r="O290">
        <f>ABS(Tableau1[[#This Row],[Final_time]]-Tableau1[[#This Row],[Sum_time]])</f>
        <v>0</v>
      </c>
      <c r="P290" s="8"/>
      <c r="Q290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90" t="s">
        <v>70</v>
      </c>
      <c r="S290" s="1" t="s">
        <v>68</v>
      </c>
      <c r="U290" s="1" t="s">
        <v>69</v>
      </c>
      <c r="V290" s="1">
        <v>45526</v>
      </c>
      <c r="W290" s="4">
        <f>YEAR(Tableau1[[#This Row],[Competition_date]])</f>
        <v>2024</v>
      </c>
      <c r="X290" s="4">
        <v>21</v>
      </c>
      <c r="Y290" s="6">
        <v>0.57999999999999996</v>
      </c>
      <c r="Z290" s="4" t="s">
        <v>79</v>
      </c>
      <c r="AA290" t="s">
        <v>71</v>
      </c>
    </row>
    <row r="291" spans="1:27" hidden="1" x14ac:dyDescent="0.35">
      <c r="A291" t="str">
        <f>_xlfn.CONCAT(Tableau1[[#This Row],[Athletes]],"_",Tableau1[[#This Row],[Nationality]],"_",Tableau1[[#This Row],[Competition_year]])</f>
        <v>Natoya GOULE-TOPPIN_JAM_2024</v>
      </c>
      <c r="B291" t="s">
        <v>222</v>
      </c>
      <c r="C291" t="s">
        <v>29</v>
      </c>
      <c r="D291" s="18" t="s">
        <v>33</v>
      </c>
      <c r="E291" s="7">
        <v>13.8</v>
      </c>
      <c r="F291" s="7">
        <v>13.3</v>
      </c>
      <c r="G291" s="7">
        <v>15.05</v>
      </c>
      <c r="H291" s="7">
        <v>15.3</v>
      </c>
      <c r="I291" s="7">
        <v>15.31</v>
      </c>
      <c r="J291" s="7">
        <v>15.4</v>
      </c>
      <c r="K291" s="7">
        <v>15.52</v>
      </c>
      <c r="L291">
        <f>Tableau1[[#This Row],[Final_time]]-SUM(Tableau1[[#This Row],[0_100m]:[600_700m]])</f>
        <v>16</v>
      </c>
      <c r="M291">
        <v>119.68</v>
      </c>
      <c r="N291">
        <f>SUM(Tableau1[[#This Row],[0_100m]:[700_800m]])</f>
        <v>119.68</v>
      </c>
      <c r="O291">
        <f>ABS(Tableau1[[#This Row],[Final_time]]-Tableau1[[#This Row],[Sum_time]])</f>
        <v>0</v>
      </c>
      <c r="P291" s="8"/>
      <c r="Q291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91" t="s">
        <v>70</v>
      </c>
      <c r="S291" s="1" t="s">
        <v>68</v>
      </c>
      <c r="U291" s="1" t="s">
        <v>69</v>
      </c>
      <c r="V291" s="1">
        <v>45526</v>
      </c>
      <c r="W291" s="4">
        <f>YEAR(Tableau1[[#This Row],[Competition_date]])</f>
        <v>2024</v>
      </c>
      <c r="X291" s="4">
        <v>21</v>
      </c>
      <c r="Y291" s="6">
        <v>0.57999999999999996</v>
      </c>
      <c r="Z291" s="4" t="s">
        <v>79</v>
      </c>
      <c r="AA291" t="s">
        <v>71</v>
      </c>
    </row>
    <row r="292" spans="1:27" hidden="1" x14ac:dyDescent="0.35">
      <c r="A292" t="str">
        <f>_xlfn.CONCAT(Tableau1[[#This Row],[Athletes]],"_",Tableau1[[#This Row],[Nationality]],"_",Tableau1[[#This Row],[Competition_year]])</f>
        <v>Rachel PELLAUD_SUI_2024</v>
      </c>
      <c r="B292" t="s">
        <v>1146</v>
      </c>
      <c r="C292" t="s">
        <v>29</v>
      </c>
      <c r="D292" s="18" t="s">
        <v>73</v>
      </c>
      <c r="E292" s="7">
        <v>14.1</v>
      </c>
      <c r="F292" s="7">
        <v>13.4</v>
      </c>
      <c r="G292" s="7">
        <v>15.3</v>
      </c>
      <c r="H292" s="7">
        <v>15.2</v>
      </c>
      <c r="I292" s="7">
        <v>15.5</v>
      </c>
      <c r="J292" s="7">
        <v>15.4</v>
      </c>
      <c r="K292" s="7">
        <v>15.2</v>
      </c>
      <c r="L292">
        <f>Tableau1[[#This Row],[Final_time]]-SUM(Tableau1[[#This Row],[0_100m]:[600_700m]])</f>
        <v>15.789999999999992</v>
      </c>
      <c r="M292">
        <v>119.89</v>
      </c>
      <c r="N292">
        <f>SUM(Tableau1[[#This Row],[0_100m]:[700_800m]])</f>
        <v>119.89</v>
      </c>
      <c r="O292">
        <f>ABS(Tableau1[[#This Row],[Final_time]]-Tableau1[[#This Row],[Sum_time]])</f>
        <v>0</v>
      </c>
      <c r="P292" s="8"/>
      <c r="Q292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92" t="s">
        <v>70</v>
      </c>
      <c r="S292" s="1" t="s">
        <v>68</v>
      </c>
      <c r="U292" s="1" t="s">
        <v>69</v>
      </c>
      <c r="V292" s="1">
        <v>45526</v>
      </c>
      <c r="W292" s="4">
        <f>YEAR(Tableau1[[#This Row],[Competition_date]])</f>
        <v>2024</v>
      </c>
      <c r="X292" s="4">
        <v>21</v>
      </c>
      <c r="Y292" s="6">
        <v>0.57999999999999996</v>
      </c>
      <c r="Z292" s="4" t="s">
        <v>79</v>
      </c>
      <c r="AA292" t="s">
        <v>71</v>
      </c>
    </row>
    <row r="293" spans="1:27" hidden="1" x14ac:dyDescent="0.35">
      <c r="A293" t="str">
        <f>_xlfn.CONCAT(Tableau1[[#This Row],[Athletes]],"_",Tableau1[[#This Row],[Nationality]],"_",Tableau1[[#This Row],[Competition_year]])</f>
        <v>Nia AKINS_USA_2024</v>
      </c>
      <c r="B293" t="s">
        <v>213</v>
      </c>
      <c r="C293" t="s">
        <v>29</v>
      </c>
      <c r="D293" s="18" t="s">
        <v>35</v>
      </c>
      <c r="E293" s="7">
        <v>13.6</v>
      </c>
      <c r="F293" s="7">
        <v>13.3</v>
      </c>
      <c r="G293" s="7">
        <v>15</v>
      </c>
      <c r="H293" s="7">
        <v>15.3</v>
      </c>
      <c r="I293" s="7">
        <v>15.1</v>
      </c>
      <c r="J293" s="7">
        <v>15.2</v>
      </c>
      <c r="K293" s="7">
        <v>15.7</v>
      </c>
      <c r="L293">
        <f>Tableau1[[#This Row],[Final_time]]-SUM(Tableau1[[#This Row],[0_100m]:[600_700m]])</f>
        <v>16.799999999999997</v>
      </c>
      <c r="M293">
        <v>120</v>
      </c>
      <c r="N293">
        <f>SUM(Tableau1[[#This Row],[0_100m]:[700_800m]])</f>
        <v>120</v>
      </c>
      <c r="O293">
        <f>ABS(Tableau1[[#This Row],[Final_time]]-Tableau1[[#This Row],[Sum_time]])</f>
        <v>0</v>
      </c>
      <c r="P293" s="8"/>
      <c r="Q293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93" t="s">
        <v>70</v>
      </c>
      <c r="S293" s="1" t="s">
        <v>68</v>
      </c>
      <c r="U293" s="1" t="s">
        <v>69</v>
      </c>
      <c r="V293" s="1">
        <v>45526</v>
      </c>
      <c r="W293" s="4">
        <f>YEAR(Tableau1[[#This Row],[Competition_date]])</f>
        <v>2024</v>
      </c>
      <c r="X293" s="4">
        <v>21</v>
      </c>
      <c r="Y293" s="6">
        <v>0.57999999999999996</v>
      </c>
      <c r="Z293" s="4" t="s">
        <v>79</v>
      </c>
      <c r="AA293" t="s">
        <v>71</v>
      </c>
    </row>
    <row r="294" spans="1:27" hidden="1" x14ac:dyDescent="0.35">
      <c r="A294" t="str">
        <f>_xlfn.CONCAT(Tableau1[[#This Row],[Athletes]],"_",Tableau1[[#This Row],[Nationality]],"_",Tableau1[[#This Row],[Competition_year]])</f>
        <v>Allie WILSON_USA_2024</v>
      </c>
      <c r="B294" t="s">
        <v>345</v>
      </c>
      <c r="C294" t="s">
        <v>29</v>
      </c>
      <c r="D294" s="18" t="s">
        <v>35</v>
      </c>
      <c r="E294" s="7">
        <v>14.1</v>
      </c>
      <c r="F294" s="7">
        <v>13.5</v>
      </c>
      <c r="G294" s="7">
        <v>15.1</v>
      </c>
      <c r="H294" s="7">
        <v>15.1</v>
      </c>
      <c r="I294" s="7">
        <v>15.6</v>
      </c>
      <c r="J294" s="7">
        <v>15.2</v>
      </c>
      <c r="K294" s="7">
        <v>15.6</v>
      </c>
      <c r="L294">
        <f>Tableau1[[#This Row],[Final_time]]-SUM(Tableau1[[#This Row],[0_100m]:[600_700m]])</f>
        <v>16.149999999999991</v>
      </c>
      <c r="M294">
        <v>120.35</v>
      </c>
      <c r="N294">
        <f>SUM(Tableau1[[#This Row],[0_100m]:[700_800m]])</f>
        <v>120.35</v>
      </c>
      <c r="O294">
        <f>ABS(Tableau1[[#This Row],[Final_time]]-Tableau1[[#This Row],[Sum_time]])</f>
        <v>0</v>
      </c>
      <c r="P294" s="8"/>
      <c r="Q294" s="16" t="str">
        <f>_xlfn.CONCAT(Tableau1[[#This Row],[Competition]],"_",Tableau1[[#This Row],[Championship_step]],"_",Tableau1[[#This Row],[Competition_date]],"_",Tableau1[[#This Row],[Gender]])</f>
        <v>Diamond League Lausanne 2024__45526_Female</v>
      </c>
      <c r="R294" t="s">
        <v>70</v>
      </c>
      <c r="S294" s="1" t="s">
        <v>68</v>
      </c>
      <c r="U294" s="1" t="s">
        <v>69</v>
      </c>
      <c r="V294" s="1">
        <v>45526</v>
      </c>
      <c r="W294" s="4">
        <f>YEAR(Tableau1[[#This Row],[Competition_date]])</f>
        <v>2024</v>
      </c>
      <c r="X294" s="4">
        <v>21</v>
      </c>
      <c r="Y294" s="6">
        <v>0.57999999999999996</v>
      </c>
      <c r="Z294" s="4" t="s">
        <v>79</v>
      </c>
      <c r="AA294" t="s">
        <v>71</v>
      </c>
    </row>
    <row r="295" spans="1:27" hidden="1" x14ac:dyDescent="0.35">
      <c r="A295" t="str">
        <f>_xlfn.CONCAT(Tableau1[[#This Row],[Athletes]],"_",Tableau1[[#This Row],[Nationality]],"_",Tableau1[[#This Row],[Competition_year]])</f>
        <v>Emmanuel WANYONYI_KEN_2024</v>
      </c>
      <c r="B295" t="s">
        <v>183</v>
      </c>
      <c r="C295" t="s">
        <v>14</v>
      </c>
      <c r="D295" s="18" t="s">
        <v>15</v>
      </c>
      <c r="E295">
        <v>12.5</v>
      </c>
      <c r="F295">
        <v>12</v>
      </c>
      <c r="G295">
        <v>12.6</v>
      </c>
      <c r="H295">
        <v>12.9</v>
      </c>
      <c r="I295">
        <v>13</v>
      </c>
      <c r="J295">
        <v>12.4</v>
      </c>
      <c r="K295">
        <v>12.7</v>
      </c>
      <c r="L295">
        <f>Tableau1[[#This Row],[Final_time]]-SUM(Tableau1[[#This Row],[0_100m]:[600_700m]])</f>
        <v>13.009999999999991</v>
      </c>
      <c r="M295">
        <v>101.11</v>
      </c>
      <c r="N295">
        <f>SUM(Tableau1[[#This Row],[0_100m]:[700_800m]])</f>
        <v>101.11</v>
      </c>
      <c r="O295">
        <f>ABS(Tableau1[[#This Row],[Final_time]]-Tableau1[[#This Row],[Sum_time]])</f>
        <v>0</v>
      </c>
      <c r="P295" s="8"/>
      <c r="Q295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295" t="s">
        <v>70</v>
      </c>
      <c r="S295" s="1" t="s">
        <v>68</v>
      </c>
      <c r="U295" s="1" t="s">
        <v>69</v>
      </c>
      <c r="V295" s="1">
        <v>45526</v>
      </c>
      <c r="W295" s="4">
        <f>YEAR(Tableau1[[#This Row],[Competition_date]])</f>
        <v>2024</v>
      </c>
      <c r="X295" s="4">
        <v>23</v>
      </c>
      <c r="Y295" s="6">
        <v>0.51</v>
      </c>
      <c r="Z295" s="4" t="s">
        <v>79</v>
      </c>
      <c r="AA295" t="s">
        <v>90</v>
      </c>
    </row>
    <row r="296" spans="1:27" hidden="1" x14ac:dyDescent="0.35">
      <c r="A296" t="str">
        <f>_xlfn.CONCAT(Tableau1[[#This Row],[Athletes]],"_",Tableau1[[#This Row],[Nationality]],"_",Tableau1[[#This Row],[Competition_year]])</f>
        <v>Marco AROP_CAN_2024</v>
      </c>
      <c r="B296" t="s">
        <v>177</v>
      </c>
      <c r="C296" t="s">
        <v>14</v>
      </c>
      <c r="D296" s="18" t="s">
        <v>19</v>
      </c>
      <c r="E296">
        <v>12.6</v>
      </c>
      <c r="F296">
        <v>11.7</v>
      </c>
      <c r="G296">
        <v>12.4</v>
      </c>
      <c r="H296">
        <v>12.9</v>
      </c>
      <c r="I296">
        <v>13.1</v>
      </c>
      <c r="J296">
        <v>12.8</v>
      </c>
      <c r="K296">
        <v>12.9</v>
      </c>
      <c r="L296">
        <f>Tableau1[[#This Row],[Final_time]]-SUM(Tableau1[[#This Row],[0_100m]:[600_700m]])</f>
        <v>13.319999999999993</v>
      </c>
      <c r="M296">
        <v>101.72</v>
      </c>
      <c r="N296">
        <f>SUM(Tableau1[[#This Row],[0_100m]:[700_800m]])</f>
        <v>101.72</v>
      </c>
      <c r="O296">
        <f>ABS(Tableau1[[#This Row],[Final_time]]-Tableau1[[#This Row],[Sum_time]])</f>
        <v>0</v>
      </c>
      <c r="P296" s="8"/>
      <c r="Q296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296" t="s">
        <v>70</v>
      </c>
      <c r="S296" s="1" t="s">
        <v>68</v>
      </c>
      <c r="U296" s="1" t="s">
        <v>69</v>
      </c>
      <c r="V296" s="1">
        <v>45526</v>
      </c>
      <c r="W296" s="4">
        <f>YEAR(Tableau1[[#This Row],[Competition_date]])</f>
        <v>2024</v>
      </c>
      <c r="X296" s="4">
        <v>23</v>
      </c>
      <c r="Y296" s="6">
        <v>0.51</v>
      </c>
      <c r="Z296" s="4" t="s">
        <v>79</v>
      </c>
      <c r="AA296" t="s">
        <v>90</v>
      </c>
    </row>
    <row r="297" spans="1:27" hidden="1" x14ac:dyDescent="0.35">
      <c r="A297" t="str">
        <f>_xlfn.CONCAT(Tableau1[[#This Row],[Athletes]],"_",Tableau1[[#This Row],[Nationality]],"_",Tableau1[[#This Row],[Competition_year]])</f>
        <v>Gabriel TUAL_FRA_2024</v>
      </c>
      <c r="B297" t="s">
        <v>180</v>
      </c>
      <c r="C297" t="s">
        <v>14</v>
      </c>
      <c r="D297" s="18" t="s">
        <v>17</v>
      </c>
      <c r="E297">
        <v>12.6</v>
      </c>
      <c r="F297">
        <v>12.2</v>
      </c>
      <c r="G297">
        <v>12.8</v>
      </c>
      <c r="H297">
        <v>12.8</v>
      </c>
      <c r="I297">
        <v>13.1</v>
      </c>
      <c r="J297">
        <v>12.7</v>
      </c>
      <c r="K297">
        <v>13.1</v>
      </c>
      <c r="L297">
        <f>Tableau1[[#This Row],[Final_time]]-SUM(Tableau1[[#This Row],[0_100m]:[600_700m]])</f>
        <v>13.000000000000014</v>
      </c>
      <c r="M297">
        <v>102.3</v>
      </c>
      <c r="N297">
        <f>SUM(Tableau1[[#This Row],[0_100m]:[700_800m]])</f>
        <v>102.3</v>
      </c>
      <c r="O297">
        <f>ABS(Tableau1[[#This Row],[Final_time]]-Tableau1[[#This Row],[Sum_time]])</f>
        <v>0</v>
      </c>
      <c r="P297" s="8"/>
      <c r="Q297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297" t="s">
        <v>70</v>
      </c>
      <c r="S297" s="1" t="s">
        <v>68</v>
      </c>
      <c r="U297" s="1" t="s">
        <v>69</v>
      </c>
      <c r="V297" s="1">
        <v>45526</v>
      </c>
      <c r="W297" s="4">
        <f>YEAR(Tableau1[[#This Row],[Competition_date]])</f>
        <v>2024</v>
      </c>
      <c r="X297" s="4">
        <v>23</v>
      </c>
      <c r="Y297" s="6">
        <v>0.51</v>
      </c>
      <c r="Z297" s="4" t="s">
        <v>79</v>
      </c>
      <c r="AA297" t="s">
        <v>90</v>
      </c>
    </row>
    <row r="298" spans="1:27" hidden="1" x14ac:dyDescent="0.35">
      <c r="A298" t="str">
        <f>_xlfn.CONCAT(Tableau1[[#This Row],[Athletes]],"_",Tableau1[[#This Row],[Nationality]],"_",Tableau1[[#This Row],[Competition_year]])</f>
        <v>Bryce HOPPEL_USA_2024</v>
      </c>
      <c r="B298" t="s">
        <v>173</v>
      </c>
      <c r="C298" t="s">
        <v>14</v>
      </c>
      <c r="D298" s="18" t="s">
        <v>35</v>
      </c>
      <c r="E298">
        <v>12.8</v>
      </c>
      <c r="F298">
        <v>11.9</v>
      </c>
      <c r="G298">
        <v>12.7</v>
      </c>
      <c r="H298">
        <v>12.8</v>
      </c>
      <c r="I298">
        <v>13.2</v>
      </c>
      <c r="J298">
        <v>12.7</v>
      </c>
      <c r="K298">
        <v>13.3</v>
      </c>
      <c r="L298">
        <f>Tableau1[[#This Row],[Final_time]]-SUM(Tableau1[[#This Row],[0_100m]:[600_700m]])</f>
        <v>13.22999999999999</v>
      </c>
      <c r="M298">
        <v>102.63</v>
      </c>
      <c r="N298">
        <f>SUM(Tableau1[[#This Row],[0_100m]:[700_800m]])</f>
        <v>102.63</v>
      </c>
      <c r="O298">
        <f>ABS(Tableau1[[#This Row],[Final_time]]-Tableau1[[#This Row],[Sum_time]])</f>
        <v>0</v>
      </c>
      <c r="P298" s="8"/>
      <c r="Q298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298" t="s">
        <v>70</v>
      </c>
      <c r="S298" s="1" t="s">
        <v>68</v>
      </c>
      <c r="U298" s="1" t="s">
        <v>69</v>
      </c>
      <c r="V298" s="1">
        <v>45526</v>
      </c>
      <c r="W298" s="4">
        <f>YEAR(Tableau1[[#This Row],[Competition_date]])</f>
        <v>2024</v>
      </c>
      <c r="X298" s="4">
        <v>23</v>
      </c>
      <c r="Y298" s="6">
        <v>0.51</v>
      </c>
      <c r="Z298" s="4" t="s">
        <v>79</v>
      </c>
      <c r="AA298" t="s">
        <v>90</v>
      </c>
    </row>
    <row r="299" spans="1:27" hidden="1" x14ac:dyDescent="0.35">
      <c r="A299" t="str">
        <f>_xlfn.CONCAT(Tableau1[[#This Row],[Athletes]],"_",Tableau1[[#This Row],[Nationality]],"_",Tableau1[[#This Row],[Competition_year]])</f>
        <v>Pieter SISK_BEL_2024</v>
      </c>
      <c r="B299" t="s">
        <v>466</v>
      </c>
      <c r="C299" t="s">
        <v>14</v>
      </c>
      <c r="D299" s="18" t="s">
        <v>18</v>
      </c>
      <c r="E299">
        <v>12.8</v>
      </c>
      <c r="F299">
        <v>12.2</v>
      </c>
      <c r="G299">
        <v>12.8</v>
      </c>
      <c r="H299">
        <v>12.8</v>
      </c>
      <c r="I299">
        <v>13.1</v>
      </c>
      <c r="J299">
        <v>12.7</v>
      </c>
      <c r="K299">
        <v>13.2</v>
      </c>
      <c r="L299">
        <f>Tableau1[[#This Row],[Final_time]]-SUM(Tableau1[[#This Row],[0_100m]:[600_700m]])</f>
        <v>13.88000000000001</v>
      </c>
      <c r="M299">
        <v>103.48</v>
      </c>
      <c r="N299">
        <f>SUM(Tableau1[[#This Row],[0_100m]:[700_800m]])</f>
        <v>103.48</v>
      </c>
      <c r="O299">
        <f>ABS(Tableau1[[#This Row],[Final_time]]-Tableau1[[#This Row],[Sum_time]])</f>
        <v>0</v>
      </c>
      <c r="P299" s="8"/>
      <c r="Q299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299" t="s">
        <v>70</v>
      </c>
      <c r="S299" s="1" t="s">
        <v>68</v>
      </c>
      <c r="U299" s="1" t="s">
        <v>69</v>
      </c>
      <c r="V299" s="1">
        <v>45526</v>
      </c>
      <c r="W299" s="4">
        <f>YEAR(Tableau1[[#This Row],[Competition_date]])</f>
        <v>2024</v>
      </c>
      <c r="X299" s="4">
        <v>23</v>
      </c>
      <c r="Y299" s="6">
        <v>0.51</v>
      </c>
      <c r="Z299" s="4" t="s">
        <v>79</v>
      </c>
      <c r="AA299" t="s">
        <v>90</v>
      </c>
    </row>
    <row r="300" spans="1:27" hidden="1" x14ac:dyDescent="0.35">
      <c r="A300" t="str">
        <f>_xlfn.CONCAT(Tableau1[[#This Row],[Athletes]],"_",Tableau1[[#This Row],[Nationality]],"_",Tableau1[[#This Row],[Competition_year]])</f>
        <v>Catalin TECUCEANU_ITA_2024</v>
      </c>
      <c r="B300" t="s">
        <v>179</v>
      </c>
      <c r="C300" t="s">
        <v>14</v>
      </c>
      <c r="D300" s="18" t="s">
        <v>20</v>
      </c>
      <c r="E300">
        <v>13.1</v>
      </c>
      <c r="F300">
        <v>12.1</v>
      </c>
      <c r="G300">
        <v>12.9</v>
      </c>
      <c r="H300">
        <v>12.7</v>
      </c>
      <c r="I300">
        <v>13.2</v>
      </c>
      <c r="J300">
        <v>13</v>
      </c>
      <c r="K300">
        <v>13.3</v>
      </c>
      <c r="L300">
        <f>Tableau1[[#This Row],[Final_time]]-SUM(Tableau1[[#This Row],[0_100m]:[600_700m]])</f>
        <v>13.769999999999996</v>
      </c>
      <c r="M300">
        <v>104.07</v>
      </c>
      <c r="N300">
        <f>SUM(Tableau1[[#This Row],[0_100m]:[700_800m]])</f>
        <v>104.07</v>
      </c>
      <c r="O300">
        <f>ABS(Tableau1[[#This Row],[Final_time]]-Tableau1[[#This Row],[Sum_time]])</f>
        <v>0</v>
      </c>
      <c r="P300" s="8"/>
      <c r="Q300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300" t="s">
        <v>70</v>
      </c>
      <c r="S300" s="1" t="s">
        <v>68</v>
      </c>
      <c r="U300" s="1" t="s">
        <v>69</v>
      </c>
      <c r="V300" s="1">
        <v>45526</v>
      </c>
      <c r="W300" s="4">
        <f>YEAR(Tableau1[[#This Row],[Competition_date]])</f>
        <v>2024</v>
      </c>
      <c r="X300" s="4">
        <v>23</v>
      </c>
      <c r="Y300" s="6">
        <v>0.51</v>
      </c>
      <c r="Z300" s="4" t="s">
        <v>79</v>
      </c>
      <c r="AA300" t="s">
        <v>90</v>
      </c>
    </row>
    <row r="301" spans="1:27" hidden="1" x14ac:dyDescent="0.35">
      <c r="A301" t="str">
        <f>_xlfn.CONCAT(Tableau1[[#This Row],[Athletes]],"_",Tableau1[[#This Row],[Nationality]],"_",Tableau1[[#This Row],[Competition_year]])</f>
        <v>Elliot GILES_GBR_2024</v>
      </c>
      <c r="B301" t="s">
        <v>383</v>
      </c>
      <c r="C301" t="s">
        <v>14</v>
      </c>
      <c r="D301" s="18" t="s">
        <v>30</v>
      </c>
      <c r="E301">
        <v>13.3</v>
      </c>
      <c r="F301">
        <v>12.4</v>
      </c>
      <c r="G301">
        <v>12.7</v>
      </c>
      <c r="H301">
        <v>12.9</v>
      </c>
      <c r="I301">
        <v>13.1</v>
      </c>
      <c r="J301">
        <v>13.1</v>
      </c>
      <c r="K301">
        <v>13.1</v>
      </c>
      <c r="L301">
        <f>Tableau1[[#This Row],[Final_time]]-SUM(Tableau1[[#This Row],[0_100m]:[600_700m]])</f>
        <v>13.719999999999999</v>
      </c>
      <c r="M301">
        <v>104.32</v>
      </c>
      <c r="N301">
        <f>SUM(Tableau1[[#This Row],[0_100m]:[700_800m]])</f>
        <v>104.32</v>
      </c>
      <c r="O301">
        <f>ABS(Tableau1[[#This Row],[Final_time]]-Tableau1[[#This Row],[Sum_time]])</f>
        <v>0</v>
      </c>
      <c r="P301" s="8"/>
      <c r="Q301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301" t="s">
        <v>70</v>
      </c>
      <c r="S301" s="1" t="s">
        <v>68</v>
      </c>
      <c r="U301" s="1" t="s">
        <v>69</v>
      </c>
      <c r="V301" s="1">
        <v>45526</v>
      </c>
      <c r="W301" s="4">
        <f>YEAR(Tableau1[[#This Row],[Competition_date]])</f>
        <v>2024</v>
      </c>
      <c r="X301" s="4">
        <v>23</v>
      </c>
      <c r="Y301" s="6">
        <v>0.51</v>
      </c>
      <c r="Z301" s="4" t="s">
        <v>79</v>
      </c>
      <c r="AA301" t="s">
        <v>90</v>
      </c>
    </row>
    <row r="302" spans="1:27" hidden="1" x14ac:dyDescent="0.35">
      <c r="A302" t="str">
        <f>_xlfn.CONCAT(Tableau1[[#This Row],[Athletes]],"_",Tableau1[[#This Row],[Nationality]],"_",Tableau1[[#This Row],[Competition_year]])</f>
        <v>Mohamed ATTAOUI_ESP_2024</v>
      </c>
      <c r="B302" t="s">
        <v>110</v>
      </c>
      <c r="C302" t="s">
        <v>14</v>
      </c>
      <c r="D302" s="18" t="s">
        <v>37</v>
      </c>
      <c r="E302">
        <v>13.4</v>
      </c>
      <c r="F302">
        <v>12.1</v>
      </c>
      <c r="G302">
        <v>12.8</v>
      </c>
      <c r="H302">
        <v>12.7</v>
      </c>
      <c r="I302">
        <v>13.2</v>
      </c>
      <c r="J302">
        <v>13.2</v>
      </c>
      <c r="K302">
        <v>13.6</v>
      </c>
      <c r="L302">
        <f>Tableau1[[#This Row],[Final_time]]-SUM(Tableau1[[#This Row],[0_100m]:[600_700m]])</f>
        <v>14.400000000000006</v>
      </c>
      <c r="M302">
        <v>105.4</v>
      </c>
      <c r="N302">
        <f>SUM(Tableau1[[#This Row],[0_100m]:[700_800m]])</f>
        <v>105.4</v>
      </c>
      <c r="O302">
        <f>ABS(Tableau1[[#This Row],[Final_time]]-Tableau1[[#This Row],[Sum_time]])</f>
        <v>0</v>
      </c>
      <c r="P302" s="8"/>
      <c r="Q302" s="1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R302" t="s">
        <v>70</v>
      </c>
      <c r="S302" s="1" t="s">
        <v>68</v>
      </c>
      <c r="U302" s="1" t="s">
        <v>69</v>
      </c>
      <c r="V302" s="1">
        <v>45526</v>
      </c>
      <c r="W302" s="4">
        <f>YEAR(Tableau1[[#This Row],[Competition_date]])</f>
        <v>2024</v>
      </c>
      <c r="X302" s="4">
        <v>23</v>
      </c>
      <c r="Y302" s="6">
        <v>0.51</v>
      </c>
      <c r="Z302" s="4" t="s">
        <v>79</v>
      </c>
      <c r="AA302" t="s">
        <v>90</v>
      </c>
    </row>
    <row r="303" spans="1:27" hidden="1" x14ac:dyDescent="0.35">
      <c r="A303" t="str">
        <f>_xlfn.CONCAT(Tableau1[[#This Row],[Athletes]],"_",Tableau1[[#This Row],[Nationality]],"_",Tableau1[[#This Row],[Competition_year]])</f>
        <v>Gabriela GAJANOVÁ_SVK_2025</v>
      </c>
      <c r="B303" t="s">
        <v>349</v>
      </c>
      <c r="C303" t="s">
        <v>29</v>
      </c>
      <c r="D303" s="18" t="s">
        <v>100</v>
      </c>
      <c r="E303">
        <v>14.4</v>
      </c>
      <c r="F303">
        <v>13.3</v>
      </c>
      <c r="G303">
        <v>14.7</v>
      </c>
      <c r="H303">
        <v>15.5</v>
      </c>
      <c r="I303">
        <v>15.8</v>
      </c>
      <c r="J303">
        <v>15.4</v>
      </c>
      <c r="K303">
        <v>15.2</v>
      </c>
      <c r="L303">
        <f>Tableau1[[#This Row],[Final_time]]-SUM(Tableau1[[#This Row],[0_100m]:[600_700m]])</f>
        <v>15.72999999999999</v>
      </c>
      <c r="M303">
        <v>120.03</v>
      </c>
      <c r="N303">
        <f>SUM(Tableau1[[#This Row],[0_100m]:[700_800m]])</f>
        <v>120.03</v>
      </c>
      <c r="O303">
        <f>ABS(Tableau1[[#This Row],[Final_time]]-Tableau1[[#This Row],[Sum_time]])</f>
        <v>0</v>
      </c>
      <c r="P303" s="8"/>
      <c r="Q303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3" t="s">
        <v>1385</v>
      </c>
      <c r="S303" s="1" t="s">
        <v>68</v>
      </c>
      <c r="U303" s="1" t="s">
        <v>69</v>
      </c>
      <c r="V303" s="1">
        <v>45889</v>
      </c>
      <c r="W303" s="4">
        <f>YEAR(Tableau1[[#This Row],[Competition_date]])</f>
        <v>2025</v>
      </c>
      <c r="X303" s="4">
        <v>18</v>
      </c>
      <c r="Y303" s="6">
        <v>0.92</v>
      </c>
      <c r="Z303" s="4" t="s">
        <v>98</v>
      </c>
    </row>
    <row r="304" spans="1:27" hidden="1" x14ac:dyDescent="0.35">
      <c r="A304" t="str">
        <f>_xlfn.CONCAT(Tableau1[[#This Row],[Athletes]],"_",Tableau1[[#This Row],[Nationality]],"_",Tableau1[[#This Row],[Competition_year]])</f>
        <v>Daniela GARCÍA_ESP_2025</v>
      </c>
      <c r="B304" t="s">
        <v>1390</v>
      </c>
      <c r="C304" t="s">
        <v>29</v>
      </c>
      <c r="D304" s="18" t="s">
        <v>37</v>
      </c>
      <c r="E304">
        <v>14.2</v>
      </c>
      <c r="F304">
        <v>13.8</v>
      </c>
      <c r="G304">
        <v>14.7</v>
      </c>
      <c r="H304">
        <v>15.7</v>
      </c>
      <c r="I304">
        <v>16</v>
      </c>
      <c r="J304">
        <v>15.5</v>
      </c>
      <c r="K304">
        <v>15.4</v>
      </c>
      <c r="L304">
        <f>Tableau1[[#This Row],[Final_time]]-SUM(Tableau1[[#This Row],[0_100m]:[600_700m]])</f>
        <v>14.929999999999993</v>
      </c>
      <c r="M304">
        <v>120.23</v>
      </c>
      <c r="N304">
        <f>SUM(Tableau1[[#This Row],[0_100m]:[700_800m]])</f>
        <v>120.23</v>
      </c>
      <c r="O304">
        <f>ABS(Tableau1[[#This Row],[Final_time]]-Tableau1[[#This Row],[Sum_time]])</f>
        <v>0</v>
      </c>
      <c r="P304" s="8"/>
      <c r="Q304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4" t="s">
        <v>1385</v>
      </c>
      <c r="S304" s="1" t="s">
        <v>68</v>
      </c>
      <c r="U304" s="1" t="s">
        <v>69</v>
      </c>
      <c r="V304" s="1">
        <v>45889</v>
      </c>
      <c r="W304" s="4">
        <f>YEAR(Tableau1[[#This Row],[Competition_date]])</f>
        <v>2025</v>
      </c>
      <c r="X304" s="4">
        <v>18</v>
      </c>
      <c r="Y304" s="6">
        <v>0.92</v>
      </c>
      <c r="Z304" s="4" t="s">
        <v>98</v>
      </c>
    </row>
    <row r="305" spans="1:26" hidden="1" x14ac:dyDescent="0.35">
      <c r="A305" t="str">
        <f>_xlfn.CONCAT(Tableau1[[#This Row],[Athletes]],"_",Tableau1[[#This Row],[Nationality]],"_",Tableau1[[#This Row],[Competition_year]])</f>
        <v>Charlotte PIZZO_FRA_2025</v>
      </c>
      <c r="B305" t="s">
        <v>1391</v>
      </c>
      <c r="C305" t="s">
        <v>29</v>
      </c>
      <c r="D305" s="18" t="s">
        <v>17</v>
      </c>
      <c r="E305">
        <v>14.1</v>
      </c>
      <c r="F305">
        <v>13.7</v>
      </c>
      <c r="G305">
        <v>14.7</v>
      </c>
      <c r="H305">
        <v>15.6</v>
      </c>
      <c r="I305">
        <v>15.7</v>
      </c>
      <c r="J305">
        <v>15</v>
      </c>
      <c r="K305">
        <v>15.6</v>
      </c>
      <c r="L305">
        <f>Tableau1[[#This Row],[Final_time]]-SUM(Tableau1[[#This Row],[0_100m]:[600_700m]])</f>
        <v>15.88000000000001</v>
      </c>
      <c r="M305">
        <v>120.28</v>
      </c>
      <c r="N305">
        <f>SUM(Tableau1[[#This Row],[0_100m]:[700_800m]])</f>
        <v>120.28</v>
      </c>
      <c r="O305">
        <f>ABS(Tableau1[[#This Row],[Final_time]]-Tableau1[[#This Row],[Sum_time]])</f>
        <v>0</v>
      </c>
      <c r="P305" s="8"/>
      <c r="Q305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5" t="s">
        <v>1385</v>
      </c>
      <c r="S305" s="1" t="s">
        <v>68</v>
      </c>
      <c r="U305" s="1" t="s">
        <v>69</v>
      </c>
      <c r="V305" s="1">
        <v>45889</v>
      </c>
      <c r="W305" s="4">
        <f>YEAR(Tableau1[[#This Row],[Competition_date]])</f>
        <v>2025</v>
      </c>
      <c r="X305" s="4">
        <v>18</v>
      </c>
      <c r="Y305" s="6">
        <v>0.92</v>
      </c>
      <c r="Z305" s="4" t="s">
        <v>98</v>
      </c>
    </row>
    <row r="306" spans="1:26" hidden="1" x14ac:dyDescent="0.35">
      <c r="A306" t="str">
        <f>_xlfn.CONCAT(Tableau1[[#This Row],[Athletes]],"_",Tableau1[[#This Row],[Nationality]],"_",Tableau1[[#This Row],[Competition_year]])</f>
        <v>Joceline WIND_SUI_2025</v>
      </c>
      <c r="B306" t="s">
        <v>902</v>
      </c>
      <c r="C306" t="s">
        <v>29</v>
      </c>
      <c r="D306" s="18" t="s">
        <v>73</v>
      </c>
      <c r="E306">
        <v>14.2</v>
      </c>
      <c r="F306">
        <v>14.1</v>
      </c>
      <c r="G306">
        <v>14.6</v>
      </c>
      <c r="H306">
        <v>15.7</v>
      </c>
      <c r="I306">
        <v>15.8</v>
      </c>
      <c r="J306">
        <v>15.2</v>
      </c>
      <c r="K306">
        <v>15.8</v>
      </c>
      <c r="L306">
        <f>Tableau1[[#This Row],[Final_time]]-SUM(Tableau1[[#This Row],[0_100m]:[600_700m]])</f>
        <v>15.570000000000007</v>
      </c>
      <c r="M306">
        <v>120.97</v>
      </c>
      <c r="N306">
        <f>SUM(Tableau1[[#This Row],[0_100m]:[700_800m]])</f>
        <v>120.97</v>
      </c>
      <c r="O306">
        <f>ABS(Tableau1[[#This Row],[Final_time]]-Tableau1[[#This Row],[Sum_time]])</f>
        <v>0</v>
      </c>
      <c r="P306" s="8"/>
      <c r="Q306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6" t="s">
        <v>1385</v>
      </c>
      <c r="S306" s="1" t="s">
        <v>68</v>
      </c>
      <c r="U306" s="1" t="s">
        <v>69</v>
      </c>
      <c r="V306" s="1">
        <v>45889</v>
      </c>
      <c r="W306" s="4">
        <f>YEAR(Tableau1[[#This Row],[Competition_date]])</f>
        <v>2025</v>
      </c>
      <c r="X306" s="4">
        <v>18</v>
      </c>
      <c r="Y306" s="6">
        <v>0.92</v>
      </c>
      <c r="Z306" s="4" t="s">
        <v>98</v>
      </c>
    </row>
    <row r="307" spans="1:26" hidden="1" x14ac:dyDescent="0.35">
      <c r="A307" t="str">
        <f>_xlfn.CONCAT(Tableau1[[#This Row],[Athletes]],"_",Tableau1[[#This Row],[Nationality]],"_",Tableau1[[#This Row],[Competition_year]])</f>
        <v>Caroline BREDLINGER_AUT_2025</v>
      </c>
      <c r="B307" t="s">
        <v>1392</v>
      </c>
      <c r="C307" t="s">
        <v>29</v>
      </c>
      <c r="D307" s="18" t="s">
        <v>956</v>
      </c>
      <c r="E307">
        <v>14.5</v>
      </c>
      <c r="F307">
        <v>13.6</v>
      </c>
      <c r="G307">
        <v>14.6</v>
      </c>
      <c r="H307">
        <v>15.6</v>
      </c>
      <c r="I307">
        <v>15.9</v>
      </c>
      <c r="J307">
        <v>15.2</v>
      </c>
      <c r="K307">
        <v>15.5</v>
      </c>
      <c r="L307">
        <f>Tableau1[[#This Row],[Final_time]]-SUM(Tableau1[[#This Row],[0_100m]:[600_700m]])</f>
        <v>16.11</v>
      </c>
      <c r="M307">
        <v>121.01</v>
      </c>
      <c r="N307">
        <f>SUM(Tableau1[[#This Row],[0_100m]:[700_800m]])</f>
        <v>121.01</v>
      </c>
      <c r="O307">
        <f>ABS(Tableau1[[#This Row],[Final_time]]-Tableau1[[#This Row],[Sum_time]])</f>
        <v>0</v>
      </c>
      <c r="P307" s="8"/>
      <c r="Q307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7" t="s">
        <v>1385</v>
      </c>
      <c r="S307" s="1" t="s">
        <v>68</v>
      </c>
      <c r="U307" s="1" t="s">
        <v>69</v>
      </c>
      <c r="V307" s="1">
        <v>45889</v>
      </c>
      <c r="W307" s="4">
        <f>YEAR(Tableau1[[#This Row],[Competition_date]])</f>
        <v>2025</v>
      </c>
      <c r="X307" s="4">
        <v>18</v>
      </c>
      <c r="Y307" s="6">
        <v>0.92</v>
      </c>
      <c r="Z307" s="4" t="s">
        <v>98</v>
      </c>
    </row>
    <row r="308" spans="1:26" hidden="1" x14ac:dyDescent="0.35">
      <c r="A308" t="str">
        <f>_xlfn.CONCAT(Tableau1[[#This Row],[Athletes]],"_",Tableau1[[#This Row],[Nationality]],"_",Tableau1[[#This Row],[Competition_year]])</f>
        <v>Catriona BISSET_AUS_2025</v>
      </c>
      <c r="B308" t="s">
        <v>217</v>
      </c>
      <c r="C308" t="s">
        <v>29</v>
      </c>
      <c r="D308" s="18" t="s">
        <v>36</v>
      </c>
      <c r="E308">
        <v>14.8</v>
      </c>
      <c r="F308">
        <v>13.5</v>
      </c>
      <c r="G308">
        <v>15</v>
      </c>
      <c r="H308">
        <v>15.6</v>
      </c>
      <c r="I308">
        <v>15.9</v>
      </c>
      <c r="J308">
        <v>15</v>
      </c>
      <c r="K308">
        <v>15.3</v>
      </c>
      <c r="L308">
        <f>Tableau1[[#This Row],[Final_time]]-SUM(Tableau1[[#This Row],[0_100m]:[600_700m]])</f>
        <v>16.080000000000013</v>
      </c>
      <c r="M308">
        <v>121.18</v>
      </c>
      <c r="N308">
        <f>SUM(Tableau1[[#This Row],[0_100m]:[700_800m]])</f>
        <v>121.18</v>
      </c>
      <c r="O308">
        <f>ABS(Tableau1[[#This Row],[Final_time]]-Tableau1[[#This Row],[Sum_time]])</f>
        <v>0</v>
      </c>
      <c r="P308" s="8"/>
      <c r="Q308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8" t="s">
        <v>1385</v>
      </c>
      <c r="S308" s="1" t="s">
        <v>68</v>
      </c>
      <c r="U308" s="1" t="s">
        <v>69</v>
      </c>
      <c r="V308" s="1">
        <v>45889</v>
      </c>
      <c r="W308" s="4">
        <f>YEAR(Tableau1[[#This Row],[Competition_date]])</f>
        <v>2025</v>
      </c>
      <c r="X308" s="4">
        <v>18</v>
      </c>
      <c r="Y308" s="6">
        <v>0.92</v>
      </c>
      <c r="Z308" s="4" t="s">
        <v>98</v>
      </c>
    </row>
    <row r="309" spans="1:26" hidden="1" x14ac:dyDescent="0.35">
      <c r="A309" t="str">
        <f>_xlfn.CONCAT(Tableau1[[#This Row],[Athletes]],"_",Tableau1[[#This Row],[Nationality]],"_",Tableau1[[#This Row],[Competition_year]])</f>
        <v>Fiona VON FLÜE_SUI_2025</v>
      </c>
      <c r="B309" t="s">
        <v>788</v>
      </c>
      <c r="C309" t="s">
        <v>29</v>
      </c>
      <c r="D309" s="18" t="s">
        <v>73</v>
      </c>
      <c r="E309">
        <v>14.4</v>
      </c>
      <c r="F309">
        <v>14.1</v>
      </c>
      <c r="G309">
        <v>14.7</v>
      </c>
      <c r="H309">
        <v>15.6</v>
      </c>
      <c r="I309">
        <v>15.8</v>
      </c>
      <c r="J309">
        <v>15.7</v>
      </c>
      <c r="K309">
        <v>15.8</v>
      </c>
      <c r="L309">
        <f>Tableau1[[#This Row],[Final_time]]-SUM(Tableau1[[#This Row],[0_100m]:[600_700m]])</f>
        <v>16.299999999999997</v>
      </c>
      <c r="M309">
        <v>122.4</v>
      </c>
      <c r="N309">
        <f>SUM(Tableau1[[#This Row],[0_100m]:[700_800m]])</f>
        <v>122.4</v>
      </c>
      <c r="O309">
        <f>ABS(Tableau1[[#This Row],[Final_time]]-Tableau1[[#This Row],[Sum_time]])</f>
        <v>0</v>
      </c>
      <c r="P309" s="8"/>
      <c r="Q309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09" t="s">
        <v>1385</v>
      </c>
      <c r="S309" s="1" t="s">
        <v>68</v>
      </c>
      <c r="U309" s="1" t="s">
        <v>69</v>
      </c>
      <c r="V309" s="1">
        <v>45889</v>
      </c>
      <c r="W309" s="4">
        <f>YEAR(Tableau1[[#This Row],[Competition_date]])</f>
        <v>2025</v>
      </c>
      <c r="X309" s="4">
        <v>18</v>
      </c>
      <c r="Y309" s="6">
        <v>0.92</v>
      </c>
      <c r="Z309" s="4" t="s">
        <v>98</v>
      </c>
    </row>
    <row r="310" spans="1:26" hidden="1" x14ac:dyDescent="0.35">
      <c r="A310" t="str">
        <f>_xlfn.CONCAT(Tableau1[[#This Row],[Athletes]],"_",Tableau1[[#This Row],[Nationality]],"_",Tableau1[[#This Row],[Competition_year]])</f>
        <v>Bendere OBOYA_AUS_2025</v>
      </c>
      <c r="B310" t="s">
        <v>1393</v>
      </c>
      <c r="C310" t="s">
        <v>29</v>
      </c>
      <c r="D310" s="18" t="s">
        <v>36</v>
      </c>
      <c r="E310">
        <v>14.4</v>
      </c>
      <c r="F310">
        <v>13.5</v>
      </c>
      <c r="G310">
        <v>14.7</v>
      </c>
      <c r="H310">
        <v>15.6</v>
      </c>
      <c r="I310">
        <v>15.8</v>
      </c>
      <c r="J310">
        <v>15.4</v>
      </c>
      <c r="K310">
        <v>15.8</v>
      </c>
      <c r="L310">
        <f>Tableau1[[#This Row],[Final_time]]-SUM(Tableau1[[#This Row],[0_100m]:[600_700m]])</f>
        <v>18.019999999999996</v>
      </c>
      <c r="M310">
        <v>123.22</v>
      </c>
      <c r="N310">
        <f>SUM(Tableau1[[#This Row],[0_100m]:[700_800m]])</f>
        <v>123.22</v>
      </c>
      <c r="O310">
        <f>ABS(Tableau1[[#This Row],[Final_time]]-Tableau1[[#This Row],[Sum_time]])</f>
        <v>0</v>
      </c>
      <c r="P310" s="8"/>
      <c r="Q310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10" t="s">
        <v>1385</v>
      </c>
      <c r="S310" s="1" t="s">
        <v>68</v>
      </c>
      <c r="U310" s="1" t="s">
        <v>69</v>
      </c>
      <c r="V310" s="1">
        <v>45889</v>
      </c>
      <c r="W310" s="4">
        <f>YEAR(Tableau1[[#This Row],[Competition_date]])</f>
        <v>2025</v>
      </c>
      <c r="X310" s="4">
        <v>18</v>
      </c>
      <c r="Y310" s="6">
        <v>0.92</v>
      </c>
      <c r="Z310" s="4" t="s">
        <v>98</v>
      </c>
    </row>
    <row r="311" spans="1:26" hidden="1" x14ac:dyDescent="0.35">
      <c r="A311" t="str">
        <f>_xlfn.CONCAT(Tableau1[[#This Row],[Athletes]],"_",Tableau1[[#This Row],[Nationality]],"_",Tableau1[[#This Row],[Competition_year]])</f>
        <v>Lena KANDISSOUNON_FRA_2025</v>
      </c>
      <c r="B311" t="s">
        <v>1394</v>
      </c>
      <c r="C311" t="s">
        <v>29</v>
      </c>
      <c r="D311" s="18" t="s">
        <v>17</v>
      </c>
      <c r="E311">
        <v>14.3</v>
      </c>
      <c r="F311">
        <v>14</v>
      </c>
      <c r="G311">
        <v>14.7</v>
      </c>
      <c r="H311">
        <v>15.7</v>
      </c>
      <c r="I311">
        <v>15.9</v>
      </c>
      <c r="J311">
        <v>15.5</v>
      </c>
      <c r="K311">
        <v>15.9</v>
      </c>
      <c r="L311">
        <f>Tableau1[[#This Row],[Final_time]]-SUM(Tableau1[[#This Row],[0_100m]:[600_700m]])</f>
        <v>17.779999999999987</v>
      </c>
      <c r="M311">
        <v>123.78</v>
      </c>
      <c r="N311">
        <f>SUM(Tableau1[[#This Row],[0_100m]:[700_800m]])</f>
        <v>123.78</v>
      </c>
      <c r="O311">
        <f>ABS(Tableau1[[#This Row],[Final_time]]-Tableau1[[#This Row],[Sum_time]])</f>
        <v>0</v>
      </c>
      <c r="P311" s="8"/>
      <c r="Q311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11" t="s">
        <v>1385</v>
      </c>
      <c r="S311" s="1" t="s">
        <v>68</v>
      </c>
      <c r="U311" s="1" t="s">
        <v>69</v>
      </c>
      <c r="V311" s="1">
        <v>45889</v>
      </c>
      <c r="W311" s="4">
        <f>YEAR(Tableau1[[#This Row],[Competition_date]])</f>
        <v>2025</v>
      </c>
      <c r="X311" s="4">
        <v>18</v>
      </c>
      <c r="Y311" s="6">
        <v>0.92</v>
      </c>
      <c r="Z311" s="4" t="s">
        <v>98</v>
      </c>
    </row>
    <row r="312" spans="1:26" hidden="1" x14ac:dyDescent="0.35">
      <c r="A312" t="str">
        <f>_xlfn.CONCAT(Tableau1[[#This Row],[Athletes]],"_",Tableau1[[#This Row],[Nationality]],"_",Tableau1[[#This Row],[Competition_year]])</f>
        <v>Camille LAUS_BEL_2025</v>
      </c>
      <c r="B312" t="s">
        <v>649</v>
      </c>
      <c r="C312" t="s">
        <v>29</v>
      </c>
      <c r="D312" s="18" t="s">
        <v>18</v>
      </c>
      <c r="E312">
        <v>14</v>
      </c>
      <c r="F312">
        <v>13.5</v>
      </c>
      <c r="G312">
        <v>14.9</v>
      </c>
      <c r="H312">
        <v>15.8</v>
      </c>
      <c r="I312">
        <v>16</v>
      </c>
      <c r="J312">
        <v>16.2</v>
      </c>
      <c r="K312">
        <v>16.7</v>
      </c>
      <c r="L312">
        <f>Tableau1[[#This Row],[Final_time]]-SUM(Tableau1[[#This Row],[0_100m]:[600_700m]])</f>
        <v>17.399999999999991</v>
      </c>
      <c r="M312">
        <v>124.5</v>
      </c>
      <c r="N312">
        <f>SUM(Tableau1[[#This Row],[0_100m]:[700_800m]])</f>
        <v>124.5</v>
      </c>
      <c r="O312">
        <f>ABS(Tableau1[[#This Row],[Final_time]]-Tableau1[[#This Row],[Sum_time]])</f>
        <v>0</v>
      </c>
      <c r="P312" s="8"/>
      <c r="Q312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12" t="s">
        <v>1385</v>
      </c>
      <c r="S312" s="1" t="s">
        <v>68</v>
      </c>
      <c r="U312" s="1" t="s">
        <v>69</v>
      </c>
      <c r="V312" s="1">
        <v>45889</v>
      </c>
      <c r="W312" s="4">
        <f>YEAR(Tableau1[[#This Row],[Competition_date]])</f>
        <v>2025</v>
      </c>
      <c r="X312" s="4">
        <v>18</v>
      </c>
      <c r="Y312" s="6">
        <v>0.92</v>
      </c>
      <c r="Z312" s="4" t="s">
        <v>98</v>
      </c>
    </row>
    <row r="313" spans="1:26" hidden="1" x14ac:dyDescent="0.35">
      <c r="A313" t="str">
        <f>_xlfn.CONCAT(Tableau1[[#This Row],[Athletes]],"_",Tableau1[[#This Row],[Nationality]],"_",Tableau1[[#This Row],[Competition_year]])</f>
        <v>Sana HAMMAMI_FRA_2025</v>
      </c>
      <c r="B313" t="s">
        <v>1395</v>
      </c>
      <c r="C313" t="s">
        <v>29</v>
      </c>
      <c r="D313" s="18" t="s">
        <v>17</v>
      </c>
      <c r="E313">
        <v>14.8</v>
      </c>
      <c r="F313">
        <v>14</v>
      </c>
      <c r="G313">
        <v>14.7</v>
      </c>
      <c r="H313">
        <v>15.6</v>
      </c>
      <c r="I313">
        <v>15.9</v>
      </c>
      <c r="J313">
        <v>15.8</v>
      </c>
      <c r="K313">
        <v>16.399999999999999</v>
      </c>
      <c r="L313">
        <f>Tableau1[[#This Row],[Final_time]]-SUM(Tableau1[[#This Row],[0_100m]:[600_700m]])</f>
        <v>17.360000000000014</v>
      </c>
      <c r="M313">
        <v>124.56</v>
      </c>
      <c r="N313">
        <f>SUM(Tableau1[[#This Row],[0_100m]:[700_800m]])</f>
        <v>124.56</v>
      </c>
      <c r="O313">
        <f>ABS(Tableau1[[#This Row],[Final_time]]-Tableau1[[#This Row],[Sum_time]])</f>
        <v>0</v>
      </c>
      <c r="P313" s="8"/>
      <c r="Q313" s="16" t="str">
        <f>_xlfn.CONCAT(Tableau1[[#This Row],[Competition]],"_",Tableau1[[#This Row],[Championship_step]],"_",Tableau1[[#This Row],[Competition_date]],"_",Tableau1[[#This Row],[Gender]])</f>
        <v>Diamond League Lausanne 2025 - B race__45889_Female</v>
      </c>
      <c r="R313" t="s">
        <v>1385</v>
      </c>
      <c r="S313" s="1" t="s">
        <v>68</v>
      </c>
      <c r="U313" s="1" t="s">
        <v>69</v>
      </c>
      <c r="V313" s="1">
        <v>45889</v>
      </c>
      <c r="W313" s="4">
        <f>YEAR(Tableau1[[#This Row],[Competition_date]])</f>
        <v>2025</v>
      </c>
      <c r="X313" s="4">
        <v>18</v>
      </c>
      <c r="Y313" s="6">
        <v>0.92</v>
      </c>
      <c r="Z313" s="4" t="s">
        <v>98</v>
      </c>
    </row>
    <row r="314" spans="1:26" hidden="1" x14ac:dyDescent="0.35">
      <c r="A314" t="str">
        <f>_xlfn.CONCAT(Tableau1[[#This Row],[Athletes]],"_",Tableau1[[#This Row],[Nationality]],"_",Tableau1[[#This Row],[Competition_year]])</f>
        <v>Ethan HUSSEY_GBR_2025</v>
      </c>
      <c r="B314" t="s">
        <v>293</v>
      </c>
      <c r="C314" t="s">
        <v>14</v>
      </c>
      <c r="D314" s="18" t="s">
        <v>30</v>
      </c>
      <c r="E314">
        <v>12.8</v>
      </c>
      <c r="F314">
        <v>12.1</v>
      </c>
      <c r="G314">
        <v>12.8</v>
      </c>
      <c r="H314">
        <v>13.5</v>
      </c>
      <c r="I314">
        <v>13.5</v>
      </c>
      <c r="J314">
        <v>13.6</v>
      </c>
      <c r="K314">
        <v>13.5</v>
      </c>
      <c r="L314">
        <f>Tableau1[[#This Row],[Final_time]]-SUM(Tableau1[[#This Row],[0_100m]:[600_700m]])</f>
        <v>14</v>
      </c>
      <c r="M314">
        <v>105.8</v>
      </c>
      <c r="N314">
        <f>SUM(Tableau1[[#This Row],[0_100m]:[700_800m]])</f>
        <v>105.8</v>
      </c>
      <c r="O314">
        <f>ABS(Tableau1[[#This Row],[Final_time]]-Tableau1[[#This Row],[Sum_time]])</f>
        <v>0</v>
      </c>
      <c r="P314" s="8"/>
      <c r="Q314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14" t="s">
        <v>1385</v>
      </c>
      <c r="S314" s="1" t="s">
        <v>68</v>
      </c>
      <c r="U314" s="1" t="s">
        <v>288</v>
      </c>
      <c r="V314" s="1">
        <v>45889</v>
      </c>
      <c r="W314" s="4">
        <f>YEAR(Tableau1[[#This Row],[Competition_date]])</f>
        <v>2025</v>
      </c>
      <c r="X314" s="4">
        <v>19</v>
      </c>
      <c r="Y314" s="6">
        <v>0.85</v>
      </c>
      <c r="Z314" s="4" t="s">
        <v>98</v>
      </c>
    </row>
    <row r="315" spans="1:26" hidden="1" x14ac:dyDescent="0.35">
      <c r="A315" t="str">
        <f>_xlfn.CONCAT(Tableau1[[#This Row],[Athletes]],"_",Tableau1[[#This Row],[Nationality]],"_",Tableau1[[#This Row],[Competition_year]])</f>
        <v>Louey OUERRAT_FRA_2025</v>
      </c>
      <c r="B315" t="s">
        <v>1386</v>
      </c>
      <c r="C315" t="s">
        <v>14</v>
      </c>
      <c r="D315" s="18" t="s">
        <v>17</v>
      </c>
      <c r="E315">
        <v>13</v>
      </c>
      <c r="F315">
        <v>12</v>
      </c>
      <c r="G315">
        <v>12.8</v>
      </c>
      <c r="H315">
        <v>13.6</v>
      </c>
      <c r="I315">
        <v>13.6</v>
      </c>
      <c r="J315">
        <v>13.6</v>
      </c>
      <c r="K315">
        <v>13.3</v>
      </c>
      <c r="L315">
        <f>Tableau1[[#This Row],[Final_time]]-SUM(Tableau1[[#This Row],[0_100m]:[600_700m]])</f>
        <v>13.940000000000012</v>
      </c>
      <c r="M315">
        <v>105.84</v>
      </c>
      <c r="N315">
        <f>SUM(Tableau1[[#This Row],[0_100m]:[700_800m]])</f>
        <v>105.84</v>
      </c>
      <c r="O315">
        <f>ABS(Tableau1[[#This Row],[Final_time]]-Tableau1[[#This Row],[Sum_time]])</f>
        <v>0</v>
      </c>
      <c r="P315" s="8"/>
      <c r="Q315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15" t="s">
        <v>1385</v>
      </c>
      <c r="S315" s="1" t="s">
        <v>68</v>
      </c>
      <c r="U315" s="1" t="s">
        <v>288</v>
      </c>
      <c r="V315" s="1">
        <v>45889</v>
      </c>
      <c r="W315" s="4">
        <f>YEAR(Tableau1[[#This Row],[Competition_date]])</f>
        <v>2025</v>
      </c>
      <c r="X315" s="4">
        <v>19</v>
      </c>
      <c r="Y315" s="6">
        <v>0.85</v>
      </c>
      <c r="Z315" s="4" t="s">
        <v>98</v>
      </c>
    </row>
    <row r="316" spans="1:26" hidden="1" x14ac:dyDescent="0.35">
      <c r="A316" t="str">
        <f>_xlfn.CONCAT(Tableau1[[#This Row],[Athletes]],"_",Tableau1[[#This Row],[Nationality]],"_",Tableau1[[#This Row],[Competition_year]])</f>
        <v>Alex BOTTERILL_GBR_2025</v>
      </c>
      <c r="B316" t="s">
        <v>290</v>
      </c>
      <c r="C316" t="s">
        <v>14</v>
      </c>
      <c r="D316" s="18" t="s">
        <v>30</v>
      </c>
      <c r="E316">
        <v>13</v>
      </c>
      <c r="F316">
        <v>12.2</v>
      </c>
      <c r="G316">
        <v>13</v>
      </c>
      <c r="H316">
        <v>13.2</v>
      </c>
      <c r="I316">
        <v>13.5</v>
      </c>
      <c r="J316">
        <v>13.6</v>
      </c>
      <c r="K316">
        <v>13.5</v>
      </c>
      <c r="L316">
        <f>Tableau1[[#This Row],[Final_time]]-SUM(Tableau1[[#This Row],[0_100m]:[600_700m]])</f>
        <v>14.170000000000002</v>
      </c>
      <c r="M316">
        <v>106.17</v>
      </c>
      <c r="N316">
        <f>SUM(Tableau1[[#This Row],[0_100m]:[700_800m]])</f>
        <v>106.17</v>
      </c>
      <c r="O316">
        <f>ABS(Tableau1[[#This Row],[Final_time]]-Tableau1[[#This Row],[Sum_time]])</f>
        <v>0</v>
      </c>
      <c r="P316" s="8"/>
      <c r="Q316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16" t="s">
        <v>1385</v>
      </c>
      <c r="S316" s="1" t="s">
        <v>68</v>
      </c>
      <c r="U316" s="1" t="s">
        <v>288</v>
      </c>
      <c r="V316" s="1">
        <v>45889</v>
      </c>
      <c r="W316" s="4">
        <f>YEAR(Tableau1[[#This Row],[Competition_date]])</f>
        <v>2025</v>
      </c>
      <c r="X316" s="4">
        <v>19</v>
      </c>
      <c r="Y316" s="6">
        <v>0.85</v>
      </c>
      <c r="Z316" s="4" t="s">
        <v>98</v>
      </c>
    </row>
    <row r="317" spans="1:26" hidden="1" x14ac:dyDescent="0.35">
      <c r="A317" t="str">
        <f>_xlfn.CONCAT(Tableau1[[#This Row],[Athletes]],"_",Tableau1[[#This Row],[Nationality]],"_",Tableau1[[#This Row],[Competition_year]])</f>
        <v>Thomas MARQUES de ANDRADE_FRA_2025</v>
      </c>
      <c r="B317" t="s">
        <v>1387</v>
      </c>
      <c r="C317" t="s">
        <v>14</v>
      </c>
      <c r="D317" s="18" t="s">
        <v>17</v>
      </c>
      <c r="E317">
        <v>13</v>
      </c>
      <c r="F317">
        <v>12.1</v>
      </c>
      <c r="G317">
        <v>12.9</v>
      </c>
      <c r="H317">
        <v>13.5</v>
      </c>
      <c r="I317">
        <v>13.7</v>
      </c>
      <c r="J317">
        <v>13.5</v>
      </c>
      <c r="K317">
        <v>13.4</v>
      </c>
      <c r="L317">
        <f>Tableau1[[#This Row],[Final_time]]-SUM(Tableau1[[#This Row],[0_100m]:[600_700m]])</f>
        <v>14.11999999999999</v>
      </c>
      <c r="M317">
        <v>106.22</v>
      </c>
      <c r="N317">
        <f>SUM(Tableau1[[#This Row],[0_100m]:[700_800m]])</f>
        <v>106.22</v>
      </c>
      <c r="O317">
        <f>ABS(Tableau1[[#This Row],[Final_time]]-Tableau1[[#This Row],[Sum_time]])</f>
        <v>0</v>
      </c>
      <c r="P317" s="8"/>
      <c r="Q317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17" t="s">
        <v>1385</v>
      </c>
      <c r="S317" s="1" t="s">
        <v>68</v>
      </c>
      <c r="U317" s="1" t="s">
        <v>288</v>
      </c>
      <c r="V317" s="1">
        <v>45889</v>
      </c>
      <c r="W317" s="4">
        <f>YEAR(Tableau1[[#This Row],[Competition_date]])</f>
        <v>2025</v>
      </c>
      <c r="X317" s="4">
        <v>19</v>
      </c>
      <c r="Y317" s="6">
        <v>0.85</v>
      </c>
      <c r="Z317" s="4" t="s">
        <v>98</v>
      </c>
    </row>
    <row r="318" spans="1:26" hidden="1" x14ac:dyDescent="0.35">
      <c r="A318" t="str">
        <f>_xlfn.CONCAT(Tableau1[[#This Row],[Athletes]],"_",Tableau1[[#This Row],[Nationality]],"_",Tableau1[[#This Row],[Competition_year]])</f>
        <v>Ramon WIPFLI_SUI_2025</v>
      </c>
      <c r="B318" t="s">
        <v>355</v>
      </c>
      <c r="C318" t="s">
        <v>14</v>
      </c>
      <c r="D318" s="18" t="s">
        <v>73</v>
      </c>
      <c r="E318">
        <v>12.9</v>
      </c>
      <c r="F318">
        <v>11.9</v>
      </c>
      <c r="G318">
        <v>12.8</v>
      </c>
      <c r="H318">
        <v>13.4</v>
      </c>
      <c r="I318">
        <v>13.6</v>
      </c>
      <c r="J318">
        <v>13.7</v>
      </c>
      <c r="K318">
        <v>13.4</v>
      </c>
      <c r="L318">
        <f>Tableau1[[#This Row],[Final_time]]-SUM(Tableau1[[#This Row],[0_100m]:[600_700m]])</f>
        <v>14.629999999999995</v>
      </c>
      <c r="M318">
        <v>106.33</v>
      </c>
      <c r="N318">
        <f>SUM(Tableau1[[#This Row],[0_100m]:[700_800m]])</f>
        <v>106.33</v>
      </c>
      <c r="O318">
        <f>ABS(Tableau1[[#This Row],[Final_time]]-Tableau1[[#This Row],[Sum_time]])</f>
        <v>0</v>
      </c>
      <c r="P318" s="8"/>
      <c r="Q318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18" t="s">
        <v>1385</v>
      </c>
      <c r="S318" s="1" t="s">
        <v>68</v>
      </c>
      <c r="U318" s="1" t="s">
        <v>288</v>
      </c>
      <c r="V318" s="1">
        <v>45889</v>
      </c>
      <c r="W318" s="4">
        <f>YEAR(Tableau1[[#This Row],[Competition_date]])</f>
        <v>2025</v>
      </c>
      <c r="X318" s="4">
        <v>19</v>
      </c>
      <c r="Y318" s="6">
        <v>0.85</v>
      </c>
      <c r="Z318" s="4" t="s">
        <v>98</v>
      </c>
    </row>
    <row r="319" spans="1:26" hidden="1" x14ac:dyDescent="0.35">
      <c r="A319" t="str">
        <f>_xlfn.CONCAT(Tableau1[[#This Row],[Athletes]],"_",Tableau1[[#This Row],[Nationality]],"_",Tableau1[[#This Row],[Competition_year]])</f>
        <v>Corentin MAGNOU_FRA_2025</v>
      </c>
      <c r="B319" t="s">
        <v>1388</v>
      </c>
      <c r="C319" t="s">
        <v>14</v>
      </c>
      <c r="D319" s="18" t="s">
        <v>17</v>
      </c>
      <c r="E319">
        <v>12.9</v>
      </c>
      <c r="F319">
        <v>12.1</v>
      </c>
      <c r="G319">
        <v>12.9</v>
      </c>
      <c r="H319">
        <v>13.7</v>
      </c>
      <c r="I319">
        <v>13.8</v>
      </c>
      <c r="J319">
        <v>13.7</v>
      </c>
      <c r="K319">
        <v>14.1</v>
      </c>
      <c r="L319">
        <f>Tableau1[[#This Row],[Final_time]]-SUM(Tableau1[[#This Row],[0_100m]:[600_700m]])</f>
        <v>14.900000000000006</v>
      </c>
      <c r="M319">
        <v>108.1</v>
      </c>
      <c r="N319">
        <f>SUM(Tableau1[[#This Row],[0_100m]:[700_800m]])</f>
        <v>108.1</v>
      </c>
      <c r="O319">
        <f>ABS(Tableau1[[#This Row],[Final_time]]-Tableau1[[#This Row],[Sum_time]])</f>
        <v>0</v>
      </c>
      <c r="P319" s="8"/>
      <c r="Q319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19" t="s">
        <v>1385</v>
      </c>
      <c r="S319" s="1" t="s">
        <v>68</v>
      </c>
      <c r="U319" s="1" t="s">
        <v>288</v>
      </c>
      <c r="V319" s="1">
        <v>45889</v>
      </c>
      <c r="W319" s="4">
        <f>YEAR(Tableau1[[#This Row],[Competition_date]])</f>
        <v>2025</v>
      </c>
      <c r="X319" s="4">
        <v>19</v>
      </c>
      <c r="Y319" s="6">
        <v>0.85</v>
      </c>
      <c r="Z319" s="4" t="s">
        <v>98</v>
      </c>
    </row>
    <row r="320" spans="1:26" hidden="1" x14ac:dyDescent="0.35">
      <c r="A320" t="str">
        <f>_xlfn.CONCAT(Tableau1[[#This Row],[Athletes]],"_",Tableau1[[#This Row],[Nationality]],"_",Tableau1[[#This Row],[Competition_year]])</f>
        <v>Corentin le CLEZIO_FRA_2025</v>
      </c>
      <c r="B320" t="s">
        <v>1389</v>
      </c>
      <c r="C320" t="s">
        <v>14</v>
      </c>
      <c r="D320" s="18" t="s">
        <v>17</v>
      </c>
      <c r="E320">
        <v>13.1</v>
      </c>
      <c r="F320">
        <v>12.1</v>
      </c>
      <c r="G320">
        <v>13.2</v>
      </c>
      <c r="H320">
        <v>13.6</v>
      </c>
      <c r="I320">
        <v>13.9</v>
      </c>
      <c r="J320">
        <v>13.9</v>
      </c>
      <c r="K320">
        <v>14</v>
      </c>
      <c r="L320">
        <f>Tableau1[[#This Row],[Final_time]]-SUM(Tableau1[[#This Row],[0_100m]:[600_700m]])</f>
        <v>14.409999999999982</v>
      </c>
      <c r="M320">
        <v>108.21</v>
      </c>
      <c r="N320">
        <f>SUM(Tableau1[[#This Row],[0_100m]:[700_800m]])</f>
        <v>108.21</v>
      </c>
      <c r="O320">
        <f>ABS(Tableau1[[#This Row],[Final_time]]-Tableau1[[#This Row],[Sum_time]])</f>
        <v>0</v>
      </c>
      <c r="P320" s="8"/>
      <c r="Q320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20" t="s">
        <v>1385</v>
      </c>
      <c r="S320" s="1" t="s">
        <v>68</v>
      </c>
      <c r="U320" s="1" t="s">
        <v>288</v>
      </c>
      <c r="V320" s="1">
        <v>45889</v>
      </c>
      <c r="W320" s="4">
        <f>YEAR(Tableau1[[#This Row],[Competition_date]])</f>
        <v>2025</v>
      </c>
      <c r="X320" s="4">
        <v>19</v>
      </c>
      <c r="Y320" s="6">
        <v>0.85</v>
      </c>
      <c r="Z320" s="4" t="s">
        <v>98</v>
      </c>
    </row>
    <row r="321" spans="1:26" hidden="1" x14ac:dyDescent="0.35">
      <c r="A321" t="str">
        <f>_xlfn.CONCAT(Tableau1[[#This Row],[Athletes]],"_",Tableau1[[#This Row],[Nationality]],"_",Tableau1[[#This Row],[Competition_year]])</f>
        <v>Louis LOW-BEER_SUI_2025</v>
      </c>
      <c r="B321" t="s">
        <v>356</v>
      </c>
      <c r="C321" t="s">
        <v>14</v>
      </c>
      <c r="D321" s="18" t="s">
        <v>73</v>
      </c>
      <c r="E321">
        <v>13.1</v>
      </c>
      <c r="F321">
        <v>12.4</v>
      </c>
      <c r="G321">
        <v>13.3</v>
      </c>
      <c r="H321">
        <v>13.5</v>
      </c>
      <c r="I321">
        <v>14</v>
      </c>
      <c r="J321">
        <v>13.7</v>
      </c>
      <c r="K321">
        <v>14</v>
      </c>
      <c r="L321">
        <f>Tableau1[[#This Row],[Final_time]]-SUM(Tableau1[[#This Row],[0_100m]:[600_700m]])</f>
        <v>14.709999999999994</v>
      </c>
      <c r="M321">
        <v>108.71</v>
      </c>
      <c r="N321">
        <f>SUM(Tableau1[[#This Row],[0_100m]:[700_800m]])</f>
        <v>108.71</v>
      </c>
      <c r="O321">
        <f>ABS(Tableau1[[#This Row],[Final_time]]-Tableau1[[#This Row],[Sum_time]])</f>
        <v>0</v>
      </c>
      <c r="P321" s="8"/>
      <c r="Q321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21" t="s">
        <v>1385</v>
      </c>
      <c r="S321" s="1" t="s">
        <v>68</v>
      </c>
      <c r="U321" s="1" t="s">
        <v>288</v>
      </c>
      <c r="V321" s="1">
        <v>45889</v>
      </c>
      <c r="W321" s="4">
        <f>YEAR(Tableau1[[#This Row],[Competition_date]])</f>
        <v>2025</v>
      </c>
      <c r="X321" s="4">
        <v>19</v>
      </c>
      <c r="Y321" s="6">
        <v>0.85</v>
      </c>
      <c r="Z321" s="4" t="s">
        <v>98</v>
      </c>
    </row>
    <row r="322" spans="1:26" hidden="1" x14ac:dyDescent="0.35">
      <c r="A322" t="str">
        <f>_xlfn.CONCAT(Tableau1[[#This Row],[Athletes]],"_",Tableau1[[#This Row],[Nationality]],"_",Tableau1[[#This Row],[Competition_year]])</f>
        <v>Pierre PERRUCHOUD_SUI_2025</v>
      </c>
      <c r="B322" t="s">
        <v>1135</v>
      </c>
      <c r="C322" t="s">
        <v>14</v>
      </c>
      <c r="D322" s="18" t="s">
        <v>73</v>
      </c>
      <c r="E322">
        <v>13.4</v>
      </c>
      <c r="F322">
        <v>12.5</v>
      </c>
      <c r="G322">
        <v>13.2</v>
      </c>
      <c r="H322">
        <v>13.6</v>
      </c>
      <c r="I322">
        <v>14.2</v>
      </c>
      <c r="J322">
        <v>14.7</v>
      </c>
      <c r="K322">
        <v>15.5</v>
      </c>
      <c r="L322">
        <f>Tableau1[[#This Row],[Final_time]]-SUM(Tableau1[[#This Row],[0_100m]:[600_700m]])</f>
        <v>16.710000000000008</v>
      </c>
      <c r="M322">
        <v>113.81</v>
      </c>
      <c r="N322">
        <f>SUM(Tableau1[[#This Row],[0_100m]:[700_800m]])</f>
        <v>113.81</v>
      </c>
      <c r="O322">
        <f>ABS(Tableau1[[#This Row],[Final_time]]-Tableau1[[#This Row],[Sum_time]])</f>
        <v>0</v>
      </c>
      <c r="P322" s="8"/>
      <c r="Q322" s="16" t="str">
        <f>_xlfn.CONCAT(Tableau1[[#This Row],[Competition]],"_",Tableau1[[#This Row],[Championship_step]],"_",Tableau1[[#This Row],[Competition_date]],"_",Tableau1[[#This Row],[Gender]])</f>
        <v>Diamond League Lausanne 2025 - B race__45889_Male</v>
      </c>
      <c r="R322" t="s">
        <v>1385</v>
      </c>
      <c r="S322" s="1" t="s">
        <v>68</v>
      </c>
      <c r="U322" s="1" t="s">
        <v>288</v>
      </c>
      <c r="V322" s="1">
        <v>45889</v>
      </c>
      <c r="W322" s="4">
        <f>YEAR(Tableau1[[#This Row],[Competition_date]])</f>
        <v>2025</v>
      </c>
      <c r="X322" s="4">
        <v>19</v>
      </c>
      <c r="Y322" s="6">
        <v>0.85</v>
      </c>
      <c r="Z322" s="4" t="s">
        <v>98</v>
      </c>
    </row>
    <row r="323" spans="1:26" hidden="1" x14ac:dyDescent="0.35">
      <c r="A323" t="str">
        <f>_xlfn.CONCAT(Tableau1[[#This Row],[Athletes]],"_",Tableau1[[#This Row],[Nationality]],"_",Tableau1[[#This Row],[Competition_year]])</f>
        <v>Keely HODGKINSON_GBR_2025</v>
      </c>
      <c r="B323" t="s">
        <v>212</v>
      </c>
      <c r="C323" t="s">
        <v>29</v>
      </c>
      <c r="D323" s="18" t="s">
        <v>30</v>
      </c>
      <c r="E323">
        <v>13.8</v>
      </c>
      <c r="F323">
        <v>13</v>
      </c>
      <c r="G323">
        <v>14.4</v>
      </c>
      <c r="H323">
        <v>15.2</v>
      </c>
      <c r="I323">
        <v>14.7</v>
      </c>
      <c r="J323">
        <v>14.5</v>
      </c>
      <c r="K323">
        <v>14.8</v>
      </c>
      <c r="L323">
        <f>Tableau1[[#This Row],[Final_time]]-SUM(Tableau1[[#This Row],[0_100m]:[600_700m]])</f>
        <v>15.289999999999992</v>
      </c>
      <c r="M323">
        <v>115.69</v>
      </c>
      <c r="N323">
        <f>SUM(Tableau1[[#This Row],[0_100m]:[700_800m]])</f>
        <v>115.69</v>
      </c>
      <c r="O323">
        <f>ABS(Tableau1[[#This Row],[Final_time]]-Tableau1[[#This Row],[Sum_time]])</f>
        <v>0</v>
      </c>
      <c r="P323" s="8"/>
      <c r="Q323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3" t="s">
        <v>1384</v>
      </c>
      <c r="S323" s="1" t="s">
        <v>68</v>
      </c>
      <c r="U323" s="1" t="s">
        <v>69</v>
      </c>
      <c r="V323" s="1">
        <v>45889</v>
      </c>
      <c r="W323" s="4">
        <f>YEAR(Tableau1[[#This Row],[Competition_date]])</f>
        <v>2025</v>
      </c>
      <c r="X323" s="4">
        <v>18</v>
      </c>
      <c r="Y323" s="6">
        <v>0.92</v>
      </c>
      <c r="Z323" s="4" t="s">
        <v>98</v>
      </c>
    </row>
    <row r="324" spans="1:26" hidden="1" x14ac:dyDescent="0.35">
      <c r="A324" t="str">
        <f>_xlfn.CONCAT(Tableau1[[#This Row],[Athletes]],"_",Tableau1[[#This Row],[Nationality]],"_",Tableau1[[#This Row],[Competition_year]])</f>
        <v>Audrey WERRO_SUI_2025</v>
      </c>
      <c r="B324" t="s">
        <v>329</v>
      </c>
      <c r="C324" t="s">
        <v>29</v>
      </c>
      <c r="D324" s="18" t="s">
        <v>73</v>
      </c>
      <c r="E324">
        <v>13.7</v>
      </c>
      <c r="F324">
        <v>13.4</v>
      </c>
      <c r="G324">
        <v>14.6</v>
      </c>
      <c r="H324">
        <v>15.3</v>
      </c>
      <c r="I324">
        <v>15.1</v>
      </c>
      <c r="J324">
        <v>15.2</v>
      </c>
      <c r="K324">
        <v>15.3</v>
      </c>
      <c r="L324">
        <f>Tableau1[[#This Row],[Final_time]]-SUM(Tableau1[[#This Row],[0_100m]:[600_700m]])</f>
        <v>14.740000000000009</v>
      </c>
      <c r="M324">
        <v>117.34</v>
      </c>
      <c r="N324">
        <f>SUM(Tableau1[[#This Row],[0_100m]:[700_800m]])</f>
        <v>117.34</v>
      </c>
      <c r="O324">
        <f>ABS(Tableau1[[#This Row],[Final_time]]-Tableau1[[#This Row],[Sum_time]])</f>
        <v>0</v>
      </c>
      <c r="P324" s="8"/>
      <c r="Q324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4" t="s">
        <v>1384</v>
      </c>
      <c r="S324" s="1" t="s">
        <v>68</v>
      </c>
      <c r="U324" s="1" t="s">
        <v>69</v>
      </c>
      <c r="V324" s="1">
        <v>45889</v>
      </c>
      <c r="W324" s="4">
        <f>YEAR(Tableau1[[#This Row],[Competition_date]])</f>
        <v>2025</v>
      </c>
      <c r="X324" s="4">
        <v>18</v>
      </c>
      <c r="Y324" s="6">
        <v>0.92</v>
      </c>
      <c r="Z324" s="4" t="s">
        <v>98</v>
      </c>
    </row>
    <row r="325" spans="1:26" hidden="1" x14ac:dyDescent="0.35">
      <c r="A325" t="str">
        <f>_xlfn.CONCAT(Tableau1[[#This Row],[Athletes]],"_",Tableau1[[#This Row],[Nationality]],"_",Tableau1[[#This Row],[Competition_year]])</f>
        <v>Georgia HUNTER BELL_GBR_2025</v>
      </c>
      <c r="B325" t="s">
        <v>1351</v>
      </c>
      <c r="C325" t="s">
        <v>29</v>
      </c>
      <c r="D325" s="18" t="s">
        <v>30</v>
      </c>
      <c r="E325">
        <v>13.7</v>
      </c>
      <c r="F325">
        <v>13.5</v>
      </c>
      <c r="G325">
        <v>14.3</v>
      </c>
      <c r="H325">
        <v>15.2</v>
      </c>
      <c r="I325">
        <v>14.9</v>
      </c>
      <c r="J325">
        <v>14.8</v>
      </c>
      <c r="K325">
        <v>15.2</v>
      </c>
      <c r="L325">
        <f>Tableau1[[#This Row],[Final_time]]-SUM(Tableau1[[#This Row],[0_100m]:[600_700m]])</f>
        <v>15.949999999999989</v>
      </c>
      <c r="M325">
        <v>117.55</v>
      </c>
      <c r="N325">
        <f>SUM(Tableau1[[#This Row],[0_100m]:[700_800m]])</f>
        <v>117.55</v>
      </c>
      <c r="O325">
        <f>ABS(Tableau1[[#This Row],[Final_time]]-Tableau1[[#This Row],[Sum_time]])</f>
        <v>0</v>
      </c>
      <c r="P325" s="8"/>
      <c r="Q325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5" t="s">
        <v>1384</v>
      </c>
      <c r="S325" s="1" t="s">
        <v>68</v>
      </c>
      <c r="U325" s="1" t="s">
        <v>69</v>
      </c>
      <c r="V325" s="1">
        <v>45889</v>
      </c>
      <c r="W325" s="4">
        <f>YEAR(Tableau1[[#This Row],[Competition_date]])</f>
        <v>2025</v>
      </c>
      <c r="X325" s="4">
        <v>18</v>
      </c>
      <c r="Y325" s="6">
        <v>0.92</v>
      </c>
      <c r="Z325" s="4" t="s">
        <v>98</v>
      </c>
    </row>
    <row r="326" spans="1:26" hidden="1" x14ac:dyDescent="0.35">
      <c r="A326" t="str">
        <f>_xlfn.CONCAT(Tableau1[[#This Row],[Athletes]],"_",Tableau1[[#This Row],[Nationality]],"_",Tableau1[[#This Row],[Competition_year]])</f>
        <v>Anaïs BOURGOIN_FRA_2025</v>
      </c>
      <c r="B326" t="s">
        <v>1375</v>
      </c>
      <c r="C326" t="s">
        <v>29</v>
      </c>
      <c r="D326" s="18" t="s">
        <v>17</v>
      </c>
      <c r="E326">
        <v>13.6</v>
      </c>
      <c r="F326">
        <v>13.3</v>
      </c>
      <c r="G326">
        <v>14.7</v>
      </c>
      <c r="H326">
        <v>15.2</v>
      </c>
      <c r="I326">
        <v>15</v>
      </c>
      <c r="J326">
        <v>15.1</v>
      </c>
      <c r="K326">
        <v>15.6</v>
      </c>
      <c r="L326">
        <f>Tableau1[[#This Row],[Final_time]]-SUM(Tableau1[[#This Row],[0_100m]:[600_700m]])</f>
        <v>15.930000000000021</v>
      </c>
      <c r="M326">
        <v>118.43</v>
      </c>
      <c r="N326">
        <f>SUM(Tableau1[[#This Row],[0_100m]:[700_800m]])</f>
        <v>118.43</v>
      </c>
      <c r="O326">
        <f>ABS(Tableau1[[#This Row],[Final_time]]-Tableau1[[#This Row],[Sum_time]])</f>
        <v>0</v>
      </c>
      <c r="P326" s="8"/>
      <c r="Q326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6" t="s">
        <v>1384</v>
      </c>
      <c r="S326" s="1" t="s">
        <v>68</v>
      </c>
      <c r="U326" s="1" t="s">
        <v>69</v>
      </c>
      <c r="V326" s="1">
        <v>45889</v>
      </c>
      <c r="W326" s="4">
        <f>YEAR(Tableau1[[#This Row],[Competition_date]])</f>
        <v>2025</v>
      </c>
      <c r="X326" s="4">
        <v>18</v>
      </c>
      <c r="Y326" s="6">
        <v>0.92</v>
      </c>
      <c r="Z326" s="4" t="s">
        <v>98</v>
      </c>
    </row>
    <row r="327" spans="1:26" hidden="1" x14ac:dyDescent="0.35">
      <c r="A327" t="str">
        <f>_xlfn.CONCAT(Tableau1[[#This Row],[Athletes]],"_",Tableau1[[#This Row],[Nationality]],"_",Tableau1[[#This Row],[Competition_year]])</f>
        <v>Oratile NOWE_BOT_2025</v>
      </c>
      <c r="B327" t="s">
        <v>1352</v>
      </c>
      <c r="C327" t="s">
        <v>29</v>
      </c>
      <c r="D327" s="18" t="s">
        <v>44</v>
      </c>
      <c r="E327">
        <v>13.6</v>
      </c>
      <c r="F327">
        <v>13.5</v>
      </c>
      <c r="G327">
        <v>14.6</v>
      </c>
      <c r="H327">
        <v>15.6</v>
      </c>
      <c r="I327">
        <v>15.4</v>
      </c>
      <c r="J327">
        <v>15.2</v>
      </c>
      <c r="K327">
        <v>15.5</v>
      </c>
      <c r="L327">
        <f>Tableau1[[#This Row],[Final_time]]-SUM(Tableau1[[#This Row],[0_100m]:[600_700m]])</f>
        <v>15.22999999999999</v>
      </c>
      <c r="M327">
        <v>118.63</v>
      </c>
      <c r="N327">
        <f>SUM(Tableau1[[#This Row],[0_100m]:[700_800m]])</f>
        <v>118.63</v>
      </c>
      <c r="O327">
        <f>ABS(Tableau1[[#This Row],[Final_time]]-Tableau1[[#This Row],[Sum_time]])</f>
        <v>0</v>
      </c>
      <c r="P327" s="8"/>
      <c r="Q327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7" t="s">
        <v>1384</v>
      </c>
      <c r="S327" s="1" t="s">
        <v>68</v>
      </c>
      <c r="U327" s="1" t="s">
        <v>69</v>
      </c>
      <c r="V327" s="1">
        <v>45889</v>
      </c>
      <c r="W327" s="4">
        <f>YEAR(Tableau1[[#This Row],[Competition_date]])</f>
        <v>2025</v>
      </c>
      <c r="X327" s="4">
        <v>18</v>
      </c>
      <c r="Y327" s="6">
        <v>0.92</v>
      </c>
      <c r="Z327" s="4" t="s">
        <v>98</v>
      </c>
    </row>
    <row r="328" spans="1:26" hidden="1" x14ac:dyDescent="0.35">
      <c r="A328" t="str">
        <f>_xlfn.CONCAT(Tableau1[[#This Row],[Athletes]],"_",Tableau1[[#This Row],[Nationality]],"_",Tableau1[[#This Row],[Competition_year]])</f>
        <v>Prudence SEKGODISO_RSA_2025</v>
      </c>
      <c r="B328" t="s">
        <v>235</v>
      </c>
      <c r="C328" t="s">
        <v>29</v>
      </c>
      <c r="D328" s="18" t="s">
        <v>96</v>
      </c>
      <c r="E328">
        <v>13.5</v>
      </c>
      <c r="F328">
        <v>13.3</v>
      </c>
      <c r="G328">
        <v>14.6</v>
      </c>
      <c r="H328">
        <v>15.1</v>
      </c>
      <c r="I328">
        <v>14.9</v>
      </c>
      <c r="J328">
        <v>14.5</v>
      </c>
      <c r="K328">
        <v>15.5</v>
      </c>
      <c r="L328">
        <f>Tableau1[[#This Row],[Final_time]]-SUM(Tableau1[[#This Row],[0_100m]:[600_700m]])</f>
        <v>17.36</v>
      </c>
      <c r="M328">
        <v>118.76</v>
      </c>
      <c r="N328">
        <f>SUM(Tableau1[[#This Row],[0_100m]:[700_800m]])</f>
        <v>118.76</v>
      </c>
      <c r="O328">
        <f>ABS(Tableau1[[#This Row],[Final_time]]-Tableau1[[#This Row],[Sum_time]])</f>
        <v>0</v>
      </c>
      <c r="P328" s="8"/>
      <c r="Q328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8" t="s">
        <v>1384</v>
      </c>
      <c r="S328" s="1" t="s">
        <v>68</v>
      </c>
      <c r="U328" s="1" t="s">
        <v>69</v>
      </c>
      <c r="V328" s="1">
        <v>45889</v>
      </c>
      <c r="W328" s="4">
        <f>YEAR(Tableau1[[#This Row],[Competition_date]])</f>
        <v>2025</v>
      </c>
      <c r="X328" s="4">
        <v>18</v>
      </c>
      <c r="Y328" s="6">
        <v>0.92</v>
      </c>
      <c r="Z328" s="4" t="s">
        <v>98</v>
      </c>
    </row>
    <row r="329" spans="1:26" hidden="1" x14ac:dyDescent="0.35">
      <c r="A329" t="str">
        <f>_xlfn.CONCAT(Tableau1[[#This Row],[Athletes]],"_",Tableau1[[#This Row],[Nationality]],"_",Tableau1[[#This Row],[Competition_year]])</f>
        <v>Claudia HOLLINGSWORTH_AUS_2025</v>
      </c>
      <c r="B329" t="s">
        <v>275</v>
      </c>
      <c r="C329" t="s">
        <v>29</v>
      </c>
      <c r="D329" s="18" t="s">
        <v>36</v>
      </c>
      <c r="E329">
        <v>13.7</v>
      </c>
      <c r="F329">
        <v>13.4</v>
      </c>
      <c r="G329">
        <v>14.7</v>
      </c>
      <c r="H329">
        <v>15.1</v>
      </c>
      <c r="I329">
        <v>15.4</v>
      </c>
      <c r="J329">
        <v>15.1</v>
      </c>
      <c r="K329">
        <v>15.6</v>
      </c>
      <c r="L329">
        <f>Tableau1[[#This Row],[Final_time]]-SUM(Tableau1[[#This Row],[0_100m]:[600_700m]])</f>
        <v>15.810000000000016</v>
      </c>
      <c r="M329">
        <v>118.81</v>
      </c>
      <c r="N329">
        <f>SUM(Tableau1[[#This Row],[0_100m]:[700_800m]])</f>
        <v>118.81</v>
      </c>
      <c r="O329">
        <f>ABS(Tableau1[[#This Row],[Final_time]]-Tableau1[[#This Row],[Sum_time]])</f>
        <v>0</v>
      </c>
      <c r="P329" s="8"/>
      <c r="Q329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29" t="s">
        <v>1384</v>
      </c>
      <c r="S329" s="1" t="s">
        <v>68</v>
      </c>
      <c r="U329" s="1" t="s">
        <v>69</v>
      </c>
      <c r="V329" s="1">
        <v>45889</v>
      </c>
      <c r="W329" s="4">
        <f>YEAR(Tableau1[[#This Row],[Competition_date]])</f>
        <v>2025</v>
      </c>
      <c r="X329" s="4">
        <v>18</v>
      </c>
      <c r="Y329" s="6">
        <v>0.92</v>
      </c>
      <c r="Z329" s="4" t="s">
        <v>98</v>
      </c>
    </row>
    <row r="330" spans="1:26" hidden="1" x14ac:dyDescent="0.35">
      <c r="A330" t="str">
        <f>_xlfn.CONCAT(Tableau1[[#This Row],[Athletes]],"_",Tableau1[[#This Row],[Nationality]],"_",Tableau1[[#This Row],[Competition_year]])</f>
        <v>Rénelle LAMOTE_FRA_2025</v>
      </c>
      <c r="B330" t="s">
        <v>225</v>
      </c>
      <c r="C330" t="s">
        <v>29</v>
      </c>
      <c r="D330" s="18" t="s">
        <v>17</v>
      </c>
      <c r="E330">
        <v>13.8</v>
      </c>
      <c r="F330">
        <v>13.6</v>
      </c>
      <c r="G330">
        <v>14.6</v>
      </c>
      <c r="H330">
        <v>15.2</v>
      </c>
      <c r="I330">
        <v>15.3</v>
      </c>
      <c r="J330">
        <v>15.3</v>
      </c>
      <c r="K330">
        <v>15.7</v>
      </c>
      <c r="L330">
        <f>Tableau1[[#This Row],[Final_time]]-SUM(Tableau1[[#This Row],[0_100m]:[600_700m]])</f>
        <v>16.099999999999994</v>
      </c>
      <c r="M330">
        <v>119.6</v>
      </c>
      <c r="N330">
        <f>SUM(Tableau1[[#This Row],[0_100m]:[700_800m]])</f>
        <v>119.6</v>
      </c>
      <c r="O330">
        <f>ABS(Tableau1[[#This Row],[Final_time]]-Tableau1[[#This Row],[Sum_time]])</f>
        <v>0</v>
      </c>
      <c r="P330" s="8"/>
      <c r="Q330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30" t="s">
        <v>1384</v>
      </c>
      <c r="S330" s="1" t="s">
        <v>68</v>
      </c>
      <c r="U330" s="1" t="s">
        <v>69</v>
      </c>
      <c r="V330" s="1">
        <v>45889</v>
      </c>
      <c r="W330" s="4">
        <f>YEAR(Tableau1[[#This Row],[Competition_date]])</f>
        <v>2025</v>
      </c>
      <c r="X330" s="4">
        <v>18</v>
      </c>
      <c r="Y330" s="6">
        <v>0.92</v>
      </c>
      <c r="Z330" s="4" t="s">
        <v>98</v>
      </c>
    </row>
    <row r="331" spans="1:26" hidden="1" x14ac:dyDescent="0.35">
      <c r="A331" t="str">
        <f>_xlfn.CONCAT(Tableau1[[#This Row],[Athletes]],"_",Tableau1[[#This Row],[Nationality]],"_",Tableau1[[#This Row],[Competition_year]])</f>
        <v>Addison WILEY_USA_2025</v>
      </c>
      <c r="B331" t="s">
        <v>533</v>
      </c>
      <c r="C331" t="s">
        <v>29</v>
      </c>
      <c r="D331" s="18" t="s">
        <v>35</v>
      </c>
      <c r="E331">
        <v>13.8</v>
      </c>
      <c r="F331">
        <v>13.2</v>
      </c>
      <c r="G331">
        <v>14.5</v>
      </c>
      <c r="H331">
        <v>15.4</v>
      </c>
      <c r="I331">
        <v>15.1</v>
      </c>
      <c r="J331">
        <v>15.1</v>
      </c>
      <c r="K331">
        <v>15.7</v>
      </c>
      <c r="L331">
        <f>Tableau1[[#This Row],[Final_time]]-SUM(Tableau1[[#This Row],[0_100m]:[600_700m]])</f>
        <v>16.840000000000003</v>
      </c>
      <c r="M331">
        <v>119.64</v>
      </c>
      <c r="N331">
        <f>SUM(Tableau1[[#This Row],[0_100m]:[700_800m]])</f>
        <v>119.64</v>
      </c>
      <c r="O331">
        <f>ABS(Tableau1[[#This Row],[Final_time]]-Tableau1[[#This Row],[Sum_time]])</f>
        <v>0</v>
      </c>
      <c r="P331" s="8"/>
      <c r="Q331" s="16" t="str">
        <f>_xlfn.CONCAT(Tableau1[[#This Row],[Competition]],"_",Tableau1[[#This Row],[Championship_step]],"_",Tableau1[[#This Row],[Competition_date]],"_",Tableau1[[#This Row],[Gender]])</f>
        <v>Diamond League Lausanne 2025__45889_Female</v>
      </c>
      <c r="R331" t="s">
        <v>1384</v>
      </c>
      <c r="S331" s="1" t="s">
        <v>68</v>
      </c>
      <c r="U331" s="1" t="s">
        <v>69</v>
      </c>
      <c r="V331" s="1">
        <v>45889</v>
      </c>
      <c r="W331" s="4">
        <f>YEAR(Tableau1[[#This Row],[Competition_date]])</f>
        <v>2025</v>
      </c>
      <c r="X331" s="4">
        <v>18</v>
      </c>
      <c r="Y331" s="6">
        <v>0.92</v>
      </c>
      <c r="Z331" s="4" t="s">
        <v>98</v>
      </c>
    </row>
    <row r="332" spans="1:26" hidden="1" x14ac:dyDescent="0.35">
      <c r="A332" t="str">
        <f>_xlfn.CONCAT(Tableau1[[#This Row],[Athletes]],"_",Tableau1[[#This Row],[Nationality]],"_",Tableau1[[#This Row],[Competition_year]])</f>
        <v>Josh HOEY_USA_2025</v>
      </c>
      <c r="B332" t="s">
        <v>1372</v>
      </c>
      <c r="C332" t="s">
        <v>14</v>
      </c>
      <c r="D332" s="18" t="s">
        <v>35</v>
      </c>
      <c r="E332">
        <v>12.7</v>
      </c>
      <c r="F332">
        <v>11.9</v>
      </c>
      <c r="G332">
        <v>12.8</v>
      </c>
      <c r="H332">
        <v>13</v>
      </c>
      <c r="I332">
        <v>13.2</v>
      </c>
      <c r="J332">
        <v>13.1</v>
      </c>
      <c r="K332">
        <v>13.2</v>
      </c>
      <c r="L332">
        <f>Tableau1[[#This Row],[Final_time]]-SUM(Tableau1[[#This Row],[0_100m]:[600_700m]])</f>
        <v>12.919999999999987</v>
      </c>
      <c r="M332">
        <v>102.82</v>
      </c>
      <c r="N332">
        <f>SUM(Tableau1[[#This Row],[0_100m]:[700_800m]])</f>
        <v>102.82</v>
      </c>
      <c r="O332">
        <f>ABS(Tableau1[[#This Row],[Final_time]]-Tableau1[[#This Row],[Sum_time]])</f>
        <v>0</v>
      </c>
      <c r="P332" s="8"/>
      <c r="Q332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2" t="s">
        <v>1384</v>
      </c>
      <c r="S332" s="1" t="s">
        <v>68</v>
      </c>
      <c r="U332" s="1" t="s">
        <v>69</v>
      </c>
      <c r="V332" s="1">
        <v>45889</v>
      </c>
      <c r="W332" s="4">
        <f>YEAR(Tableau1[[#This Row],[Competition_date]])</f>
        <v>2025</v>
      </c>
      <c r="X332" s="4">
        <v>19</v>
      </c>
      <c r="Y332" s="6">
        <v>0.85</v>
      </c>
      <c r="Z332" s="4" t="s">
        <v>98</v>
      </c>
    </row>
    <row r="333" spans="1:26" hidden="1" x14ac:dyDescent="0.35">
      <c r="A333" t="str">
        <f>_xlfn.CONCAT(Tableau1[[#This Row],[Athletes]],"_",Tableau1[[#This Row],[Nationality]],"_",Tableau1[[#This Row],[Competition_year]])</f>
        <v>Emmanuel WANYONYI_KEN_2025</v>
      </c>
      <c r="B333" t="s">
        <v>183</v>
      </c>
      <c r="C333" t="s">
        <v>14</v>
      </c>
      <c r="D333" s="18" t="s">
        <v>15</v>
      </c>
      <c r="E333">
        <v>12.6</v>
      </c>
      <c r="F333">
        <v>11.7</v>
      </c>
      <c r="G333">
        <v>12.7</v>
      </c>
      <c r="H333">
        <v>12.9</v>
      </c>
      <c r="I333">
        <v>13.3</v>
      </c>
      <c r="J333">
        <v>13.3</v>
      </c>
      <c r="K333">
        <v>13.4</v>
      </c>
      <c r="L333">
        <f>Tableau1[[#This Row],[Final_time]]-SUM(Tableau1[[#This Row],[0_100m]:[600_700m]])</f>
        <v>13.39</v>
      </c>
      <c r="M333">
        <v>103.29</v>
      </c>
      <c r="N333">
        <f>SUM(Tableau1[[#This Row],[0_100m]:[700_800m]])</f>
        <v>103.29</v>
      </c>
      <c r="O333">
        <f>ABS(Tableau1[[#This Row],[Final_time]]-Tableau1[[#This Row],[Sum_time]])</f>
        <v>0</v>
      </c>
      <c r="P333" s="8"/>
      <c r="Q333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3" t="s">
        <v>1384</v>
      </c>
      <c r="S333" s="1" t="s">
        <v>68</v>
      </c>
      <c r="U333" s="1" t="s">
        <v>69</v>
      </c>
      <c r="V333" s="1">
        <v>45889</v>
      </c>
      <c r="W333" s="4">
        <f>YEAR(Tableau1[[#This Row],[Competition_date]])</f>
        <v>2025</v>
      </c>
      <c r="X333" s="4">
        <v>19</v>
      </c>
      <c r="Y333" s="6">
        <v>0.85</v>
      </c>
      <c r="Z333" s="4" t="s">
        <v>98</v>
      </c>
    </row>
    <row r="334" spans="1:26" hidden="1" x14ac:dyDescent="0.35">
      <c r="A334" t="str">
        <f>_xlfn.CONCAT(Tableau1[[#This Row],[Athletes]],"_",Tableau1[[#This Row],[Nationality]],"_",Tableau1[[#This Row],[Competition_year]])</f>
        <v>Mohamed ATTAOUI_ESP_2025</v>
      </c>
      <c r="B334" t="s">
        <v>110</v>
      </c>
      <c r="C334" t="s">
        <v>14</v>
      </c>
      <c r="D334" s="18" t="s">
        <v>37</v>
      </c>
      <c r="E334">
        <v>13.1</v>
      </c>
      <c r="F334">
        <v>12.1</v>
      </c>
      <c r="G334">
        <v>13</v>
      </c>
      <c r="H334">
        <v>12.7</v>
      </c>
      <c r="I334">
        <v>12.9</v>
      </c>
      <c r="J334">
        <v>12.9</v>
      </c>
      <c r="K334">
        <v>13.5</v>
      </c>
      <c r="L334">
        <f>Tableau1[[#This Row],[Final_time]]-SUM(Tableau1[[#This Row],[0_100m]:[600_700m]])</f>
        <v>13.179999999999993</v>
      </c>
      <c r="M334">
        <v>103.38</v>
      </c>
      <c r="N334">
        <f>SUM(Tableau1[[#This Row],[0_100m]:[700_800m]])</f>
        <v>103.38</v>
      </c>
      <c r="O334">
        <f>ABS(Tableau1[[#This Row],[Final_time]]-Tableau1[[#This Row],[Sum_time]])</f>
        <v>0</v>
      </c>
      <c r="P334" s="8"/>
      <c r="Q334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4" t="s">
        <v>1384</v>
      </c>
      <c r="S334" s="1" t="s">
        <v>68</v>
      </c>
      <c r="U334" s="1" t="s">
        <v>69</v>
      </c>
      <c r="V334" s="1">
        <v>45889</v>
      </c>
      <c r="W334" s="4">
        <f>YEAR(Tableau1[[#This Row],[Competition_date]])</f>
        <v>2025</v>
      </c>
      <c r="X334" s="4">
        <v>19</v>
      </c>
      <c r="Y334" s="6">
        <v>0.85</v>
      </c>
      <c r="Z334" s="4" t="s">
        <v>98</v>
      </c>
    </row>
    <row r="335" spans="1:26" hidden="1" x14ac:dyDescent="0.35">
      <c r="A335" t="str">
        <f>_xlfn.CONCAT(Tableau1[[#This Row],[Athletes]],"_",Tableau1[[#This Row],[Nationality]],"_",Tableau1[[#This Row],[Competition_year]])</f>
        <v>Max BURGIN_GBR_2025</v>
      </c>
      <c r="B335" t="s">
        <v>188</v>
      </c>
      <c r="C335" t="s">
        <v>14</v>
      </c>
      <c r="D335" s="18" t="s">
        <v>30</v>
      </c>
      <c r="E335">
        <v>12.6</v>
      </c>
      <c r="F335">
        <v>11.9</v>
      </c>
      <c r="G335">
        <v>12.7</v>
      </c>
      <c r="H335">
        <v>12.9</v>
      </c>
      <c r="I335">
        <v>13.3</v>
      </c>
      <c r="J335">
        <v>13.2</v>
      </c>
      <c r="K335">
        <v>13.1</v>
      </c>
      <c r="L335">
        <f>Tableau1[[#This Row],[Final_time]]-SUM(Tableau1[[#This Row],[0_100m]:[600_700m]])</f>
        <v>13.739999999999995</v>
      </c>
      <c r="M335">
        <v>103.44</v>
      </c>
      <c r="N335">
        <f>SUM(Tableau1[[#This Row],[0_100m]:[700_800m]])</f>
        <v>103.44</v>
      </c>
      <c r="O335">
        <f>ABS(Tableau1[[#This Row],[Final_time]]-Tableau1[[#This Row],[Sum_time]])</f>
        <v>0</v>
      </c>
      <c r="P335" s="8"/>
      <c r="Q335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5" t="s">
        <v>1384</v>
      </c>
      <c r="S335" s="1" t="s">
        <v>68</v>
      </c>
      <c r="U335" s="1" t="s">
        <v>69</v>
      </c>
      <c r="V335" s="1">
        <v>45889</v>
      </c>
      <c r="W335" s="4">
        <f>YEAR(Tableau1[[#This Row],[Competition_date]])</f>
        <v>2025</v>
      </c>
      <c r="X335" s="4">
        <v>19</v>
      </c>
      <c r="Y335" s="6">
        <v>0.85</v>
      </c>
      <c r="Z335" s="4" t="s">
        <v>98</v>
      </c>
    </row>
    <row r="336" spans="1:26" hidden="1" x14ac:dyDescent="0.35">
      <c r="A336" t="str">
        <f>_xlfn.CONCAT(Tableau1[[#This Row],[Athletes]],"_",Tableau1[[#This Row],[Nationality]],"_",Tableau1[[#This Row],[Competition_year]])</f>
        <v>Marco AROP_CAN_2025</v>
      </c>
      <c r="B336" t="s">
        <v>177</v>
      </c>
      <c r="C336" t="s">
        <v>14</v>
      </c>
      <c r="D336" s="18" t="s">
        <v>19</v>
      </c>
      <c r="E336">
        <v>13</v>
      </c>
      <c r="F336">
        <v>11.8</v>
      </c>
      <c r="G336">
        <v>12.9</v>
      </c>
      <c r="H336">
        <v>13</v>
      </c>
      <c r="I336">
        <v>13</v>
      </c>
      <c r="J336">
        <v>12.7</v>
      </c>
      <c r="K336">
        <v>13.2</v>
      </c>
      <c r="L336">
        <f>Tableau1[[#This Row],[Final_time]]-SUM(Tableau1[[#This Row],[0_100m]:[600_700m]])</f>
        <v>14.309999999999988</v>
      </c>
      <c r="M336">
        <v>103.91</v>
      </c>
      <c r="N336">
        <f>SUM(Tableau1[[#This Row],[0_100m]:[700_800m]])</f>
        <v>103.91</v>
      </c>
      <c r="O336">
        <f>ABS(Tableau1[[#This Row],[Final_time]]-Tableau1[[#This Row],[Sum_time]])</f>
        <v>0</v>
      </c>
      <c r="P336" s="8"/>
      <c r="Q336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6" t="s">
        <v>1384</v>
      </c>
      <c r="S336" s="1" t="s">
        <v>68</v>
      </c>
      <c r="U336" s="1" t="s">
        <v>69</v>
      </c>
      <c r="V336" s="1">
        <v>45889</v>
      </c>
      <c r="W336" s="4">
        <f>YEAR(Tableau1[[#This Row],[Competition_date]])</f>
        <v>2025</v>
      </c>
      <c r="X336" s="4">
        <v>19</v>
      </c>
      <c r="Y336" s="6">
        <v>0.85</v>
      </c>
      <c r="Z336" s="4" t="s">
        <v>98</v>
      </c>
    </row>
    <row r="337" spans="1:27" hidden="1" x14ac:dyDescent="0.35">
      <c r="A337" t="str">
        <f>_xlfn.CONCAT(Tableau1[[#This Row],[Athletes]],"_",Tableau1[[#This Row],[Nationality]],"_",Tableau1[[#This Row],[Competition_year]])</f>
        <v>Tshepiso MASALELA_BOT_2025</v>
      </c>
      <c r="B337" t="s">
        <v>107</v>
      </c>
      <c r="C337" t="s">
        <v>14</v>
      </c>
      <c r="D337" s="18" t="s">
        <v>44</v>
      </c>
      <c r="E337">
        <v>12.7</v>
      </c>
      <c r="F337">
        <v>12.3</v>
      </c>
      <c r="G337">
        <v>13</v>
      </c>
      <c r="H337">
        <v>13.3</v>
      </c>
      <c r="I337">
        <v>13.3</v>
      </c>
      <c r="J337">
        <v>13.4</v>
      </c>
      <c r="K337">
        <v>13</v>
      </c>
      <c r="L337">
        <f>Tableau1[[#This Row],[Final_time]]-SUM(Tableau1[[#This Row],[0_100m]:[600_700m]])</f>
        <v>13.510000000000005</v>
      </c>
      <c r="M337">
        <v>104.51</v>
      </c>
      <c r="N337">
        <f>SUM(Tableau1[[#This Row],[0_100m]:[700_800m]])</f>
        <v>104.51</v>
      </c>
      <c r="O337">
        <f>ABS(Tableau1[[#This Row],[Final_time]]-Tableau1[[#This Row],[Sum_time]])</f>
        <v>0</v>
      </c>
      <c r="P337" s="8"/>
      <c r="Q337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7" t="s">
        <v>1384</v>
      </c>
      <c r="S337" s="1" t="s">
        <v>68</v>
      </c>
      <c r="U337" s="1" t="s">
        <v>69</v>
      </c>
      <c r="V337" s="1">
        <v>45889</v>
      </c>
      <c r="W337" s="4">
        <f>YEAR(Tableau1[[#This Row],[Competition_date]])</f>
        <v>2025</v>
      </c>
      <c r="X337" s="4">
        <v>19</v>
      </c>
      <c r="Y337" s="6">
        <v>0.85</v>
      </c>
      <c r="Z337" s="4" t="s">
        <v>98</v>
      </c>
    </row>
    <row r="338" spans="1:27" hidden="1" x14ac:dyDescent="0.35">
      <c r="A338" t="str">
        <f>_xlfn.CONCAT(Tableau1[[#This Row],[Athletes]],"_",Tableau1[[#This Row],[Nationality]],"_",Tableau1[[#This Row],[Competition_year]])</f>
        <v>Yanis MEZIANE_FRA_2025</v>
      </c>
      <c r="B338" t="s">
        <v>171</v>
      </c>
      <c r="C338" t="s">
        <v>14</v>
      </c>
      <c r="D338" s="18" t="s">
        <v>17</v>
      </c>
      <c r="E338">
        <v>12.8</v>
      </c>
      <c r="F338">
        <v>12.3</v>
      </c>
      <c r="G338">
        <v>12.8</v>
      </c>
      <c r="H338">
        <v>13.1</v>
      </c>
      <c r="I338">
        <v>13.2</v>
      </c>
      <c r="J338">
        <v>13.2</v>
      </c>
      <c r="K338">
        <v>13.4</v>
      </c>
      <c r="L338">
        <f>Tableau1[[#This Row],[Final_time]]-SUM(Tableau1[[#This Row],[0_100m]:[600_700m]])</f>
        <v>13.969999999999985</v>
      </c>
      <c r="M338">
        <v>104.77</v>
      </c>
      <c r="N338">
        <f>SUM(Tableau1[[#This Row],[0_100m]:[700_800m]])</f>
        <v>104.77</v>
      </c>
      <c r="O338">
        <f>ABS(Tableau1[[#This Row],[Final_time]]-Tableau1[[#This Row],[Sum_time]])</f>
        <v>0</v>
      </c>
      <c r="P338" s="8"/>
      <c r="Q338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8" t="s">
        <v>1384</v>
      </c>
      <c r="S338" s="1" t="s">
        <v>68</v>
      </c>
      <c r="U338" s="1" t="s">
        <v>69</v>
      </c>
      <c r="V338" s="1">
        <v>45889</v>
      </c>
      <c r="W338" s="4">
        <f>YEAR(Tableau1[[#This Row],[Competition_date]])</f>
        <v>2025</v>
      </c>
      <c r="X338" s="4">
        <v>19</v>
      </c>
      <c r="Y338" s="6">
        <v>0.85</v>
      </c>
      <c r="Z338" s="4" t="s">
        <v>98</v>
      </c>
    </row>
    <row r="339" spans="1:27" hidden="1" x14ac:dyDescent="0.35">
      <c r="A339" t="str">
        <f>_xlfn.CONCAT(Tableau1[[#This Row],[Athletes]],"_",Tableau1[[#This Row],[Nationality]],"_",Tableau1[[#This Row],[Competition_year]])</f>
        <v>Ivan PELIZZA_SUI_2025</v>
      </c>
      <c r="B339" t="s">
        <v>354</v>
      </c>
      <c r="C339" t="s">
        <v>14</v>
      </c>
      <c r="D339" s="18" t="s">
        <v>73</v>
      </c>
      <c r="E339">
        <v>13.1</v>
      </c>
      <c r="F339">
        <v>12.3</v>
      </c>
      <c r="G339">
        <v>13</v>
      </c>
      <c r="H339">
        <v>13.3</v>
      </c>
      <c r="I339">
        <v>13.2</v>
      </c>
      <c r="J339">
        <v>13.4</v>
      </c>
      <c r="K339">
        <v>13.2</v>
      </c>
      <c r="L339">
        <f>Tableau1[[#This Row],[Final_time]]-SUM(Tableau1[[#This Row],[0_100m]:[600_700m]])</f>
        <v>14.019999999999982</v>
      </c>
      <c r="M339">
        <v>105.52</v>
      </c>
      <c r="N339">
        <f>SUM(Tableau1[[#This Row],[0_100m]:[700_800m]])</f>
        <v>105.52</v>
      </c>
      <c r="O339">
        <f>ABS(Tableau1[[#This Row],[Final_time]]-Tableau1[[#This Row],[Sum_time]])</f>
        <v>0</v>
      </c>
      <c r="P339" s="8"/>
      <c r="Q339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39" t="s">
        <v>1384</v>
      </c>
      <c r="S339" s="1" t="s">
        <v>68</v>
      </c>
      <c r="U339" s="1" t="s">
        <v>69</v>
      </c>
      <c r="V339" s="1">
        <v>45889</v>
      </c>
      <c r="W339" s="4">
        <f>YEAR(Tableau1[[#This Row],[Competition_date]])</f>
        <v>2025</v>
      </c>
      <c r="X339" s="4">
        <v>19</v>
      </c>
      <c r="Y339" s="6">
        <v>0.85</v>
      </c>
      <c r="Z339" s="4" t="s">
        <v>98</v>
      </c>
    </row>
    <row r="340" spans="1:27" hidden="1" x14ac:dyDescent="0.35">
      <c r="A340" t="str">
        <f>_xlfn.CONCAT(Tableau1[[#This Row],[Athletes]],"_",Tableau1[[#This Row],[Nationality]],"_",Tableau1[[#This Row],[Competition_year]])</f>
        <v>Bryce HOPPEL_USA_2025</v>
      </c>
      <c r="B340" t="s">
        <v>173</v>
      </c>
      <c r="C340" t="s">
        <v>14</v>
      </c>
      <c r="D340" s="18" t="s">
        <v>35</v>
      </c>
      <c r="E340">
        <v>13</v>
      </c>
      <c r="F340">
        <v>12.1</v>
      </c>
      <c r="G340">
        <v>13</v>
      </c>
      <c r="H340">
        <v>13.1</v>
      </c>
      <c r="I340">
        <v>13.3</v>
      </c>
      <c r="J340">
        <v>13.6</v>
      </c>
      <c r="K340">
        <v>14.5</v>
      </c>
      <c r="L340">
        <f>Tableau1[[#This Row],[Final_time]]-SUM(Tableau1[[#This Row],[0_100m]:[600_700m]])</f>
        <v>15.580000000000013</v>
      </c>
      <c r="M340">
        <v>108.18</v>
      </c>
      <c r="N340">
        <f>SUM(Tableau1[[#This Row],[0_100m]:[700_800m]])</f>
        <v>108.18</v>
      </c>
      <c r="O340">
        <f>ABS(Tableau1[[#This Row],[Final_time]]-Tableau1[[#This Row],[Sum_time]])</f>
        <v>0</v>
      </c>
      <c r="P340" s="8"/>
      <c r="Q340" s="16" t="str">
        <f>_xlfn.CONCAT(Tableau1[[#This Row],[Competition]],"_",Tableau1[[#This Row],[Championship_step]],"_",Tableau1[[#This Row],[Competition_date]],"_",Tableau1[[#This Row],[Gender]])</f>
        <v>Diamond League Lausanne 2025__45889_Male</v>
      </c>
      <c r="R340" t="s">
        <v>1384</v>
      </c>
      <c r="S340" s="1" t="s">
        <v>68</v>
      </c>
      <c r="U340" s="1" t="s">
        <v>69</v>
      </c>
      <c r="V340" s="1">
        <v>45889</v>
      </c>
      <c r="W340" s="4">
        <f>YEAR(Tableau1[[#This Row],[Competition_date]])</f>
        <v>2025</v>
      </c>
      <c r="X340" s="4">
        <v>19</v>
      </c>
      <c r="Y340" s="6">
        <v>0.85</v>
      </c>
      <c r="Z340" s="4" t="s">
        <v>98</v>
      </c>
    </row>
    <row r="341" spans="1:27" hidden="1" x14ac:dyDescent="0.35">
      <c r="A341" t="str">
        <f>_xlfn.CONCAT(Tableau1[[#This Row],[Athletes]],"_",Tableau1[[#This Row],[Nationality]],"_",Tableau1[[#This Row],[Competition_year]])</f>
        <v>Isaiah HARRIS_USA_2021</v>
      </c>
      <c r="B341" s="9" t="s">
        <v>192</v>
      </c>
      <c r="C341" s="9" t="s">
        <v>14</v>
      </c>
      <c r="D341" s="12" t="s">
        <v>35</v>
      </c>
      <c r="E341" s="9">
        <v>12.7</v>
      </c>
      <c r="F341" s="9">
        <v>12</v>
      </c>
      <c r="G341" s="9">
        <v>13.4</v>
      </c>
      <c r="H341" s="9">
        <v>13</v>
      </c>
      <c r="I341" s="9">
        <v>13.5</v>
      </c>
      <c r="J341" s="9">
        <v>13.1</v>
      </c>
      <c r="K341" s="9">
        <v>13.2</v>
      </c>
      <c r="L341">
        <f>Tableau1[[#This Row],[Final_time]]-SUM(Tableau1[[#This Row],[0_100m]:[600_700m]])</f>
        <v>13.860000000000014</v>
      </c>
      <c r="M341" s="9">
        <v>104.76</v>
      </c>
      <c r="N341">
        <f>SUM(Tableau1[[#This Row],[0_100m]:[700_800m]])</f>
        <v>104.76</v>
      </c>
      <c r="O341">
        <f>ABS(Tableau1[[#This Row],[Final_time]]-Tableau1[[#This Row],[Sum_time]])</f>
        <v>0</v>
      </c>
      <c r="P341" s="8"/>
      <c r="Q341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1" t="s">
        <v>483</v>
      </c>
      <c r="S341" s="1" t="s">
        <v>68</v>
      </c>
      <c r="U341" s="1" t="s">
        <v>69</v>
      </c>
      <c r="V341" s="1">
        <v>44390</v>
      </c>
      <c r="W341" s="4">
        <f>YEAR(Tableau1[[#This Row],[Competition_date]])</f>
        <v>2021</v>
      </c>
      <c r="X341" s="4">
        <v>19</v>
      </c>
      <c r="Y341" s="6">
        <v>0.68</v>
      </c>
      <c r="Z341" s="4" t="s">
        <v>79</v>
      </c>
      <c r="AA341" t="s">
        <v>176</v>
      </c>
    </row>
    <row r="342" spans="1:27" hidden="1" x14ac:dyDescent="0.35">
      <c r="A342" t="str">
        <f>_xlfn.CONCAT(Tableau1[[#This Row],[Athletes]],"_",Tableau1[[#This Row],[Nationality]],"_",Tableau1[[#This Row],[Competition_year]])</f>
        <v>Wyclife KINYAMAL_KEN_2021</v>
      </c>
      <c r="B342" s="9" t="s">
        <v>174</v>
      </c>
      <c r="C342" s="9" t="s">
        <v>14</v>
      </c>
      <c r="D342" s="12" t="s">
        <v>15</v>
      </c>
      <c r="E342" s="9">
        <v>12.4</v>
      </c>
      <c r="F342" s="9">
        <v>12.1</v>
      </c>
      <c r="G342" s="9">
        <v>13</v>
      </c>
      <c r="H342" s="9">
        <v>13.4</v>
      </c>
      <c r="I342" s="9">
        <v>13.5</v>
      </c>
      <c r="J342" s="9">
        <v>13.6</v>
      </c>
      <c r="K342" s="9">
        <v>13.4</v>
      </c>
      <c r="L342">
        <f>Tableau1[[#This Row],[Final_time]]-SUM(Tableau1[[#This Row],[0_100m]:[600_700m]])</f>
        <v>13.509999999999991</v>
      </c>
      <c r="M342" s="9">
        <v>104.91</v>
      </c>
      <c r="N342">
        <f>SUM(Tableau1[[#This Row],[0_100m]:[700_800m]])</f>
        <v>104.91</v>
      </c>
      <c r="O342">
        <f>ABS(Tableau1[[#This Row],[Final_time]]-Tableau1[[#This Row],[Sum_time]])</f>
        <v>0</v>
      </c>
      <c r="P342" s="8"/>
      <c r="Q342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2" t="s">
        <v>483</v>
      </c>
      <c r="S342" s="1" t="s">
        <v>68</v>
      </c>
      <c r="U342" s="1" t="s">
        <v>69</v>
      </c>
      <c r="V342" s="1">
        <v>44390</v>
      </c>
      <c r="W342" s="4">
        <f>YEAR(Tableau1[[#This Row],[Competition_date]])</f>
        <v>2021</v>
      </c>
      <c r="X342" s="4">
        <v>19</v>
      </c>
      <c r="Y342" s="6">
        <v>0.68</v>
      </c>
      <c r="Z342" s="4" t="s">
        <v>79</v>
      </c>
      <c r="AA342" t="s">
        <v>176</v>
      </c>
    </row>
    <row r="343" spans="1:27" hidden="1" x14ac:dyDescent="0.35">
      <c r="A343" t="str">
        <f>_xlfn.CONCAT(Tableau1[[#This Row],[Athletes]],"_",Tableau1[[#This Row],[Nationality]],"_",Tableau1[[#This Row],[Competition_year]])</f>
        <v>Peter BOL_AUS_2021</v>
      </c>
      <c r="B343" s="9" t="s">
        <v>127</v>
      </c>
      <c r="C343" s="9" t="s">
        <v>14</v>
      </c>
      <c r="D343" s="12" t="s">
        <v>36</v>
      </c>
      <c r="E343" s="9">
        <v>12.6</v>
      </c>
      <c r="F343" s="9">
        <v>12</v>
      </c>
      <c r="G343" s="9">
        <v>13.2</v>
      </c>
      <c r="H343" s="9">
        <v>13.5</v>
      </c>
      <c r="I343" s="9">
        <v>13.5</v>
      </c>
      <c r="J343" s="9">
        <v>13.4</v>
      </c>
      <c r="K343" s="9">
        <v>13.7</v>
      </c>
      <c r="L343">
        <f>Tableau1[[#This Row],[Final_time]]-SUM(Tableau1[[#This Row],[0_100m]:[600_700m]])</f>
        <v>13.319999999999993</v>
      </c>
      <c r="M343" s="9">
        <v>105.22</v>
      </c>
      <c r="N343">
        <f>SUM(Tableau1[[#This Row],[0_100m]:[700_800m]])</f>
        <v>105.22</v>
      </c>
      <c r="O343">
        <f>ABS(Tableau1[[#This Row],[Final_time]]-Tableau1[[#This Row],[Sum_time]])</f>
        <v>0</v>
      </c>
      <c r="P343" s="8"/>
      <c r="Q343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3" t="s">
        <v>483</v>
      </c>
      <c r="S343" s="1" t="s">
        <v>68</v>
      </c>
      <c r="U343" s="1" t="s">
        <v>69</v>
      </c>
      <c r="V343" s="1">
        <v>44390</v>
      </c>
      <c r="W343" s="4">
        <f>YEAR(Tableau1[[#This Row],[Competition_date]])</f>
        <v>2021</v>
      </c>
      <c r="X343" s="4">
        <v>19</v>
      </c>
      <c r="Y343" s="6">
        <v>0.68</v>
      </c>
      <c r="Z343" s="4" t="s">
        <v>79</v>
      </c>
      <c r="AA343" t="s">
        <v>176</v>
      </c>
    </row>
    <row r="344" spans="1:27" hidden="1" x14ac:dyDescent="0.35">
      <c r="A344" t="str">
        <f>_xlfn.CONCAT(Tableau1[[#This Row],[Athletes]],"_",Tableau1[[#This Row],[Nationality]],"_",Tableau1[[#This Row],[Competition_year]])</f>
        <v>Álvaro DE ARRIBA_ESP_2021</v>
      </c>
      <c r="B344" s="9" t="s">
        <v>237</v>
      </c>
      <c r="C344" s="9" t="s">
        <v>14</v>
      </c>
      <c r="D344" s="12" t="s">
        <v>37</v>
      </c>
      <c r="E344" s="9">
        <v>13.3</v>
      </c>
      <c r="F344" s="9">
        <v>12.2</v>
      </c>
      <c r="G344" s="9">
        <v>13.1</v>
      </c>
      <c r="H344" s="9">
        <v>13.3</v>
      </c>
      <c r="I344" s="9">
        <v>13.6</v>
      </c>
      <c r="J344" s="9">
        <v>13.4</v>
      </c>
      <c r="K344" s="9">
        <v>13.4</v>
      </c>
      <c r="L344">
        <f>Tableau1[[#This Row],[Final_time]]-SUM(Tableau1[[#This Row],[0_100m]:[600_700m]])</f>
        <v>13.059999999999988</v>
      </c>
      <c r="M344" s="9">
        <v>105.36</v>
      </c>
      <c r="N344">
        <f>SUM(Tableau1[[#This Row],[0_100m]:[700_800m]])</f>
        <v>105.36</v>
      </c>
      <c r="O344">
        <f>ABS(Tableau1[[#This Row],[Final_time]]-Tableau1[[#This Row],[Sum_time]])</f>
        <v>0</v>
      </c>
      <c r="P344" s="8"/>
      <c r="Q344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4" t="s">
        <v>483</v>
      </c>
      <c r="S344" s="1" t="s">
        <v>68</v>
      </c>
      <c r="U344" s="1" t="s">
        <v>69</v>
      </c>
      <c r="V344" s="1">
        <v>44390</v>
      </c>
      <c r="W344" s="4">
        <f>YEAR(Tableau1[[#This Row],[Competition_date]])</f>
        <v>2021</v>
      </c>
      <c r="X344" s="4">
        <v>19</v>
      </c>
      <c r="Y344" s="6">
        <v>0.68</v>
      </c>
      <c r="Z344" s="4" t="s">
        <v>79</v>
      </c>
      <c r="AA344" t="s">
        <v>176</v>
      </c>
    </row>
    <row r="345" spans="1:27" hidden="1" x14ac:dyDescent="0.35">
      <c r="A345" t="str">
        <f>_xlfn.CONCAT(Tableau1[[#This Row],[Athletes]],"_",Tableau1[[#This Row],[Nationality]],"_",Tableau1[[#This Row],[Competition_year]])</f>
        <v>Bryce HOPPEL_USA_2021</v>
      </c>
      <c r="B345" s="9" t="s">
        <v>173</v>
      </c>
      <c r="C345" s="9" t="s">
        <v>14</v>
      </c>
      <c r="D345" s="12" t="s">
        <v>35</v>
      </c>
      <c r="E345" s="9">
        <v>12.8</v>
      </c>
      <c r="F345" s="9">
        <v>11.7</v>
      </c>
      <c r="G345" s="9">
        <v>12.7</v>
      </c>
      <c r="H345" s="9">
        <v>13.3</v>
      </c>
      <c r="I345" s="9">
        <v>13.6</v>
      </c>
      <c r="J345" s="9">
        <v>13.7</v>
      </c>
      <c r="K345" s="9">
        <v>13.6</v>
      </c>
      <c r="L345">
        <f>Tableau1[[#This Row],[Final_time]]-SUM(Tableau1[[#This Row],[0_100m]:[600_700m]])</f>
        <v>14.050000000000011</v>
      </c>
      <c r="M345" s="9">
        <v>105.45</v>
      </c>
      <c r="N345">
        <f>SUM(Tableau1[[#This Row],[0_100m]:[700_800m]])</f>
        <v>105.45</v>
      </c>
      <c r="O345">
        <f>ABS(Tableau1[[#This Row],[Final_time]]-Tableau1[[#This Row],[Sum_time]])</f>
        <v>0</v>
      </c>
      <c r="P345" s="8"/>
      <c r="Q345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5" t="s">
        <v>483</v>
      </c>
      <c r="S345" s="1" t="s">
        <v>68</v>
      </c>
      <c r="U345" s="1" t="s">
        <v>69</v>
      </c>
      <c r="V345" s="1">
        <v>44390</v>
      </c>
      <c r="W345" s="4">
        <f>YEAR(Tableau1[[#This Row],[Competition_date]])</f>
        <v>2021</v>
      </c>
      <c r="X345" s="4">
        <v>19</v>
      </c>
      <c r="Y345" s="6">
        <v>0.68</v>
      </c>
      <c r="Z345" s="4" t="s">
        <v>79</v>
      </c>
      <c r="AA345" t="s">
        <v>176</v>
      </c>
    </row>
    <row r="346" spans="1:27" hidden="1" x14ac:dyDescent="0.35">
      <c r="A346" t="str">
        <f>_xlfn.CONCAT(Tableau1[[#This Row],[Athletes]],"_",Tableau1[[#This Row],[Nationality]],"_",Tableau1[[#This Row],[Competition_year]])</f>
        <v>Clayton MURPHY_USA_2021</v>
      </c>
      <c r="B346" s="9" t="s">
        <v>203</v>
      </c>
      <c r="C346" s="9" t="s">
        <v>14</v>
      </c>
      <c r="D346" s="12" t="s">
        <v>35</v>
      </c>
      <c r="E346" s="9">
        <v>12.7</v>
      </c>
      <c r="F346" s="9">
        <v>11.8</v>
      </c>
      <c r="G346" s="9">
        <v>12.9</v>
      </c>
      <c r="H346" s="9">
        <v>13.3</v>
      </c>
      <c r="I346" s="9">
        <v>13.5</v>
      </c>
      <c r="J346" s="9">
        <v>13.7</v>
      </c>
      <c r="K346" s="9">
        <v>13.6</v>
      </c>
      <c r="L346">
        <f>Tableau1[[#This Row],[Final_time]]-SUM(Tableau1[[#This Row],[0_100m]:[600_700m]])</f>
        <v>14.219999999999999</v>
      </c>
      <c r="M346" s="9">
        <v>105.72</v>
      </c>
      <c r="N346">
        <f>SUM(Tableau1[[#This Row],[0_100m]:[700_800m]])</f>
        <v>105.72</v>
      </c>
      <c r="O346">
        <f>ABS(Tableau1[[#This Row],[Final_time]]-Tableau1[[#This Row],[Sum_time]])</f>
        <v>0</v>
      </c>
      <c r="P346" s="8"/>
      <c r="Q346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6" t="s">
        <v>483</v>
      </c>
      <c r="S346" s="1" t="s">
        <v>68</v>
      </c>
      <c r="U346" s="1" t="s">
        <v>69</v>
      </c>
      <c r="V346" s="1">
        <v>44390</v>
      </c>
      <c r="W346" s="4">
        <f>YEAR(Tableau1[[#This Row],[Competition_date]])</f>
        <v>2021</v>
      </c>
      <c r="X346" s="4">
        <v>19</v>
      </c>
      <c r="Y346" s="6">
        <v>0.68</v>
      </c>
      <c r="Z346" s="4" t="s">
        <v>79</v>
      </c>
      <c r="AA346" t="s">
        <v>176</v>
      </c>
    </row>
    <row r="347" spans="1:27" hidden="1" x14ac:dyDescent="0.35">
      <c r="A347" t="str">
        <f>_xlfn.CONCAT(Tableau1[[#This Row],[Athletes]],"_",Tableau1[[#This Row],[Nationality]],"_",Tableau1[[#This Row],[Competition_year]])</f>
        <v>Jamie WEBB_GBR_2021</v>
      </c>
      <c r="B347" s="9" t="s">
        <v>360</v>
      </c>
      <c r="C347" s="9" t="s">
        <v>14</v>
      </c>
      <c r="D347" s="12" t="s">
        <v>30</v>
      </c>
      <c r="E347" s="9">
        <v>12.8</v>
      </c>
      <c r="F347" s="9">
        <v>12</v>
      </c>
      <c r="G347" s="9">
        <v>13.1</v>
      </c>
      <c r="H347" s="9">
        <v>13.6</v>
      </c>
      <c r="I347" s="9">
        <v>13.5</v>
      </c>
      <c r="J347" s="9">
        <v>13.3</v>
      </c>
      <c r="K347" s="9">
        <v>13.5</v>
      </c>
      <c r="L347">
        <f>Tableau1[[#This Row],[Final_time]]-SUM(Tableau1[[#This Row],[0_100m]:[600_700m]])</f>
        <v>14.170000000000002</v>
      </c>
      <c r="M347" s="9">
        <v>105.97</v>
      </c>
      <c r="N347">
        <f>SUM(Tableau1[[#This Row],[0_100m]:[700_800m]])</f>
        <v>105.97</v>
      </c>
      <c r="O347">
        <f>ABS(Tableau1[[#This Row],[Final_time]]-Tableau1[[#This Row],[Sum_time]])</f>
        <v>0</v>
      </c>
      <c r="P347" s="8"/>
      <c r="Q347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7" t="s">
        <v>483</v>
      </c>
      <c r="S347" s="1" t="s">
        <v>68</v>
      </c>
      <c r="U347" s="1" t="s">
        <v>69</v>
      </c>
      <c r="V347" s="1">
        <v>44390</v>
      </c>
      <c r="W347" s="4">
        <f>YEAR(Tableau1[[#This Row],[Competition_date]])</f>
        <v>2021</v>
      </c>
      <c r="X347" s="4">
        <v>19</v>
      </c>
      <c r="Y347" s="6">
        <v>0.68</v>
      </c>
      <c r="Z347" s="4" t="s">
        <v>79</v>
      </c>
      <c r="AA347" t="s">
        <v>176</v>
      </c>
    </row>
    <row r="348" spans="1:27" hidden="1" x14ac:dyDescent="0.35">
      <c r="A348" t="str">
        <f>_xlfn.CONCAT(Tableau1[[#This Row],[Athletes]],"_",Tableau1[[#This Row],[Nationality]],"_",Tableau1[[#This Row],[Competition_year]])</f>
        <v>Saúl ORDÓÑEZ_ESP_2021</v>
      </c>
      <c r="B348" s="9" t="s">
        <v>178</v>
      </c>
      <c r="C348" s="9" t="s">
        <v>14</v>
      </c>
      <c r="D348" s="12" t="s">
        <v>37</v>
      </c>
      <c r="E348" s="9">
        <v>12.7</v>
      </c>
      <c r="F348" s="9">
        <v>12</v>
      </c>
      <c r="G348" s="9">
        <v>12.9</v>
      </c>
      <c r="H348" s="9">
        <v>13.5</v>
      </c>
      <c r="I348" s="9">
        <v>13.5</v>
      </c>
      <c r="J348" s="9">
        <v>13.5</v>
      </c>
      <c r="K348" s="9">
        <v>13.6</v>
      </c>
      <c r="L348">
        <f>Tableau1[[#This Row],[Final_time]]-SUM(Tableau1[[#This Row],[0_100m]:[600_700m]])</f>
        <v>14.320000000000007</v>
      </c>
      <c r="M348" s="9">
        <v>106.02</v>
      </c>
      <c r="N348">
        <f>SUM(Tableau1[[#This Row],[0_100m]:[700_800m]])</f>
        <v>106.02</v>
      </c>
      <c r="O348">
        <f>ABS(Tableau1[[#This Row],[Final_time]]-Tableau1[[#This Row],[Sum_time]])</f>
        <v>0</v>
      </c>
      <c r="P348" s="8"/>
      <c r="Q348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8" t="s">
        <v>483</v>
      </c>
      <c r="S348" s="1" t="s">
        <v>68</v>
      </c>
      <c r="U348" s="1" t="s">
        <v>69</v>
      </c>
      <c r="V348" s="1">
        <v>44390</v>
      </c>
      <c r="W348" s="4">
        <f>YEAR(Tableau1[[#This Row],[Competition_date]])</f>
        <v>2021</v>
      </c>
      <c r="X348" s="4">
        <v>19</v>
      </c>
      <c r="Y348" s="6">
        <v>0.68</v>
      </c>
      <c r="Z348" s="4" t="s">
        <v>79</v>
      </c>
      <c r="AA348" t="s">
        <v>176</v>
      </c>
    </row>
    <row r="349" spans="1:27" hidden="1" x14ac:dyDescent="0.35">
      <c r="A349" t="str">
        <f>_xlfn.CONCAT(Tableau1[[#This Row],[Athletes]],"_",Tableau1[[#This Row],[Nationality]],"_",Tableau1[[#This Row],[Competition_year]])</f>
        <v>Amel TUKA_BIH_2021</v>
      </c>
      <c r="B349" s="9" t="s">
        <v>196</v>
      </c>
      <c r="C349" s="9" t="s">
        <v>14</v>
      </c>
      <c r="D349" s="12" t="s">
        <v>120</v>
      </c>
      <c r="E349" s="9">
        <v>12.7</v>
      </c>
      <c r="F349" s="9">
        <v>12.4</v>
      </c>
      <c r="G349" s="9">
        <v>13.3</v>
      </c>
      <c r="H349" s="9">
        <v>13.3</v>
      </c>
      <c r="I349" s="9">
        <v>13.6</v>
      </c>
      <c r="J349" s="9">
        <v>13.2</v>
      </c>
      <c r="K349" s="9">
        <v>13.6</v>
      </c>
      <c r="L349">
        <f>Tableau1[[#This Row],[Final_time]]-SUM(Tableau1[[#This Row],[0_100m]:[600_700m]])</f>
        <v>14.150000000000006</v>
      </c>
      <c r="M349" s="9">
        <v>106.25</v>
      </c>
      <c r="N349">
        <f>SUM(Tableau1[[#This Row],[0_100m]:[700_800m]])</f>
        <v>106.25</v>
      </c>
      <c r="O349">
        <f>ABS(Tableau1[[#This Row],[Final_time]]-Tableau1[[#This Row],[Sum_time]])</f>
        <v>0</v>
      </c>
      <c r="P349" s="8"/>
      <c r="Q349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49" t="s">
        <v>483</v>
      </c>
      <c r="S349" s="1" t="s">
        <v>68</v>
      </c>
      <c r="U349" s="1" t="s">
        <v>69</v>
      </c>
      <c r="V349" s="1">
        <v>44390</v>
      </c>
      <c r="W349" s="4">
        <f>YEAR(Tableau1[[#This Row],[Competition_date]])</f>
        <v>2021</v>
      </c>
      <c r="X349" s="4">
        <v>19</v>
      </c>
      <c r="Y349" s="6">
        <v>0.68</v>
      </c>
      <c r="Z349" s="4" t="s">
        <v>79</v>
      </c>
      <c r="AA349" t="s">
        <v>176</v>
      </c>
    </row>
    <row r="350" spans="1:27" hidden="1" x14ac:dyDescent="0.35">
      <c r="A350" t="str">
        <f>_xlfn.CONCAT(Tableau1[[#This Row],[Athletes]],"_",Tableau1[[#This Row],[Nationality]],"_",Tableau1[[#This Row],[Competition_year]])</f>
        <v>Jeffrey RISELEY_AUS_2021</v>
      </c>
      <c r="B350" s="9" t="s">
        <v>429</v>
      </c>
      <c r="C350" s="9" t="s">
        <v>14</v>
      </c>
      <c r="D350" s="12" t="s">
        <v>36</v>
      </c>
      <c r="E350" s="9">
        <v>12.7</v>
      </c>
      <c r="F350" s="9">
        <v>12</v>
      </c>
      <c r="G350" s="9">
        <v>13.2</v>
      </c>
      <c r="H350" s="9">
        <v>13.5</v>
      </c>
      <c r="I350" s="9">
        <v>13.7</v>
      </c>
      <c r="J350" s="9">
        <v>13.9</v>
      </c>
      <c r="K350" s="9">
        <f>93.7-SUM(Tableau1[[#This Row],[0_100m]:[500_600m]])</f>
        <v>14.700000000000003</v>
      </c>
      <c r="L350">
        <f>Tableau1[[#This Row],[Final_time]]-SUM(Tableau1[[#This Row],[0_100m]:[600_700m]])</f>
        <v>16.349999999999994</v>
      </c>
      <c r="M350" s="9">
        <v>110.05</v>
      </c>
      <c r="N350">
        <f>SUM(Tableau1[[#This Row],[0_100m]:[700_800m]])</f>
        <v>110.05</v>
      </c>
      <c r="O350">
        <f>ABS(Tableau1[[#This Row],[Final_time]]-Tableau1[[#This Row],[Sum_time]])</f>
        <v>0</v>
      </c>
      <c r="P350" s="8"/>
      <c r="Q350" s="16" t="str">
        <f>_xlfn.CONCAT(Tableau1[[#This Row],[Competition]],"_",Tableau1[[#This Row],[Championship_step]],"_",Tableau1[[#This Row],[Competition_date]],"_",Tableau1[[#This Row],[Gender]])</f>
        <v>Diamond League London 2021__44390_Male</v>
      </c>
      <c r="R350" t="s">
        <v>483</v>
      </c>
      <c r="S350" s="1" t="s">
        <v>68</v>
      </c>
      <c r="U350" s="1" t="s">
        <v>69</v>
      </c>
      <c r="V350" s="1">
        <v>44390</v>
      </c>
      <c r="W350" s="4">
        <f>YEAR(Tableau1[[#This Row],[Competition_date]])</f>
        <v>2021</v>
      </c>
      <c r="X350" s="4">
        <v>19</v>
      </c>
      <c r="Y350" s="6">
        <v>0.68</v>
      </c>
      <c r="Z350" s="4" t="s">
        <v>79</v>
      </c>
      <c r="AA350" t="s">
        <v>176</v>
      </c>
    </row>
    <row r="351" spans="1:27" hidden="1" x14ac:dyDescent="0.35">
      <c r="A351" t="str">
        <f>_xlfn.CONCAT(Tableau1[[#This Row],[Athletes]],"_",Tableau1[[#This Row],[Nationality]],"_",Tableau1[[#This Row],[Competition_year]])</f>
        <v>Isabelle BOFFEY_GBR_2022</v>
      </c>
      <c r="B351" s="9" t="s">
        <v>364</v>
      </c>
      <c r="C351" s="9" t="s">
        <v>29</v>
      </c>
      <c r="D351" s="12" t="s">
        <v>30</v>
      </c>
      <c r="E351" s="9">
        <v>14.1</v>
      </c>
      <c r="F351" s="9">
        <v>14.7</v>
      </c>
      <c r="G351" s="9">
        <v>15.5</v>
      </c>
      <c r="H351" s="9">
        <v>15.8</v>
      </c>
      <c r="I351" s="9">
        <v>15.2</v>
      </c>
      <c r="J351" s="9">
        <v>15</v>
      </c>
      <c r="K351" s="9">
        <v>15.6</v>
      </c>
      <c r="L351">
        <f>Tableau1[[#This Row],[Final_time]]-SUM(Tableau1[[#This Row],[0_100m]:[600_700m]])</f>
        <v>15.400000000000006</v>
      </c>
      <c r="M351" s="9">
        <v>121.3</v>
      </c>
      <c r="N351">
        <f>SUM(Tableau1[[#This Row],[0_100m]:[700_800m]])</f>
        <v>121.3</v>
      </c>
      <c r="O351">
        <f>ABS(Tableau1[[#This Row],[Final_time]]-Tableau1[[#This Row],[Sum_time]])</f>
        <v>0</v>
      </c>
      <c r="P351" s="8"/>
      <c r="Q351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1" t="s">
        <v>492</v>
      </c>
      <c r="S351" s="1" t="s">
        <v>68</v>
      </c>
      <c r="U351" s="1" t="s">
        <v>288</v>
      </c>
      <c r="V351" s="1">
        <v>44702</v>
      </c>
      <c r="W351" s="4">
        <f>YEAR(Tableau1[[#This Row],[Competition_date]])</f>
        <v>2022</v>
      </c>
      <c r="X351" s="4">
        <v>16</v>
      </c>
      <c r="Y351" s="6">
        <v>0.62</v>
      </c>
      <c r="Z351" s="4" t="s">
        <v>81</v>
      </c>
      <c r="AA351" t="s">
        <v>176</v>
      </c>
    </row>
    <row r="352" spans="1:27" hidden="1" x14ac:dyDescent="0.35">
      <c r="A352" t="str">
        <f>_xlfn.CONCAT(Tableau1[[#This Row],[Athletes]],"_",Tableau1[[#This Row],[Nationality]],"_",Tableau1[[#This Row],[Competition_year]])</f>
        <v>Abigail IVES_GBR_2022</v>
      </c>
      <c r="B352" s="9" t="s">
        <v>365</v>
      </c>
      <c r="C352" s="9" t="s">
        <v>29</v>
      </c>
      <c r="D352" s="12" t="s">
        <v>30</v>
      </c>
      <c r="E352" s="9">
        <v>14.3</v>
      </c>
      <c r="F352" s="9">
        <v>14.9</v>
      </c>
      <c r="G352" s="9">
        <v>15.5</v>
      </c>
      <c r="H352" s="9">
        <v>15.7</v>
      </c>
      <c r="I352" s="9">
        <v>15.3</v>
      </c>
      <c r="J352" s="9">
        <v>15.2</v>
      </c>
      <c r="K352" s="9">
        <v>15.6</v>
      </c>
      <c r="L352">
        <f>Tableau1[[#This Row],[Final_time]]-SUM(Tableau1[[#This Row],[0_100m]:[600_700m]])</f>
        <v>15.379999999999995</v>
      </c>
      <c r="M352" s="9">
        <v>121.88</v>
      </c>
      <c r="N352">
        <f>SUM(Tableau1[[#This Row],[0_100m]:[700_800m]])</f>
        <v>121.88</v>
      </c>
      <c r="O352">
        <f>ABS(Tableau1[[#This Row],[Final_time]]-Tableau1[[#This Row],[Sum_time]])</f>
        <v>0</v>
      </c>
      <c r="P352" s="8"/>
      <c r="Q352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2" t="s">
        <v>492</v>
      </c>
      <c r="S352" s="1" t="s">
        <v>68</v>
      </c>
      <c r="U352" s="1" t="s">
        <v>288</v>
      </c>
      <c r="V352" s="1">
        <v>44702</v>
      </c>
      <c r="W352" s="4">
        <f>YEAR(Tableau1[[#This Row],[Competition_date]])</f>
        <v>2022</v>
      </c>
      <c r="X352" s="4">
        <v>16</v>
      </c>
      <c r="Y352" s="6">
        <v>0.62</v>
      </c>
      <c r="Z352" s="4" t="s">
        <v>81</v>
      </c>
      <c r="AA352" t="s">
        <v>176</v>
      </c>
    </row>
    <row r="353" spans="1:27" hidden="1" x14ac:dyDescent="0.35">
      <c r="A353" t="str">
        <f>_xlfn.CONCAT(Tableau1[[#This Row],[Athletes]],"_",Tableau1[[#This Row],[Nationality]],"_",Tableau1[[#This Row],[Competition_year]])</f>
        <v>Ellie BAKER_GBR_2022</v>
      </c>
      <c r="B353" s="9" t="s">
        <v>262</v>
      </c>
      <c r="C353" s="9" t="s">
        <v>29</v>
      </c>
      <c r="D353" s="12" t="s">
        <v>30</v>
      </c>
      <c r="E353" s="9">
        <v>14.1</v>
      </c>
      <c r="F353" s="9">
        <v>14.5</v>
      </c>
      <c r="G353" s="9">
        <v>15.4</v>
      </c>
      <c r="H353" s="9">
        <v>15.7</v>
      </c>
      <c r="I353" s="9">
        <v>15</v>
      </c>
      <c r="J353" s="9">
        <v>15.2</v>
      </c>
      <c r="K353" s="9">
        <v>15.9</v>
      </c>
      <c r="L353">
        <f>Tableau1[[#This Row],[Final_time]]-SUM(Tableau1[[#This Row],[0_100m]:[600_700m]])</f>
        <v>16.339999999999989</v>
      </c>
      <c r="M353" s="9">
        <v>122.14</v>
      </c>
      <c r="N353">
        <f>SUM(Tableau1[[#This Row],[0_100m]:[700_800m]])</f>
        <v>122.14</v>
      </c>
      <c r="O353">
        <f>ABS(Tableau1[[#This Row],[Final_time]]-Tableau1[[#This Row],[Sum_time]])</f>
        <v>0</v>
      </c>
      <c r="P353" s="8"/>
      <c r="Q353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3" t="s">
        <v>492</v>
      </c>
      <c r="S353" s="1" t="s">
        <v>68</v>
      </c>
      <c r="U353" s="1" t="s">
        <v>288</v>
      </c>
      <c r="V353" s="1">
        <v>44702</v>
      </c>
      <c r="W353" s="4">
        <f>YEAR(Tableau1[[#This Row],[Competition_date]])</f>
        <v>2022</v>
      </c>
      <c r="X353" s="4">
        <v>16</v>
      </c>
      <c r="Y353" s="6">
        <v>0.62</v>
      </c>
      <c r="Z353" s="4" t="s">
        <v>81</v>
      </c>
      <c r="AA353" t="s">
        <v>176</v>
      </c>
    </row>
    <row r="354" spans="1:27" hidden="1" x14ac:dyDescent="0.35">
      <c r="A354" t="str">
        <f>_xlfn.CONCAT(Tableau1[[#This Row],[Athletes]],"_",Tableau1[[#This Row],[Nationality]],"_",Tableau1[[#This Row],[Competition_year]])</f>
        <v>Jenny SELMAN_GBR_2022</v>
      </c>
      <c r="B354" s="9" t="s">
        <v>366</v>
      </c>
      <c r="C354" s="9" t="s">
        <v>29</v>
      </c>
      <c r="D354" s="12" t="s">
        <v>30</v>
      </c>
      <c r="E354" s="9">
        <v>14.3</v>
      </c>
      <c r="F354" s="9">
        <v>14.1</v>
      </c>
      <c r="G354" s="9">
        <v>15.4</v>
      </c>
      <c r="H354" s="9">
        <v>15.7</v>
      </c>
      <c r="I354" s="9">
        <v>14.9</v>
      </c>
      <c r="J354" s="9">
        <v>15.3</v>
      </c>
      <c r="K354" s="9">
        <v>16.100000000000001</v>
      </c>
      <c r="L354">
        <f>Tableau1[[#This Row],[Final_time]]-SUM(Tableau1[[#This Row],[0_100m]:[600_700m]])</f>
        <v>17.219999999999985</v>
      </c>
      <c r="M354" s="9">
        <v>123.02</v>
      </c>
      <c r="N354">
        <f>SUM(Tableau1[[#This Row],[0_100m]:[700_800m]])</f>
        <v>123.02</v>
      </c>
      <c r="O354">
        <f>ABS(Tableau1[[#This Row],[Final_time]]-Tableau1[[#This Row],[Sum_time]])</f>
        <v>0</v>
      </c>
      <c r="P354" s="8"/>
      <c r="Q354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4" t="s">
        <v>492</v>
      </c>
      <c r="S354" s="1" t="s">
        <v>68</v>
      </c>
      <c r="U354" s="1" t="s">
        <v>288</v>
      </c>
      <c r="V354" s="1">
        <v>44702</v>
      </c>
      <c r="W354" s="4">
        <f>YEAR(Tableau1[[#This Row],[Competition_date]])</f>
        <v>2022</v>
      </c>
      <c r="X354" s="4">
        <v>16</v>
      </c>
      <c r="Y354" s="6">
        <v>0.62</v>
      </c>
      <c r="Z354" s="4" t="s">
        <v>81</v>
      </c>
      <c r="AA354" t="s">
        <v>176</v>
      </c>
    </row>
    <row r="355" spans="1:27" hidden="1" x14ac:dyDescent="0.35">
      <c r="A355" t="str">
        <f>_xlfn.CONCAT(Tableau1[[#This Row],[Athletes]],"_",Tableau1[[#This Row],[Nationality]],"_",Tableau1[[#This Row],[Competition_year]])</f>
        <v>Brooke FELDMEIER_USA_2022</v>
      </c>
      <c r="B355" s="9" t="s">
        <v>367</v>
      </c>
      <c r="C355" s="9" t="s">
        <v>29</v>
      </c>
      <c r="D355" s="12" t="s">
        <v>35</v>
      </c>
      <c r="E355" s="9">
        <v>14.2</v>
      </c>
      <c r="F355" s="9">
        <v>14.7</v>
      </c>
      <c r="G355" s="9">
        <v>15.6</v>
      </c>
      <c r="H355" s="9">
        <v>15.8</v>
      </c>
      <c r="I355" s="9">
        <v>15.2</v>
      </c>
      <c r="J355" s="9">
        <v>15.6</v>
      </c>
      <c r="K355" s="9">
        <v>15.8</v>
      </c>
      <c r="L355">
        <f>Tableau1[[#This Row],[Final_time]]-SUM(Tableau1[[#This Row],[0_100m]:[600_700m]])</f>
        <v>16.870000000000005</v>
      </c>
      <c r="M355" s="9">
        <v>123.77</v>
      </c>
      <c r="N355">
        <f>SUM(Tableau1[[#This Row],[0_100m]:[700_800m]])</f>
        <v>123.77</v>
      </c>
      <c r="O355">
        <f>ABS(Tableau1[[#This Row],[Final_time]]-Tableau1[[#This Row],[Sum_time]])</f>
        <v>0</v>
      </c>
      <c r="P355" s="8"/>
      <c r="Q355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5" t="s">
        <v>492</v>
      </c>
      <c r="S355" s="1" t="s">
        <v>68</v>
      </c>
      <c r="U355" s="1" t="s">
        <v>288</v>
      </c>
      <c r="V355" s="1">
        <v>44702</v>
      </c>
      <c r="W355" s="4">
        <f>YEAR(Tableau1[[#This Row],[Competition_date]])</f>
        <v>2022</v>
      </c>
      <c r="X355" s="4">
        <v>16</v>
      </c>
      <c r="Y355" s="6">
        <v>0.62</v>
      </c>
      <c r="Z355" s="4" t="s">
        <v>81</v>
      </c>
      <c r="AA355" t="s">
        <v>176</v>
      </c>
    </row>
    <row r="356" spans="1:27" hidden="1" x14ac:dyDescent="0.35">
      <c r="A356" t="str">
        <f>_xlfn.CONCAT(Tableau1[[#This Row],[Athletes]],"_",Tableau1[[#This Row],[Nationality]],"_",Tableau1[[#This Row],[Competition_year]])</f>
        <v>Iris DOWNES_GBR_2022</v>
      </c>
      <c r="B356" s="9" t="s">
        <v>368</v>
      </c>
      <c r="C356" s="9" t="s">
        <v>29</v>
      </c>
      <c r="D356" s="12" t="s">
        <v>30</v>
      </c>
      <c r="E356" s="9">
        <v>14.8</v>
      </c>
      <c r="F356" s="9">
        <v>14.9</v>
      </c>
      <c r="G356" s="9">
        <v>15.5</v>
      </c>
      <c r="H356" s="9">
        <v>15.6</v>
      </c>
      <c r="I356" s="9">
        <v>15.2</v>
      </c>
      <c r="J356" s="9">
        <v>15.4</v>
      </c>
      <c r="K356" s="9">
        <v>15.9</v>
      </c>
      <c r="L356">
        <f>Tableau1[[#This Row],[Final_time]]-SUM(Tableau1[[#This Row],[0_100m]:[600_700m]])</f>
        <v>17.329999999999984</v>
      </c>
      <c r="M356" s="9">
        <v>124.63</v>
      </c>
      <c r="N356">
        <f>SUM(Tableau1[[#This Row],[0_100m]:[700_800m]])</f>
        <v>124.63</v>
      </c>
      <c r="O356">
        <f>ABS(Tableau1[[#This Row],[Final_time]]-Tableau1[[#This Row],[Sum_time]])</f>
        <v>0</v>
      </c>
      <c r="P356" s="8"/>
      <c r="Q356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6" t="s">
        <v>492</v>
      </c>
      <c r="S356" s="1" t="s">
        <v>68</v>
      </c>
      <c r="U356" s="1" t="s">
        <v>288</v>
      </c>
      <c r="V356" s="1">
        <v>44702</v>
      </c>
      <c r="W356" s="4">
        <f>YEAR(Tableau1[[#This Row],[Competition_date]])</f>
        <v>2022</v>
      </c>
      <c r="X356" s="4">
        <v>16</v>
      </c>
      <c r="Y356" s="6">
        <v>0.62</v>
      </c>
      <c r="Z356" s="4" t="s">
        <v>81</v>
      </c>
      <c r="AA356" t="s">
        <v>176</v>
      </c>
    </row>
    <row r="357" spans="1:27" hidden="1" x14ac:dyDescent="0.35">
      <c r="A357" t="str">
        <f>_xlfn.CONCAT(Tableau1[[#This Row],[Athletes]],"_",Tableau1[[#This Row],[Nationality]],"_",Tableau1[[#This Row],[Competition_year]])</f>
        <v>Jill CHERRY_GBR_2022</v>
      </c>
      <c r="B357" s="9" t="s">
        <v>369</v>
      </c>
      <c r="C357" s="9" t="s">
        <v>29</v>
      </c>
      <c r="D357" s="12" t="s">
        <v>30</v>
      </c>
      <c r="E357" s="9">
        <v>14.8</v>
      </c>
      <c r="F357" s="9">
        <v>14.6</v>
      </c>
      <c r="G357" s="9">
        <v>15.6</v>
      </c>
      <c r="H357" s="9">
        <v>15.7</v>
      </c>
      <c r="I357" s="9">
        <v>15.9</v>
      </c>
      <c r="J357" s="9">
        <v>15.6</v>
      </c>
      <c r="K357" s="9">
        <v>16.100000000000001</v>
      </c>
      <c r="L357">
        <f>Tableau1[[#This Row],[Final_time]]-SUM(Tableau1[[#This Row],[0_100m]:[600_700m]])</f>
        <v>16.679999999999993</v>
      </c>
      <c r="M357" s="9">
        <v>124.98</v>
      </c>
      <c r="N357">
        <f>SUM(Tableau1[[#This Row],[0_100m]:[700_800m]])</f>
        <v>124.98</v>
      </c>
      <c r="O357">
        <f>ABS(Tableau1[[#This Row],[Final_time]]-Tableau1[[#This Row],[Sum_time]])</f>
        <v>0</v>
      </c>
      <c r="P357" s="8"/>
      <c r="Q357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7" t="s">
        <v>492</v>
      </c>
      <c r="S357" s="1" t="s">
        <v>68</v>
      </c>
      <c r="U357" s="1" t="s">
        <v>288</v>
      </c>
      <c r="V357" s="1">
        <v>44702</v>
      </c>
      <c r="W357" s="4">
        <f>YEAR(Tableau1[[#This Row],[Competition_date]])</f>
        <v>2022</v>
      </c>
      <c r="X357" s="4">
        <v>16</v>
      </c>
      <c r="Y357" s="6">
        <v>0.62</v>
      </c>
      <c r="Z357" s="4" t="s">
        <v>81</v>
      </c>
      <c r="AA357" t="s">
        <v>176</v>
      </c>
    </row>
    <row r="358" spans="1:27" hidden="1" x14ac:dyDescent="0.35">
      <c r="A358" t="str">
        <f>_xlfn.CONCAT(Tableau1[[#This Row],[Athletes]],"_",Tableau1[[#This Row],[Nationality]],"_",Tableau1[[#This Row],[Competition_year]])</f>
        <v>Georgie HARTIGAN_IRL_2022</v>
      </c>
      <c r="B358" s="9" t="s">
        <v>370</v>
      </c>
      <c r="C358" s="9" t="s">
        <v>29</v>
      </c>
      <c r="D358" s="12" t="s">
        <v>66</v>
      </c>
      <c r="E358" s="9">
        <v>14.3</v>
      </c>
      <c r="F358" s="9">
        <v>14.1</v>
      </c>
      <c r="G358" s="9">
        <v>15.5</v>
      </c>
      <c r="H358" s="9">
        <v>15.9</v>
      </c>
      <c r="I358" s="9">
        <v>15.1</v>
      </c>
      <c r="J358" s="9">
        <v>15.4</v>
      </c>
      <c r="K358" s="9">
        <v>16.899999999999999</v>
      </c>
      <c r="L358">
        <f>Tableau1[[#This Row],[Final_time]]-SUM(Tableau1[[#This Row],[0_100m]:[600_700m]])</f>
        <v>17.910000000000011</v>
      </c>
      <c r="M358" s="9">
        <v>125.11</v>
      </c>
      <c r="N358">
        <f>SUM(Tableau1[[#This Row],[0_100m]:[700_800m]])</f>
        <v>125.11</v>
      </c>
      <c r="O358">
        <f>ABS(Tableau1[[#This Row],[Final_time]]-Tableau1[[#This Row],[Sum_time]])</f>
        <v>0</v>
      </c>
      <c r="P358" s="8"/>
      <c r="Q358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8" t="s">
        <v>492</v>
      </c>
      <c r="S358" s="1" t="s">
        <v>68</v>
      </c>
      <c r="U358" s="1" t="s">
        <v>288</v>
      </c>
      <c r="V358" s="1">
        <v>44702</v>
      </c>
      <c r="W358" s="4">
        <f>YEAR(Tableau1[[#This Row],[Competition_date]])</f>
        <v>2022</v>
      </c>
      <c r="X358" s="4">
        <v>16</v>
      </c>
      <c r="Y358" s="6">
        <v>0.62</v>
      </c>
      <c r="Z358" s="4" t="s">
        <v>81</v>
      </c>
      <c r="AA358" t="s">
        <v>176</v>
      </c>
    </row>
    <row r="359" spans="1:27" hidden="1" x14ac:dyDescent="0.35">
      <c r="A359" t="str">
        <f>_xlfn.CONCAT(Tableau1[[#This Row],[Athletes]],"_",Tableau1[[#This Row],[Nationality]],"_",Tableau1[[#This Row],[Competition_year]])</f>
        <v>Sabrina SINHA_GBR_2022</v>
      </c>
      <c r="B359" s="9" t="s">
        <v>371</v>
      </c>
      <c r="C359" s="9" t="s">
        <v>29</v>
      </c>
      <c r="D359" s="12" t="s">
        <v>30</v>
      </c>
      <c r="E359" s="9">
        <v>14.8</v>
      </c>
      <c r="F359" s="9">
        <v>14.6</v>
      </c>
      <c r="G359" s="9">
        <v>16.100000000000001</v>
      </c>
      <c r="H359" s="9">
        <v>15.6</v>
      </c>
      <c r="I359" s="9">
        <v>15.7</v>
      </c>
      <c r="J359" s="9">
        <v>16</v>
      </c>
      <c r="K359" s="9">
        <f>109.9-SUM(Tableau1[[#This Row],[0_100m]:[500_600m]])</f>
        <v>17.100000000000009</v>
      </c>
      <c r="L359">
        <f>Tableau1[[#This Row],[Final_time]]-SUM(Tableau1[[#This Row],[0_100m]:[600_700m]])</f>
        <v>17.75</v>
      </c>
      <c r="M359" s="9">
        <v>127.65</v>
      </c>
      <c r="N359">
        <f>SUM(Tableau1[[#This Row],[0_100m]:[700_800m]])</f>
        <v>127.65</v>
      </c>
      <c r="O359">
        <f>ABS(Tableau1[[#This Row],[Final_time]]-Tableau1[[#This Row],[Sum_time]])</f>
        <v>0</v>
      </c>
      <c r="P359" s="8"/>
      <c r="Q359" s="16" t="str">
        <f>_xlfn.CONCAT(Tableau1[[#This Row],[Competition]],"_",Tableau1[[#This Row],[Championship_step]],"_",Tableau1[[#This Row],[Competition_date]],"_",Tableau1[[#This Row],[Gender]])</f>
        <v>Diamond League London 2022 - B race__44702_Female</v>
      </c>
      <c r="R359" t="s">
        <v>492</v>
      </c>
      <c r="S359" s="1" t="s">
        <v>68</v>
      </c>
      <c r="U359" s="1" t="s">
        <v>288</v>
      </c>
      <c r="V359" s="1">
        <v>44702</v>
      </c>
      <c r="W359" s="4">
        <f>YEAR(Tableau1[[#This Row],[Competition_date]])</f>
        <v>2022</v>
      </c>
      <c r="X359" s="4">
        <v>16</v>
      </c>
      <c r="Y359" s="6">
        <v>0.62</v>
      </c>
      <c r="Z359" s="4" t="s">
        <v>81</v>
      </c>
      <c r="AA359" t="s">
        <v>176</v>
      </c>
    </row>
    <row r="360" spans="1:27" hidden="1" x14ac:dyDescent="0.35">
      <c r="A360" t="str">
        <f>_xlfn.CONCAT(Tableau1[[#This Row],[Athletes]],"_",Tableau1[[#This Row],[Nationality]],"_",Tableau1[[#This Row],[Competition_year]])</f>
        <v>Ben PATTISON_GBR_2022</v>
      </c>
      <c r="B360" s="9" t="s">
        <v>108</v>
      </c>
      <c r="C360" s="9" t="s">
        <v>14</v>
      </c>
      <c r="D360" s="12" t="s">
        <v>30</v>
      </c>
      <c r="E360" s="9">
        <v>13.1</v>
      </c>
      <c r="F360" s="9">
        <v>13.1</v>
      </c>
      <c r="G360" s="9">
        <v>14.9</v>
      </c>
      <c r="H360" s="9">
        <v>15</v>
      </c>
      <c r="I360" s="9">
        <v>14</v>
      </c>
      <c r="J360" s="9">
        <v>13.5</v>
      </c>
      <c r="K360" s="9">
        <v>12.7</v>
      </c>
      <c r="L360">
        <f>Tableau1[[#This Row],[Final_time]]-SUM(Tableau1[[#This Row],[0_100m]:[600_700m]])</f>
        <v>12.909999999999997</v>
      </c>
      <c r="M360" s="9">
        <v>109.21</v>
      </c>
      <c r="N360">
        <f>SUM(Tableau1[[#This Row],[0_100m]:[700_800m]])</f>
        <v>109.21</v>
      </c>
      <c r="O360">
        <f>ABS(Tableau1[[#This Row],[Final_time]]-Tableau1[[#This Row],[Sum_time]])</f>
        <v>0</v>
      </c>
      <c r="P360" s="8"/>
      <c r="Q360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0" t="s">
        <v>492</v>
      </c>
      <c r="S360" s="1" t="s">
        <v>68</v>
      </c>
      <c r="U360" s="1" t="s">
        <v>288</v>
      </c>
      <c r="V360" s="1">
        <v>44702</v>
      </c>
      <c r="W360" s="4">
        <f>YEAR(Tableau1[[#This Row],[Competition_date]])</f>
        <v>2022</v>
      </c>
      <c r="X360" s="4">
        <v>18</v>
      </c>
      <c r="Y360" s="6">
        <v>0.53</v>
      </c>
      <c r="Z360" s="4" t="s">
        <v>81</v>
      </c>
      <c r="AA360" t="s">
        <v>176</v>
      </c>
    </row>
    <row r="361" spans="1:27" hidden="1" x14ac:dyDescent="0.35">
      <c r="A361" t="str">
        <f>_xlfn.CONCAT(Tableau1[[#This Row],[Athletes]],"_",Tableau1[[#This Row],[Nationality]],"_",Tableau1[[#This Row],[Competition_year]])</f>
        <v>Jamie WEBB_GBR_2022</v>
      </c>
      <c r="B361" s="9" t="s">
        <v>360</v>
      </c>
      <c r="C361" s="9" t="s">
        <v>14</v>
      </c>
      <c r="D361" s="12" t="s">
        <v>30</v>
      </c>
      <c r="E361" s="9">
        <v>13.1</v>
      </c>
      <c r="F361" s="9">
        <v>13.2</v>
      </c>
      <c r="G361" s="9">
        <v>14.8</v>
      </c>
      <c r="H361" s="9">
        <v>14.7</v>
      </c>
      <c r="I361" s="9">
        <v>13.9</v>
      </c>
      <c r="J361" s="9">
        <v>14</v>
      </c>
      <c r="K361" s="9">
        <v>13.1</v>
      </c>
      <c r="L361">
        <f>Tableau1[[#This Row],[Final_time]]-SUM(Tableau1[[#This Row],[0_100m]:[600_700m]])</f>
        <v>13.120000000000005</v>
      </c>
      <c r="M361" s="9">
        <v>109.92</v>
      </c>
      <c r="N361">
        <f>SUM(Tableau1[[#This Row],[0_100m]:[700_800m]])</f>
        <v>109.92</v>
      </c>
      <c r="O361">
        <f>ABS(Tableau1[[#This Row],[Final_time]]-Tableau1[[#This Row],[Sum_time]])</f>
        <v>0</v>
      </c>
      <c r="P361" s="8"/>
      <c r="Q361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1" t="s">
        <v>492</v>
      </c>
      <c r="S361" s="1" t="s">
        <v>68</v>
      </c>
      <c r="U361" s="1" t="s">
        <v>288</v>
      </c>
      <c r="V361" s="1">
        <v>44702</v>
      </c>
      <c r="W361" s="4">
        <f>YEAR(Tableau1[[#This Row],[Competition_date]])</f>
        <v>2022</v>
      </c>
      <c r="X361" s="4">
        <v>18</v>
      </c>
      <c r="Y361" s="6">
        <v>0.53</v>
      </c>
      <c r="Z361" s="4" t="s">
        <v>81</v>
      </c>
      <c r="AA361" t="s">
        <v>176</v>
      </c>
    </row>
    <row r="362" spans="1:27" hidden="1" x14ac:dyDescent="0.35">
      <c r="A362" t="str">
        <f>_xlfn.CONCAT(Tableau1[[#This Row],[Athletes]],"_",Tableau1[[#This Row],[Nationality]],"_",Tableau1[[#This Row],[Competition_year]])</f>
        <v>Kyle LANGFORD_GBR_2022</v>
      </c>
      <c r="B362" s="9" t="s">
        <v>240</v>
      </c>
      <c r="C362" s="9" t="s">
        <v>14</v>
      </c>
      <c r="D362" s="12" t="s">
        <v>30</v>
      </c>
      <c r="E362" s="9">
        <v>13</v>
      </c>
      <c r="F362" s="9">
        <v>13</v>
      </c>
      <c r="G362" s="9">
        <v>15</v>
      </c>
      <c r="H362" s="9">
        <v>15.1</v>
      </c>
      <c r="I362" s="9">
        <v>14.2</v>
      </c>
      <c r="J362" s="9">
        <v>13.2</v>
      </c>
      <c r="K362" s="9">
        <v>13.1</v>
      </c>
      <c r="L362">
        <f>Tableau1[[#This Row],[Final_time]]-SUM(Tableau1[[#This Row],[0_100m]:[600_700m]])</f>
        <v>13.340000000000003</v>
      </c>
      <c r="M362" s="9">
        <v>109.94</v>
      </c>
      <c r="N362">
        <f>SUM(Tableau1[[#This Row],[0_100m]:[700_800m]])</f>
        <v>109.94</v>
      </c>
      <c r="O362">
        <f>ABS(Tableau1[[#This Row],[Final_time]]-Tableau1[[#This Row],[Sum_time]])</f>
        <v>0</v>
      </c>
      <c r="P362" s="8"/>
      <c r="Q362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2" t="s">
        <v>492</v>
      </c>
      <c r="S362" s="1" t="s">
        <v>68</v>
      </c>
      <c r="U362" s="1" t="s">
        <v>288</v>
      </c>
      <c r="V362" s="1">
        <v>44702</v>
      </c>
      <c r="W362" s="4">
        <f>YEAR(Tableau1[[#This Row],[Competition_date]])</f>
        <v>2022</v>
      </c>
      <c r="X362" s="4">
        <v>18</v>
      </c>
      <c r="Y362" s="6">
        <v>0.53</v>
      </c>
      <c r="Z362" s="4" t="s">
        <v>81</v>
      </c>
      <c r="AA362" t="s">
        <v>176</v>
      </c>
    </row>
    <row r="363" spans="1:27" hidden="1" x14ac:dyDescent="0.35">
      <c r="A363" t="str">
        <f>_xlfn.CONCAT(Tableau1[[#This Row],[Athletes]],"_",Tableau1[[#This Row],[Nationality]],"_",Tableau1[[#This Row],[Competition_year]])</f>
        <v>Luke MCCANN_IRL_2022</v>
      </c>
      <c r="B363" s="9" t="s">
        <v>1012</v>
      </c>
      <c r="C363" s="9" t="s">
        <v>14</v>
      </c>
      <c r="D363" s="12" t="s">
        <v>66</v>
      </c>
      <c r="E363" s="9">
        <v>13.2</v>
      </c>
      <c r="F363" s="9">
        <v>13.1</v>
      </c>
      <c r="G363" s="9">
        <v>14.9</v>
      </c>
      <c r="H363" s="9">
        <v>15.2</v>
      </c>
      <c r="I363" s="9">
        <v>14.1</v>
      </c>
      <c r="J363" s="9">
        <v>13.4</v>
      </c>
      <c r="K363" s="9">
        <v>13.2</v>
      </c>
      <c r="L363">
        <f>Tableau1[[#This Row],[Final_time]]-SUM(Tableau1[[#This Row],[0_100m]:[600_700m]])</f>
        <v>13.330000000000013</v>
      </c>
      <c r="M363" s="9">
        <v>110.43</v>
      </c>
      <c r="N363">
        <f>SUM(Tableau1[[#This Row],[0_100m]:[700_800m]])</f>
        <v>110.43</v>
      </c>
      <c r="O363">
        <f>ABS(Tableau1[[#This Row],[Final_time]]-Tableau1[[#This Row],[Sum_time]])</f>
        <v>0</v>
      </c>
      <c r="P363" s="8"/>
      <c r="Q363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3" t="s">
        <v>492</v>
      </c>
      <c r="S363" s="1" t="s">
        <v>68</v>
      </c>
      <c r="U363" s="1" t="s">
        <v>288</v>
      </c>
      <c r="V363" s="1">
        <v>44702</v>
      </c>
      <c r="W363" s="4">
        <f>YEAR(Tableau1[[#This Row],[Competition_date]])</f>
        <v>2022</v>
      </c>
      <c r="X363" s="4">
        <v>18</v>
      </c>
      <c r="Y363" s="6">
        <v>0.53</v>
      </c>
      <c r="Z363" s="4" t="s">
        <v>81</v>
      </c>
      <c r="AA363" t="s">
        <v>176</v>
      </c>
    </row>
    <row r="364" spans="1:27" hidden="1" x14ac:dyDescent="0.35">
      <c r="A364" t="str">
        <f>_xlfn.CONCAT(Tableau1[[#This Row],[Athletes]],"_",Tableau1[[#This Row],[Nationality]],"_",Tableau1[[#This Row],[Competition_year]])</f>
        <v>Rocco ZAMAN-BROWNE_GBR_2022</v>
      </c>
      <c r="B364" s="9" t="s">
        <v>361</v>
      </c>
      <c r="C364" s="9" t="s">
        <v>14</v>
      </c>
      <c r="D364" s="12" t="s">
        <v>30</v>
      </c>
      <c r="E364" s="9">
        <v>13.2</v>
      </c>
      <c r="F364" s="9">
        <v>12.8</v>
      </c>
      <c r="G364" s="9">
        <v>14.9</v>
      </c>
      <c r="H364" s="9">
        <v>15</v>
      </c>
      <c r="I364" s="9">
        <v>14.1</v>
      </c>
      <c r="J364" s="9">
        <v>13.8</v>
      </c>
      <c r="K364" s="9">
        <v>13.3</v>
      </c>
      <c r="L364">
        <f>Tableau1[[#This Row],[Final_time]]-SUM(Tableau1[[#This Row],[0_100m]:[600_700m]])</f>
        <v>13.350000000000009</v>
      </c>
      <c r="M364" s="9">
        <v>110.45</v>
      </c>
      <c r="N364">
        <f>SUM(Tableau1[[#This Row],[0_100m]:[700_800m]])</f>
        <v>110.45</v>
      </c>
      <c r="O364">
        <f>ABS(Tableau1[[#This Row],[Final_time]]-Tableau1[[#This Row],[Sum_time]])</f>
        <v>0</v>
      </c>
      <c r="P364" s="8"/>
      <c r="Q364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4" t="s">
        <v>492</v>
      </c>
      <c r="S364" s="1" t="s">
        <v>68</v>
      </c>
      <c r="U364" s="1" t="s">
        <v>288</v>
      </c>
      <c r="V364" s="1">
        <v>44702</v>
      </c>
      <c r="W364" s="4">
        <f>YEAR(Tableau1[[#This Row],[Competition_date]])</f>
        <v>2022</v>
      </c>
      <c r="X364" s="4">
        <v>18</v>
      </c>
      <c r="Y364" s="6">
        <v>0.53</v>
      </c>
      <c r="Z364" s="4" t="s">
        <v>81</v>
      </c>
      <c r="AA364" t="s">
        <v>176</v>
      </c>
    </row>
    <row r="365" spans="1:27" hidden="1" x14ac:dyDescent="0.35">
      <c r="A365" t="str">
        <f>_xlfn.CONCAT(Tableau1[[#This Row],[Athletes]],"_",Tableau1[[#This Row],[Nationality]],"_",Tableau1[[#This Row],[Competition_year]])</f>
        <v>Archie DAVIS_GBR_2022</v>
      </c>
      <c r="B365" s="9" t="s">
        <v>294</v>
      </c>
      <c r="C365" s="9" t="s">
        <v>14</v>
      </c>
      <c r="D365" s="12" t="s">
        <v>30</v>
      </c>
      <c r="E365" s="9">
        <v>13.5</v>
      </c>
      <c r="F365" s="9">
        <v>12.9</v>
      </c>
      <c r="G365" s="9">
        <v>15</v>
      </c>
      <c r="H365" s="9">
        <v>14.8</v>
      </c>
      <c r="I365" s="9">
        <v>14.2</v>
      </c>
      <c r="J365" s="9">
        <v>13.7</v>
      </c>
      <c r="K365" s="9">
        <v>13.2</v>
      </c>
      <c r="L365">
        <f>Tableau1[[#This Row],[Final_time]]-SUM(Tableau1[[#This Row],[0_100m]:[600_700m]])</f>
        <v>13.509999999999991</v>
      </c>
      <c r="M365" s="9">
        <v>110.81</v>
      </c>
      <c r="N365">
        <f>SUM(Tableau1[[#This Row],[0_100m]:[700_800m]])</f>
        <v>110.81</v>
      </c>
      <c r="O365">
        <f>ABS(Tableau1[[#This Row],[Final_time]]-Tableau1[[#This Row],[Sum_time]])</f>
        <v>0</v>
      </c>
      <c r="P365" s="8"/>
      <c r="Q365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5" t="s">
        <v>492</v>
      </c>
      <c r="S365" s="1" t="s">
        <v>68</v>
      </c>
      <c r="U365" s="1" t="s">
        <v>288</v>
      </c>
      <c r="V365" s="1">
        <v>44702</v>
      </c>
      <c r="W365" s="4">
        <f>YEAR(Tableau1[[#This Row],[Competition_date]])</f>
        <v>2022</v>
      </c>
      <c r="X365" s="4">
        <v>18</v>
      </c>
      <c r="Y365" s="6">
        <v>0.53</v>
      </c>
      <c r="Z365" s="4" t="s">
        <v>81</v>
      </c>
      <c r="AA365" t="s">
        <v>176</v>
      </c>
    </row>
    <row r="366" spans="1:27" hidden="1" x14ac:dyDescent="0.35">
      <c r="A366" t="str">
        <f>_xlfn.CONCAT(Tableau1[[#This Row],[Athletes]],"_",Tableau1[[#This Row],[Nationality]],"_",Tableau1[[#This Row],[Competition_year]])</f>
        <v>Guy LEARMONTH_GBR_2022</v>
      </c>
      <c r="B366" s="9" t="s">
        <v>291</v>
      </c>
      <c r="C366" s="9" t="s">
        <v>14</v>
      </c>
      <c r="D366" s="12" t="s">
        <v>30</v>
      </c>
      <c r="E366" s="9">
        <v>12.9</v>
      </c>
      <c r="F366" s="9">
        <v>13</v>
      </c>
      <c r="G366" s="9">
        <v>14.9</v>
      </c>
      <c r="H366" s="9">
        <v>15</v>
      </c>
      <c r="I366" s="9">
        <v>14.1</v>
      </c>
      <c r="J366" s="9">
        <v>14</v>
      </c>
      <c r="K366" s="9">
        <v>14</v>
      </c>
      <c r="L366">
        <f>Tableau1[[#This Row],[Final_time]]-SUM(Tableau1[[#This Row],[0_100m]:[600_700m]])</f>
        <v>13.530000000000015</v>
      </c>
      <c r="M366" s="9">
        <v>111.43</v>
      </c>
      <c r="N366">
        <f>SUM(Tableau1[[#This Row],[0_100m]:[700_800m]])</f>
        <v>111.43</v>
      </c>
      <c r="O366">
        <f>ABS(Tableau1[[#This Row],[Final_time]]-Tableau1[[#This Row],[Sum_time]])</f>
        <v>0</v>
      </c>
      <c r="P366" s="8"/>
      <c r="Q366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6" t="s">
        <v>492</v>
      </c>
      <c r="S366" s="1" t="s">
        <v>68</v>
      </c>
      <c r="U366" s="1" t="s">
        <v>288</v>
      </c>
      <c r="V366" s="1">
        <v>44702</v>
      </c>
      <c r="W366" s="4">
        <f>YEAR(Tableau1[[#This Row],[Competition_date]])</f>
        <v>2022</v>
      </c>
      <c r="X366" s="4">
        <v>18</v>
      </c>
      <c r="Y366" s="6">
        <v>0.53</v>
      </c>
      <c r="Z366" s="4" t="s">
        <v>81</v>
      </c>
      <c r="AA366" t="s">
        <v>176</v>
      </c>
    </row>
    <row r="367" spans="1:27" hidden="1" x14ac:dyDescent="0.35">
      <c r="A367" t="str">
        <f>_xlfn.CONCAT(Tableau1[[#This Row],[Athletes]],"_",Tableau1[[#This Row],[Nationality]],"_",Tableau1[[#This Row],[Competition_year]])</f>
        <v>Daniel HOWELLS_GBR_2022</v>
      </c>
      <c r="B367" s="9" t="s">
        <v>362</v>
      </c>
      <c r="C367" s="9" t="s">
        <v>14</v>
      </c>
      <c r="D367" s="12" t="s">
        <v>30</v>
      </c>
      <c r="E367" s="9">
        <v>13.1</v>
      </c>
      <c r="F367" s="9">
        <v>13</v>
      </c>
      <c r="G367" s="9">
        <v>15</v>
      </c>
      <c r="H367" s="9">
        <v>15.1</v>
      </c>
      <c r="I367" s="9">
        <v>14.1</v>
      </c>
      <c r="J367" s="9">
        <v>13.8</v>
      </c>
      <c r="K367" s="9">
        <v>13.8</v>
      </c>
      <c r="L367">
        <f>Tableau1[[#This Row],[Final_time]]-SUM(Tableau1[[#This Row],[0_100m]:[600_700m]])</f>
        <v>13.820000000000007</v>
      </c>
      <c r="M367" s="9">
        <v>111.72</v>
      </c>
      <c r="N367">
        <f>SUM(Tableau1[[#This Row],[0_100m]:[700_800m]])</f>
        <v>111.72</v>
      </c>
      <c r="O367">
        <f>ABS(Tableau1[[#This Row],[Final_time]]-Tableau1[[#This Row],[Sum_time]])</f>
        <v>0</v>
      </c>
      <c r="P367" s="8"/>
      <c r="Q367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7" t="s">
        <v>492</v>
      </c>
      <c r="S367" s="1" t="s">
        <v>68</v>
      </c>
      <c r="U367" s="1" t="s">
        <v>288</v>
      </c>
      <c r="V367" s="1">
        <v>44702</v>
      </c>
      <c r="W367" s="4">
        <f>YEAR(Tableau1[[#This Row],[Competition_date]])</f>
        <v>2022</v>
      </c>
      <c r="X367" s="4">
        <v>18</v>
      </c>
      <c r="Y367" s="6">
        <v>0.53</v>
      </c>
      <c r="Z367" s="4" t="s">
        <v>81</v>
      </c>
      <c r="AA367" t="s">
        <v>176</v>
      </c>
    </row>
    <row r="368" spans="1:27" hidden="1" x14ac:dyDescent="0.35">
      <c r="A368" t="str">
        <f>_xlfn.CONCAT(Tableau1[[#This Row],[Athletes]],"_",Tableau1[[#This Row],[Nationality]],"_",Tableau1[[#This Row],[Competition_year]])</f>
        <v>Thomas RANDOLPH_GBR_2022</v>
      </c>
      <c r="B368" s="9" t="s">
        <v>292</v>
      </c>
      <c r="C368" s="9" t="s">
        <v>14</v>
      </c>
      <c r="D368" s="12" t="s">
        <v>30</v>
      </c>
      <c r="E368" s="9">
        <v>13.1</v>
      </c>
      <c r="F368" s="9">
        <v>12.8</v>
      </c>
      <c r="G368" s="9">
        <v>14.8</v>
      </c>
      <c r="H368" s="9">
        <v>14.9</v>
      </c>
      <c r="I368" s="9">
        <v>13.9</v>
      </c>
      <c r="J368" s="9">
        <v>14.1</v>
      </c>
      <c r="K368" s="9">
        <v>14.1</v>
      </c>
      <c r="L368">
        <f>Tableau1[[#This Row],[Final_time]]-SUM(Tableau1[[#This Row],[0_100m]:[600_700m]])</f>
        <v>16.860000000000014</v>
      </c>
      <c r="M368" s="9">
        <v>114.56</v>
      </c>
      <c r="N368">
        <f>SUM(Tableau1[[#This Row],[0_100m]:[700_800m]])</f>
        <v>114.56</v>
      </c>
      <c r="O368">
        <f>ABS(Tableau1[[#This Row],[Final_time]]-Tableau1[[#This Row],[Sum_time]])</f>
        <v>0</v>
      </c>
      <c r="P368" s="8"/>
      <c r="Q368" s="16" t="str">
        <f>_xlfn.CONCAT(Tableau1[[#This Row],[Competition]],"_",Tableau1[[#This Row],[Championship_step]],"_",Tableau1[[#This Row],[Competition_date]],"_",Tableau1[[#This Row],[Gender]])</f>
        <v>Diamond League London 2022 - B race__44702_Male</v>
      </c>
      <c r="R368" t="s">
        <v>492</v>
      </c>
      <c r="S368" s="1" t="s">
        <v>68</v>
      </c>
      <c r="U368" s="1" t="s">
        <v>288</v>
      </c>
      <c r="V368" s="1">
        <v>44702</v>
      </c>
      <c r="W368" s="4">
        <f>YEAR(Tableau1[[#This Row],[Competition_date]])</f>
        <v>2022</v>
      </c>
      <c r="X368" s="4">
        <v>16</v>
      </c>
      <c r="Y368" s="6">
        <v>0.62</v>
      </c>
      <c r="Z368" s="4" t="s">
        <v>81</v>
      </c>
      <c r="AA368" t="s">
        <v>176</v>
      </c>
    </row>
    <row r="369" spans="1:27" hidden="1" x14ac:dyDescent="0.35">
      <c r="A369" t="str">
        <f>_xlfn.CONCAT(Tableau1[[#This Row],[Athletes]],"_",Tableau1[[#This Row],[Nationality]],"_",Tableau1[[#This Row],[Competition_year]])</f>
        <v>Keely HODGKINSON_GBR_2022</v>
      </c>
      <c r="B369" s="9" t="s">
        <v>212</v>
      </c>
      <c r="C369" s="9" t="s">
        <v>29</v>
      </c>
      <c r="D369" s="12" t="s">
        <v>30</v>
      </c>
      <c r="E369" s="9">
        <v>13.7</v>
      </c>
      <c r="F369" s="9">
        <v>14.2</v>
      </c>
      <c r="G369" s="9">
        <v>15.9</v>
      </c>
      <c r="H369" s="9">
        <v>15.8</v>
      </c>
      <c r="I369" s="9">
        <v>15.2</v>
      </c>
      <c r="J369" s="9">
        <v>14.8</v>
      </c>
      <c r="K369" s="9">
        <v>14.4</v>
      </c>
      <c r="L369">
        <f>Tableau1[[#This Row],[Final_time]]-SUM(Tableau1[[#This Row],[0_100m]:[600_700m]])</f>
        <v>14.629999999999995</v>
      </c>
      <c r="M369" s="9">
        <v>118.63</v>
      </c>
      <c r="N369">
        <f>SUM(Tableau1[[#This Row],[0_100m]:[700_800m]])</f>
        <v>118.63</v>
      </c>
      <c r="O369">
        <f>ABS(Tableau1[[#This Row],[Final_time]]-Tableau1[[#This Row],[Sum_time]])</f>
        <v>0</v>
      </c>
      <c r="P369" s="8"/>
      <c r="Q369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69" t="s">
        <v>363</v>
      </c>
      <c r="S369" s="1" t="s">
        <v>68</v>
      </c>
      <c r="U369" s="1" t="s">
        <v>69</v>
      </c>
      <c r="V369" s="1">
        <v>44702</v>
      </c>
      <c r="W369" s="4">
        <f>YEAR(Tableau1[[#This Row],[Competition_date]])</f>
        <v>2022</v>
      </c>
      <c r="X369" s="4">
        <v>18</v>
      </c>
      <c r="Y369" s="6">
        <v>0.48</v>
      </c>
      <c r="Z369" s="4" t="s">
        <v>81</v>
      </c>
      <c r="AA369" t="s">
        <v>176</v>
      </c>
    </row>
    <row r="370" spans="1:27" hidden="1" x14ac:dyDescent="0.35">
      <c r="A370" t="str">
        <f>_xlfn.CONCAT(Tableau1[[#This Row],[Athletes]],"_",Tableau1[[#This Row],[Nationality]],"_",Tableau1[[#This Row],[Competition_year]])</f>
        <v>Rénelle LAMOTE_FRA_2022</v>
      </c>
      <c r="B370" s="9" t="s">
        <v>225</v>
      </c>
      <c r="C370" s="9" t="s">
        <v>29</v>
      </c>
      <c r="D370" s="12" t="s">
        <v>17</v>
      </c>
      <c r="E370" s="9">
        <v>13.8</v>
      </c>
      <c r="F370" s="9">
        <v>14.3</v>
      </c>
      <c r="G370" s="9">
        <v>16</v>
      </c>
      <c r="H370" s="9">
        <v>15.7</v>
      </c>
      <c r="I370" s="9">
        <v>15.3</v>
      </c>
      <c r="J370" s="9">
        <v>14.7</v>
      </c>
      <c r="K370" s="9">
        <v>14.8</v>
      </c>
      <c r="L370">
        <f>Tableau1[[#This Row],[Final_time]]-SUM(Tableau1[[#This Row],[0_100m]:[600_700m]])</f>
        <v>14.930000000000007</v>
      </c>
      <c r="M370" s="9">
        <v>119.53</v>
      </c>
      <c r="N370">
        <f>SUM(Tableau1[[#This Row],[0_100m]:[700_800m]])</f>
        <v>119.53</v>
      </c>
      <c r="O370">
        <f>ABS(Tableau1[[#This Row],[Final_time]]-Tableau1[[#This Row],[Sum_time]])</f>
        <v>0</v>
      </c>
      <c r="P370" s="8"/>
      <c r="Q370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0" t="s">
        <v>363</v>
      </c>
      <c r="S370" s="1" t="s">
        <v>68</v>
      </c>
      <c r="U370" s="1" t="s">
        <v>69</v>
      </c>
      <c r="V370" s="1">
        <v>44702</v>
      </c>
      <c r="W370" s="4">
        <f>YEAR(Tableau1[[#This Row],[Competition_date]])</f>
        <v>2022</v>
      </c>
      <c r="X370" s="4">
        <v>18</v>
      </c>
      <c r="Y370" s="6">
        <v>0.48</v>
      </c>
      <c r="Z370" s="4" t="s">
        <v>81</v>
      </c>
      <c r="AA370" t="s">
        <v>176</v>
      </c>
    </row>
    <row r="371" spans="1:27" hidden="1" x14ac:dyDescent="0.35">
      <c r="A371" t="str">
        <f>_xlfn.CONCAT(Tableau1[[#This Row],[Athletes]],"_",Tableau1[[#This Row],[Nationality]],"_",Tableau1[[#This Row],[Competition_year]])</f>
        <v>Natoya GOULE-TOPPIN_JAM_2022</v>
      </c>
      <c r="B371" s="9" t="s">
        <v>222</v>
      </c>
      <c r="C371" s="9" t="s">
        <v>29</v>
      </c>
      <c r="D371" s="12" t="s">
        <v>33</v>
      </c>
      <c r="E371" s="9">
        <v>13.8</v>
      </c>
      <c r="F371" s="9">
        <v>14.2</v>
      </c>
      <c r="G371" s="9">
        <v>15.9</v>
      </c>
      <c r="H371" s="9">
        <v>15.7</v>
      </c>
      <c r="I371" s="9">
        <v>15.2</v>
      </c>
      <c r="J371" s="9">
        <v>14.8</v>
      </c>
      <c r="K371" s="9">
        <v>14.8</v>
      </c>
      <c r="L371">
        <f>Tableau1[[#This Row],[Final_time]]-SUM(Tableau1[[#This Row],[0_100m]:[600_700m]])</f>
        <v>15.730000000000004</v>
      </c>
      <c r="M371" s="9">
        <v>120.13</v>
      </c>
      <c r="N371">
        <f>SUM(Tableau1[[#This Row],[0_100m]:[700_800m]])</f>
        <v>120.13</v>
      </c>
      <c r="O371">
        <f>ABS(Tableau1[[#This Row],[Final_time]]-Tableau1[[#This Row],[Sum_time]])</f>
        <v>0</v>
      </c>
      <c r="P371" s="8"/>
      <c r="Q371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1" t="s">
        <v>363</v>
      </c>
      <c r="S371" s="1" t="s">
        <v>68</v>
      </c>
      <c r="U371" s="1" t="s">
        <v>69</v>
      </c>
      <c r="V371" s="1">
        <v>44702</v>
      </c>
      <c r="W371" s="4">
        <f>YEAR(Tableau1[[#This Row],[Competition_date]])</f>
        <v>2022</v>
      </c>
      <c r="X371" s="4">
        <v>18</v>
      </c>
      <c r="Y371" s="6">
        <v>0.48</v>
      </c>
      <c r="Z371" s="4" t="s">
        <v>81</v>
      </c>
      <c r="AA371" t="s">
        <v>176</v>
      </c>
    </row>
    <row r="372" spans="1:27" hidden="1" x14ac:dyDescent="0.35">
      <c r="A372" t="str">
        <f>_xlfn.CONCAT(Tableau1[[#This Row],[Athletes]],"_",Tableau1[[#This Row],[Nationality]],"_",Tableau1[[#This Row],[Competition_year]])</f>
        <v>Sage HURTA-KLECKER_USA_2022</v>
      </c>
      <c r="B372" s="9" t="s">
        <v>289</v>
      </c>
      <c r="C372" s="9" t="s">
        <v>29</v>
      </c>
      <c r="D372" s="12" t="s">
        <v>35</v>
      </c>
      <c r="E372" s="9">
        <v>13.9</v>
      </c>
      <c r="F372" s="9">
        <v>14.6</v>
      </c>
      <c r="G372" s="9">
        <v>15.9</v>
      </c>
      <c r="H372" s="9">
        <v>15.7</v>
      </c>
      <c r="I372" s="9">
        <v>15.2</v>
      </c>
      <c r="J372" s="9">
        <v>14.6</v>
      </c>
      <c r="K372" s="9">
        <v>15.1</v>
      </c>
      <c r="L372">
        <f>Tableau1[[#This Row],[Final_time]]-SUM(Tableau1[[#This Row],[0_100m]:[600_700m]])</f>
        <v>15.480000000000018</v>
      </c>
      <c r="M372" s="9">
        <v>120.48</v>
      </c>
      <c r="N372">
        <f>SUM(Tableau1[[#This Row],[0_100m]:[700_800m]])</f>
        <v>120.48</v>
      </c>
      <c r="O372">
        <f>ABS(Tableau1[[#This Row],[Final_time]]-Tableau1[[#This Row],[Sum_time]])</f>
        <v>0</v>
      </c>
      <c r="P372" s="8"/>
      <c r="Q372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2" t="s">
        <v>363</v>
      </c>
      <c r="S372" s="1" t="s">
        <v>68</v>
      </c>
      <c r="U372" s="1" t="s">
        <v>69</v>
      </c>
      <c r="V372" s="1">
        <v>44702</v>
      </c>
      <c r="W372" s="4">
        <f>YEAR(Tableau1[[#This Row],[Competition_date]])</f>
        <v>2022</v>
      </c>
      <c r="X372" s="4">
        <v>18</v>
      </c>
      <c r="Y372" s="6">
        <v>0.48</v>
      </c>
      <c r="Z372" s="4" t="s">
        <v>81</v>
      </c>
      <c r="AA372" t="s">
        <v>176</v>
      </c>
    </row>
    <row r="373" spans="1:27" hidden="1" x14ac:dyDescent="0.35">
      <c r="A373" t="str">
        <f>_xlfn.CONCAT(Tableau1[[#This Row],[Athletes]],"_",Tableau1[[#This Row],[Nationality]],"_",Tableau1[[#This Row],[Competition_year]])</f>
        <v>Alexandra BELL_GBR_2022</v>
      </c>
      <c r="B373" s="9" t="s">
        <v>268</v>
      </c>
      <c r="C373" s="9" t="s">
        <v>29</v>
      </c>
      <c r="D373" s="12" t="s">
        <v>30</v>
      </c>
      <c r="E373" s="9">
        <v>13.8</v>
      </c>
      <c r="F373" s="9">
        <v>14.4</v>
      </c>
      <c r="G373" s="9">
        <v>16</v>
      </c>
      <c r="H373" s="9">
        <v>15.7</v>
      </c>
      <c r="I373" s="9">
        <v>15.3</v>
      </c>
      <c r="J373" s="9">
        <v>14.8</v>
      </c>
      <c r="K373" s="9">
        <v>15.3</v>
      </c>
      <c r="L373">
        <f>Tableau1[[#This Row],[Final_time]]-SUM(Tableau1[[#This Row],[0_100m]:[600_700m]])</f>
        <v>15.370000000000005</v>
      </c>
      <c r="M373" s="9">
        <v>120.67</v>
      </c>
      <c r="N373">
        <f>SUM(Tableau1[[#This Row],[0_100m]:[700_800m]])</f>
        <v>120.67</v>
      </c>
      <c r="O373">
        <f>ABS(Tableau1[[#This Row],[Final_time]]-Tableau1[[#This Row],[Sum_time]])</f>
        <v>0</v>
      </c>
      <c r="P373" s="8"/>
      <c r="Q373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3" t="s">
        <v>363</v>
      </c>
      <c r="S373" s="1" t="s">
        <v>68</v>
      </c>
      <c r="U373" s="1" t="s">
        <v>69</v>
      </c>
      <c r="V373" s="1">
        <v>44702</v>
      </c>
      <c r="W373" s="4">
        <f>YEAR(Tableau1[[#This Row],[Competition_date]])</f>
        <v>2022</v>
      </c>
      <c r="X373" s="4">
        <v>18</v>
      </c>
      <c r="Y373" s="6">
        <v>0.48</v>
      </c>
      <c r="Z373" s="4" t="s">
        <v>81</v>
      </c>
      <c r="AA373" t="s">
        <v>176</v>
      </c>
    </row>
    <row r="374" spans="1:27" hidden="1" x14ac:dyDescent="0.35">
      <c r="A374" t="str">
        <f>_xlfn.CONCAT(Tableau1[[#This Row],[Athletes]],"_",Tableau1[[#This Row],[Nationality]],"_",Tableau1[[#This Row],[Competition_year]])</f>
        <v>Christina HERING_GER_2022</v>
      </c>
      <c r="B374" s="9" t="s">
        <v>226</v>
      </c>
      <c r="C374" s="9" t="s">
        <v>29</v>
      </c>
      <c r="D374" s="12" t="s">
        <v>139</v>
      </c>
      <c r="E374" s="9">
        <v>14.1</v>
      </c>
      <c r="F374" s="9">
        <v>14.4</v>
      </c>
      <c r="G374" s="9">
        <v>16</v>
      </c>
      <c r="H374" s="9">
        <v>15.6</v>
      </c>
      <c r="I374" s="9">
        <v>15.3</v>
      </c>
      <c r="J374" s="9">
        <v>14.9</v>
      </c>
      <c r="K374" s="9">
        <v>15.2</v>
      </c>
      <c r="L374">
        <f>Tableau1[[#This Row],[Final_time]]-SUM(Tableau1[[#This Row],[0_100m]:[600_700m]])</f>
        <v>15.319999999999979</v>
      </c>
      <c r="M374" s="9">
        <v>120.82</v>
      </c>
      <c r="N374">
        <f>SUM(Tableau1[[#This Row],[0_100m]:[700_800m]])</f>
        <v>120.82</v>
      </c>
      <c r="O374">
        <f>ABS(Tableau1[[#This Row],[Final_time]]-Tableau1[[#This Row],[Sum_time]])</f>
        <v>0</v>
      </c>
      <c r="P374" s="8"/>
      <c r="Q374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4" t="s">
        <v>363</v>
      </c>
      <c r="S374" s="1" t="s">
        <v>68</v>
      </c>
      <c r="U374" s="1" t="s">
        <v>69</v>
      </c>
      <c r="V374" s="1">
        <v>44702</v>
      </c>
      <c r="W374" s="4">
        <f>YEAR(Tableau1[[#This Row],[Competition_date]])</f>
        <v>2022</v>
      </c>
      <c r="X374" s="4">
        <v>18</v>
      </c>
      <c r="Y374" s="6">
        <v>0.48</v>
      </c>
      <c r="Z374" s="4" t="s">
        <v>81</v>
      </c>
      <c r="AA374" t="s">
        <v>176</v>
      </c>
    </row>
    <row r="375" spans="1:27" hidden="1" x14ac:dyDescent="0.35">
      <c r="A375" t="str">
        <f>_xlfn.CONCAT(Tableau1[[#This Row],[Athletes]],"_",Tableau1[[#This Row],[Nationality]],"_",Tableau1[[#This Row],[Competition_year]])</f>
        <v>Lindsey BUTTERWORTH_CAN_2022</v>
      </c>
      <c r="B375" s="9" t="s">
        <v>256</v>
      </c>
      <c r="C375" s="9" t="s">
        <v>29</v>
      </c>
      <c r="D375" s="12" t="s">
        <v>19</v>
      </c>
      <c r="E375" s="9">
        <v>14.2</v>
      </c>
      <c r="F375" s="9">
        <v>14.1</v>
      </c>
      <c r="G375" s="9">
        <v>16</v>
      </c>
      <c r="H375" s="9">
        <v>15.7</v>
      </c>
      <c r="I375" s="9">
        <v>15.3</v>
      </c>
      <c r="J375" s="9">
        <v>14.8</v>
      </c>
      <c r="K375" s="9">
        <v>15.4</v>
      </c>
      <c r="L375">
        <f>Tableau1[[#This Row],[Final_time]]-SUM(Tableau1[[#This Row],[0_100m]:[600_700m]])</f>
        <v>15.700000000000003</v>
      </c>
      <c r="M375" s="9">
        <v>121.2</v>
      </c>
      <c r="N375">
        <f>SUM(Tableau1[[#This Row],[0_100m]:[700_800m]])</f>
        <v>121.2</v>
      </c>
      <c r="O375">
        <f>ABS(Tableau1[[#This Row],[Final_time]]-Tableau1[[#This Row],[Sum_time]])</f>
        <v>0</v>
      </c>
      <c r="P375" s="8"/>
      <c r="Q375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5" t="s">
        <v>363</v>
      </c>
      <c r="S375" s="1" t="s">
        <v>68</v>
      </c>
      <c r="U375" s="1" t="s">
        <v>69</v>
      </c>
      <c r="V375" s="1">
        <v>44702</v>
      </c>
      <c r="W375" s="4">
        <f>YEAR(Tableau1[[#This Row],[Competition_date]])</f>
        <v>2022</v>
      </c>
      <c r="X375" s="4">
        <v>18</v>
      </c>
      <c r="Y375" s="6">
        <v>0.48</v>
      </c>
      <c r="Z375" s="4" t="s">
        <v>81</v>
      </c>
      <c r="AA375" t="s">
        <v>176</v>
      </c>
    </row>
    <row r="376" spans="1:27" hidden="1" x14ac:dyDescent="0.35">
      <c r="A376" t="str">
        <f>_xlfn.CONCAT(Tableau1[[#This Row],[Athletes]],"_",Tableau1[[#This Row],[Nationality]],"_",Tableau1[[#This Row],[Competition_year]])</f>
        <v>Louise SHANAHAN_IRL_2022</v>
      </c>
      <c r="B376" s="9" t="s">
        <v>278</v>
      </c>
      <c r="C376" s="9" t="s">
        <v>29</v>
      </c>
      <c r="D376" s="12" t="s">
        <v>66</v>
      </c>
      <c r="E376" s="9">
        <v>14.2</v>
      </c>
      <c r="F376" s="9">
        <v>14.3</v>
      </c>
      <c r="G376" s="9">
        <v>16.100000000000001</v>
      </c>
      <c r="H376" s="9">
        <v>15.6</v>
      </c>
      <c r="I376" s="9">
        <v>15.3</v>
      </c>
      <c r="J376" s="9">
        <v>15.2</v>
      </c>
      <c r="K376" s="9">
        <v>15.3</v>
      </c>
      <c r="L376">
        <f>Tableau1[[#This Row],[Final_time]]-SUM(Tableau1[[#This Row],[0_100m]:[600_700m]])</f>
        <v>15.349999999999994</v>
      </c>
      <c r="M376" s="9">
        <v>121.35</v>
      </c>
      <c r="N376">
        <f>SUM(Tableau1[[#This Row],[0_100m]:[700_800m]])</f>
        <v>121.35</v>
      </c>
      <c r="O376">
        <f>ABS(Tableau1[[#This Row],[Final_time]]-Tableau1[[#This Row],[Sum_time]])</f>
        <v>0</v>
      </c>
      <c r="P376" s="8"/>
      <c r="Q376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6" t="s">
        <v>363</v>
      </c>
      <c r="S376" s="1" t="s">
        <v>68</v>
      </c>
      <c r="U376" s="1" t="s">
        <v>69</v>
      </c>
      <c r="V376" s="1">
        <v>44702</v>
      </c>
      <c r="W376" s="4">
        <f>YEAR(Tableau1[[#This Row],[Competition_date]])</f>
        <v>2022</v>
      </c>
      <c r="X376" s="4">
        <v>18</v>
      </c>
      <c r="Y376" s="6">
        <v>0.48</v>
      </c>
      <c r="Z376" s="4" t="s">
        <v>81</v>
      </c>
      <c r="AA376" t="s">
        <v>176</v>
      </c>
    </row>
    <row r="377" spans="1:27" hidden="1" x14ac:dyDescent="0.35">
      <c r="A377" t="str">
        <f>_xlfn.CONCAT(Tableau1[[#This Row],[Athletes]],"_",Tableau1[[#This Row],[Nationality]],"_",Tableau1[[#This Row],[Competition_year]])</f>
        <v>Gaia SABBATINI_ITA_2022</v>
      </c>
      <c r="B377" s="9" t="s">
        <v>372</v>
      </c>
      <c r="C377" s="9" t="s">
        <v>29</v>
      </c>
      <c r="D377" s="12" t="s">
        <v>20</v>
      </c>
      <c r="E377" s="9">
        <v>14.1</v>
      </c>
      <c r="F377" s="9">
        <v>14.6</v>
      </c>
      <c r="G377" s="9">
        <v>15.9</v>
      </c>
      <c r="H377" s="9">
        <v>15.7</v>
      </c>
      <c r="I377" s="9">
        <v>15.3</v>
      </c>
      <c r="J377" s="9">
        <v>14.9</v>
      </c>
      <c r="K377" s="9">
        <v>15.2</v>
      </c>
      <c r="L377">
        <f>Tableau1[[#This Row],[Final_time]]-SUM(Tableau1[[#This Row],[0_100m]:[600_700m]])</f>
        <v>15.679999999999993</v>
      </c>
      <c r="M377" s="9">
        <v>121.38</v>
      </c>
      <c r="N377">
        <f>SUM(Tableau1[[#This Row],[0_100m]:[700_800m]])</f>
        <v>121.38</v>
      </c>
      <c r="O377">
        <f>ABS(Tableau1[[#This Row],[Final_time]]-Tableau1[[#This Row],[Sum_time]])</f>
        <v>0</v>
      </c>
      <c r="P377" s="8"/>
      <c r="Q377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7" t="s">
        <v>363</v>
      </c>
      <c r="S377" s="1" t="s">
        <v>68</v>
      </c>
      <c r="U377" s="1" t="s">
        <v>69</v>
      </c>
      <c r="V377" s="1">
        <v>44702</v>
      </c>
      <c r="W377" s="4">
        <f>YEAR(Tableau1[[#This Row],[Competition_date]])</f>
        <v>2022</v>
      </c>
      <c r="X377" s="4">
        <v>18</v>
      </c>
      <c r="Y377" s="6">
        <v>0.48</v>
      </c>
      <c r="Z377" s="4" t="s">
        <v>81</v>
      </c>
      <c r="AA377" t="s">
        <v>176</v>
      </c>
    </row>
    <row r="378" spans="1:27" hidden="1" x14ac:dyDescent="0.35">
      <c r="A378" t="str">
        <f>_xlfn.CONCAT(Tableau1[[#This Row],[Athletes]],"_",Tableau1[[#This Row],[Nationality]],"_",Tableau1[[#This Row],[Competition_year]])</f>
        <v>Katharina TROST_GER_2022</v>
      </c>
      <c r="B378" s="9" t="s">
        <v>373</v>
      </c>
      <c r="C378" s="9" t="s">
        <v>29</v>
      </c>
      <c r="D378" s="12" t="s">
        <v>139</v>
      </c>
      <c r="E378" s="9">
        <v>14.2</v>
      </c>
      <c r="F378" s="9">
        <v>14.5</v>
      </c>
      <c r="G378" s="9">
        <v>16.100000000000001</v>
      </c>
      <c r="H378" s="9">
        <v>15.5</v>
      </c>
      <c r="I378" s="9">
        <v>15.4</v>
      </c>
      <c r="J378" s="9">
        <v>14.7</v>
      </c>
      <c r="K378" s="9">
        <v>15.2</v>
      </c>
      <c r="L378">
        <f>Tableau1[[#This Row],[Final_time]]-SUM(Tableau1[[#This Row],[0_100m]:[600_700m]])</f>
        <v>16.199999999999989</v>
      </c>
      <c r="M378" s="9">
        <v>121.8</v>
      </c>
      <c r="N378">
        <f>SUM(Tableau1[[#This Row],[0_100m]:[700_800m]])</f>
        <v>121.8</v>
      </c>
      <c r="O378">
        <f>ABS(Tableau1[[#This Row],[Final_time]]-Tableau1[[#This Row],[Sum_time]])</f>
        <v>0</v>
      </c>
      <c r="P378" s="8"/>
      <c r="Q378" s="1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R378" t="s">
        <v>363</v>
      </c>
      <c r="S378" s="1" t="s">
        <v>68</v>
      </c>
      <c r="U378" s="1" t="s">
        <v>69</v>
      </c>
      <c r="V378" s="1">
        <v>44702</v>
      </c>
      <c r="W378" s="4">
        <f>YEAR(Tableau1[[#This Row],[Competition_date]])</f>
        <v>2022</v>
      </c>
      <c r="X378" s="4">
        <v>18</v>
      </c>
      <c r="Y378" s="6">
        <v>0.48</v>
      </c>
      <c r="Z378" s="4" t="s">
        <v>81</v>
      </c>
      <c r="AA378" t="s">
        <v>176</v>
      </c>
    </row>
    <row r="379" spans="1:27" hidden="1" x14ac:dyDescent="0.35">
      <c r="A379" t="str">
        <f>_xlfn.CONCAT(Tableau1[[#This Row],[Athletes]],"_",Tableau1[[#This Row],[Nationality]],"_",Tableau1[[#This Row],[Competition_year]])</f>
        <v>Marco AROP_CAN_2022</v>
      </c>
      <c r="B379" s="9" t="s">
        <v>177</v>
      </c>
      <c r="C379" s="9" t="s">
        <v>14</v>
      </c>
      <c r="D379" s="12" t="s">
        <v>19</v>
      </c>
      <c r="E379" s="9">
        <v>12.7</v>
      </c>
      <c r="F379" s="9">
        <v>12.6</v>
      </c>
      <c r="G379" s="9">
        <v>13.6</v>
      </c>
      <c r="H379" s="9">
        <v>13.5</v>
      </c>
      <c r="I379" s="9">
        <v>13.4</v>
      </c>
      <c r="J379" s="9">
        <v>12.6</v>
      </c>
      <c r="K379" s="9">
        <v>12.9</v>
      </c>
      <c r="L379">
        <f>Tableau1[[#This Row],[Final_time]]-SUM(Tableau1[[#This Row],[0_100m]:[600_700m]])</f>
        <v>14.11</v>
      </c>
      <c r="M379" s="9">
        <v>105.41</v>
      </c>
      <c r="N379">
        <f>SUM(Tableau1[[#This Row],[0_100m]:[700_800m]])</f>
        <v>105.41</v>
      </c>
      <c r="O379">
        <f>ABS(Tableau1[[#This Row],[Final_time]]-Tableau1[[#This Row],[Sum_time]])</f>
        <v>0</v>
      </c>
      <c r="P379" s="8"/>
      <c r="Q379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79" t="s">
        <v>363</v>
      </c>
      <c r="S379" s="1" t="s">
        <v>68</v>
      </c>
      <c r="U379" s="1" t="s">
        <v>69</v>
      </c>
      <c r="V379" s="1">
        <v>44702</v>
      </c>
      <c r="W379" s="4">
        <f>YEAR(Tableau1[[#This Row],[Competition_date]])</f>
        <v>2022</v>
      </c>
      <c r="X379" s="4">
        <v>18</v>
      </c>
      <c r="Y379" s="6">
        <v>0.53</v>
      </c>
      <c r="Z379" s="4" t="s">
        <v>81</v>
      </c>
      <c r="AA379" t="s">
        <v>176</v>
      </c>
    </row>
    <row r="380" spans="1:27" hidden="1" x14ac:dyDescent="0.35">
      <c r="A380" t="str">
        <f>_xlfn.CONCAT(Tableau1[[#This Row],[Athletes]],"_",Tableau1[[#This Row],[Nationality]],"_",Tableau1[[#This Row],[Competition_year]])</f>
        <v>Benjamin ROBERT_FRA_2022</v>
      </c>
      <c r="B380" s="9" t="s">
        <v>111</v>
      </c>
      <c r="C380" s="9" t="s">
        <v>14</v>
      </c>
      <c r="D380" s="12" t="s">
        <v>17</v>
      </c>
      <c r="E380" s="9">
        <v>12.7</v>
      </c>
      <c r="F380" s="9">
        <v>12.4</v>
      </c>
      <c r="G380" s="9">
        <v>13.5</v>
      </c>
      <c r="H380" s="9">
        <v>13.6</v>
      </c>
      <c r="I380" s="9">
        <v>13.5</v>
      </c>
      <c r="J380" s="9">
        <v>13.4</v>
      </c>
      <c r="K380" s="9">
        <v>13.7</v>
      </c>
      <c r="L380">
        <f>Tableau1[[#This Row],[Final_time]]-SUM(Tableau1[[#This Row],[0_100m]:[600_700m]])</f>
        <v>13.419999999999987</v>
      </c>
      <c r="M380" s="9">
        <v>106.22</v>
      </c>
      <c r="N380">
        <f>SUM(Tableau1[[#This Row],[0_100m]:[700_800m]])</f>
        <v>106.22</v>
      </c>
      <c r="O380">
        <f>ABS(Tableau1[[#This Row],[Final_time]]-Tableau1[[#This Row],[Sum_time]])</f>
        <v>0</v>
      </c>
      <c r="P380" s="8"/>
      <c r="Q380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0" t="s">
        <v>363</v>
      </c>
      <c r="S380" s="1" t="s">
        <v>68</v>
      </c>
      <c r="U380" s="1" t="s">
        <v>69</v>
      </c>
      <c r="V380" s="1">
        <v>44702</v>
      </c>
      <c r="W380" s="4">
        <f>YEAR(Tableau1[[#This Row],[Competition_date]])</f>
        <v>2022</v>
      </c>
      <c r="X380" s="4">
        <v>18</v>
      </c>
      <c r="Y380" s="6">
        <v>0.53</v>
      </c>
      <c r="Z380" s="4" t="s">
        <v>81</v>
      </c>
      <c r="AA380" t="s">
        <v>176</v>
      </c>
    </row>
    <row r="381" spans="1:27" hidden="1" x14ac:dyDescent="0.35">
      <c r="A381" t="str">
        <f>_xlfn.CONCAT(Tableau1[[#This Row],[Athletes]],"_",Tableau1[[#This Row],[Nationality]],"_",Tableau1[[#This Row],[Competition_year]])</f>
        <v>Bryce HOPPEL_USA_2022</v>
      </c>
      <c r="B381" s="9" t="s">
        <v>173</v>
      </c>
      <c r="C381" s="9" t="s">
        <v>14</v>
      </c>
      <c r="D381" s="12" t="s">
        <v>35</v>
      </c>
      <c r="E381" s="9">
        <v>12.7</v>
      </c>
      <c r="F381" s="9">
        <v>12.1</v>
      </c>
      <c r="G381" s="9">
        <v>13.3</v>
      </c>
      <c r="H381" s="9">
        <v>13.6</v>
      </c>
      <c r="I381" s="9">
        <v>13.6</v>
      </c>
      <c r="J381" s="9">
        <v>13.5</v>
      </c>
      <c r="K381" s="9">
        <v>13.7</v>
      </c>
      <c r="L381">
        <f>Tableau1[[#This Row],[Final_time]]-SUM(Tableau1[[#This Row],[0_100m]:[600_700m]])</f>
        <v>13.829999999999998</v>
      </c>
      <c r="M381" s="9">
        <v>106.33</v>
      </c>
      <c r="N381">
        <f>SUM(Tableau1[[#This Row],[0_100m]:[700_800m]])</f>
        <v>106.33</v>
      </c>
      <c r="O381">
        <f>ABS(Tableau1[[#This Row],[Final_time]]-Tableau1[[#This Row],[Sum_time]])</f>
        <v>0</v>
      </c>
      <c r="P381" s="8"/>
      <c r="Q381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1" t="s">
        <v>363</v>
      </c>
      <c r="S381" s="1" t="s">
        <v>68</v>
      </c>
      <c r="U381" s="1" t="s">
        <v>69</v>
      </c>
      <c r="V381" s="1">
        <v>44702</v>
      </c>
      <c r="W381" s="4">
        <f>YEAR(Tableau1[[#This Row],[Competition_date]])</f>
        <v>2022</v>
      </c>
      <c r="X381" s="4">
        <v>18</v>
      </c>
      <c r="Y381" s="6">
        <v>0.53</v>
      </c>
      <c r="Z381" s="4" t="s">
        <v>81</v>
      </c>
      <c r="AA381" t="s">
        <v>176</v>
      </c>
    </row>
    <row r="382" spans="1:27" hidden="1" x14ac:dyDescent="0.35">
      <c r="A382" t="str">
        <f>_xlfn.CONCAT(Tableau1[[#This Row],[Athletes]],"_",Tableau1[[#This Row],[Nationality]],"_",Tableau1[[#This Row],[Competition_year]])</f>
        <v>Jake WIGHTMAN_GBR_2022</v>
      </c>
      <c r="B382" s="9" t="s">
        <v>339</v>
      </c>
      <c r="C382" s="9" t="s">
        <v>14</v>
      </c>
      <c r="D382" s="12" t="s">
        <v>30</v>
      </c>
      <c r="E382" s="9">
        <v>12.9</v>
      </c>
      <c r="F382" s="9">
        <v>12.3</v>
      </c>
      <c r="G382" s="9">
        <v>13.3</v>
      </c>
      <c r="H382" s="9">
        <v>13.5</v>
      </c>
      <c r="I382" s="9">
        <v>13.7</v>
      </c>
      <c r="J382" s="9">
        <v>13.4</v>
      </c>
      <c r="K382" s="9">
        <v>13.6</v>
      </c>
      <c r="L382">
        <f>Tableau1[[#This Row],[Final_time]]-SUM(Tableau1[[#This Row],[0_100m]:[600_700m]])</f>
        <v>13.689999999999998</v>
      </c>
      <c r="M382" s="9">
        <v>106.39</v>
      </c>
      <c r="N382">
        <f>SUM(Tableau1[[#This Row],[0_100m]:[700_800m]])</f>
        <v>106.39</v>
      </c>
      <c r="O382">
        <f>ABS(Tableau1[[#This Row],[Final_time]]-Tableau1[[#This Row],[Sum_time]])</f>
        <v>0</v>
      </c>
      <c r="P382" s="8"/>
      <c r="Q382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2" t="s">
        <v>363</v>
      </c>
      <c r="S382" s="1" t="s">
        <v>68</v>
      </c>
      <c r="U382" s="1" t="s">
        <v>69</v>
      </c>
      <c r="V382" s="1">
        <v>44702</v>
      </c>
      <c r="W382" s="4">
        <f>YEAR(Tableau1[[#This Row],[Competition_date]])</f>
        <v>2022</v>
      </c>
      <c r="X382" s="4">
        <v>18</v>
      </c>
      <c r="Y382" s="6">
        <v>0.53</v>
      </c>
      <c r="Z382" s="4" t="s">
        <v>81</v>
      </c>
      <c r="AA382" t="s">
        <v>176</v>
      </c>
    </row>
    <row r="383" spans="1:27" hidden="1" x14ac:dyDescent="0.35">
      <c r="A383" t="str">
        <f>_xlfn.CONCAT(Tableau1[[#This Row],[Athletes]],"_",Tableau1[[#This Row],[Nationality]],"_",Tableau1[[#This Row],[Competition_year]])</f>
        <v>Patryk DOBEK_POL_2022</v>
      </c>
      <c r="B383" s="9" t="s">
        <v>253</v>
      </c>
      <c r="C383" s="9" t="s">
        <v>14</v>
      </c>
      <c r="D383" s="12" t="s">
        <v>88</v>
      </c>
      <c r="E383" s="9">
        <v>12.5</v>
      </c>
      <c r="F383" s="9">
        <v>12.5</v>
      </c>
      <c r="G383" s="9">
        <v>13.4</v>
      </c>
      <c r="H383" s="9">
        <v>13.5</v>
      </c>
      <c r="I383" s="9">
        <v>13.5</v>
      </c>
      <c r="J383" s="9">
        <v>13.4</v>
      </c>
      <c r="K383" s="9">
        <v>13.8</v>
      </c>
      <c r="L383">
        <f>Tableau1[[#This Row],[Final_time]]-SUM(Tableau1[[#This Row],[0_100m]:[600_700m]])</f>
        <v>14.029999999999987</v>
      </c>
      <c r="M383" s="9">
        <v>106.63</v>
      </c>
      <c r="N383">
        <f>SUM(Tableau1[[#This Row],[0_100m]:[700_800m]])</f>
        <v>106.63</v>
      </c>
      <c r="O383">
        <f>ABS(Tableau1[[#This Row],[Final_time]]-Tableau1[[#This Row],[Sum_time]])</f>
        <v>0</v>
      </c>
      <c r="P383" s="8"/>
      <c r="Q383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3" t="s">
        <v>363</v>
      </c>
      <c r="S383" s="1" t="s">
        <v>68</v>
      </c>
      <c r="U383" s="1" t="s">
        <v>69</v>
      </c>
      <c r="V383" s="1">
        <v>44702</v>
      </c>
      <c r="W383" s="4">
        <f>YEAR(Tableau1[[#This Row],[Competition_date]])</f>
        <v>2022</v>
      </c>
      <c r="X383" s="4">
        <v>18</v>
      </c>
      <c r="Y383" s="6">
        <v>0.53</v>
      </c>
      <c r="Z383" s="4" t="s">
        <v>81</v>
      </c>
      <c r="AA383" t="s">
        <v>176</v>
      </c>
    </row>
    <row r="384" spans="1:27" hidden="1" x14ac:dyDescent="0.35">
      <c r="A384" t="str">
        <f>_xlfn.CONCAT(Tableau1[[#This Row],[Athletes]],"_",Tableau1[[#This Row],[Nationality]],"_",Tableau1[[#This Row],[Competition_year]])</f>
        <v>Wyclife KINYAMAL_KEN_2022</v>
      </c>
      <c r="B384" s="9" t="s">
        <v>174</v>
      </c>
      <c r="C384" s="9" t="s">
        <v>14</v>
      </c>
      <c r="D384" s="12" t="s">
        <v>15</v>
      </c>
      <c r="E384" s="9">
        <v>12.3</v>
      </c>
      <c r="F384" s="9">
        <v>12.4</v>
      </c>
      <c r="G384" s="9">
        <v>13.1</v>
      </c>
      <c r="H384" s="9">
        <v>13.6</v>
      </c>
      <c r="I384" s="9">
        <v>13.8</v>
      </c>
      <c r="J384" s="9">
        <v>13.4</v>
      </c>
      <c r="K384" s="9">
        <v>13.6</v>
      </c>
      <c r="L384">
        <f>Tableau1[[#This Row],[Final_time]]-SUM(Tableau1[[#This Row],[0_100m]:[600_700m]])</f>
        <v>14.439999999999998</v>
      </c>
      <c r="M384" s="9">
        <v>106.64</v>
      </c>
      <c r="N384">
        <f>SUM(Tableau1[[#This Row],[0_100m]:[700_800m]])</f>
        <v>106.64</v>
      </c>
      <c r="O384">
        <f>ABS(Tableau1[[#This Row],[Final_time]]-Tableau1[[#This Row],[Sum_time]])</f>
        <v>0</v>
      </c>
      <c r="P384" s="8"/>
      <c r="Q384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4" t="s">
        <v>363</v>
      </c>
      <c r="S384" s="1" t="s">
        <v>68</v>
      </c>
      <c r="U384" s="1" t="s">
        <v>69</v>
      </c>
      <c r="V384" s="1">
        <v>44702</v>
      </c>
      <c r="W384" s="4">
        <f>YEAR(Tableau1[[#This Row],[Competition_date]])</f>
        <v>2022</v>
      </c>
      <c r="X384" s="4">
        <v>18</v>
      </c>
      <c r="Y384" s="6">
        <v>0.53</v>
      </c>
      <c r="Z384" s="4" t="s">
        <v>81</v>
      </c>
      <c r="AA384" t="s">
        <v>176</v>
      </c>
    </row>
    <row r="385" spans="1:27" hidden="1" x14ac:dyDescent="0.35">
      <c r="A385" t="str">
        <f>_xlfn.CONCAT(Tableau1[[#This Row],[Athletes]],"_",Tableau1[[#This Row],[Nationality]],"_",Tableau1[[#This Row],[Competition_year]])</f>
        <v>Clayton MURPHY_USA_2022</v>
      </c>
      <c r="B385" s="9" t="s">
        <v>203</v>
      </c>
      <c r="C385" s="9" t="s">
        <v>14</v>
      </c>
      <c r="D385" s="12" t="s">
        <v>35</v>
      </c>
      <c r="E385" s="9">
        <v>12.7</v>
      </c>
      <c r="F385" s="9">
        <v>12.5</v>
      </c>
      <c r="G385" s="9">
        <v>13.5</v>
      </c>
      <c r="H385" s="9">
        <v>13.6</v>
      </c>
      <c r="I385" s="9">
        <v>13.4</v>
      </c>
      <c r="J385" s="9">
        <v>13.5</v>
      </c>
      <c r="K385" s="9">
        <v>13.8</v>
      </c>
      <c r="L385">
        <f>Tableau1[[#This Row],[Final_time]]-SUM(Tableau1[[#This Row],[0_100m]:[600_700m]])</f>
        <v>14.230000000000004</v>
      </c>
      <c r="M385" s="9">
        <v>107.23</v>
      </c>
      <c r="N385">
        <f>SUM(Tableau1[[#This Row],[0_100m]:[700_800m]])</f>
        <v>107.23</v>
      </c>
      <c r="O385">
        <f>ABS(Tableau1[[#This Row],[Final_time]]-Tableau1[[#This Row],[Sum_time]])</f>
        <v>0</v>
      </c>
      <c r="P385" s="8"/>
      <c r="Q385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5" t="s">
        <v>363</v>
      </c>
      <c r="S385" s="1" t="s">
        <v>68</v>
      </c>
      <c r="U385" s="1" t="s">
        <v>69</v>
      </c>
      <c r="V385" s="1">
        <v>44702</v>
      </c>
      <c r="W385" s="4">
        <f>YEAR(Tableau1[[#This Row],[Competition_date]])</f>
        <v>2022</v>
      </c>
      <c r="X385" s="4">
        <v>18</v>
      </c>
      <c r="Y385" s="6">
        <v>0.53</v>
      </c>
      <c r="Z385" s="4" t="s">
        <v>81</v>
      </c>
      <c r="AA385" t="s">
        <v>176</v>
      </c>
    </row>
    <row r="386" spans="1:27" hidden="1" x14ac:dyDescent="0.35">
      <c r="A386" t="str">
        <f>_xlfn.CONCAT(Tableau1[[#This Row],[Athletes]],"_",Tableau1[[#This Row],[Nationality]],"_",Tableau1[[#This Row],[Competition_year]])</f>
        <v>Daniel ROWDEN_GBR_2022</v>
      </c>
      <c r="B386" s="9" t="s">
        <v>172</v>
      </c>
      <c r="C386" s="9" t="s">
        <v>14</v>
      </c>
      <c r="D386" s="12" t="s">
        <v>30</v>
      </c>
      <c r="E386" s="9">
        <v>12.8</v>
      </c>
      <c r="F386" s="9">
        <v>12.2</v>
      </c>
      <c r="G386" s="9">
        <v>13.3</v>
      </c>
      <c r="H386" s="9">
        <v>13.5</v>
      </c>
      <c r="I386" s="9">
        <v>13.7</v>
      </c>
      <c r="J386" s="9">
        <v>13.3</v>
      </c>
      <c r="K386" s="9">
        <v>13.9</v>
      </c>
      <c r="L386">
        <f>Tableau1[[#This Row],[Final_time]]-SUM(Tableau1[[#This Row],[0_100m]:[600_700m]])</f>
        <v>14.590000000000003</v>
      </c>
      <c r="M386" s="9">
        <v>107.29</v>
      </c>
      <c r="N386">
        <f>SUM(Tableau1[[#This Row],[0_100m]:[700_800m]])</f>
        <v>107.29</v>
      </c>
      <c r="O386">
        <f>ABS(Tableau1[[#This Row],[Final_time]]-Tableau1[[#This Row],[Sum_time]])</f>
        <v>0</v>
      </c>
      <c r="P386" s="8"/>
      <c r="Q386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6" t="s">
        <v>363</v>
      </c>
      <c r="S386" s="1" t="s">
        <v>68</v>
      </c>
      <c r="U386" s="1" t="s">
        <v>69</v>
      </c>
      <c r="V386" s="1">
        <v>44702</v>
      </c>
      <c r="W386" s="4">
        <f>YEAR(Tableau1[[#This Row],[Competition_date]])</f>
        <v>2022</v>
      </c>
      <c r="X386" s="4">
        <v>18</v>
      </c>
      <c r="Y386" s="6">
        <v>0.53</v>
      </c>
      <c r="Z386" s="4" t="s">
        <v>81</v>
      </c>
      <c r="AA386" t="s">
        <v>176</v>
      </c>
    </row>
    <row r="387" spans="1:27" hidden="1" x14ac:dyDescent="0.35">
      <c r="A387" t="str">
        <f>_xlfn.CONCAT(Tableau1[[#This Row],[Athletes]],"_",Tableau1[[#This Row],[Nationality]],"_",Tableau1[[#This Row],[Competition_year]])</f>
        <v>Peter BOL_AUS_2022</v>
      </c>
      <c r="B387" s="9" t="s">
        <v>127</v>
      </c>
      <c r="C387" s="9" t="s">
        <v>14</v>
      </c>
      <c r="D387" s="12" t="s">
        <v>36</v>
      </c>
      <c r="E387" s="9">
        <v>12.7</v>
      </c>
      <c r="F387" s="9">
        <v>12.7</v>
      </c>
      <c r="G387" s="9">
        <v>13.7</v>
      </c>
      <c r="H387" s="9">
        <v>13.6</v>
      </c>
      <c r="I387" s="9">
        <v>13.4</v>
      </c>
      <c r="J387" s="9">
        <v>13.3</v>
      </c>
      <c r="K387" s="9">
        <v>13.7</v>
      </c>
      <c r="L387">
        <f>Tableau1[[#This Row],[Final_time]]-SUM(Tableau1[[#This Row],[0_100m]:[600_700m]])</f>
        <v>14.490000000000009</v>
      </c>
      <c r="M387" s="9">
        <v>107.59</v>
      </c>
      <c r="N387">
        <f>SUM(Tableau1[[#This Row],[0_100m]:[700_800m]])</f>
        <v>107.59</v>
      </c>
      <c r="O387">
        <f>ABS(Tableau1[[#This Row],[Final_time]]-Tableau1[[#This Row],[Sum_time]])</f>
        <v>0</v>
      </c>
      <c r="P387" s="8"/>
      <c r="Q387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7" t="s">
        <v>363</v>
      </c>
      <c r="S387" s="1" t="s">
        <v>68</v>
      </c>
      <c r="U387" s="1" t="s">
        <v>69</v>
      </c>
      <c r="V387" s="1">
        <v>44702</v>
      </c>
      <c r="W387" s="4">
        <f>YEAR(Tableau1[[#This Row],[Competition_date]])</f>
        <v>2022</v>
      </c>
      <c r="X387" s="4">
        <v>18</v>
      </c>
      <c r="Y387" s="6">
        <v>0.53</v>
      </c>
      <c r="Z387" s="4" t="s">
        <v>81</v>
      </c>
      <c r="AA387" t="s">
        <v>176</v>
      </c>
    </row>
    <row r="388" spans="1:27" hidden="1" x14ac:dyDescent="0.35">
      <c r="A388" t="str">
        <f>_xlfn.CONCAT(Tableau1[[#This Row],[Athletes]],"_",Tableau1[[#This Row],[Nationality]],"_",Tableau1[[#This Row],[Competition_year]])</f>
        <v>Mariano GARCÍA_ESP_2022</v>
      </c>
      <c r="B388" s="9" t="s">
        <v>241</v>
      </c>
      <c r="C388" s="9" t="s">
        <v>14</v>
      </c>
      <c r="D388" s="12" t="s">
        <v>37</v>
      </c>
      <c r="E388" s="9">
        <v>12.9</v>
      </c>
      <c r="F388" s="9">
        <v>12.7</v>
      </c>
      <c r="G388" s="9">
        <v>13.6</v>
      </c>
      <c r="H388" s="9">
        <v>13.7</v>
      </c>
      <c r="I388" s="9">
        <v>13.5</v>
      </c>
      <c r="J388" s="9">
        <v>13.4</v>
      </c>
      <c r="K388" s="9">
        <v>14.1</v>
      </c>
      <c r="L388">
        <f>Tableau1[[#This Row],[Final_time]]-SUM(Tableau1[[#This Row],[0_100m]:[600_700m]])</f>
        <v>14.86999999999999</v>
      </c>
      <c r="M388" s="9">
        <v>108.77</v>
      </c>
      <c r="N388">
        <f>SUM(Tableau1[[#This Row],[0_100m]:[700_800m]])</f>
        <v>108.77</v>
      </c>
      <c r="O388">
        <f>ABS(Tableau1[[#This Row],[Final_time]]-Tableau1[[#This Row],[Sum_time]])</f>
        <v>0</v>
      </c>
      <c r="P388" s="8"/>
      <c r="Q388" s="1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R388" t="s">
        <v>363</v>
      </c>
      <c r="S388" s="1" t="s">
        <v>68</v>
      </c>
      <c r="U388" s="1" t="s">
        <v>69</v>
      </c>
      <c r="V388" s="1">
        <v>44702</v>
      </c>
      <c r="W388" s="4">
        <f>YEAR(Tableau1[[#This Row],[Competition_date]])</f>
        <v>2022</v>
      </c>
      <c r="X388" s="4">
        <v>18</v>
      </c>
      <c r="Y388" s="6">
        <v>0.53</v>
      </c>
      <c r="Z388" s="4" t="s">
        <v>81</v>
      </c>
      <c r="AA388" t="s">
        <v>176</v>
      </c>
    </row>
    <row r="389" spans="1:27" hidden="1" x14ac:dyDescent="0.35">
      <c r="A389" t="str">
        <f>_xlfn.CONCAT(Tableau1[[#This Row],[Athletes]],"_",Tableau1[[#This Row],[Nationality]],"_",Tableau1[[#This Row],[Competition_year]])</f>
        <v>Jemma REEKIE_GBR_2023</v>
      </c>
      <c r="B389" t="s">
        <v>220</v>
      </c>
      <c r="C389" t="s">
        <v>29</v>
      </c>
      <c r="D389" s="18" t="s">
        <v>30</v>
      </c>
      <c r="E389">
        <v>13.4</v>
      </c>
      <c r="F389">
        <v>13.3</v>
      </c>
      <c r="G389">
        <v>14.6</v>
      </c>
      <c r="H389">
        <v>15.5</v>
      </c>
      <c r="I389">
        <v>15.5</v>
      </c>
      <c r="J389">
        <v>15</v>
      </c>
      <c r="K389">
        <v>15</v>
      </c>
      <c r="L389">
        <f>Tableau1[[#This Row],[Final_time]]-SUM(Tableau1[[#This Row],[0_100m]:[600_700m]])</f>
        <v>14.999999999999986</v>
      </c>
      <c r="M389">
        <v>117.3</v>
      </c>
      <c r="N389">
        <f>SUM(Tableau1[[#This Row],[0_100m]:[700_800m]])</f>
        <v>117.3</v>
      </c>
      <c r="O389">
        <f>ABS(Tableau1[[#This Row],[Final_time]]-Tableau1[[#This Row],[Sum_time]])</f>
        <v>0</v>
      </c>
      <c r="P389" s="8"/>
      <c r="Q389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89" t="s">
        <v>298</v>
      </c>
      <c r="S389" s="1" t="s">
        <v>68</v>
      </c>
      <c r="U389" s="1" t="s">
        <v>69</v>
      </c>
      <c r="V389" s="1">
        <v>45130</v>
      </c>
      <c r="W389" s="4">
        <f>YEAR(Tableau1[[#This Row],[Competition_date]])</f>
        <v>2023</v>
      </c>
      <c r="X389" s="4">
        <v>23</v>
      </c>
      <c r="Y389" s="6">
        <v>0.55000000000000004</v>
      </c>
      <c r="Z389" s="4" t="s">
        <v>81</v>
      </c>
      <c r="AA389" t="s">
        <v>176</v>
      </c>
    </row>
    <row r="390" spans="1:27" hidden="1" x14ac:dyDescent="0.35">
      <c r="A390" t="str">
        <f>_xlfn.CONCAT(Tableau1[[#This Row],[Athletes]],"_",Tableau1[[#This Row],[Nationality]],"_",Tableau1[[#This Row],[Competition_year]])</f>
        <v>Natoya GOULE-TOPPIN_JAM_2023</v>
      </c>
      <c r="B390" t="s">
        <v>222</v>
      </c>
      <c r="C390" t="s">
        <v>29</v>
      </c>
      <c r="D390" s="18" t="s">
        <v>33</v>
      </c>
      <c r="E390">
        <v>13.6</v>
      </c>
      <c r="F390">
        <v>13.2</v>
      </c>
      <c r="G390">
        <v>15</v>
      </c>
      <c r="H390">
        <v>15.1</v>
      </c>
      <c r="I390">
        <v>15.3</v>
      </c>
      <c r="J390">
        <v>15</v>
      </c>
      <c r="K390">
        <v>14.9</v>
      </c>
      <c r="L390">
        <f>Tableau1[[#This Row],[Final_time]]-SUM(Tableau1[[#This Row],[0_100m]:[600_700m]])</f>
        <v>15.509999999999991</v>
      </c>
      <c r="M390">
        <v>117.61</v>
      </c>
      <c r="N390">
        <f>SUM(Tableau1[[#This Row],[0_100m]:[700_800m]])</f>
        <v>117.61</v>
      </c>
      <c r="O390">
        <f>ABS(Tableau1[[#This Row],[Final_time]]-Tableau1[[#This Row],[Sum_time]])</f>
        <v>0</v>
      </c>
      <c r="P390" s="8"/>
      <c r="Q390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0" t="s">
        <v>298</v>
      </c>
      <c r="S390" s="1" t="s">
        <v>68</v>
      </c>
      <c r="U390" s="1" t="s">
        <v>69</v>
      </c>
      <c r="V390" s="1">
        <v>45130</v>
      </c>
      <c r="W390" s="4">
        <f>YEAR(Tableau1[[#This Row],[Competition_date]])</f>
        <v>2023</v>
      </c>
      <c r="X390" s="4">
        <v>23</v>
      </c>
      <c r="Y390" s="6">
        <v>0.55000000000000004</v>
      </c>
      <c r="Z390" s="4" t="s">
        <v>81</v>
      </c>
      <c r="AA390" t="s">
        <v>176</v>
      </c>
    </row>
    <row r="391" spans="1:27" hidden="1" x14ac:dyDescent="0.35">
      <c r="A391" t="str">
        <f>_xlfn.CONCAT(Tableau1[[#This Row],[Athletes]],"_",Tableau1[[#This Row],[Nationality]],"_",Tableau1[[#This Row],[Competition_year]])</f>
        <v>Halimah NAKAAYI_UGA_2023</v>
      </c>
      <c r="B391" t="s">
        <v>230</v>
      </c>
      <c r="C391" t="s">
        <v>29</v>
      </c>
      <c r="D391" s="18" t="s">
        <v>34</v>
      </c>
      <c r="E391">
        <v>13.7</v>
      </c>
      <c r="F391">
        <v>13</v>
      </c>
      <c r="G391">
        <v>14.8</v>
      </c>
      <c r="H391">
        <v>15.5</v>
      </c>
      <c r="I391">
        <v>15.4</v>
      </c>
      <c r="J391">
        <v>14.9</v>
      </c>
      <c r="K391">
        <v>15</v>
      </c>
      <c r="L391">
        <f>Tableau1[[#This Row],[Final_time]]-SUM(Tableau1[[#This Row],[0_100m]:[600_700m]])</f>
        <v>15.319999999999993</v>
      </c>
      <c r="M391">
        <v>117.62</v>
      </c>
      <c r="N391">
        <f>SUM(Tableau1[[#This Row],[0_100m]:[700_800m]])</f>
        <v>117.62</v>
      </c>
      <c r="O391">
        <f>ABS(Tableau1[[#This Row],[Final_time]]-Tableau1[[#This Row],[Sum_time]])</f>
        <v>0</v>
      </c>
      <c r="P391" s="8"/>
      <c r="Q391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1" t="s">
        <v>298</v>
      </c>
      <c r="S391" s="1" t="s">
        <v>68</v>
      </c>
      <c r="U391" s="1" t="s">
        <v>69</v>
      </c>
      <c r="V391" s="1">
        <v>45130</v>
      </c>
      <c r="W391" s="4">
        <f>YEAR(Tableau1[[#This Row],[Competition_date]])</f>
        <v>2023</v>
      </c>
      <c r="X391" s="4">
        <v>23</v>
      </c>
      <c r="Y391" s="6">
        <v>0.55000000000000004</v>
      </c>
      <c r="Z391" s="4" t="s">
        <v>81</v>
      </c>
      <c r="AA391" t="s">
        <v>176</v>
      </c>
    </row>
    <row r="392" spans="1:27" hidden="1" x14ac:dyDescent="0.35">
      <c r="A392" t="str">
        <f>_xlfn.CONCAT(Tableau1[[#This Row],[Athletes]],"_",Tableau1[[#This Row],[Nationality]],"_",Tableau1[[#This Row],[Competition_year]])</f>
        <v>Catriona BISSET_AUS_2023</v>
      </c>
      <c r="B392" t="s">
        <v>217</v>
      </c>
      <c r="C392" t="s">
        <v>29</v>
      </c>
      <c r="D392" s="18" t="s">
        <v>36</v>
      </c>
      <c r="E392">
        <v>13.7</v>
      </c>
      <c r="F392">
        <v>13.3</v>
      </c>
      <c r="G392">
        <v>15.1</v>
      </c>
      <c r="H392">
        <v>15.1</v>
      </c>
      <c r="I392">
        <v>15.4</v>
      </c>
      <c r="J392">
        <v>15</v>
      </c>
      <c r="K392">
        <v>15.2</v>
      </c>
      <c r="L392">
        <f>Tableau1[[#This Row],[Final_time]]-SUM(Tableau1[[#This Row],[0_100m]:[600_700m]])</f>
        <v>14.97999999999999</v>
      </c>
      <c r="M392">
        <v>117.78</v>
      </c>
      <c r="N392">
        <f>SUM(Tableau1[[#This Row],[0_100m]:[700_800m]])</f>
        <v>117.78</v>
      </c>
      <c r="O392">
        <f>ABS(Tableau1[[#This Row],[Final_time]]-Tableau1[[#This Row],[Sum_time]])</f>
        <v>0</v>
      </c>
      <c r="P392" s="8"/>
      <c r="Q392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2" t="s">
        <v>298</v>
      </c>
      <c r="S392" s="1" t="s">
        <v>68</v>
      </c>
      <c r="U392" s="1" t="s">
        <v>69</v>
      </c>
      <c r="V392" s="1">
        <v>45130</v>
      </c>
      <c r="W392" s="4">
        <f>YEAR(Tableau1[[#This Row],[Competition_date]])</f>
        <v>2023</v>
      </c>
      <c r="X392" s="4">
        <v>23</v>
      </c>
      <c r="Y392" s="6">
        <v>0.55000000000000004</v>
      </c>
      <c r="Z392" s="4" t="s">
        <v>81</v>
      </c>
      <c r="AA392" t="s">
        <v>176</v>
      </c>
    </row>
    <row r="393" spans="1:27" hidden="1" x14ac:dyDescent="0.35">
      <c r="A393" t="str">
        <f>_xlfn.CONCAT(Tableau1[[#This Row],[Athletes]],"_",Tableau1[[#This Row],[Nationality]],"_",Tableau1[[#This Row],[Competition_year]])</f>
        <v>Katie SNOWDEN_GBR_2023</v>
      </c>
      <c r="B393" t="s">
        <v>300</v>
      </c>
      <c r="C393" t="s">
        <v>29</v>
      </c>
      <c r="D393" s="18" t="s">
        <v>30</v>
      </c>
      <c r="E393">
        <v>14.4</v>
      </c>
      <c r="F393">
        <v>13.5</v>
      </c>
      <c r="G393">
        <v>14.7</v>
      </c>
      <c r="H393">
        <v>15</v>
      </c>
      <c r="I393">
        <v>15.8</v>
      </c>
      <c r="J393">
        <v>14.7</v>
      </c>
      <c r="K393">
        <v>15</v>
      </c>
      <c r="L393">
        <f>Tableau1[[#This Row],[Final_time]]-SUM(Tableau1[[#This Row],[0_100m]:[600_700m]])</f>
        <v>14.900000000000006</v>
      </c>
      <c r="M393">
        <v>118</v>
      </c>
      <c r="N393">
        <f>SUM(Tableau1[[#This Row],[0_100m]:[700_800m]])</f>
        <v>118</v>
      </c>
      <c r="O393">
        <f>ABS(Tableau1[[#This Row],[Final_time]]-Tableau1[[#This Row],[Sum_time]])</f>
        <v>0</v>
      </c>
      <c r="P393" s="8"/>
      <c r="Q393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3" t="s">
        <v>298</v>
      </c>
      <c r="S393" s="1" t="s">
        <v>68</v>
      </c>
      <c r="U393" s="1" t="s">
        <v>69</v>
      </c>
      <c r="V393" s="1">
        <v>45130</v>
      </c>
      <c r="W393" s="4">
        <f>YEAR(Tableau1[[#This Row],[Competition_date]])</f>
        <v>2023</v>
      </c>
      <c r="X393" s="4">
        <v>23</v>
      </c>
      <c r="Y393" s="6">
        <v>0.55000000000000004</v>
      </c>
      <c r="Z393" s="4" t="s">
        <v>81</v>
      </c>
      <c r="AA393" t="s">
        <v>176</v>
      </c>
    </row>
    <row r="394" spans="1:27" hidden="1" x14ac:dyDescent="0.35">
      <c r="A394" t="str">
        <f>_xlfn.CONCAT(Tableau1[[#This Row],[Athletes]],"_",Tableau1[[#This Row],[Nationality]],"_",Tableau1[[#This Row],[Competition_year]])</f>
        <v>Rénelle LAMOTE_FRA_2023</v>
      </c>
      <c r="B394" t="s">
        <v>225</v>
      </c>
      <c r="C394" t="s">
        <v>29</v>
      </c>
      <c r="D394" s="18" t="s">
        <v>17</v>
      </c>
      <c r="E394">
        <v>13.7</v>
      </c>
      <c r="F394">
        <v>13.4</v>
      </c>
      <c r="G394">
        <v>15.2</v>
      </c>
      <c r="H394">
        <v>15.1</v>
      </c>
      <c r="I394">
        <v>15.5</v>
      </c>
      <c r="J394">
        <v>15.1</v>
      </c>
      <c r="K394">
        <v>15.6</v>
      </c>
      <c r="L394">
        <f>Tableau1[[#This Row],[Final_time]]-SUM(Tableau1[[#This Row],[0_100m]:[600_700m]])</f>
        <v>15.040000000000006</v>
      </c>
      <c r="M394">
        <v>118.64</v>
      </c>
      <c r="N394">
        <f>SUM(Tableau1[[#This Row],[0_100m]:[700_800m]])</f>
        <v>118.64</v>
      </c>
      <c r="O394">
        <f>ABS(Tableau1[[#This Row],[Final_time]]-Tableau1[[#This Row],[Sum_time]])</f>
        <v>0</v>
      </c>
      <c r="P394" s="8"/>
      <c r="Q394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4" t="s">
        <v>298</v>
      </c>
      <c r="S394" s="1" t="s">
        <v>68</v>
      </c>
      <c r="U394" s="1" t="s">
        <v>69</v>
      </c>
      <c r="V394" s="1">
        <v>45130</v>
      </c>
      <c r="W394" s="4">
        <f>YEAR(Tableau1[[#This Row],[Competition_date]])</f>
        <v>2023</v>
      </c>
      <c r="X394" s="4">
        <v>23</v>
      </c>
      <c r="Y394" s="6">
        <v>0.55000000000000004</v>
      </c>
      <c r="Z394" s="4" t="s">
        <v>81</v>
      </c>
      <c r="AA394" t="s">
        <v>176</v>
      </c>
    </row>
    <row r="395" spans="1:27" hidden="1" x14ac:dyDescent="0.35">
      <c r="A395" t="str">
        <f>_xlfn.CONCAT(Tableau1[[#This Row],[Athletes]],"_",Tableau1[[#This Row],[Nationality]],"_",Tableau1[[#This Row],[Competition_year]])</f>
        <v>Raevyn ROGERS_USA_2023</v>
      </c>
      <c r="B395" t="s">
        <v>221</v>
      </c>
      <c r="C395" t="s">
        <v>29</v>
      </c>
      <c r="D395" s="18" t="s">
        <v>35</v>
      </c>
      <c r="E395">
        <v>13.6</v>
      </c>
      <c r="F395">
        <v>13.2</v>
      </c>
      <c r="G395">
        <v>15.1</v>
      </c>
      <c r="H395">
        <v>15.2</v>
      </c>
      <c r="I395">
        <v>15.6</v>
      </c>
      <c r="J395">
        <v>15.1</v>
      </c>
      <c r="K395">
        <v>15.5</v>
      </c>
      <c r="L395">
        <f>Tableau1[[#This Row],[Final_time]]-SUM(Tableau1[[#This Row],[0_100m]:[600_700m]])</f>
        <v>15.680000000000021</v>
      </c>
      <c r="M395">
        <v>118.98</v>
      </c>
      <c r="N395">
        <f>SUM(Tableau1[[#This Row],[0_100m]:[700_800m]])</f>
        <v>118.98</v>
      </c>
      <c r="O395">
        <f>ABS(Tableau1[[#This Row],[Final_time]]-Tableau1[[#This Row],[Sum_time]])</f>
        <v>0</v>
      </c>
      <c r="P395" s="8"/>
      <c r="Q395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5" t="s">
        <v>298</v>
      </c>
      <c r="S395" s="1" t="s">
        <v>68</v>
      </c>
      <c r="U395" s="1" t="s">
        <v>69</v>
      </c>
      <c r="V395" s="1">
        <v>45130</v>
      </c>
      <c r="W395" s="4">
        <f>YEAR(Tableau1[[#This Row],[Competition_date]])</f>
        <v>2023</v>
      </c>
      <c r="X395" s="4">
        <v>23</v>
      </c>
      <c r="Y395" s="6">
        <v>0.55000000000000004</v>
      </c>
      <c r="Z395" s="4" t="s">
        <v>81</v>
      </c>
      <c r="AA395" t="s">
        <v>176</v>
      </c>
    </row>
    <row r="396" spans="1:27" hidden="1" x14ac:dyDescent="0.35">
      <c r="A396" t="str">
        <f>_xlfn.CONCAT(Tableau1[[#This Row],[Athletes]],"_",Tableau1[[#This Row],[Nationality]],"_",Tableau1[[#This Row],[Competition_year]])</f>
        <v>Sage HURTA-KLECKER_USA_2023</v>
      </c>
      <c r="B396" t="s">
        <v>289</v>
      </c>
      <c r="C396" t="s">
        <v>29</v>
      </c>
      <c r="D396" s="18" t="s">
        <v>35</v>
      </c>
      <c r="E396">
        <v>14.1</v>
      </c>
      <c r="F396">
        <v>13.3</v>
      </c>
      <c r="G396">
        <v>14.9</v>
      </c>
      <c r="H396">
        <v>14.7</v>
      </c>
      <c r="I396">
        <v>15.9</v>
      </c>
      <c r="J396">
        <v>15.7</v>
      </c>
      <c r="K396">
        <v>16.5</v>
      </c>
      <c r="L396">
        <f>Tableau1[[#This Row],[Final_time]]-SUM(Tableau1[[#This Row],[0_100m]:[600_700m]])</f>
        <v>18.879999999999995</v>
      </c>
      <c r="M396">
        <v>123.98</v>
      </c>
      <c r="N396">
        <f>SUM(Tableau1[[#This Row],[0_100m]:[700_800m]])</f>
        <v>123.98</v>
      </c>
      <c r="O396">
        <f>ABS(Tableau1[[#This Row],[Final_time]]-Tableau1[[#This Row],[Sum_time]])</f>
        <v>0</v>
      </c>
      <c r="P396" s="8"/>
      <c r="Q396" s="16" t="str">
        <f>_xlfn.CONCAT(Tableau1[[#This Row],[Competition]],"_",Tableau1[[#This Row],[Championship_step]],"_",Tableau1[[#This Row],[Competition_date]],"_",Tableau1[[#This Row],[Gender]])</f>
        <v>Diamond League London 2023__45130_Female</v>
      </c>
      <c r="R396" t="s">
        <v>298</v>
      </c>
      <c r="S396" s="1" t="s">
        <v>68</v>
      </c>
      <c r="U396" s="1" t="s">
        <v>69</v>
      </c>
      <c r="V396" s="1">
        <v>45130</v>
      </c>
      <c r="W396" s="4">
        <f>YEAR(Tableau1[[#This Row],[Competition_date]])</f>
        <v>2023</v>
      </c>
      <c r="X396" s="4">
        <v>23</v>
      </c>
      <c r="Y396" s="6">
        <v>0.55000000000000004</v>
      </c>
      <c r="Z396" s="4" t="s">
        <v>81</v>
      </c>
      <c r="AA396" t="s">
        <v>176</v>
      </c>
    </row>
    <row r="397" spans="1:27" hidden="1" x14ac:dyDescent="0.35">
      <c r="A397" t="str">
        <f>_xlfn.CONCAT(Tableau1[[#This Row],[Athletes]],"_",Tableau1[[#This Row],[Nationality]],"_",Tableau1[[#This Row],[Competition_year]])</f>
        <v>Max BURGIN_GBR_2023</v>
      </c>
      <c r="B397" t="s">
        <v>188</v>
      </c>
      <c r="C397" t="s">
        <v>14</v>
      </c>
      <c r="D397" s="18" t="s">
        <v>30</v>
      </c>
      <c r="E397">
        <v>12.5</v>
      </c>
      <c r="F397">
        <v>11.4</v>
      </c>
      <c r="G397">
        <v>12.6</v>
      </c>
      <c r="H397">
        <v>13.5</v>
      </c>
      <c r="I397">
        <v>13.3</v>
      </c>
      <c r="J397">
        <v>13.6</v>
      </c>
      <c r="K397">
        <v>13.5</v>
      </c>
      <c r="L397">
        <f>Tableau1[[#This Row],[Final_time]]-SUM(Tableau1[[#This Row],[0_100m]:[600_700m]])</f>
        <v>13.450000000000003</v>
      </c>
      <c r="M397">
        <v>103.85</v>
      </c>
      <c r="N397">
        <f>SUM(Tableau1[[#This Row],[0_100m]:[700_800m]])</f>
        <v>103.85</v>
      </c>
      <c r="O397">
        <f>ABS(Tableau1[[#This Row],[Final_time]]-Tableau1[[#This Row],[Sum_time]])</f>
        <v>0</v>
      </c>
      <c r="P397" s="8"/>
      <c r="Q397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397" t="s">
        <v>298</v>
      </c>
      <c r="S397" s="1" t="s">
        <v>68</v>
      </c>
      <c r="U397" s="1" t="s">
        <v>69</v>
      </c>
      <c r="V397" s="1">
        <v>45130</v>
      </c>
      <c r="W397" s="4">
        <f>YEAR(Tableau1[[#This Row],[Competition_date]])</f>
        <v>2023</v>
      </c>
      <c r="X397" s="4">
        <v>23</v>
      </c>
      <c r="Y397" s="6">
        <v>0.56999999999999995</v>
      </c>
      <c r="Z397" s="4" t="s">
        <v>299</v>
      </c>
      <c r="AA397" t="s">
        <v>176</v>
      </c>
    </row>
    <row r="398" spans="1:27" hidden="1" x14ac:dyDescent="0.35">
      <c r="A398" t="str">
        <f>_xlfn.CONCAT(Tableau1[[#This Row],[Athletes]],"_",Tableau1[[#This Row],[Nationality]],"_",Tableau1[[#This Row],[Competition_year]])</f>
        <v>Ben PATTISON_GBR_2023</v>
      </c>
      <c r="B398" t="s">
        <v>108</v>
      </c>
      <c r="C398" t="s">
        <v>14</v>
      </c>
      <c r="D398" s="18" t="s">
        <v>30</v>
      </c>
      <c r="E398">
        <v>12.4</v>
      </c>
      <c r="F398">
        <v>11.7</v>
      </c>
      <c r="G398">
        <v>12.9</v>
      </c>
      <c r="H398">
        <v>13.4</v>
      </c>
      <c r="I398">
        <v>13.5</v>
      </c>
      <c r="J398">
        <v>13.5</v>
      </c>
      <c r="K398">
        <v>13.4</v>
      </c>
      <c r="L398">
        <f>Tableau1[[#This Row],[Final_time]]-SUM(Tableau1[[#This Row],[0_100m]:[600_700m]])</f>
        <v>13.219999999999985</v>
      </c>
      <c r="M398">
        <v>104.02</v>
      </c>
      <c r="N398">
        <f>SUM(Tableau1[[#This Row],[0_100m]:[700_800m]])</f>
        <v>104.02</v>
      </c>
      <c r="O398">
        <f>ABS(Tableau1[[#This Row],[Final_time]]-Tableau1[[#This Row],[Sum_time]])</f>
        <v>0</v>
      </c>
      <c r="P398" s="8"/>
      <c r="Q398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398" t="s">
        <v>298</v>
      </c>
      <c r="S398" s="1" t="s">
        <v>68</v>
      </c>
      <c r="U398" s="1" t="s">
        <v>69</v>
      </c>
      <c r="V398" s="1">
        <v>45130</v>
      </c>
      <c r="W398" s="4">
        <f>YEAR(Tableau1[[#This Row],[Competition_date]])</f>
        <v>2023</v>
      </c>
      <c r="X398" s="4">
        <v>23</v>
      </c>
      <c r="Y398" s="6">
        <v>0.56999999999999995</v>
      </c>
      <c r="Z398" s="4" t="s">
        <v>299</v>
      </c>
      <c r="AA398" t="s">
        <v>176</v>
      </c>
    </row>
    <row r="399" spans="1:27" hidden="1" x14ac:dyDescent="0.35">
      <c r="A399" t="str">
        <f>_xlfn.CONCAT(Tableau1[[#This Row],[Athletes]],"_",Tableau1[[#This Row],[Nationality]],"_",Tableau1[[#This Row],[Competition_year]])</f>
        <v>Alex BOTTERILL_GBR_2023</v>
      </c>
      <c r="B399" t="s">
        <v>290</v>
      </c>
      <c r="C399" t="s">
        <v>14</v>
      </c>
      <c r="D399" s="18" t="s">
        <v>30</v>
      </c>
      <c r="E399">
        <v>12.7</v>
      </c>
      <c r="F399">
        <v>12</v>
      </c>
      <c r="G399">
        <v>13.2</v>
      </c>
      <c r="H399">
        <v>13.4</v>
      </c>
      <c r="I399">
        <v>13.5</v>
      </c>
      <c r="J399">
        <v>13.3</v>
      </c>
      <c r="K399">
        <v>13.4</v>
      </c>
      <c r="L399">
        <f>Tableau1[[#This Row],[Final_time]]-SUM(Tableau1[[#This Row],[0_100m]:[600_700m]])</f>
        <v>13.25</v>
      </c>
      <c r="M399">
        <v>104.75</v>
      </c>
      <c r="N399">
        <f>SUM(Tableau1[[#This Row],[0_100m]:[700_800m]])</f>
        <v>104.75</v>
      </c>
      <c r="O399">
        <f>ABS(Tableau1[[#This Row],[Final_time]]-Tableau1[[#This Row],[Sum_time]])</f>
        <v>0</v>
      </c>
      <c r="P399" s="8"/>
      <c r="Q399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399" t="s">
        <v>298</v>
      </c>
      <c r="S399" s="1" t="s">
        <v>68</v>
      </c>
      <c r="U399" s="1" t="s">
        <v>69</v>
      </c>
      <c r="V399" s="1">
        <v>45130</v>
      </c>
      <c r="W399" s="4">
        <f>YEAR(Tableau1[[#This Row],[Competition_date]])</f>
        <v>2023</v>
      </c>
      <c r="X399" s="4">
        <v>23</v>
      </c>
      <c r="Y399" s="6">
        <v>0.56999999999999995</v>
      </c>
      <c r="Z399" s="4" t="s">
        <v>299</v>
      </c>
      <c r="AA399" t="s">
        <v>176</v>
      </c>
    </row>
    <row r="400" spans="1:27" hidden="1" x14ac:dyDescent="0.35">
      <c r="A400" t="str">
        <f>_xlfn.CONCAT(Tableau1[[#This Row],[Athletes]],"_",Tableau1[[#This Row],[Nationality]],"_",Tableau1[[#This Row],[Competition_year]])</f>
        <v>Guy LEARMONTH_GBR_2023</v>
      </c>
      <c r="B400" t="s">
        <v>291</v>
      </c>
      <c r="C400" t="s">
        <v>14</v>
      </c>
      <c r="D400" s="18" t="s">
        <v>30</v>
      </c>
      <c r="E400">
        <v>12.7</v>
      </c>
      <c r="F400">
        <v>11.6</v>
      </c>
      <c r="G400">
        <v>13</v>
      </c>
      <c r="H400">
        <v>13.3</v>
      </c>
      <c r="I400">
        <v>13.5</v>
      </c>
      <c r="J400">
        <v>13.4</v>
      </c>
      <c r="K400">
        <v>13.4</v>
      </c>
      <c r="L400">
        <f>Tableau1[[#This Row],[Final_time]]-SUM(Tableau1[[#This Row],[0_100m]:[600_700m]])</f>
        <v>13.899999999999991</v>
      </c>
      <c r="M400">
        <v>104.8</v>
      </c>
      <c r="N400">
        <f>SUM(Tableau1[[#This Row],[0_100m]:[700_800m]])</f>
        <v>104.8</v>
      </c>
      <c r="O400">
        <f>ABS(Tableau1[[#This Row],[Final_time]]-Tableau1[[#This Row],[Sum_time]])</f>
        <v>0</v>
      </c>
      <c r="P400" s="8"/>
      <c r="Q400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0" t="s">
        <v>298</v>
      </c>
      <c r="S400" s="1" t="s">
        <v>68</v>
      </c>
      <c r="U400" s="1" t="s">
        <v>69</v>
      </c>
      <c r="V400" s="1">
        <v>45130</v>
      </c>
      <c r="W400" s="4">
        <f>YEAR(Tableau1[[#This Row],[Competition_date]])</f>
        <v>2023</v>
      </c>
      <c r="X400" s="4">
        <v>23</v>
      </c>
      <c r="Y400" s="6">
        <v>0.56999999999999995</v>
      </c>
      <c r="Z400" s="4" t="s">
        <v>299</v>
      </c>
      <c r="AA400" t="s">
        <v>176</v>
      </c>
    </row>
    <row r="401" spans="1:27" hidden="1" x14ac:dyDescent="0.35">
      <c r="A401" t="str">
        <f>_xlfn.CONCAT(Tableau1[[#This Row],[Athletes]],"_",Tableau1[[#This Row],[Nationality]],"_",Tableau1[[#This Row],[Competition_year]])</f>
        <v>Thomas RANDOLPH_GBR_2023</v>
      </c>
      <c r="B401" t="s">
        <v>292</v>
      </c>
      <c r="C401" t="s">
        <v>14</v>
      </c>
      <c r="D401" s="18" t="s">
        <v>30</v>
      </c>
      <c r="E401">
        <v>12.2</v>
      </c>
      <c r="F401">
        <v>11.8</v>
      </c>
      <c r="G401">
        <v>12.7</v>
      </c>
      <c r="H401">
        <v>13.5</v>
      </c>
      <c r="I401">
        <v>13.4</v>
      </c>
      <c r="J401">
        <v>13.7</v>
      </c>
      <c r="K401">
        <v>13.4</v>
      </c>
      <c r="L401">
        <f>Tableau1[[#This Row],[Final_time]]-SUM(Tableau1[[#This Row],[0_100m]:[600_700m]])</f>
        <v>14.179999999999993</v>
      </c>
      <c r="M401">
        <v>104.88</v>
      </c>
      <c r="N401">
        <f>SUM(Tableau1[[#This Row],[0_100m]:[700_800m]])</f>
        <v>104.88</v>
      </c>
      <c r="O401">
        <f>ABS(Tableau1[[#This Row],[Final_time]]-Tableau1[[#This Row],[Sum_time]])</f>
        <v>0</v>
      </c>
      <c r="P401" s="8"/>
      <c r="Q401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1" t="s">
        <v>298</v>
      </c>
      <c r="S401" s="1" t="s">
        <v>68</v>
      </c>
      <c r="U401" s="1" t="s">
        <v>69</v>
      </c>
      <c r="V401" s="1">
        <v>45130</v>
      </c>
      <c r="W401" s="4">
        <f>YEAR(Tableau1[[#This Row],[Competition_date]])</f>
        <v>2023</v>
      </c>
      <c r="X401" s="4">
        <v>23</v>
      </c>
      <c r="Y401" s="6">
        <v>0.56999999999999995</v>
      </c>
      <c r="Z401" s="4" t="s">
        <v>299</v>
      </c>
      <c r="AA401" t="s">
        <v>176</v>
      </c>
    </row>
    <row r="402" spans="1:27" hidden="1" x14ac:dyDescent="0.35">
      <c r="A402" t="str">
        <f>_xlfn.CONCAT(Tableau1[[#This Row],[Athletes]],"_",Tableau1[[#This Row],[Nationality]],"_",Tableau1[[#This Row],[Competition_year]])</f>
        <v>Ethan HUSSEY_GBR_2023</v>
      </c>
      <c r="B402" t="s">
        <v>293</v>
      </c>
      <c r="C402" t="s">
        <v>14</v>
      </c>
      <c r="D402" s="18" t="s">
        <v>30</v>
      </c>
      <c r="E402">
        <v>12.5</v>
      </c>
      <c r="F402">
        <v>12</v>
      </c>
      <c r="G402">
        <v>13.2</v>
      </c>
      <c r="H402">
        <v>13.4</v>
      </c>
      <c r="I402">
        <v>13.5</v>
      </c>
      <c r="J402">
        <v>13.3</v>
      </c>
      <c r="K402">
        <v>13.5</v>
      </c>
      <c r="L402">
        <f>Tableau1[[#This Row],[Final_time]]-SUM(Tableau1[[#This Row],[0_100m]:[600_700m]])</f>
        <v>13.560000000000002</v>
      </c>
      <c r="M402">
        <v>104.96</v>
      </c>
      <c r="N402">
        <f>SUM(Tableau1[[#This Row],[0_100m]:[700_800m]])</f>
        <v>104.96</v>
      </c>
      <c r="O402">
        <f>ABS(Tableau1[[#This Row],[Final_time]]-Tableau1[[#This Row],[Sum_time]])</f>
        <v>0</v>
      </c>
      <c r="P402" s="8"/>
      <c r="Q402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2" t="s">
        <v>298</v>
      </c>
      <c r="S402" s="1" t="s">
        <v>68</v>
      </c>
      <c r="U402" s="1" t="s">
        <v>69</v>
      </c>
      <c r="V402" s="1">
        <v>45130</v>
      </c>
      <c r="W402" s="4">
        <f>YEAR(Tableau1[[#This Row],[Competition_date]])</f>
        <v>2023</v>
      </c>
      <c r="X402" s="4">
        <v>23</v>
      </c>
      <c r="Y402" s="6">
        <v>0.56999999999999995</v>
      </c>
      <c r="Z402" s="4" t="s">
        <v>299</v>
      </c>
      <c r="AA402" t="s">
        <v>176</v>
      </c>
    </row>
    <row r="403" spans="1:27" hidden="1" x14ac:dyDescent="0.35">
      <c r="A403" t="str">
        <f>_xlfn.CONCAT(Tableau1[[#This Row],[Athletes]],"_",Tableau1[[#This Row],[Nationality]],"_",Tableau1[[#This Row],[Competition_year]])</f>
        <v>Archie DAVIS_GBR_2023</v>
      </c>
      <c r="B403" t="s">
        <v>294</v>
      </c>
      <c r="C403" t="s">
        <v>14</v>
      </c>
      <c r="D403" s="18" t="s">
        <v>30</v>
      </c>
      <c r="E403">
        <v>12.9</v>
      </c>
      <c r="F403">
        <v>12.1</v>
      </c>
      <c r="G403">
        <v>13.3</v>
      </c>
      <c r="H403">
        <v>13.7</v>
      </c>
      <c r="I403">
        <v>13.3</v>
      </c>
      <c r="J403">
        <v>13.3</v>
      </c>
      <c r="K403">
        <v>13.4</v>
      </c>
      <c r="L403">
        <f>Tableau1[[#This Row],[Final_time]]-SUM(Tableau1[[#This Row],[0_100m]:[600_700m]])</f>
        <v>13.39</v>
      </c>
      <c r="M403">
        <v>105.39</v>
      </c>
      <c r="N403">
        <f>SUM(Tableau1[[#This Row],[0_100m]:[700_800m]])</f>
        <v>105.39</v>
      </c>
      <c r="O403">
        <f>ABS(Tableau1[[#This Row],[Final_time]]-Tableau1[[#This Row],[Sum_time]])</f>
        <v>0</v>
      </c>
      <c r="P403" s="8"/>
      <c r="Q403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3" t="s">
        <v>298</v>
      </c>
      <c r="S403" s="1" t="s">
        <v>68</v>
      </c>
      <c r="U403" s="1" t="s">
        <v>69</v>
      </c>
      <c r="V403" s="1">
        <v>45130</v>
      </c>
      <c r="W403" s="4">
        <f>YEAR(Tableau1[[#This Row],[Competition_date]])</f>
        <v>2023</v>
      </c>
      <c r="X403" s="4">
        <v>23</v>
      </c>
      <c r="Y403" s="6">
        <v>0.56999999999999995</v>
      </c>
      <c r="Z403" s="4" t="s">
        <v>299</v>
      </c>
      <c r="AA403" t="s">
        <v>176</v>
      </c>
    </row>
    <row r="404" spans="1:27" hidden="1" x14ac:dyDescent="0.35">
      <c r="A404" t="str">
        <f>_xlfn.CONCAT(Tableau1[[#This Row],[Athletes]],"_",Tableau1[[#This Row],[Nationality]],"_",Tableau1[[#This Row],[Competition_year]])</f>
        <v>Reece SHARMAN-NEWELL_GBR_2023</v>
      </c>
      <c r="B404" t="s">
        <v>295</v>
      </c>
      <c r="C404" t="s">
        <v>14</v>
      </c>
      <c r="D404" s="18" t="s">
        <v>30</v>
      </c>
      <c r="E404">
        <v>12.5</v>
      </c>
      <c r="F404">
        <v>11.9</v>
      </c>
      <c r="G404">
        <v>13.1</v>
      </c>
      <c r="H404">
        <v>13.3</v>
      </c>
      <c r="I404">
        <v>13.6</v>
      </c>
      <c r="J404">
        <v>13.4</v>
      </c>
      <c r="K404">
        <v>13.5</v>
      </c>
      <c r="L404">
        <f>Tableau1[[#This Row],[Final_time]]-SUM(Tableau1[[#This Row],[0_100m]:[600_700m]])</f>
        <v>14.13000000000001</v>
      </c>
      <c r="M404">
        <v>105.43</v>
      </c>
      <c r="N404">
        <f>SUM(Tableau1[[#This Row],[0_100m]:[700_800m]])</f>
        <v>105.43</v>
      </c>
      <c r="O404">
        <f>ABS(Tableau1[[#This Row],[Final_time]]-Tableau1[[#This Row],[Sum_time]])</f>
        <v>0</v>
      </c>
      <c r="P404" s="8"/>
      <c r="Q404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4" t="s">
        <v>298</v>
      </c>
      <c r="S404" s="1" t="s">
        <v>68</v>
      </c>
      <c r="U404" s="1" t="s">
        <v>69</v>
      </c>
      <c r="V404" s="1">
        <v>45130</v>
      </c>
      <c r="W404" s="4">
        <f>YEAR(Tableau1[[#This Row],[Competition_date]])</f>
        <v>2023</v>
      </c>
      <c r="X404" s="4">
        <v>23</v>
      </c>
      <c r="Y404" s="6">
        <v>0.56999999999999995</v>
      </c>
      <c r="Z404" s="4" t="s">
        <v>299</v>
      </c>
      <c r="AA404" t="s">
        <v>176</v>
      </c>
    </row>
    <row r="405" spans="1:27" hidden="1" x14ac:dyDescent="0.35">
      <c r="A405" t="str">
        <f>_xlfn.CONCAT(Tableau1[[#This Row],[Athletes]],"_",Tableau1[[#This Row],[Nationality]],"_",Tableau1[[#This Row],[Competition_year]])</f>
        <v>Samuel REARDON_GBR_2023</v>
      </c>
      <c r="B405" t="s">
        <v>296</v>
      </c>
      <c r="C405" t="s">
        <v>14</v>
      </c>
      <c r="D405" s="18" t="s">
        <v>30</v>
      </c>
      <c r="E405">
        <v>12.2</v>
      </c>
      <c r="F405">
        <v>12.1</v>
      </c>
      <c r="G405">
        <v>14.2</v>
      </c>
      <c r="H405">
        <v>13.3</v>
      </c>
      <c r="I405">
        <v>13.3</v>
      </c>
      <c r="J405">
        <v>13.3</v>
      </c>
      <c r="K405">
        <v>13.8</v>
      </c>
      <c r="L405">
        <f>Tableau1[[#This Row],[Final_time]]-SUM(Tableau1[[#This Row],[0_100m]:[600_700m]])</f>
        <v>16.300000000000011</v>
      </c>
      <c r="M405">
        <v>108.5</v>
      </c>
      <c r="N405">
        <f>SUM(Tableau1[[#This Row],[0_100m]:[700_800m]])</f>
        <v>108.5</v>
      </c>
      <c r="O405">
        <f>ABS(Tableau1[[#This Row],[Final_time]]-Tableau1[[#This Row],[Sum_time]])</f>
        <v>0</v>
      </c>
      <c r="P405" s="8"/>
      <c r="Q405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5" t="s">
        <v>298</v>
      </c>
      <c r="S405" s="1" t="s">
        <v>68</v>
      </c>
      <c r="U405" s="1" t="s">
        <v>69</v>
      </c>
      <c r="V405" s="1">
        <v>45130</v>
      </c>
      <c r="W405" s="4">
        <f>YEAR(Tableau1[[#This Row],[Competition_date]])</f>
        <v>2023</v>
      </c>
      <c r="X405" s="4">
        <v>23</v>
      </c>
      <c r="Y405" s="6">
        <v>0.56999999999999995</v>
      </c>
      <c r="Z405" s="4" t="s">
        <v>299</v>
      </c>
      <c r="AA405" t="s">
        <v>176</v>
      </c>
    </row>
    <row r="406" spans="1:27" hidden="1" x14ac:dyDescent="0.35">
      <c r="A406" t="str">
        <f>_xlfn.CONCAT(Tableau1[[#This Row],[Athletes]],"_",Tableau1[[#This Row],[Nationality]],"_",Tableau1[[#This Row],[Competition_year]])</f>
        <v>Yusuf BIZIMANA_GBR_2023</v>
      </c>
      <c r="B406" t="s">
        <v>297</v>
      </c>
      <c r="C406" t="s">
        <v>14</v>
      </c>
      <c r="D406" s="18" t="s">
        <v>30</v>
      </c>
      <c r="E406">
        <v>12.3</v>
      </c>
      <c r="F406">
        <v>11.8</v>
      </c>
      <c r="G406">
        <v>13.8</v>
      </c>
      <c r="H406">
        <v>13.6</v>
      </c>
      <c r="I406">
        <v>13.6</v>
      </c>
      <c r="J406">
        <v>13.8</v>
      </c>
      <c r="K406">
        <v>14.4</v>
      </c>
      <c r="L406">
        <f>Tableau1[[#This Row],[Final_time]]-SUM(Tableau1[[#This Row],[0_100m]:[600_700m]])</f>
        <v>16.069999999999993</v>
      </c>
      <c r="M406">
        <v>109.37</v>
      </c>
      <c r="N406">
        <f>SUM(Tableau1[[#This Row],[0_100m]:[700_800m]])</f>
        <v>109.37</v>
      </c>
      <c r="O406">
        <f>ABS(Tableau1[[#This Row],[Final_time]]-Tableau1[[#This Row],[Sum_time]])</f>
        <v>0</v>
      </c>
      <c r="P406" s="8"/>
      <c r="Q406" s="1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R406" t="s">
        <v>298</v>
      </c>
      <c r="S406" s="1" t="s">
        <v>68</v>
      </c>
      <c r="U406" s="1" t="s">
        <v>69</v>
      </c>
      <c r="V406" s="1">
        <v>45130</v>
      </c>
      <c r="W406" s="4">
        <f>YEAR(Tableau1[[#This Row],[Competition_date]])</f>
        <v>2023</v>
      </c>
      <c r="X406" s="4">
        <v>23</v>
      </c>
      <c r="Y406" s="6">
        <v>0.56999999999999995</v>
      </c>
      <c r="Z406" s="4" t="s">
        <v>299</v>
      </c>
      <c r="AA406" t="s">
        <v>176</v>
      </c>
    </row>
    <row r="407" spans="1:27" hidden="1" x14ac:dyDescent="0.35">
      <c r="A407" t="str">
        <f>_xlfn.CONCAT(Tableau1[[#This Row],[Athletes]],"_",Tableau1[[#This Row],[Nationality]],"_",Tableau1[[#This Row],[Competition_year]])</f>
        <v>Keely HODGKINSON_GBR_2024</v>
      </c>
      <c r="B407" t="s">
        <v>212</v>
      </c>
      <c r="C407" t="s">
        <v>29</v>
      </c>
      <c r="D407" s="18" t="s">
        <v>30</v>
      </c>
      <c r="E407">
        <v>13.69</v>
      </c>
      <c r="F407">
        <v>13.68</v>
      </c>
      <c r="G407">
        <v>14.21</v>
      </c>
      <c r="H407">
        <v>14.84</v>
      </c>
      <c r="I407">
        <v>14.93</v>
      </c>
      <c r="J407">
        <v>14.21</v>
      </c>
      <c r="K407">
        <v>14.38</v>
      </c>
      <c r="L407">
        <f>Tableau1[[#This Row],[Final_time]]-SUM(Tableau1[[#This Row],[0_100m]:[600_700m]])</f>
        <v>14.670000000000002</v>
      </c>
      <c r="M407">
        <v>114.61</v>
      </c>
      <c r="N407">
        <f>SUM(Tableau1[[#This Row],[0_100m]:[700_800m]])</f>
        <v>114.61</v>
      </c>
      <c r="O407">
        <f>ABS(Tableau1[[#This Row],[Final_time]]-Tableau1[[#This Row],[Sum_time]])</f>
        <v>0</v>
      </c>
      <c r="P407" s="8"/>
      <c r="Q407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07" t="s">
        <v>31</v>
      </c>
      <c r="S407" s="1" t="s">
        <v>68</v>
      </c>
      <c r="U407" s="1" t="s">
        <v>69</v>
      </c>
      <c r="V407" s="1">
        <v>45493</v>
      </c>
      <c r="W407" s="4">
        <f>YEAR(Tableau1[[#This Row],[Competition_date]])</f>
        <v>2024</v>
      </c>
      <c r="X407" s="4">
        <v>23</v>
      </c>
      <c r="Y407" s="6">
        <v>0.65</v>
      </c>
      <c r="Z407" s="4" t="s">
        <v>81</v>
      </c>
      <c r="AA407" t="s">
        <v>32</v>
      </c>
    </row>
    <row r="408" spans="1:27" hidden="1" x14ac:dyDescent="0.35">
      <c r="A408" t="str">
        <f>_xlfn.CONCAT(Tableau1[[#This Row],[Athletes]],"_",Tableau1[[#This Row],[Nationality]],"_",Tableau1[[#This Row],[Competition_year]])</f>
        <v>Jemma REEKIE_GBR_2024</v>
      </c>
      <c r="B408" t="s">
        <v>220</v>
      </c>
      <c r="C408" t="s">
        <v>29</v>
      </c>
      <c r="D408" s="18" t="s">
        <v>30</v>
      </c>
      <c r="E408">
        <v>13.71</v>
      </c>
      <c r="F408">
        <v>13.77</v>
      </c>
      <c r="G408">
        <v>14.3</v>
      </c>
      <c r="H408">
        <v>14.83</v>
      </c>
      <c r="I408">
        <v>14.9</v>
      </c>
      <c r="J408">
        <v>14.24</v>
      </c>
      <c r="K408">
        <v>14.52</v>
      </c>
      <c r="L408">
        <f>Tableau1[[#This Row],[Final_time]]-SUM(Tableau1[[#This Row],[0_100m]:[600_700m]])</f>
        <v>15.340000000000003</v>
      </c>
      <c r="M408">
        <v>115.61</v>
      </c>
      <c r="N408">
        <f>SUM(Tableau1[[#This Row],[0_100m]:[700_800m]])</f>
        <v>115.61</v>
      </c>
      <c r="O408">
        <f>ABS(Tableau1[[#This Row],[Final_time]]-Tableau1[[#This Row],[Sum_time]])</f>
        <v>0</v>
      </c>
      <c r="P408" s="8"/>
      <c r="Q408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08" t="s">
        <v>31</v>
      </c>
      <c r="S408" s="1" t="s">
        <v>68</v>
      </c>
      <c r="U408" s="1" t="s">
        <v>69</v>
      </c>
      <c r="V408" s="1">
        <v>45493</v>
      </c>
      <c r="W408" s="4">
        <f>YEAR(Tableau1[[#This Row],[Competition_date]])</f>
        <v>2024</v>
      </c>
      <c r="X408" s="4">
        <v>23</v>
      </c>
      <c r="Y408" s="6">
        <v>0.65</v>
      </c>
      <c r="Z408" s="4" t="s">
        <v>81</v>
      </c>
      <c r="AA408" t="s">
        <v>32</v>
      </c>
    </row>
    <row r="409" spans="1:27" hidden="1" x14ac:dyDescent="0.35">
      <c r="A409" t="str">
        <f>_xlfn.CONCAT(Tableau1[[#This Row],[Athletes]],"_",Tableau1[[#This Row],[Nationality]],"_",Tableau1[[#This Row],[Competition_year]])</f>
        <v>Georgia HUNTER BELL_GBR_2024</v>
      </c>
      <c r="B409" t="s">
        <v>1351</v>
      </c>
      <c r="C409" t="s">
        <v>29</v>
      </c>
      <c r="D409" s="18" t="s">
        <v>30</v>
      </c>
      <c r="E409">
        <v>14.11</v>
      </c>
      <c r="F409">
        <v>13.55</v>
      </c>
      <c r="G409">
        <v>14.64</v>
      </c>
      <c r="H409">
        <v>14.88</v>
      </c>
      <c r="I409">
        <v>14.86</v>
      </c>
      <c r="J409">
        <v>14.53</v>
      </c>
      <c r="K409">
        <v>15.12</v>
      </c>
      <c r="L409">
        <f>Tableau1[[#This Row],[Final_time]]-SUM(Tableau1[[#This Row],[0_100m]:[600_700m]])</f>
        <v>14.590000000000003</v>
      </c>
      <c r="M409">
        <v>116.28</v>
      </c>
      <c r="N409">
        <f>SUM(Tableau1[[#This Row],[0_100m]:[700_800m]])</f>
        <v>116.28</v>
      </c>
      <c r="O409">
        <f>ABS(Tableau1[[#This Row],[Final_time]]-Tableau1[[#This Row],[Sum_time]])</f>
        <v>0</v>
      </c>
      <c r="P409" s="8"/>
      <c r="Q409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09" t="s">
        <v>31</v>
      </c>
      <c r="S409" s="1" t="s">
        <v>68</v>
      </c>
      <c r="U409" s="1" t="s">
        <v>69</v>
      </c>
      <c r="V409" s="1">
        <v>45493</v>
      </c>
      <c r="W409" s="4">
        <f>YEAR(Tableau1[[#This Row],[Competition_date]])</f>
        <v>2024</v>
      </c>
      <c r="X409" s="4">
        <v>23</v>
      </c>
      <c r="Y409" s="6">
        <v>0.65</v>
      </c>
      <c r="Z409" s="4" t="s">
        <v>81</v>
      </c>
      <c r="AA409" t="s">
        <v>32</v>
      </c>
    </row>
    <row r="410" spans="1:27" hidden="1" x14ac:dyDescent="0.35">
      <c r="A410" t="str">
        <f>_xlfn.CONCAT(Tableau1[[#This Row],[Athletes]],"_",Tableau1[[#This Row],[Nationality]],"_",Tableau1[[#This Row],[Competition_year]])</f>
        <v>Natoya GOULE-TOPPIN_JAM_2024</v>
      </c>
      <c r="B410" t="s">
        <v>222</v>
      </c>
      <c r="C410" t="s">
        <v>29</v>
      </c>
      <c r="D410" s="18" t="s">
        <v>33</v>
      </c>
      <c r="E410">
        <v>13.78</v>
      </c>
      <c r="F410">
        <v>13.73</v>
      </c>
      <c r="G410">
        <v>14.65</v>
      </c>
      <c r="H410">
        <v>14.69</v>
      </c>
      <c r="I410">
        <v>14.97</v>
      </c>
      <c r="J410">
        <v>14.53</v>
      </c>
      <c r="K410">
        <v>14.81</v>
      </c>
      <c r="L410">
        <f>Tableau1[[#This Row],[Final_time]]-SUM(Tableau1[[#This Row],[0_100m]:[600_700m]])</f>
        <v>15.670000000000002</v>
      </c>
      <c r="M410">
        <v>116.83</v>
      </c>
      <c r="N410">
        <f>SUM(Tableau1[[#This Row],[0_100m]:[700_800m]])</f>
        <v>116.83</v>
      </c>
      <c r="O410">
        <f>ABS(Tableau1[[#This Row],[Final_time]]-Tableau1[[#This Row],[Sum_time]])</f>
        <v>0</v>
      </c>
      <c r="P410" s="8"/>
      <c r="Q410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0" t="s">
        <v>31</v>
      </c>
      <c r="S410" s="1" t="s">
        <v>68</v>
      </c>
      <c r="U410" s="1" t="s">
        <v>69</v>
      </c>
      <c r="V410" s="1">
        <v>45493</v>
      </c>
      <c r="W410" s="4">
        <f>YEAR(Tableau1[[#This Row],[Competition_date]])</f>
        <v>2024</v>
      </c>
      <c r="X410" s="4">
        <v>23</v>
      </c>
      <c r="Y410" s="6">
        <v>0.65</v>
      </c>
      <c r="Z410" s="4" t="s">
        <v>81</v>
      </c>
      <c r="AA410" t="s">
        <v>32</v>
      </c>
    </row>
    <row r="411" spans="1:27" hidden="1" x14ac:dyDescent="0.35">
      <c r="A411" t="str">
        <f>_xlfn.CONCAT(Tableau1[[#This Row],[Athletes]],"_",Tableau1[[#This Row],[Nationality]],"_",Tableau1[[#This Row],[Competition_year]])</f>
        <v>Rénelle LAMOTE_FRA_2024</v>
      </c>
      <c r="B411" t="s">
        <v>225</v>
      </c>
      <c r="C411" t="s">
        <v>29</v>
      </c>
      <c r="D411" s="18" t="s">
        <v>17</v>
      </c>
      <c r="E411">
        <v>14.14</v>
      </c>
      <c r="F411">
        <v>13.83</v>
      </c>
      <c r="G411">
        <v>14.73</v>
      </c>
      <c r="H411">
        <v>14.85</v>
      </c>
      <c r="I411">
        <v>15.16</v>
      </c>
      <c r="J411">
        <v>14.64</v>
      </c>
      <c r="K411">
        <v>15.07</v>
      </c>
      <c r="L411">
        <f>Tableau1[[#This Row],[Final_time]]-SUM(Tableau1[[#This Row],[0_100m]:[600_700m]])</f>
        <v>14.639999999999986</v>
      </c>
      <c r="M411">
        <v>117.06</v>
      </c>
      <c r="N411">
        <f>SUM(Tableau1[[#This Row],[0_100m]:[700_800m]])</f>
        <v>117.06</v>
      </c>
      <c r="O411">
        <f>ABS(Tableau1[[#This Row],[Final_time]]-Tableau1[[#This Row],[Sum_time]])</f>
        <v>0</v>
      </c>
      <c r="P411" s="8"/>
      <c r="Q411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1" t="s">
        <v>31</v>
      </c>
      <c r="S411" s="1" t="s">
        <v>68</v>
      </c>
      <c r="U411" s="1" t="s">
        <v>69</v>
      </c>
      <c r="V411" s="1">
        <v>45493</v>
      </c>
      <c r="W411" s="4">
        <f>YEAR(Tableau1[[#This Row],[Competition_date]])</f>
        <v>2024</v>
      </c>
      <c r="X411" s="4">
        <v>23</v>
      </c>
      <c r="Y411" s="6">
        <v>0.65</v>
      </c>
      <c r="Z411" s="4" t="s">
        <v>81</v>
      </c>
      <c r="AA411" t="s">
        <v>32</v>
      </c>
    </row>
    <row r="412" spans="1:27" hidden="1" x14ac:dyDescent="0.35">
      <c r="A412" t="str">
        <f>_xlfn.CONCAT(Tableau1[[#This Row],[Athletes]],"_",Tableau1[[#This Row],[Nationality]],"_",Tableau1[[#This Row],[Competition_year]])</f>
        <v>Halimah NAKAAYI_UGA_2024</v>
      </c>
      <c r="B412" t="s">
        <v>230</v>
      </c>
      <c r="C412" t="s">
        <v>29</v>
      </c>
      <c r="D412" s="18" t="s">
        <v>34</v>
      </c>
      <c r="E412">
        <v>13.7</v>
      </c>
      <c r="F412">
        <v>13.92</v>
      </c>
      <c r="G412">
        <v>14.68</v>
      </c>
      <c r="H412">
        <v>14.73</v>
      </c>
      <c r="I412">
        <v>14.89</v>
      </c>
      <c r="J412">
        <v>14.4</v>
      </c>
      <c r="K412">
        <v>15.21</v>
      </c>
      <c r="L412">
        <f>Tableau1[[#This Row],[Final_time]]-SUM(Tableau1[[#This Row],[0_100m]:[600_700m]])</f>
        <v>15.730000000000004</v>
      </c>
      <c r="M412">
        <v>117.26</v>
      </c>
      <c r="N412">
        <f>SUM(Tableau1[[#This Row],[0_100m]:[700_800m]])</f>
        <v>117.26</v>
      </c>
      <c r="O412">
        <f>ABS(Tableau1[[#This Row],[Final_time]]-Tableau1[[#This Row],[Sum_time]])</f>
        <v>0</v>
      </c>
      <c r="P412" s="8"/>
      <c r="Q412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2" t="s">
        <v>31</v>
      </c>
      <c r="S412" s="1" t="s">
        <v>68</v>
      </c>
      <c r="U412" s="1" t="s">
        <v>69</v>
      </c>
      <c r="V412" s="1">
        <v>45493</v>
      </c>
      <c r="W412" s="4">
        <f>YEAR(Tableau1[[#This Row],[Competition_date]])</f>
        <v>2024</v>
      </c>
      <c r="X412" s="4">
        <v>23</v>
      </c>
      <c r="Y412" s="6">
        <v>0.65</v>
      </c>
      <c r="Z412" s="4" t="s">
        <v>81</v>
      </c>
      <c r="AA412" t="s">
        <v>32</v>
      </c>
    </row>
    <row r="413" spans="1:27" hidden="1" x14ac:dyDescent="0.35">
      <c r="A413" t="str">
        <f>_xlfn.CONCAT(Tableau1[[#This Row],[Athletes]],"_",Tableau1[[#This Row],[Nationality]],"_",Tableau1[[#This Row],[Competition_year]])</f>
        <v>Allie WILSON_USA_2024</v>
      </c>
      <c r="B413" t="s">
        <v>345</v>
      </c>
      <c r="C413" t="s">
        <v>29</v>
      </c>
      <c r="D413" s="18" t="s">
        <v>35</v>
      </c>
      <c r="E413">
        <v>14.04</v>
      </c>
      <c r="F413">
        <v>13.76</v>
      </c>
      <c r="G413">
        <v>14.69</v>
      </c>
      <c r="H413">
        <v>14.9</v>
      </c>
      <c r="I413">
        <v>15.11</v>
      </c>
      <c r="J413">
        <v>14.6</v>
      </c>
      <c r="K413">
        <v>15.18</v>
      </c>
      <c r="L413">
        <f>Tableau1[[#This Row],[Final_time]]-SUM(Tableau1[[#This Row],[0_100m]:[600_700m]])</f>
        <v>15.239999999999995</v>
      </c>
      <c r="M413">
        <v>117.52</v>
      </c>
      <c r="N413">
        <f>SUM(Tableau1[[#This Row],[0_100m]:[700_800m]])</f>
        <v>117.52</v>
      </c>
      <c r="O413">
        <f>ABS(Tableau1[[#This Row],[Final_time]]-Tableau1[[#This Row],[Sum_time]])</f>
        <v>0</v>
      </c>
      <c r="P413" s="8"/>
      <c r="Q413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3" t="s">
        <v>31</v>
      </c>
      <c r="S413" s="1" t="s">
        <v>68</v>
      </c>
      <c r="U413" s="1" t="s">
        <v>69</v>
      </c>
      <c r="V413" s="1">
        <v>45493</v>
      </c>
      <c r="W413" s="4">
        <f>YEAR(Tableau1[[#This Row],[Competition_date]])</f>
        <v>2024</v>
      </c>
      <c r="X413" s="4">
        <v>23</v>
      </c>
      <c r="Y413" s="6">
        <v>0.65</v>
      </c>
      <c r="Z413" s="4" t="s">
        <v>81</v>
      </c>
      <c r="AA413" t="s">
        <v>32</v>
      </c>
    </row>
    <row r="414" spans="1:27" hidden="1" x14ac:dyDescent="0.35">
      <c r="A414" t="str">
        <f>_xlfn.CONCAT(Tableau1[[#This Row],[Athletes]],"_",Tableau1[[#This Row],[Nationality]],"_",Tableau1[[#This Row],[Competition_year]])</f>
        <v>Laura MUIR_GBR_2024</v>
      </c>
      <c r="B414" t="s">
        <v>328</v>
      </c>
      <c r="C414" t="s">
        <v>29</v>
      </c>
      <c r="D414" s="18" t="s">
        <v>30</v>
      </c>
      <c r="E414">
        <v>14.73</v>
      </c>
      <c r="F414">
        <v>13.74</v>
      </c>
      <c r="G414">
        <v>14.77</v>
      </c>
      <c r="H414">
        <v>14.69</v>
      </c>
      <c r="I414">
        <v>15.16</v>
      </c>
      <c r="J414">
        <v>14.55</v>
      </c>
      <c r="K414">
        <v>15.13</v>
      </c>
      <c r="L414">
        <f>Tableau1[[#This Row],[Final_time]]-SUM(Tableau1[[#This Row],[0_100m]:[600_700m]])</f>
        <v>14.860000000000014</v>
      </c>
      <c r="M414">
        <v>117.63</v>
      </c>
      <c r="N414">
        <f>SUM(Tableau1[[#This Row],[0_100m]:[700_800m]])</f>
        <v>117.63</v>
      </c>
      <c r="O414">
        <f>ABS(Tableau1[[#This Row],[Final_time]]-Tableau1[[#This Row],[Sum_time]])</f>
        <v>0</v>
      </c>
      <c r="P414" s="8"/>
      <c r="Q414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4" t="s">
        <v>31</v>
      </c>
      <c r="S414" s="1" t="s">
        <v>68</v>
      </c>
      <c r="U414" s="1" t="s">
        <v>69</v>
      </c>
      <c r="V414" s="1">
        <v>45493</v>
      </c>
      <c r="W414" s="4">
        <f>YEAR(Tableau1[[#This Row],[Competition_date]])</f>
        <v>2024</v>
      </c>
      <c r="X414" s="4">
        <v>23</v>
      </c>
      <c r="Y414" s="6">
        <v>0.65</v>
      </c>
      <c r="Z414" s="4" t="s">
        <v>81</v>
      </c>
      <c r="AA414" t="s">
        <v>32</v>
      </c>
    </row>
    <row r="415" spans="1:27" hidden="1" x14ac:dyDescent="0.35">
      <c r="A415" t="str">
        <f>_xlfn.CONCAT(Tableau1[[#This Row],[Athletes]],"_",Tableau1[[#This Row],[Nationality]],"_",Tableau1[[#This Row],[Competition_year]])</f>
        <v>Catriona BISSET_AUS_2024</v>
      </c>
      <c r="B415" t="s">
        <v>217</v>
      </c>
      <c r="C415" t="s">
        <v>29</v>
      </c>
      <c r="D415" s="18" t="s">
        <v>36</v>
      </c>
      <c r="E415">
        <v>14.06</v>
      </c>
      <c r="F415">
        <v>13.76</v>
      </c>
      <c r="G415">
        <v>14.71</v>
      </c>
      <c r="H415">
        <v>14.8</v>
      </c>
      <c r="I415">
        <v>14.98</v>
      </c>
      <c r="J415">
        <v>14.72</v>
      </c>
      <c r="K415">
        <v>15.05</v>
      </c>
      <c r="L415">
        <f>Tableau1[[#This Row],[Final_time]]-SUM(Tableau1[[#This Row],[0_100m]:[600_700m]])</f>
        <v>16.040000000000006</v>
      </c>
      <c r="M415">
        <v>118.12</v>
      </c>
      <c r="N415">
        <f>SUM(Tableau1[[#This Row],[0_100m]:[700_800m]])</f>
        <v>118.12</v>
      </c>
      <c r="O415">
        <f>ABS(Tableau1[[#This Row],[Final_time]]-Tableau1[[#This Row],[Sum_time]])</f>
        <v>0</v>
      </c>
      <c r="P415" s="8"/>
      <c r="Q415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5" t="s">
        <v>31</v>
      </c>
      <c r="S415" s="1" t="s">
        <v>68</v>
      </c>
      <c r="U415" s="1" t="s">
        <v>69</v>
      </c>
      <c r="V415" s="1">
        <v>45493</v>
      </c>
      <c r="W415" s="4">
        <f>YEAR(Tableau1[[#This Row],[Competition_date]])</f>
        <v>2024</v>
      </c>
      <c r="X415" s="4">
        <v>23</v>
      </c>
      <c r="Y415" s="6">
        <v>0.65</v>
      </c>
      <c r="Z415" s="4" t="s">
        <v>81</v>
      </c>
      <c r="AA415" t="s">
        <v>32</v>
      </c>
    </row>
    <row r="416" spans="1:27" hidden="1" x14ac:dyDescent="0.35">
      <c r="A416" t="str">
        <f>_xlfn.CONCAT(Tableau1[[#This Row],[Athletes]],"_",Tableau1[[#This Row],[Nationality]],"_",Tableau1[[#This Row],[Competition_year]])</f>
        <v>Elena BELLÒ_ITA_2024</v>
      </c>
      <c r="B416" t="s">
        <v>261</v>
      </c>
      <c r="C416" t="s">
        <v>29</v>
      </c>
      <c r="D416" s="18" t="s">
        <v>20</v>
      </c>
      <c r="E416">
        <v>14.5</v>
      </c>
      <c r="F416">
        <v>13.58</v>
      </c>
      <c r="G416">
        <v>14.79</v>
      </c>
      <c r="H416">
        <v>14.78</v>
      </c>
      <c r="I416">
        <v>15.28</v>
      </c>
      <c r="J416">
        <v>14.85</v>
      </c>
      <c r="K416">
        <v>15.29</v>
      </c>
      <c r="L416">
        <f>Tableau1[[#This Row],[Final_time]]-SUM(Tableau1[[#This Row],[0_100m]:[600_700m]])</f>
        <v>15.820000000000007</v>
      </c>
      <c r="M416">
        <v>118.89</v>
      </c>
      <c r="N416">
        <f>SUM(Tableau1[[#This Row],[0_100m]:[700_800m]])</f>
        <v>118.89</v>
      </c>
      <c r="O416">
        <f>ABS(Tableau1[[#This Row],[Final_time]]-Tableau1[[#This Row],[Sum_time]])</f>
        <v>0</v>
      </c>
      <c r="P416" s="8"/>
      <c r="Q416" s="16" t="str">
        <f>_xlfn.CONCAT(Tableau1[[#This Row],[Competition]],"_",Tableau1[[#This Row],[Championship_step]],"_",Tableau1[[#This Row],[Competition_date]],"_",Tableau1[[#This Row],[Gender]])</f>
        <v>Diamond League London 2024__45493_Female</v>
      </c>
      <c r="R416" t="s">
        <v>31</v>
      </c>
      <c r="S416" s="1" t="s">
        <v>68</v>
      </c>
      <c r="U416" s="1" t="s">
        <v>69</v>
      </c>
      <c r="V416" s="1">
        <v>45493</v>
      </c>
      <c r="W416" s="4">
        <f>YEAR(Tableau1[[#This Row],[Competition_date]])</f>
        <v>2024</v>
      </c>
      <c r="X416" s="4">
        <v>23</v>
      </c>
      <c r="Y416" s="6">
        <v>0.65</v>
      </c>
      <c r="Z416" s="4" t="s">
        <v>81</v>
      </c>
      <c r="AA416" t="s">
        <v>32</v>
      </c>
    </row>
    <row r="417" spans="1:26" hidden="1" x14ac:dyDescent="0.35">
      <c r="A417" t="str">
        <f>_xlfn.CONCAT(Tableau1[[#This Row],[Athletes]],"_",Tableau1[[#This Row],[Nationality]],"_",Tableau1[[#This Row],[Competition_year]])</f>
        <v>Georgia HUNTER BELL_GBR_2025</v>
      </c>
      <c r="B417" t="s">
        <v>1351</v>
      </c>
      <c r="C417" t="s">
        <v>29</v>
      </c>
      <c r="D417" s="18" t="s">
        <v>30</v>
      </c>
      <c r="E417">
        <v>14.1</v>
      </c>
      <c r="F417">
        <v>13.5</v>
      </c>
      <c r="G417">
        <v>14.5</v>
      </c>
      <c r="H417">
        <v>14.9</v>
      </c>
      <c r="I417">
        <v>15.1</v>
      </c>
      <c r="J417">
        <v>14.8</v>
      </c>
      <c r="K417">
        <v>15.4</v>
      </c>
      <c r="L417">
        <f>Tableau1[[#This Row],[Final_time]]-SUM(Tableau1[[#This Row],[0_100m]:[600_700m]])</f>
        <v>14.439999999999998</v>
      </c>
      <c r="M417">
        <v>116.74</v>
      </c>
      <c r="N417">
        <f>SUM(Tableau1[[#This Row],[0_100m]:[700_800m]])</f>
        <v>116.74</v>
      </c>
      <c r="O417">
        <f>ABS(Tableau1[[#This Row],[Final_time]]-Tableau1[[#This Row],[Sum_time]])</f>
        <v>0</v>
      </c>
      <c r="P417" s="8"/>
      <c r="Q417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17" t="s">
        <v>1380</v>
      </c>
      <c r="S417" s="1" t="s">
        <v>68</v>
      </c>
      <c r="U417" s="1" t="s">
        <v>69</v>
      </c>
      <c r="V417" s="1">
        <v>45857</v>
      </c>
      <c r="W417" s="4">
        <f>YEAR(Tableau1[[#This Row],[Competition_date]])</f>
        <v>2025</v>
      </c>
      <c r="X417" s="4">
        <v>19</v>
      </c>
      <c r="Y417" s="6">
        <v>0.96</v>
      </c>
      <c r="Z417" s="4" t="s">
        <v>83</v>
      </c>
    </row>
    <row r="418" spans="1:26" hidden="1" x14ac:dyDescent="0.35">
      <c r="A418" t="str">
        <f>_xlfn.CONCAT(Tableau1[[#This Row],[Athletes]],"_",Tableau1[[#This Row],[Nationality]],"_",Tableau1[[#This Row],[Competition_year]])</f>
        <v>Addison WILEY_USA_2025</v>
      </c>
      <c r="B418" t="s">
        <v>533</v>
      </c>
      <c r="C418" t="s">
        <v>29</v>
      </c>
      <c r="D418" s="18" t="s">
        <v>35</v>
      </c>
      <c r="E418">
        <v>14.1</v>
      </c>
      <c r="F418">
        <v>13.4</v>
      </c>
      <c r="G418">
        <v>14.6</v>
      </c>
      <c r="H418">
        <v>15</v>
      </c>
      <c r="I418">
        <v>15.2</v>
      </c>
      <c r="J418">
        <v>14.8</v>
      </c>
      <c r="K418">
        <v>15.4</v>
      </c>
      <c r="L418">
        <f>Tableau1[[#This Row],[Final_time]]-SUM(Tableau1[[#This Row],[0_100m]:[600_700m]])</f>
        <v>14.930000000000007</v>
      </c>
      <c r="M418">
        <v>117.43</v>
      </c>
      <c r="N418">
        <f>SUM(Tableau1[[#This Row],[0_100m]:[700_800m]])</f>
        <v>117.43</v>
      </c>
      <c r="O418">
        <f>ABS(Tableau1[[#This Row],[Final_time]]-Tableau1[[#This Row],[Sum_time]])</f>
        <v>0</v>
      </c>
      <c r="P418" s="8"/>
      <c r="Q418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18" t="s">
        <v>1380</v>
      </c>
      <c r="S418" s="1" t="s">
        <v>68</v>
      </c>
      <c r="U418" s="1" t="s">
        <v>69</v>
      </c>
      <c r="V418" s="1">
        <v>45857</v>
      </c>
      <c r="W418" s="4">
        <f>YEAR(Tableau1[[#This Row],[Competition_date]])</f>
        <v>2025</v>
      </c>
      <c r="X418" s="4">
        <v>19</v>
      </c>
      <c r="Y418" s="6">
        <v>0.96</v>
      </c>
      <c r="Z418" s="4" t="s">
        <v>83</v>
      </c>
    </row>
    <row r="419" spans="1:26" hidden="1" x14ac:dyDescent="0.35">
      <c r="A419" t="str">
        <f>_xlfn.CONCAT(Tableau1[[#This Row],[Athletes]],"_",Tableau1[[#This Row],[Nationality]],"_",Tableau1[[#This Row],[Competition_year]])</f>
        <v>Halimah NAKAAYI_UGA_2025</v>
      </c>
      <c r="B419" t="s">
        <v>230</v>
      </c>
      <c r="C419" t="s">
        <v>29</v>
      </c>
      <c r="D419" s="18" t="s">
        <v>34</v>
      </c>
      <c r="E419">
        <v>13.9</v>
      </c>
      <c r="F419">
        <v>13.5</v>
      </c>
      <c r="G419">
        <v>14.6</v>
      </c>
      <c r="H419">
        <v>14.9</v>
      </c>
      <c r="I419">
        <v>15</v>
      </c>
      <c r="J419">
        <v>14.9</v>
      </c>
      <c r="K419">
        <v>15.3</v>
      </c>
      <c r="L419">
        <f>Tableau1[[#This Row],[Final_time]]-SUM(Tableau1[[#This Row],[0_100m]:[600_700m]])</f>
        <v>15.519999999999996</v>
      </c>
      <c r="M419">
        <v>117.62</v>
      </c>
      <c r="N419">
        <f>SUM(Tableau1[[#This Row],[0_100m]:[700_800m]])</f>
        <v>117.62</v>
      </c>
      <c r="O419">
        <f>ABS(Tableau1[[#This Row],[Final_time]]-Tableau1[[#This Row],[Sum_time]])</f>
        <v>0</v>
      </c>
      <c r="P419" s="8"/>
      <c r="Q419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19" t="s">
        <v>1380</v>
      </c>
      <c r="S419" s="1" t="s">
        <v>68</v>
      </c>
      <c r="U419" s="1" t="s">
        <v>69</v>
      </c>
      <c r="V419" s="1">
        <v>45857</v>
      </c>
      <c r="W419" s="4">
        <f>YEAR(Tableau1[[#This Row],[Competition_date]])</f>
        <v>2025</v>
      </c>
      <c r="X419" s="4">
        <v>19</v>
      </c>
      <c r="Y419" s="6">
        <v>0.96</v>
      </c>
      <c r="Z419" s="4" t="s">
        <v>83</v>
      </c>
    </row>
    <row r="420" spans="1:26" hidden="1" x14ac:dyDescent="0.35">
      <c r="A420" t="str">
        <f>_xlfn.CONCAT(Tableau1[[#This Row],[Athletes]],"_",Tableau1[[#This Row],[Nationality]],"_",Tableau1[[#This Row],[Competition_year]])</f>
        <v>Claudia HOLLINGSWORTH_AUS_2025</v>
      </c>
      <c r="B420" t="s">
        <v>275</v>
      </c>
      <c r="C420" t="s">
        <v>29</v>
      </c>
      <c r="D420" s="18" t="s">
        <v>36</v>
      </c>
      <c r="M420">
        <v>118.02</v>
      </c>
      <c r="N420">
        <f>SUM(Tableau1[[#This Row],[0_100m]:[700_800m]])</f>
        <v>0</v>
      </c>
      <c r="O420">
        <f>ABS(Tableau1[[#This Row],[Final_time]]-Tableau1[[#This Row],[Sum_time]])</f>
        <v>118.02</v>
      </c>
      <c r="P420" s="8"/>
      <c r="Q420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0" t="s">
        <v>1380</v>
      </c>
      <c r="S420" s="1" t="s">
        <v>68</v>
      </c>
      <c r="U420" s="1" t="s">
        <v>69</v>
      </c>
      <c r="V420" s="1">
        <v>45857</v>
      </c>
      <c r="W420" s="4">
        <f>YEAR(Tableau1[[#This Row],[Competition_date]])</f>
        <v>2025</v>
      </c>
      <c r="X420" s="4">
        <v>19</v>
      </c>
      <c r="Y420" s="6">
        <v>0.96</v>
      </c>
      <c r="Z420" s="4" t="s">
        <v>83</v>
      </c>
    </row>
    <row r="421" spans="1:26" hidden="1" x14ac:dyDescent="0.35">
      <c r="A421" t="str">
        <f>_xlfn.CONCAT(Tableau1[[#This Row],[Athletes]],"_",Tableau1[[#This Row],[Nationality]],"_",Tableau1[[#This Row],[Competition_year]])</f>
        <v>Shafiqua MALONEY_VIN_2025</v>
      </c>
      <c r="B421" t="s">
        <v>270</v>
      </c>
      <c r="C421" t="s">
        <v>29</v>
      </c>
      <c r="D421" s="18" t="s">
        <v>72</v>
      </c>
      <c r="E421">
        <v>13.9</v>
      </c>
      <c r="F421">
        <v>13.4</v>
      </c>
      <c r="G421">
        <v>14.6</v>
      </c>
      <c r="H421">
        <v>14.9</v>
      </c>
      <c r="I421">
        <v>15.1</v>
      </c>
      <c r="J421">
        <v>15.2</v>
      </c>
      <c r="K421">
        <v>15.3</v>
      </c>
      <c r="L421">
        <f>Tableau1[[#This Row],[Final_time]]-SUM(Tableau1[[#This Row],[0_100m]:[600_700m]])</f>
        <v>16.070000000000007</v>
      </c>
      <c r="M421">
        <v>118.47</v>
      </c>
      <c r="N421">
        <f>SUM(Tableau1[[#This Row],[0_100m]:[700_800m]])</f>
        <v>118.47</v>
      </c>
      <c r="O421">
        <f>ABS(Tableau1[[#This Row],[Final_time]]-Tableau1[[#This Row],[Sum_time]])</f>
        <v>0</v>
      </c>
      <c r="P421" s="8"/>
      <c r="Q421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1" t="s">
        <v>1380</v>
      </c>
      <c r="S421" s="1" t="s">
        <v>68</v>
      </c>
      <c r="U421" s="1" t="s">
        <v>69</v>
      </c>
      <c r="V421" s="1">
        <v>45857</v>
      </c>
      <c r="W421" s="4">
        <f>YEAR(Tableau1[[#This Row],[Competition_date]])</f>
        <v>2025</v>
      </c>
      <c r="X421" s="4">
        <v>19</v>
      </c>
      <c r="Y421" s="6">
        <v>0.96</v>
      </c>
      <c r="Z421" s="4" t="s">
        <v>83</v>
      </c>
    </row>
    <row r="422" spans="1:26" hidden="1" x14ac:dyDescent="0.35">
      <c r="A422" t="str">
        <f>_xlfn.CONCAT(Tableau1[[#This Row],[Athletes]],"_",Tableau1[[#This Row],[Nationality]],"_",Tableau1[[#This Row],[Competition_year]])</f>
        <v>Jemma REEKIE_GBR_2025</v>
      </c>
      <c r="B422" t="s">
        <v>220</v>
      </c>
      <c r="C422" t="s">
        <v>29</v>
      </c>
      <c r="D422" s="18" t="s">
        <v>30</v>
      </c>
      <c r="E422">
        <v>13.8</v>
      </c>
      <c r="F422">
        <v>13.4</v>
      </c>
      <c r="G422">
        <v>14.5</v>
      </c>
      <c r="H422">
        <v>15</v>
      </c>
      <c r="I422">
        <v>14.9</v>
      </c>
      <c r="J422">
        <v>15.1</v>
      </c>
      <c r="K422">
        <v>15.5</v>
      </c>
      <c r="L422">
        <f>Tableau1[[#This Row],[Final_time]]-SUM(Tableau1[[#This Row],[0_100m]:[600_700m]])</f>
        <v>16.560000000000002</v>
      </c>
      <c r="M422">
        <v>118.76</v>
      </c>
      <c r="N422">
        <f>SUM(Tableau1[[#This Row],[0_100m]:[700_800m]])</f>
        <v>118.76</v>
      </c>
      <c r="O422">
        <f>ABS(Tableau1[[#This Row],[Final_time]]-Tableau1[[#This Row],[Sum_time]])</f>
        <v>0</v>
      </c>
      <c r="P422" s="8"/>
      <c r="Q422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2" t="s">
        <v>1380</v>
      </c>
      <c r="S422" s="1" t="s">
        <v>68</v>
      </c>
      <c r="U422" s="1" t="s">
        <v>69</v>
      </c>
      <c r="V422" s="1">
        <v>45857</v>
      </c>
      <c r="W422" s="4">
        <f>YEAR(Tableau1[[#This Row],[Competition_date]])</f>
        <v>2025</v>
      </c>
      <c r="X422" s="4">
        <v>19</v>
      </c>
      <c r="Y422" s="6">
        <v>0.96</v>
      </c>
      <c r="Z422" s="4" t="s">
        <v>83</v>
      </c>
    </row>
    <row r="423" spans="1:26" hidden="1" x14ac:dyDescent="0.35">
      <c r="A423" t="str">
        <f>_xlfn.CONCAT(Tableau1[[#This Row],[Athletes]],"_",Tableau1[[#This Row],[Nationality]],"_",Tableau1[[#This Row],[Competition_year]])</f>
        <v>Sarah BILLINGS_AUS_2025</v>
      </c>
      <c r="B423" t="s">
        <v>1213</v>
      </c>
      <c r="C423" t="s">
        <v>29</v>
      </c>
      <c r="D423" s="18" t="s">
        <v>36</v>
      </c>
      <c r="E423">
        <v>14.4</v>
      </c>
      <c r="F423">
        <v>13.4</v>
      </c>
      <c r="G423">
        <v>14.7</v>
      </c>
      <c r="H423">
        <v>14.9</v>
      </c>
      <c r="I423">
        <v>15.1</v>
      </c>
      <c r="J423">
        <v>15</v>
      </c>
      <c r="K423">
        <v>15.3</v>
      </c>
      <c r="L423">
        <f>Tableau1[[#This Row],[Final_time]]-SUM(Tableau1[[#This Row],[0_100m]:[600_700m]])</f>
        <v>16.189999999999998</v>
      </c>
      <c r="M423">
        <v>118.99</v>
      </c>
      <c r="N423">
        <f>SUM(Tableau1[[#This Row],[0_100m]:[700_800m]])</f>
        <v>118.99</v>
      </c>
      <c r="O423">
        <f>ABS(Tableau1[[#This Row],[Final_time]]-Tableau1[[#This Row],[Sum_time]])</f>
        <v>0</v>
      </c>
      <c r="P423" s="8"/>
      <c r="Q423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3" t="s">
        <v>1380</v>
      </c>
      <c r="S423" s="1" t="s">
        <v>68</v>
      </c>
      <c r="U423" s="1" t="s">
        <v>69</v>
      </c>
      <c r="V423" s="1">
        <v>45857</v>
      </c>
      <c r="W423" s="4">
        <f>YEAR(Tableau1[[#This Row],[Competition_date]])</f>
        <v>2025</v>
      </c>
      <c r="X423" s="4">
        <v>19</v>
      </c>
      <c r="Y423" s="6">
        <v>0.96</v>
      </c>
      <c r="Z423" s="4" t="s">
        <v>83</v>
      </c>
    </row>
    <row r="424" spans="1:26" hidden="1" x14ac:dyDescent="0.35">
      <c r="A424" t="str">
        <f>_xlfn.CONCAT(Tableau1[[#This Row],[Athletes]],"_",Tableau1[[#This Row],[Nationality]],"_",Tableau1[[#This Row],[Competition_year]])</f>
        <v>Natoya GOULE-TOPPIN_JAM_2025</v>
      </c>
      <c r="B424" t="s">
        <v>222</v>
      </c>
      <c r="C424" t="s">
        <v>29</v>
      </c>
      <c r="D424" s="18" t="s">
        <v>33</v>
      </c>
      <c r="M424">
        <v>119.27</v>
      </c>
      <c r="N424">
        <f>SUM(Tableau1[[#This Row],[0_100m]:[700_800m]])</f>
        <v>0</v>
      </c>
      <c r="O424">
        <f>ABS(Tableau1[[#This Row],[Final_time]]-Tableau1[[#This Row],[Sum_time]])</f>
        <v>119.27</v>
      </c>
      <c r="P424" s="8"/>
      <c r="Q424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4" t="s">
        <v>1380</v>
      </c>
      <c r="S424" s="1" t="s">
        <v>68</v>
      </c>
      <c r="U424" s="1" t="s">
        <v>69</v>
      </c>
      <c r="V424" s="1">
        <v>45857</v>
      </c>
      <c r="W424" s="4">
        <f>YEAR(Tableau1[[#This Row],[Competition_date]])</f>
        <v>2025</v>
      </c>
      <c r="X424" s="4">
        <v>19</v>
      </c>
      <c r="Y424" s="6">
        <v>0.96</v>
      </c>
      <c r="Z424" s="4" t="s">
        <v>83</v>
      </c>
    </row>
    <row r="425" spans="1:26" hidden="1" x14ac:dyDescent="0.35">
      <c r="A425" t="str">
        <f>_xlfn.CONCAT(Tableau1[[#This Row],[Athletes]],"_",Tableau1[[#This Row],[Nationality]],"_",Tableau1[[#This Row],[Competition_year]])</f>
        <v>Anna WIELGOSZ_POL_2025</v>
      </c>
      <c r="B425" t="s">
        <v>276</v>
      </c>
      <c r="C425" t="s">
        <v>29</v>
      </c>
      <c r="D425" s="18" t="s">
        <v>88</v>
      </c>
      <c r="E425">
        <v>14.2</v>
      </c>
      <c r="F425">
        <v>13.6</v>
      </c>
      <c r="G425">
        <v>14.7</v>
      </c>
      <c r="H425">
        <v>15.3</v>
      </c>
      <c r="I425">
        <v>15.8</v>
      </c>
      <c r="J425">
        <v>15.5</v>
      </c>
      <c r="K425">
        <v>15.6</v>
      </c>
      <c r="L425">
        <f>Tableau1[[#This Row],[Final_time]]-SUM(Tableau1[[#This Row],[0_100m]:[600_700m]])</f>
        <v>16.080000000000013</v>
      </c>
      <c r="M425">
        <v>120.78</v>
      </c>
      <c r="N425">
        <f>SUM(Tableau1[[#This Row],[0_100m]:[700_800m]])</f>
        <v>120.78</v>
      </c>
      <c r="O425">
        <f>ABS(Tableau1[[#This Row],[Final_time]]-Tableau1[[#This Row],[Sum_time]])</f>
        <v>0</v>
      </c>
      <c r="P425" s="8"/>
      <c r="Q425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5" t="s">
        <v>1380</v>
      </c>
      <c r="S425" s="1" t="s">
        <v>68</v>
      </c>
      <c r="U425" s="1" t="s">
        <v>69</v>
      </c>
      <c r="V425" s="1">
        <v>45857</v>
      </c>
      <c r="W425" s="4">
        <f>YEAR(Tableau1[[#This Row],[Competition_date]])</f>
        <v>2025</v>
      </c>
      <c r="X425" s="4">
        <v>19</v>
      </c>
      <c r="Y425" s="6">
        <v>0.96</v>
      </c>
      <c r="Z425" s="4" t="s">
        <v>83</v>
      </c>
    </row>
    <row r="426" spans="1:26" hidden="1" x14ac:dyDescent="0.35">
      <c r="A426" t="str">
        <f>_xlfn.CONCAT(Tableau1[[#This Row],[Athletes]],"_",Tableau1[[#This Row],[Nationality]],"_",Tableau1[[#This Row],[Competition_year]])</f>
        <v>Laura MUIR_GBR_2025</v>
      </c>
      <c r="B426" t="s">
        <v>328</v>
      </c>
      <c r="C426" t="s">
        <v>29</v>
      </c>
      <c r="D426" s="18" t="s">
        <v>30</v>
      </c>
      <c r="E426">
        <v>14.7</v>
      </c>
      <c r="F426">
        <v>13.9</v>
      </c>
      <c r="G426">
        <v>14.5</v>
      </c>
      <c r="H426">
        <v>15.2</v>
      </c>
      <c r="I426">
        <v>15.5</v>
      </c>
      <c r="J426">
        <v>15.7</v>
      </c>
      <c r="K426">
        <v>15.6</v>
      </c>
      <c r="L426">
        <f>Tableau1[[#This Row],[Final_time]]-SUM(Tableau1[[#This Row],[0_100m]:[600_700m]])</f>
        <v>15.850000000000009</v>
      </c>
      <c r="M426">
        <v>120.95</v>
      </c>
      <c r="N426">
        <f>SUM(Tableau1[[#This Row],[0_100m]:[700_800m]])</f>
        <v>120.95</v>
      </c>
      <c r="O426">
        <f>ABS(Tableau1[[#This Row],[Final_time]]-Tableau1[[#This Row],[Sum_time]])</f>
        <v>0</v>
      </c>
      <c r="P426" s="8"/>
      <c r="Q426" s="16" t="str">
        <f>_xlfn.CONCAT(Tableau1[[#This Row],[Competition]],"_",Tableau1[[#This Row],[Championship_step]],"_",Tableau1[[#This Row],[Competition_date]],"_",Tableau1[[#This Row],[Gender]])</f>
        <v>Diamond League London 2025__45857_Female</v>
      </c>
      <c r="R426" t="s">
        <v>1380</v>
      </c>
      <c r="S426" s="1" t="s">
        <v>68</v>
      </c>
      <c r="U426" s="1" t="s">
        <v>69</v>
      </c>
      <c r="V426" s="1">
        <v>45857</v>
      </c>
      <c r="W426" s="4">
        <f>YEAR(Tableau1[[#This Row],[Competition_date]])</f>
        <v>2025</v>
      </c>
      <c r="X426" s="4">
        <v>19</v>
      </c>
      <c r="Y426" s="6">
        <v>0.96</v>
      </c>
      <c r="Z426" s="4" t="s">
        <v>83</v>
      </c>
    </row>
    <row r="427" spans="1:26" hidden="1" x14ac:dyDescent="0.35">
      <c r="A427" t="str">
        <f>_xlfn.CONCAT(Tableau1[[#This Row],[Athletes]],"_",Tableau1[[#This Row],[Nationality]],"_",Tableau1[[#This Row],[Competition_year]])</f>
        <v>Emmanuel WANYONYI_KEN_2025</v>
      </c>
      <c r="B427" t="s">
        <v>183</v>
      </c>
      <c r="C427" t="s">
        <v>14</v>
      </c>
      <c r="D427" s="18" t="s">
        <v>15</v>
      </c>
      <c r="E427">
        <v>12.4</v>
      </c>
      <c r="F427">
        <v>11.7</v>
      </c>
      <c r="G427">
        <v>12.6</v>
      </c>
      <c r="H427">
        <v>12.9</v>
      </c>
      <c r="I427">
        <v>13.2</v>
      </c>
      <c r="J427">
        <v>13.1</v>
      </c>
      <c r="K427">
        <v>12.9</v>
      </c>
      <c r="L427">
        <f>Tableau1[[#This Row],[Final_time]]-SUM(Tableau1[[#This Row],[0_100m]:[600_700m]])</f>
        <v>13.200000000000003</v>
      </c>
      <c r="M427">
        <v>102</v>
      </c>
      <c r="N427">
        <f>SUM(Tableau1[[#This Row],[0_100m]:[700_800m]])</f>
        <v>102</v>
      </c>
      <c r="O427">
        <f>ABS(Tableau1[[#This Row],[Final_time]]-Tableau1[[#This Row],[Sum_time]])</f>
        <v>0</v>
      </c>
      <c r="P427" s="8"/>
      <c r="Q427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27" t="s">
        <v>1380</v>
      </c>
      <c r="S427" s="1" t="s">
        <v>68</v>
      </c>
      <c r="U427" s="1" t="s">
        <v>69</v>
      </c>
      <c r="V427" s="1">
        <v>45857</v>
      </c>
      <c r="W427" s="4">
        <f>YEAR(Tableau1[[#This Row],[Competition_date]])</f>
        <v>2025</v>
      </c>
      <c r="X427" s="4">
        <v>21</v>
      </c>
      <c r="Y427" s="6">
        <v>0.85</v>
      </c>
      <c r="Z427" s="4" t="s">
        <v>83</v>
      </c>
    </row>
    <row r="428" spans="1:26" hidden="1" x14ac:dyDescent="0.35">
      <c r="A428" t="str">
        <f>_xlfn.CONCAT(Tableau1[[#This Row],[Athletes]],"_",Tableau1[[#This Row],[Nationality]],"_",Tableau1[[#This Row],[Competition_year]])</f>
        <v>Marco AROP_CAN_2025</v>
      </c>
      <c r="B428" t="s">
        <v>177</v>
      </c>
      <c r="C428" t="s">
        <v>14</v>
      </c>
      <c r="D428" s="18" t="s">
        <v>19</v>
      </c>
      <c r="E428">
        <v>12.7</v>
      </c>
      <c r="F428">
        <v>11.6</v>
      </c>
      <c r="G428">
        <v>13</v>
      </c>
      <c r="H428">
        <v>12.8</v>
      </c>
      <c r="I428">
        <v>13.1</v>
      </c>
      <c r="J428">
        <v>12.6</v>
      </c>
      <c r="K428">
        <v>12.7</v>
      </c>
      <c r="L428">
        <f>Tableau1[[#This Row],[Final_time]]-SUM(Tableau1[[#This Row],[0_100m]:[600_700m]])</f>
        <v>13.719999999999999</v>
      </c>
      <c r="M428">
        <v>102.22</v>
      </c>
      <c r="N428">
        <f>SUM(Tableau1[[#This Row],[0_100m]:[700_800m]])</f>
        <v>102.22</v>
      </c>
      <c r="O428">
        <f>ABS(Tableau1[[#This Row],[Final_time]]-Tableau1[[#This Row],[Sum_time]])</f>
        <v>0</v>
      </c>
      <c r="P428" s="8"/>
      <c r="Q428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28" t="s">
        <v>1380</v>
      </c>
      <c r="S428" s="1" t="s">
        <v>68</v>
      </c>
      <c r="U428" s="1" t="s">
        <v>69</v>
      </c>
      <c r="V428" s="1">
        <v>45857</v>
      </c>
      <c r="W428" s="4">
        <f>YEAR(Tableau1[[#This Row],[Competition_date]])</f>
        <v>2025</v>
      </c>
      <c r="X428" s="4">
        <v>21</v>
      </c>
      <c r="Y428" s="6">
        <v>0.85</v>
      </c>
      <c r="Z428" s="4" t="s">
        <v>83</v>
      </c>
    </row>
    <row r="429" spans="1:26" hidden="1" x14ac:dyDescent="0.35">
      <c r="A429" t="str">
        <f>_xlfn.CONCAT(Tableau1[[#This Row],[Athletes]],"_",Tableau1[[#This Row],[Nationality]],"_",Tableau1[[#This Row],[Competition_year]])</f>
        <v>Max BURGIN_GBR_2025</v>
      </c>
      <c r="B429" t="s">
        <v>188</v>
      </c>
      <c r="C429" t="s">
        <v>14</v>
      </c>
      <c r="D429" s="18" t="s">
        <v>30</v>
      </c>
      <c r="E429">
        <v>12.5</v>
      </c>
      <c r="F429">
        <v>11.7</v>
      </c>
      <c r="G429">
        <v>12.7</v>
      </c>
      <c r="H429">
        <v>12.9</v>
      </c>
      <c r="I429">
        <v>13.3</v>
      </c>
      <c r="J429">
        <v>13</v>
      </c>
      <c r="K429">
        <v>13</v>
      </c>
      <c r="L429">
        <f>Tableau1[[#This Row],[Final_time]]-SUM(Tableau1[[#This Row],[0_100m]:[600_700m]])</f>
        <v>13.260000000000005</v>
      </c>
      <c r="M429">
        <v>102.36</v>
      </c>
      <c r="N429">
        <f>SUM(Tableau1[[#This Row],[0_100m]:[700_800m]])</f>
        <v>102.36</v>
      </c>
      <c r="O429">
        <f>ABS(Tableau1[[#This Row],[Final_time]]-Tableau1[[#This Row],[Sum_time]])</f>
        <v>0</v>
      </c>
      <c r="P429" s="8"/>
      <c r="Q429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29" t="s">
        <v>1380</v>
      </c>
      <c r="S429" s="1" t="s">
        <v>68</v>
      </c>
      <c r="U429" s="1" t="s">
        <v>69</v>
      </c>
      <c r="V429" s="1">
        <v>45857</v>
      </c>
      <c r="W429" s="4">
        <f>YEAR(Tableau1[[#This Row],[Competition_date]])</f>
        <v>2025</v>
      </c>
      <c r="X429" s="4">
        <v>21</v>
      </c>
      <c r="Y429" s="6">
        <v>0.85</v>
      </c>
      <c r="Z429" s="4" t="s">
        <v>83</v>
      </c>
    </row>
    <row r="430" spans="1:26" hidden="1" x14ac:dyDescent="0.35">
      <c r="A430" t="str">
        <f>_xlfn.CONCAT(Tableau1[[#This Row],[Athletes]],"_",Tableau1[[#This Row],[Nationality]],"_",Tableau1[[#This Row],[Competition_year]])</f>
        <v>Bryce HOPPEL_USA_2025</v>
      </c>
      <c r="B430" t="s">
        <v>173</v>
      </c>
      <c r="C430" t="s">
        <v>14</v>
      </c>
      <c r="D430" s="18" t="s">
        <v>35</v>
      </c>
      <c r="E430">
        <v>12.8</v>
      </c>
      <c r="F430">
        <v>11.7</v>
      </c>
      <c r="G430">
        <v>12.9</v>
      </c>
      <c r="H430">
        <v>13</v>
      </c>
      <c r="I430">
        <v>13.2</v>
      </c>
      <c r="J430">
        <v>13</v>
      </c>
      <c r="K430">
        <v>13.1</v>
      </c>
      <c r="L430">
        <f>Tableau1[[#This Row],[Final_time]]-SUM(Tableau1[[#This Row],[0_100m]:[600_700m]])</f>
        <v>13.010000000000005</v>
      </c>
      <c r="M430">
        <v>102.71</v>
      </c>
      <c r="N430">
        <f>SUM(Tableau1[[#This Row],[0_100m]:[700_800m]])</f>
        <v>102.71</v>
      </c>
      <c r="O430">
        <f>ABS(Tableau1[[#This Row],[Final_time]]-Tableau1[[#This Row],[Sum_time]])</f>
        <v>0</v>
      </c>
      <c r="P430" s="8"/>
      <c r="Q430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0" t="s">
        <v>1380</v>
      </c>
      <c r="S430" s="1" t="s">
        <v>68</v>
      </c>
      <c r="U430" s="1" t="s">
        <v>69</v>
      </c>
      <c r="V430" s="1">
        <v>45857</v>
      </c>
      <c r="W430" s="4">
        <f>YEAR(Tableau1[[#This Row],[Competition_date]])</f>
        <v>2025</v>
      </c>
      <c r="X430" s="4">
        <v>21</v>
      </c>
      <c r="Y430" s="6">
        <v>0.85</v>
      </c>
      <c r="Z430" s="4" t="s">
        <v>83</v>
      </c>
    </row>
    <row r="431" spans="1:26" hidden="1" x14ac:dyDescent="0.35">
      <c r="A431" t="str">
        <f>_xlfn.CONCAT(Tableau1[[#This Row],[Athletes]],"_",Tableau1[[#This Row],[Nationality]],"_",Tableau1[[#This Row],[Competition_year]])</f>
        <v>Mohamed ATTAOUI_ESP_2025</v>
      </c>
      <c r="B431" t="s">
        <v>110</v>
      </c>
      <c r="C431" t="s">
        <v>14</v>
      </c>
      <c r="D431" s="18" t="s">
        <v>37</v>
      </c>
      <c r="E431">
        <v>12.6</v>
      </c>
      <c r="F431">
        <v>11.9</v>
      </c>
      <c r="G431">
        <v>13</v>
      </c>
      <c r="H431">
        <v>13.1</v>
      </c>
      <c r="I431">
        <v>13</v>
      </c>
      <c r="J431">
        <v>12.4</v>
      </c>
      <c r="K431">
        <v>13</v>
      </c>
      <c r="L431">
        <f>Tableau1[[#This Row],[Final_time]]-SUM(Tableau1[[#This Row],[0_100m]:[600_700m]])</f>
        <v>14.010000000000005</v>
      </c>
      <c r="M431">
        <v>103.01</v>
      </c>
      <c r="N431">
        <f>SUM(Tableau1[[#This Row],[0_100m]:[700_800m]])</f>
        <v>103.01</v>
      </c>
      <c r="O431">
        <f>ABS(Tableau1[[#This Row],[Final_time]]-Tableau1[[#This Row],[Sum_time]])</f>
        <v>0</v>
      </c>
      <c r="P431" s="8"/>
      <c r="Q431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1" t="s">
        <v>1380</v>
      </c>
      <c r="S431" s="1" t="s">
        <v>68</v>
      </c>
      <c r="U431" s="1" t="s">
        <v>69</v>
      </c>
      <c r="V431" s="1">
        <v>45857</v>
      </c>
      <c r="W431" s="4">
        <f>YEAR(Tableau1[[#This Row],[Competition_date]])</f>
        <v>2025</v>
      </c>
      <c r="X431" s="4">
        <v>21</v>
      </c>
      <c r="Y431" s="6">
        <v>0.85</v>
      </c>
      <c r="Z431" s="4" t="s">
        <v>83</v>
      </c>
    </row>
    <row r="432" spans="1:26" hidden="1" x14ac:dyDescent="0.35">
      <c r="A432" t="str">
        <f>_xlfn.CONCAT(Tableau1[[#This Row],[Athletes]],"_",Tableau1[[#This Row],[Nationality]],"_",Tableau1[[#This Row],[Competition_year]])</f>
        <v>Donavan BRAZIER_USA_2025</v>
      </c>
      <c r="B432" t="s">
        <v>242</v>
      </c>
      <c r="C432" t="s">
        <v>14</v>
      </c>
      <c r="D432" s="18" t="s">
        <v>35</v>
      </c>
      <c r="E432">
        <v>12.8</v>
      </c>
      <c r="F432">
        <v>12</v>
      </c>
      <c r="G432">
        <v>13.1</v>
      </c>
      <c r="H432">
        <v>12.9</v>
      </c>
      <c r="I432">
        <v>13.3</v>
      </c>
      <c r="J432">
        <v>12.7</v>
      </c>
      <c r="K432">
        <v>13.1</v>
      </c>
      <c r="L432">
        <f>Tableau1[[#This Row],[Final_time]]-SUM(Tableau1[[#This Row],[0_100m]:[600_700m]])</f>
        <v>13.180000000000007</v>
      </c>
      <c r="M432">
        <v>103.08</v>
      </c>
      <c r="N432">
        <f>SUM(Tableau1[[#This Row],[0_100m]:[700_800m]])</f>
        <v>103.08</v>
      </c>
      <c r="O432">
        <f>ABS(Tableau1[[#This Row],[Final_time]]-Tableau1[[#This Row],[Sum_time]])</f>
        <v>0</v>
      </c>
      <c r="P432" s="8"/>
      <c r="Q432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2" t="s">
        <v>1380</v>
      </c>
      <c r="S432" s="1" t="s">
        <v>68</v>
      </c>
      <c r="U432" s="1" t="s">
        <v>69</v>
      </c>
      <c r="V432" s="1">
        <v>45857</v>
      </c>
      <c r="W432" s="4">
        <f>YEAR(Tableau1[[#This Row],[Competition_date]])</f>
        <v>2025</v>
      </c>
      <c r="X432" s="4">
        <v>21</v>
      </c>
      <c r="Y432" s="6">
        <v>0.85</v>
      </c>
      <c r="Z432" s="4" t="s">
        <v>83</v>
      </c>
    </row>
    <row r="433" spans="1:27" hidden="1" x14ac:dyDescent="0.35">
      <c r="A433" t="str">
        <f>_xlfn.CONCAT(Tableau1[[#This Row],[Athletes]],"_",Tableau1[[#This Row],[Nationality]],"_",Tableau1[[#This Row],[Competition_year]])</f>
        <v>Mark ENGLISH_IRL_2025</v>
      </c>
      <c r="B433" t="s">
        <v>187</v>
      </c>
      <c r="C433" t="s">
        <v>14</v>
      </c>
      <c r="D433" s="18" t="s">
        <v>66</v>
      </c>
      <c r="E433">
        <v>12.9</v>
      </c>
      <c r="F433">
        <v>12</v>
      </c>
      <c r="G433">
        <v>13.1</v>
      </c>
      <c r="H433">
        <v>13.3</v>
      </c>
      <c r="I433">
        <v>13.3</v>
      </c>
      <c r="J433">
        <v>13</v>
      </c>
      <c r="K433">
        <v>13.2</v>
      </c>
      <c r="L433">
        <f>Tableau1[[#This Row],[Final_time]]-SUM(Tableau1[[#This Row],[0_100m]:[600_700m]])</f>
        <v>13.269999999999996</v>
      </c>
      <c r="M433">
        <v>104.07</v>
      </c>
      <c r="N433">
        <f>SUM(Tableau1[[#This Row],[0_100m]:[700_800m]])</f>
        <v>104.07</v>
      </c>
      <c r="O433">
        <f>ABS(Tableau1[[#This Row],[Final_time]]-Tableau1[[#This Row],[Sum_time]])</f>
        <v>0</v>
      </c>
      <c r="P433" s="8"/>
      <c r="Q433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3" t="s">
        <v>1380</v>
      </c>
      <c r="S433" s="1" t="s">
        <v>68</v>
      </c>
      <c r="U433" s="1" t="s">
        <v>69</v>
      </c>
      <c r="V433" s="1">
        <v>45857</v>
      </c>
      <c r="W433" s="4">
        <f>YEAR(Tableau1[[#This Row],[Competition_date]])</f>
        <v>2025</v>
      </c>
      <c r="X433" s="4">
        <v>21</v>
      </c>
      <c r="Y433" s="6">
        <v>0.85</v>
      </c>
      <c r="Z433" s="4" t="s">
        <v>83</v>
      </c>
    </row>
    <row r="434" spans="1:27" hidden="1" x14ac:dyDescent="0.35">
      <c r="A434" t="str">
        <f>_xlfn.CONCAT(Tableau1[[#This Row],[Athletes]],"_",Tableau1[[#This Row],[Nationality]],"_",Tableau1[[#This Row],[Competition_year]])</f>
        <v>Andreas KRAMER_SWE_2025</v>
      </c>
      <c r="B434" t="s">
        <v>186</v>
      </c>
      <c r="C434" t="s">
        <v>14</v>
      </c>
      <c r="D434" s="18" t="s">
        <v>28</v>
      </c>
      <c r="E434">
        <v>12.8</v>
      </c>
      <c r="F434">
        <v>11.8</v>
      </c>
      <c r="G434">
        <v>13</v>
      </c>
      <c r="H434">
        <v>13.1</v>
      </c>
      <c r="I434">
        <v>13.2</v>
      </c>
      <c r="J434">
        <v>13</v>
      </c>
      <c r="K434">
        <v>13.3</v>
      </c>
      <c r="L434">
        <f>Tableau1[[#This Row],[Final_time]]-SUM(Tableau1[[#This Row],[0_100m]:[600_700m]])</f>
        <v>14.060000000000002</v>
      </c>
      <c r="M434">
        <v>104.26</v>
      </c>
      <c r="N434">
        <f>SUM(Tableau1[[#This Row],[0_100m]:[700_800m]])</f>
        <v>104.26</v>
      </c>
      <c r="O434">
        <f>ABS(Tableau1[[#This Row],[Final_time]]-Tableau1[[#This Row],[Sum_time]])</f>
        <v>0</v>
      </c>
      <c r="P434" s="8"/>
      <c r="Q434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4" t="s">
        <v>1380</v>
      </c>
      <c r="S434" s="1" t="s">
        <v>68</v>
      </c>
      <c r="U434" s="1" t="s">
        <v>69</v>
      </c>
      <c r="V434" s="1">
        <v>45857</v>
      </c>
      <c r="W434" s="4">
        <f>YEAR(Tableau1[[#This Row],[Competition_date]])</f>
        <v>2025</v>
      </c>
      <c r="X434" s="4">
        <v>21</v>
      </c>
      <c r="Y434" s="6">
        <v>0.85</v>
      </c>
      <c r="Z434" s="4" t="s">
        <v>83</v>
      </c>
    </row>
    <row r="435" spans="1:27" hidden="1" x14ac:dyDescent="0.35">
      <c r="A435" t="str">
        <f>_xlfn.CONCAT(Tableau1[[#This Row],[Athletes]],"_",Tableau1[[#This Row],[Nationality]],"_",Tableau1[[#This Row],[Competition_year]])</f>
        <v>Ethan HUSSEY_GBR_2025</v>
      </c>
      <c r="B435" t="s">
        <v>293</v>
      </c>
      <c r="C435" t="s">
        <v>14</v>
      </c>
      <c r="D435" s="18" t="s">
        <v>30</v>
      </c>
      <c r="E435">
        <v>12.9</v>
      </c>
      <c r="F435">
        <v>12.1</v>
      </c>
      <c r="G435">
        <v>13.1</v>
      </c>
      <c r="H435">
        <v>13.3</v>
      </c>
      <c r="I435">
        <v>13.5</v>
      </c>
      <c r="J435">
        <v>13.1</v>
      </c>
      <c r="K435">
        <v>13</v>
      </c>
      <c r="L435">
        <f>Tableau1[[#This Row],[Final_time]]-SUM(Tableau1[[#This Row],[0_100m]:[600_700m]])</f>
        <v>13.299999999999997</v>
      </c>
      <c r="M435">
        <v>104.3</v>
      </c>
      <c r="N435">
        <f>SUM(Tableau1[[#This Row],[0_100m]:[700_800m]])</f>
        <v>104.3</v>
      </c>
      <c r="O435">
        <f>ABS(Tableau1[[#This Row],[Final_time]]-Tableau1[[#This Row],[Sum_time]])</f>
        <v>0</v>
      </c>
      <c r="P435" s="8"/>
      <c r="Q435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5" t="s">
        <v>1380</v>
      </c>
      <c r="S435" s="1" t="s">
        <v>68</v>
      </c>
      <c r="U435" s="1" t="s">
        <v>69</v>
      </c>
      <c r="V435" s="1">
        <v>45857</v>
      </c>
      <c r="W435" s="4">
        <f>YEAR(Tableau1[[#This Row],[Competition_date]])</f>
        <v>2025</v>
      </c>
      <c r="X435" s="4">
        <v>21</v>
      </c>
      <c r="Y435" s="6">
        <v>0.85</v>
      </c>
      <c r="Z435" s="4" t="s">
        <v>83</v>
      </c>
    </row>
    <row r="436" spans="1:27" hidden="1" x14ac:dyDescent="0.35">
      <c r="A436" t="str">
        <f>_xlfn.CONCAT(Tableau1[[#This Row],[Athletes]],"_",Tableau1[[#This Row],[Nationality]],"_",Tableau1[[#This Row],[Competition_year]])</f>
        <v>Ben PATTISON_GBR_2025</v>
      </c>
      <c r="B436" t="s">
        <v>108</v>
      </c>
      <c r="C436" t="s">
        <v>14</v>
      </c>
      <c r="D436" s="18" t="s">
        <v>30</v>
      </c>
      <c r="E436">
        <v>12.8</v>
      </c>
      <c r="F436">
        <v>12</v>
      </c>
      <c r="G436">
        <v>13.1</v>
      </c>
      <c r="H436">
        <v>13.2</v>
      </c>
      <c r="I436">
        <v>13.5</v>
      </c>
      <c r="J436">
        <v>13.7</v>
      </c>
      <c r="K436">
        <v>13.5</v>
      </c>
      <c r="L436">
        <f>Tableau1[[#This Row],[Final_time]]-SUM(Tableau1[[#This Row],[0_100m]:[600_700m]])</f>
        <v>14.280000000000001</v>
      </c>
      <c r="M436">
        <v>106.08</v>
      </c>
      <c r="N436">
        <f>SUM(Tableau1[[#This Row],[0_100m]:[700_800m]])</f>
        <v>106.08</v>
      </c>
      <c r="O436">
        <f>ABS(Tableau1[[#This Row],[Final_time]]-Tableau1[[#This Row],[Sum_time]])</f>
        <v>0</v>
      </c>
      <c r="P436" s="8"/>
      <c r="Q436" s="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R436" t="s">
        <v>1380</v>
      </c>
      <c r="S436" s="1" t="s">
        <v>68</v>
      </c>
      <c r="U436" s="1" t="s">
        <v>69</v>
      </c>
      <c r="V436" s="1">
        <v>45857</v>
      </c>
      <c r="W436" s="4">
        <f>YEAR(Tableau1[[#This Row],[Competition_date]])</f>
        <v>2025</v>
      </c>
      <c r="X436" s="4">
        <v>21</v>
      </c>
      <c r="Y436" s="6">
        <v>0.85</v>
      </c>
      <c r="Z436" s="4" t="s">
        <v>83</v>
      </c>
    </row>
    <row r="437" spans="1:27" hidden="1" x14ac:dyDescent="0.35">
      <c r="A437" t="str">
        <f>_xlfn.CONCAT(Tableau1[[#This Row],[Athletes]],"_",Tableau1[[#This Row],[Nationality]],"_",Tableau1[[#This Row],[Competition_year]])</f>
        <v>Laura MUIR_GBR_2021</v>
      </c>
      <c r="B437" s="9" t="s">
        <v>328</v>
      </c>
      <c r="C437" s="9" t="s">
        <v>29</v>
      </c>
      <c r="D437" s="12" t="s">
        <v>30</v>
      </c>
      <c r="E437" s="9">
        <v>14.2</v>
      </c>
      <c r="F437" s="9">
        <v>13.5</v>
      </c>
      <c r="G437" s="9">
        <v>14.3</v>
      </c>
      <c r="H437" s="9">
        <v>14.7</v>
      </c>
      <c r="I437" s="9">
        <v>15</v>
      </c>
      <c r="J437" s="9">
        <v>15</v>
      </c>
      <c r="K437" s="9">
        <v>14.8</v>
      </c>
      <c r="L437">
        <f>Tableau1[[#This Row],[Final_time]]-SUM(Tableau1[[#This Row],[0_100m]:[600_700m]])</f>
        <v>15.230000000000004</v>
      </c>
      <c r="M437" s="9">
        <v>116.73</v>
      </c>
      <c r="N437">
        <f>SUM(Tableau1[[#This Row],[0_100m]:[700_800m]])</f>
        <v>116.73</v>
      </c>
      <c r="O437">
        <f>ABS(Tableau1[[#This Row],[Final_time]]-Tableau1[[#This Row],[Sum_time]])</f>
        <v>0</v>
      </c>
      <c r="P437" s="8"/>
      <c r="Q437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37" t="s">
        <v>482</v>
      </c>
      <c r="S437" s="1" t="s">
        <v>68</v>
      </c>
      <c r="U437" s="1" t="s">
        <v>69</v>
      </c>
      <c r="V437" s="1">
        <v>44386</v>
      </c>
      <c r="W437" s="4">
        <f>YEAR(Tableau1[[#This Row],[Competition_date]])</f>
        <v>2021</v>
      </c>
      <c r="X437" s="4">
        <v>28</v>
      </c>
      <c r="Y437" s="6">
        <v>0.51</v>
      </c>
      <c r="Z437" s="4" t="s">
        <v>82</v>
      </c>
      <c r="AA437" t="s">
        <v>176</v>
      </c>
    </row>
    <row r="438" spans="1:27" hidden="1" x14ac:dyDescent="0.35">
      <c r="A438" t="str">
        <f>_xlfn.CONCAT(Tableau1[[#This Row],[Athletes]],"_",Tableau1[[#This Row],[Nationality]],"_",Tableau1[[#This Row],[Competition_year]])</f>
        <v>Jemma REEKIE_GBR_2021</v>
      </c>
      <c r="B438" s="9" t="s">
        <v>220</v>
      </c>
      <c r="C438" s="9" t="s">
        <v>29</v>
      </c>
      <c r="D438" s="12" t="s">
        <v>30</v>
      </c>
      <c r="E438" s="9">
        <v>14</v>
      </c>
      <c r="F438" s="9">
        <v>13.3</v>
      </c>
      <c r="G438" s="9">
        <v>14.4</v>
      </c>
      <c r="H438" s="9">
        <v>14.7</v>
      </c>
      <c r="I438" s="9">
        <v>15.1</v>
      </c>
      <c r="J438" s="9">
        <v>15</v>
      </c>
      <c r="K438" s="9">
        <v>14.8</v>
      </c>
      <c r="L438">
        <f>Tableau1[[#This Row],[Final_time]]-SUM(Tableau1[[#This Row],[0_100m]:[600_700m]])</f>
        <v>15.659999999999997</v>
      </c>
      <c r="M438" s="9">
        <v>116.96</v>
      </c>
      <c r="N438">
        <f>SUM(Tableau1[[#This Row],[0_100m]:[700_800m]])</f>
        <v>116.96</v>
      </c>
      <c r="O438">
        <f>ABS(Tableau1[[#This Row],[Final_time]]-Tableau1[[#This Row],[Sum_time]])</f>
        <v>0</v>
      </c>
      <c r="P438" s="8"/>
      <c r="Q438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38" t="s">
        <v>482</v>
      </c>
      <c r="S438" s="1" t="s">
        <v>68</v>
      </c>
      <c r="U438" s="1" t="s">
        <v>69</v>
      </c>
      <c r="V438" s="1">
        <v>44386</v>
      </c>
      <c r="W438" s="4">
        <f>YEAR(Tableau1[[#This Row],[Competition_date]])</f>
        <v>2021</v>
      </c>
      <c r="X438" s="4">
        <v>28</v>
      </c>
      <c r="Y438" s="6">
        <v>0.51</v>
      </c>
      <c r="Z438" s="4" t="s">
        <v>82</v>
      </c>
      <c r="AA438" t="s">
        <v>176</v>
      </c>
    </row>
    <row r="439" spans="1:27" hidden="1" x14ac:dyDescent="0.35">
      <c r="A439" t="str">
        <f>_xlfn.CONCAT(Tableau1[[#This Row],[Athletes]],"_",Tableau1[[#This Row],[Nationality]],"_",Tableau1[[#This Row],[Competition_year]])</f>
        <v>Kate GRACE_USA_2021</v>
      </c>
      <c r="B439" s="9" t="s">
        <v>468</v>
      </c>
      <c r="C439" s="9" t="s">
        <v>29</v>
      </c>
      <c r="D439" s="12" t="s">
        <v>35</v>
      </c>
      <c r="E439" s="9">
        <v>13.7</v>
      </c>
      <c r="F439" s="9">
        <v>13.5</v>
      </c>
      <c r="G439" s="9">
        <v>14.4</v>
      </c>
      <c r="H439" s="9">
        <v>14.6</v>
      </c>
      <c r="I439" s="9">
        <v>15.2</v>
      </c>
      <c r="J439" s="9">
        <v>15</v>
      </c>
      <c r="K439" s="9">
        <v>14.9</v>
      </c>
      <c r="L439">
        <f>Tableau1[[#This Row],[Final_time]]-SUM(Tableau1[[#This Row],[0_100m]:[600_700m]])</f>
        <v>15.899999999999991</v>
      </c>
      <c r="M439" s="9">
        <v>117.2</v>
      </c>
      <c r="N439">
        <f>SUM(Tableau1[[#This Row],[0_100m]:[700_800m]])</f>
        <v>117.2</v>
      </c>
      <c r="O439">
        <f>ABS(Tableau1[[#This Row],[Final_time]]-Tableau1[[#This Row],[Sum_time]])</f>
        <v>0</v>
      </c>
      <c r="P439" s="8"/>
      <c r="Q439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39" t="s">
        <v>482</v>
      </c>
      <c r="S439" s="1" t="s">
        <v>68</v>
      </c>
      <c r="U439" s="1" t="s">
        <v>69</v>
      </c>
      <c r="V439" s="1">
        <v>44386</v>
      </c>
      <c r="W439" s="4">
        <f>YEAR(Tableau1[[#This Row],[Competition_date]])</f>
        <v>2021</v>
      </c>
      <c r="X439" s="4">
        <v>28</v>
      </c>
      <c r="Y439" s="6">
        <v>0.51</v>
      </c>
      <c r="Z439" s="4" t="s">
        <v>82</v>
      </c>
      <c r="AA439" t="s">
        <v>176</v>
      </c>
    </row>
    <row r="440" spans="1:27" hidden="1" x14ac:dyDescent="0.35">
      <c r="A440" t="str">
        <f>_xlfn.CONCAT(Tableau1[[#This Row],[Athletes]],"_",Tableau1[[#This Row],[Nationality]],"_",Tableau1[[#This Row],[Competition_year]])</f>
        <v>Natoya GOULE-TOPPIN_JAM_2021</v>
      </c>
      <c r="B440" s="9" t="s">
        <v>222</v>
      </c>
      <c r="C440" s="9" t="s">
        <v>29</v>
      </c>
      <c r="D440" s="12" t="s">
        <v>33</v>
      </c>
      <c r="E440" s="9">
        <v>13.8</v>
      </c>
      <c r="F440" s="9">
        <v>13.3</v>
      </c>
      <c r="G440" s="9">
        <v>14.4</v>
      </c>
      <c r="H440" s="9">
        <v>14.7</v>
      </c>
      <c r="I440" s="9">
        <v>15</v>
      </c>
      <c r="J440" s="9">
        <v>14.8</v>
      </c>
      <c r="K440" s="9">
        <v>15</v>
      </c>
      <c r="L440">
        <f>Tableau1[[#This Row],[Final_time]]-SUM(Tableau1[[#This Row],[0_100m]:[600_700m]])</f>
        <v>16.349999999999994</v>
      </c>
      <c r="M440" s="9">
        <v>117.35</v>
      </c>
      <c r="N440">
        <f>SUM(Tableau1[[#This Row],[0_100m]:[700_800m]])</f>
        <v>117.35</v>
      </c>
      <c r="O440">
        <f>ABS(Tableau1[[#This Row],[Final_time]]-Tableau1[[#This Row],[Sum_time]])</f>
        <v>0</v>
      </c>
      <c r="P440" s="8"/>
      <c r="Q440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40" t="s">
        <v>482</v>
      </c>
      <c r="S440" s="1" t="s">
        <v>68</v>
      </c>
      <c r="U440" s="1" t="s">
        <v>69</v>
      </c>
      <c r="V440" s="1">
        <v>44386</v>
      </c>
      <c r="W440" s="4">
        <f>YEAR(Tableau1[[#This Row],[Competition_date]])</f>
        <v>2021</v>
      </c>
      <c r="X440" s="4">
        <v>28</v>
      </c>
      <c r="Y440" s="6">
        <v>0.51</v>
      </c>
      <c r="Z440" s="4" t="s">
        <v>82</v>
      </c>
      <c r="AA440" t="s">
        <v>176</v>
      </c>
    </row>
    <row r="441" spans="1:27" hidden="1" x14ac:dyDescent="0.35">
      <c r="A441" t="str">
        <f>_xlfn.CONCAT(Tableau1[[#This Row],[Athletes]],"_",Tableau1[[#This Row],[Nationality]],"_",Tableau1[[#This Row],[Competition_year]])</f>
        <v>Habitam ALEMU_ETH_2021</v>
      </c>
      <c r="B441" s="9" t="s">
        <v>223</v>
      </c>
      <c r="C441" s="9" t="s">
        <v>29</v>
      </c>
      <c r="D441" s="12" t="s">
        <v>49</v>
      </c>
      <c r="E441" s="9">
        <v>14.5</v>
      </c>
      <c r="F441" s="9">
        <v>13.4</v>
      </c>
      <c r="G441" s="9">
        <v>14.1</v>
      </c>
      <c r="H441" s="9">
        <v>14.7</v>
      </c>
      <c r="I441" s="9">
        <v>15</v>
      </c>
      <c r="J441" s="9">
        <v>15.3</v>
      </c>
      <c r="K441" s="9">
        <v>15.2</v>
      </c>
      <c r="L441">
        <f>Tableau1[[#This Row],[Final_time]]-SUM(Tableau1[[#This Row],[0_100m]:[600_700m]])</f>
        <v>15.509999999999991</v>
      </c>
      <c r="M441" s="9">
        <v>117.71</v>
      </c>
      <c r="N441">
        <f>SUM(Tableau1[[#This Row],[0_100m]:[700_800m]])</f>
        <v>117.71</v>
      </c>
      <c r="O441">
        <f>ABS(Tableau1[[#This Row],[Final_time]]-Tableau1[[#This Row],[Sum_time]])</f>
        <v>0</v>
      </c>
      <c r="P441" s="8"/>
      <c r="Q441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41" t="s">
        <v>482</v>
      </c>
      <c r="S441" s="1" t="s">
        <v>68</v>
      </c>
      <c r="U441" s="1" t="s">
        <v>69</v>
      </c>
      <c r="V441" s="1">
        <v>44386</v>
      </c>
      <c r="W441" s="4">
        <f>YEAR(Tableau1[[#This Row],[Competition_date]])</f>
        <v>2021</v>
      </c>
      <c r="X441" s="4">
        <v>28</v>
      </c>
      <c r="Y441" s="6">
        <v>0.51</v>
      </c>
      <c r="Z441" s="4" t="s">
        <v>82</v>
      </c>
      <c r="AA441" t="s">
        <v>176</v>
      </c>
    </row>
    <row r="442" spans="1:27" hidden="1" x14ac:dyDescent="0.35">
      <c r="A442" t="str">
        <f>_xlfn.CONCAT(Tableau1[[#This Row],[Athletes]],"_",Tableau1[[#This Row],[Nationality]],"_",Tableau1[[#This Row],[Competition_year]])</f>
        <v>Rénelle LAMOTE_FRA_2021</v>
      </c>
      <c r="B442" s="9" t="s">
        <v>225</v>
      </c>
      <c r="C442" s="9" t="s">
        <v>29</v>
      </c>
      <c r="D442" s="12" t="s">
        <v>17</v>
      </c>
      <c r="E442" s="9">
        <v>14</v>
      </c>
      <c r="F442" s="9">
        <v>13.5</v>
      </c>
      <c r="G442" s="9">
        <v>14.3</v>
      </c>
      <c r="H442" s="9">
        <v>14.7</v>
      </c>
      <c r="I442" s="9">
        <v>15.1</v>
      </c>
      <c r="J442" s="9">
        <v>15.2</v>
      </c>
      <c r="K442" s="9">
        <v>15.6</v>
      </c>
      <c r="L442">
        <f>Tableau1[[#This Row],[Final_time]]-SUM(Tableau1[[#This Row],[0_100m]:[600_700m]])</f>
        <v>15.580000000000013</v>
      </c>
      <c r="M442" s="9">
        <v>117.98</v>
      </c>
      <c r="N442">
        <f>SUM(Tableau1[[#This Row],[0_100m]:[700_800m]])</f>
        <v>117.98</v>
      </c>
      <c r="O442">
        <f>ABS(Tableau1[[#This Row],[Final_time]]-Tableau1[[#This Row],[Sum_time]])</f>
        <v>0</v>
      </c>
      <c r="P442" s="8"/>
      <c r="Q442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42" t="s">
        <v>482</v>
      </c>
      <c r="S442" s="1" t="s">
        <v>68</v>
      </c>
      <c r="U442" s="1" t="s">
        <v>69</v>
      </c>
      <c r="V442" s="1">
        <v>44386</v>
      </c>
      <c r="W442" s="4">
        <f>YEAR(Tableau1[[#This Row],[Competition_date]])</f>
        <v>2021</v>
      </c>
      <c r="X442" s="4">
        <v>28</v>
      </c>
      <c r="Y442" s="6">
        <v>0.51</v>
      </c>
      <c r="Z442" s="4" t="s">
        <v>82</v>
      </c>
      <c r="AA442" t="s">
        <v>176</v>
      </c>
    </row>
    <row r="443" spans="1:27" hidden="1" x14ac:dyDescent="0.35">
      <c r="A443" t="str">
        <f>_xlfn.CONCAT(Tableau1[[#This Row],[Athletes]],"_",Tableau1[[#This Row],[Nationality]],"_",Tableau1[[#This Row],[Competition_year]])</f>
        <v>Halimah NAKAAYI_UGA_2021</v>
      </c>
      <c r="B443" s="9" t="s">
        <v>230</v>
      </c>
      <c r="C443" s="9" t="s">
        <v>29</v>
      </c>
      <c r="D443" s="12" t="s">
        <v>34</v>
      </c>
      <c r="E443" s="9">
        <v>14.2</v>
      </c>
      <c r="F443" s="9">
        <v>13.7</v>
      </c>
      <c r="G443" s="9">
        <v>14.2</v>
      </c>
      <c r="H443" s="9">
        <v>14.8</v>
      </c>
      <c r="I443" s="9">
        <v>15</v>
      </c>
      <c r="J443" s="9">
        <v>15</v>
      </c>
      <c r="K443" s="9">
        <v>15.2</v>
      </c>
      <c r="L443">
        <f>Tableau1[[#This Row],[Final_time]]-SUM(Tableau1[[#This Row],[0_100m]:[600_700m]])</f>
        <v>15.930000000000007</v>
      </c>
      <c r="M443" s="9">
        <v>118.03</v>
      </c>
      <c r="N443">
        <f>SUM(Tableau1[[#This Row],[0_100m]:[700_800m]])</f>
        <v>118.03</v>
      </c>
      <c r="O443">
        <f>ABS(Tableau1[[#This Row],[Final_time]]-Tableau1[[#This Row],[Sum_time]])</f>
        <v>0</v>
      </c>
      <c r="P443" s="8"/>
      <c r="Q443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43" t="s">
        <v>482</v>
      </c>
      <c r="S443" s="1" t="s">
        <v>68</v>
      </c>
      <c r="U443" s="1" t="s">
        <v>69</v>
      </c>
      <c r="V443" s="1">
        <v>44386</v>
      </c>
      <c r="W443" s="4">
        <f>YEAR(Tableau1[[#This Row],[Competition_date]])</f>
        <v>2021</v>
      </c>
      <c r="X443" s="4">
        <v>28</v>
      </c>
      <c r="Y443" s="6">
        <v>0.51</v>
      </c>
      <c r="Z443" s="4" t="s">
        <v>82</v>
      </c>
      <c r="AA443" t="s">
        <v>176</v>
      </c>
    </row>
    <row r="444" spans="1:27" hidden="1" x14ac:dyDescent="0.35">
      <c r="A444" t="str">
        <f>_xlfn.CONCAT(Tableau1[[#This Row],[Athletes]],"_",Tableau1[[#This Row],[Nationality]],"_",Tableau1[[#This Row],[Competition_year]])</f>
        <v>Catriona BISSET_AUS_2021</v>
      </c>
      <c r="B444" s="9" t="s">
        <v>217</v>
      </c>
      <c r="C444" s="9" t="s">
        <v>29</v>
      </c>
      <c r="D444" s="12" t="s">
        <v>36</v>
      </c>
      <c r="E444" s="9">
        <v>14.5</v>
      </c>
      <c r="F444" s="9">
        <v>13.8</v>
      </c>
      <c r="G444" s="9">
        <v>14.2</v>
      </c>
      <c r="H444" s="9">
        <v>14.7</v>
      </c>
      <c r="I444" s="9">
        <v>15</v>
      </c>
      <c r="J444" s="9">
        <v>15.1</v>
      </c>
      <c r="K444" s="9">
        <v>15.3</v>
      </c>
      <c r="L444">
        <f>Tableau1[[#This Row],[Final_time]]-SUM(Tableau1[[#This Row],[0_100m]:[600_700m]])</f>
        <v>15.820000000000007</v>
      </c>
      <c r="M444" s="9">
        <v>118.42</v>
      </c>
      <c r="N444">
        <f>SUM(Tableau1[[#This Row],[0_100m]:[700_800m]])</f>
        <v>118.42</v>
      </c>
      <c r="O444">
        <f>ABS(Tableau1[[#This Row],[Final_time]]-Tableau1[[#This Row],[Sum_time]])</f>
        <v>0</v>
      </c>
      <c r="P444" s="8"/>
      <c r="Q444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44" t="s">
        <v>482</v>
      </c>
      <c r="S444" s="1" t="s">
        <v>68</v>
      </c>
      <c r="U444" s="1" t="s">
        <v>69</v>
      </c>
      <c r="V444" s="1">
        <v>44386</v>
      </c>
      <c r="W444" s="4">
        <f>YEAR(Tableau1[[#This Row],[Competition_date]])</f>
        <v>2021</v>
      </c>
      <c r="X444" s="4">
        <v>28</v>
      </c>
      <c r="Y444" s="6">
        <v>0.51</v>
      </c>
      <c r="Z444" s="4" t="s">
        <v>82</v>
      </c>
      <c r="AA444" t="s">
        <v>176</v>
      </c>
    </row>
    <row r="445" spans="1:27" hidden="1" x14ac:dyDescent="0.35">
      <c r="A445" t="str">
        <f>_xlfn.CONCAT(Tableau1[[#This Row],[Athletes]],"_",Tableau1[[#This Row],[Nationality]],"_",Tableau1[[#This Row],[Competition_year]])</f>
        <v>Rose Mary ALMANZA_CUB_2021</v>
      </c>
      <c r="B445" s="9" t="s">
        <v>263</v>
      </c>
      <c r="C445" s="9" t="s">
        <v>29</v>
      </c>
      <c r="D445" s="12" t="s">
        <v>165</v>
      </c>
      <c r="E445" s="9">
        <v>13.8</v>
      </c>
      <c r="F445" s="9">
        <v>12.9</v>
      </c>
      <c r="G445" s="9">
        <v>14</v>
      </c>
      <c r="H445" s="9">
        <v>15</v>
      </c>
      <c r="I445" s="9">
        <v>15.5</v>
      </c>
      <c r="J445" s="9">
        <v>15.4</v>
      </c>
      <c r="K445" s="9">
        <v>15.8</v>
      </c>
      <c r="L445">
        <f>Tableau1[[#This Row],[Final_time]]-SUM(Tableau1[[#This Row],[0_100m]:[600_700m]])</f>
        <v>16.11</v>
      </c>
      <c r="M445">
        <v>118.51</v>
      </c>
      <c r="N445">
        <f>SUM(Tableau1[[#This Row],[0_100m]:[700_800m]])</f>
        <v>118.51</v>
      </c>
      <c r="O445">
        <f>ABS(Tableau1[[#This Row],[Final_time]]-Tableau1[[#This Row],[Sum_time]])</f>
        <v>0</v>
      </c>
      <c r="P445" s="8"/>
      <c r="Q445" s="1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R445" t="s">
        <v>482</v>
      </c>
      <c r="S445" s="1" t="s">
        <v>68</v>
      </c>
      <c r="U445" s="1" t="s">
        <v>69</v>
      </c>
      <c r="V445" s="1">
        <v>44386</v>
      </c>
      <c r="W445" s="4">
        <f>YEAR(Tableau1[[#This Row],[Competition_date]])</f>
        <v>2021</v>
      </c>
      <c r="X445" s="4">
        <v>28</v>
      </c>
      <c r="Y445" s="6">
        <v>0.51</v>
      </c>
      <c r="Z445" s="4" t="s">
        <v>82</v>
      </c>
      <c r="AA445" t="s">
        <v>176</v>
      </c>
    </row>
    <row r="446" spans="1:27" hidden="1" x14ac:dyDescent="0.35">
      <c r="A446" t="str">
        <f>_xlfn.CONCAT(Tableau1[[#This Row],[Athletes]],"_",Tableau1[[#This Row],[Nationality]],"_",Tableau1[[#This Row],[Competition_year]])</f>
        <v>Natoya GOULE-TOPPIN_JAM_2022</v>
      </c>
      <c r="B446" s="9" t="s">
        <v>222</v>
      </c>
      <c r="C446" s="9" t="s">
        <v>29</v>
      </c>
      <c r="D446" s="12" t="s">
        <v>33</v>
      </c>
      <c r="E446" s="9">
        <v>14</v>
      </c>
      <c r="F446" s="9">
        <v>13.6</v>
      </c>
      <c r="G446" s="9">
        <v>14.3</v>
      </c>
      <c r="H446" s="9">
        <v>14.8</v>
      </c>
      <c r="I446" s="9">
        <v>15.4</v>
      </c>
      <c r="J446" s="9">
        <v>14.5</v>
      </c>
      <c r="K446" s="9">
        <v>14.6</v>
      </c>
      <c r="L446">
        <f>Tableau1[[#This Row],[Final_time]]-SUM(Tableau1[[#This Row],[0_100m]:[600_700m]])</f>
        <v>15.780000000000001</v>
      </c>
      <c r="M446" s="9">
        <v>116.98</v>
      </c>
      <c r="N446">
        <f>SUM(Tableau1[[#This Row],[0_100m]:[700_800m]])</f>
        <v>116.98</v>
      </c>
      <c r="O446">
        <f>ABS(Tableau1[[#This Row],[Final_time]]-Tableau1[[#This Row],[Sum_time]])</f>
        <v>0</v>
      </c>
      <c r="P446" s="8"/>
      <c r="Q446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46" t="s">
        <v>374</v>
      </c>
      <c r="S446" s="1" t="s">
        <v>68</v>
      </c>
      <c r="U446" s="1" t="s">
        <v>69</v>
      </c>
      <c r="V446" s="1">
        <v>44783</v>
      </c>
      <c r="W446" s="4">
        <f>YEAR(Tableau1[[#This Row],[Competition_date]])</f>
        <v>2022</v>
      </c>
      <c r="X446" s="4">
        <v>27</v>
      </c>
      <c r="Y446" s="6">
        <v>0.56999999999999995</v>
      </c>
      <c r="Z446" s="4" t="s">
        <v>81</v>
      </c>
      <c r="AA446" t="s">
        <v>176</v>
      </c>
    </row>
    <row r="447" spans="1:27" hidden="1" x14ac:dyDescent="0.35">
      <c r="A447" t="str">
        <f>_xlfn.CONCAT(Tableau1[[#This Row],[Athletes]],"_",Tableau1[[#This Row],[Nationality]],"_",Tableau1[[#This Row],[Competition_year]])</f>
        <v>Sage HURTA-KLECKER_USA_2022</v>
      </c>
      <c r="B447" s="9" t="s">
        <v>289</v>
      </c>
      <c r="C447" s="9" t="s">
        <v>29</v>
      </c>
      <c r="D447" s="12" t="s">
        <v>35</v>
      </c>
      <c r="E447" s="9">
        <v>14.1</v>
      </c>
      <c r="F447" s="9">
        <v>13.9</v>
      </c>
      <c r="G447" s="9">
        <v>14.4</v>
      </c>
      <c r="H447" s="9">
        <v>14.7</v>
      </c>
      <c r="I447" s="9">
        <v>15.5</v>
      </c>
      <c r="J447" s="9">
        <v>15.1</v>
      </c>
      <c r="K447" s="9">
        <v>15.1</v>
      </c>
      <c r="L447">
        <f>Tableau1[[#This Row],[Final_time]]-SUM(Tableau1[[#This Row],[0_100m]:[600_700m]])</f>
        <v>15.050000000000011</v>
      </c>
      <c r="M447" s="9">
        <v>117.85</v>
      </c>
      <c r="N447">
        <f>SUM(Tableau1[[#This Row],[0_100m]:[700_800m]])</f>
        <v>117.85</v>
      </c>
      <c r="O447">
        <f>ABS(Tableau1[[#This Row],[Final_time]]-Tableau1[[#This Row],[Sum_time]])</f>
        <v>0</v>
      </c>
      <c r="P447" s="8"/>
      <c r="Q447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47" t="s">
        <v>374</v>
      </c>
      <c r="S447" s="1" t="s">
        <v>68</v>
      </c>
      <c r="U447" s="1" t="s">
        <v>69</v>
      </c>
      <c r="V447" s="1">
        <v>44783</v>
      </c>
      <c r="W447" s="4">
        <f>YEAR(Tableau1[[#This Row],[Competition_date]])</f>
        <v>2022</v>
      </c>
      <c r="X447" s="4">
        <v>27</v>
      </c>
      <c r="Y447" s="6">
        <v>0.56999999999999995</v>
      </c>
      <c r="Z447" s="4" t="s">
        <v>81</v>
      </c>
      <c r="AA447" t="s">
        <v>176</v>
      </c>
    </row>
    <row r="448" spans="1:27" hidden="1" x14ac:dyDescent="0.35">
      <c r="A448" t="str">
        <f>_xlfn.CONCAT(Tableau1[[#This Row],[Athletes]],"_",Tableau1[[#This Row],[Nationality]],"_",Tableau1[[#This Row],[Competition_year]])</f>
        <v>Olivia BAKER_USA_2022</v>
      </c>
      <c r="B448" s="9" t="s">
        <v>375</v>
      </c>
      <c r="C448" s="9" t="s">
        <v>29</v>
      </c>
      <c r="D448" s="12" t="s">
        <v>35</v>
      </c>
      <c r="E448" s="9">
        <v>13.9</v>
      </c>
      <c r="F448" s="9">
        <v>13.5</v>
      </c>
      <c r="G448" s="9">
        <v>14.1</v>
      </c>
      <c r="H448" s="9">
        <v>14.9</v>
      </c>
      <c r="I448" s="9">
        <v>15.5</v>
      </c>
      <c r="J448" s="9">
        <v>14.7</v>
      </c>
      <c r="K448" s="9">
        <v>15.2</v>
      </c>
      <c r="L448">
        <f>Tableau1[[#This Row],[Final_time]]-SUM(Tableau1[[#This Row],[0_100m]:[600_700m]])</f>
        <v>16.249999999999986</v>
      </c>
      <c r="M448" s="9">
        <v>118.05</v>
      </c>
      <c r="N448">
        <f>SUM(Tableau1[[#This Row],[0_100m]:[700_800m]])</f>
        <v>118.05</v>
      </c>
      <c r="O448">
        <f>ABS(Tableau1[[#This Row],[Final_time]]-Tableau1[[#This Row],[Sum_time]])</f>
        <v>0</v>
      </c>
      <c r="P448" s="8"/>
      <c r="Q448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48" t="s">
        <v>374</v>
      </c>
      <c r="S448" s="1" t="s">
        <v>68</v>
      </c>
      <c r="U448" s="1" t="s">
        <v>69</v>
      </c>
      <c r="V448" s="1">
        <v>44783</v>
      </c>
      <c r="W448" s="4">
        <f>YEAR(Tableau1[[#This Row],[Competition_date]])</f>
        <v>2022</v>
      </c>
      <c r="X448" s="4">
        <v>27</v>
      </c>
      <c r="Y448" s="6">
        <v>0.56999999999999995</v>
      </c>
      <c r="Z448" s="4" t="s">
        <v>81</v>
      </c>
      <c r="AA448" t="s">
        <v>176</v>
      </c>
    </row>
    <row r="449" spans="1:27" hidden="1" x14ac:dyDescent="0.35">
      <c r="A449" t="str">
        <f>_xlfn.CONCAT(Tableau1[[#This Row],[Athletes]],"_",Tableau1[[#This Row],[Nationality]],"_",Tableau1[[#This Row],[Competition_year]])</f>
        <v>Jemma REEKIE_GBR_2022</v>
      </c>
      <c r="B449" s="9" t="s">
        <v>220</v>
      </c>
      <c r="C449" s="9" t="s">
        <v>29</v>
      </c>
      <c r="D449" s="12" t="s">
        <v>30</v>
      </c>
      <c r="E449" s="9">
        <v>14.1</v>
      </c>
      <c r="F449" s="9">
        <v>13.6</v>
      </c>
      <c r="G449" s="9">
        <v>14.4</v>
      </c>
      <c r="H449" s="9">
        <v>14.8</v>
      </c>
      <c r="I449" s="9">
        <v>15.4</v>
      </c>
      <c r="J449" s="9">
        <v>14.8</v>
      </c>
      <c r="K449" s="9">
        <v>15.3</v>
      </c>
      <c r="L449">
        <f>Tableau1[[#This Row],[Final_time]]-SUM(Tableau1[[#This Row],[0_100m]:[600_700m]])</f>
        <v>16.28</v>
      </c>
      <c r="M449" s="9">
        <v>118.68</v>
      </c>
      <c r="N449">
        <f>SUM(Tableau1[[#This Row],[0_100m]:[700_800m]])</f>
        <v>118.68</v>
      </c>
      <c r="O449">
        <f>ABS(Tableau1[[#This Row],[Final_time]]-Tableau1[[#This Row],[Sum_time]])</f>
        <v>0</v>
      </c>
      <c r="P449" s="8"/>
      <c r="Q449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49" t="s">
        <v>374</v>
      </c>
      <c r="S449" s="1" t="s">
        <v>68</v>
      </c>
      <c r="U449" s="1" t="s">
        <v>69</v>
      </c>
      <c r="V449" s="1">
        <v>44783</v>
      </c>
      <c r="W449" s="4">
        <f>YEAR(Tableau1[[#This Row],[Competition_date]])</f>
        <v>2022</v>
      </c>
      <c r="X449" s="4">
        <v>27</v>
      </c>
      <c r="Y449" s="6">
        <v>0.56999999999999995</v>
      </c>
      <c r="Z449" s="4" t="s">
        <v>81</v>
      </c>
      <c r="AA449" t="s">
        <v>176</v>
      </c>
    </row>
    <row r="450" spans="1:27" hidden="1" x14ac:dyDescent="0.35">
      <c r="A450" t="str">
        <f>_xlfn.CONCAT(Tableau1[[#This Row],[Athletes]],"_",Tableau1[[#This Row],[Nationality]],"_",Tableau1[[#This Row],[Competition_year]])</f>
        <v>Abbey CALDWELL_AUS_2022</v>
      </c>
      <c r="B450" s="9" t="s">
        <v>232</v>
      </c>
      <c r="C450" s="9" t="s">
        <v>29</v>
      </c>
      <c r="D450" s="12" t="s">
        <v>36</v>
      </c>
      <c r="E450" s="9">
        <v>14.2</v>
      </c>
      <c r="F450" s="9">
        <v>14.2</v>
      </c>
      <c r="G450" s="9">
        <v>14.7</v>
      </c>
      <c r="H450" s="9">
        <v>15.2</v>
      </c>
      <c r="I450" s="9">
        <v>15.2</v>
      </c>
      <c r="J450" s="9">
        <v>15.4</v>
      </c>
      <c r="K450" s="9">
        <v>15.1</v>
      </c>
      <c r="L450">
        <f>Tableau1[[#This Row],[Final_time]]-SUM(Tableau1[[#This Row],[0_100m]:[600_700m]])</f>
        <v>15.310000000000002</v>
      </c>
      <c r="M450" s="9">
        <v>119.31</v>
      </c>
      <c r="N450">
        <f>SUM(Tableau1[[#This Row],[0_100m]:[700_800m]])</f>
        <v>119.31</v>
      </c>
      <c r="O450">
        <f>ABS(Tableau1[[#This Row],[Final_time]]-Tableau1[[#This Row],[Sum_time]])</f>
        <v>0</v>
      </c>
      <c r="P450" s="8"/>
      <c r="Q450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50" t="s">
        <v>374</v>
      </c>
      <c r="S450" s="1" t="s">
        <v>68</v>
      </c>
      <c r="U450" s="1" t="s">
        <v>69</v>
      </c>
      <c r="V450" s="1">
        <v>44783</v>
      </c>
      <c r="W450" s="4">
        <f>YEAR(Tableau1[[#This Row],[Competition_date]])</f>
        <v>2022</v>
      </c>
      <c r="X450" s="4">
        <v>27</v>
      </c>
      <c r="Y450" s="6">
        <v>0.56999999999999995</v>
      </c>
      <c r="Z450" s="4" t="s">
        <v>81</v>
      </c>
      <c r="AA450" t="s">
        <v>176</v>
      </c>
    </row>
    <row r="451" spans="1:27" hidden="1" x14ac:dyDescent="0.35">
      <c r="A451" t="str">
        <f>_xlfn.CONCAT(Tableau1[[#This Row],[Athletes]],"_",Tableau1[[#This Row],[Nationality]],"_",Tableau1[[#This Row],[Competition_year]])</f>
        <v>Halimah NAKAAYI_UGA_2022</v>
      </c>
      <c r="B451" s="9" t="s">
        <v>230</v>
      </c>
      <c r="C451" s="9" t="s">
        <v>29</v>
      </c>
      <c r="D451" s="12" t="s">
        <v>34</v>
      </c>
      <c r="E451" s="9">
        <v>14.1</v>
      </c>
      <c r="F451" s="9">
        <v>14.1</v>
      </c>
      <c r="G451" s="9">
        <v>14.7</v>
      </c>
      <c r="H451" s="9">
        <v>15.4</v>
      </c>
      <c r="I451" s="9">
        <v>15.5</v>
      </c>
      <c r="J451" s="9">
        <v>15.1</v>
      </c>
      <c r="K451" s="9">
        <v>15.6</v>
      </c>
      <c r="L451">
        <f>Tableau1[[#This Row],[Final_time]]-SUM(Tableau1[[#This Row],[0_100m]:[600_700m]])</f>
        <v>15.52000000000001</v>
      </c>
      <c r="M451" s="9">
        <v>120.02</v>
      </c>
      <c r="N451">
        <f>SUM(Tableau1[[#This Row],[0_100m]:[700_800m]])</f>
        <v>120.02</v>
      </c>
      <c r="O451">
        <f>ABS(Tableau1[[#This Row],[Final_time]]-Tableau1[[#This Row],[Sum_time]])</f>
        <v>0</v>
      </c>
      <c r="P451" s="8"/>
      <c r="Q451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51" t="s">
        <v>374</v>
      </c>
      <c r="S451" s="1" t="s">
        <v>68</v>
      </c>
      <c r="U451" s="1" t="s">
        <v>69</v>
      </c>
      <c r="V451" s="1">
        <v>44783</v>
      </c>
      <c r="W451" s="4">
        <f>YEAR(Tableau1[[#This Row],[Competition_date]])</f>
        <v>2022</v>
      </c>
      <c r="X451" s="4">
        <v>27</v>
      </c>
      <c r="Y451" s="6">
        <v>0.56999999999999995</v>
      </c>
      <c r="Z451" s="4" t="s">
        <v>81</v>
      </c>
      <c r="AA451" t="s">
        <v>176</v>
      </c>
    </row>
    <row r="452" spans="1:27" hidden="1" x14ac:dyDescent="0.35">
      <c r="A452" t="str">
        <f>_xlfn.CONCAT(Tableau1[[#This Row],[Athletes]],"_",Tableau1[[#This Row],[Nationality]],"_",Tableau1[[#This Row],[Competition_year]])</f>
        <v>Linden HALL_AUS_2022</v>
      </c>
      <c r="B452" s="9" t="s">
        <v>376</v>
      </c>
      <c r="C452" s="9" t="s">
        <v>29</v>
      </c>
      <c r="D452" s="12" t="s">
        <v>36</v>
      </c>
      <c r="E452" s="9">
        <v>14.8</v>
      </c>
      <c r="F452" s="9">
        <v>13.7</v>
      </c>
      <c r="G452" s="9">
        <v>14.4</v>
      </c>
      <c r="H452" s="9">
        <v>15</v>
      </c>
      <c r="I452" s="9">
        <v>15.3</v>
      </c>
      <c r="J452" s="9">
        <v>15.4</v>
      </c>
      <c r="K452" s="9">
        <v>15.5</v>
      </c>
      <c r="L452">
        <f>Tableau1[[#This Row],[Final_time]]-SUM(Tableau1[[#This Row],[0_100m]:[600_700m]])</f>
        <v>16.349999999999994</v>
      </c>
      <c r="M452" s="9">
        <v>120.45</v>
      </c>
      <c r="N452">
        <f>SUM(Tableau1[[#This Row],[0_100m]:[700_800m]])</f>
        <v>120.45</v>
      </c>
      <c r="O452">
        <f>ABS(Tableau1[[#This Row],[Final_time]]-Tableau1[[#This Row],[Sum_time]])</f>
        <v>0</v>
      </c>
      <c r="P452" s="8"/>
      <c r="Q452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52" t="s">
        <v>374</v>
      </c>
      <c r="S452" s="1" t="s">
        <v>68</v>
      </c>
      <c r="U452" s="1" t="s">
        <v>69</v>
      </c>
      <c r="V452" s="1">
        <v>44783</v>
      </c>
      <c r="W452" s="4">
        <f>YEAR(Tableau1[[#This Row],[Competition_date]])</f>
        <v>2022</v>
      </c>
      <c r="X452" s="4">
        <v>27</v>
      </c>
      <c r="Y452" s="6">
        <v>0.56999999999999995</v>
      </c>
      <c r="Z452" s="4" t="s">
        <v>81</v>
      </c>
      <c r="AA452" t="s">
        <v>176</v>
      </c>
    </row>
    <row r="453" spans="1:27" hidden="1" x14ac:dyDescent="0.35">
      <c r="A453" t="str">
        <f>_xlfn.CONCAT(Tableau1[[#This Row],[Athletes]],"_",Tableau1[[#This Row],[Nationality]],"_",Tableau1[[#This Row],[Competition_year]])</f>
        <v>Agnès RAHAROLAHY_FRA_2022</v>
      </c>
      <c r="B453" s="9" t="s">
        <v>377</v>
      </c>
      <c r="C453" s="9" t="s">
        <v>29</v>
      </c>
      <c r="D453" s="12" t="s">
        <v>17</v>
      </c>
      <c r="E453" s="9">
        <v>14.6</v>
      </c>
      <c r="F453" s="9">
        <v>14.1</v>
      </c>
      <c r="G453" s="9">
        <v>14.6</v>
      </c>
      <c r="H453" s="9">
        <v>15.2</v>
      </c>
      <c r="I453" s="9">
        <v>15.6</v>
      </c>
      <c r="J453" s="9">
        <v>15.5</v>
      </c>
      <c r="K453" s="9">
        <v>15.6</v>
      </c>
      <c r="L453">
        <f>Tableau1[[#This Row],[Final_time]]-SUM(Tableau1[[#This Row],[0_100m]:[600_700m]])</f>
        <v>17.050000000000011</v>
      </c>
      <c r="M453" s="9">
        <v>122.25</v>
      </c>
      <c r="N453">
        <f>SUM(Tableau1[[#This Row],[0_100m]:[700_800m]])</f>
        <v>122.25</v>
      </c>
      <c r="O453">
        <f>ABS(Tableau1[[#This Row],[Final_time]]-Tableau1[[#This Row],[Sum_time]])</f>
        <v>0</v>
      </c>
      <c r="P453" s="8"/>
      <c r="Q453" s="1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R453" t="s">
        <v>374</v>
      </c>
      <c r="S453" s="1" t="s">
        <v>68</v>
      </c>
      <c r="U453" s="1" t="s">
        <v>69</v>
      </c>
      <c r="V453" s="1">
        <v>44783</v>
      </c>
      <c r="W453" s="4">
        <f>YEAR(Tableau1[[#This Row],[Competition_date]])</f>
        <v>2022</v>
      </c>
      <c r="X453" s="4">
        <v>27</v>
      </c>
      <c r="Y453" s="6">
        <v>0.56999999999999995</v>
      </c>
      <c r="Z453" s="4" t="s">
        <v>81</v>
      </c>
      <c r="AA453" t="s">
        <v>176</v>
      </c>
    </row>
    <row r="454" spans="1:27" hidden="1" x14ac:dyDescent="0.35">
      <c r="A454" t="str">
        <f>_xlfn.CONCAT(Tableau1[[#This Row],[Athletes]],"_",Tableau1[[#This Row],[Nationality]],"_",Tableau1[[#This Row],[Competition_year]])</f>
        <v>Niels LAROS_NED_2023</v>
      </c>
      <c r="B454" t="s">
        <v>301</v>
      </c>
      <c r="C454" t="s">
        <v>14</v>
      </c>
      <c r="D454" s="18" t="s">
        <v>158</v>
      </c>
      <c r="E454">
        <v>13.5</v>
      </c>
      <c r="F454">
        <v>12</v>
      </c>
      <c r="G454">
        <v>13.1</v>
      </c>
      <c r="H454">
        <v>13.4</v>
      </c>
      <c r="I454">
        <v>13.4</v>
      </c>
      <c r="J454">
        <v>13</v>
      </c>
      <c r="K454">
        <v>13.1</v>
      </c>
      <c r="L454">
        <f>Tableau1[[#This Row],[Final_time]]-SUM(Tableau1[[#This Row],[0_100m]:[600_700m]])</f>
        <v>13.280000000000001</v>
      </c>
      <c r="M454">
        <v>104.78</v>
      </c>
      <c r="N454">
        <f>SUM(Tableau1[[#This Row],[0_100m]:[700_800m]])</f>
        <v>104.78</v>
      </c>
      <c r="O454">
        <f>ABS(Tableau1[[#This Row],[Final_time]]-Tableau1[[#This Row],[Sum_time]])</f>
        <v>0</v>
      </c>
      <c r="P454" s="8"/>
      <c r="Q454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54" t="s">
        <v>306</v>
      </c>
      <c r="S454" s="1" t="s">
        <v>68</v>
      </c>
      <c r="U454" s="1" t="s">
        <v>307</v>
      </c>
      <c r="V454" s="1">
        <v>45128</v>
      </c>
      <c r="W454" s="4">
        <f>YEAR(Tableau1[[#This Row],[Competition_date]])</f>
        <v>2023</v>
      </c>
      <c r="X454" s="4">
        <v>30</v>
      </c>
      <c r="Y454" s="6">
        <v>0.31</v>
      </c>
      <c r="Z454" s="4" t="s">
        <v>79</v>
      </c>
      <c r="AA454" t="s">
        <v>176</v>
      </c>
    </row>
    <row r="455" spans="1:27" hidden="1" x14ac:dyDescent="0.35">
      <c r="A455" t="str">
        <f>_xlfn.CONCAT(Tableau1[[#This Row],[Athletes]],"_",Tableau1[[#This Row],[Nationality]],"_",Tableau1[[#This Row],[Competition_year]])</f>
        <v>Ermias GIRMA_ETH_2023</v>
      </c>
      <c r="B455" t="s">
        <v>238</v>
      </c>
      <c r="C455" t="s">
        <v>14</v>
      </c>
      <c r="D455" s="18" t="s">
        <v>49</v>
      </c>
      <c r="E455">
        <v>13.3</v>
      </c>
      <c r="F455">
        <v>11.9</v>
      </c>
      <c r="G455">
        <v>13.2</v>
      </c>
      <c r="H455">
        <v>13.3</v>
      </c>
      <c r="I455">
        <v>13.5</v>
      </c>
      <c r="J455">
        <v>13</v>
      </c>
      <c r="K455">
        <v>13.2</v>
      </c>
      <c r="L455">
        <f>Tableau1[[#This Row],[Final_time]]-SUM(Tableau1[[#This Row],[0_100m]:[600_700m]])</f>
        <v>13.459999999999994</v>
      </c>
      <c r="M455">
        <v>104.86</v>
      </c>
      <c r="N455">
        <f>SUM(Tableau1[[#This Row],[0_100m]:[700_800m]])</f>
        <v>104.86</v>
      </c>
      <c r="O455">
        <f>ABS(Tableau1[[#This Row],[Final_time]]-Tableau1[[#This Row],[Sum_time]])</f>
        <v>0</v>
      </c>
      <c r="P455" s="8"/>
      <c r="Q455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55" t="s">
        <v>306</v>
      </c>
      <c r="S455" s="1" t="s">
        <v>68</v>
      </c>
      <c r="U455" s="1" t="s">
        <v>307</v>
      </c>
      <c r="V455" s="1">
        <v>45128</v>
      </c>
      <c r="W455" s="4">
        <f>YEAR(Tableau1[[#This Row],[Competition_date]])</f>
        <v>2023</v>
      </c>
      <c r="X455" s="4">
        <v>30</v>
      </c>
      <c r="Y455" s="6">
        <v>0.31</v>
      </c>
      <c r="Z455" s="4" t="s">
        <v>79</v>
      </c>
      <c r="AA455" t="s">
        <v>176</v>
      </c>
    </row>
    <row r="456" spans="1:27" hidden="1" x14ac:dyDescent="0.35">
      <c r="A456" t="str">
        <f>_xlfn.CONCAT(Tableau1[[#This Row],[Athletes]],"_",Tableau1[[#This Row],[Nationality]],"_",Tableau1[[#This Row],[Competition_year]])</f>
        <v>Ryan CLARKE_NED_2023</v>
      </c>
      <c r="B456" t="s">
        <v>302</v>
      </c>
      <c r="C456" t="s">
        <v>14</v>
      </c>
      <c r="D456" s="18" t="s">
        <v>158</v>
      </c>
      <c r="M456">
        <v>105.52</v>
      </c>
      <c r="N456">
        <f>SUM(Tableau1[[#This Row],[0_100m]:[700_800m]])</f>
        <v>0</v>
      </c>
      <c r="O456">
        <f>ABS(Tableau1[[#This Row],[Final_time]]-Tableau1[[#This Row],[Sum_time]])</f>
        <v>105.52</v>
      </c>
      <c r="P456" s="8"/>
      <c r="Q456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56" t="s">
        <v>306</v>
      </c>
      <c r="S456" s="1" t="s">
        <v>68</v>
      </c>
      <c r="U456" s="1" t="s">
        <v>307</v>
      </c>
      <c r="V456" s="1">
        <v>45128</v>
      </c>
      <c r="W456" s="4">
        <f>YEAR(Tableau1[[#This Row],[Competition_date]])</f>
        <v>2023</v>
      </c>
      <c r="X456" s="4">
        <v>30</v>
      </c>
      <c r="Y456" s="6">
        <v>0.31</v>
      </c>
      <c r="Z456" s="4" t="s">
        <v>79</v>
      </c>
      <c r="AA456" t="s">
        <v>176</v>
      </c>
    </row>
    <row r="457" spans="1:27" hidden="1" x14ac:dyDescent="0.35">
      <c r="A457" t="str">
        <f>_xlfn.CONCAT(Tableau1[[#This Row],[Athletes]],"_",Tableau1[[#This Row],[Nationality]],"_",Tableau1[[#This Row],[Competition_year]])</f>
        <v>Álvaro DE ARRIBA_ESP_2023</v>
      </c>
      <c r="B457" t="s">
        <v>237</v>
      </c>
      <c r="C457" t="s">
        <v>14</v>
      </c>
      <c r="D457" s="18" t="s">
        <v>37</v>
      </c>
      <c r="E457">
        <v>13.6</v>
      </c>
      <c r="F457">
        <v>12.6</v>
      </c>
      <c r="G457">
        <v>13.4</v>
      </c>
      <c r="H457">
        <v>13.1</v>
      </c>
      <c r="I457">
        <v>13.4</v>
      </c>
      <c r="J457">
        <v>12.9</v>
      </c>
      <c r="K457">
        <v>13.4</v>
      </c>
      <c r="L457">
        <f>Tableau1[[#This Row],[Final_time]]-SUM(Tableau1[[#This Row],[0_100m]:[600_700m]])</f>
        <v>13.579999999999984</v>
      </c>
      <c r="M457">
        <v>105.98</v>
      </c>
      <c r="N457">
        <f>SUM(Tableau1[[#This Row],[0_100m]:[700_800m]])</f>
        <v>105.98</v>
      </c>
      <c r="O457">
        <f>ABS(Tableau1[[#This Row],[Final_time]]-Tableau1[[#This Row],[Sum_time]])</f>
        <v>0</v>
      </c>
      <c r="P457" s="8"/>
      <c r="Q457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57" t="s">
        <v>306</v>
      </c>
      <c r="S457" s="1" t="s">
        <v>68</v>
      </c>
      <c r="U457" s="1" t="s">
        <v>307</v>
      </c>
      <c r="V457" s="1">
        <v>45128</v>
      </c>
      <c r="W457" s="4">
        <f>YEAR(Tableau1[[#This Row],[Competition_date]])</f>
        <v>2023</v>
      </c>
      <c r="X457" s="4">
        <v>30</v>
      </c>
      <c r="Y457" s="6">
        <v>0.31</v>
      </c>
      <c r="Z457" s="4" t="s">
        <v>79</v>
      </c>
      <c r="AA457" t="s">
        <v>176</v>
      </c>
    </row>
    <row r="458" spans="1:27" hidden="1" x14ac:dyDescent="0.35">
      <c r="A458" t="str">
        <f>_xlfn.CONCAT(Tableau1[[#This Row],[Athletes]],"_",Tableau1[[#This Row],[Nationality]],"_",Tableau1[[#This Row],[Competition_year]])</f>
        <v>Filip ŠNEJDR_CZE_2023</v>
      </c>
      <c r="B458" t="s">
        <v>785</v>
      </c>
      <c r="C458" t="s">
        <v>14</v>
      </c>
      <c r="D458" s="18" t="s">
        <v>303</v>
      </c>
      <c r="E458">
        <v>13.1</v>
      </c>
      <c r="F458">
        <v>12.7</v>
      </c>
      <c r="G458">
        <v>13.4</v>
      </c>
      <c r="H458">
        <v>13.4</v>
      </c>
      <c r="I458">
        <v>13.4</v>
      </c>
      <c r="J458">
        <v>13.2</v>
      </c>
      <c r="K458">
        <v>13.3</v>
      </c>
      <c r="L458">
        <f>Tableau1[[#This Row],[Final_time]]-SUM(Tableau1[[#This Row],[0_100m]:[600_700m]])</f>
        <v>13.620000000000005</v>
      </c>
      <c r="M458">
        <v>106.12</v>
      </c>
      <c r="N458">
        <f>SUM(Tableau1[[#This Row],[0_100m]:[700_800m]])</f>
        <v>106.12</v>
      </c>
      <c r="O458">
        <f>ABS(Tableau1[[#This Row],[Final_time]]-Tableau1[[#This Row],[Sum_time]])</f>
        <v>0</v>
      </c>
      <c r="P458" s="8"/>
      <c r="Q458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58" t="s">
        <v>306</v>
      </c>
      <c r="S458" s="1" t="s">
        <v>68</v>
      </c>
      <c r="U458" s="1" t="s">
        <v>307</v>
      </c>
      <c r="V458" s="1">
        <v>45128</v>
      </c>
      <c r="W458" s="4">
        <f>YEAR(Tableau1[[#This Row],[Competition_date]])</f>
        <v>2023</v>
      </c>
      <c r="X458" s="4">
        <v>30</v>
      </c>
      <c r="Y458" s="6">
        <v>0.31</v>
      </c>
      <c r="Z458" s="4" t="s">
        <v>79</v>
      </c>
      <c r="AA458" t="s">
        <v>176</v>
      </c>
    </row>
    <row r="459" spans="1:27" hidden="1" x14ac:dyDescent="0.35">
      <c r="A459" t="str">
        <f>_xlfn.CONCAT(Tableau1[[#This Row],[Athletes]],"_",Tableau1[[#This Row],[Nationality]],"_",Tableau1[[#This Row],[Competition_year]])</f>
        <v>Youssef BENZAMIA_FRA_2023</v>
      </c>
      <c r="B459" t="s">
        <v>304</v>
      </c>
      <c r="C459" t="s">
        <v>14</v>
      </c>
      <c r="D459" s="18" t="s">
        <v>17</v>
      </c>
      <c r="E459">
        <v>13.3</v>
      </c>
      <c r="F459">
        <v>12.6</v>
      </c>
      <c r="G459">
        <v>13.5</v>
      </c>
      <c r="H459">
        <v>13.4</v>
      </c>
      <c r="I459">
        <v>13.5</v>
      </c>
      <c r="J459">
        <v>13.4</v>
      </c>
      <c r="K459">
        <v>13.3</v>
      </c>
      <c r="L459">
        <f>Tableau1[[#This Row],[Final_time]]-SUM(Tableau1[[#This Row],[0_100m]:[600_700m]])</f>
        <v>13.439999999999998</v>
      </c>
      <c r="M459">
        <v>106.44</v>
      </c>
      <c r="N459">
        <f>SUM(Tableau1[[#This Row],[0_100m]:[700_800m]])</f>
        <v>106.44</v>
      </c>
      <c r="O459">
        <f>ABS(Tableau1[[#This Row],[Final_time]]-Tableau1[[#This Row],[Sum_time]])</f>
        <v>0</v>
      </c>
      <c r="P459" s="8"/>
      <c r="Q459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59" t="s">
        <v>306</v>
      </c>
      <c r="S459" s="1" t="s">
        <v>68</v>
      </c>
      <c r="U459" s="1" t="s">
        <v>307</v>
      </c>
      <c r="V459" s="1">
        <v>45128</v>
      </c>
      <c r="W459" s="4">
        <f>YEAR(Tableau1[[#This Row],[Competition_date]])</f>
        <v>2023</v>
      </c>
      <c r="X459" s="4">
        <v>30</v>
      </c>
      <c r="Y459" s="6">
        <v>0.31</v>
      </c>
      <c r="Z459" s="4" t="s">
        <v>79</v>
      </c>
      <c r="AA459" t="s">
        <v>176</v>
      </c>
    </row>
    <row r="460" spans="1:27" hidden="1" x14ac:dyDescent="0.35">
      <c r="A460" t="str">
        <f>_xlfn.CONCAT(Tableau1[[#This Row],[Athletes]],"_",Tableau1[[#This Row],[Nationality]],"_",Tableau1[[#This Row],[Competition_year]])</f>
        <v>Bram BUIGEL_NED_2023</v>
      </c>
      <c r="B460" t="s">
        <v>305</v>
      </c>
      <c r="C460" t="s">
        <v>14</v>
      </c>
      <c r="D460" s="18" t="s">
        <v>158</v>
      </c>
      <c r="E460">
        <v>13</v>
      </c>
      <c r="F460">
        <v>12.5</v>
      </c>
      <c r="G460">
        <v>13.3</v>
      </c>
      <c r="H460">
        <v>13.4</v>
      </c>
      <c r="I460">
        <v>13.4</v>
      </c>
      <c r="J460">
        <v>13.1</v>
      </c>
      <c r="K460">
        <v>13.6</v>
      </c>
      <c r="L460">
        <f>Tableau1[[#This Row],[Final_time]]-SUM(Tableau1[[#This Row],[0_100m]:[600_700m]])</f>
        <v>14.740000000000023</v>
      </c>
      <c r="M460">
        <v>107.04</v>
      </c>
      <c r="N460">
        <f>SUM(Tableau1[[#This Row],[0_100m]:[700_800m]])</f>
        <v>107.04</v>
      </c>
      <c r="O460">
        <f>ABS(Tableau1[[#This Row],[Final_time]]-Tableau1[[#This Row],[Sum_time]])</f>
        <v>0</v>
      </c>
      <c r="P460" s="8"/>
      <c r="Q460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60" t="s">
        <v>306</v>
      </c>
      <c r="S460" s="1" t="s">
        <v>68</v>
      </c>
      <c r="U460" s="1" t="s">
        <v>307</v>
      </c>
      <c r="V460" s="1">
        <v>45128</v>
      </c>
      <c r="W460" s="4">
        <f>YEAR(Tableau1[[#This Row],[Competition_date]])</f>
        <v>2023</v>
      </c>
      <c r="X460" s="4">
        <v>30</v>
      </c>
      <c r="Y460" s="6">
        <v>0.31</v>
      </c>
      <c r="Z460" s="4" t="s">
        <v>79</v>
      </c>
      <c r="AA460" t="s">
        <v>176</v>
      </c>
    </row>
    <row r="461" spans="1:27" hidden="1" x14ac:dyDescent="0.35">
      <c r="A461" t="str">
        <f>_xlfn.CONCAT(Tableau1[[#This Row],[Athletes]],"_",Tableau1[[#This Row],[Nationality]],"_",Tableau1[[#This Row],[Competition_year]])</f>
        <v>Kevin VIEZEE_NED_2023</v>
      </c>
      <c r="B461" t="s">
        <v>958</v>
      </c>
      <c r="C461" t="s">
        <v>14</v>
      </c>
      <c r="D461" s="18" t="s">
        <v>158</v>
      </c>
      <c r="E461">
        <v>12.9</v>
      </c>
      <c r="F461">
        <v>13</v>
      </c>
      <c r="G461">
        <v>13.6</v>
      </c>
      <c r="H461">
        <v>13.6</v>
      </c>
      <c r="I461">
        <v>13.2</v>
      </c>
      <c r="J461">
        <v>13.2</v>
      </c>
      <c r="K461">
        <v>13.5</v>
      </c>
      <c r="L461">
        <f>Tableau1[[#This Row],[Final_time]]-SUM(Tableau1[[#This Row],[0_100m]:[600_700m]])</f>
        <v>14.900000000000006</v>
      </c>
      <c r="M461">
        <v>107.9</v>
      </c>
      <c r="N461">
        <f>SUM(Tableau1[[#This Row],[0_100m]:[700_800m]])</f>
        <v>107.9</v>
      </c>
      <c r="O461">
        <f>ABS(Tableau1[[#This Row],[Final_time]]-Tableau1[[#This Row],[Sum_time]])</f>
        <v>0</v>
      </c>
      <c r="P461" s="8"/>
      <c r="Q461" s="16" t="str">
        <f>_xlfn.CONCAT(Tableau1[[#This Row],[Competition]],"_",Tableau1[[#This Row],[Championship_step]],"_",Tableau1[[#This Row],[Competition_date]],"_",Tableau1[[#This Row],[Gender]])</f>
        <v>Diamond League Monaco 2023 - B race__45128_Male</v>
      </c>
      <c r="R461" t="s">
        <v>306</v>
      </c>
      <c r="S461" s="1" t="s">
        <v>68</v>
      </c>
      <c r="U461" s="1" t="s">
        <v>307</v>
      </c>
      <c r="V461" s="1">
        <v>45128</v>
      </c>
      <c r="W461" s="4">
        <f>YEAR(Tableau1[[#This Row],[Competition_date]])</f>
        <v>2023</v>
      </c>
      <c r="X461" s="4">
        <v>30</v>
      </c>
      <c r="Y461" s="6">
        <v>0.31</v>
      </c>
      <c r="Z461" s="4" t="s">
        <v>79</v>
      </c>
      <c r="AA461" t="s">
        <v>176</v>
      </c>
    </row>
    <row r="462" spans="1:27" hidden="1" x14ac:dyDescent="0.35">
      <c r="A462" t="str">
        <f>_xlfn.CONCAT(Tableau1[[#This Row],[Athletes]],"_",Tableau1[[#This Row],[Nationality]],"_",Tableau1[[#This Row],[Competition_year]])</f>
        <v>Wyclife KINYAMAL_KEN_2023</v>
      </c>
      <c r="B462" t="s">
        <v>174</v>
      </c>
      <c r="C462" t="s">
        <v>14</v>
      </c>
      <c r="D462" s="18" t="s">
        <v>15</v>
      </c>
      <c r="E462">
        <v>12.7</v>
      </c>
      <c r="F462">
        <v>11.7</v>
      </c>
      <c r="G462">
        <v>12.8</v>
      </c>
      <c r="H462">
        <v>13.1</v>
      </c>
      <c r="I462">
        <v>13.4</v>
      </c>
      <c r="J462">
        <v>13.2</v>
      </c>
      <c r="K462">
        <v>13</v>
      </c>
      <c r="L462">
        <f>Tableau1[[#This Row],[Final_time]]-SUM(Tableau1[[#This Row],[0_100m]:[600_700m]])</f>
        <v>13.319999999999993</v>
      </c>
      <c r="M462">
        <v>103.22</v>
      </c>
      <c r="N462">
        <f>SUM(Tableau1[[#This Row],[0_100m]:[700_800m]])</f>
        <v>103.22</v>
      </c>
      <c r="O462">
        <f>ABS(Tableau1[[#This Row],[Final_time]]-Tableau1[[#This Row],[Sum_time]])</f>
        <v>0</v>
      </c>
      <c r="P462" s="8"/>
      <c r="Q462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2" t="s">
        <v>308</v>
      </c>
      <c r="S462" s="1" t="s">
        <v>68</v>
      </c>
      <c r="U462" s="1" t="s">
        <v>69</v>
      </c>
      <c r="V462" s="1">
        <v>45128</v>
      </c>
      <c r="W462" s="4">
        <f>YEAR(Tableau1[[#This Row],[Competition_date]])</f>
        <v>2023</v>
      </c>
      <c r="X462" s="4">
        <v>29</v>
      </c>
      <c r="Y462" s="6">
        <v>0.56999999999999995</v>
      </c>
      <c r="Z462" s="4" t="s">
        <v>79</v>
      </c>
      <c r="AA462" t="s">
        <v>176</v>
      </c>
    </row>
    <row r="463" spans="1:27" hidden="1" x14ac:dyDescent="0.35">
      <c r="A463" t="str">
        <f>_xlfn.CONCAT(Tableau1[[#This Row],[Athletes]],"_",Tableau1[[#This Row],[Nationality]],"_",Tableau1[[#This Row],[Competition_year]])</f>
        <v>Slimane MOULA_ALG_2023</v>
      </c>
      <c r="B463" t="s">
        <v>103</v>
      </c>
      <c r="C463" t="s">
        <v>14</v>
      </c>
      <c r="D463" s="18" t="s">
        <v>24</v>
      </c>
      <c r="E463">
        <v>12.4</v>
      </c>
      <c r="F463">
        <v>11.8</v>
      </c>
      <c r="G463">
        <v>12.7</v>
      </c>
      <c r="H463">
        <v>13.1</v>
      </c>
      <c r="I463">
        <v>13.5</v>
      </c>
      <c r="J463">
        <v>13.6</v>
      </c>
      <c r="K463">
        <v>13.3</v>
      </c>
      <c r="L463">
        <f>Tableau1[[#This Row],[Final_time]]-SUM(Tableau1[[#This Row],[0_100m]:[600_700m]])</f>
        <v>13</v>
      </c>
      <c r="M463">
        <v>103.4</v>
      </c>
      <c r="N463">
        <f>SUM(Tableau1[[#This Row],[0_100m]:[700_800m]])</f>
        <v>103.4</v>
      </c>
      <c r="O463">
        <f>ABS(Tableau1[[#This Row],[Final_time]]-Tableau1[[#This Row],[Sum_time]])</f>
        <v>0</v>
      </c>
      <c r="P463" s="8"/>
      <c r="Q463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3" t="s">
        <v>308</v>
      </c>
      <c r="S463" s="1" t="s">
        <v>68</v>
      </c>
      <c r="U463" s="1" t="s">
        <v>69</v>
      </c>
      <c r="V463" s="1">
        <v>45128</v>
      </c>
      <c r="W463" s="4">
        <f>YEAR(Tableau1[[#This Row],[Competition_date]])</f>
        <v>2023</v>
      </c>
      <c r="X463" s="4">
        <v>29</v>
      </c>
      <c r="Y463" s="6">
        <v>0.56999999999999995</v>
      </c>
      <c r="Z463" s="4" t="s">
        <v>79</v>
      </c>
      <c r="AA463" t="s">
        <v>176</v>
      </c>
    </row>
    <row r="464" spans="1:27" hidden="1" x14ac:dyDescent="0.35">
      <c r="A464" t="str">
        <f>_xlfn.CONCAT(Tableau1[[#This Row],[Athletes]],"_",Tableau1[[#This Row],[Nationality]],"_",Tableau1[[#This Row],[Competition_year]])</f>
        <v>Marco AROP_CAN_2023</v>
      </c>
      <c r="B464" t="s">
        <v>177</v>
      </c>
      <c r="C464" t="s">
        <v>14</v>
      </c>
      <c r="D464" s="18" t="s">
        <v>19</v>
      </c>
      <c r="E464">
        <v>12.7</v>
      </c>
      <c r="F464">
        <v>11.3</v>
      </c>
      <c r="G464">
        <v>12.5</v>
      </c>
      <c r="H464">
        <v>13</v>
      </c>
      <c r="I464">
        <v>13.2</v>
      </c>
      <c r="J464">
        <v>13.6</v>
      </c>
      <c r="K464">
        <v>13.5</v>
      </c>
      <c r="L464">
        <f>Tableau1[[#This Row],[Final_time]]-SUM(Tableau1[[#This Row],[0_100m]:[600_700m]])</f>
        <v>13.710000000000008</v>
      </c>
      <c r="M464">
        <v>103.51</v>
      </c>
      <c r="N464">
        <f>SUM(Tableau1[[#This Row],[0_100m]:[700_800m]])</f>
        <v>103.51</v>
      </c>
      <c r="O464">
        <f>ABS(Tableau1[[#This Row],[Final_time]]-Tableau1[[#This Row],[Sum_time]])</f>
        <v>0</v>
      </c>
      <c r="P464" s="8"/>
      <c r="Q464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4" t="s">
        <v>308</v>
      </c>
      <c r="S464" s="1" t="s">
        <v>68</v>
      </c>
      <c r="U464" s="1" t="s">
        <v>69</v>
      </c>
      <c r="V464" s="1">
        <v>45128</v>
      </c>
      <c r="W464" s="4">
        <f>YEAR(Tableau1[[#This Row],[Competition_date]])</f>
        <v>2023</v>
      </c>
      <c r="X464" s="4">
        <v>29</v>
      </c>
      <c r="Y464" s="6">
        <v>0.56999999999999995</v>
      </c>
      <c r="Z464" s="4" t="s">
        <v>79</v>
      </c>
      <c r="AA464" t="s">
        <v>176</v>
      </c>
    </row>
    <row r="465" spans="1:27" hidden="1" x14ac:dyDescent="0.35">
      <c r="A465" t="str">
        <f>_xlfn.CONCAT(Tableau1[[#This Row],[Athletes]],"_",Tableau1[[#This Row],[Nationality]],"_",Tableau1[[#This Row],[Competition_year]])</f>
        <v>Djamel SEDJATI_ALG_2023</v>
      </c>
      <c r="B465" t="s">
        <v>170</v>
      </c>
      <c r="C465" t="s">
        <v>14</v>
      </c>
      <c r="D465" s="18" t="s">
        <v>24</v>
      </c>
      <c r="E465">
        <v>13</v>
      </c>
      <c r="F465">
        <v>11.5</v>
      </c>
      <c r="G465">
        <v>13</v>
      </c>
      <c r="H465">
        <v>13.3</v>
      </c>
      <c r="I465">
        <v>13.4</v>
      </c>
      <c r="J465">
        <v>13.5</v>
      </c>
      <c r="K465">
        <v>13.3</v>
      </c>
      <c r="L465">
        <f>Tableau1[[#This Row],[Final_time]]-SUM(Tableau1[[#This Row],[0_100m]:[600_700m]])</f>
        <v>12.879999999999995</v>
      </c>
      <c r="M465">
        <v>103.88</v>
      </c>
      <c r="N465">
        <f>SUM(Tableau1[[#This Row],[0_100m]:[700_800m]])</f>
        <v>103.88</v>
      </c>
      <c r="O465">
        <f>ABS(Tableau1[[#This Row],[Final_time]]-Tableau1[[#This Row],[Sum_time]])</f>
        <v>0</v>
      </c>
      <c r="P465" s="8"/>
      <c r="Q465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5" t="s">
        <v>308</v>
      </c>
      <c r="S465" s="1" t="s">
        <v>68</v>
      </c>
      <c r="U465" s="1" t="s">
        <v>69</v>
      </c>
      <c r="V465" s="1">
        <v>45128</v>
      </c>
      <c r="W465" s="4">
        <f>YEAR(Tableau1[[#This Row],[Competition_date]])</f>
        <v>2023</v>
      </c>
      <c r="X465" s="4">
        <v>29</v>
      </c>
      <c r="Y465" s="6">
        <v>0.56999999999999995</v>
      </c>
      <c r="Z465" s="4" t="s">
        <v>79</v>
      </c>
      <c r="AA465" t="s">
        <v>176</v>
      </c>
    </row>
    <row r="466" spans="1:27" hidden="1" x14ac:dyDescent="0.35">
      <c r="A466" t="str">
        <f>_xlfn.CONCAT(Tableau1[[#This Row],[Athletes]],"_",Tableau1[[#This Row],[Nationality]],"_",Tableau1[[#This Row],[Competition_year]])</f>
        <v>Bryce HOPPEL_USA_2023</v>
      </c>
      <c r="B466" t="s">
        <v>173</v>
      </c>
      <c r="C466" t="s">
        <v>14</v>
      </c>
      <c r="D466" s="18" t="s">
        <v>35</v>
      </c>
      <c r="E466">
        <v>12.5</v>
      </c>
      <c r="F466">
        <v>11.8</v>
      </c>
      <c r="G466">
        <v>12.7</v>
      </c>
      <c r="H466">
        <v>13.1</v>
      </c>
      <c r="I466">
        <v>13.5</v>
      </c>
      <c r="J466">
        <v>13.6</v>
      </c>
      <c r="K466">
        <v>13.5</v>
      </c>
      <c r="L466">
        <f>Tableau1[[#This Row],[Final_time]]-SUM(Tableau1[[#This Row],[0_100m]:[600_700m]])</f>
        <v>13.25</v>
      </c>
      <c r="M466">
        <v>103.95</v>
      </c>
      <c r="N466">
        <f>SUM(Tableau1[[#This Row],[0_100m]:[700_800m]])</f>
        <v>103.95</v>
      </c>
      <c r="O466">
        <f>ABS(Tableau1[[#This Row],[Final_time]]-Tableau1[[#This Row],[Sum_time]])</f>
        <v>0</v>
      </c>
      <c r="P466" s="8"/>
      <c r="Q466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6" t="s">
        <v>308</v>
      </c>
      <c r="S466" s="1" t="s">
        <v>68</v>
      </c>
      <c r="U466" s="1" t="s">
        <v>69</v>
      </c>
      <c r="V466" s="1">
        <v>45128</v>
      </c>
      <c r="W466" s="4">
        <f>YEAR(Tableau1[[#This Row],[Competition_date]])</f>
        <v>2023</v>
      </c>
      <c r="X466" s="4">
        <v>29</v>
      </c>
      <c r="Y466" s="6">
        <v>0.56999999999999995</v>
      </c>
      <c r="Z466" s="4" t="s">
        <v>79</v>
      </c>
      <c r="AA466" t="s">
        <v>176</v>
      </c>
    </row>
    <row r="467" spans="1:27" hidden="1" x14ac:dyDescent="0.35">
      <c r="A467" t="str">
        <f>_xlfn.CONCAT(Tableau1[[#This Row],[Athletes]],"_",Tableau1[[#This Row],[Nationality]],"_",Tableau1[[#This Row],[Competition_year]])</f>
        <v>Daniel ROWDEN_GBR_2023</v>
      </c>
      <c r="B467" t="s">
        <v>172</v>
      </c>
      <c r="C467" t="s">
        <v>14</v>
      </c>
      <c r="D467" s="18" t="s">
        <v>30</v>
      </c>
      <c r="E467">
        <v>12.8</v>
      </c>
      <c r="F467">
        <v>11.6</v>
      </c>
      <c r="G467">
        <v>12.9</v>
      </c>
      <c r="H467">
        <v>13.1</v>
      </c>
      <c r="I467">
        <v>13.5</v>
      </c>
      <c r="J467">
        <v>13.5</v>
      </c>
      <c r="K467">
        <v>13.6</v>
      </c>
      <c r="L467">
        <f>Tableau1[[#This Row],[Final_time]]-SUM(Tableau1[[#This Row],[0_100m]:[600_700m]])</f>
        <v>12.950000000000003</v>
      </c>
      <c r="M467">
        <v>103.95</v>
      </c>
      <c r="N467">
        <f>SUM(Tableau1[[#This Row],[0_100m]:[700_800m]])</f>
        <v>103.95</v>
      </c>
      <c r="O467">
        <f>ABS(Tableau1[[#This Row],[Final_time]]-Tableau1[[#This Row],[Sum_time]])</f>
        <v>0</v>
      </c>
      <c r="P467" s="8"/>
      <c r="Q467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7" t="s">
        <v>308</v>
      </c>
      <c r="S467" s="1" t="s">
        <v>68</v>
      </c>
      <c r="U467" s="1" t="s">
        <v>69</v>
      </c>
      <c r="V467" s="1">
        <v>45128</v>
      </c>
      <c r="W467" s="4">
        <f>YEAR(Tableau1[[#This Row],[Competition_date]])</f>
        <v>2023</v>
      </c>
      <c r="X467" s="4">
        <v>29</v>
      </c>
      <c r="Y467" s="6">
        <v>0.56999999999999995</v>
      </c>
      <c r="Z467" s="4" t="s">
        <v>79</v>
      </c>
      <c r="AA467" t="s">
        <v>176</v>
      </c>
    </row>
    <row r="468" spans="1:27" hidden="1" x14ac:dyDescent="0.35">
      <c r="A468" t="str">
        <f>_xlfn.CONCAT(Tableau1[[#This Row],[Athletes]],"_",Tableau1[[#This Row],[Nationality]],"_",Tableau1[[#This Row],[Competition_year]])</f>
        <v>Yanis MEZIANE_FRA_2023</v>
      </c>
      <c r="B468" t="s">
        <v>171</v>
      </c>
      <c r="C468" t="s">
        <v>14</v>
      </c>
      <c r="D468" s="18" t="s">
        <v>17</v>
      </c>
      <c r="E468">
        <v>12.8</v>
      </c>
      <c r="F468">
        <v>11.9</v>
      </c>
      <c r="G468">
        <v>12.7</v>
      </c>
      <c r="H468">
        <v>13.1</v>
      </c>
      <c r="I468">
        <v>13.7</v>
      </c>
      <c r="J468">
        <v>13.2</v>
      </c>
      <c r="K468">
        <v>13.8</v>
      </c>
      <c r="L468">
        <f>Tableau1[[#This Row],[Final_time]]-SUM(Tableau1[[#This Row],[0_100m]:[600_700m]])</f>
        <v>13.099999999999994</v>
      </c>
      <c r="M468">
        <v>104.3</v>
      </c>
      <c r="N468">
        <f>SUM(Tableau1[[#This Row],[0_100m]:[700_800m]])</f>
        <v>104.3</v>
      </c>
      <c r="O468">
        <f>ABS(Tableau1[[#This Row],[Final_time]]-Tableau1[[#This Row],[Sum_time]])</f>
        <v>0</v>
      </c>
      <c r="P468" s="8"/>
      <c r="Q468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8" t="s">
        <v>308</v>
      </c>
      <c r="S468" s="1" t="s">
        <v>68</v>
      </c>
      <c r="U468" s="1" t="s">
        <v>69</v>
      </c>
      <c r="V468" s="1">
        <v>45128</v>
      </c>
      <c r="W468" s="4">
        <f>YEAR(Tableau1[[#This Row],[Competition_date]])</f>
        <v>2023</v>
      </c>
      <c r="X468" s="4">
        <v>29</v>
      </c>
      <c r="Y468" s="6">
        <v>0.56999999999999995</v>
      </c>
      <c r="Z468" s="4" t="s">
        <v>79</v>
      </c>
      <c r="AA468" t="s">
        <v>176</v>
      </c>
    </row>
    <row r="469" spans="1:27" hidden="1" x14ac:dyDescent="0.35">
      <c r="A469" t="str">
        <f>_xlfn.CONCAT(Tableau1[[#This Row],[Athletes]],"_",Tableau1[[#This Row],[Nationality]],"_",Tableau1[[#This Row],[Competition_year]])</f>
        <v>Emmanuel WANYONYI_KEN_2023</v>
      </c>
      <c r="B469" t="s">
        <v>183</v>
      </c>
      <c r="C469" t="s">
        <v>14</v>
      </c>
      <c r="D469" s="18" t="s">
        <v>15</v>
      </c>
      <c r="E469">
        <v>12.9</v>
      </c>
      <c r="F469">
        <v>12</v>
      </c>
      <c r="G469">
        <v>13</v>
      </c>
      <c r="H469">
        <v>12.6</v>
      </c>
      <c r="I469">
        <v>13.4</v>
      </c>
      <c r="J469">
        <v>13.3</v>
      </c>
      <c r="K469">
        <v>13.7</v>
      </c>
      <c r="L469">
        <f>Tableau1[[#This Row],[Final_time]]-SUM(Tableau1[[#This Row],[0_100m]:[600_700m]])</f>
        <v>13.449999999999989</v>
      </c>
      <c r="M469">
        <v>104.35</v>
      </c>
      <c r="N469">
        <f>SUM(Tableau1[[#This Row],[0_100m]:[700_800m]])</f>
        <v>104.35</v>
      </c>
      <c r="O469">
        <f>ABS(Tableau1[[#This Row],[Final_time]]-Tableau1[[#This Row],[Sum_time]])</f>
        <v>0</v>
      </c>
      <c r="P469" s="8"/>
      <c r="Q469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69" t="s">
        <v>308</v>
      </c>
      <c r="S469" s="1" t="s">
        <v>68</v>
      </c>
      <c r="U469" s="1" t="s">
        <v>69</v>
      </c>
      <c r="V469" s="1">
        <v>45128</v>
      </c>
      <c r="W469" s="4">
        <f>YEAR(Tableau1[[#This Row],[Competition_date]])</f>
        <v>2023</v>
      </c>
      <c r="X469" s="4">
        <v>29</v>
      </c>
      <c r="Y469" s="6">
        <v>0.56999999999999995</v>
      </c>
      <c r="Z469" s="4" t="s">
        <v>79</v>
      </c>
      <c r="AA469" t="s">
        <v>176</v>
      </c>
    </row>
    <row r="470" spans="1:27" hidden="1" x14ac:dyDescent="0.35">
      <c r="A470" t="str">
        <f>_xlfn.CONCAT(Tableau1[[#This Row],[Athletes]],"_",Tableau1[[#This Row],[Nationality]],"_",Tableau1[[#This Row],[Competition_year]])</f>
        <v>Joseph DENG_AUS_2023</v>
      </c>
      <c r="B470" t="s">
        <v>113</v>
      </c>
      <c r="C470" t="s">
        <v>14</v>
      </c>
      <c r="D470" s="18" t="s">
        <v>36</v>
      </c>
      <c r="E470">
        <v>12.6</v>
      </c>
      <c r="F470">
        <v>12.1</v>
      </c>
      <c r="G470">
        <v>13.1</v>
      </c>
      <c r="H470">
        <v>13.2</v>
      </c>
      <c r="I470">
        <v>13.5</v>
      </c>
      <c r="J470">
        <v>13.5</v>
      </c>
      <c r="K470">
        <v>13.4</v>
      </c>
      <c r="L470">
        <f>Tableau1[[#This Row],[Final_time]]-SUM(Tableau1[[#This Row],[0_100m]:[600_700m]])</f>
        <v>13.530000000000001</v>
      </c>
      <c r="M470">
        <v>104.93</v>
      </c>
      <c r="N470">
        <f>SUM(Tableau1[[#This Row],[0_100m]:[700_800m]])</f>
        <v>104.93</v>
      </c>
      <c r="O470">
        <f>ABS(Tableau1[[#This Row],[Final_time]]-Tableau1[[#This Row],[Sum_time]])</f>
        <v>0</v>
      </c>
      <c r="P470" s="8"/>
      <c r="Q470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70" t="s">
        <v>308</v>
      </c>
      <c r="S470" s="1" t="s">
        <v>68</v>
      </c>
      <c r="U470" s="1" t="s">
        <v>69</v>
      </c>
      <c r="V470" s="1">
        <v>45128</v>
      </c>
      <c r="W470" s="4">
        <f>YEAR(Tableau1[[#This Row],[Competition_date]])</f>
        <v>2023</v>
      </c>
      <c r="X470" s="4">
        <v>29</v>
      </c>
      <c r="Y470" s="6">
        <v>0.56999999999999995</v>
      </c>
      <c r="Z470" s="4" t="s">
        <v>79</v>
      </c>
      <c r="AA470" t="s">
        <v>176</v>
      </c>
    </row>
    <row r="471" spans="1:27" hidden="1" x14ac:dyDescent="0.35">
      <c r="A471" t="str">
        <f>_xlfn.CONCAT(Tableau1[[#This Row],[Athletes]],"_",Tableau1[[#This Row],[Nationality]],"_",Tableau1[[#This Row],[Competition_year]])</f>
        <v>Clayton MURPHY_USA_2023</v>
      </c>
      <c r="B471" t="s">
        <v>203</v>
      </c>
      <c r="C471" t="s">
        <v>14</v>
      </c>
      <c r="D471" s="18" t="s">
        <v>35</v>
      </c>
      <c r="E471">
        <v>12.4</v>
      </c>
      <c r="F471">
        <v>11.8</v>
      </c>
      <c r="G471">
        <v>12.8</v>
      </c>
      <c r="H471">
        <v>13.1</v>
      </c>
      <c r="I471">
        <v>13.6</v>
      </c>
      <c r="J471">
        <v>13.6</v>
      </c>
      <c r="K471">
        <v>13.5</v>
      </c>
      <c r="L471">
        <f>Tableau1[[#This Row],[Final_time]]-SUM(Tableau1[[#This Row],[0_100m]:[600_700m]])</f>
        <v>15.030000000000001</v>
      </c>
      <c r="M471">
        <v>105.83</v>
      </c>
      <c r="N471">
        <f>SUM(Tableau1[[#This Row],[0_100m]:[700_800m]])</f>
        <v>105.83</v>
      </c>
      <c r="O471">
        <f>ABS(Tableau1[[#This Row],[Final_time]]-Tableau1[[#This Row],[Sum_time]])</f>
        <v>0</v>
      </c>
      <c r="P471" s="8"/>
      <c r="Q471" s="16" t="str">
        <f>_xlfn.CONCAT(Tableau1[[#This Row],[Competition]],"_",Tableau1[[#This Row],[Championship_step]],"_",Tableau1[[#This Row],[Competition_date]],"_",Tableau1[[#This Row],[Gender]])</f>
        <v>Diamond League Monaco 2023__45128_Male</v>
      </c>
      <c r="R471" t="s">
        <v>308</v>
      </c>
      <c r="S471" s="1" t="s">
        <v>68</v>
      </c>
      <c r="U471" s="1" t="s">
        <v>69</v>
      </c>
      <c r="V471" s="1">
        <v>45128</v>
      </c>
      <c r="W471" s="4">
        <f>YEAR(Tableau1[[#This Row],[Competition_date]])</f>
        <v>2023</v>
      </c>
      <c r="X471" s="4">
        <v>29</v>
      </c>
      <c r="Y471" s="6">
        <v>0.56999999999999995</v>
      </c>
      <c r="Z471" s="4" t="s">
        <v>79</v>
      </c>
      <c r="AA471" t="s">
        <v>176</v>
      </c>
    </row>
    <row r="472" spans="1:27" hidden="1" x14ac:dyDescent="0.35">
      <c r="A472" t="str">
        <f>_xlfn.CONCAT(Tableau1[[#This Row],[Athletes]],"_",Tableau1[[#This Row],[Nationality]],"_",Tableau1[[#This Row],[Competition_year]])</f>
        <v>Djamel SEDJATI_ALG_2024</v>
      </c>
      <c r="B472" t="s">
        <v>170</v>
      </c>
      <c r="C472" t="s">
        <v>14</v>
      </c>
      <c r="D472" s="18" t="s">
        <v>24</v>
      </c>
      <c r="E472">
        <v>12.7</v>
      </c>
      <c r="F472">
        <v>11.7</v>
      </c>
      <c r="G472">
        <v>12.8</v>
      </c>
      <c r="H472">
        <v>13</v>
      </c>
      <c r="I472">
        <v>13.1</v>
      </c>
      <c r="J472">
        <v>12.5</v>
      </c>
      <c r="K472">
        <v>12.8</v>
      </c>
      <c r="L472">
        <f>Tableau1[[#This Row],[Final_time]]-SUM(Tableau1[[#This Row],[0_100m]:[600_700m]])</f>
        <v>12.859999999999985</v>
      </c>
      <c r="M472">
        <v>101.46</v>
      </c>
      <c r="N472">
        <f>SUM(Tableau1[[#This Row],[0_100m]:[700_800m]])</f>
        <v>101.46</v>
      </c>
      <c r="O472">
        <f>ABS(Tableau1[[#This Row],[Final_time]]-Tableau1[[#This Row],[Sum_time]])</f>
        <v>0</v>
      </c>
      <c r="P472" s="8"/>
      <c r="Q472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2" t="s">
        <v>41</v>
      </c>
      <c r="S472" s="1" t="s">
        <v>68</v>
      </c>
      <c r="U472" s="1" t="s">
        <v>69</v>
      </c>
      <c r="V472" s="1">
        <v>45485</v>
      </c>
      <c r="W472" s="4">
        <f>YEAR(Tableau1[[#This Row],[Competition_date]])</f>
        <v>2024</v>
      </c>
      <c r="X472" s="4">
        <v>26</v>
      </c>
      <c r="Y472" s="6">
        <v>0.81</v>
      </c>
      <c r="Z472" s="4" t="s">
        <v>80</v>
      </c>
      <c r="AA472" t="s">
        <v>40</v>
      </c>
    </row>
    <row r="473" spans="1:27" hidden="1" x14ac:dyDescent="0.35">
      <c r="A473" t="str">
        <f>_xlfn.CONCAT(Tableau1[[#This Row],[Athletes]],"_",Tableau1[[#This Row],[Nationality]],"_",Tableau1[[#This Row],[Competition_year]])</f>
        <v>Mohamed ATTAOUI_ESP_2024</v>
      </c>
      <c r="B473" t="s">
        <v>110</v>
      </c>
      <c r="C473" t="s">
        <v>14</v>
      </c>
      <c r="D473" s="18" t="s">
        <v>37</v>
      </c>
      <c r="E473">
        <v>12.9</v>
      </c>
      <c r="F473">
        <v>11.9</v>
      </c>
      <c r="G473">
        <v>13.2</v>
      </c>
      <c r="H473">
        <v>12.7</v>
      </c>
      <c r="I473">
        <v>13</v>
      </c>
      <c r="J473">
        <v>12.4</v>
      </c>
      <c r="K473">
        <v>12.8</v>
      </c>
      <c r="L473">
        <f>Tableau1[[#This Row],[Final_time]]-SUM(Tableau1[[#This Row],[0_100m]:[600_700m]])</f>
        <v>13.14</v>
      </c>
      <c r="M473">
        <v>102.04</v>
      </c>
      <c r="N473">
        <f>SUM(Tableau1[[#This Row],[0_100m]:[700_800m]])</f>
        <v>102.04</v>
      </c>
      <c r="O473">
        <f>ABS(Tableau1[[#This Row],[Final_time]]-Tableau1[[#This Row],[Sum_time]])</f>
        <v>0</v>
      </c>
      <c r="P473" s="8"/>
      <c r="Q473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3" t="s">
        <v>41</v>
      </c>
      <c r="S473" s="1" t="s">
        <v>68</v>
      </c>
      <c r="U473" s="1" t="s">
        <v>69</v>
      </c>
      <c r="V473" s="1">
        <v>45485</v>
      </c>
      <c r="W473" s="4">
        <f>YEAR(Tableau1[[#This Row],[Competition_date]])</f>
        <v>2024</v>
      </c>
      <c r="X473" s="4">
        <v>26</v>
      </c>
      <c r="Y473" s="6">
        <v>0.81</v>
      </c>
      <c r="Z473" s="4" t="s">
        <v>80</v>
      </c>
      <c r="AA473" t="s">
        <v>40</v>
      </c>
    </row>
    <row r="474" spans="1:27" hidden="1" x14ac:dyDescent="0.35">
      <c r="A474" t="str">
        <f>_xlfn.CONCAT(Tableau1[[#This Row],[Athletes]],"_",Tableau1[[#This Row],[Nationality]],"_",Tableau1[[#This Row],[Competition_year]])</f>
        <v>Gabriel TUAL_FRA_2024</v>
      </c>
      <c r="B474" t="s">
        <v>180</v>
      </c>
      <c r="C474" t="s">
        <v>14</v>
      </c>
      <c r="D474" s="18" t="s">
        <v>17</v>
      </c>
      <c r="E474">
        <v>12.7</v>
      </c>
      <c r="F474">
        <v>11.6</v>
      </c>
      <c r="G474">
        <v>13.1</v>
      </c>
      <c r="H474">
        <v>12.9</v>
      </c>
      <c r="I474">
        <v>13.2</v>
      </c>
      <c r="J474">
        <v>12.5</v>
      </c>
      <c r="K474">
        <v>12.7</v>
      </c>
      <c r="L474">
        <f>Tableau1[[#This Row],[Final_time]]-SUM(Tableau1[[#This Row],[0_100m]:[600_700m]])</f>
        <v>13.399999999999991</v>
      </c>
      <c r="M474">
        <v>102.1</v>
      </c>
      <c r="N474">
        <f>SUM(Tableau1[[#This Row],[0_100m]:[700_800m]])</f>
        <v>102.1</v>
      </c>
      <c r="O474">
        <f>ABS(Tableau1[[#This Row],[Final_time]]-Tableau1[[#This Row],[Sum_time]])</f>
        <v>0</v>
      </c>
      <c r="P474" s="8"/>
      <c r="Q474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4" t="s">
        <v>41</v>
      </c>
      <c r="S474" s="1" t="s">
        <v>68</v>
      </c>
      <c r="U474" s="1" t="s">
        <v>69</v>
      </c>
      <c r="V474" s="1">
        <v>45485</v>
      </c>
      <c r="W474" s="4">
        <f>YEAR(Tableau1[[#This Row],[Competition_date]])</f>
        <v>2024</v>
      </c>
      <c r="X474" s="4">
        <v>26</v>
      </c>
      <c r="Y474" s="6">
        <v>0.81</v>
      </c>
      <c r="Z474" s="4" t="s">
        <v>80</v>
      </c>
      <c r="AA474" t="s">
        <v>40</v>
      </c>
    </row>
    <row r="475" spans="1:27" hidden="1" x14ac:dyDescent="0.35">
      <c r="A475" t="str">
        <f>_xlfn.CONCAT(Tableau1[[#This Row],[Athletes]],"_",Tableau1[[#This Row],[Nationality]],"_",Tableau1[[#This Row],[Competition_year]])</f>
        <v>Aaron Kemei CHEMININGWA_KEN_2024</v>
      </c>
      <c r="B475" t="s">
        <v>499</v>
      </c>
      <c r="C475" t="s">
        <v>14</v>
      </c>
      <c r="D475" s="18" t="s">
        <v>15</v>
      </c>
      <c r="E475">
        <v>12.7</v>
      </c>
      <c r="F475">
        <v>11.6</v>
      </c>
      <c r="G475">
        <v>12.7</v>
      </c>
      <c r="H475">
        <v>12.7</v>
      </c>
      <c r="I475">
        <v>13.4</v>
      </c>
      <c r="J475">
        <v>12.7</v>
      </c>
      <c r="K475">
        <v>12.9</v>
      </c>
      <c r="L475">
        <f>Tableau1[[#This Row],[Final_time]]-SUM(Tableau1[[#This Row],[0_100m]:[600_700m]])</f>
        <v>13.429999999999993</v>
      </c>
      <c r="M475">
        <v>102.13</v>
      </c>
      <c r="N475">
        <f>SUM(Tableau1[[#This Row],[0_100m]:[700_800m]])</f>
        <v>102.13</v>
      </c>
      <c r="O475">
        <f>ABS(Tableau1[[#This Row],[Final_time]]-Tableau1[[#This Row],[Sum_time]])</f>
        <v>0</v>
      </c>
      <c r="P475" s="8"/>
      <c r="Q475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5" t="s">
        <v>41</v>
      </c>
      <c r="S475" s="1" t="s">
        <v>68</v>
      </c>
      <c r="U475" s="1" t="s">
        <v>69</v>
      </c>
      <c r="V475" s="1">
        <v>45485</v>
      </c>
      <c r="W475" s="4">
        <f>YEAR(Tableau1[[#This Row],[Competition_date]])</f>
        <v>2024</v>
      </c>
      <c r="X475" s="4">
        <v>26</v>
      </c>
      <c r="Y475" s="6">
        <v>0.81</v>
      </c>
      <c r="Z475" s="4" t="s">
        <v>80</v>
      </c>
      <c r="AA475" t="s">
        <v>40</v>
      </c>
    </row>
    <row r="476" spans="1:27" hidden="1" x14ac:dyDescent="0.35">
      <c r="A476" t="str">
        <f>_xlfn.CONCAT(Tableau1[[#This Row],[Athletes]],"_",Tableau1[[#This Row],[Nationality]],"_",Tableau1[[#This Row],[Competition_year]])</f>
        <v>Ben PATTISON_GBR_2024</v>
      </c>
      <c r="B476" t="s">
        <v>108</v>
      </c>
      <c r="C476" t="s">
        <v>14</v>
      </c>
      <c r="D476" s="18" t="s">
        <v>30</v>
      </c>
      <c r="E476">
        <v>12.6</v>
      </c>
      <c r="F476">
        <v>11.7</v>
      </c>
      <c r="G476">
        <v>12.8</v>
      </c>
      <c r="H476">
        <v>13.3</v>
      </c>
      <c r="I476">
        <v>13.3</v>
      </c>
      <c r="J476">
        <v>12.8</v>
      </c>
      <c r="K476">
        <v>12.7</v>
      </c>
      <c r="L476">
        <f>Tableau1[[#This Row],[Final_time]]-SUM(Tableau1[[#This Row],[0_100m]:[600_700m]])</f>
        <v>13.070000000000007</v>
      </c>
      <c r="M476">
        <v>102.27</v>
      </c>
      <c r="N476">
        <f>SUM(Tableau1[[#This Row],[0_100m]:[700_800m]])</f>
        <v>102.27</v>
      </c>
      <c r="O476">
        <f>ABS(Tableau1[[#This Row],[Final_time]]-Tableau1[[#This Row],[Sum_time]])</f>
        <v>0</v>
      </c>
      <c r="P476" s="8"/>
      <c r="Q476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6" t="s">
        <v>41</v>
      </c>
      <c r="S476" s="1" t="s">
        <v>68</v>
      </c>
      <c r="U476" s="1" t="s">
        <v>69</v>
      </c>
      <c r="V476" s="1">
        <v>45485</v>
      </c>
      <c r="W476" s="4">
        <f>YEAR(Tableau1[[#This Row],[Competition_date]])</f>
        <v>2024</v>
      </c>
      <c r="X476" s="4">
        <v>26</v>
      </c>
      <c r="Y476" s="6">
        <v>0.81</v>
      </c>
      <c r="Z476" s="4" t="s">
        <v>80</v>
      </c>
      <c r="AA476" t="s">
        <v>40</v>
      </c>
    </row>
    <row r="477" spans="1:27" hidden="1" x14ac:dyDescent="0.35">
      <c r="A477" t="str">
        <f>_xlfn.CONCAT(Tableau1[[#This Row],[Athletes]],"_",Tableau1[[#This Row],[Nationality]],"_",Tableau1[[#This Row],[Competition_year]])</f>
        <v>Marco AROP_CAN_2024</v>
      </c>
      <c r="B477" t="s">
        <v>177</v>
      </c>
      <c r="C477" t="s">
        <v>14</v>
      </c>
      <c r="D477" s="18" t="s">
        <v>19</v>
      </c>
      <c r="E477">
        <v>12.7</v>
      </c>
      <c r="F477">
        <v>11.4</v>
      </c>
      <c r="G477">
        <v>12.8</v>
      </c>
      <c r="H477">
        <v>13</v>
      </c>
      <c r="I477">
        <v>13.1</v>
      </c>
      <c r="J477">
        <v>12.5</v>
      </c>
      <c r="K477">
        <v>13</v>
      </c>
      <c r="L477">
        <f>Tableau1[[#This Row],[Final_time]]-SUM(Tableau1[[#This Row],[0_100m]:[600_700m]])</f>
        <v>14.430000000000007</v>
      </c>
      <c r="M477">
        <v>102.93</v>
      </c>
      <c r="N477">
        <f>SUM(Tableau1[[#This Row],[0_100m]:[700_800m]])</f>
        <v>102.93</v>
      </c>
      <c r="O477">
        <f>ABS(Tableau1[[#This Row],[Final_time]]-Tableau1[[#This Row],[Sum_time]])</f>
        <v>0</v>
      </c>
      <c r="P477" s="8"/>
      <c r="Q477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7" t="s">
        <v>41</v>
      </c>
      <c r="S477" s="1" t="s">
        <v>68</v>
      </c>
      <c r="U477" s="1" t="s">
        <v>69</v>
      </c>
      <c r="V477" s="1">
        <v>45485</v>
      </c>
      <c r="W477" s="4">
        <f>YEAR(Tableau1[[#This Row],[Competition_date]])</f>
        <v>2024</v>
      </c>
      <c r="X477" s="4">
        <v>26</v>
      </c>
      <c r="Y477" s="6">
        <v>0.81</v>
      </c>
      <c r="Z477" s="4" t="s">
        <v>80</v>
      </c>
      <c r="AA477" t="s">
        <v>40</v>
      </c>
    </row>
    <row r="478" spans="1:27" hidden="1" x14ac:dyDescent="0.35">
      <c r="A478" t="str">
        <f>_xlfn.CONCAT(Tableau1[[#This Row],[Athletes]],"_",Tableau1[[#This Row],[Nationality]],"_",Tableau1[[#This Row],[Competition_year]])</f>
        <v>Andreas KRAMER_SWE_2024</v>
      </c>
      <c r="B478" t="s">
        <v>186</v>
      </c>
      <c r="C478" t="s">
        <v>14</v>
      </c>
      <c r="D478" s="18" t="s">
        <v>28</v>
      </c>
      <c r="E478">
        <v>12.7</v>
      </c>
      <c r="F478">
        <v>11.9</v>
      </c>
      <c r="G478">
        <v>13</v>
      </c>
      <c r="H478">
        <v>13.1</v>
      </c>
      <c r="I478">
        <v>13.2</v>
      </c>
      <c r="J478">
        <v>12.7</v>
      </c>
      <c r="K478">
        <v>12.9</v>
      </c>
      <c r="L478">
        <f>Tableau1[[#This Row],[Final_time]]-SUM(Tableau1[[#This Row],[0_100m]:[600_700m]])</f>
        <v>13.629999999999981</v>
      </c>
      <c r="M478">
        <v>103.13</v>
      </c>
      <c r="N478">
        <f>SUM(Tableau1[[#This Row],[0_100m]:[700_800m]])</f>
        <v>103.13</v>
      </c>
      <c r="O478">
        <f>ABS(Tableau1[[#This Row],[Final_time]]-Tableau1[[#This Row],[Sum_time]])</f>
        <v>0</v>
      </c>
      <c r="P478" s="8"/>
      <c r="Q478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8" t="s">
        <v>41</v>
      </c>
      <c r="S478" s="1" t="s">
        <v>68</v>
      </c>
      <c r="U478" s="1" t="s">
        <v>69</v>
      </c>
      <c r="V478" s="1">
        <v>45485</v>
      </c>
      <c r="W478" s="4">
        <f>YEAR(Tableau1[[#This Row],[Competition_date]])</f>
        <v>2024</v>
      </c>
      <c r="X478" s="4">
        <v>26</v>
      </c>
      <c r="Y478" s="6">
        <v>0.81</v>
      </c>
      <c r="Z478" s="4" t="s">
        <v>80</v>
      </c>
      <c r="AA478" t="s">
        <v>40</v>
      </c>
    </row>
    <row r="479" spans="1:27" hidden="1" x14ac:dyDescent="0.35">
      <c r="A479" t="str">
        <f>_xlfn.CONCAT(Tableau1[[#This Row],[Athletes]],"_",Tableau1[[#This Row],[Nationality]],"_",Tableau1[[#This Row],[Competition_year]])</f>
        <v>Eliott CRESTAN_BEL_2024</v>
      </c>
      <c r="B479" t="s">
        <v>244</v>
      </c>
      <c r="C479" t="s">
        <v>14</v>
      </c>
      <c r="D479" s="18" t="s">
        <v>18</v>
      </c>
      <c r="E479">
        <v>12.6</v>
      </c>
      <c r="F479">
        <v>11.9</v>
      </c>
      <c r="G479">
        <v>13.3</v>
      </c>
      <c r="H479">
        <v>13</v>
      </c>
      <c r="I479">
        <v>13.4</v>
      </c>
      <c r="J479">
        <v>12.8</v>
      </c>
      <c r="K479">
        <v>12.9</v>
      </c>
      <c r="L479">
        <f>Tableau1[[#This Row],[Final_time]]-SUM(Tableau1[[#This Row],[0_100m]:[600_700m]])</f>
        <v>13.289999999999992</v>
      </c>
      <c r="M479">
        <v>103.19</v>
      </c>
      <c r="N479">
        <f>SUM(Tableau1[[#This Row],[0_100m]:[700_800m]])</f>
        <v>103.19</v>
      </c>
      <c r="O479">
        <f>ABS(Tableau1[[#This Row],[Final_time]]-Tableau1[[#This Row],[Sum_time]])</f>
        <v>0</v>
      </c>
      <c r="P479" s="8"/>
      <c r="Q479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79" t="s">
        <v>41</v>
      </c>
      <c r="S479" s="1" t="s">
        <v>68</v>
      </c>
      <c r="U479" s="1" t="s">
        <v>69</v>
      </c>
      <c r="V479" s="1">
        <v>45485</v>
      </c>
      <c r="W479" s="4">
        <f>YEAR(Tableau1[[#This Row],[Competition_date]])</f>
        <v>2024</v>
      </c>
      <c r="X479" s="4">
        <v>26</v>
      </c>
      <c r="Y479" s="6">
        <v>0.81</v>
      </c>
      <c r="Z479" s="4" t="s">
        <v>80</v>
      </c>
      <c r="AA479" t="s">
        <v>40</v>
      </c>
    </row>
    <row r="480" spans="1:27" hidden="1" x14ac:dyDescent="0.35">
      <c r="A480" t="str">
        <f>_xlfn.CONCAT(Tableau1[[#This Row],[Athletes]],"_",Tableau1[[#This Row],[Nationality]],"_",Tableau1[[#This Row],[Competition_year]])</f>
        <v>Catalin TECUCEANU_ITA_2024</v>
      </c>
      <c r="B480" t="s">
        <v>179</v>
      </c>
      <c r="C480" t="s">
        <v>14</v>
      </c>
      <c r="D480" s="18" t="s">
        <v>20</v>
      </c>
      <c r="E480">
        <v>12.6</v>
      </c>
      <c r="F480">
        <v>11.4</v>
      </c>
      <c r="G480">
        <v>12.6</v>
      </c>
      <c r="H480">
        <v>12.9</v>
      </c>
      <c r="I480">
        <v>13.5</v>
      </c>
      <c r="J480">
        <v>13.4</v>
      </c>
      <c r="K480">
        <v>13.4</v>
      </c>
      <c r="L480">
        <f>Tableau1[[#This Row],[Final_time]]-SUM(Tableau1[[#This Row],[0_100m]:[600_700m]])</f>
        <v>13.949999999999989</v>
      </c>
      <c r="M480">
        <v>103.75</v>
      </c>
      <c r="N480">
        <f>SUM(Tableau1[[#This Row],[0_100m]:[700_800m]])</f>
        <v>103.75</v>
      </c>
      <c r="O480">
        <f>ABS(Tableau1[[#This Row],[Final_time]]-Tableau1[[#This Row],[Sum_time]])</f>
        <v>0</v>
      </c>
      <c r="P480" s="8"/>
      <c r="Q480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80" t="s">
        <v>41</v>
      </c>
      <c r="S480" s="1" t="s">
        <v>68</v>
      </c>
      <c r="U480" s="1" t="s">
        <v>69</v>
      </c>
      <c r="V480" s="1">
        <v>45485</v>
      </c>
      <c r="W480" s="4">
        <f>YEAR(Tableau1[[#This Row],[Competition_date]])</f>
        <v>2024</v>
      </c>
      <c r="X480" s="4">
        <v>26</v>
      </c>
      <c r="Y480" s="6">
        <v>0.81</v>
      </c>
      <c r="Z480" s="4" t="s">
        <v>80</v>
      </c>
      <c r="AA480" t="s">
        <v>40</v>
      </c>
    </row>
    <row r="481" spans="1:27" hidden="1" x14ac:dyDescent="0.35">
      <c r="A481" t="str">
        <f>_xlfn.CONCAT(Tableau1[[#This Row],[Athletes]],"_",Tableau1[[#This Row],[Nationality]],"_",Tableau1[[#This Row],[Competition_year]])</f>
        <v>Benjamin ROBERT_FRA_2024</v>
      </c>
      <c r="B481" t="s">
        <v>111</v>
      </c>
      <c r="C481" t="s">
        <v>14</v>
      </c>
      <c r="D481" s="18" t="s">
        <v>17</v>
      </c>
      <c r="E481">
        <v>12.7</v>
      </c>
      <c r="F481">
        <v>11.7</v>
      </c>
      <c r="G481">
        <v>13</v>
      </c>
      <c r="H481">
        <v>13.1</v>
      </c>
      <c r="I481">
        <v>13.3</v>
      </c>
      <c r="J481">
        <v>12.9</v>
      </c>
      <c r="K481">
        <v>13.4</v>
      </c>
      <c r="L481">
        <f>Tableau1[[#This Row],[Final_time]]-SUM(Tableau1[[#This Row],[0_100m]:[600_700m]])</f>
        <v>13.849999999999994</v>
      </c>
      <c r="M481">
        <v>103.95</v>
      </c>
      <c r="N481">
        <f>SUM(Tableau1[[#This Row],[0_100m]:[700_800m]])</f>
        <v>103.95</v>
      </c>
      <c r="O481">
        <f>ABS(Tableau1[[#This Row],[Final_time]]-Tableau1[[#This Row],[Sum_time]])</f>
        <v>0</v>
      </c>
      <c r="P481" s="8"/>
      <c r="Q481" s="1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R481" t="s">
        <v>41</v>
      </c>
      <c r="S481" s="1" t="s">
        <v>68</v>
      </c>
      <c r="U481" s="1" t="s">
        <v>69</v>
      </c>
      <c r="V481" s="1">
        <v>45485</v>
      </c>
      <c r="W481" s="4">
        <f>YEAR(Tableau1[[#This Row],[Competition_date]])</f>
        <v>2024</v>
      </c>
      <c r="X481" s="4">
        <v>26</v>
      </c>
      <c r="Y481" s="6">
        <v>0.81</v>
      </c>
      <c r="Z481" s="4" t="s">
        <v>80</v>
      </c>
      <c r="AA481" t="s">
        <v>40</v>
      </c>
    </row>
    <row r="482" spans="1:27" hidden="1" x14ac:dyDescent="0.35">
      <c r="A482" t="str">
        <f>_xlfn.CONCAT(Tableau1[[#This Row],[Athletes]],"_",Tableau1[[#This Row],[Nationality]],"_",Tableau1[[#This Row],[Competition_year]])</f>
        <v>Emmanuel WANYONYI_KEN_2025</v>
      </c>
      <c r="B482" t="s">
        <v>183</v>
      </c>
      <c r="C482" t="s">
        <v>14</v>
      </c>
      <c r="D482" s="18" t="s">
        <v>15</v>
      </c>
      <c r="E482" t="s">
        <v>1378</v>
      </c>
      <c r="F482" t="s">
        <v>1378</v>
      </c>
      <c r="G482" t="s">
        <v>1378</v>
      </c>
      <c r="H482" t="s">
        <v>1378</v>
      </c>
      <c r="I482" t="s">
        <v>1378</v>
      </c>
      <c r="J482" t="s">
        <v>1378</v>
      </c>
      <c r="K482" t="s">
        <v>1378</v>
      </c>
      <c r="M482">
        <v>101.44</v>
      </c>
      <c r="N482">
        <f>SUM(Tableau1[[#This Row],[0_100m]:[700_800m]])</f>
        <v>0</v>
      </c>
      <c r="O482">
        <f>ABS(Tableau1[[#This Row],[Final_time]]-Tableau1[[#This Row],[Sum_time]])</f>
        <v>101.44</v>
      </c>
      <c r="P482" s="8"/>
      <c r="Q482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2" t="s">
        <v>1379</v>
      </c>
      <c r="S482" s="1" t="s">
        <v>68</v>
      </c>
      <c r="U482" s="1" t="s">
        <v>69</v>
      </c>
      <c r="V482" s="1">
        <v>45849</v>
      </c>
      <c r="W482" s="4">
        <f>YEAR(Tableau1[[#This Row],[Competition_date]])</f>
        <v>2025</v>
      </c>
      <c r="X482" s="4">
        <v>22</v>
      </c>
      <c r="Y482" s="6">
        <v>0.67</v>
      </c>
      <c r="Z482" s="4" t="s">
        <v>79</v>
      </c>
    </row>
    <row r="483" spans="1:27" hidden="1" x14ac:dyDescent="0.35">
      <c r="A483" t="str">
        <f>_xlfn.CONCAT(Tableau1[[#This Row],[Athletes]],"_",Tableau1[[#This Row],[Nationality]],"_",Tableau1[[#This Row],[Competition_year]])</f>
        <v>Josh HOEY_USA_2025</v>
      </c>
      <c r="B483" t="s">
        <v>1372</v>
      </c>
      <c r="C483" t="s">
        <v>14</v>
      </c>
      <c r="D483" s="18" t="s">
        <v>35</v>
      </c>
      <c r="E483">
        <v>12.5</v>
      </c>
      <c r="F483">
        <v>11.6</v>
      </c>
      <c r="G483">
        <v>12.9</v>
      </c>
      <c r="H483">
        <v>13.1</v>
      </c>
      <c r="I483">
        <v>13</v>
      </c>
      <c r="J483">
        <v>12.5</v>
      </c>
      <c r="K483">
        <v>13</v>
      </c>
      <c r="L483">
        <f>Tableau1[[#This Row],[Final_time]]-SUM(Tableau1[[#This Row],[0_100m]:[600_700m]])</f>
        <v>13.410000000000011</v>
      </c>
      <c r="M483">
        <v>102.01</v>
      </c>
      <c r="N483">
        <f>SUM(Tableau1[[#This Row],[0_100m]:[700_800m]])</f>
        <v>102.01</v>
      </c>
      <c r="O483">
        <f>ABS(Tableau1[[#This Row],[Final_time]]-Tableau1[[#This Row],[Sum_time]])</f>
        <v>0</v>
      </c>
      <c r="P483" s="8"/>
      <c r="Q483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3" t="s">
        <v>1379</v>
      </c>
      <c r="S483" s="1" t="s">
        <v>68</v>
      </c>
      <c r="U483" s="1" t="s">
        <v>69</v>
      </c>
      <c r="V483" s="1">
        <v>45849</v>
      </c>
      <c r="W483" s="4">
        <f>YEAR(Tableau1[[#This Row],[Competition_date]])</f>
        <v>2025</v>
      </c>
      <c r="X483" s="4">
        <v>22</v>
      </c>
      <c r="Y483" s="6">
        <v>0.67</v>
      </c>
      <c r="Z483" s="4" t="s">
        <v>79</v>
      </c>
    </row>
    <row r="484" spans="1:27" hidden="1" x14ac:dyDescent="0.35">
      <c r="A484" t="str">
        <f>_xlfn.CONCAT(Tableau1[[#This Row],[Athletes]],"_",Tableau1[[#This Row],[Nationality]],"_",Tableau1[[#This Row],[Competition_year]])</f>
        <v>Djamel SEDJATI_ALG_2025</v>
      </c>
      <c r="B484" t="s">
        <v>170</v>
      </c>
      <c r="C484" t="s">
        <v>14</v>
      </c>
      <c r="D484" s="18" t="s">
        <v>24</v>
      </c>
      <c r="E484">
        <v>12.8</v>
      </c>
      <c r="F484">
        <v>11.6</v>
      </c>
      <c r="G484">
        <v>13.1</v>
      </c>
      <c r="H484">
        <v>13.1</v>
      </c>
      <c r="I484">
        <v>13.2</v>
      </c>
      <c r="J484">
        <v>12.7</v>
      </c>
      <c r="K484">
        <v>13</v>
      </c>
      <c r="L484">
        <f>Tableau1[[#This Row],[Final_time]]-SUM(Tableau1[[#This Row],[0_100m]:[600_700m]])</f>
        <v>12.700000000000003</v>
      </c>
      <c r="M484">
        <v>102.2</v>
      </c>
      <c r="N484">
        <f>SUM(Tableau1[[#This Row],[0_100m]:[700_800m]])</f>
        <v>102.2</v>
      </c>
      <c r="O484">
        <f>ABS(Tableau1[[#This Row],[Final_time]]-Tableau1[[#This Row],[Sum_time]])</f>
        <v>0</v>
      </c>
      <c r="P484" s="8"/>
      <c r="Q484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4" t="s">
        <v>1379</v>
      </c>
      <c r="S484" s="1" t="s">
        <v>68</v>
      </c>
      <c r="U484" s="1" t="s">
        <v>69</v>
      </c>
      <c r="V484" s="1">
        <v>45849</v>
      </c>
      <c r="W484" s="4">
        <f>YEAR(Tableau1[[#This Row],[Competition_date]])</f>
        <v>2025</v>
      </c>
      <c r="X484" s="4">
        <v>22</v>
      </c>
      <c r="Y484" s="6">
        <v>0.67</v>
      </c>
      <c r="Z484" s="4" t="s">
        <v>79</v>
      </c>
    </row>
    <row r="485" spans="1:27" hidden="1" x14ac:dyDescent="0.35">
      <c r="A485" t="str">
        <f>_xlfn.CONCAT(Tableau1[[#This Row],[Athletes]],"_",Tableau1[[#This Row],[Nationality]],"_",Tableau1[[#This Row],[Competition_year]])</f>
        <v>Peter BOL_AUS_2025</v>
      </c>
      <c r="B485" t="s">
        <v>127</v>
      </c>
      <c r="C485" t="s">
        <v>14</v>
      </c>
      <c r="D485" s="18" t="s">
        <v>36</v>
      </c>
      <c r="E485">
        <v>12.9</v>
      </c>
      <c r="F485">
        <v>11.9</v>
      </c>
      <c r="G485">
        <v>12.9</v>
      </c>
      <c r="H485">
        <v>13.1</v>
      </c>
      <c r="I485">
        <v>13.6</v>
      </c>
      <c r="J485">
        <v>12.7</v>
      </c>
      <c r="K485">
        <v>12.7</v>
      </c>
      <c r="L485">
        <f>Tableau1[[#This Row],[Final_time]]-SUM(Tableau1[[#This Row],[0_100m]:[600_700m]])</f>
        <v>12.749999999999986</v>
      </c>
      <c r="M485">
        <v>102.55</v>
      </c>
      <c r="N485">
        <f>SUM(Tableau1[[#This Row],[0_100m]:[700_800m]])</f>
        <v>102.55</v>
      </c>
      <c r="O485">
        <f>ABS(Tableau1[[#This Row],[Final_time]]-Tableau1[[#This Row],[Sum_time]])</f>
        <v>0</v>
      </c>
      <c r="P485" s="8"/>
      <c r="Q485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5" t="s">
        <v>1379</v>
      </c>
      <c r="S485" s="1" t="s">
        <v>68</v>
      </c>
      <c r="U485" s="1" t="s">
        <v>69</v>
      </c>
      <c r="V485" s="1">
        <v>45849</v>
      </c>
      <c r="W485" s="4">
        <f>YEAR(Tableau1[[#This Row],[Competition_date]])</f>
        <v>2025</v>
      </c>
      <c r="X485" s="4">
        <v>22</v>
      </c>
      <c r="Y485" s="6">
        <v>0.67</v>
      </c>
      <c r="Z485" s="4" t="s">
        <v>79</v>
      </c>
    </row>
    <row r="486" spans="1:27" hidden="1" x14ac:dyDescent="0.35">
      <c r="A486" t="str">
        <f>_xlfn.CONCAT(Tableau1[[#This Row],[Athletes]],"_",Tableau1[[#This Row],[Nationality]],"_",Tableau1[[#This Row],[Competition_year]])</f>
        <v>Marco AROP_CAN_2025</v>
      </c>
      <c r="B486" t="s">
        <v>177</v>
      </c>
      <c r="C486" t="s">
        <v>14</v>
      </c>
      <c r="D486" s="18" t="s">
        <v>19</v>
      </c>
      <c r="E486">
        <v>13.4</v>
      </c>
      <c r="F486">
        <v>12.2</v>
      </c>
      <c r="G486">
        <v>12.6</v>
      </c>
      <c r="H486">
        <v>13</v>
      </c>
      <c r="I486">
        <v>12.8</v>
      </c>
      <c r="J486">
        <v>12.4</v>
      </c>
      <c r="K486">
        <v>12.8</v>
      </c>
      <c r="L486">
        <f>Tableau1[[#This Row],[Final_time]]-SUM(Tableau1[[#This Row],[0_100m]:[600_700m]])</f>
        <v>13.530000000000001</v>
      </c>
      <c r="M486">
        <v>102.73</v>
      </c>
      <c r="N486">
        <f>SUM(Tableau1[[#This Row],[0_100m]:[700_800m]])</f>
        <v>102.73</v>
      </c>
      <c r="O486">
        <f>ABS(Tableau1[[#This Row],[Final_time]]-Tableau1[[#This Row],[Sum_time]])</f>
        <v>0</v>
      </c>
      <c r="P486" s="8"/>
      <c r="Q486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6" t="s">
        <v>1379</v>
      </c>
      <c r="S486" s="1" t="s">
        <v>68</v>
      </c>
      <c r="U486" s="1" t="s">
        <v>69</v>
      </c>
      <c r="V486" s="1">
        <v>45849</v>
      </c>
      <c r="W486" s="4">
        <f>YEAR(Tableau1[[#This Row],[Competition_date]])</f>
        <v>2025</v>
      </c>
      <c r="X486" s="4">
        <v>22</v>
      </c>
      <c r="Y486" s="6">
        <v>0.67</v>
      </c>
      <c r="Z486" s="4" t="s">
        <v>79</v>
      </c>
    </row>
    <row r="487" spans="1:27" hidden="1" x14ac:dyDescent="0.35">
      <c r="A487" t="str">
        <f>_xlfn.CONCAT(Tableau1[[#This Row],[Athletes]],"_",Tableau1[[#This Row],[Nationality]],"_",Tableau1[[#This Row],[Competition_year]])</f>
        <v>Slimane MOULA_ALG_2025</v>
      </c>
      <c r="B487" t="s">
        <v>103</v>
      </c>
      <c r="C487" t="s">
        <v>14</v>
      </c>
      <c r="D487" s="18" t="s">
        <v>24</v>
      </c>
      <c r="E487">
        <v>12.4</v>
      </c>
      <c r="F487">
        <v>11.5</v>
      </c>
      <c r="G487">
        <v>12.9</v>
      </c>
      <c r="H487">
        <v>12.9</v>
      </c>
      <c r="I487">
        <v>12.8</v>
      </c>
      <c r="J487">
        <v>12.9</v>
      </c>
      <c r="K487">
        <v>13.4</v>
      </c>
      <c r="L487">
        <f>Tableau1[[#This Row],[Final_time]]-SUM(Tableau1[[#This Row],[0_100m]:[600_700m]])</f>
        <v>14.059999999999988</v>
      </c>
      <c r="M487">
        <v>102.86</v>
      </c>
      <c r="N487">
        <f>SUM(Tableau1[[#This Row],[0_100m]:[700_800m]])</f>
        <v>102.86</v>
      </c>
      <c r="O487">
        <f>ABS(Tableau1[[#This Row],[Final_time]]-Tableau1[[#This Row],[Sum_time]])</f>
        <v>0</v>
      </c>
      <c r="P487" s="8"/>
      <c r="Q487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7" t="s">
        <v>1379</v>
      </c>
      <c r="S487" s="1" t="s">
        <v>68</v>
      </c>
      <c r="U487" s="1" t="s">
        <v>69</v>
      </c>
      <c r="V487" s="1">
        <v>45849</v>
      </c>
      <c r="W487" s="4">
        <f>YEAR(Tableau1[[#This Row],[Competition_date]])</f>
        <v>2025</v>
      </c>
      <c r="X487" s="4">
        <v>22</v>
      </c>
      <c r="Y487" s="6">
        <v>0.67</v>
      </c>
      <c r="Z487" s="4" t="s">
        <v>79</v>
      </c>
    </row>
    <row r="488" spans="1:27" hidden="1" x14ac:dyDescent="0.35">
      <c r="A488" t="str">
        <f>_xlfn.CONCAT(Tableau1[[#This Row],[Athletes]],"_",Tableau1[[#This Row],[Nationality]],"_",Tableau1[[#This Row],[Competition_year]])</f>
        <v>Bryce HOPPEL_USA_2025</v>
      </c>
      <c r="B488" t="s">
        <v>173</v>
      </c>
      <c r="C488" t="s">
        <v>14</v>
      </c>
      <c r="D488" s="18" t="s">
        <v>35</v>
      </c>
      <c r="E488" t="s">
        <v>1378</v>
      </c>
      <c r="F488" t="s">
        <v>1378</v>
      </c>
      <c r="G488" t="s">
        <v>1378</v>
      </c>
      <c r="H488" t="s">
        <v>1378</v>
      </c>
      <c r="I488" t="s">
        <v>1378</v>
      </c>
      <c r="J488" t="s">
        <v>1378</v>
      </c>
      <c r="K488" t="s">
        <v>1378</v>
      </c>
      <c r="M488">
        <v>103.51</v>
      </c>
      <c r="N488">
        <f>SUM(Tableau1[[#This Row],[0_100m]:[700_800m]])</f>
        <v>0</v>
      </c>
      <c r="O488">
        <f>ABS(Tableau1[[#This Row],[Final_time]]-Tableau1[[#This Row],[Sum_time]])</f>
        <v>103.51</v>
      </c>
      <c r="P488" s="8"/>
      <c r="Q488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8" t="s">
        <v>1379</v>
      </c>
      <c r="S488" s="1" t="s">
        <v>68</v>
      </c>
      <c r="U488" s="1" t="s">
        <v>69</v>
      </c>
      <c r="V488" s="1">
        <v>45849</v>
      </c>
      <c r="W488" s="4">
        <f>YEAR(Tableau1[[#This Row],[Competition_date]])</f>
        <v>2025</v>
      </c>
      <c r="X488" s="4">
        <v>22</v>
      </c>
      <c r="Y488" s="6">
        <v>0.67</v>
      </c>
      <c r="Z488" s="4" t="s">
        <v>79</v>
      </c>
    </row>
    <row r="489" spans="1:27" hidden="1" x14ac:dyDescent="0.35">
      <c r="A489" t="str">
        <f>_xlfn.CONCAT(Tableau1[[#This Row],[Athletes]],"_",Tableau1[[#This Row],[Nationality]],"_",Tableau1[[#This Row],[Competition_year]])</f>
        <v>Tshepiso MASALELA_BOT_2025</v>
      </c>
      <c r="B489" t="s">
        <v>107</v>
      </c>
      <c r="C489" t="s">
        <v>14</v>
      </c>
      <c r="D489" s="18" t="s">
        <v>44</v>
      </c>
      <c r="E489">
        <v>12.5</v>
      </c>
      <c r="F489">
        <v>11.4</v>
      </c>
      <c r="G489">
        <v>13.1</v>
      </c>
      <c r="H489">
        <v>12.9</v>
      </c>
      <c r="I489">
        <v>12.9</v>
      </c>
      <c r="J489">
        <v>12.9</v>
      </c>
      <c r="K489">
        <v>13.6</v>
      </c>
      <c r="L489">
        <f>Tableau1[[#This Row],[Final_time]]-SUM(Tableau1[[#This Row],[0_100m]:[600_700m]])</f>
        <v>14.519999999999996</v>
      </c>
      <c r="M489">
        <v>103.82</v>
      </c>
      <c r="N489">
        <f>SUM(Tableau1[[#This Row],[0_100m]:[700_800m]])</f>
        <v>103.82</v>
      </c>
      <c r="O489">
        <f>ABS(Tableau1[[#This Row],[Final_time]]-Tableau1[[#This Row],[Sum_time]])</f>
        <v>0</v>
      </c>
      <c r="P489" s="8"/>
      <c r="Q489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89" t="s">
        <v>1379</v>
      </c>
      <c r="S489" s="1" t="s">
        <v>68</v>
      </c>
      <c r="U489" s="1" t="s">
        <v>69</v>
      </c>
      <c r="V489" s="1">
        <v>45849</v>
      </c>
      <c r="W489" s="4">
        <f>YEAR(Tableau1[[#This Row],[Competition_date]])</f>
        <v>2025</v>
      </c>
      <c r="X489" s="4">
        <v>22</v>
      </c>
      <c r="Y489" s="6">
        <v>0.67</v>
      </c>
      <c r="Z489" s="4" t="s">
        <v>79</v>
      </c>
    </row>
    <row r="490" spans="1:27" hidden="1" x14ac:dyDescent="0.35">
      <c r="A490" t="str">
        <f>_xlfn.CONCAT(Tableau1[[#This Row],[Athletes]],"_",Tableau1[[#This Row],[Nationality]],"_",Tableau1[[#This Row],[Competition_year]])</f>
        <v>Mohamed ATTAOUI_ESP_2025</v>
      </c>
      <c r="B490" t="s">
        <v>110</v>
      </c>
      <c r="C490" t="s">
        <v>14</v>
      </c>
      <c r="D490" s="18" t="s">
        <v>37</v>
      </c>
      <c r="E490">
        <v>13.2</v>
      </c>
      <c r="F490">
        <v>12.3</v>
      </c>
      <c r="G490">
        <v>12.9</v>
      </c>
      <c r="H490">
        <v>13.1</v>
      </c>
      <c r="I490">
        <v>13</v>
      </c>
      <c r="J490">
        <v>12.5</v>
      </c>
      <c r="K490">
        <v>13.3</v>
      </c>
      <c r="L490">
        <f>Tableau1[[#This Row],[Final_time]]-SUM(Tableau1[[#This Row],[0_100m]:[600_700m]])</f>
        <v>13.689999999999998</v>
      </c>
      <c r="M490">
        <v>103.99</v>
      </c>
      <c r="N490">
        <f>SUM(Tableau1[[#This Row],[0_100m]:[700_800m]])</f>
        <v>103.99</v>
      </c>
      <c r="O490">
        <f>ABS(Tableau1[[#This Row],[Final_time]]-Tableau1[[#This Row],[Sum_time]])</f>
        <v>0</v>
      </c>
      <c r="P490" s="8"/>
      <c r="Q490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90" t="s">
        <v>1379</v>
      </c>
      <c r="S490" s="1" t="s">
        <v>68</v>
      </c>
      <c r="U490" s="1" t="s">
        <v>69</v>
      </c>
      <c r="V490" s="1">
        <v>45849</v>
      </c>
      <c r="W490" s="4">
        <f>YEAR(Tableau1[[#This Row],[Competition_date]])</f>
        <v>2025</v>
      </c>
      <c r="X490" s="4">
        <v>22</v>
      </c>
      <c r="Y490" s="6">
        <v>0.67</v>
      </c>
      <c r="Z490" s="4" t="s">
        <v>79</v>
      </c>
    </row>
    <row r="491" spans="1:27" hidden="1" x14ac:dyDescent="0.35">
      <c r="A491" t="str">
        <f>_xlfn.CONCAT(Tableau1[[#This Row],[Athletes]],"_",Tableau1[[#This Row],[Nationality]],"_",Tableau1[[#This Row],[Competition_year]])</f>
        <v>Gabriel TUAL_FRA_2025</v>
      </c>
      <c r="B491" t="s">
        <v>180</v>
      </c>
      <c r="C491" t="s">
        <v>14</v>
      </c>
      <c r="D491" s="18" t="s">
        <v>17</v>
      </c>
      <c r="E491">
        <v>12.4</v>
      </c>
      <c r="F491">
        <v>11.8</v>
      </c>
      <c r="G491">
        <v>13</v>
      </c>
      <c r="H491">
        <v>13.2</v>
      </c>
      <c r="I491">
        <v>13.7</v>
      </c>
      <c r="J491">
        <v>13.2</v>
      </c>
      <c r="K491">
        <v>13.1</v>
      </c>
      <c r="L491">
        <f>Tableau1[[#This Row],[Final_time]]-SUM(Tableau1[[#This Row],[0_100m]:[600_700m]])</f>
        <v>13.769999999999996</v>
      </c>
      <c r="M491">
        <v>104.17</v>
      </c>
      <c r="N491">
        <f>SUM(Tableau1[[#This Row],[0_100m]:[700_800m]])</f>
        <v>104.17</v>
      </c>
      <c r="O491">
        <f>ABS(Tableau1[[#This Row],[Final_time]]-Tableau1[[#This Row],[Sum_time]])</f>
        <v>0</v>
      </c>
      <c r="P491" s="8"/>
      <c r="Q491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91" t="s">
        <v>1379</v>
      </c>
      <c r="S491" s="1" t="s">
        <v>68</v>
      </c>
      <c r="U491" s="1" t="s">
        <v>69</v>
      </c>
      <c r="V491" s="1">
        <v>45849</v>
      </c>
      <c r="W491" s="4">
        <f>YEAR(Tableau1[[#This Row],[Competition_date]])</f>
        <v>2025</v>
      </c>
      <c r="X491" s="4">
        <v>22</v>
      </c>
      <c r="Y491" s="6">
        <v>0.67</v>
      </c>
      <c r="Z491" s="4" t="s">
        <v>79</v>
      </c>
    </row>
    <row r="492" spans="1:27" hidden="1" x14ac:dyDescent="0.35">
      <c r="A492" t="str">
        <f>_xlfn.CONCAT(Tableau1[[#This Row],[Athletes]],"_",Tableau1[[#This Row],[Nationality]],"_",Tableau1[[#This Row],[Competition_year]])</f>
        <v>Max BURGIN_GBR_2025</v>
      </c>
      <c r="B492" t="s">
        <v>188</v>
      </c>
      <c r="C492" t="s">
        <v>14</v>
      </c>
      <c r="D492" s="18" t="s">
        <v>30</v>
      </c>
      <c r="E492">
        <v>12.6</v>
      </c>
      <c r="F492">
        <v>11.7</v>
      </c>
      <c r="G492">
        <v>12.9</v>
      </c>
      <c r="H492">
        <v>13</v>
      </c>
      <c r="I492">
        <v>13.7</v>
      </c>
      <c r="J492">
        <v>13.4</v>
      </c>
      <c r="K492">
        <v>14.6</v>
      </c>
      <c r="L492">
        <f>Tableau1[[#This Row],[Final_time]]-SUM(Tableau1[[#This Row],[0_100m]:[600_700m]])</f>
        <v>15.810000000000002</v>
      </c>
      <c r="M492">
        <v>107.71</v>
      </c>
      <c r="N492">
        <f>SUM(Tableau1[[#This Row],[0_100m]:[700_800m]])</f>
        <v>107.71</v>
      </c>
      <c r="O492">
        <f>ABS(Tableau1[[#This Row],[Final_time]]-Tableau1[[#This Row],[Sum_time]])</f>
        <v>0</v>
      </c>
      <c r="P492" s="8"/>
      <c r="Q492" s="16" t="str">
        <f>_xlfn.CONCAT(Tableau1[[#This Row],[Competition]],"_",Tableau1[[#This Row],[Championship_step]],"_",Tableau1[[#This Row],[Competition_date]],"_",Tableau1[[#This Row],[Gender]])</f>
        <v>Diamond League Monaco 2025__45849_Male</v>
      </c>
      <c r="R492" t="s">
        <v>1379</v>
      </c>
      <c r="S492" s="1" t="s">
        <v>68</v>
      </c>
      <c r="U492" s="1" t="s">
        <v>69</v>
      </c>
      <c r="V492" s="1">
        <v>45849</v>
      </c>
      <c r="W492" s="4">
        <f>YEAR(Tableau1[[#This Row],[Competition_date]])</f>
        <v>2025</v>
      </c>
      <c r="X492" s="4">
        <v>22</v>
      </c>
      <c r="Y492" s="6">
        <v>0.67</v>
      </c>
      <c r="Z492" s="4" t="s">
        <v>79</v>
      </c>
    </row>
    <row r="493" spans="1:27" hidden="1" x14ac:dyDescent="0.35">
      <c r="A493" t="str">
        <f>_xlfn.CONCAT(Tableau1[[#This Row],[Athletes]],"_",Tableau1[[#This Row],[Nationality]],"_",Tableau1[[#This Row],[Competition_year]])</f>
        <v>Keely HODGKINSON_GBR_2022</v>
      </c>
      <c r="B493" s="9" t="s">
        <v>212</v>
      </c>
      <c r="C493" s="9" t="s">
        <v>29</v>
      </c>
      <c r="D493" s="12" t="s">
        <v>30</v>
      </c>
      <c r="E493" s="9">
        <v>13.8</v>
      </c>
      <c r="F493" s="9">
        <v>13.1</v>
      </c>
      <c r="G493" s="9">
        <v>14.8</v>
      </c>
      <c r="H493" s="9">
        <v>15.6</v>
      </c>
      <c r="I493" s="9">
        <v>15.5</v>
      </c>
      <c r="J493" s="9">
        <v>15.2</v>
      </c>
      <c r="K493" s="9">
        <v>14.9</v>
      </c>
      <c r="L493">
        <f>Tableau1[[#This Row],[Final_time]]-SUM(Tableau1[[#This Row],[0_100m]:[600_700m]])</f>
        <v>14.809999999999974</v>
      </c>
      <c r="M493" s="9">
        <v>117.71</v>
      </c>
      <c r="N493">
        <f>SUM(Tableau1[[#This Row],[0_100m]:[700_800m]])</f>
        <v>117.71</v>
      </c>
      <c r="O493">
        <f>ABS(Tableau1[[#This Row],[Final_time]]-Tableau1[[#This Row],[Sum_time]])</f>
        <v>0</v>
      </c>
      <c r="P493" s="8"/>
      <c r="Q493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3" t="s">
        <v>379</v>
      </c>
      <c r="S493" s="1" t="s">
        <v>68</v>
      </c>
      <c r="U493" s="1" t="s">
        <v>69</v>
      </c>
      <c r="V493" s="1">
        <v>44728</v>
      </c>
      <c r="W493" s="4">
        <f>YEAR(Tableau1[[#This Row],[Competition_date]])</f>
        <v>2022</v>
      </c>
      <c r="X493" s="4">
        <v>18</v>
      </c>
      <c r="Y493" s="6">
        <v>0.59</v>
      </c>
      <c r="Z493" s="4" t="s">
        <v>380</v>
      </c>
      <c r="AA493" t="s">
        <v>176</v>
      </c>
    </row>
    <row r="494" spans="1:27" hidden="1" x14ac:dyDescent="0.35">
      <c r="A494" t="str">
        <f>_xlfn.CONCAT(Tableau1[[#This Row],[Athletes]],"_",Tableau1[[#This Row],[Nationality]],"_",Tableau1[[#This Row],[Competition_year]])</f>
        <v>Laura MUIR_GBR_2022</v>
      </c>
      <c r="B494" s="9" t="s">
        <v>328</v>
      </c>
      <c r="C494" s="9" t="s">
        <v>29</v>
      </c>
      <c r="D494" s="12" t="s">
        <v>30</v>
      </c>
      <c r="E494" s="9">
        <v>13.9</v>
      </c>
      <c r="F494" s="9">
        <v>13.2</v>
      </c>
      <c r="G494" s="9">
        <v>15</v>
      </c>
      <c r="H494" s="9">
        <v>15.6</v>
      </c>
      <c r="I494" s="9">
        <v>15.6</v>
      </c>
      <c r="J494" s="9">
        <v>15.2</v>
      </c>
      <c r="K494" s="9">
        <v>14.9</v>
      </c>
      <c r="L494">
        <f>Tableau1[[#This Row],[Final_time]]-SUM(Tableau1[[#This Row],[0_100m]:[600_700m]])</f>
        <v>14.689999999999998</v>
      </c>
      <c r="M494" s="9">
        <v>118.09</v>
      </c>
      <c r="N494">
        <f>SUM(Tableau1[[#This Row],[0_100m]:[700_800m]])</f>
        <v>118.09</v>
      </c>
      <c r="O494">
        <f>ABS(Tableau1[[#This Row],[Final_time]]-Tableau1[[#This Row],[Sum_time]])</f>
        <v>0</v>
      </c>
      <c r="P494" s="8"/>
      <c r="Q494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4" t="s">
        <v>379</v>
      </c>
      <c r="S494" s="1" t="s">
        <v>68</v>
      </c>
      <c r="U494" s="1" t="s">
        <v>69</v>
      </c>
      <c r="V494" s="1">
        <v>44728</v>
      </c>
      <c r="W494" s="4">
        <f>YEAR(Tableau1[[#This Row],[Competition_date]])</f>
        <v>2022</v>
      </c>
      <c r="X494" s="4">
        <v>18</v>
      </c>
      <c r="Y494" s="6">
        <v>0.59</v>
      </c>
      <c r="Z494" s="4" t="s">
        <v>380</v>
      </c>
      <c r="AA494" t="s">
        <v>176</v>
      </c>
    </row>
    <row r="495" spans="1:27" hidden="1" x14ac:dyDescent="0.35">
      <c r="A495" t="str">
        <f>_xlfn.CONCAT(Tableau1[[#This Row],[Athletes]],"_",Tableau1[[#This Row],[Nationality]],"_",Tableau1[[#This Row],[Competition_year]])</f>
        <v>Rénelle LAMOTE_FRA_2022</v>
      </c>
      <c r="B495" s="9" t="s">
        <v>225</v>
      </c>
      <c r="C495" s="9" t="s">
        <v>29</v>
      </c>
      <c r="D495" s="12" t="s">
        <v>17</v>
      </c>
      <c r="E495" s="9">
        <v>13.7</v>
      </c>
      <c r="F495" s="9">
        <v>13.2</v>
      </c>
      <c r="G495" s="9">
        <v>14.9</v>
      </c>
      <c r="H495" s="9">
        <v>15.6</v>
      </c>
      <c r="I495" s="9">
        <v>15.6</v>
      </c>
      <c r="J495" s="9">
        <v>15.3</v>
      </c>
      <c r="K495" s="9">
        <v>15.3</v>
      </c>
      <c r="L495">
        <f>Tableau1[[#This Row],[Final_time]]-SUM(Tableau1[[#This Row],[0_100m]:[600_700m]])</f>
        <v>14.900000000000006</v>
      </c>
      <c r="M495" s="9">
        <v>118.5</v>
      </c>
      <c r="N495">
        <f>SUM(Tableau1[[#This Row],[0_100m]:[700_800m]])</f>
        <v>118.5</v>
      </c>
      <c r="O495">
        <f>ABS(Tableau1[[#This Row],[Final_time]]-Tableau1[[#This Row],[Sum_time]])</f>
        <v>0</v>
      </c>
      <c r="P495" s="8"/>
      <c r="Q495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5" t="s">
        <v>379</v>
      </c>
      <c r="S495" s="1" t="s">
        <v>68</v>
      </c>
      <c r="U495" s="1" t="s">
        <v>69</v>
      </c>
      <c r="V495" s="1">
        <v>44728</v>
      </c>
      <c r="W495" s="4">
        <f>YEAR(Tableau1[[#This Row],[Competition_date]])</f>
        <v>2022</v>
      </c>
      <c r="X495" s="4">
        <v>18</v>
      </c>
      <c r="Y495" s="6">
        <v>0.59</v>
      </c>
      <c r="Z495" s="4" t="s">
        <v>380</v>
      </c>
      <c r="AA495" t="s">
        <v>176</v>
      </c>
    </row>
    <row r="496" spans="1:27" hidden="1" x14ac:dyDescent="0.35">
      <c r="A496" t="str">
        <f>_xlfn.CONCAT(Tableau1[[#This Row],[Athletes]],"_",Tableau1[[#This Row],[Nationality]],"_",Tableau1[[#This Row],[Competition_year]])</f>
        <v>Halimah NAKAAYI_UGA_2022</v>
      </c>
      <c r="B496" s="9" t="s">
        <v>230</v>
      </c>
      <c r="C496" s="9" t="s">
        <v>29</v>
      </c>
      <c r="D496" s="12" t="s">
        <v>34</v>
      </c>
      <c r="E496" s="9">
        <v>13.9</v>
      </c>
      <c r="F496" s="9">
        <v>13.6</v>
      </c>
      <c r="G496" s="9">
        <v>14.8</v>
      </c>
      <c r="H496" s="9">
        <v>15.5</v>
      </c>
      <c r="I496" s="9">
        <v>15.8</v>
      </c>
      <c r="J496" s="9">
        <v>15.2</v>
      </c>
      <c r="K496" s="9">
        <v>15</v>
      </c>
      <c r="L496">
        <f>Tableau1[[#This Row],[Final_time]]-SUM(Tableau1[[#This Row],[0_100m]:[600_700m]])</f>
        <v>14.88000000000001</v>
      </c>
      <c r="M496" s="9">
        <v>118.68</v>
      </c>
      <c r="N496">
        <f>SUM(Tableau1[[#This Row],[0_100m]:[700_800m]])</f>
        <v>118.68</v>
      </c>
      <c r="O496">
        <f>ABS(Tableau1[[#This Row],[Final_time]]-Tableau1[[#This Row],[Sum_time]])</f>
        <v>0</v>
      </c>
      <c r="P496" s="8"/>
      <c r="Q496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6" t="s">
        <v>379</v>
      </c>
      <c r="S496" s="1" t="s">
        <v>68</v>
      </c>
      <c r="U496" s="1" t="s">
        <v>69</v>
      </c>
      <c r="V496" s="1">
        <v>44728</v>
      </c>
      <c r="W496" s="4">
        <f>YEAR(Tableau1[[#This Row],[Competition_date]])</f>
        <v>2022</v>
      </c>
      <c r="X496" s="4">
        <v>18</v>
      </c>
      <c r="Y496" s="6">
        <v>0.59</v>
      </c>
      <c r="Z496" s="4" t="s">
        <v>380</v>
      </c>
      <c r="AA496" t="s">
        <v>176</v>
      </c>
    </row>
    <row r="497" spans="1:27" hidden="1" x14ac:dyDescent="0.35">
      <c r="A497" t="str">
        <f>_xlfn.CONCAT(Tableau1[[#This Row],[Athletes]],"_",Tableau1[[#This Row],[Nationality]],"_",Tableau1[[#This Row],[Competition_year]])</f>
        <v>Diribe WELTEJI_ETH_2022</v>
      </c>
      <c r="B497" s="9" t="s">
        <v>255</v>
      </c>
      <c r="C497" s="9" t="s">
        <v>29</v>
      </c>
      <c r="D497" s="12" t="s">
        <v>49</v>
      </c>
      <c r="E497" s="9">
        <v>13.9</v>
      </c>
      <c r="F497" s="9">
        <v>13.6</v>
      </c>
      <c r="G497" s="9">
        <v>14.9</v>
      </c>
      <c r="H497" s="9">
        <v>15.2</v>
      </c>
      <c r="I497" s="9">
        <v>15.6</v>
      </c>
      <c r="J497" s="9">
        <v>14.8</v>
      </c>
      <c r="K497" s="9">
        <v>15.4</v>
      </c>
      <c r="L497">
        <f>Tableau1[[#This Row],[Final_time]]-SUM(Tableau1[[#This Row],[0_100m]:[600_700m]])</f>
        <v>15.290000000000006</v>
      </c>
      <c r="M497" s="9">
        <v>118.69</v>
      </c>
      <c r="N497">
        <f>SUM(Tableau1[[#This Row],[0_100m]:[700_800m]])</f>
        <v>118.69</v>
      </c>
      <c r="O497">
        <f>ABS(Tableau1[[#This Row],[Final_time]]-Tableau1[[#This Row],[Sum_time]])</f>
        <v>0</v>
      </c>
      <c r="P497" s="8"/>
      <c r="Q497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7" t="s">
        <v>379</v>
      </c>
      <c r="S497" s="1" t="s">
        <v>68</v>
      </c>
      <c r="U497" s="1" t="s">
        <v>69</v>
      </c>
      <c r="V497" s="1">
        <v>44728</v>
      </c>
      <c r="W497" s="4">
        <f>YEAR(Tableau1[[#This Row],[Competition_date]])</f>
        <v>2022</v>
      </c>
      <c r="X497" s="4">
        <v>18</v>
      </c>
      <c r="Y497" s="6">
        <v>0.59</v>
      </c>
      <c r="Z497" s="4" t="s">
        <v>380</v>
      </c>
      <c r="AA497" t="s">
        <v>176</v>
      </c>
    </row>
    <row r="498" spans="1:27" hidden="1" x14ac:dyDescent="0.35">
      <c r="A498" t="str">
        <f>_xlfn.CONCAT(Tableau1[[#This Row],[Athletes]],"_",Tableau1[[#This Row],[Nationality]],"_",Tableau1[[#This Row],[Competition_year]])</f>
        <v>Natoya GOULE-TOPPIN_JAM_2022</v>
      </c>
      <c r="B498" s="9" t="s">
        <v>222</v>
      </c>
      <c r="C498" s="9" t="s">
        <v>29</v>
      </c>
      <c r="D498" s="12" t="s">
        <v>33</v>
      </c>
      <c r="E498" s="9">
        <v>13.7</v>
      </c>
      <c r="F498" s="9">
        <v>13.4</v>
      </c>
      <c r="G498" s="9">
        <v>14.9</v>
      </c>
      <c r="H498" s="9">
        <v>15.4</v>
      </c>
      <c r="I498" s="9">
        <v>15.6</v>
      </c>
      <c r="J498" s="9">
        <v>15.1</v>
      </c>
      <c r="K498" s="9">
        <v>15.1</v>
      </c>
      <c r="L498">
        <f>Tableau1[[#This Row],[Final_time]]-SUM(Tableau1[[#This Row],[0_100m]:[600_700m]])</f>
        <v>16.110000000000014</v>
      </c>
      <c r="M498" s="9">
        <v>119.31</v>
      </c>
      <c r="N498">
        <f>SUM(Tableau1[[#This Row],[0_100m]:[700_800m]])</f>
        <v>119.31</v>
      </c>
      <c r="O498">
        <f>ABS(Tableau1[[#This Row],[Final_time]]-Tableau1[[#This Row],[Sum_time]])</f>
        <v>0</v>
      </c>
      <c r="P498" s="8"/>
      <c r="Q498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8" t="s">
        <v>379</v>
      </c>
      <c r="S498" s="1" t="s">
        <v>68</v>
      </c>
      <c r="U498" s="1" t="s">
        <v>69</v>
      </c>
      <c r="V498" s="1">
        <v>44728</v>
      </c>
      <c r="W498" s="4">
        <f>YEAR(Tableau1[[#This Row],[Competition_date]])</f>
        <v>2022</v>
      </c>
      <c r="X498" s="4">
        <v>18</v>
      </c>
      <c r="Y498" s="6">
        <v>0.59</v>
      </c>
      <c r="Z498" s="4" t="s">
        <v>380</v>
      </c>
      <c r="AA498" t="s">
        <v>176</v>
      </c>
    </row>
    <row r="499" spans="1:27" hidden="1" x14ac:dyDescent="0.35">
      <c r="A499" t="str">
        <f>_xlfn.CONCAT(Tableau1[[#This Row],[Athletes]],"_",Tableau1[[#This Row],[Nationality]],"_",Tableau1[[#This Row],[Competition_year]])</f>
        <v>Catriona BISSET_AUS_2022</v>
      </c>
      <c r="B499" s="9" t="s">
        <v>217</v>
      </c>
      <c r="C499" s="9" t="s">
        <v>29</v>
      </c>
      <c r="D499" s="12" t="s">
        <v>36</v>
      </c>
      <c r="E499" s="9">
        <v>13.9</v>
      </c>
      <c r="F499" s="9">
        <v>13.4</v>
      </c>
      <c r="G499" s="9">
        <v>14.9</v>
      </c>
      <c r="H499" s="9">
        <v>15.5</v>
      </c>
      <c r="I499" s="9">
        <v>15.7</v>
      </c>
      <c r="J499" s="9">
        <v>15.1</v>
      </c>
      <c r="K499" s="9">
        <v>15.3</v>
      </c>
      <c r="L499">
        <f>Tableau1[[#This Row],[Final_time]]-SUM(Tableau1[[#This Row],[0_100m]:[600_700m]])</f>
        <v>15.620000000000005</v>
      </c>
      <c r="M499" s="9">
        <v>119.42</v>
      </c>
      <c r="N499">
        <f>SUM(Tableau1[[#This Row],[0_100m]:[700_800m]])</f>
        <v>119.42</v>
      </c>
      <c r="O499">
        <f>ABS(Tableau1[[#This Row],[Final_time]]-Tableau1[[#This Row],[Sum_time]])</f>
        <v>0</v>
      </c>
      <c r="P499" s="8"/>
      <c r="Q499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499" t="s">
        <v>379</v>
      </c>
      <c r="S499" s="1" t="s">
        <v>68</v>
      </c>
      <c r="U499" s="1" t="s">
        <v>69</v>
      </c>
      <c r="V499" s="1">
        <v>44728</v>
      </c>
      <c r="W499" s="4">
        <f>YEAR(Tableau1[[#This Row],[Competition_date]])</f>
        <v>2022</v>
      </c>
      <c r="X499" s="4">
        <v>18</v>
      </c>
      <c r="Y499" s="6">
        <v>0.59</v>
      </c>
      <c r="Z499" s="4" t="s">
        <v>380</v>
      </c>
      <c r="AA499" t="s">
        <v>176</v>
      </c>
    </row>
    <row r="500" spans="1:27" hidden="1" x14ac:dyDescent="0.35">
      <c r="A500" t="str">
        <f>_xlfn.CONCAT(Tableau1[[#This Row],[Athletes]],"_",Tableau1[[#This Row],[Nationality]],"_",Tableau1[[#This Row],[Competition_year]])</f>
        <v>Jemma REEKIE_GBR_2022</v>
      </c>
      <c r="B500" s="9" t="s">
        <v>220</v>
      </c>
      <c r="C500" s="9" t="s">
        <v>29</v>
      </c>
      <c r="D500" s="12" t="s">
        <v>30</v>
      </c>
      <c r="E500" s="9">
        <v>13.6</v>
      </c>
      <c r="F500" s="9">
        <v>13.4</v>
      </c>
      <c r="G500" s="9">
        <v>15</v>
      </c>
      <c r="H500" s="9">
        <v>15.5</v>
      </c>
      <c r="I500" s="9">
        <v>15.7</v>
      </c>
      <c r="J500" s="9">
        <v>15.1</v>
      </c>
      <c r="K500" s="9">
        <v>15.4</v>
      </c>
      <c r="L500">
        <f>Tableau1[[#This Row],[Final_time]]-SUM(Tableau1[[#This Row],[0_100m]:[600_700m]])</f>
        <v>16.129999999999995</v>
      </c>
      <c r="M500" s="9">
        <v>119.83</v>
      </c>
      <c r="N500">
        <f>SUM(Tableau1[[#This Row],[0_100m]:[700_800m]])</f>
        <v>119.83</v>
      </c>
      <c r="O500">
        <f>ABS(Tableau1[[#This Row],[Final_time]]-Tableau1[[#This Row],[Sum_time]])</f>
        <v>0</v>
      </c>
      <c r="P500" s="8"/>
      <c r="Q500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500" t="s">
        <v>379</v>
      </c>
      <c r="S500" s="1" t="s">
        <v>68</v>
      </c>
      <c r="U500" s="1" t="s">
        <v>69</v>
      </c>
      <c r="V500" s="1">
        <v>44728</v>
      </c>
      <c r="W500" s="4">
        <f>YEAR(Tableau1[[#This Row],[Competition_date]])</f>
        <v>2022</v>
      </c>
      <c r="X500" s="4">
        <v>18</v>
      </c>
      <c r="Y500" s="6">
        <v>0.59</v>
      </c>
      <c r="Z500" s="4" t="s">
        <v>380</v>
      </c>
      <c r="AA500" t="s">
        <v>176</v>
      </c>
    </row>
    <row r="501" spans="1:27" hidden="1" x14ac:dyDescent="0.35">
      <c r="A501" t="str">
        <f>_xlfn.CONCAT(Tableau1[[#This Row],[Athletes]],"_",Tableau1[[#This Row],[Nationality]],"_",Tableau1[[#This Row],[Competition_year]])</f>
        <v>Olha LYAKHOVA_UKR_2022</v>
      </c>
      <c r="B501" s="9" t="s">
        <v>264</v>
      </c>
      <c r="C501" s="9" t="s">
        <v>29</v>
      </c>
      <c r="D501" s="12" t="s">
        <v>166</v>
      </c>
      <c r="E501" s="9">
        <v>13.9</v>
      </c>
      <c r="F501" s="9">
        <v>13.8</v>
      </c>
      <c r="G501" s="9">
        <v>14.8</v>
      </c>
      <c r="H501" s="9">
        <v>15.5</v>
      </c>
      <c r="I501" s="9">
        <v>15.7</v>
      </c>
      <c r="J501" s="9">
        <v>15.4</v>
      </c>
      <c r="K501" s="9">
        <v>15.3</v>
      </c>
      <c r="L501">
        <f>Tableau1[[#This Row],[Final_time]]-SUM(Tableau1[[#This Row],[0_100m]:[600_700m]])</f>
        <v>15.989999999999995</v>
      </c>
      <c r="M501" s="9">
        <v>120.39</v>
      </c>
      <c r="N501">
        <f>SUM(Tableau1[[#This Row],[0_100m]:[700_800m]])</f>
        <v>120.39</v>
      </c>
      <c r="O501">
        <f>ABS(Tableau1[[#This Row],[Final_time]]-Tableau1[[#This Row],[Sum_time]])</f>
        <v>0</v>
      </c>
      <c r="P501" s="8"/>
      <c r="Q501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501" t="s">
        <v>379</v>
      </c>
      <c r="S501" s="1" t="s">
        <v>68</v>
      </c>
      <c r="U501" s="1" t="s">
        <v>69</v>
      </c>
      <c r="V501" s="1">
        <v>44728</v>
      </c>
      <c r="W501" s="4">
        <f>YEAR(Tableau1[[#This Row],[Competition_date]])</f>
        <v>2022</v>
      </c>
      <c r="X501" s="4">
        <v>18</v>
      </c>
      <c r="Y501" s="6">
        <v>0.59</v>
      </c>
      <c r="Z501" s="4" t="s">
        <v>380</v>
      </c>
      <c r="AA501" t="s">
        <v>176</v>
      </c>
    </row>
    <row r="502" spans="1:27" hidden="1" x14ac:dyDescent="0.35">
      <c r="A502" t="str">
        <f>_xlfn.CONCAT(Tableau1[[#This Row],[Athletes]],"_",Tableau1[[#This Row],[Nationality]],"_",Tableau1[[#This Row],[Competition_year]])</f>
        <v>Hedda HYNNE_NOR_2022</v>
      </c>
      <c r="B502" s="9" t="s">
        <v>281</v>
      </c>
      <c r="C502" s="9" t="s">
        <v>29</v>
      </c>
      <c r="D502" s="12" t="s">
        <v>123</v>
      </c>
      <c r="E502" s="9">
        <v>14</v>
      </c>
      <c r="F502" s="9">
        <v>13.8</v>
      </c>
      <c r="G502" s="9">
        <v>14.9</v>
      </c>
      <c r="H502" s="9">
        <v>15.5</v>
      </c>
      <c r="I502" s="9">
        <v>15.7</v>
      </c>
      <c r="J502" s="9">
        <v>15.4</v>
      </c>
      <c r="K502" s="9">
        <v>15.3</v>
      </c>
      <c r="L502">
        <f>Tableau1[[#This Row],[Final_time]]-SUM(Tableau1[[#This Row],[0_100m]:[600_700m]])</f>
        <v>16.299999999999997</v>
      </c>
      <c r="M502" s="9">
        <v>120.9</v>
      </c>
      <c r="N502">
        <f>SUM(Tableau1[[#This Row],[0_100m]:[700_800m]])</f>
        <v>120.9</v>
      </c>
      <c r="O502">
        <f>ABS(Tableau1[[#This Row],[Final_time]]-Tableau1[[#This Row],[Sum_time]])</f>
        <v>0</v>
      </c>
      <c r="P502" s="8"/>
      <c r="Q502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502" t="s">
        <v>379</v>
      </c>
      <c r="S502" s="1" t="s">
        <v>68</v>
      </c>
      <c r="U502" s="1" t="s">
        <v>69</v>
      </c>
      <c r="V502" s="1">
        <v>44728</v>
      </c>
      <c r="W502" s="4">
        <f>YEAR(Tableau1[[#This Row],[Competition_date]])</f>
        <v>2022</v>
      </c>
      <c r="X502" s="4">
        <v>18</v>
      </c>
      <c r="Y502" s="6">
        <v>0.59</v>
      </c>
      <c r="Z502" s="4" t="s">
        <v>380</v>
      </c>
      <c r="AA502" t="s">
        <v>176</v>
      </c>
    </row>
    <row r="503" spans="1:27" hidden="1" x14ac:dyDescent="0.35">
      <c r="A503" t="str">
        <f>_xlfn.CONCAT(Tableau1[[#This Row],[Athletes]],"_",Tableau1[[#This Row],[Nationality]],"_",Tableau1[[#This Row],[Competition_year]])</f>
        <v>Lovisa LINDH_SWE_2022</v>
      </c>
      <c r="B503" s="9" t="s">
        <v>378</v>
      </c>
      <c r="C503" s="9" t="s">
        <v>29</v>
      </c>
      <c r="D503" s="12" t="s">
        <v>28</v>
      </c>
      <c r="E503" s="9">
        <v>14.2</v>
      </c>
      <c r="F503" s="9">
        <v>13.8</v>
      </c>
      <c r="G503" s="9">
        <v>15</v>
      </c>
      <c r="H503" s="9">
        <v>15.4</v>
      </c>
      <c r="I503" s="9">
        <v>15.7</v>
      </c>
      <c r="J503" s="9">
        <v>16.2</v>
      </c>
      <c r="K503" s="9">
        <v>17</v>
      </c>
      <c r="L503">
        <f>Tableau1[[#This Row],[Final_time]]-SUM(Tableau1[[#This Row],[0_100m]:[600_700m]])</f>
        <v>17.439999999999998</v>
      </c>
      <c r="M503" s="9">
        <v>124.74</v>
      </c>
      <c r="N503">
        <f>SUM(Tableau1[[#This Row],[0_100m]:[700_800m]])</f>
        <v>124.74</v>
      </c>
      <c r="O503">
        <f>ABS(Tableau1[[#This Row],[Final_time]]-Tableau1[[#This Row],[Sum_time]])</f>
        <v>0</v>
      </c>
      <c r="P503" s="8"/>
      <c r="Q503" s="16" t="str">
        <f>_xlfn.CONCAT(Tableau1[[#This Row],[Competition]],"_",Tableau1[[#This Row],[Championship_step]],"_",Tableau1[[#This Row],[Competition_date]],"_",Tableau1[[#This Row],[Gender]])</f>
        <v>Diamond League Oslo 2022__44728_Female</v>
      </c>
      <c r="R503" t="s">
        <v>379</v>
      </c>
      <c r="S503" s="1" t="s">
        <v>68</v>
      </c>
      <c r="U503" s="1" t="s">
        <v>69</v>
      </c>
      <c r="V503" s="1">
        <v>44728</v>
      </c>
      <c r="W503" s="4">
        <f>YEAR(Tableau1[[#This Row],[Competition_date]])</f>
        <v>2022</v>
      </c>
      <c r="X503" s="4">
        <v>18</v>
      </c>
      <c r="Y503" s="6">
        <v>0.59</v>
      </c>
      <c r="Z503" s="4" t="s">
        <v>380</v>
      </c>
      <c r="AA503" t="s">
        <v>176</v>
      </c>
    </row>
    <row r="504" spans="1:27" hidden="1" x14ac:dyDescent="0.35">
      <c r="A504" t="str">
        <f>_xlfn.CONCAT(Tableau1[[#This Row],[Athletes]],"_",Tableau1[[#This Row],[Nationality]],"_",Tableau1[[#This Row],[Competition_year]])</f>
        <v>Wyclife KINYAMAL_KEN_2021</v>
      </c>
      <c r="B504" s="9" t="s">
        <v>174</v>
      </c>
      <c r="C504" s="9" t="s">
        <v>14</v>
      </c>
      <c r="D504" s="12" t="s">
        <v>15</v>
      </c>
      <c r="E504" s="9">
        <v>12.9</v>
      </c>
      <c r="F504" s="9">
        <v>12.4</v>
      </c>
      <c r="G504" s="9">
        <v>13.1</v>
      </c>
      <c r="H504" s="9">
        <v>12.8</v>
      </c>
      <c r="I504" s="9">
        <v>13.5</v>
      </c>
      <c r="J504" s="9">
        <v>13.2</v>
      </c>
      <c r="K504" s="9">
        <v>12.9</v>
      </c>
      <c r="L504">
        <f>Tableau1[[#This Row],[Final_time]]-SUM(Tableau1[[#This Row],[0_100m]:[600_700m]])</f>
        <v>13.139999999999986</v>
      </c>
      <c r="M504" s="9">
        <v>103.94</v>
      </c>
      <c r="N504">
        <f>SUM(Tableau1[[#This Row],[0_100m]:[700_800m]])</f>
        <v>103.94</v>
      </c>
      <c r="O504">
        <f>ABS(Tableau1[[#This Row],[Final_time]]-Tableau1[[#This Row],[Sum_time]])</f>
        <v>0</v>
      </c>
      <c r="P504" s="8"/>
      <c r="Q504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04" t="s">
        <v>484</v>
      </c>
      <c r="S504" s="1" t="s">
        <v>68</v>
      </c>
      <c r="U504" s="1" t="s">
        <v>69</v>
      </c>
      <c r="V504" s="1">
        <v>44436</v>
      </c>
      <c r="W504" s="4">
        <f>YEAR(Tableau1[[#This Row],[Competition_date]])</f>
        <v>2021</v>
      </c>
      <c r="X504" s="4">
        <v>21</v>
      </c>
      <c r="Y504" s="6">
        <v>0.56999999999999995</v>
      </c>
      <c r="Z504" s="4" t="s">
        <v>80</v>
      </c>
      <c r="AA504" t="s">
        <v>176</v>
      </c>
    </row>
    <row r="505" spans="1:27" hidden="1" x14ac:dyDescent="0.35">
      <c r="A505" t="str">
        <f>_xlfn.CONCAT(Tableau1[[#This Row],[Athletes]],"_",Tableau1[[#This Row],[Nationality]],"_",Tableau1[[#This Row],[Competition_year]])</f>
        <v>Ferguson Cheruiyot ROTICH_KEN_2021</v>
      </c>
      <c r="B505" s="9" t="s">
        <v>199</v>
      </c>
      <c r="C505" s="9" t="s">
        <v>14</v>
      </c>
      <c r="D505" s="12" t="s">
        <v>15</v>
      </c>
      <c r="E505" s="9">
        <v>13.2</v>
      </c>
      <c r="F505" s="9">
        <v>12.4</v>
      </c>
      <c r="G505" s="9">
        <v>13</v>
      </c>
      <c r="H505" s="9">
        <v>12.8</v>
      </c>
      <c r="I505" s="9">
        <v>13.5</v>
      </c>
      <c r="J505" s="9">
        <v>13.3</v>
      </c>
      <c r="K505" s="9">
        <v>13.3</v>
      </c>
      <c r="L505">
        <f>Tableau1[[#This Row],[Final_time]]-SUM(Tableau1[[#This Row],[0_100m]:[600_700m]])</f>
        <v>12.950000000000003</v>
      </c>
      <c r="M505" s="9">
        <v>104.45</v>
      </c>
      <c r="N505">
        <f>SUM(Tableau1[[#This Row],[0_100m]:[700_800m]])</f>
        <v>104.45</v>
      </c>
      <c r="O505">
        <f>ABS(Tableau1[[#This Row],[Final_time]]-Tableau1[[#This Row],[Sum_time]])</f>
        <v>0</v>
      </c>
      <c r="P505" s="8"/>
      <c r="Q505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05" t="s">
        <v>484</v>
      </c>
      <c r="S505" s="1" t="s">
        <v>68</v>
      </c>
      <c r="U505" s="1" t="s">
        <v>69</v>
      </c>
      <c r="V505" s="1">
        <v>44436</v>
      </c>
      <c r="W505" s="4">
        <f>YEAR(Tableau1[[#This Row],[Competition_date]])</f>
        <v>2021</v>
      </c>
      <c r="X505" s="4">
        <v>21</v>
      </c>
      <c r="Y505" s="6">
        <v>0.56999999999999995</v>
      </c>
      <c r="Z505" s="4" t="s">
        <v>80</v>
      </c>
      <c r="AA505" t="s">
        <v>176</v>
      </c>
    </row>
    <row r="506" spans="1:27" hidden="1" x14ac:dyDescent="0.35">
      <c r="A506" t="str">
        <f>_xlfn.CONCAT(Tableau1[[#This Row],[Athletes]],"_",Tableau1[[#This Row],[Nationality]],"_",Tableau1[[#This Row],[Competition_year]])</f>
        <v>Marco AROP_CAN_2021</v>
      </c>
      <c r="B506" s="9" t="s">
        <v>177</v>
      </c>
      <c r="C506" s="9" t="s">
        <v>14</v>
      </c>
      <c r="D506" s="12" t="s">
        <v>19</v>
      </c>
      <c r="E506" s="9">
        <v>13.2</v>
      </c>
      <c r="F506" s="9">
        <v>11.9</v>
      </c>
      <c r="G506" s="9">
        <v>13</v>
      </c>
      <c r="H506" s="9">
        <v>13</v>
      </c>
      <c r="I506" s="9">
        <v>13.4</v>
      </c>
      <c r="J506" s="9">
        <v>13.2</v>
      </c>
      <c r="K506" s="9">
        <f>90.9-SUM(Tableau1[[#This Row],[0_100m]:[500_600m]])</f>
        <v>13.200000000000003</v>
      </c>
      <c r="L506">
        <f>Tableau1[[#This Row],[Final_time]]-SUM(Tableau1[[#This Row],[0_100m]:[600_700m]])</f>
        <v>13.839999999999989</v>
      </c>
      <c r="M506" s="9">
        <v>104.74</v>
      </c>
      <c r="N506">
        <f>SUM(Tableau1[[#This Row],[0_100m]:[700_800m]])</f>
        <v>104.74</v>
      </c>
      <c r="O506">
        <f>ABS(Tableau1[[#This Row],[Final_time]]-Tableau1[[#This Row],[Sum_time]])</f>
        <v>0</v>
      </c>
      <c r="P506" s="8"/>
      <c r="Q506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06" t="s">
        <v>484</v>
      </c>
      <c r="S506" s="1" t="s">
        <v>68</v>
      </c>
      <c r="U506" s="1" t="s">
        <v>69</v>
      </c>
      <c r="V506" s="1">
        <v>44436</v>
      </c>
      <c r="W506" s="4">
        <f>YEAR(Tableau1[[#This Row],[Competition_date]])</f>
        <v>2021</v>
      </c>
      <c r="X506" s="4">
        <v>21</v>
      </c>
      <c r="Y506" s="6">
        <v>0.56999999999999995</v>
      </c>
      <c r="Z506" s="4" t="s">
        <v>80</v>
      </c>
      <c r="AA506" t="s">
        <v>176</v>
      </c>
    </row>
    <row r="507" spans="1:27" hidden="1" x14ac:dyDescent="0.35">
      <c r="A507" t="str">
        <f>_xlfn.CONCAT(Tableau1[[#This Row],[Athletes]],"_",Tableau1[[#This Row],[Nationality]],"_",Tableau1[[#This Row],[Competition_year]])</f>
        <v>Peter BOL_AUS_2021</v>
      </c>
      <c r="B507" s="9" t="s">
        <v>127</v>
      </c>
      <c r="C507" s="9" t="s">
        <v>14</v>
      </c>
      <c r="D507" s="12" t="s">
        <v>36</v>
      </c>
      <c r="E507" s="9">
        <v>12.7</v>
      </c>
      <c r="F507" s="9">
        <v>12.3</v>
      </c>
      <c r="G507" s="9">
        <v>13.1</v>
      </c>
      <c r="H507" s="9">
        <v>13.2</v>
      </c>
      <c r="I507" s="9">
        <v>13.7</v>
      </c>
      <c r="J507" s="9">
        <v>13.5</v>
      </c>
      <c r="K507" s="9">
        <v>13.3</v>
      </c>
      <c r="L507">
        <f>Tableau1[[#This Row],[Final_time]]-SUM(Tableau1[[#This Row],[0_100m]:[600_700m]])</f>
        <v>13.079999999999998</v>
      </c>
      <c r="M507" s="9">
        <v>104.88</v>
      </c>
      <c r="N507">
        <f>SUM(Tableau1[[#This Row],[0_100m]:[700_800m]])</f>
        <v>104.88</v>
      </c>
      <c r="O507">
        <f>ABS(Tableau1[[#This Row],[Final_time]]-Tableau1[[#This Row],[Sum_time]])</f>
        <v>0</v>
      </c>
      <c r="P507" s="8"/>
      <c r="Q507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07" t="s">
        <v>484</v>
      </c>
      <c r="S507" s="1" t="s">
        <v>68</v>
      </c>
      <c r="U507" s="1" t="s">
        <v>69</v>
      </c>
      <c r="V507" s="1">
        <v>44436</v>
      </c>
      <c r="W507" s="4">
        <f>YEAR(Tableau1[[#This Row],[Competition_date]])</f>
        <v>2021</v>
      </c>
      <c r="X507" s="4">
        <v>21</v>
      </c>
      <c r="Y507" s="6">
        <v>0.56999999999999995</v>
      </c>
      <c r="Z507" s="4" t="s">
        <v>80</v>
      </c>
      <c r="AA507" t="s">
        <v>176</v>
      </c>
    </row>
    <row r="508" spans="1:27" hidden="1" x14ac:dyDescent="0.35">
      <c r="A508" t="str">
        <f>_xlfn.CONCAT(Tableau1[[#This Row],[Athletes]],"_",Tableau1[[#This Row],[Nationality]],"_",Tableau1[[#This Row],[Competition_year]])</f>
        <v>Elliot GILES_GBR_2021</v>
      </c>
      <c r="B508" s="9" t="s">
        <v>383</v>
      </c>
      <c r="C508" s="9" t="s">
        <v>14</v>
      </c>
      <c r="D508" s="12" t="s">
        <v>30</v>
      </c>
      <c r="E508" s="9">
        <v>13</v>
      </c>
      <c r="F508" s="9">
        <v>11.9</v>
      </c>
      <c r="G508" s="9">
        <v>12.7</v>
      </c>
      <c r="H508" s="9">
        <v>12.8</v>
      </c>
      <c r="I508" s="9">
        <v>13.7</v>
      </c>
      <c r="J508" s="9">
        <v>13.8</v>
      </c>
      <c r="K508" s="9">
        <v>13.2</v>
      </c>
      <c r="L508">
        <f>Tableau1[[#This Row],[Final_time]]-SUM(Tableau1[[#This Row],[0_100m]:[600_700m]])</f>
        <v>13.820000000000007</v>
      </c>
      <c r="M508" s="9">
        <v>104.92</v>
      </c>
      <c r="N508">
        <f>SUM(Tableau1[[#This Row],[0_100m]:[700_800m]])</f>
        <v>104.92</v>
      </c>
      <c r="O508">
        <f>ABS(Tableau1[[#This Row],[Final_time]]-Tableau1[[#This Row],[Sum_time]])</f>
        <v>0</v>
      </c>
      <c r="P508" s="8"/>
      <c r="Q508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08" t="s">
        <v>484</v>
      </c>
      <c r="S508" s="1" t="s">
        <v>68</v>
      </c>
      <c r="U508" s="1" t="s">
        <v>69</v>
      </c>
      <c r="V508" s="1">
        <v>44436</v>
      </c>
      <c r="W508" s="4">
        <f>YEAR(Tableau1[[#This Row],[Competition_date]])</f>
        <v>2021</v>
      </c>
      <c r="X508" s="4">
        <v>21</v>
      </c>
      <c r="Y508" s="6">
        <v>0.56999999999999995</v>
      </c>
      <c r="Z508" s="4" t="s">
        <v>80</v>
      </c>
      <c r="AA508" t="s">
        <v>176</v>
      </c>
    </row>
    <row r="509" spans="1:27" hidden="1" x14ac:dyDescent="0.35">
      <c r="A509" t="str">
        <f>_xlfn.CONCAT(Tableau1[[#This Row],[Athletes]],"_",Tableau1[[#This Row],[Nationality]],"_",Tableau1[[#This Row],[Competition_year]])</f>
        <v>Gabriel TUAL_FRA_2021</v>
      </c>
      <c r="B509" s="9" t="s">
        <v>180</v>
      </c>
      <c r="C509" s="9" t="s">
        <v>14</v>
      </c>
      <c r="D509" s="12" t="s">
        <v>17</v>
      </c>
      <c r="E509" s="9">
        <v>12.8</v>
      </c>
      <c r="F509" s="9">
        <v>12.3</v>
      </c>
      <c r="G509" s="9">
        <v>13.2</v>
      </c>
      <c r="H509" s="9">
        <v>13.1</v>
      </c>
      <c r="I509" s="9">
        <v>13.7</v>
      </c>
      <c r="J509" s="9">
        <v>13.1</v>
      </c>
      <c r="K509" s="9">
        <v>13.4</v>
      </c>
      <c r="L509">
        <f>Tableau1[[#This Row],[Final_time]]-SUM(Tableau1[[#This Row],[0_100m]:[600_700m]])</f>
        <v>13.450000000000003</v>
      </c>
      <c r="M509" s="9">
        <v>105.05</v>
      </c>
      <c r="N509">
        <f>SUM(Tableau1[[#This Row],[0_100m]:[700_800m]])</f>
        <v>105.05</v>
      </c>
      <c r="O509">
        <f>ABS(Tableau1[[#This Row],[Final_time]]-Tableau1[[#This Row],[Sum_time]])</f>
        <v>0</v>
      </c>
      <c r="P509" s="8"/>
      <c r="Q509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09" t="s">
        <v>484</v>
      </c>
      <c r="S509" s="1" t="s">
        <v>68</v>
      </c>
      <c r="U509" s="1" t="s">
        <v>69</v>
      </c>
      <c r="V509" s="1">
        <v>44436</v>
      </c>
      <c r="W509" s="4">
        <f>YEAR(Tableau1[[#This Row],[Competition_date]])</f>
        <v>2021</v>
      </c>
      <c r="X509" s="4">
        <v>21</v>
      </c>
      <c r="Y509" s="6">
        <v>0.56999999999999995</v>
      </c>
      <c r="Z509" s="4" t="s">
        <v>80</v>
      </c>
      <c r="AA509" t="s">
        <v>176</v>
      </c>
    </row>
    <row r="510" spans="1:27" hidden="1" x14ac:dyDescent="0.35">
      <c r="A510" t="str">
        <f>_xlfn.CONCAT(Tableau1[[#This Row],[Athletes]],"_",Tableau1[[#This Row],[Nationality]],"_",Tableau1[[#This Row],[Competition_year]])</f>
        <v>Amel TUKA_BIH_2021</v>
      </c>
      <c r="B510" s="9" t="s">
        <v>196</v>
      </c>
      <c r="C510" s="9" t="s">
        <v>14</v>
      </c>
      <c r="D510" s="12" t="s">
        <v>120</v>
      </c>
      <c r="E510" s="9">
        <v>12.9</v>
      </c>
      <c r="F510" s="9">
        <v>12.5</v>
      </c>
      <c r="G510" s="9">
        <v>13.1</v>
      </c>
      <c r="H510" s="9">
        <v>13.1</v>
      </c>
      <c r="I510" s="9">
        <v>13.7</v>
      </c>
      <c r="J510" s="9">
        <v>13.2</v>
      </c>
      <c r="K510" s="9">
        <v>13.5</v>
      </c>
      <c r="L510">
        <f>Tableau1[[#This Row],[Final_time]]-SUM(Tableau1[[#This Row],[0_100m]:[600_700m]])</f>
        <v>13.370000000000005</v>
      </c>
      <c r="M510" s="9">
        <v>105.37</v>
      </c>
      <c r="N510">
        <f>SUM(Tableau1[[#This Row],[0_100m]:[700_800m]])</f>
        <v>105.37</v>
      </c>
      <c r="O510">
        <f>ABS(Tableau1[[#This Row],[Final_time]]-Tableau1[[#This Row],[Sum_time]])</f>
        <v>0</v>
      </c>
      <c r="P510" s="8"/>
      <c r="Q510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10" t="s">
        <v>484</v>
      </c>
      <c r="S510" s="1" t="s">
        <v>68</v>
      </c>
      <c r="U510" s="1" t="s">
        <v>69</v>
      </c>
      <c r="V510" s="1">
        <v>44436</v>
      </c>
      <c r="W510" s="4">
        <f>YEAR(Tableau1[[#This Row],[Competition_date]])</f>
        <v>2021</v>
      </c>
      <c r="X510" s="4">
        <v>21</v>
      </c>
      <c r="Y510" s="6">
        <v>0.56999999999999995</v>
      </c>
      <c r="Z510" s="4" t="s">
        <v>80</v>
      </c>
      <c r="AA510" t="s">
        <v>176</v>
      </c>
    </row>
    <row r="511" spans="1:27" hidden="1" x14ac:dyDescent="0.35">
      <c r="A511" t="str">
        <f>_xlfn.CONCAT(Tableau1[[#This Row],[Athletes]],"_",Tableau1[[#This Row],[Nationality]],"_",Tableau1[[#This Row],[Competition_year]])</f>
        <v>Adrián BEN_ESP_2021</v>
      </c>
      <c r="B511" s="9" t="s">
        <v>184</v>
      </c>
      <c r="C511" s="9" t="s">
        <v>14</v>
      </c>
      <c r="D511" s="12" t="s">
        <v>37</v>
      </c>
      <c r="E511" s="9">
        <v>13.7</v>
      </c>
      <c r="F511" s="9">
        <v>12.5</v>
      </c>
      <c r="G511" s="9">
        <v>12.9</v>
      </c>
      <c r="H511" s="9">
        <v>13.1</v>
      </c>
      <c r="I511" s="9">
        <v>13.4</v>
      </c>
      <c r="J511" s="9">
        <v>13.2</v>
      </c>
      <c r="K511" s="9">
        <v>13.3</v>
      </c>
      <c r="L511">
        <f>Tableau1[[#This Row],[Final_time]]-SUM(Tableau1[[#This Row],[0_100m]:[600_700m]])</f>
        <v>13.299999999999997</v>
      </c>
      <c r="M511" s="9">
        <v>105.4</v>
      </c>
      <c r="N511">
        <f>SUM(Tableau1[[#This Row],[0_100m]:[700_800m]])</f>
        <v>105.4</v>
      </c>
      <c r="O511">
        <f>ABS(Tableau1[[#This Row],[Final_time]]-Tableau1[[#This Row],[Sum_time]])</f>
        <v>0</v>
      </c>
      <c r="P511" s="8"/>
      <c r="Q511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11" t="s">
        <v>484</v>
      </c>
      <c r="S511" s="1" t="s">
        <v>68</v>
      </c>
      <c r="U511" s="1" t="s">
        <v>69</v>
      </c>
      <c r="V511" s="1">
        <v>44436</v>
      </c>
      <c r="W511" s="4">
        <f>YEAR(Tableau1[[#This Row],[Competition_date]])</f>
        <v>2021</v>
      </c>
      <c r="X511" s="4">
        <v>21</v>
      </c>
      <c r="Y511" s="6">
        <v>0.56999999999999995</v>
      </c>
      <c r="Z511" s="4" t="s">
        <v>80</v>
      </c>
      <c r="AA511" t="s">
        <v>176</v>
      </c>
    </row>
    <row r="512" spans="1:27" hidden="1" x14ac:dyDescent="0.35">
      <c r="A512" t="str">
        <f>_xlfn.CONCAT(Tableau1[[#This Row],[Athletes]],"_",Tableau1[[#This Row],[Nationality]],"_",Tableau1[[#This Row],[Competition_year]])</f>
        <v>Clayton MURPHY_USA_2021</v>
      </c>
      <c r="B512" s="9" t="s">
        <v>203</v>
      </c>
      <c r="C512" s="9" t="s">
        <v>14</v>
      </c>
      <c r="D512" s="12" t="s">
        <v>35</v>
      </c>
      <c r="E512" s="9">
        <v>13.2</v>
      </c>
      <c r="F512" s="9">
        <v>11.9</v>
      </c>
      <c r="G512" s="9">
        <v>12.7</v>
      </c>
      <c r="H512" s="9">
        <v>12.9</v>
      </c>
      <c r="I512" s="9">
        <v>13.6</v>
      </c>
      <c r="J512" s="9">
        <v>13.7</v>
      </c>
      <c r="K512" s="9">
        <v>13.4</v>
      </c>
      <c r="L512">
        <f>Tableau1[[#This Row],[Final_time]]-SUM(Tableau1[[#This Row],[0_100m]:[600_700m]])</f>
        <v>14.199999999999989</v>
      </c>
      <c r="M512" s="9">
        <v>105.6</v>
      </c>
      <c r="N512">
        <f>SUM(Tableau1[[#This Row],[0_100m]:[700_800m]])</f>
        <v>105.6</v>
      </c>
      <c r="O512">
        <f>ABS(Tableau1[[#This Row],[Final_time]]-Tableau1[[#This Row],[Sum_time]])</f>
        <v>0</v>
      </c>
      <c r="P512" s="8"/>
      <c r="Q512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12" t="s">
        <v>484</v>
      </c>
      <c r="S512" s="1" t="s">
        <v>68</v>
      </c>
      <c r="U512" s="1" t="s">
        <v>69</v>
      </c>
      <c r="V512" s="1">
        <v>44436</v>
      </c>
      <c r="W512" s="4">
        <f>YEAR(Tableau1[[#This Row],[Competition_date]])</f>
        <v>2021</v>
      </c>
      <c r="X512" s="4">
        <v>21</v>
      </c>
      <c r="Y512" s="6">
        <v>0.56999999999999995</v>
      </c>
      <c r="Z512" s="4" t="s">
        <v>80</v>
      </c>
      <c r="AA512" t="s">
        <v>176</v>
      </c>
    </row>
    <row r="513" spans="1:27" hidden="1" x14ac:dyDescent="0.35">
      <c r="A513" t="str">
        <f>_xlfn.CONCAT(Tableau1[[#This Row],[Athletes]],"_",Tableau1[[#This Row],[Nationality]],"_",Tableau1[[#This Row],[Competition_year]])</f>
        <v>Patryk DOBEK_POL_2021</v>
      </c>
      <c r="B513" s="9" t="s">
        <v>253</v>
      </c>
      <c r="C513" s="9" t="s">
        <v>14</v>
      </c>
      <c r="D513" s="12" t="s">
        <v>88</v>
      </c>
      <c r="E513" s="9">
        <v>13.3</v>
      </c>
      <c r="F513" s="9">
        <v>12.6</v>
      </c>
      <c r="G513" s="9">
        <v>13.1</v>
      </c>
      <c r="H513" s="9">
        <v>12.9</v>
      </c>
      <c r="I513" s="9">
        <v>13.7</v>
      </c>
      <c r="J513" s="9">
        <v>13.5</v>
      </c>
      <c r="K513" s="9">
        <v>14.1</v>
      </c>
      <c r="L513">
        <f>Tableau1[[#This Row],[Final_time]]-SUM(Tableau1[[#This Row],[0_100m]:[600_700m]])</f>
        <v>15.170000000000016</v>
      </c>
      <c r="M513" s="9">
        <v>108.37</v>
      </c>
      <c r="N513">
        <f>SUM(Tableau1[[#This Row],[0_100m]:[700_800m]])</f>
        <v>108.37</v>
      </c>
      <c r="O513">
        <f>ABS(Tableau1[[#This Row],[Final_time]]-Tableau1[[#This Row],[Sum_time]])</f>
        <v>0</v>
      </c>
      <c r="P513" s="8"/>
      <c r="Q513" s="16" t="str">
        <f>_xlfn.CONCAT(Tableau1[[#This Row],[Competition]],"_",Tableau1[[#This Row],[Championship_step]],"_",Tableau1[[#This Row],[Competition_date]],"_",Tableau1[[#This Row],[Gender]])</f>
        <v>Diamond League Paris 2021__44436_Male</v>
      </c>
      <c r="R513" t="s">
        <v>484</v>
      </c>
      <c r="S513" s="1" t="s">
        <v>68</v>
      </c>
      <c r="U513" s="1" t="s">
        <v>69</v>
      </c>
      <c r="V513" s="1">
        <v>44436</v>
      </c>
      <c r="W513" s="4">
        <f>YEAR(Tableau1[[#This Row],[Competition_date]])</f>
        <v>2021</v>
      </c>
      <c r="X513" s="4">
        <v>21</v>
      </c>
      <c r="Y513" s="6">
        <v>0.56999999999999995</v>
      </c>
      <c r="Z513" s="4" t="s">
        <v>80</v>
      </c>
      <c r="AA513" t="s">
        <v>176</v>
      </c>
    </row>
    <row r="514" spans="1:27" hidden="1" x14ac:dyDescent="0.35">
      <c r="A514" t="str">
        <f>_xlfn.CONCAT(Tableau1[[#This Row],[Athletes]],"_",Tableau1[[#This Row],[Nationality]],"_",Tableau1[[#This Row],[Competition_year]])</f>
        <v>Benjamin ROBERT_FRA_2022</v>
      </c>
      <c r="B514" s="9" t="s">
        <v>111</v>
      </c>
      <c r="C514" s="9" t="s">
        <v>14</v>
      </c>
      <c r="D514" s="12" t="s">
        <v>17</v>
      </c>
      <c r="E514" s="9">
        <v>12.5</v>
      </c>
      <c r="F514" s="9">
        <v>12</v>
      </c>
      <c r="G514" s="9">
        <v>12.9</v>
      </c>
      <c r="H514" s="9">
        <v>13</v>
      </c>
      <c r="I514" s="9">
        <v>13.3</v>
      </c>
      <c r="J514" s="9">
        <v>13.3</v>
      </c>
      <c r="K514" s="9">
        <v>13.4</v>
      </c>
      <c r="L514">
        <f>Tableau1[[#This Row],[Final_time]]-SUM(Tableau1[[#This Row],[0_100m]:[600_700m]])</f>
        <v>13.349999999999994</v>
      </c>
      <c r="M514" s="9">
        <v>103.75</v>
      </c>
      <c r="N514">
        <f>SUM(Tableau1[[#This Row],[0_100m]:[700_800m]])</f>
        <v>103.75</v>
      </c>
      <c r="O514">
        <f>ABS(Tableau1[[#This Row],[Final_time]]-Tableau1[[#This Row],[Sum_time]])</f>
        <v>0</v>
      </c>
      <c r="P514" s="8"/>
      <c r="Q514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14" t="s">
        <v>385</v>
      </c>
      <c r="S514" s="1" t="s">
        <v>68</v>
      </c>
      <c r="U514" s="1" t="s">
        <v>69</v>
      </c>
      <c r="V514" s="1">
        <v>44730</v>
      </c>
      <c r="W514" s="4">
        <f>YEAR(Tableau1[[#This Row],[Competition_date]])</f>
        <v>2022</v>
      </c>
      <c r="X514" s="4">
        <v>32</v>
      </c>
      <c r="Y514" s="6">
        <v>0.4</v>
      </c>
      <c r="Z514" s="4" t="s">
        <v>79</v>
      </c>
      <c r="AA514" t="s">
        <v>176</v>
      </c>
    </row>
    <row r="515" spans="1:27" hidden="1" x14ac:dyDescent="0.35">
      <c r="A515" t="str">
        <f>_xlfn.CONCAT(Tableau1[[#This Row],[Athletes]],"_",Tableau1[[#This Row],[Nationality]],"_",Tableau1[[#This Row],[Competition_year]])</f>
        <v>Peter BOL_AUS_2022</v>
      </c>
      <c r="B515" s="9" t="s">
        <v>127</v>
      </c>
      <c r="C515" s="9" t="s">
        <v>14</v>
      </c>
      <c r="D515" s="12" t="s">
        <v>36</v>
      </c>
      <c r="E515" s="9">
        <v>12.7</v>
      </c>
      <c r="F515" s="9">
        <v>12</v>
      </c>
      <c r="G515" s="9">
        <v>13.1</v>
      </c>
      <c r="H515" s="9">
        <v>13</v>
      </c>
      <c r="I515" s="9">
        <v>13.3</v>
      </c>
      <c r="J515" s="9">
        <v>13.1</v>
      </c>
      <c r="K515" s="9">
        <v>13.3</v>
      </c>
      <c r="L515">
        <f>Tableau1[[#This Row],[Final_time]]-SUM(Tableau1[[#This Row],[0_100m]:[600_700m]])</f>
        <v>13.500000000000014</v>
      </c>
      <c r="M515" s="9">
        <v>104</v>
      </c>
      <c r="N515">
        <f>SUM(Tableau1[[#This Row],[0_100m]:[700_800m]])</f>
        <v>104</v>
      </c>
      <c r="O515">
        <f>ABS(Tableau1[[#This Row],[Final_time]]-Tableau1[[#This Row],[Sum_time]])</f>
        <v>0</v>
      </c>
      <c r="P515" s="8"/>
      <c r="Q515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15" t="s">
        <v>385</v>
      </c>
      <c r="S515" s="1" t="s">
        <v>68</v>
      </c>
      <c r="U515" s="1" t="s">
        <v>69</v>
      </c>
      <c r="V515" s="1">
        <v>44730</v>
      </c>
      <c r="W515" s="4">
        <f>YEAR(Tableau1[[#This Row],[Competition_date]])</f>
        <v>2022</v>
      </c>
      <c r="X515" s="4">
        <v>32</v>
      </c>
      <c r="Y515" s="6">
        <v>0.4</v>
      </c>
      <c r="Z515" s="4" t="s">
        <v>79</v>
      </c>
      <c r="AA515" t="s">
        <v>176</v>
      </c>
    </row>
    <row r="516" spans="1:27" hidden="1" x14ac:dyDescent="0.35">
      <c r="A516" t="str">
        <f>_xlfn.CONCAT(Tableau1[[#This Row],[Athletes]],"_",Tableau1[[#This Row],[Nationality]],"_",Tableau1[[#This Row],[Competition_year]])</f>
        <v>Tony VAN DIEPEN_NED_2022</v>
      </c>
      <c r="B516" s="9" t="s">
        <v>247</v>
      </c>
      <c r="C516" s="9" t="s">
        <v>14</v>
      </c>
      <c r="D516" s="12" t="s">
        <v>158</v>
      </c>
      <c r="E516" s="9">
        <v>12.7</v>
      </c>
      <c r="F516" s="9">
        <v>11.7</v>
      </c>
      <c r="G516" s="9">
        <v>12.8</v>
      </c>
      <c r="H516" s="9">
        <v>12.9</v>
      </c>
      <c r="I516" s="9">
        <v>13.2</v>
      </c>
      <c r="J516" s="9">
        <v>13.3</v>
      </c>
      <c r="K516" s="9">
        <v>13.3</v>
      </c>
      <c r="L516">
        <f>Tableau1[[#This Row],[Final_time]]-SUM(Tableau1[[#This Row],[0_100m]:[600_700m]])</f>
        <v>14.240000000000009</v>
      </c>
      <c r="M516" s="9">
        <v>104.14</v>
      </c>
      <c r="N516">
        <f>SUM(Tableau1[[#This Row],[0_100m]:[700_800m]])</f>
        <v>104.14</v>
      </c>
      <c r="O516">
        <f>ABS(Tableau1[[#This Row],[Final_time]]-Tableau1[[#This Row],[Sum_time]])</f>
        <v>0</v>
      </c>
      <c r="P516" s="8"/>
      <c r="Q516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16" t="s">
        <v>385</v>
      </c>
      <c r="S516" s="1" t="s">
        <v>68</v>
      </c>
      <c r="U516" s="1" t="s">
        <v>69</v>
      </c>
      <c r="V516" s="1">
        <v>44730</v>
      </c>
      <c r="W516" s="4">
        <f>YEAR(Tableau1[[#This Row],[Competition_date]])</f>
        <v>2022</v>
      </c>
      <c r="X516" s="4">
        <v>32</v>
      </c>
      <c r="Y516" s="6">
        <v>0.4</v>
      </c>
      <c r="Z516" s="4" t="s">
        <v>79</v>
      </c>
      <c r="AA516" t="s">
        <v>176</v>
      </c>
    </row>
    <row r="517" spans="1:27" hidden="1" x14ac:dyDescent="0.35">
      <c r="A517" t="str">
        <f>_xlfn.CONCAT(Tableau1[[#This Row],[Athletes]],"_",Tableau1[[#This Row],[Nationality]],"_",Tableau1[[#This Row],[Competition_year]])</f>
        <v>Gabriel TUAL_FRA_2022</v>
      </c>
      <c r="B517" s="9" t="s">
        <v>180</v>
      </c>
      <c r="C517" s="9" t="s">
        <v>14</v>
      </c>
      <c r="D517" s="12" t="s">
        <v>17</v>
      </c>
      <c r="E517" s="9">
        <v>12.4</v>
      </c>
      <c r="F517" s="9">
        <v>11.9</v>
      </c>
      <c r="G517" s="9">
        <v>12.7</v>
      </c>
      <c r="H517" s="9">
        <v>12.9</v>
      </c>
      <c r="I517" s="9">
        <v>13.2</v>
      </c>
      <c r="J517" s="9">
        <v>13.3</v>
      </c>
      <c r="K517" s="9">
        <v>13.3</v>
      </c>
      <c r="L517">
        <f>Tableau1[[#This Row],[Final_time]]-SUM(Tableau1[[#This Row],[0_100m]:[600_700m]])</f>
        <v>14.530000000000015</v>
      </c>
      <c r="M517" s="9">
        <v>104.23</v>
      </c>
      <c r="N517">
        <f>SUM(Tableau1[[#This Row],[0_100m]:[700_800m]])</f>
        <v>104.23</v>
      </c>
      <c r="O517">
        <f>ABS(Tableau1[[#This Row],[Final_time]]-Tableau1[[#This Row],[Sum_time]])</f>
        <v>0</v>
      </c>
      <c r="P517" s="8"/>
      <c r="Q517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17" t="s">
        <v>385</v>
      </c>
      <c r="S517" s="1" t="s">
        <v>68</v>
      </c>
      <c r="U517" s="1" t="s">
        <v>69</v>
      </c>
      <c r="V517" s="1">
        <v>44730</v>
      </c>
      <c r="W517" s="4">
        <f>YEAR(Tableau1[[#This Row],[Competition_date]])</f>
        <v>2022</v>
      </c>
      <c r="X517" s="4">
        <v>32</v>
      </c>
      <c r="Y517" s="6">
        <v>0.4</v>
      </c>
      <c r="Z517" s="4" t="s">
        <v>79</v>
      </c>
      <c r="AA517" t="s">
        <v>176</v>
      </c>
    </row>
    <row r="518" spans="1:27" hidden="1" x14ac:dyDescent="0.35">
      <c r="A518" t="str">
        <f>_xlfn.CONCAT(Tableau1[[#This Row],[Athletes]],"_",Tableau1[[#This Row],[Nationality]],"_",Tableau1[[#This Row],[Competition_year]])</f>
        <v>Mohamed Ali GOUANED_ALG_2022</v>
      </c>
      <c r="B518" s="9" t="s">
        <v>381</v>
      </c>
      <c r="C518" s="9" t="s">
        <v>14</v>
      </c>
      <c r="D518" s="12" t="s">
        <v>24</v>
      </c>
      <c r="E518" s="9">
        <v>12.8</v>
      </c>
      <c r="F518" s="9">
        <v>12</v>
      </c>
      <c r="G518" s="9">
        <v>12.8</v>
      </c>
      <c r="H518" s="9">
        <v>13.1</v>
      </c>
      <c r="I518" s="9">
        <v>13.2</v>
      </c>
      <c r="J518" s="9">
        <v>13.2</v>
      </c>
      <c r="K518" s="9">
        <v>13.2</v>
      </c>
      <c r="L518">
        <f>Tableau1[[#This Row],[Final_time]]-SUM(Tableau1[[#This Row],[0_100m]:[600_700m]])</f>
        <v>14.129999999999995</v>
      </c>
      <c r="M518" s="9">
        <v>104.43</v>
      </c>
      <c r="N518">
        <f>SUM(Tableau1[[#This Row],[0_100m]:[700_800m]])</f>
        <v>104.43</v>
      </c>
      <c r="O518">
        <f>ABS(Tableau1[[#This Row],[Final_time]]-Tableau1[[#This Row],[Sum_time]])</f>
        <v>0</v>
      </c>
      <c r="P518" s="8"/>
      <c r="Q518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18" t="s">
        <v>385</v>
      </c>
      <c r="S518" s="1" t="s">
        <v>68</v>
      </c>
      <c r="U518" s="1" t="s">
        <v>69</v>
      </c>
      <c r="V518" s="1">
        <v>44730</v>
      </c>
      <c r="W518" s="4">
        <f>YEAR(Tableau1[[#This Row],[Competition_date]])</f>
        <v>2022</v>
      </c>
      <c r="X518" s="4">
        <v>32</v>
      </c>
      <c r="Y518" s="6">
        <v>0.4</v>
      </c>
      <c r="Z518" s="4" t="s">
        <v>79</v>
      </c>
      <c r="AA518" t="s">
        <v>176</v>
      </c>
    </row>
    <row r="519" spans="1:27" hidden="1" x14ac:dyDescent="0.35">
      <c r="A519" t="str">
        <f>_xlfn.CONCAT(Tableau1[[#This Row],[Athletes]],"_",Tableau1[[#This Row],[Nationality]],"_",Tableau1[[#This Row],[Competition_year]])</f>
        <v>Pierre-Ambroise BOSSE_FRA_2022</v>
      </c>
      <c r="B519" s="9" t="s">
        <v>382</v>
      </c>
      <c r="C519" s="9" t="s">
        <v>14</v>
      </c>
      <c r="D519" s="12" t="s">
        <v>17</v>
      </c>
      <c r="E519" s="9">
        <v>12.6</v>
      </c>
      <c r="F519" s="9">
        <v>11.9</v>
      </c>
      <c r="G519" s="9">
        <v>13</v>
      </c>
      <c r="H519" s="9">
        <v>13</v>
      </c>
      <c r="I519" s="9">
        <v>13.4</v>
      </c>
      <c r="J519" s="9">
        <v>13.3</v>
      </c>
      <c r="K519" s="9">
        <v>13.4</v>
      </c>
      <c r="L519">
        <f>Tableau1[[#This Row],[Final_time]]-SUM(Tableau1[[#This Row],[0_100m]:[600_700m]])</f>
        <v>13.939999999999998</v>
      </c>
      <c r="M519" s="9">
        <v>104.54</v>
      </c>
      <c r="N519">
        <f>SUM(Tableau1[[#This Row],[0_100m]:[700_800m]])</f>
        <v>104.54</v>
      </c>
      <c r="O519">
        <f>ABS(Tableau1[[#This Row],[Final_time]]-Tableau1[[#This Row],[Sum_time]])</f>
        <v>0</v>
      </c>
      <c r="P519" s="8"/>
      <c r="Q519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19" t="s">
        <v>385</v>
      </c>
      <c r="S519" s="1" t="s">
        <v>68</v>
      </c>
      <c r="U519" s="1" t="s">
        <v>69</v>
      </c>
      <c r="V519" s="1">
        <v>44730</v>
      </c>
      <c r="W519" s="4">
        <f>YEAR(Tableau1[[#This Row],[Competition_date]])</f>
        <v>2022</v>
      </c>
      <c r="X519" s="4">
        <v>32</v>
      </c>
      <c r="Y519" s="6">
        <v>0.4</v>
      </c>
      <c r="Z519" s="4" t="s">
        <v>79</v>
      </c>
      <c r="AA519" t="s">
        <v>176</v>
      </c>
    </row>
    <row r="520" spans="1:27" hidden="1" x14ac:dyDescent="0.35">
      <c r="A520" t="str">
        <f>_xlfn.CONCAT(Tableau1[[#This Row],[Athletes]],"_",Tableau1[[#This Row],[Nationality]],"_",Tableau1[[#This Row],[Competition_year]])</f>
        <v>Andreas KRAMER_SWE_2022</v>
      </c>
      <c r="B520" s="9" t="s">
        <v>186</v>
      </c>
      <c r="C520" s="9" t="s">
        <v>14</v>
      </c>
      <c r="D520" s="12" t="s">
        <v>28</v>
      </c>
      <c r="E520" s="9">
        <v>12.5</v>
      </c>
      <c r="F520" s="9">
        <v>12.1</v>
      </c>
      <c r="G520" s="9">
        <v>12.9</v>
      </c>
      <c r="H520" s="9">
        <v>12.9</v>
      </c>
      <c r="I520" s="9">
        <v>13.2</v>
      </c>
      <c r="J520" s="9">
        <v>13.1</v>
      </c>
      <c r="K520" s="9">
        <v>13.5</v>
      </c>
      <c r="L520">
        <f>Tableau1[[#This Row],[Final_time]]-SUM(Tableau1[[#This Row],[0_100m]:[600_700m]])</f>
        <v>14.550000000000011</v>
      </c>
      <c r="M520" s="9">
        <v>104.75</v>
      </c>
      <c r="N520">
        <f>SUM(Tableau1[[#This Row],[0_100m]:[700_800m]])</f>
        <v>104.75</v>
      </c>
      <c r="O520">
        <f>ABS(Tableau1[[#This Row],[Final_time]]-Tableau1[[#This Row],[Sum_time]])</f>
        <v>0</v>
      </c>
      <c r="P520" s="8"/>
      <c r="Q520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20" t="s">
        <v>385</v>
      </c>
      <c r="S520" s="1" t="s">
        <v>68</v>
      </c>
      <c r="U520" s="1" t="s">
        <v>69</v>
      </c>
      <c r="V520" s="1">
        <v>44730</v>
      </c>
      <c r="W520" s="4">
        <f>YEAR(Tableau1[[#This Row],[Competition_date]])</f>
        <v>2022</v>
      </c>
      <c r="X520" s="4">
        <v>32</v>
      </c>
      <c r="Y520" s="6">
        <v>0.4</v>
      </c>
      <c r="Z520" s="4" t="s">
        <v>79</v>
      </c>
      <c r="AA520" t="s">
        <v>176</v>
      </c>
    </row>
    <row r="521" spans="1:27" hidden="1" x14ac:dyDescent="0.35">
      <c r="A521" t="str">
        <f>_xlfn.CONCAT(Tableau1[[#This Row],[Athletes]],"_",Tableau1[[#This Row],[Nationality]],"_",Tableau1[[#This Row],[Competition_year]])</f>
        <v>Patryk DOBEK_POL_2022</v>
      </c>
      <c r="B521" s="9" t="s">
        <v>253</v>
      </c>
      <c r="C521" s="9" t="s">
        <v>14</v>
      </c>
      <c r="D521" s="12" t="s">
        <v>88</v>
      </c>
      <c r="E521" s="9">
        <v>13.1</v>
      </c>
      <c r="F521" s="9">
        <v>12</v>
      </c>
      <c r="G521" s="9">
        <v>13.1</v>
      </c>
      <c r="H521" s="9">
        <v>13.2</v>
      </c>
      <c r="I521" s="9">
        <v>13.5</v>
      </c>
      <c r="J521" s="9">
        <v>13.1</v>
      </c>
      <c r="K521" s="9">
        <v>13.3</v>
      </c>
      <c r="L521">
        <f>Tableau1[[#This Row],[Final_time]]-SUM(Tableau1[[#This Row],[0_100m]:[600_700m]])</f>
        <v>13.850000000000009</v>
      </c>
      <c r="M521" s="9">
        <v>105.15</v>
      </c>
      <c r="N521">
        <f>SUM(Tableau1[[#This Row],[0_100m]:[700_800m]])</f>
        <v>105.15</v>
      </c>
      <c r="O521">
        <f>ABS(Tableau1[[#This Row],[Final_time]]-Tableau1[[#This Row],[Sum_time]])</f>
        <v>0</v>
      </c>
      <c r="P521" s="8"/>
      <c r="Q521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21" t="s">
        <v>385</v>
      </c>
      <c r="S521" s="1" t="s">
        <v>68</v>
      </c>
      <c r="U521" s="1" t="s">
        <v>69</v>
      </c>
      <c r="V521" s="1">
        <v>44730</v>
      </c>
      <c r="W521" s="4">
        <f>YEAR(Tableau1[[#This Row],[Competition_date]])</f>
        <v>2022</v>
      </c>
      <c r="X521" s="4">
        <v>32</v>
      </c>
      <c r="Y521" s="6">
        <v>0.4</v>
      </c>
      <c r="Z521" s="4" t="s">
        <v>79</v>
      </c>
      <c r="AA521" t="s">
        <v>176</v>
      </c>
    </row>
    <row r="522" spans="1:27" hidden="1" x14ac:dyDescent="0.35">
      <c r="A522" t="str">
        <f>_xlfn.CONCAT(Tableau1[[#This Row],[Athletes]],"_",Tableau1[[#This Row],[Nationality]],"_",Tableau1[[#This Row],[Competition_year]])</f>
        <v>Elliot GILES_GBR_2022</v>
      </c>
      <c r="B522" s="9" t="s">
        <v>383</v>
      </c>
      <c r="C522" s="9" t="s">
        <v>14</v>
      </c>
      <c r="D522" s="12" t="s">
        <v>30</v>
      </c>
      <c r="E522" s="9">
        <v>12.7</v>
      </c>
      <c r="F522" s="9">
        <v>12</v>
      </c>
      <c r="G522" s="9">
        <v>13.2</v>
      </c>
      <c r="H522" s="9">
        <v>13.1</v>
      </c>
      <c r="I522" s="9">
        <v>13.4</v>
      </c>
      <c r="J522" s="9">
        <v>13.4</v>
      </c>
      <c r="K522" s="9">
        <v>13.5</v>
      </c>
      <c r="L522">
        <f>Tableau1[[#This Row],[Final_time]]-SUM(Tableau1[[#This Row],[0_100m]:[600_700m]])</f>
        <v>14.639999999999986</v>
      </c>
      <c r="M522" s="9">
        <v>105.94</v>
      </c>
      <c r="N522">
        <f>SUM(Tableau1[[#This Row],[0_100m]:[700_800m]])</f>
        <v>105.94</v>
      </c>
      <c r="O522">
        <f>ABS(Tableau1[[#This Row],[Final_time]]-Tableau1[[#This Row],[Sum_time]])</f>
        <v>0</v>
      </c>
      <c r="P522" s="8"/>
      <c r="Q522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22" t="s">
        <v>385</v>
      </c>
      <c r="S522" s="1" t="s">
        <v>68</v>
      </c>
      <c r="U522" s="1" t="s">
        <v>69</v>
      </c>
      <c r="V522" s="1">
        <v>44730</v>
      </c>
      <c r="W522" s="4">
        <f>YEAR(Tableau1[[#This Row],[Competition_date]])</f>
        <v>2022</v>
      </c>
      <c r="X522" s="4">
        <v>32</v>
      </c>
      <c r="Y522" s="6">
        <v>0.4</v>
      </c>
      <c r="Z522" s="4" t="s">
        <v>79</v>
      </c>
      <c r="AA522" t="s">
        <v>176</v>
      </c>
    </row>
    <row r="523" spans="1:27" hidden="1" x14ac:dyDescent="0.35">
      <c r="A523" t="str">
        <f>_xlfn.CONCAT(Tableau1[[#This Row],[Athletes]],"_",Tableau1[[#This Row],[Nationality]],"_",Tableau1[[#This Row],[Competition_year]])</f>
        <v>Amel TUKA_BIH_2022</v>
      </c>
      <c r="B523" s="9" t="s">
        <v>196</v>
      </c>
      <c r="C523" s="9" t="s">
        <v>14</v>
      </c>
      <c r="D523" s="12" t="s">
        <v>120</v>
      </c>
      <c r="E523" s="9">
        <v>12.8</v>
      </c>
      <c r="F523" s="9">
        <v>12.3</v>
      </c>
      <c r="G523" s="9">
        <v>12.8</v>
      </c>
      <c r="H523" s="9">
        <v>13.2</v>
      </c>
      <c r="I523" s="9">
        <v>13.5</v>
      </c>
      <c r="J523" s="9">
        <v>13.4</v>
      </c>
      <c r="K523" s="9">
        <v>13.9</v>
      </c>
      <c r="L523">
        <f>Tableau1[[#This Row],[Final_time]]-SUM(Tableau1[[#This Row],[0_100m]:[600_700m]])</f>
        <v>14.979999999999976</v>
      </c>
      <c r="M523" s="9">
        <v>106.88</v>
      </c>
      <c r="N523">
        <f>SUM(Tableau1[[#This Row],[0_100m]:[700_800m]])</f>
        <v>106.88</v>
      </c>
      <c r="O523">
        <f>ABS(Tableau1[[#This Row],[Final_time]]-Tableau1[[#This Row],[Sum_time]])</f>
        <v>0</v>
      </c>
      <c r="P523" s="8"/>
      <c r="Q523" s="16" t="str">
        <f>_xlfn.CONCAT(Tableau1[[#This Row],[Competition]],"_",Tableau1[[#This Row],[Championship_step]],"_",Tableau1[[#This Row],[Competition_date]],"_",Tableau1[[#This Row],[Gender]])</f>
        <v>Diamond League Paris 2022__44730_Male</v>
      </c>
      <c r="R523" t="s">
        <v>385</v>
      </c>
      <c r="S523" s="1" t="s">
        <v>68</v>
      </c>
      <c r="U523" s="1" t="s">
        <v>69</v>
      </c>
      <c r="V523" s="1">
        <v>44730</v>
      </c>
      <c r="W523" s="4">
        <f>YEAR(Tableau1[[#This Row],[Competition_date]])</f>
        <v>2022</v>
      </c>
      <c r="X523" s="4">
        <v>32</v>
      </c>
      <c r="Y523" s="6">
        <v>0.4</v>
      </c>
      <c r="Z523" s="4" t="s">
        <v>79</v>
      </c>
      <c r="AA523" t="s">
        <v>176</v>
      </c>
    </row>
    <row r="524" spans="1:27" hidden="1" x14ac:dyDescent="0.35">
      <c r="A524" t="str">
        <f>_xlfn.CONCAT(Tableau1[[#This Row],[Athletes]],"_",Tableau1[[#This Row],[Nationality]],"_",Tableau1[[#This Row],[Competition_year]])</f>
        <v>Keely HODGKINSON_GBR_2023</v>
      </c>
      <c r="B524" t="s">
        <v>212</v>
      </c>
      <c r="C524" t="s">
        <v>29</v>
      </c>
      <c r="D524" s="18" t="s">
        <v>30</v>
      </c>
      <c r="E524">
        <v>13.4</v>
      </c>
      <c r="F524">
        <v>13.6</v>
      </c>
      <c r="G524">
        <v>15.1</v>
      </c>
      <c r="H524">
        <v>15.6</v>
      </c>
      <c r="I524">
        <v>14.5</v>
      </c>
      <c r="J524">
        <v>14.3</v>
      </c>
      <c r="K524">
        <v>14.3</v>
      </c>
      <c r="L524">
        <f>Tableau1[[#This Row],[Final_time]]-SUM(Tableau1[[#This Row],[0_100m]:[600_700m]])</f>
        <v>14.969999999999999</v>
      </c>
      <c r="M524">
        <v>115.77</v>
      </c>
      <c r="N524">
        <f>SUM(Tableau1[[#This Row],[0_100m]:[700_800m]])</f>
        <v>115.77</v>
      </c>
      <c r="O524">
        <f>ABS(Tableau1[[#This Row],[Final_time]]-Tableau1[[#This Row],[Sum_time]])</f>
        <v>0</v>
      </c>
      <c r="P524" s="8"/>
      <c r="Q524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24" t="s">
        <v>310</v>
      </c>
      <c r="S524" s="1" t="s">
        <v>68</v>
      </c>
      <c r="U524" s="1" t="s">
        <v>69</v>
      </c>
      <c r="V524" s="1">
        <v>45086</v>
      </c>
      <c r="W524" s="4">
        <f>YEAR(Tableau1[[#This Row],[Competition_date]])</f>
        <v>2023</v>
      </c>
      <c r="X524" s="4">
        <v>28</v>
      </c>
      <c r="Y524" s="6">
        <v>0.39</v>
      </c>
      <c r="Z524" s="4" t="s">
        <v>80</v>
      </c>
      <c r="AA524" t="s">
        <v>176</v>
      </c>
    </row>
    <row r="525" spans="1:27" hidden="1" x14ac:dyDescent="0.35">
      <c r="A525" t="str">
        <f>_xlfn.CONCAT(Tableau1[[#This Row],[Athletes]],"_",Tableau1[[#This Row],[Nationality]],"_",Tableau1[[#This Row],[Competition_year]])</f>
        <v>Ajee' WILSON_USA_2023</v>
      </c>
      <c r="B525" t="s">
        <v>549</v>
      </c>
      <c r="C525" t="s">
        <v>29</v>
      </c>
      <c r="D525" s="18" t="s">
        <v>35</v>
      </c>
      <c r="E525">
        <v>13.85</v>
      </c>
      <c r="F525">
        <v>13.35</v>
      </c>
      <c r="G525">
        <v>15.1</v>
      </c>
      <c r="H525">
        <v>15.6</v>
      </c>
      <c r="I525">
        <v>14.9</v>
      </c>
      <c r="J525">
        <v>14.7</v>
      </c>
      <c r="K525">
        <v>15.2</v>
      </c>
      <c r="L525">
        <f>Tableau1[[#This Row],[Final_time]]-SUM(Tableau1[[#This Row],[0_100m]:[600_700m]])</f>
        <v>15.459999999999994</v>
      </c>
      <c r="M525">
        <v>118.16</v>
      </c>
      <c r="N525">
        <f>SUM(Tableau1[[#This Row],[0_100m]:[700_800m]])</f>
        <v>118.16</v>
      </c>
      <c r="O525">
        <f>ABS(Tableau1[[#This Row],[Final_time]]-Tableau1[[#This Row],[Sum_time]])</f>
        <v>0</v>
      </c>
      <c r="P525" s="8"/>
      <c r="Q525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25" t="s">
        <v>310</v>
      </c>
      <c r="S525" s="1" t="s">
        <v>68</v>
      </c>
      <c r="U525" s="1" t="s">
        <v>69</v>
      </c>
      <c r="V525" s="1">
        <v>45086</v>
      </c>
      <c r="W525" s="4">
        <f>YEAR(Tableau1[[#This Row],[Competition_date]])</f>
        <v>2023</v>
      </c>
      <c r="X525" s="4">
        <v>28</v>
      </c>
      <c r="Y525" s="6">
        <v>0.39</v>
      </c>
      <c r="Z525" s="4" t="s">
        <v>80</v>
      </c>
      <c r="AA525" t="s">
        <v>176</v>
      </c>
    </row>
    <row r="526" spans="1:27" hidden="1" x14ac:dyDescent="0.35">
      <c r="A526" t="str">
        <f>_xlfn.CONCAT(Tableau1[[#This Row],[Athletes]],"_",Tableau1[[#This Row],[Nationality]],"_",Tableau1[[#This Row],[Competition_year]])</f>
        <v>Natoya GOULE-TOPPIN_JAM_2023</v>
      </c>
      <c r="B526" t="s">
        <v>222</v>
      </c>
      <c r="C526" t="s">
        <v>29</v>
      </c>
      <c r="D526" s="18" t="s">
        <v>33</v>
      </c>
      <c r="E526">
        <v>13.55</v>
      </c>
      <c r="F526">
        <v>13.55</v>
      </c>
      <c r="G526">
        <v>15.1</v>
      </c>
      <c r="H526">
        <v>15.6</v>
      </c>
      <c r="I526">
        <v>14.8</v>
      </c>
      <c r="J526">
        <v>14.8</v>
      </c>
      <c r="K526">
        <v>15.1</v>
      </c>
      <c r="L526">
        <f>Tableau1[[#This Row],[Final_time]]-SUM(Tableau1[[#This Row],[0_100m]:[600_700m]])</f>
        <v>15.730000000000004</v>
      </c>
      <c r="M526">
        <v>118.23</v>
      </c>
      <c r="N526">
        <f>SUM(Tableau1[[#This Row],[0_100m]:[700_800m]])</f>
        <v>118.23</v>
      </c>
      <c r="O526">
        <f>ABS(Tableau1[[#This Row],[Final_time]]-Tableau1[[#This Row],[Sum_time]])</f>
        <v>0</v>
      </c>
      <c r="P526" s="8"/>
      <c r="Q526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26" t="s">
        <v>310</v>
      </c>
      <c r="S526" s="1" t="s">
        <v>68</v>
      </c>
      <c r="U526" s="1" t="s">
        <v>69</v>
      </c>
      <c r="V526" s="1">
        <v>45086</v>
      </c>
      <c r="W526" s="4">
        <f>YEAR(Tableau1[[#This Row],[Competition_date]])</f>
        <v>2023</v>
      </c>
      <c r="X526" s="4">
        <v>28</v>
      </c>
      <c r="Y526" s="6">
        <v>0.39</v>
      </c>
      <c r="Z526" s="4" t="s">
        <v>80</v>
      </c>
      <c r="AA526" t="s">
        <v>176</v>
      </c>
    </row>
    <row r="527" spans="1:27" hidden="1" x14ac:dyDescent="0.35">
      <c r="A527" t="str">
        <f>_xlfn.CONCAT(Tableau1[[#This Row],[Athletes]],"_",Tableau1[[#This Row],[Nationality]],"_",Tableau1[[#This Row],[Competition_year]])</f>
        <v>Catriona BISSET_AUS_2023</v>
      </c>
      <c r="B527" t="s">
        <v>217</v>
      </c>
      <c r="C527" t="s">
        <v>29</v>
      </c>
      <c r="D527" s="18" t="s">
        <v>36</v>
      </c>
      <c r="E527">
        <v>14.15</v>
      </c>
      <c r="F527">
        <v>13.85</v>
      </c>
      <c r="G527">
        <v>15.1</v>
      </c>
      <c r="H527">
        <v>15.7</v>
      </c>
      <c r="I527">
        <v>15.1</v>
      </c>
      <c r="J527">
        <v>14.8</v>
      </c>
      <c r="K527">
        <v>14.7</v>
      </c>
      <c r="L527">
        <f>Tableau1[[#This Row],[Final_time]]-SUM(Tableau1[[#This Row],[0_100m]:[600_700m]])</f>
        <v>15.150000000000006</v>
      </c>
      <c r="M527">
        <v>118.55</v>
      </c>
      <c r="N527">
        <f>SUM(Tableau1[[#This Row],[0_100m]:[700_800m]])</f>
        <v>118.55</v>
      </c>
      <c r="O527">
        <f>ABS(Tableau1[[#This Row],[Final_time]]-Tableau1[[#This Row],[Sum_time]])</f>
        <v>0</v>
      </c>
      <c r="P527" s="8"/>
      <c r="Q527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27" t="s">
        <v>310</v>
      </c>
      <c r="S527" s="1" t="s">
        <v>68</v>
      </c>
      <c r="U527" s="1" t="s">
        <v>69</v>
      </c>
      <c r="V527" s="1">
        <v>45086</v>
      </c>
      <c r="W527" s="4">
        <f>YEAR(Tableau1[[#This Row],[Competition_date]])</f>
        <v>2023</v>
      </c>
      <c r="X527" s="4">
        <v>28</v>
      </c>
      <c r="Y527" s="6">
        <v>0.39</v>
      </c>
      <c r="Z527" s="4" t="s">
        <v>80</v>
      </c>
      <c r="AA527" t="s">
        <v>176</v>
      </c>
    </row>
    <row r="528" spans="1:27" hidden="1" x14ac:dyDescent="0.35">
      <c r="A528" t="str">
        <f>_xlfn.CONCAT(Tableau1[[#This Row],[Athletes]],"_",Tableau1[[#This Row],[Nationality]],"_",Tableau1[[#This Row],[Competition_year]])</f>
        <v>Noélie YARIGO_BEN_2023</v>
      </c>
      <c r="B528" t="s">
        <v>214</v>
      </c>
      <c r="C528" t="s">
        <v>29</v>
      </c>
      <c r="D528" s="18" t="s">
        <v>52</v>
      </c>
      <c r="E528">
        <v>13.65</v>
      </c>
      <c r="F528">
        <v>13.85</v>
      </c>
      <c r="G528">
        <v>15.2</v>
      </c>
      <c r="H528">
        <v>15.7</v>
      </c>
      <c r="I528">
        <v>15.1</v>
      </c>
      <c r="J528">
        <v>14.8</v>
      </c>
      <c r="K528">
        <v>14.8</v>
      </c>
      <c r="L528">
        <f>Tableau1[[#This Row],[Final_time]]-SUM(Tableau1[[#This Row],[0_100m]:[600_700m]])</f>
        <v>15.550000000000011</v>
      </c>
      <c r="M528">
        <v>118.65</v>
      </c>
      <c r="N528">
        <f>SUM(Tableau1[[#This Row],[0_100m]:[700_800m]])</f>
        <v>118.65</v>
      </c>
      <c r="O528">
        <f>ABS(Tableau1[[#This Row],[Final_time]]-Tableau1[[#This Row],[Sum_time]])</f>
        <v>0</v>
      </c>
      <c r="P528" s="8"/>
      <c r="Q528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28" t="s">
        <v>310</v>
      </c>
      <c r="S528" s="1" t="s">
        <v>68</v>
      </c>
      <c r="U528" s="1" t="s">
        <v>69</v>
      </c>
      <c r="V528" s="1">
        <v>45086</v>
      </c>
      <c r="W528" s="4">
        <f>YEAR(Tableau1[[#This Row],[Competition_date]])</f>
        <v>2023</v>
      </c>
      <c r="X528" s="4">
        <v>28</v>
      </c>
      <c r="Y528" s="6">
        <v>0.39</v>
      </c>
      <c r="Z528" s="4" t="s">
        <v>80</v>
      </c>
      <c r="AA528" t="s">
        <v>176</v>
      </c>
    </row>
    <row r="529" spans="1:27" hidden="1" x14ac:dyDescent="0.35">
      <c r="A529" t="str">
        <f>_xlfn.CONCAT(Tableau1[[#This Row],[Athletes]],"_",Tableau1[[#This Row],[Nationality]],"_",Tableau1[[#This Row],[Competition_year]])</f>
        <v>Halimah NAKAAYI_UGA_2023</v>
      </c>
      <c r="B529" t="s">
        <v>230</v>
      </c>
      <c r="C529" t="s">
        <v>29</v>
      </c>
      <c r="D529" s="18" t="s">
        <v>34</v>
      </c>
      <c r="E529">
        <v>13.75</v>
      </c>
      <c r="F529">
        <v>13.45</v>
      </c>
      <c r="G529">
        <v>15.3</v>
      </c>
      <c r="H529">
        <v>15.5</v>
      </c>
      <c r="I529">
        <v>15</v>
      </c>
      <c r="J529">
        <v>14.7</v>
      </c>
      <c r="K529">
        <v>15</v>
      </c>
      <c r="L529">
        <f>Tableau1[[#This Row],[Final_time]]-SUM(Tableau1[[#This Row],[0_100m]:[600_700m]])</f>
        <v>16.11</v>
      </c>
      <c r="M529">
        <v>118.81</v>
      </c>
      <c r="N529">
        <f>SUM(Tableau1[[#This Row],[0_100m]:[700_800m]])</f>
        <v>118.81</v>
      </c>
      <c r="O529">
        <f>ABS(Tableau1[[#This Row],[Final_time]]-Tableau1[[#This Row],[Sum_time]])</f>
        <v>0</v>
      </c>
      <c r="P529" s="8"/>
      <c r="Q529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29" t="s">
        <v>310</v>
      </c>
      <c r="S529" s="1" t="s">
        <v>68</v>
      </c>
      <c r="U529" s="1" t="s">
        <v>69</v>
      </c>
      <c r="V529" s="1">
        <v>45086</v>
      </c>
      <c r="W529" s="4">
        <f>YEAR(Tableau1[[#This Row],[Competition_date]])</f>
        <v>2023</v>
      </c>
      <c r="X529" s="4">
        <v>28</v>
      </c>
      <c r="Y529" s="6">
        <v>0.39</v>
      </c>
      <c r="Z529" s="4" t="s">
        <v>80</v>
      </c>
      <c r="AA529" t="s">
        <v>176</v>
      </c>
    </row>
    <row r="530" spans="1:27" hidden="1" x14ac:dyDescent="0.35">
      <c r="A530" t="str">
        <f>_xlfn.CONCAT(Tableau1[[#This Row],[Athletes]],"_",Tableau1[[#This Row],[Nationality]],"_",Tableau1[[#This Row],[Competition_year]])</f>
        <v>Sage HURTA-KLECKER_USA_2023</v>
      </c>
      <c r="B530" t="s">
        <v>289</v>
      </c>
      <c r="C530" t="s">
        <v>29</v>
      </c>
      <c r="D530" s="18" t="s">
        <v>35</v>
      </c>
      <c r="E530">
        <v>13.9</v>
      </c>
      <c r="F530">
        <v>13.6</v>
      </c>
      <c r="G530">
        <v>15.2</v>
      </c>
      <c r="H530">
        <v>15.3</v>
      </c>
      <c r="I530">
        <v>15</v>
      </c>
      <c r="J530">
        <v>14.8</v>
      </c>
      <c r="K530">
        <v>15.2</v>
      </c>
      <c r="L530">
        <f>Tableau1[[#This Row],[Final_time]]-SUM(Tableau1[[#This Row],[0_100m]:[600_700m]])</f>
        <v>16.010000000000005</v>
      </c>
      <c r="M530">
        <v>119.01</v>
      </c>
      <c r="N530">
        <f>SUM(Tableau1[[#This Row],[0_100m]:[700_800m]])</f>
        <v>119.01</v>
      </c>
      <c r="O530">
        <f>ABS(Tableau1[[#This Row],[Final_time]]-Tableau1[[#This Row],[Sum_time]])</f>
        <v>0</v>
      </c>
      <c r="P530" s="8"/>
      <c r="Q530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30" t="s">
        <v>310</v>
      </c>
      <c r="S530" s="1" t="s">
        <v>68</v>
      </c>
      <c r="U530" s="1" t="s">
        <v>69</v>
      </c>
      <c r="V530" s="1">
        <v>45086</v>
      </c>
      <c r="W530" s="4">
        <f>YEAR(Tableau1[[#This Row],[Competition_date]])</f>
        <v>2023</v>
      </c>
      <c r="X530" s="4">
        <v>28</v>
      </c>
      <c r="Y530" s="6">
        <v>0.39</v>
      </c>
      <c r="Z530" s="4" t="s">
        <v>80</v>
      </c>
      <c r="AA530" t="s">
        <v>176</v>
      </c>
    </row>
    <row r="531" spans="1:27" hidden="1" x14ac:dyDescent="0.35">
      <c r="A531" t="str">
        <f>_xlfn.CONCAT(Tableau1[[#This Row],[Athletes]],"_",Tableau1[[#This Row],[Nationality]],"_",Tableau1[[#This Row],[Competition_year]])</f>
        <v>Léna KANDISSOUNON_FRA_2023</v>
      </c>
      <c r="B531" t="s">
        <v>987</v>
      </c>
      <c r="C531" t="s">
        <v>29</v>
      </c>
      <c r="D531" s="18" t="s">
        <v>17</v>
      </c>
      <c r="E531">
        <v>13.75</v>
      </c>
      <c r="F531">
        <v>13.85</v>
      </c>
      <c r="G531">
        <v>15.3</v>
      </c>
      <c r="H531">
        <v>15.6</v>
      </c>
      <c r="I531">
        <v>15.3</v>
      </c>
      <c r="J531">
        <v>15.1</v>
      </c>
      <c r="K531">
        <v>15</v>
      </c>
      <c r="L531">
        <f>Tableau1[[#This Row],[Final_time]]-SUM(Tableau1[[#This Row],[0_100m]:[600_700m]])</f>
        <v>15.75</v>
      </c>
      <c r="M531">
        <v>119.65</v>
      </c>
      <c r="N531">
        <f>SUM(Tableau1[[#This Row],[0_100m]:[700_800m]])</f>
        <v>119.65</v>
      </c>
      <c r="O531">
        <f>ABS(Tableau1[[#This Row],[Final_time]]-Tableau1[[#This Row],[Sum_time]])</f>
        <v>0</v>
      </c>
      <c r="P531" s="8"/>
      <c r="Q531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31" t="s">
        <v>310</v>
      </c>
      <c r="S531" s="1" t="s">
        <v>68</v>
      </c>
      <c r="U531" s="1" t="s">
        <v>69</v>
      </c>
      <c r="V531" s="1">
        <v>45086</v>
      </c>
      <c r="W531" s="4">
        <f>YEAR(Tableau1[[#This Row],[Competition_date]])</f>
        <v>2023</v>
      </c>
      <c r="X531" s="4">
        <v>28</v>
      </c>
      <c r="Y531" s="6">
        <v>0.39</v>
      </c>
      <c r="Z531" s="4" t="s">
        <v>80</v>
      </c>
      <c r="AA531" t="s">
        <v>176</v>
      </c>
    </row>
    <row r="532" spans="1:27" hidden="1" x14ac:dyDescent="0.35">
      <c r="A532" t="str">
        <f>_xlfn.CONCAT(Tableau1[[#This Row],[Athletes]],"_",Tableau1[[#This Row],[Nationality]],"_",Tableau1[[#This Row],[Competition_year]])</f>
        <v>Gabriela GAJANOVÁ_SVK_2023</v>
      </c>
      <c r="B532" t="s">
        <v>349</v>
      </c>
      <c r="C532" t="s">
        <v>29</v>
      </c>
      <c r="D532" s="18" t="s">
        <v>100</v>
      </c>
      <c r="E532">
        <v>13.65</v>
      </c>
      <c r="F532">
        <v>14.05</v>
      </c>
      <c r="G532">
        <v>15.4</v>
      </c>
      <c r="H532">
        <v>15.5</v>
      </c>
      <c r="I532">
        <v>15.5</v>
      </c>
      <c r="J532">
        <v>15.3</v>
      </c>
      <c r="K532">
        <v>15.2</v>
      </c>
      <c r="L532">
        <f>Tableau1[[#This Row],[Final_time]]-SUM(Tableau1[[#This Row],[0_100m]:[600_700m]])</f>
        <v>15.260000000000005</v>
      </c>
      <c r="M532">
        <v>119.86</v>
      </c>
      <c r="N532">
        <f>SUM(Tableau1[[#This Row],[0_100m]:[700_800m]])</f>
        <v>119.86</v>
      </c>
      <c r="O532">
        <f>ABS(Tableau1[[#This Row],[Final_time]]-Tableau1[[#This Row],[Sum_time]])</f>
        <v>0</v>
      </c>
      <c r="P532" s="8"/>
      <c r="Q532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32" t="s">
        <v>310</v>
      </c>
      <c r="S532" s="1" t="s">
        <v>68</v>
      </c>
      <c r="U532" s="1" t="s">
        <v>69</v>
      </c>
      <c r="V532" s="1">
        <v>45086</v>
      </c>
      <c r="W532" s="4">
        <f>YEAR(Tableau1[[#This Row],[Competition_date]])</f>
        <v>2023</v>
      </c>
      <c r="X532" s="4">
        <v>28</v>
      </c>
      <c r="Y532" s="6">
        <v>0.39</v>
      </c>
      <c r="Z532" s="4" t="s">
        <v>80</v>
      </c>
      <c r="AA532" t="s">
        <v>176</v>
      </c>
    </row>
    <row r="533" spans="1:27" hidden="1" x14ac:dyDescent="0.35">
      <c r="A533" t="str">
        <f>_xlfn.CONCAT(Tableau1[[#This Row],[Athletes]],"_",Tableau1[[#This Row],[Nationality]],"_",Tableau1[[#This Row],[Competition_year]])</f>
        <v>Raevyn ROGERS_USA_2023</v>
      </c>
      <c r="B533" t="s">
        <v>221</v>
      </c>
      <c r="C533" t="s">
        <v>29</v>
      </c>
      <c r="D533" s="18" t="s">
        <v>35</v>
      </c>
      <c r="E533">
        <v>13.75</v>
      </c>
      <c r="F533">
        <v>13.65</v>
      </c>
      <c r="G533">
        <v>15.2</v>
      </c>
      <c r="H533">
        <v>15.7</v>
      </c>
      <c r="I533">
        <v>14.9</v>
      </c>
      <c r="J533">
        <v>15</v>
      </c>
      <c r="K533">
        <v>15.6</v>
      </c>
      <c r="L533">
        <f>Tableau1[[#This Row],[Final_time]]-SUM(Tableau1[[#This Row],[0_100m]:[600_700m]])</f>
        <v>16.200000000000003</v>
      </c>
      <c r="M533">
        <v>120</v>
      </c>
      <c r="N533">
        <f>SUM(Tableau1[[#This Row],[0_100m]:[700_800m]])</f>
        <v>120</v>
      </c>
      <c r="O533">
        <f>ABS(Tableau1[[#This Row],[Final_time]]-Tableau1[[#This Row],[Sum_time]])</f>
        <v>0</v>
      </c>
      <c r="P533" s="8"/>
      <c r="Q533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33" t="s">
        <v>310</v>
      </c>
      <c r="S533" s="1" t="s">
        <v>68</v>
      </c>
      <c r="U533" s="1" t="s">
        <v>69</v>
      </c>
      <c r="V533" s="1">
        <v>45086</v>
      </c>
      <c r="W533" s="4">
        <f>YEAR(Tableau1[[#This Row],[Competition_date]])</f>
        <v>2023</v>
      </c>
      <c r="X533" s="4">
        <v>28</v>
      </c>
      <c r="Y533" s="6">
        <v>0.39</v>
      </c>
      <c r="Z533" s="4" t="s">
        <v>80</v>
      </c>
      <c r="AA533" t="s">
        <v>176</v>
      </c>
    </row>
    <row r="534" spans="1:27" hidden="1" x14ac:dyDescent="0.35">
      <c r="A534" t="str">
        <f>_xlfn.CONCAT(Tableau1[[#This Row],[Athletes]],"_",Tableau1[[#This Row],[Nationality]],"_",Tableau1[[#This Row],[Competition_year]])</f>
        <v>Agnès RAHAROLAHY_FRA_2023</v>
      </c>
      <c r="B534" t="s">
        <v>377</v>
      </c>
      <c r="C534" t="s">
        <v>29</v>
      </c>
      <c r="D534" s="18" t="s">
        <v>17</v>
      </c>
      <c r="E534">
        <v>13.95</v>
      </c>
      <c r="F534">
        <v>13.35</v>
      </c>
      <c r="G534">
        <v>15.2</v>
      </c>
      <c r="H534">
        <v>15.8</v>
      </c>
      <c r="I534">
        <v>15.4</v>
      </c>
      <c r="J534">
        <v>15.2</v>
      </c>
      <c r="K534">
        <v>15.2</v>
      </c>
      <c r="L534">
        <f>Tableau1[[#This Row],[Final_time]]-SUM(Tableau1[[#This Row],[0_100m]:[600_700m]])</f>
        <v>16.039999999999992</v>
      </c>
      <c r="M534">
        <v>120.14</v>
      </c>
      <c r="N534">
        <f>SUM(Tableau1[[#This Row],[0_100m]:[700_800m]])</f>
        <v>120.14</v>
      </c>
      <c r="O534">
        <f>ABS(Tableau1[[#This Row],[Final_time]]-Tableau1[[#This Row],[Sum_time]])</f>
        <v>0</v>
      </c>
      <c r="P534" s="8"/>
      <c r="Q534" s="16" t="str">
        <f>_xlfn.CONCAT(Tableau1[[#This Row],[Competition]],"_",Tableau1[[#This Row],[Championship_step]],"_",Tableau1[[#This Row],[Competition_date]],"_",Tableau1[[#This Row],[Gender]])</f>
        <v>Diamond League Paris 2023__45086_Female</v>
      </c>
      <c r="R534" t="s">
        <v>310</v>
      </c>
      <c r="S534" s="1" t="s">
        <v>68</v>
      </c>
      <c r="U534" s="1" t="s">
        <v>69</v>
      </c>
      <c r="V534" s="1">
        <v>45086</v>
      </c>
      <c r="W534" s="4">
        <f>YEAR(Tableau1[[#This Row],[Competition_date]])</f>
        <v>2023</v>
      </c>
      <c r="X534" s="4">
        <v>28</v>
      </c>
      <c r="Y534" s="6">
        <v>0.39</v>
      </c>
      <c r="Z534" s="4" t="s">
        <v>80</v>
      </c>
      <c r="AA534" t="s">
        <v>176</v>
      </c>
    </row>
    <row r="535" spans="1:27" hidden="1" x14ac:dyDescent="0.35">
      <c r="A535" t="str">
        <f>_xlfn.CONCAT(Tableau1[[#This Row],[Athletes]],"_",Tableau1[[#This Row],[Nationality]],"_",Tableau1[[#This Row],[Competition_year]])</f>
        <v>Emmanuel WANYONYI_KEN_2023</v>
      </c>
      <c r="B535" t="s">
        <v>183</v>
      </c>
      <c r="C535" t="s">
        <v>14</v>
      </c>
      <c r="D535" s="18" t="s">
        <v>15</v>
      </c>
      <c r="E535">
        <v>12.6</v>
      </c>
      <c r="F535">
        <v>11.7</v>
      </c>
      <c r="G535">
        <v>13.1</v>
      </c>
      <c r="H535">
        <v>13.3</v>
      </c>
      <c r="I535">
        <v>13.1</v>
      </c>
      <c r="J535">
        <v>12.9</v>
      </c>
      <c r="K535">
        <v>13.3</v>
      </c>
      <c r="L535">
        <f>Tableau1[[#This Row],[Final_time]]-SUM(Tableau1[[#This Row],[0_100m]:[600_700m]])</f>
        <v>13.269999999999996</v>
      </c>
      <c r="M535">
        <v>103.27</v>
      </c>
      <c r="N535">
        <f>SUM(Tableau1[[#This Row],[0_100m]:[700_800m]])</f>
        <v>103.27</v>
      </c>
      <c r="O535">
        <f>ABS(Tableau1[[#This Row],[Final_time]]-Tableau1[[#This Row],[Sum_time]])</f>
        <v>0</v>
      </c>
      <c r="P535" s="8"/>
      <c r="Q535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35" t="s">
        <v>310</v>
      </c>
      <c r="S535" s="1" t="s">
        <v>68</v>
      </c>
      <c r="U535" s="1" t="s">
        <v>69</v>
      </c>
      <c r="V535" s="1">
        <v>45086</v>
      </c>
      <c r="W535" s="4">
        <f>YEAR(Tableau1[[#This Row],[Competition_date]])</f>
        <v>2023</v>
      </c>
      <c r="X535" s="4">
        <v>25</v>
      </c>
      <c r="Y535" s="6">
        <v>0.52</v>
      </c>
      <c r="Z535" s="4" t="s">
        <v>80</v>
      </c>
      <c r="AA535" t="s">
        <v>176</v>
      </c>
    </row>
    <row r="536" spans="1:27" hidden="1" x14ac:dyDescent="0.35">
      <c r="A536" t="str">
        <f>_xlfn.CONCAT(Tableau1[[#This Row],[Athletes]],"_",Tableau1[[#This Row],[Nationality]],"_",Tableau1[[#This Row],[Competition_year]])</f>
        <v>Marco AROP_CAN_2023</v>
      </c>
      <c r="B536" t="s">
        <v>177</v>
      </c>
      <c r="C536" t="s">
        <v>14</v>
      </c>
      <c r="D536" s="18" t="s">
        <v>19</v>
      </c>
      <c r="E536">
        <v>12.3</v>
      </c>
      <c r="F536">
        <v>11.8</v>
      </c>
      <c r="G536">
        <v>13</v>
      </c>
      <c r="H536">
        <v>13.2</v>
      </c>
      <c r="I536">
        <v>13</v>
      </c>
      <c r="J536">
        <v>13.1</v>
      </c>
      <c r="K536">
        <v>13.2</v>
      </c>
      <c r="L536">
        <f>Tableau1[[#This Row],[Final_time]]-SUM(Tableau1[[#This Row],[0_100m]:[600_700m]])</f>
        <v>13.700000000000003</v>
      </c>
      <c r="M536">
        <v>103.3</v>
      </c>
      <c r="N536">
        <f>SUM(Tableau1[[#This Row],[0_100m]:[700_800m]])</f>
        <v>103.3</v>
      </c>
      <c r="O536">
        <f>ABS(Tableau1[[#This Row],[Final_time]]-Tableau1[[#This Row],[Sum_time]])</f>
        <v>0</v>
      </c>
      <c r="P536" s="8"/>
      <c r="Q536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36" t="s">
        <v>310</v>
      </c>
      <c r="S536" s="1" t="s">
        <v>68</v>
      </c>
      <c r="U536" s="1" t="s">
        <v>69</v>
      </c>
      <c r="V536" s="1">
        <v>45086</v>
      </c>
      <c r="W536" s="4">
        <f>YEAR(Tableau1[[#This Row],[Competition_date]])</f>
        <v>2023</v>
      </c>
      <c r="X536" s="4">
        <v>25</v>
      </c>
      <c r="Y536" s="6">
        <v>0.52</v>
      </c>
      <c r="Z536" s="4" t="s">
        <v>80</v>
      </c>
      <c r="AA536" t="s">
        <v>176</v>
      </c>
    </row>
    <row r="537" spans="1:27" hidden="1" x14ac:dyDescent="0.35">
      <c r="A537" t="str">
        <f>_xlfn.CONCAT(Tableau1[[#This Row],[Athletes]],"_",Tableau1[[#This Row],[Nationality]],"_",Tableau1[[#This Row],[Competition_year]])</f>
        <v>Slimane MOULA_ALG_2023</v>
      </c>
      <c r="B537" t="s">
        <v>103</v>
      </c>
      <c r="C537" t="s">
        <v>14</v>
      </c>
      <c r="D537" s="18" t="s">
        <v>24</v>
      </c>
      <c r="E537">
        <v>12.5</v>
      </c>
      <c r="F537">
        <v>11.8</v>
      </c>
      <c r="G537">
        <v>13.3</v>
      </c>
      <c r="H537">
        <v>13.2</v>
      </c>
      <c r="I537">
        <v>13.4</v>
      </c>
      <c r="J537">
        <v>12.8</v>
      </c>
      <c r="K537">
        <v>13.3</v>
      </c>
      <c r="L537">
        <f>Tableau1[[#This Row],[Final_time]]-SUM(Tableau1[[#This Row],[0_100m]:[600_700m]])</f>
        <v>13.079999999999998</v>
      </c>
      <c r="M537">
        <v>103.38</v>
      </c>
      <c r="N537">
        <f>SUM(Tableau1[[#This Row],[0_100m]:[700_800m]])</f>
        <v>103.38</v>
      </c>
      <c r="O537">
        <f>ABS(Tableau1[[#This Row],[Final_time]]-Tableau1[[#This Row],[Sum_time]])</f>
        <v>0</v>
      </c>
      <c r="P537" s="8"/>
      <c r="Q537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37" t="s">
        <v>310</v>
      </c>
      <c r="S537" s="1" t="s">
        <v>68</v>
      </c>
      <c r="U537" s="1" t="s">
        <v>69</v>
      </c>
      <c r="V537" s="1">
        <v>45086</v>
      </c>
      <c r="W537" s="4">
        <f>YEAR(Tableau1[[#This Row],[Competition_date]])</f>
        <v>2023</v>
      </c>
      <c r="X537" s="4">
        <v>25</v>
      </c>
      <c r="Y537" s="6">
        <v>0.52</v>
      </c>
      <c r="Z537" s="4" t="s">
        <v>80</v>
      </c>
      <c r="AA537" t="s">
        <v>176</v>
      </c>
    </row>
    <row r="538" spans="1:27" hidden="1" x14ac:dyDescent="0.35">
      <c r="A538" t="str">
        <f>_xlfn.CONCAT(Tableau1[[#This Row],[Athletes]],"_",Tableau1[[#This Row],[Nationality]],"_",Tableau1[[#This Row],[Competition_year]])</f>
        <v>Djamel SEDJATI_ALG_2023</v>
      </c>
      <c r="B538" t="s">
        <v>170</v>
      </c>
      <c r="C538" t="s">
        <v>14</v>
      </c>
      <c r="D538" s="18" t="s">
        <v>24</v>
      </c>
      <c r="E538">
        <v>12.8</v>
      </c>
      <c r="F538">
        <v>11.7</v>
      </c>
      <c r="G538">
        <v>13.4</v>
      </c>
      <c r="H538">
        <v>13.2</v>
      </c>
      <c r="I538">
        <v>13.3</v>
      </c>
      <c r="J538">
        <v>12.9</v>
      </c>
      <c r="K538">
        <v>12.9</v>
      </c>
      <c r="L538">
        <f>Tableau1[[#This Row],[Final_time]]-SUM(Tableau1[[#This Row],[0_100m]:[600_700m]])</f>
        <v>13.200000000000003</v>
      </c>
      <c r="M538">
        <v>103.4</v>
      </c>
      <c r="N538">
        <f>SUM(Tableau1[[#This Row],[0_100m]:[700_800m]])</f>
        <v>103.4</v>
      </c>
      <c r="O538">
        <f>ABS(Tableau1[[#This Row],[Final_time]]-Tableau1[[#This Row],[Sum_time]])</f>
        <v>0</v>
      </c>
      <c r="P538" s="8"/>
      <c r="Q538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38" t="s">
        <v>310</v>
      </c>
      <c r="S538" s="1" t="s">
        <v>68</v>
      </c>
      <c r="U538" s="1" t="s">
        <v>69</v>
      </c>
      <c r="V538" s="1">
        <v>45086</v>
      </c>
      <c r="W538" s="4">
        <f>YEAR(Tableau1[[#This Row],[Competition_date]])</f>
        <v>2023</v>
      </c>
      <c r="X538" s="4">
        <v>25</v>
      </c>
      <c r="Y538" s="6">
        <v>0.52</v>
      </c>
      <c r="Z538" s="4" t="s">
        <v>80</v>
      </c>
      <c r="AA538" t="s">
        <v>176</v>
      </c>
    </row>
    <row r="539" spans="1:27" hidden="1" x14ac:dyDescent="0.35">
      <c r="A539" t="str">
        <f>_xlfn.CONCAT(Tableau1[[#This Row],[Athletes]],"_",Tableau1[[#This Row],[Nationality]],"_",Tableau1[[#This Row],[Competition_year]])</f>
        <v>Benjamin ROBERT_FRA_2023</v>
      </c>
      <c r="B539" t="s">
        <v>111</v>
      </c>
      <c r="C539" t="s">
        <v>14</v>
      </c>
      <c r="D539" s="18" t="s">
        <v>17</v>
      </c>
      <c r="E539">
        <v>12.55</v>
      </c>
      <c r="F539">
        <v>11.65</v>
      </c>
      <c r="G539">
        <v>13.1</v>
      </c>
      <c r="H539">
        <v>13.2</v>
      </c>
      <c r="I539">
        <v>13.1</v>
      </c>
      <c r="J539">
        <v>13</v>
      </c>
      <c r="K539">
        <v>13.2</v>
      </c>
      <c r="L539">
        <f>Tableau1[[#This Row],[Final_time]]-SUM(Tableau1[[#This Row],[0_100m]:[600_700m]])</f>
        <v>13.680000000000007</v>
      </c>
      <c r="M539">
        <v>103.48</v>
      </c>
      <c r="N539">
        <f>SUM(Tableau1[[#This Row],[0_100m]:[700_800m]])</f>
        <v>103.48</v>
      </c>
      <c r="O539">
        <f>ABS(Tableau1[[#This Row],[Final_time]]-Tableau1[[#This Row],[Sum_time]])</f>
        <v>0</v>
      </c>
      <c r="P539" s="8"/>
      <c r="Q539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39" t="s">
        <v>310</v>
      </c>
      <c r="S539" s="1" t="s">
        <v>68</v>
      </c>
      <c r="U539" s="1" t="s">
        <v>69</v>
      </c>
      <c r="V539" s="1">
        <v>45086</v>
      </c>
      <c r="W539" s="4">
        <f>YEAR(Tableau1[[#This Row],[Competition_date]])</f>
        <v>2023</v>
      </c>
      <c r="X539" s="4">
        <v>25</v>
      </c>
      <c r="Y539" s="6">
        <v>0.52</v>
      </c>
      <c r="Z539" s="4" t="s">
        <v>80</v>
      </c>
      <c r="AA539" t="s">
        <v>176</v>
      </c>
    </row>
    <row r="540" spans="1:27" hidden="1" x14ac:dyDescent="0.35">
      <c r="A540" t="str">
        <f>_xlfn.CONCAT(Tableau1[[#This Row],[Athletes]],"_",Tableau1[[#This Row],[Nationality]],"_",Tableau1[[#This Row],[Competition_year]])</f>
        <v>Wyclife KINYAMAL_KEN_2023</v>
      </c>
      <c r="B540" t="s">
        <v>174</v>
      </c>
      <c r="C540" t="s">
        <v>14</v>
      </c>
      <c r="D540" s="18" t="s">
        <v>15</v>
      </c>
      <c r="E540">
        <v>12.7</v>
      </c>
      <c r="F540">
        <v>11.6</v>
      </c>
      <c r="G540">
        <v>13.3</v>
      </c>
      <c r="H540">
        <v>13.3</v>
      </c>
      <c r="I540">
        <v>13.1</v>
      </c>
      <c r="J540">
        <v>12.9</v>
      </c>
      <c r="K540">
        <v>13.1</v>
      </c>
      <c r="L540">
        <f>Tableau1[[#This Row],[Final_time]]-SUM(Tableau1[[#This Row],[0_100m]:[600_700m]])</f>
        <v>13.530000000000015</v>
      </c>
      <c r="M540">
        <v>103.53</v>
      </c>
      <c r="N540">
        <f>SUM(Tableau1[[#This Row],[0_100m]:[700_800m]])</f>
        <v>103.53</v>
      </c>
      <c r="O540">
        <f>ABS(Tableau1[[#This Row],[Final_time]]-Tableau1[[#This Row],[Sum_time]])</f>
        <v>0</v>
      </c>
      <c r="P540" s="8"/>
      <c r="Q540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40" t="s">
        <v>310</v>
      </c>
      <c r="S540" s="1" t="s">
        <v>68</v>
      </c>
      <c r="U540" s="1" t="s">
        <v>69</v>
      </c>
      <c r="V540" s="1">
        <v>45086</v>
      </c>
      <c r="W540" s="4">
        <f>YEAR(Tableau1[[#This Row],[Competition_date]])</f>
        <v>2023</v>
      </c>
      <c r="X540" s="4">
        <v>25</v>
      </c>
      <c r="Y540" s="6">
        <v>0.52</v>
      </c>
      <c r="Z540" s="4" t="s">
        <v>80</v>
      </c>
      <c r="AA540" t="s">
        <v>176</v>
      </c>
    </row>
    <row r="541" spans="1:27" hidden="1" x14ac:dyDescent="0.35">
      <c r="A541" t="str">
        <f>_xlfn.CONCAT(Tableau1[[#This Row],[Athletes]],"_",Tableau1[[#This Row],[Nationality]],"_",Tableau1[[#This Row],[Competition_year]])</f>
        <v>Azeddine HABZ_FRA_2023</v>
      </c>
      <c r="B541" t="s">
        <v>309</v>
      </c>
      <c r="C541" t="s">
        <v>14</v>
      </c>
      <c r="D541" s="18" t="s">
        <v>17</v>
      </c>
      <c r="E541">
        <v>12.95</v>
      </c>
      <c r="F541">
        <v>11.95</v>
      </c>
      <c r="G541">
        <v>13.1</v>
      </c>
      <c r="H541">
        <v>13.3</v>
      </c>
      <c r="I541">
        <v>13.4</v>
      </c>
      <c r="J541">
        <v>12.8</v>
      </c>
      <c r="K541">
        <v>13.1</v>
      </c>
      <c r="L541">
        <f>Tableau1[[#This Row],[Final_time]]-SUM(Tableau1[[#This Row],[0_100m]:[600_700m]])</f>
        <v>13.300000000000011</v>
      </c>
      <c r="M541">
        <v>103.9</v>
      </c>
      <c r="N541">
        <f>SUM(Tableau1[[#This Row],[0_100m]:[700_800m]])</f>
        <v>103.9</v>
      </c>
      <c r="O541">
        <f>ABS(Tableau1[[#This Row],[Final_time]]-Tableau1[[#This Row],[Sum_time]])</f>
        <v>0</v>
      </c>
      <c r="P541" s="8"/>
      <c r="Q541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41" t="s">
        <v>310</v>
      </c>
      <c r="S541" s="1" t="s">
        <v>68</v>
      </c>
      <c r="U541" s="1" t="s">
        <v>69</v>
      </c>
      <c r="V541" s="1">
        <v>45086</v>
      </c>
      <c r="W541" s="4">
        <f>YEAR(Tableau1[[#This Row],[Competition_date]])</f>
        <v>2023</v>
      </c>
      <c r="X541" s="4">
        <v>25</v>
      </c>
      <c r="Y541" s="6">
        <v>0.52</v>
      </c>
      <c r="Z541" s="4" t="s">
        <v>80</v>
      </c>
      <c r="AA541" t="s">
        <v>176</v>
      </c>
    </row>
    <row r="542" spans="1:27" hidden="1" x14ac:dyDescent="0.35">
      <c r="A542" t="str">
        <f>_xlfn.CONCAT(Tableau1[[#This Row],[Athletes]],"_",Tableau1[[#This Row],[Nationality]],"_",Tableau1[[#This Row],[Competition_year]])</f>
        <v>Yanis MEZIANE_FRA_2023</v>
      </c>
      <c r="B542" t="s">
        <v>171</v>
      </c>
      <c r="C542" t="s">
        <v>14</v>
      </c>
      <c r="D542" s="18" t="s">
        <v>17</v>
      </c>
      <c r="E542">
        <v>12.75</v>
      </c>
      <c r="F542">
        <v>11.75</v>
      </c>
      <c r="G542">
        <v>13.5</v>
      </c>
      <c r="H542">
        <v>13.3</v>
      </c>
      <c r="I542">
        <v>13.4</v>
      </c>
      <c r="J542">
        <v>13.1</v>
      </c>
      <c r="K542">
        <v>13.2</v>
      </c>
      <c r="L542">
        <f>Tableau1[[#This Row],[Final_time]]-SUM(Tableau1[[#This Row],[0_100m]:[600_700m]])</f>
        <v>13.780000000000001</v>
      </c>
      <c r="M542">
        <v>104.78</v>
      </c>
      <c r="N542">
        <f>SUM(Tableau1[[#This Row],[0_100m]:[700_800m]])</f>
        <v>104.78</v>
      </c>
      <c r="O542">
        <f>ABS(Tableau1[[#This Row],[Final_time]]-Tableau1[[#This Row],[Sum_time]])</f>
        <v>0</v>
      </c>
      <c r="P542" s="8"/>
      <c r="Q542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42" t="s">
        <v>310</v>
      </c>
      <c r="S542" s="1" t="s">
        <v>68</v>
      </c>
      <c r="U542" s="1" t="s">
        <v>69</v>
      </c>
      <c r="V542" s="1">
        <v>45086</v>
      </c>
      <c r="W542" s="4">
        <f>YEAR(Tableau1[[#This Row],[Competition_date]])</f>
        <v>2023</v>
      </c>
      <c r="X542" s="4">
        <v>25</v>
      </c>
      <c r="Y542" s="6">
        <v>0.52</v>
      </c>
      <c r="Z542" s="4" t="s">
        <v>80</v>
      </c>
      <c r="AA542" t="s">
        <v>176</v>
      </c>
    </row>
    <row r="543" spans="1:27" hidden="1" x14ac:dyDescent="0.35">
      <c r="A543" t="str">
        <f>_xlfn.CONCAT(Tableau1[[#This Row],[Athletes]],"_",Tableau1[[#This Row],[Nationality]],"_",Tableau1[[#This Row],[Competition_year]])</f>
        <v>Andreas KRAMER_SWE_2023</v>
      </c>
      <c r="B543" t="s">
        <v>186</v>
      </c>
      <c r="C543" t="s">
        <v>14</v>
      </c>
      <c r="D543" s="18" t="s">
        <v>28</v>
      </c>
      <c r="E543">
        <v>12.6</v>
      </c>
      <c r="F543">
        <v>12.1</v>
      </c>
      <c r="G543">
        <v>13.5</v>
      </c>
      <c r="H543">
        <v>13.3</v>
      </c>
      <c r="I543">
        <v>13.4</v>
      </c>
      <c r="J543">
        <v>13.1</v>
      </c>
      <c r="K543">
        <v>13.2</v>
      </c>
      <c r="L543">
        <f>Tableau1[[#This Row],[Final_time]]-SUM(Tableau1[[#This Row],[0_100m]:[600_700m]])</f>
        <v>13.649999999999991</v>
      </c>
      <c r="M543">
        <v>104.85</v>
      </c>
      <c r="N543">
        <f>SUM(Tableau1[[#This Row],[0_100m]:[700_800m]])</f>
        <v>104.85</v>
      </c>
      <c r="O543">
        <f>ABS(Tableau1[[#This Row],[Final_time]]-Tableau1[[#This Row],[Sum_time]])</f>
        <v>0</v>
      </c>
      <c r="P543" s="8"/>
      <c r="Q543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43" t="s">
        <v>310</v>
      </c>
      <c r="S543" s="1" t="s">
        <v>68</v>
      </c>
      <c r="U543" s="1" t="s">
        <v>69</v>
      </c>
      <c r="V543" s="1">
        <v>45086</v>
      </c>
      <c r="W543" s="4">
        <f>YEAR(Tableau1[[#This Row],[Competition_date]])</f>
        <v>2023</v>
      </c>
      <c r="X543" s="4">
        <v>25</v>
      </c>
      <c r="Y543" s="6">
        <v>0.52</v>
      </c>
      <c r="Z543" s="4" t="s">
        <v>80</v>
      </c>
      <c r="AA543" t="s">
        <v>176</v>
      </c>
    </row>
    <row r="544" spans="1:27" hidden="1" x14ac:dyDescent="0.35">
      <c r="A544" t="str">
        <f>_xlfn.CONCAT(Tableau1[[#This Row],[Athletes]],"_",Tableau1[[#This Row],[Nationality]],"_",Tableau1[[#This Row],[Competition_year]])</f>
        <v>Emmanuel Kipkurui KORIR_KEN_2023</v>
      </c>
      <c r="B544" s="9" t="s">
        <v>201</v>
      </c>
      <c r="C544" t="s">
        <v>14</v>
      </c>
      <c r="D544" s="18" t="s">
        <v>15</v>
      </c>
      <c r="E544">
        <v>12.75</v>
      </c>
      <c r="F544">
        <v>11.75</v>
      </c>
      <c r="G544">
        <v>13.3</v>
      </c>
      <c r="H544">
        <v>13.2</v>
      </c>
      <c r="I544">
        <v>13.5</v>
      </c>
      <c r="J544">
        <v>13.7</v>
      </c>
      <c r="K544">
        <v>14.2</v>
      </c>
      <c r="L544">
        <f>Tableau1[[#This Row],[Final_time]]-SUM(Tableau1[[#This Row],[0_100m]:[600_700m]])</f>
        <v>15.309999999999988</v>
      </c>
      <c r="M544">
        <v>107.71</v>
      </c>
      <c r="N544">
        <f>SUM(Tableau1[[#This Row],[0_100m]:[700_800m]])</f>
        <v>107.71</v>
      </c>
      <c r="O544">
        <f>ABS(Tableau1[[#This Row],[Final_time]]-Tableau1[[#This Row],[Sum_time]])</f>
        <v>0</v>
      </c>
      <c r="P544" s="8"/>
      <c r="Q544" s="16" t="str">
        <f>_xlfn.CONCAT(Tableau1[[#This Row],[Competition]],"_",Tableau1[[#This Row],[Championship_step]],"_",Tableau1[[#This Row],[Competition_date]],"_",Tableau1[[#This Row],[Gender]])</f>
        <v>Diamond League Paris 2023__45086_Male</v>
      </c>
      <c r="R544" t="s">
        <v>310</v>
      </c>
      <c r="S544" s="1" t="s">
        <v>68</v>
      </c>
      <c r="U544" s="1" t="s">
        <v>69</v>
      </c>
      <c r="V544" s="1">
        <v>45086</v>
      </c>
      <c r="W544" s="4">
        <f>YEAR(Tableau1[[#This Row],[Competition_date]])</f>
        <v>2023</v>
      </c>
      <c r="X544" s="4">
        <v>25</v>
      </c>
      <c r="Y544" s="6">
        <v>0.52</v>
      </c>
      <c r="Z544" s="4" t="s">
        <v>80</v>
      </c>
      <c r="AA544" t="s">
        <v>176</v>
      </c>
    </row>
    <row r="545" spans="1:27" hidden="1" x14ac:dyDescent="0.35">
      <c r="A545" t="str">
        <f>_xlfn.CONCAT(Tableau1[[#This Row],[Athletes]],"_",Tableau1[[#This Row],[Nationality]],"_",Tableau1[[#This Row],[Competition_year]])</f>
        <v>Djamel SEDJATI_ALG_2024</v>
      </c>
      <c r="B545" t="s">
        <v>170</v>
      </c>
      <c r="C545" t="s">
        <v>14</v>
      </c>
      <c r="D545" s="18" t="s">
        <v>24</v>
      </c>
      <c r="E545">
        <v>12.7</v>
      </c>
      <c r="F545">
        <v>11.4</v>
      </c>
      <c r="G545">
        <v>12.7</v>
      </c>
      <c r="H545">
        <v>12.9</v>
      </c>
      <c r="I545">
        <v>13</v>
      </c>
      <c r="J545">
        <v>12.6</v>
      </c>
      <c r="K545">
        <v>12.9</v>
      </c>
      <c r="L545">
        <f>Tableau1[[#This Row],[Final_time]]-SUM(Tableau1[[#This Row],[0_100m]:[600_700m]])</f>
        <v>13.36</v>
      </c>
      <c r="M545">
        <v>101.56</v>
      </c>
      <c r="N545">
        <f>SUM(Tableau1[[#This Row],[0_100m]:[700_800m]])</f>
        <v>101.56</v>
      </c>
      <c r="O545">
        <f>ABS(Tableau1[[#This Row],[Final_time]]-Tableau1[[#This Row],[Sum_time]])</f>
        <v>0</v>
      </c>
      <c r="P545" s="8"/>
      <c r="Q545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45" t="s">
        <v>25</v>
      </c>
      <c r="S545" s="1" t="s">
        <v>68</v>
      </c>
      <c r="U545" s="1" t="s">
        <v>69</v>
      </c>
      <c r="V545" s="1">
        <v>45480</v>
      </c>
      <c r="W545" s="4">
        <f>YEAR(Tableau1[[#This Row],[Competition_date]])</f>
        <v>2024</v>
      </c>
      <c r="X545" s="4">
        <v>23</v>
      </c>
      <c r="Y545" s="6">
        <v>0.36</v>
      </c>
      <c r="Z545" s="4" t="s">
        <v>80</v>
      </c>
      <c r="AA545" t="s">
        <v>26</v>
      </c>
    </row>
    <row r="546" spans="1:27" hidden="1" x14ac:dyDescent="0.35">
      <c r="A546" t="str">
        <f>_xlfn.CONCAT(Tableau1[[#This Row],[Athletes]],"_",Tableau1[[#This Row],[Nationality]],"_",Tableau1[[#This Row],[Competition_year]])</f>
        <v>Emmanuel WANYONYI_KEN_2024</v>
      </c>
      <c r="B546" t="s">
        <v>183</v>
      </c>
      <c r="C546" t="s">
        <v>14</v>
      </c>
      <c r="D546" s="18" t="s">
        <v>15</v>
      </c>
      <c r="E546">
        <v>12.4</v>
      </c>
      <c r="F546">
        <v>11.6</v>
      </c>
      <c r="G546">
        <v>12.4</v>
      </c>
      <c r="H546">
        <v>12.7</v>
      </c>
      <c r="I546">
        <v>13.2</v>
      </c>
      <c r="J546">
        <v>12.7</v>
      </c>
      <c r="K546">
        <v>13.1</v>
      </c>
      <c r="L546">
        <f>Tableau1[[#This Row],[Final_time]]-SUM(Tableau1[[#This Row],[0_100m]:[600_700m]])</f>
        <v>13.480000000000004</v>
      </c>
      <c r="M546">
        <v>101.58</v>
      </c>
      <c r="N546">
        <f>SUM(Tableau1[[#This Row],[0_100m]:[700_800m]])</f>
        <v>101.58</v>
      </c>
      <c r="O546">
        <f>ABS(Tableau1[[#This Row],[Final_time]]-Tableau1[[#This Row],[Sum_time]])</f>
        <v>0</v>
      </c>
      <c r="P546" s="8"/>
      <c r="Q546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46" t="s">
        <v>25</v>
      </c>
      <c r="S546" s="1" t="s">
        <v>68</v>
      </c>
      <c r="U546" s="1" t="s">
        <v>69</v>
      </c>
      <c r="V546" s="1">
        <v>45480</v>
      </c>
      <c r="W546" s="4">
        <f>YEAR(Tableau1[[#This Row],[Competition_date]])</f>
        <v>2024</v>
      </c>
      <c r="X546" s="4">
        <v>23</v>
      </c>
      <c r="Y546" s="6">
        <v>0.36</v>
      </c>
      <c r="Z546" s="4" t="s">
        <v>80</v>
      </c>
      <c r="AA546" t="s">
        <v>26</v>
      </c>
    </row>
    <row r="547" spans="1:27" hidden="1" x14ac:dyDescent="0.35">
      <c r="A547" t="str">
        <f>_xlfn.CONCAT(Tableau1[[#This Row],[Athletes]],"_",Tableau1[[#This Row],[Nationality]],"_",Tableau1[[#This Row],[Competition_year]])</f>
        <v>Gabriel TUAL_FRA_2024</v>
      </c>
      <c r="B547" t="s">
        <v>180</v>
      </c>
      <c r="C547" s="3" t="s">
        <v>14</v>
      </c>
      <c r="D547" s="18" t="s">
        <v>17</v>
      </c>
      <c r="E547">
        <v>12.6</v>
      </c>
      <c r="F547">
        <v>11.6</v>
      </c>
      <c r="G547">
        <v>12.8</v>
      </c>
      <c r="H547">
        <v>12.9</v>
      </c>
      <c r="I547">
        <v>13</v>
      </c>
      <c r="J547">
        <v>12.7</v>
      </c>
      <c r="K547">
        <v>12.7</v>
      </c>
      <c r="L547">
        <f>Tableau1[[#This Row],[Final_time]]-SUM(Tableau1[[#This Row],[0_100m]:[600_700m]])</f>
        <v>13.310000000000002</v>
      </c>
      <c r="M547">
        <v>101.61</v>
      </c>
      <c r="N547">
        <f>SUM(Tableau1[[#This Row],[0_100m]:[700_800m]])</f>
        <v>101.61</v>
      </c>
      <c r="O547">
        <f>ABS(Tableau1[[#This Row],[Final_time]]-Tableau1[[#This Row],[Sum_time]])</f>
        <v>0</v>
      </c>
      <c r="P547" s="8"/>
      <c r="Q547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47" t="s">
        <v>25</v>
      </c>
      <c r="S547" s="1" t="s">
        <v>68</v>
      </c>
      <c r="U547" s="1" t="s">
        <v>69</v>
      </c>
      <c r="V547" s="1">
        <v>45480</v>
      </c>
      <c r="W547" s="4">
        <f>YEAR(Tableau1[[#This Row],[Competition_date]])</f>
        <v>2024</v>
      </c>
      <c r="X547" s="4">
        <v>23</v>
      </c>
      <c r="Y547" s="6">
        <v>0.36</v>
      </c>
      <c r="Z547" s="4" t="s">
        <v>80</v>
      </c>
      <c r="AA547" t="s">
        <v>26</v>
      </c>
    </row>
    <row r="548" spans="1:27" hidden="1" x14ac:dyDescent="0.35">
      <c r="A548" t="str">
        <f>_xlfn.CONCAT(Tableau1[[#This Row],[Athletes]],"_",Tableau1[[#This Row],[Nationality]],"_",Tableau1[[#This Row],[Competition_year]])</f>
        <v>Aaron Kemei CHEMININGWA_KEN_2024</v>
      </c>
      <c r="B548" t="s">
        <v>499</v>
      </c>
      <c r="C548" t="s">
        <v>14</v>
      </c>
      <c r="D548" s="18" t="s">
        <v>15</v>
      </c>
      <c r="E548">
        <v>12.7</v>
      </c>
      <c r="F548">
        <v>12.2</v>
      </c>
      <c r="G548">
        <v>12.8</v>
      </c>
      <c r="H548">
        <v>12.5</v>
      </c>
      <c r="I548">
        <v>12.9</v>
      </c>
      <c r="J548">
        <v>12.8</v>
      </c>
      <c r="K548">
        <v>12.8</v>
      </c>
      <c r="L548">
        <f>Tableau1[[#This Row],[Final_time]]-SUM(Tableau1[[#This Row],[0_100m]:[600_700m]])</f>
        <v>13.379999999999995</v>
      </c>
      <c r="M548">
        <v>102.08</v>
      </c>
      <c r="N548">
        <f>SUM(Tableau1[[#This Row],[0_100m]:[700_800m]])</f>
        <v>102.08</v>
      </c>
      <c r="O548">
        <f>ABS(Tableau1[[#This Row],[Final_time]]-Tableau1[[#This Row],[Sum_time]])</f>
        <v>0</v>
      </c>
      <c r="P548" s="8"/>
      <c r="Q548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48" t="s">
        <v>25</v>
      </c>
      <c r="S548" s="1" t="s">
        <v>68</v>
      </c>
      <c r="U548" s="1" t="s">
        <v>69</v>
      </c>
      <c r="V548" s="1">
        <v>45480</v>
      </c>
      <c r="W548" s="4">
        <f>YEAR(Tableau1[[#This Row],[Competition_date]])</f>
        <v>2024</v>
      </c>
      <c r="X548" s="4">
        <v>23</v>
      </c>
      <c r="Y548" s="6">
        <v>0.36</v>
      </c>
      <c r="Z548" s="4" t="s">
        <v>80</v>
      </c>
      <c r="AA548" t="s">
        <v>26</v>
      </c>
    </row>
    <row r="549" spans="1:27" hidden="1" x14ac:dyDescent="0.35">
      <c r="A549" t="str">
        <f>_xlfn.CONCAT(Tableau1[[#This Row],[Athletes]],"_",Tableau1[[#This Row],[Nationality]],"_",Tableau1[[#This Row],[Competition_year]])</f>
        <v>Wyclife KINYAMAL_KEN_2024</v>
      </c>
      <c r="B549" t="s">
        <v>174</v>
      </c>
      <c r="C549" t="s">
        <v>14</v>
      </c>
      <c r="D549" s="18" t="s">
        <v>15</v>
      </c>
      <c r="E549">
        <v>12.4</v>
      </c>
      <c r="F549">
        <v>11.6</v>
      </c>
      <c r="G549">
        <v>12.6</v>
      </c>
      <c r="H549">
        <v>12.9</v>
      </c>
      <c r="I549">
        <v>13</v>
      </c>
      <c r="J549">
        <v>12.9</v>
      </c>
      <c r="K549">
        <v>13.2</v>
      </c>
      <c r="L549">
        <f>Tableau1[[#This Row],[Final_time]]-SUM(Tableau1[[#This Row],[0_100m]:[600_700m]])</f>
        <v>13.47999999999999</v>
      </c>
      <c r="M549">
        <v>102.08</v>
      </c>
      <c r="N549">
        <f>SUM(Tableau1[[#This Row],[0_100m]:[700_800m]])</f>
        <v>102.08</v>
      </c>
      <c r="O549">
        <f>ABS(Tableau1[[#This Row],[Final_time]]-Tableau1[[#This Row],[Sum_time]])</f>
        <v>0</v>
      </c>
      <c r="P549" s="8"/>
      <c r="Q549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49" t="s">
        <v>25</v>
      </c>
      <c r="S549" s="1" t="s">
        <v>68</v>
      </c>
      <c r="U549" s="1" t="s">
        <v>69</v>
      </c>
      <c r="V549" s="1">
        <v>45480</v>
      </c>
      <c r="W549" s="4">
        <f>YEAR(Tableau1[[#This Row],[Competition_date]])</f>
        <v>2024</v>
      </c>
      <c r="X549" s="4">
        <v>23</v>
      </c>
      <c r="Y549" s="6">
        <v>0.36</v>
      </c>
      <c r="Z549" s="4" t="s">
        <v>80</v>
      </c>
      <c r="AA549" t="s">
        <v>26</v>
      </c>
    </row>
    <row r="550" spans="1:27" hidden="1" x14ac:dyDescent="0.35">
      <c r="A550" t="str">
        <f>_xlfn.CONCAT(Tableau1[[#This Row],[Athletes]],"_",Tableau1[[#This Row],[Nationality]],"_",Tableau1[[#This Row],[Competition_year]])</f>
        <v>Eliott CRESTAN_BEL_2024</v>
      </c>
      <c r="B550" t="s">
        <v>244</v>
      </c>
      <c r="C550" t="s">
        <v>14</v>
      </c>
      <c r="D550" s="18" t="s">
        <v>18</v>
      </c>
      <c r="E550">
        <v>12.4</v>
      </c>
      <c r="F550">
        <v>12</v>
      </c>
      <c r="G550">
        <v>12.8</v>
      </c>
      <c r="H550">
        <v>13</v>
      </c>
      <c r="I550">
        <v>13.2</v>
      </c>
      <c r="J550">
        <v>12.8</v>
      </c>
      <c r="K550">
        <v>12.9</v>
      </c>
      <c r="L550">
        <f>Tableau1[[#This Row],[Final_time]]-SUM(Tableau1[[#This Row],[0_100m]:[600_700m]])</f>
        <v>13.329999999999998</v>
      </c>
      <c r="M550">
        <v>102.43</v>
      </c>
      <c r="N550">
        <f>SUM(Tableau1[[#This Row],[0_100m]:[700_800m]])</f>
        <v>102.43</v>
      </c>
      <c r="O550">
        <f>ABS(Tableau1[[#This Row],[Final_time]]-Tableau1[[#This Row],[Sum_time]])</f>
        <v>0</v>
      </c>
      <c r="P550" s="8"/>
      <c r="Q550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50" t="s">
        <v>25</v>
      </c>
      <c r="S550" s="1" t="s">
        <v>68</v>
      </c>
      <c r="U550" s="1" t="s">
        <v>69</v>
      </c>
      <c r="V550" s="1">
        <v>45480</v>
      </c>
      <c r="W550" s="4">
        <f>YEAR(Tableau1[[#This Row],[Competition_date]])</f>
        <v>2024</v>
      </c>
      <c r="X550" s="4">
        <v>23</v>
      </c>
      <c r="Y550" s="6">
        <v>0.36</v>
      </c>
      <c r="Z550" s="4" t="s">
        <v>80</v>
      </c>
      <c r="AA550" t="s">
        <v>26</v>
      </c>
    </row>
    <row r="551" spans="1:27" hidden="1" x14ac:dyDescent="0.35">
      <c r="A551" t="str">
        <f>_xlfn.CONCAT(Tableau1[[#This Row],[Athletes]],"_",Tableau1[[#This Row],[Nationality]],"_",Tableau1[[#This Row],[Competition_year]])</f>
        <v>Andreas KRAMER_SWE_2024</v>
      </c>
      <c r="B551" t="s">
        <v>186</v>
      </c>
      <c r="C551" t="s">
        <v>14</v>
      </c>
      <c r="D551" s="18" t="s">
        <v>28</v>
      </c>
      <c r="E551">
        <v>12.6</v>
      </c>
      <c r="F551">
        <v>12</v>
      </c>
      <c r="G551">
        <v>13</v>
      </c>
      <c r="H551">
        <v>13</v>
      </c>
      <c r="I551">
        <v>13.2</v>
      </c>
      <c r="J551">
        <v>12.8</v>
      </c>
      <c r="K551">
        <v>13.1</v>
      </c>
      <c r="L551">
        <f>Tableau1[[#This Row],[Final_time]]-SUM(Tableau1[[#This Row],[0_100m]:[600_700m]])</f>
        <v>13.960000000000008</v>
      </c>
      <c r="M551">
        <v>103.66</v>
      </c>
      <c r="N551">
        <f>SUM(Tableau1[[#This Row],[0_100m]:[700_800m]])</f>
        <v>103.66</v>
      </c>
      <c r="O551">
        <f>ABS(Tableau1[[#This Row],[Final_time]]-Tableau1[[#This Row],[Sum_time]])</f>
        <v>0</v>
      </c>
      <c r="P551" s="8"/>
      <c r="Q551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51" t="s">
        <v>25</v>
      </c>
      <c r="S551" s="1" t="s">
        <v>68</v>
      </c>
      <c r="U551" s="1" t="s">
        <v>69</v>
      </c>
      <c r="V551" s="1">
        <v>45480</v>
      </c>
      <c r="W551" s="4">
        <f>YEAR(Tableau1[[#This Row],[Competition_date]])</f>
        <v>2024</v>
      </c>
      <c r="X551" s="4">
        <v>23</v>
      </c>
      <c r="Y551" s="6">
        <v>0.36</v>
      </c>
      <c r="Z551" s="4" t="s">
        <v>80</v>
      </c>
      <c r="AA551" t="s">
        <v>26</v>
      </c>
    </row>
    <row r="552" spans="1:27" hidden="1" x14ac:dyDescent="0.35">
      <c r="A552" t="str">
        <f>_xlfn.CONCAT(Tableau1[[#This Row],[Athletes]],"_",Tableau1[[#This Row],[Nationality]],"_",Tableau1[[#This Row],[Competition_year]])</f>
        <v>Azeddine HABZ_FRA_2024</v>
      </c>
      <c r="B552" t="s">
        <v>309</v>
      </c>
      <c r="C552" t="s">
        <v>14</v>
      </c>
      <c r="D552" s="18" t="s">
        <v>17</v>
      </c>
      <c r="E552">
        <v>13.2</v>
      </c>
      <c r="F552">
        <v>12.1</v>
      </c>
      <c r="G552">
        <v>12.6</v>
      </c>
      <c r="H552">
        <v>12.9</v>
      </c>
      <c r="I552">
        <v>13.4</v>
      </c>
      <c r="J552">
        <v>12.7</v>
      </c>
      <c r="K552">
        <v>13.1</v>
      </c>
      <c r="L552">
        <f>Tableau1[[#This Row],[Final_time]]-SUM(Tableau1[[#This Row],[0_100m]:[600_700m]])</f>
        <v>13.790000000000006</v>
      </c>
      <c r="M552">
        <v>103.79</v>
      </c>
      <c r="N552">
        <f>SUM(Tableau1[[#This Row],[0_100m]:[700_800m]])</f>
        <v>103.79</v>
      </c>
      <c r="O552">
        <f>ABS(Tableau1[[#This Row],[Final_time]]-Tableau1[[#This Row],[Sum_time]])</f>
        <v>0</v>
      </c>
      <c r="P552" s="8"/>
      <c r="Q552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52" t="s">
        <v>25</v>
      </c>
      <c r="S552" s="1" t="s">
        <v>68</v>
      </c>
      <c r="U552" s="1" t="s">
        <v>69</v>
      </c>
      <c r="V552" s="1">
        <v>45480</v>
      </c>
      <c r="W552" s="4">
        <f>YEAR(Tableau1[[#This Row],[Competition_date]])</f>
        <v>2024</v>
      </c>
      <c r="X552" s="4">
        <v>23</v>
      </c>
      <c r="Y552" s="6">
        <v>0.36</v>
      </c>
      <c r="Z552" s="4" t="s">
        <v>80</v>
      </c>
      <c r="AA552" t="s">
        <v>26</v>
      </c>
    </row>
    <row r="553" spans="1:27" hidden="1" x14ac:dyDescent="0.35">
      <c r="A553" t="str">
        <f>_xlfn.CONCAT(Tableau1[[#This Row],[Athletes]],"_",Tableau1[[#This Row],[Nationality]],"_",Tableau1[[#This Row],[Competition_year]])</f>
        <v>Benjamin ROBERT_FRA_2024</v>
      </c>
      <c r="B553" t="s">
        <v>111</v>
      </c>
      <c r="C553" t="s">
        <v>14</v>
      </c>
      <c r="D553" s="18" t="s">
        <v>17</v>
      </c>
      <c r="E553">
        <v>12.6</v>
      </c>
      <c r="F553">
        <v>11.8</v>
      </c>
      <c r="G553">
        <v>13</v>
      </c>
      <c r="H553">
        <v>13</v>
      </c>
      <c r="I553">
        <v>13.2</v>
      </c>
      <c r="J553">
        <v>13.2</v>
      </c>
      <c r="K553">
        <v>13.5</v>
      </c>
      <c r="L553">
        <f>Tableau1[[#This Row],[Final_time]]-SUM(Tableau1[[#This Row],[0_100m]:[600_700m]])</f>
        <v>14</v>
      </c>
      <c r="M553">
        <v>104.3</v>
      </c>
      <c r="N553">
        <f>SUM(Tableau1[[#This Row],[0_100m]:[700_800m]])</f>
        <v>104.3</v>
      </c>
      <c r="O553">
        <f>ABS(Tableau1[[#This Row],[Final_time]]-Tableau1[[#This Row],[Sum_time]])</f>
        <v>0</v>
      </c>
      <c r="P553" s="8"/>
      <c r="Q553" s="16" t="str">
        <f>_xlfn.CONCAT(Tableau1[[#This Row],[Competition]],"_",Tableau1[[#This Row],[Championship_step]],"_",Tableau1[[#This Row],[Competition_date]],"_",Tableau1[[#This Row],[Gender]])</f>
        <v>Diamond League Paris 2024__45480_Male</v>
      </c>
      <c r="R553" t="s">
        <v>25</v>
      </c>
      <c r="S553" s="1" t="s">
        <v>68</v>
      </c>
      <c r="U553" s="1" t="s">
        <v>69</v>
      </c>
      <c r="V553" s="1">
        <v>45480</v>
      </c>
      <c r="W553" s="4">
        <f>YEAR(Tableau1[[#This Row],[Competition_date]])</f>
        <v>2024</v>
      </c>
      <c r="X553" s="4">
        <v>23</v>
      </c>
      <c r="Y553" s="6">
        <v>0.36</v>
      </c>
      <c r="Z553" s="4" t="s">
        <v>80</v>
      </c>
      <c r="AA553" t="s">
        <v>26</v>
      </c>
    </row>
    <row r="554" spans="1:27" hidden="1" x14ac:dyDescent="0.35">
      <c r="A554" t="str">
        <f>_xlfn.CONCAT(Tableau1[[#This Row],[Athletes]],"_",Tableau1[[#This Row],[Nationality]],"_",Tableau1[[#This Row],[Competition_year]])</f>
        <v>Emma GICQUEL_FRA_2025</v>
      </c>
      <c r="B554" t="s">
        <v>1354</v>
      </c>
      <c r="C554" t="s">
        <v>29</v>
      </c>
      <c r="D554" s="18" t="s">
        <v>17</v>
      </c>
      <c r="E554">
        <v>14.9</v>
      </c>
      <c r="F554">
        <v>15.2</v>
      </c>
      <c r="G554">
        <v>15.7</v>
      </c>
      <c r="H554">
        <v>16.2</v>
      </c>
      <c r="I554">
        <v>15.9</v>
      </c>
      <c r="J554">
        <v>15.7</v>
      </c>
      <c r="K554">
        <v>16</v>
      </c>
      <c r="L554">
        <f>Tableau1[[#This Row],[Final_time]]-SUM(Tableau1[[#This Row],[0_100m]:[600_700m]])</f>
        <v>16.189999999999998</v>
      </c>
      <c r="M554">
        <v>125.79</v>
      </c>
      <c r="N554">
        <f>SUM(Tableau1[[#This Row],[0_100m]:[700_800m]])</f>
        <v>125.79</v>
      </c>
      <c r="O554">
        <f>ABS(Tableau1[[#This Row],[Final_time]]-Tableau1[[#This Row],[Sum_time]])</f>
        <v>0</v>
      </c>
      <c r="P554" s="8"/>
      <c r="Q554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54" t="s">
        <v>1363</v>
      </c>
      <c r="S554" s="1" t="s">
        <v>68</v>
      </c>
      <c r="U554" s="1" t="s">
        <v>288</v>
      </c>
      <c r="V554" s="1">
        <v>45828</v>
      </c>
      <c r="W554" s="4">
        <f>YEAR(Tableau1[[#This Row],[Competition_date]])</f>
        <v>2025</v>
      </c>
      <c r="X554" s="4">
        <v>32</v>
      </c>
      <c r="Y554" s="6">
        <v>0.3</v>
      </c>
      <c r="Z554" s="4" t="s">
        <v>79</v>
      </c>
    </row>
    <row r="555" spans="1:27" hidden="1" x14ac:dyDescent="0.35">
      <c r="A555" t="str">
        <f>_xlfn.CONCAT(Tableau1[[#This Row],[Athletes]],"_",Tableau1[[#This Row],[Nationality]],"_",Tableau1[[#This Row],[Competition_year]])</f>
        <v>Noemi BELLENGER_FRA_2025</v>
      </c>
      <c r="B555" t="s">
        <v>1355</v>
      </c>
      <c r="C555" t="s">
        <v>29</v>
      </c>
      <c r="D555" s="18" t="s">
        <v>17</v>
      </c>
      <c r="E555">
        <v>14.7</v>
      </c>
      <c r="F555">
        <v>15</v>
      </c>
      <c r="G555">
        <v>15.8</v>
      </c>
      <c r="H555">
        <v>16.100000000000001</v>
      </c>
      <c r="I555">
        <v>16</v>
      </c>
      <c r="J555">
        <v>16.3</v>
      </c>
      <c r="K555">
        <v>15.9</v>
      </c>
      <c r="L555">
        <f>Tableau1[[#This Row],[Final_time]]-SUM(Tableau1[[#This Row],[0_100m]:[600_700m]])</f>
        <v>16.590000000000003</v>
      </c>
      <c r="M555">
        <v>126.39</v>
      </c>
      <c r="N555">
        <f>SUM(Tableau1[[#This Row],[0_100m]:[700_800m]])</f>
        <v>126.39</v>
      </c>
      <c r="O555">
        <f>ABS(Tableau1[[#This Row],[Final_time]]-Tableau1[[#This Row],[Sum_time]])</f>
        <v>0</v>
      </c>
      <c r="P555" s="8"/>
      <c r="Q555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55" t="s">
        <v>1363</v>
      </c>
      <c r="S555" s="1" t="s">
        <v>68</v>
      </c>
      <c r="U555" s="1" t="s">
        <v>288</v>
      </c>
      <c r="V555" s="1">
        <v>45828</v>
      </c>
      <c r="W555" s="4">
        <f>YEAR(Tableau1[[#This Row],[Competition_date]])</f>
        <v>2025</v>
      </c>
      <c r="X555" s="4">
        <v>32</v>
      </c>
      <c r="Y555" s="6">
        <v>0.3</v>
      </c>
      <c r="Z555" s="4" t="s">
        <v>79</v>
      </c>
    </row>
    <row r="556" spans="1:27" hidden="1" x14ac:dyDescent="0.35">
      <c r="A556" t="str">
        <f>_xlfn.CONCAT(Tableau1[[#This Row],[Athletes]],"_",Tableau1[[#This Row],[Nationality]],"_",Tableau1[[#This Row],[Competition_year]])</f>
        <v>Emeline DELAVILLE_FRA_2025</v>
      </c>
      <c r="B556" t="s">
        <v>1356</v>
      </c>
      <c r="C556" t="s">
        <v>29</v>
      </c>
      <c r="D556" s="18" t="s">
        <v>17</v>
      </c>
      <c r="E556">
        <v>15.1</v>
      </c>
      <c r="F556">
        <v>15.1</v>
      </c>
      <c r="G556">
        <v>15.7</v>
      </c>
      <c r="H556">
        <v>16.100000000000001</v>
      </c>
      <c r="I556">
        <v>16</v>
      </c>
      <c r="J556">
        <v>15.9</v>
      </c>
      <c r="K556">
        <v>16.100000000000001</v>
      </c>
      <c r="L556">
        <f>Tableau1[[#This Row],[Final_time]]-SUM(Tableau1[[#This Row],[0_100m]:[600_700m]])</f>
        <v>16.97</v>
      </c>
      <c r="M556">
        <v>126.97</v>
      </c>
      <c r="N556">
        <f>SUM(Tableau1[[#This Row],[0_100m]:[700_800m]])</f>
        <v>126.97</v>
      </c>
      <c r="O556">
        <f>ABS(Tableau1[[#This Row],[Final_time]]-Tableau1[[#This Row],[Sum_time]])</f>
        <v>0</v>
      </c>
      <c r="P556" s="8"/>
      <c r="Q556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56" t="s">
        <v>1363</v>
      </c>
      <c r="S556" s="1" t="s">
        <v>68</v>
      </c>
      <c r="U556" s="1" t="s">
        <v>288</v>
      </c>
      <c r="V556" s="1">
        <v>45828</v>
      </c>
      <c r="W556" s="4">
        <f>YEAR(Tableau1[[#This Row],[Competition_date]])</f>
        <v>2025</v>
      </c>
      <c r="X556" s="4">
        <v>32</v>
      </c>
      <c r="Y556" s="6">
        <v>0.3</v>
      </c>
      <c r="Z556" s="4" t="s">
        <v>79</v>
      </c>
    </row>
    <row r="557" spans="1:27" hidden="1" x14ac:dyDescent="0.35">
      <c r="A557" t="str">
        <f>_xlfn.CONCAT(Tableau1[[#This Row],[Athletes]],"_",Tableau1[[#This Row],[Nationality]],"_",Tableau1[[#This Row],[Competition_year]])</f>
        <v>Elien BRISSE_FRA_2025</v>
      </c>
      <c r="B557" t="s">
        <v>1357</v>
      </c>
      <c r="C557" t="s">
        <v>29</v>
      </c>
      <c r="D557" s="18" t="s">
        <v>17</v>
      </c>
      <c r="E557">
        <v>15.7</v>
      </c>
      <c r="F557">
        <v>15.1</v>
      </c>
      <c r="G557">
        <v>15.4</v>
      </c>
      <c r="H557">
        <v>16</v>
      </c>
      <c r="I557">
        <v>16</v>
      </c>
      <c r="J557">
        <v>16.3</v>
      </c>
      <c r="K557">
        <v>16.5</v>
      </c>
      <c r="L557">
        <f>Tableau1[[#This Row],[Final_time]]-SUM(Tableau1[[#This Row],[0_100m]:[600_700m]])</f>
        <v>17.210000000000022</v>
      </c>
      <c r="M557">
        <v>128.21</v>
      </c>
      <c r="N557">
        <f>SUM(Tableau1[[#This Row],[0_100m]:[700_800m]])</f>
        <v>128.21</v>
      </c>
      <c r="O557">
        <f>ABS(Tableau1[[#This Row],[Final_time]]-Tableau1[[#This Row],[Sum_time]])</f>
        <v>0</v>
      </c>
      <c r="P557" s="8"/>
      <c r="Q557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57" t="s">
        <v>1363</v>
      </c>
      <c r="S557" s="1" t="s">
        <v>68</v>
      </c>
      <c r="U557" s="1" t="s">
        <v>288</v>
      </c>
      <c r="V557" s="1">
        <v>45828</v>
      </c>
      <c r="W557" s="4">
        <f>YEAR(Tableau1[[#This Row],[Competition_date]])</f>
        <v>2025</v>
      </c>
      <c r="X557" s="4">
        <v>32</v>
      </c>
      <c r="Y557" s="6">
        <v>0.3</v>
      </c>
      <c r="Z557" s="4" t="s">
        <v>79</v>
      </c>
    </row>
    <row r="558" spans="1:27" hidden="1" x14ac:dyDescent="0.35">
      <c r="A558" t="str">
        <f>_xlfn.CONCAT(Tableau1[[#This Row],[Athletes]],"_",Tableau1[[#This Row],[Nationality]],"_",Tableau1[[#This Row],[Competition_year]])</f>
        <v>Pauline LE BEL_FRA_2025</v>
      </c>
      <c r="B558" t="s">
        <v>1358</v>
      </c>
      <c r="C558" t="s">
        <v>29</v>
      </c>
      <c r="D558" s="18" t="s">
        <v>17</v>
      </c>
      <c r="E558">
        <v>15.3</v>
      </c>
      <c r="F558">
        <v>15.2</v>
      </c>
      <c r="G558">
        <v>15.9</v>
      </c>
      <c r="H558">
        <v>16.100000000000001</v>
      </c>
      <c r="I558">
        <v>16.3</v>
      </c>
      <c r="J558">
        <v>16.600000000000001</v>
      </c>
      <c r="K558">
        <v>16.600000000000001</v>
      </c>
      <c r="L558">
        <f>Tableau1[[#This Row],[Final_time]]-SUM(Tableau1[[#This Row],[0_100m]:[600_700m]])</f>
        <v>17.009999999999991</v>
      </c>
      <c r="M558">
        <v>129.01</v>
      </c>
      <c r="N558">
        <f>SUM(Tableau1[[#This Row],[0_100m]:[700_800m]])</f>
        <v>129.01</v>
      </c>
      <c r="O558">
        <f>ABS(Tableau1[[#This Row],[Final_time]]-Tableau1[[#This Row],[Sum_time]])</f>
        <v>0</v>
      </c>
      <c r="P558" s="8"/>
      <c r="Q558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58" t="s">
        <v>1363</v>
      </c>
      <c r="S558" s="1" t="s">
        <v>68</v>
      </c>
      <c r="U558" s="1" t="s">
        <v>288</v>
      </c>
      <c r="V558" s="1">
        <v>45828</v>
      </c>
      <c r="W558" s="4">
        <f>YEAR(Tableau1[[#This Row],[Competition_date]])</f>
        <v>2025</v>
      </c>
      <c r="X558" s="4">
        <v>32</v>
      </c>
      <c r="Y558" s="6">
        <v>0.3</v>
      </c>
      <c r="Z558" s="4" t="s">
        <v>79</v>
      </c>
    </row>
    <row r="559" spans="1:27" hidden="1" x14ac:dyDescent="0.35">
      <c r="A559" t="str">
        <f>_xlfn.CONCAT(Tableau1[[#This Row],[Athletes]],"_",Tableau1[[#This Row],[Nationality]],"_",Tableau1[[#This Row],[Competition_year]])</f>
        <v>Elise PEYSSON_FRA_2025</v>
      </c>
      <c r="B559" t="s">
        <v>1359</v>
      </c>
      <c r="C559" t="s">
        <v>29</v>
      </c>
      <c r="D559" s="18" t="s">
        <v>17</v>
      </c>
      <c r="E559">
        <v>15.3</v>
      </c>
      <c r="F559">
        <v>15.4</v>
      </c>
      <c r="G559">
        <v>15.4</v>
      </c>
      <c r="H559">
        <v>16.3</v>
      </c>
      <c r="I559">
        <v>15.8</v>
      </c>
      <c r="J559">
        <v>16.3</v>
      </c>
      <c r="K559">
        <v>16.8</v>
      </c>
      <c r="L559">
        <f>Tableau1[[#This Row],[Final_time]]-SUM(Tableau1[[#This Row],[0_100m]:[600_700m]])</f>
        <v>17.780000000000015</v>
      </c>
      <c r="M559">
        <v>129.08000000000001</v>
      </c>
      <c r="N559">
        <f>SUM(Tableau1[[#This Row],[0_100m]:[700_800m]])</f>
        <v>129.08000000000001</v>
      </c>
      <c r="O559">
        <f>ABS(Tableau1[[#This Row],[Final_time]]-Tableau1[[#This Row],[Sum_time]])</f>
        <v>0</v>
      </c>
      <c r="P559" s="8"/>
      <c r="Q559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59" t="s">
        <v>1363</v>
      </c>
      <c r="S559" s="1" t="s">
        <v>68</v>
      </c>
      <c r="U559" s="1" t="s">
        <v>288</v>
      </c>
      <c r="V559" s="1">
        <v>45828</v>
      </c>
      <c r="W559" s="4">
        <f>YEAR(Tableau1[[#This Row],[Competition_date]])</f>
        <v>2025</v>
      </c>
      <c r="X559" s="4">
        <v>32</v>
      </c>
      <c r="Y559" s="6">
        <v>0.3</v>
      </c>
      <c r="Z559" s="4" t="s">
        <v>79</v>
      </c>
    </row>
    <row r="560" spans="1:27" hidden="1" x14ac:dyDescent="0.35">
      <c r="A560" t="str">
        <f>_xlfn.CONCAT(Tableau1[[#This Row],[Athletes]],"_",Tableau1[[#This Row],[Nationality]],"_",Tableau1[[#This Row],[Competition_year]])</f>
        <v>Mia MBEN_FRA_2025</v>
      </c>
      <c r="B560" t="s">
        <v>1360</v>
      </c>
      <c r="C560" t="s">
        <v>29</v>
      </c>
      <c r="D560" s="18" t="s">
        <v>17</v>
      </c>
      <c r="E560">
        <v>15.7</v>
      </c>
      <c r="F560">
        <v>15.5</v>
      </c>
      <c r="G560">
        <v>15.4</v>
      </c>
      <c r="H560">
        <v>16.2</v>
      </c>
      <c r="I560">
        <v>16.3</v>
      </c>
      <c r="J560">
        <v>16.3</v>
      </c>
      <c r="K560">
        <v>16.600000000000001</v>
      </c>
      <c r="L560">
        <f>Tableau1[[#This Row],[Final_time]]-SUM(Tableau1[[#This Row],[0_100m]:[600_700m]])</f>
        <v>17.960000000000008</v>
      </c>
      <c r="M560">
        <v>129.96</v>
      </c>
      <c r="N560">
        <f>SUM(Tableau1[[#This Row],[0_100m]:[700_800m]])</f>
        <v>129.96</v>
      </c>
      <c r="O560">
        <f>ABS(Tableau1[[#This Row],[Final_time]]-Tableau1[[#This Row],[Sum_time]])</f>
        <v>0</v>
      </c>
      <c r="P560" s="8"/>
      <c r="Q560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60" t="s">
        <v>1363</v>
      </c>
      <c r="S560" s="1" t="s">
        <v>68</v>
      </c>
      <c r="U560" s="1" t="s">
        <v>288</v>
      </c>
      <c r="V560" s="1">
        <v>45828</v>
      </c>
      <c r="W560" s="4">
        <f>YEAR(Tableau1[[#This Row],[Competition_date]])</f>
        <v>2025</v>
      </c>
      <c r="X560" s="4">
        <v>32</v>
      </c>
      <c r="Y560" s="6">
        <v>0.3</v>
      </c>
      <c r="Z560" s="4" t="s">
        <v>79</v>
      </c>
    </row>
    <row r="561" spans="1:26" hidden="1" x14ac:dyDescent="0.35">
      <c r="A561" t="str">
        <f>_xlfn.CONCAT(Tableau1[[#This Row],[Athletes]],"_",Tableau1[[#This Row],[Nationality]],"_",Tableau1[[#This Row],[Competition_year]])</f>
        <v>Pauline NONNOTTE_FRA_2025</v>
      </c>
      <c r="B561" t="s">
        <v>1361</v>
      </c>
      <c r="C561" t="s">
        <v>29</v>
      </c>
      <c r="D561" s="18" t="s">
        <v>17</v>
      </c>
      <c r="E561">
        <v>15.8</v>
      </c>
      <c r="F561">
        <v>15.9</v>
      </c>
      <c r="G561">
        <v>15.8</v>
      </c>
      <c r="H561">
        <v>16.7</v>
      </c>
      <c r="I561">
        <v>16.5</v>
      </c>
      <c r="J561">
        <v>16.899999999999999</v>
      </c>
      <c r="K561">
        <v>16.7</v>
      </c>
      <c r="L561">
        <f>Tableau1[[#This Row],[Final_time]]-SUM(Tableau1[[#This Row],[0_100m]:[600_700m]])</f>
        <v>16.959999999999994</v>
      </c>
      <c r="M561">
        <v>131.26</v>
      </c>
      <c r="N561">
        <f>SUM(Tableau1[[#This Row],[0_100m]:[700_800m]])</f>
        <v>131.26</v>
      </c>
      <c r="O561">
        <f>ABS(Tableau1[[#This Row],[Final_time]]-Tableau1[[#This Row],[Sum_time]])</f>
        <v>0</v>
      </c>
      <c r="P561" s="8"/>
      <c r="Q561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61" t="s">
        <v>1363</v>
      </c>
      <c r="S561" s="1" t="s">
        <v>68</v>
      </c>
      <c r="U561" s="1" t="s">
        <v>288</v>
      </c>
      <c r="V561" s="1">
        <v>45828</v>
      </c>
      <c r="W561" s="4">
        <f>YEAR(Tableau1[[#This Row],[Competition_date]])</f>
        <v>2025</v>
      </c>
      <c r="X561" s="4">
        <v>32</v>
      </c>
      <c r="Y561" s="6">
        <v>0.3</v>
      </c>
      <c r="Z561" s="4" t="s">
        <v>79</v>
      </c>
    </row>
    <row r="562" spans="1:26" hidden="1" x14ac:dyDescent="0.35">
      <c r="A562" t="str">
        <f>_xlfn.CONCAT(Tableau1[[#This Row],[Athletes]],"_",Tableau1[[#This Row],[Nationality]],"_",Tableau1[[#This Row],[Competition_year]])</f>
        <v>Safa OUALD MAAZOUZA_FRA_2025</v>
      </c>
      <c r="B562" t="s">
        <v>1362</v>
      </c>
      <c r="C562" t="s">
        <v>29</v>
      </c>
      <c r="D562" s="18" t="s">
        <v>17</v>
      </c>
      <c r="E562">
        <v>16.399999999999999</v>
      </c>
      <c r="F562">
        <v>15.7</v>
      </c>
      <c r="G562">
        <v>15.8</v>
      </c>
      <c r="H562">
        <v>16.3</v>
      </c>
      <c r="I562">
        <v>16.100000000000001</v>
      </c>
      <c r="J562">
        <v>17</v>
      </c>
      <c r="K562">
        <v>16.899999999999999</v>
      </c>
      <c r="L562">
        <f>Tableau1[[#This Row],[Final_time]]-SUM(Tableau1[[#This Row],[0_100m]:[600_700m]])</f>
        <v>17.610000000000014</v>
      </c>
      <c r="M562">
        <v>131.81</v>
      </c>
      <c r="N562">
        <f>SUM(Tableau1[[#This Row],[0_100m]:[700_800m]])</f>
        <v>131.81</v>
      </c>
      <c r="O562">
        <f>ABS(Tableau1[[#This Row],[Final_time]]-Tableau1[[#This Row],[Sum_time]])</f>
        <v>0</v>
      </c>
      <c r="P562" s="8"/>
      <c r="Q562" s="16" t="str">
        <f>_xlfn.CONCAT(Tableau1[[#This Row],[Competition]],"_",Tableau1[[#This Row],[Championship_step]],"_",Tableau1[[#This Row],[Competition_date]],"_",Tableau1[[#This Row],[Gender]])</f>
        <v>Diamond League Paris 2025 - B race__45828_Female</v>
      </c>
      <c r="R562" t="s">
        <v>1363</v>
      </c>
      <c r="S562" s="1" t="s">
        <v>68</v>
      </c>
      <c r="U562" s="1" t="s">
        <v>288</v>
      </c>
      <c r="V562" s="1">
        <v>45828</v>
      </c>
      <c r="W562" s="4">
        <f>YEAR(Tableau1[[#This Row],[Competition_date]])</f>
        <v>2025</v>
      </c>
      <c r="X562" s="4">
        <v>32</v>
      </c>
      <c r="Y562" s="6">
        <v>0.3</v>
      </c>
      <c r="Z562" s="4" t="s">
        <v>79</v>
      </c>
    </row>
    <row r="563" spans="1:26" hidden="1" x14ac:dyDescent="0.35">
      <c r="A563" t="str">
        <f>_xlfn.CONCAT(Tableau1[[#This Row],[Athletes]],"_",Tableau1[[#This Row],[Nationality]],"_",Tableau1[[#This Row],[Competition_year]])</f>
        <v>Loic SOMBAERT_FRA_2025</v>
      </c>
      <c r="B563" s="9" t="s">
        <v>1364</v>
      </c>
      <c r="C563" s="9" t="s">
        <v>14</v>
      </c>
      <c r="D563" s="12" t="s">
        <v>17</v>
      </c>
      <c r="E563" s="14">
        <v>13.2</v>
      </c>
      <c r="F563" s="9">
        <v>12.5</v>
      </c>
      <c r="G563" s="9">
        <v>13.1</v>
      </c>
      <c r="H563" s="9">
        <v>14.4</v>
      </c>
      <c r="I563" s="9">
        <v>13.8</v>
      </c>
      <c r="J563" s="9">
        <v>14</v>
      </c>
      <c r="K563" s="9">
        <v>14</v>
      </c>
      <c r="L563">
        <f>Tableau1[[#This Row],[Final_time]]-SUM(Tableau1[[#This Row],[0_100m]:[600_700m]])</f>
        <v>14.420000000000002</v>
      </c>
      <c r="M563" s="9">
        <v>109.42</v>
      </c>
      <c r="N563">
        <f>SUM(Tableau1[[#This Row],[0_100m]:[700_800m]])</f>
        <v>109.42</v>
      </c>
      <c r="O563">
        <f>ABS(Tableau1[[#This Row],[Final_time]]-Tableau1[[#This Row],[Sum_time]])</f>
        <v>0</v>
      </c>
      <c r="P563" s="8"/>
      <c r="Q563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3" t="s">
        <v>1363</v>
      </c>
      <c r="S563" s="1" t="s">
        <v>68</v>
      </c>
      <c r="U563" s="1" t="s">
        <v>288</v>
      </c>
      <c r="V563" s="1">
        <v>45828</v>
      </c>
      <c r="W563" s="4">
        <f>YEAR(Tableau1[[#This Row],[Competition_date]])</f>
        <v>2025</v>
      </c>
      <c r="X563" s="4">
        <v>32</v>
      </c>
      <c r="Y563" s="6">
        <v>0.3</v>
      </c>
      <c r="Z563" s="4" t="s">
        <v>79</v>
      </c>
    </row>
    <row r="564" spans="1:26" hidden="1" x14ac:dyDescent="0.35">
      <c r="A564" t="str">
        <f>_xlfn.CONCAT(Tableau1[[#This Row],[Athletes]],"_",Tableau1[[#This Row],[Nationality]],"_",Tableau1[[#This Row],[Competition_year]])</f>
        <v>Nathan BRUYERE_FRA_2025</v>
      </c>
      <c r="B564" s="9" t="s">
        <v>1365</v>
      </c>
      <c r="C564" s="9" t="s">
        <v>14</v>
      </c>
      <c r="D564" s="12" t="s">
        <v>17</v>
      </c>
      <c r="E564" s="14">
        <v>13.4</v>
      </c>
      <c r="F564" s="9">
        <v>12.5</v>
      </c>
      <c r="G564" s="9">
        <v>13.1</v>
      </c>
      <c r="H564" s="9">
        <v>14.4</v>
      </c>
      <c r="I564" s="9">
        <v>13.8</v>
      </c>
      <c r="J564" s="9">
        <v>14</v>
      </c>
      <c r="K564" s="9">
        <v>14.2</v>
      </c>
      <c r="L564">
        <f>Tableau1[[#This Row],[Final_time]]-SUM(Tableau1[[#This Row],[0_100m]:[600_700m]])</f>
        <v>14.11</v>
      </c>
      <c r="M564" s="9">
        <v>109.51</v>
      </c>
      <c r="N564">
        <f>SUM(Tableau1[[#This Row],[0_100m]:[700_800m]])</f>
        <v>109.51</v>
      </c>
      <c r="O564">
        <f>ABS(Tableau1[[#This Row],[Final_time]]-Tableau1[[#This Row],[Sum_time]])</f>
        <v>0</v>
      </c>
      <c r="P564" s="8"/>
      <c r="Q564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4" t="s">
        <v>1363</v>
      </c>
      <c r="S564" s="1" t="s">
        <v>68</v>
      </c>
      <c r="U564" s="1" t="s">
        <v>288</v>
      </c>
      <c r="V564" s="1">
        <v>45828</v>
      </c>
      <c r="W564" s="4">
        <f>YEAR(Tableau1[[#This Row],[Competition_date]])</f>
        <v>2025</v>
      </c>
      <c r="X564" s="4">
        <v>32</v>
      </c>
      <c r="Y564" s="6">
        <v>0.3</v>
      </c>
      <c r="Z564" s="4" t="s">
        <v>79</v>
      </c>
    </row>
    <row r="565" spans="1:26" hidden="1" x14ac:dyDescent="0.35">
      <c r="A565" t="str">
        <f>_xlfn.CONCAT(Tableau1[[#This Row],[Athletes]],"_",Tableau1[[#This Row],[Nationality]],"_",Tableau1[[#This Row],[Competition_year]])</f>
        <v>Enzo GRANGER_FRA_2025</v>
      </c>
      <c r="B565" s="9" t="s">
        <v>1366</v>
      </c>
      <c r="C565" s="9" t="s">
        <v>14</v>
      </c>
      <c r="D565" s="12" t="s">
        <v>17</v>
      </c>
      <c r="E565" s="14">
        <v>13.4</v>
      </c>
      <c r="F565" s="9">
        <v>12.8</v>
      </c>
      <c r="G565" s="9">
        <v>13.2</v>
      </c>
      <c r="H565" s="9">
        <v>14.4</v>
      </c>
      <c r="I565" s="9">
        <v>13.9</v>
      </c>
      <c r="J565" s="9">
        <v>13.6</v>
      </c>
      <c r="K565" s="9">
        <v>14</v>
      </c>
      <c r="L565">
        <f>Tableau1[[#This Row],[Final_time]]-SUM(Tableau1[[#This Row],[0_100m]:[600_700m]])</f>
        <v>14.280000000000001</v>
      </c>
      <c r="M565" s="9">
        <v>109.58</v>
      </c>
      <c r="N565">
        <f>SUM(Tableau1[[#This Row],[0_100m]:[700_800m]])</f>
        <v>109.58</v>
      </c>
      <c r="O565">
        <f>ABS(Tableau1[[#This Row],[Final_time]]-Tableau1[[#This Row],[Sum_time]])</f>
        <v>0</v>
      </c>
      <c r="P565" s="8"/>
      <c r="Q565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5" t="s">
        <v>1363</v>
      </c>
      <c r="S565" s="1" t="s">
        <v>68</v>
      </c>
      <c r="U565" s="1" t="s">
        <v>288</v>
      </c>
      <c r="V565" s="1">
        <v>45828</v>
      </c>
      <c r="W565" s="4">
        <f>YEAR(Tableau1[[#This Row],[Competition_date]])</f>
        <v>2025</v>
      </c>
      <c r="X565" s="4">
        <v>32</v>
      </c>
      <c r="Y565" s="6">
        <v>0.3</v>
      </c>
      <c r="Z565" s="4" t="s">
        <v>79</v>
      </c>
    </row>
    <row r="566" spans="1:26" hidden="1" x14ac:dyDescent="0.35">
      <c r="A566" t="str">
        <f>_xlfn.CONCAT(Tableau1[[#This Row],[Athletes]],"_",Tableau1[[#This Row],[Nationality]],"_",Tableau1[[#This Row],[Competition_year]])</f>
        <v>Simon GERMAINE_FRA_2025</v>
      </c>
      <c r="B566" s="9" t="s">
        <v>1367</v>
      </c>
      <c r="C566" s="9" t="s">
        <v>14</v>
      </c>
      <c r="D566" s="12" t="s">
        <v>17</v>
      </c>
      <c r="E566" s="14">
        <v>13.4</v>
      </c>
      <c r="F566" s="9">
        <v>12.7</v>
      </c>
      <c r="G566" s="9">
        <v>13.1</v>
      </c>
      <c r="H566" s="9">
        <v>14.4</v>
      </c>
      <c r="I566" s="9">
        <v>13.9</v>
      </c>
      <c r="J566" s="9">
        <v>13.6</v>
      </c>
      <c r="K566" s="9">
        <v>14.1</v>
      </c>
      <c r="L566">
        <f>Tableau1[[#This Row],[Final_time]]-SUM(Tableau1[[#This Row],[0_100m]:[600_700m]])</f>
        <v>14.670000000000016</v>
      </c>
      <c r="M566" s="9">
        <v>109.87</v>
      </c>
      <c r="N566">
        <f>SUM(Tableau1[[#This Row],[0_100m]:[700_800m]])</f>
        <v>109.87</v>
      </c>
      <c r="O566">
        <f>ABS(Tableau1[[#This Row],[Final_time]]-Tableau1[[#This Row],[Sum_time]])</f>
        <v>0</v>
      </c>
      <c r="P566" s="8"/>
      <c r="Q566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6" t="s">
        <v>1363</v>
      </c>
      <c r="S566" s="1" t="s">
        <v>68</v>
      </c>
      <c r="U566" s="1" t="s">
        <v>288</v>
      </c>
      <c r="V566" s="1">
        <v>45828</v>
      </c>
      <c r="W566" s="4">
        <f>YEAR(Tableau1[[#This Row],[Competition_date]])</f>
        <v>2025</v>
      </c>
      <c r="X566" s="4">
        <v>32</v>
      </c>
      <c r="Y566" s="6">
        <v>0.3</v>
      </c>
      <c r="Z566" s="4" t="s">
        <v>79</v>
      </c>
    </row>
    <row r="567" spans="1:26" hidden="1" x14ac:dyDescent="0.35">
      <c r="A567" t="str">
        <f>_xlfn.CONCAT(Tableau1[[#This Row],[Athletes]],"_",Tableau1[[#This Row],[Nationality]],"_",Tableau1[[#This Row],[Competition_year]])</f>
        <v>Mickael YEYE_FRA_2025</v>
      </c>
      <c r="B567" s="9" t="s">
        <v>1368</v>
      </c>
      <c r="C567" s="9" t="s">
        <v>14</v>
      </c>
      <c r="D567" s="12" t="s">
        <v>17</v>
      </c>
      <c r="E567" s="14">
        <v>13.1</v>
      </c>
      <c r="F567" s="9">
        <v>12.3</v>
      </c>
      <c r="G567" s="9">
        <v>13.2</v>
      </c>
      <c r="H567" s="9">
        <v>14.4</v>
      </c>
      <c r="I567" s="9">
        <v>13.8</v>
      </c>
      <c r="J567" s="9">
        <v>14</v>
      </c>
      <c r="K567" s="9">
        <v>14.4</v>
      </c>
      <c r="L567">
        <f>Tableau1[[#This Row],[Final_time]]-SUM(Tableau1[[#This Row],[0_100m]:[600_700m]])</f>
        <v>16.310000000000002</v>
      </c>
      <c r="M567" s="9">
        <v>111.51</v>
      </c>
      <c r="N567">
        <f>SUM(Tableau1[[#This Row],[0_100m]:[700_800m]])</f>
        <v>111.51</v>
      </c>
      <c r="O567">
        <f>ABS(Tableau1[[#This Row],[Final_time]]-Tableau1[[#This Row],[Sum_time]])</f>
        <v>0</v>
      </c>
      <c r="P567" s="8"/>
      <c r="Q567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7" t="s">
        <v>1363</v>
      </c>
      <c r="S567" s="1" t="s">
        <v>68</v>
      </c>
      <c r="U567" s="1" t="s">
        <v>288</v>
      </c>
      <c r="V567" s="1">
        <v>45828</v>
      </c>
      <c r="W567" s="4">
        <f>YEAR(Tableau1[[#This Row],[Competition_date]])</f>
        <v>2025</v>
      </c>
      <c r="X567" s="4">
        <v>32</v>
      </c>
      <c r="Y567" s="6">
        <v>0.3</v>
      </c>
      <c r="Z567" s="4" t="s">
        <v>79</v>
      </c>
    </row>
    <row r="568" spans="1:26" hidden="1" x14ac:dyDescent="0.35">
      <c r="A568" t="str">
        <f>_xlfn.CONCAT(Tableau1[[#This Row],[Athletes]],"_",Tableau1[[#This Row],[Nationality]],"_",Tableau1[[#This Row],[Competition_year]])</f>
        <v>Oihan CORRET_FRA_2025</v>
      </c>
      <c r="B568" s="9" t="s">
        <v>1369</v>
      </c>
      <c r="C568" s="9" t="s">
        <v>14</v>
      </c>
      <c r="D568" s="12" t="s">
        <v>17</v>
      </c>
      <c r="E568" s="14">
        <v>13.4</v>
      </c>
      <c r="F568" s="9">
        <v>13</v>
      </c>
      <c r="G568" s="9">
        <v>13.3</v>
      </c>
      <c r="H568" s="9">
        <v>14.5</v>
      </c>
      <c r="I568" s="9">
        <v>14.2</v>
      </c>
      <c r="J568" s="9">
        <v>14.2</v>
      </c>
      <c r="K568" s="9">
        <v>14.6</v>
      </c>
      <c r="L568">
        <f>Tableau1[[#This Row],[Final_time]]-SUM(Tableau1[[#This Row],[0_100m]:[600_700m]])</f>
        <v>15.159999999999997</v>
      </c>
      <c r="M568" s="9">
        <v>112.36</v>
      </c>
      <c r="N568">
        <f>SUM(Tableau1[[#This Row],[0_100m]:[700_800m]])</f>
        <v>112.36</v>
      </c>
      <c r="O568">
        <f>ABS(Tableau1[[#This Row],[Final_time]]-Tableau1[[#This Row],[Sum_time]])</f>
        <v>0</v>
      </c>
      <c r="P568" s="8"/>
      <c r="Q568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8" t="s">
        <v>1363</v>
      </c>
      <c r="S568" s="1" t="s">
        <v>68</v>
      </c>
      <c r="U568" s="1" t="s">
        <v>288</v>
      </c>
      <c r="V568" s="1">
        <v>45828</v>
      </c>
      <c r="W568" s="4">
        <f>YEAR(Tableau1[[#This Row],[Competition_date]])</f>
        <v>2025</v>
      </c>
      <c r="X568" s="4">
        <v>32</v>
      </c>
      <c r="Y568" s="6">
        <v>0.3</v>
      </c>
      <c r="Z568" s="4" t="s">
        <v>79</v>
      </c>
    </row>
    <row r="569" spans="1:26" hidden="1" x14ac:dyDescent="0.35">
      <c r="A569" t="str">
        <f>_xlfn.CONCAT(Tableau1[[#This Row],[Athletes]],"_",Tableau1[[#This Row],[Nationality]],"_",Tableau1[[#This Row],[Competition_year]])</f>
        <v>Issa MBEN_FRA_2025</v>
      </c>
      <c r="B569" s="9" t="s">
        <v>1370</v>
      </c>
      <c r="C569" s="9" t="s">
        <v>14</v>
      </c>
      <c r="D569" s="12" t="s">
        <v>17</v>
      </c>
      <c r="E569" s="14">
        <v>13.6</v>
      </c>
      <c r="F569" s="9">
        <v>13</v>
      </c>
      <c r="G569" s="9">
        <v>13.4</v>
      </c>
      <c r="H569" s="9">
        <v>14.4</v>
      </c>
      <c r="I569" s="9">
        <v>14.4</v>
      </c>
      <c r="J569" s="9">
        <v>14.3</v>
      </c>
      <c r="K569" s="9">
        <v>14.3</v>
      </c>
      <c r="L569">
        <f>Tableau1[[#This Row],[Final_time]]-SUM(Tableau1[[#This Row],[0_100m]:[600_700m]])</f>
        <v>15.140000000000015</v>
      </c>
      <c r="M569" s="9">
        <v>112.54</v>
      </c>
      <c r="N569">
        <f>SUM(Tableau1[[#This Row],[0_100m]:[700_800m]])</f>
        <v>112.54</v>
      </c>
      <c r="O569">
        <f>ABS(Tableau1[[#This Row],[Final_time]]-Tableau1[[#This Row],[Sum_time]])</f>
        <v>0</v>
      </c>
      <c r="P569" s="8"/>
      <c r="Q569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69" t="s">
        <v>1363</v>
      </c>
      <c r="S569" s="1" t="s">
        <v>68</v>
      </c>
      <c r="U569" s="1" t="s">
        <v>288</v>
      </c>
      <c r="V569" s="1">
        <v>45828</v>
      </c>
      <c r="W569" s="4">
        <f>YEAR(Tableau1[[#This Row],[Competition_date]])</f>
        <v>2025</v>
      </c>
      <c r="X569" s="4">
        <v>32</v>
      </c>
      <c r="Y569" s="6">
        <v>0.3</v>
      </c>
      <c r="Z569" s="4" t="s">
        <v>79</v>
      </c>
    </row>
    <row r="570" spans="1:26" hidden="1" x14ac:dyDescent="0.35">
      <c r="A570" t="str">
        <f>_xlfn.CONCAT(Tableau1[[#This Row],[Athletes]],"_",Tableau1[[#This Row],[Nationality]],"_",Tableau1[[#This Row],[Competition_year]])</f>
        <v>Erwann le COURTOIS_FRA_2025</v>
      </c>
      <c r="B570" s="9" t="s">
        <v>1371</v>
      </c>
      <c r="C570" s="9" t="s">
        <v>14</v>
      </c>
      <c r="D570" s="12" t="s">
        <v>17</v>
      </c>
      <c r="E570" s="14">
        <v>13.7</v>
      </c>
      <c r="F570" s="9">
        <v>13.1</v>
      </c>
      <c r="G570" s="9">
        <v>13.4</v>
      </c>
      <c r="H570" s="9">
        <v>14.3</v>
      </c>
      <c r="I570" s="9">
        <v>14.5</v>
      </c>
      <c r="J570" s="9">
        <v>14.3</v>
      </c>
      <c r="K570" s="9">
        <v>14.5</v>
      </c>
      <c r="L570">
        <f>Tableau1[[#This Row],[Final_time]]-SUM(Tableau1[[#This Row],[0_100m]:[600_700m]])</f>
        <v>15.740000000000009</v>
      </c>
      <c r="M570" s="9">
        <v>113.54</v>
      </c>
      <c r="N570">
        <f>SUM(Tableau1[[#This Row],[0_100m]:[700_800m]])</f>
        <v>113.54</v>
      </c>
      <c r="O570">
        <f>ABS(Tableau1[[#This Row],[Final_time]]-Tableau1[[#This Row],[Sum_time]])</f>
        <v>0</v>
      </c>
      <c r="P570" s="8"/>
      <c r="Q570" s="16" t="str">
        <f>_xlfn.CONCAT(Tableau1[[#This Row],[Competition]],"_",Tableau1[[#This Row],[Championship_step]],"_",Tableau1[[#This Row],[Competition_date]],"_",Tableau1[[#This Row],[Gender]])</f>
        <v>Diamond League Paris 2025 - B race__45828_Male</v>
      </c>
      <c r="R570" t="s">
        <v>1363</v>
      </c>
      <c r="S570" s="1" t="s">
        <v>68</v>
      </c>
      <c r="U570" s="1" t="s">
        <v>288</v>
      </c>
      <c r="V570" s="1">
        <v>45828</v>
      </c>
      <c r="W570" s="4">
        <f>YEAR(Tableau1[[#This Row],[Competition_date]])</f>
        <v>2025</v>
      </c>
      <c r="X570" s="4">
        <v>32</v>
      </c>
      <c r="Y570" s="6">
        <v>0.3</v>
      </c>
      <c r="Z570" s="4" t="s">
        <v>79</v>
      </c>
    </row>
    <row r="571" spans="1:26" hidden="1" x14ac:dyDescent="0.35">
      <c r="A571" t="str">
        <f>_xlfn.CONCAT(Tableau1[[#This Row],[Athletes]],"_",Tableau1[[#This Row],[Nationality]],"_",Tableau1[[#This Row],[Competition_year]])</f>
        <v>Mohamed ATTAOUI_ESP_2025</v>
      </c>
      <c r="B571" t="s">
        <v>110</v>
      </c>
      <c r="C571" t="s">
        <v>14</v>
      </c>
      <c r="D571" s="18" t="s">
        <v>37</v>
      </c>
      <c r="E571">
        <v>12.7</v>
      </c>
      <c r="F571">
        <v>11.6</v>
      </c>
      <c r="G571">
        <v>12.7</v>
      </c>
      <c r="H571">
        <v>13.1</v>
      </c>
      <c r="I571">
        <v>13.2</v>
      </c>
      <c r="J571">
        <v>13.4</v>
      </c>
      <c r="K571">
        <v>13.3</v>
      </c>
      <c r="L571">
        <f>Tableau1[[#This Row],[Final_time]]-SUM(Tableau1[[#This Row],[0_100m]:[600_700m]])</f>
        <v>12.730000000000004</v>
      </c>
      <c r="M571">
        <v>102.73</v>
      </c>
      <c r="N571">
        <f>SUM(Tableau1[[#This Row],[0_100m]:[700_800m]])</f>
        <v>102.73</v>
      </c>
      <c r="O571">
        <f>ABS(Tableau1[[#This Row],[Final_time]]-Tableau1[[#This Row],[Sum_time]])</f>
        <v>0</v>
      </c>
      <c r="P571" s="8"/>
      <c r="Q571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1" t="s">
        <v>1374</v>
      </c>
      <c r="S571" s="1" t="s">
        <v>68</v>
      </c>
      <c r="U571" s="1" t="s">
        <v>69</v>
      </c>
      <c r="V571" s="1">
        <v>45828</v>
      </c>
      <c r="W571" s="4">
        <f>YEAR(Tableau1[[#This Row],[Competition_date]])</f>
        <v>2025</v>
      </c>
      <c r="X571" s="4">
        <v>28</v>
      </c>
      <c r="Y571" s="6">
        <v>0.38</v>
      </c>
      <c r="Z571" s="4" t="s">
        <v>79</v>
      </c>
    </row>
    <row r="572" spans="1:26" hidden="1" x14ac:dyDescent="0.35">
      <c r="A572" t="str">
        <f>_xlfn.CONCAT(Tableau1[[#This Row],[Athletes]],"_",Tableau1[[#This Row],[Nationality]],"_",Tableau1[[#This Row],[Competition_year]])</f>
        <v>Josh HOEY_USA_2025</v>
      </c>
      <c r="B572" t="s">
        <v>1372</v>
      </c>
      <c r="C572" t="s">
        <v>14</v>
      </c>
      <c r="D572" s="18" t="s">
        <v>35</v>
      </c>
      <c r="E572">
        <v>12.4</v>
      </c>
      <c r="F572">
        <v>11.1</v>
      </c>
      <c r="G572">
        <v>12.5</v>
      </c>
      <c r="H572">
        <v>13.3</v>
      </c>
      <c r="I572">
        <v>13.4</v>
      </c>
      <c r="J572">
        <v>13.5</v>
      </c>
      <c r="K572">
        <v>13.3</v>
      </c>
      <c r="L572">
        <f>Tableau1[[#This Row],[Final_time]]-SUM(Tableau1[[#This Row],[0_100m]:[600_700m]])</f>
        <v>13.500000000000014</v>
      </c>
      <c r="M572">
        <v>103</v>
      </c>
      <c r="N572">
        <f>SUM(Tableau1[[#This Row],[0_100m]:[700_800m]])</f>
        <v>103</v>
      </c>
      <c r="O572">
        <f>ABS(Tableau1[[#This Row],[Final_time]]-Tableau1[[#This Row],[Sum_time]])</f>
        <v>0</v>
      </c>
      <c r="P572" s="8"/>
      <c r="Q572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2" t="s">
        <v>1374</v>
      </c>
      <c r="S572" s="1" t="s">
        <v>68</v>
      </c>
      <c r="U572" s="1" t="s">
        <v>69</v>
      </c>
      <c r="V572" s="1">
        <v>45828</v>
      </c>
      <c r="W572" s="4">
        <f>YEAR(Tableau1[[#This Row],[Competition_date]])</f>
        <v>2025</v>
      </c>
      <c r="X572" s="4">
        <v>28</v>
      </c>
      <c r="Y572" s="6">
        <v>0.38</v>
      </c>
      <c r="Z572" s="4" t="s">
        <v>79</v>
      </c>
    </row>
    <row r="573" spans="1:26" hidden="1" x14ac:dyDescent="0.35">
      <c r="A573" t="str">
        <f>_xlfn.CONCAT(Tableau1[[#This Row],[Athletes]],"_",Tableau1[[#This Row],[Nationality]],"_",Tableau1[[#This Row],[Competition_year]])</f>
        <v>Bryce HOPPEL_USA_2025</v>
      </c>
      <c r="B573" t="s">
        <v>173</v>
      </c>
      <c r="C573" t="s">
        <v>14</v>
      </c>
      <c r="D573" s="18" t="s">
        <v>35</v>
      </c>
      <c r="E573">
        <v>12.3</v>
      </c>
      <c r="F573">
        <v>11.2</v>
      </c>
      <c r="G573">
        <v>12.6</v>
      </c>
      <c r="H573">
        <v>13.5</v>
      </c>
      <c r="I573">
        <v>13.6</v>
      </c>
      <c r="J573">
        <v>13.3</v>
      </c>
      <c r="K573">
        <v>13.4</v>
      </c>
      <c r="L573">
        <f>Tableau1[[#This Row],[Final_time]]-SUM(Tableau1[[#This Row],[0_100m]:[600_700m]])</f>
        <v>13.209999999999994</v>
      </c>
      <c r="M573">
        <v>103.11</v>
      </c>
      <c r="N573">
        <f>SUM(Tableau1[[#This Row],[0_100m]:[700_800m]])</f>
        <v>103.11</v>
      </c>
      <c r="O573">
        <f>ABS(Tableau1[[#This Row],[Final_time]]-Tableau1[[#This Row],[Sum_time]])</f>
        <v>0</v>
      </c>
      <c r="P573" s="8"/>
      <c r="Q573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3" t="s">
        <v>1374</v>
      </c>
      <c r="S573" s="1" t="s">
        <v>68</v>
      </c>
      <c r="U573" s="1" t="s">
        <v>69</v>
      </c>
      <c r="V573" s="1">
        <v>45828</v>
      </c>
      <c r="W573" s="4">
        <f>YEAR(Tableau1[[#This Row],[Competition_date]])</f>
        <v>2025</v>
      </c>
      <c r="X573" s="4">
        <v>28</v>
      </c>
      <c r="Y573" s="6">
        <v>0.38</v>
      </c>
      <c r="Z573" s="4" t="s">
        <v>79</v>
      </c>
    </row>
    <row r="574" spans="1:26" hidden="1" x14ac:dyDescent="0.35">
      <c r="A574" t="str">
        <f>_xlfn.CONCAT(Tableau1[[#This Row],[Athletes]],"_",Tableau1[[#This Row],[Nationality]],"_",Tableau1[[#This Row],[Competition_year]])</f>
        <v>Max BURGIN_GBR_2025</v>
      </c>
      <c r="B574" t="s">
        <v>188</v>
      </c>
      <c r="C574" t="s">
        <v>14</v>
      </c>
      <c r="D574" s="18" t="s">
        <v>30</v>
      </c>
      <c r="E574">
        <v>12.3</v>
      </c>
      <c r="F574">
        <v>11.2</v>
      </c>
      <c r="G574">
        <v>12.8</v>
      </c>
      <c r="H574">
        <v>13.5</v>
      </c>
      <c r="I574">
        <v>13.8</v>
      </c>
      <c r="J574">
        <v>13.3</v>
      </c>
      <c r="K574">
        <v>13.4</v>
      </c>
      <c r="L574">
        <f>Tableau1[[#This Row],[Final_time]]-SUM(Tableau1[[#This Row],[0_100m]:[600_700m]])</f>
        <v>13.310000000000002</v>
      </c>
      <c r="M574">
        <v>103.61</v>
      </c>
      <c r="N574">
        <f>SUM(Tableau1[[#This Row],[0_100m]:[700_800m]])</f>
        <v>103.61</v>
      </c>
      <c r="O574">
        <f>ABS(Tableau1[[#This Row],[Final_time]]-Tableau1[[#This Row],[Sum_time]])</f>
        <v>0</v>
      </c>
      <c r="P574" s="8"/>
      <c r="Q574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4" t="s">
        <v>1374</v>
      </c>
      <c r="S574" s="1" t="s">
        <v>68</v>
      </c>
      <c r="U574" s="1" t="s">
        <v>69</v>
      </c>
      <c r="V574" s="1">
        <v>45828</v>
      </c>
      <c r="W574" s="4">
        <f>YEAR(Tableau1[[#This Row],[Competition_date]])</f>
        <v>2025</v>
      </c>
      <c r="X574" s="4">
        <v>28</v>
      </c>
      <c r="Y574" s="6">
        <v>0.38</v>
      </c>
      <c r="Z574" s="4" t="s">
        <v>79</v>
      </c>
    </row>
    <row r="575" spans="1:26" hidden="1" x14ac:dyDescent="0.35">
      <c r="A575" t="str">
        <f>_xlfn.CONCAT(Tableau1[[#This Row],[Athletes]],"_",Tableau1[[#This Row],[Nationality]],"_",Tableau1[[#This Row],[Competition_year]])</f>
        <v>Gabriel TUAL_FRA_2025</v>
      </c>
      <c r="B575" t="s">
        <v>180</v>
      </c>
      <c r="C575" t="s">
        <v>14</v>
      </c>
      <c r="D575" s="18" t="s">
        <v>17</v>
      </c>
      <c r="E575">
        <v>12.3</v>
      </c>
      <c r="F575">
        <v>11.4</v>
      </c>
      <c r="G575">
        <v>12.8</v>
      </c>
      <c r="H575">
        <v>13.3</v>
      </c>
      <c r="I575">
        <v>13.8</v>
      </c>
      <c r="J575">
        <v>13</v>
      </c>
      <c r="K575">
        <v>13.6</v>
      </c>
      <c r="L575">
        <f>Tableau1[[#This Row],[Final_time]]-SUM(Tableau1[[#This Row],[0_100m]:[600_700m]])</f>
        <v>13.640000000000015</v>
      </c>
      <c r="M575">
        <v>103.84</v>
      </c>
      <c r="N575">
        <f>SUM(Tableau1[[#This Row],[0_100m]:[700_800m]])</f>
        <v>103.84</v>
      </c>
      <c r="O575">
        <f>ABS(Tableau1[[#This Row],[Final_time]]-Tableau1[[#This Row],[Sum_time]])</f>
        <v>0</v>
      </c>
      <c r="P575" s="8"/>
      <c r="Q575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5" t="s">
        <v>1374</v>
      </c>
      <c r="S575" s="1" t="s">
        <v>68</v>
      </c>
      <c r="U575" s="1" t="s">
        <v>69</v>
      </c>
      <c r="V575" s="1">
        <v>45828</v>
      </c>
      <c r="W575" s="4">
        <f>YEAR(Tableau1[[#This Row],[Competition_date]])</f>
        <v>2025</v>
      </c>
      <c r="X575" s="4">
        <v>28</v>
      </c>
      <c r="Y575" s="6">
        <v>0.38</v>
      </c>
      <c r="Z575" s="4" t="s">
        <v>79</v>
      </c>
    </row>
    <row r="576" spans="1:26" hidden="1" x14ac:dyDescent="0.35">
      <c r="A576" t="str">
        <f>_xlfn.CONCAT(Tableau1[[#This Row],[Athletes]],"_",Tableau1[[#This Row],[Nationality]],"_",Tableau1[[#This Row],[Competition_year]])</f>
        <v>Mark ENGLISH_IRL_2025</v>
      </c>
      <c r="B576" t="s">
        <v>187</v>
      </c>
      <c r="C576" t="s">
        <v>14</v>
      </c>
      <c r="D576" s="18" t="s">
        <v>66</v>
      </c>
      <c r="E576">
        <v>12.6</v>
      </c>
      <c r="F576">
        <v>12.1</v>
      </c>
      <c r="G576">
        <v>12.7</v>
      </c>
      <c r="H576">
        <v>13.2</v>
      </c>
      <c r="I576">
        <v>13.4</v>
      </c>
      <c r="J576">
        <v>13.2</v>
      </c>
      <c r="K576">
        <v>13.7</v>
      </c>
      <c r="L576">
        <f>Tableau1[[#This Row],[Final_time]]-SUM(Tableau1[[#This Row],[0_100m]:[600_700m]])</f>
        <v>13.080000000000013</v>
      </c>
      <c r="M576">
        <v>103.98</v>
      </c>
      <c r="N576">
        <f>SUM(Tableau1[[#This Row],[0_100m]:[700_800m]])</f>
        <v>103.98</v>
      </c>
      <c r="O576">
        <f>ABS(Tableau1[[#This Row],[Final_time]]-Tableau1[[#This Row],[Sum_time]])</f>
        <v>0</v>
      </c>
      <c r="P576" s="8"/>
      <c r="Q576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6" t="s">
        <v>1374</v>
      </c>
      <c r="S576" s="1" t="s">
        <v>68</v>
      </c>
      <c r="U576" s="1" t="s">
        <v>69</v>
      </c>
      <c r="V576" s="1">
        <v>45828</v>
      </c>
      <c r="W576" s="4">
        <f>YEAR(Tableau1[[#This Row],[Competition_date]])</f>
        <v>2025</v>
      </c>
      <c r="X576" s="4">
        <v>28</v>
      </c>
      <c r="Y576" s="6">
        <v>0.38</v>
      </c>
      <c r="Z576" s="4" t="s">
        <v>79</v>
      </c>
    </row>
    <row r="577" spans="1:27" hidden="1" x14ac:dyDescent="0.35">
      <c r="A577" t="str">
        <f>_xlfn.CONCAT(Tableau1[[#This Row],[Athletes]],"_",Tableau1[[#This Row],[Nationality]],"_",Tableau1[[#This Row],[Competition_year]])</f>
        <v>Andreas KRAMER_SWE_2025</v>
      </c>
      <c r="B577" t="s">
        <v>186</v>
      </c>
      <c r="C577" t="s">
        <v>14</v>
      </c>
      <c r="D577" s="18" t="s">
        <v>28</v>
      </c>
      <c r="E577">
        <v>12.3</v>
      </c>
      <c r="F577">
        <v>11.6</v>
      </c>
      <c r="G577">
        <v>12.9</v>
      </c>
      <c r="H577">
        <v>12.9</v>
      </c>
      <c r="I577">
        <v>13.3</v>
      </c>
      <c r="J577">
        <v>13.4</v>
      </c>
      <c r="K577">
        <v>13.4</v>
      </c>
      <c r="L577">
        <f>Tableau1[[#This Row],[Final_time]]-SUM(Tableau1[[#This Row],[0_100m]:[600_700m]])</f>
        <v>14.219999999999985</v>
      </c>
      <c r="M577">
        <v>104.02</v>
      </c>
      <c r="N577">
        <f>SUM(Tableau1[[#This Row],[0_100m]:[700_800m]])</f>
        <v>104.02</v>
      </c>
      <c r="O577">
        <f>ABS(Tableau1[[#This Row],[Final_time]]-Tableau1[[#This Row],[Sum_time]])</f>
        <v>0</v>
      </c>
      <c r="P577" s="8"/>
      <c r="Q577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7" t="s">
        <v>1374</v>
      </c>
      <c r="S577" s="1" t="s">
        <v>68</v>
      </c>
      <c r="U577" s="1" t="s">
        <v>69</v>
      </c>
      <c r="V577" s="1">
        <v>45828</v>
      </c>
      <c r="W577" s="4">
        <f>YEAR(Tableau1[[#This Row],[Competition_date]])</f>
        <v>2025</v>
      </c>
      <c r="X577" s="4">
        <v>28</v>
      </c>
      <c r="Y577" s="6">
        <v>0.38</v>
      </c>
      <c r="Z577" s="4" t="s">
        <v>79</v>
      </c>
    </row>
    <row r="578" spans="1:27" hidden="1" x14ac:dyDescent="0.35">
      <c r="A578" t="str">
        <f>_xlfn.CONCAT(Tableau1[[#This Row],[Athletes]],"_",Tableau1[[#This Row],[Nationality]],"_",Tableau1[[#This Row],[Competition_year]])</f>
        <v>Tshepiso MASALELA_BOT_2025</v>
      </c>
      <c r="B578" t="s">
        <v>107</v>
      </c>
      <c r="C578" t="s">
        <v>14</v>
      </c>
      <c r="D578" s="18" t="s">
        <v>44</v>
      </c>
      <c r="E578">
        <v>12.4</v>
      </c>
      <c r="F578">
        <v>11.1</v>
      </c>
      <c r="G578">
        <v>12.8</v>
      </c>
      <c r="H578">
        <v>13.4</v>
      </c>
      <c r="I578">
        <v>13.7</v>
      </c>
      <c r="J578">
        <v>13</v>
      </c>
      <c r="K578">
        <v>13.7</v>
      </c>
      <c r="L578">
        <f>Tableau1[[#This Row],[Final_time]]-SUM(Tableau1[[#This Row],[0_100m]:[600_700m]])</f>
        <v>14.060000000000002</v>
      </c>
      <c r="M578">
        <v>104.16</v>
      </c>
      <c r="N578">
        <f>SUM(Tableau1[[#This Row],[0_100m]:[700_800m]])</f>
        <v>104.16</v>
      </c>
      <c r="O578">
        <f>ABS(Tableau1[[#This Row],[Final_time]]-Tableau1[[#This Row],[Sum_time]])</f>
        <v>0</v>
      </c>
      <c r="P578" s="8"/>
      <c r="Q578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8" t="s">
        <v>1374</v>
      </c>
      <c r="S578" s="1" t="s">
        <v>68</v>
      </c>
      <c r="U578" s="1" t="s">
        <v>69</v>
      </c>
      <c r="V578" s="1">
        <v>45828</v>
      </c>
      <c r="W578" s="4">
        <f>YEAR(Tableau1[[#This Row],[Competition_date]])</f>
        <v>2025</v>
      </c>
      <c r="X578" s="4">
        <v>28</v>
      </c>
      <c r="Y578" s="6">
        <v>0.38</v>
      </c>
      <c r="Z578" s="4" t="s">
        <v>79</v>
      </c>
    </row>
    <row r="579" spans="1:27" hidden="1" x14ac:dyDescent="0.35">
      <c r="A579" t="str">
        <f>_xlfn.CONCAT(Tableau1[[#This Row],[Athletes]],"_",Tableau1[[#This Row],[Nationality]],"_",Tableau1[[#This Row],[Competition_year]])</f>
        <v>Slimane MOULA_ALG_2025</v>
      </c>
      <c r="B579" t="s">
        <v>103</v>
      </c>
      <c r="C579" t="s">
        <v>14</v>
      </c>
      <c r="D579" s="18" t="s">
        <v>24</v>
      </c>
      <c r="E579">
        <v>12.4</v>
      </c>
      <c r="F579">
        <v>11.4</v>
      </c>
      <c r="G579">
        <v>12.9</v>
      </c>
      <c r="H579">
        <v>13.4</v>
      </c>
      <c r="I579">
        <v>13.8</v>
      </c>
      <c r="J579">
        <v>13.1</v>
      </c>
      <c r="K579">
        <v>13.5</v>
      </c>
      <c r="L579">
        <f>Tableau1[[#This Row],[Final_time]]-SUM(Tableau1[[#This Row],[0_100m]:[600_700m]])</f>
        <v>13.959999999999994</v>
      </c>
      <c r="M579">
        <v>104.46</v>
      </c>
      <c r="N579">
        <f>SUM(Tableau1[[#This Row],[0_100m]:[700_800m]])</f>
        <v>104.46</v>
      </c>
      <c r="O579">
        <f>ABS(Tableau1[[#This Row],[Final_time]]-Tableau1[[#This Row],[Sum_time]])</f>
        <v>0</v>
      </c>
      <c r="P579" s="8"/>
      <c r="Q579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79" t="s">
        <v>1374</v>
      </c>
      <c r="S579" s="1" t="s">
        <v>68</v>
      </c>
      <c r="U579" s="1" t="s">
        <v>69</v>
      </c>
      <c r="V579" s="1">
        <v>45828</v>
      </c>
      <c r="W579" s="4">
        <f>YEAR(Tableau1[[#This Row],[Competition_date]])</f>
        <v>2025</v>
      </c>
      <c r="X579" s="4">
        <v>28</v>
      </c>
      <c r="Y579" s="6">
        <v>0.38</v>
      </c>
      <c r="Z579" s="4" t="s">
        <v>79</v>
      </c>
    </row>
    <row r="580" spans="1:27" hidden="1" x14ac:dyDescent="0.35">
      <c r="A580" t="str">
        <f>_xlfn.CONCAT(Tableau1[[#This Row],[Athletes]],"_",Tableau1[[#This Row],[Nationality]],"_",Tableau1[[#This Row],[Competition_year]])</f>
        <v>Yanis MEZIANE_FRA_2025</v>
      </c>
      <c r="B580" t="s">
        <v>171</v>
      </c>
      <c r="C580" t="s">
        <v>14</v>
      </c>
      <c r="D580" s="18" t="s">
        <v>17</v>
      </c>
      <c r="E580">
        <v>12.6</v>
      </c>
      <c r="F580">
        <v>11.9</v>
      </c>
      <c r="G580">
        <v>12.7</v>
      </c>
      <c r="H580">
        <v>13.2</v>
      </c>
      <c r="I580">
        <v>13.7</v>
      </c>
      <c r="J580">
        <v>13.4</v>
      </c>
      <c r="K580">
        <v>13.5</v>
      </c>
      <c r="L580">
        <f>Tableau1[[#This Row],[Final_time]]-SUM(Tableau1[[#This Row],[0_100m]:[600_700m]])</f>
        <v>13.549999999999983</v>
      </c>
      <c r="M580">
        <v>104.55</v>
      </c>
      <c r="N580">
        <f>SUM(Tableau1[[#This Row],[0_100m]:[700_800m]])</f>
        <v>104.55</v>
      </c>
      <c r="O580">
        <f>ABS(Tableau1[[#This Row],[Final_time]]-Tableau1[[#This Row],[Sum_time]])</f>
        <v>0</v>
      </c>
      <c r="P580" s="8"/>
      <c r="Q580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80" t="s">
        <v>1374</v>
      </c>
      <c r="S580" s="1" t="s">
        <v>68</v>
      </c>
      <c r="U580" s="1" t="s">
        <v>69</v>
      </c>
      <c r="V580" s="1">
        <v>45828</v>
      </c>
      <c r="W580" s="4">
        <f>YEAR(Tableau1[[#This Row],[Competition_date]])</f>
        <v>2025</v>
      </c>
      <c r="X580" s="4">
        <v>28</v>
      </c>
      <c r="Y580" s="6">
        <v>0.38</v>
      </c>
      <c r="Z580" s="4" t="s">
        <v>79</v>
      </c>
    </row>
    <row r="581" spans="1:27" hidden="1" x14ac:dyDescent="0.35">
      <c r="A581" t="str">
        <f>_xlfn.CONCAT(Tableau1[[#This Row],[Athletes]],"_",Tableau1[[#This Row],[Nationality]],"_",Tableau1[[#This Row],[Competition_year]])</f>
        <v>Wyclife KINYAMAL_KEN_2025</v>
      </c>
      <c r="B581" t="s">
        <v>174</v>
      </c>
      <c r="C581" t="s">
        <v>14</v>
      </c>
      <c r="D581" s="18" t="s">
        <v>15</v>
      </c>
      <c r="E581">
        <v>11.9</v>
      </c>
      <c r="F581">
        <v>11.5</v>
      </c>
      <c r="G581">
        <v>12.5</v>
      </c>
      <c r="H581">
        <v>13.6</v>
      </c>
      <c r="I581">
        <v>13.6</v>
      </c>
      <c r="J581">
        <v>13.7</v>
      </c>
      <c r="K581">
        <v>13.8</v>
      </c>
      <c r="L581">
        <f>Tableau1[[#This Row],[Final_time]]-SUM(Tableau1[[#This Row],[0_100m]:[600_700m]])</f>
        <v>14.25</v>
      </c>
      <c r="M581">
        <v>104.85</v>
      </c>
      <c r="N581">
        <f>SUM(Tableau1[[#This Row],[0_100m]:[700_800m]])</f>
        <v>104.85</v>
      </c>
      <c r="O581">
        <f>ABS(Tableau1[[#This Row],[Final_time]]-Tableau1[[#This Row],[Sum_time]])</f>
        <v>0</v>
      </c>
      <c r="P581" s="8"/>
      <c r="Q581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81" t="s">
        <v>1374</v>
      </c>
      <c r="S581" s="1" t="s">
        <v>68</v>
      </c>
      <c r="U581" s="1" t="s">
        <v>69</v>
      </c>
      <c r="V581" s="1">
        <v>45828</v>
      </c>
      <c r="W581" s="4">
        <f>YEAR(Tableau1[[#This Row],[Competition_date]])</f>
        <v>2025</v>
      </c>
      <c r="X581" s="4">
        <v>28</v>
      </c>
      <c r="Y581" s="6">
        <v>0.38</v>
      </c>
      <c r="Z581" s="4" t="s">
        <v>79</v>
      </c>
    </row>
    <row r="582" spans="1:27" hidden="1" x14ac:dyDescent="0.35">
      <c r="A582" t="str">
        <f>_xlfn.CONCAT(Tableau1[[#This Row],[Athletes]],"_",Tableau1[[#This Row],[Nationality]],"_",Tableau1[[#This Row],[Competition_year]])</f>
        <v>Nicholas Kiplangat KEBENEI_KEN_2025</v>
      </c>
      <c r="B582" t="s">
        <v>1398</v>
      </c>
      <c r="C582" t="s">
        <v>14</v>
      </c>
      <c r="D582" s="18" t="s">
        <v>15</v>
      </c>
      <c r="E582">
        <v>12.3</v>
      </c>
      <c r="F582">
        <v>11.4</v>
      </c>
      <c r="G582">
        <v>12.8</v>
      </c>
      <c r="H582">
        <v>13.5</v>
      </c>
      <c r="I582">
        <v>13.8</v>
      </c>
      <c r="J582">
        <v>13.3</v>
      </c>
      <c r="K582">
        <v>13.7</v>
      </c>
      <c r="L582">
        <f>Tableau1[[#This Row],[Final_time]]-SUM(Tableau1[[#This Row],[0_100m]:[600_700m]])</f>
        <v>14.230000000000004</v>
      </c>
      <c r="M582">
        <v>105.03</v>
      </c>
      <c r="N582">
        <f>SUM(Tableau1[[#This Row],[0_100m]:[700_800m]])</f>
        <v>105.03</v>
      </c>
      <c r="O582">
        <f>ABS(Tableau1[[#This Row],[Final_time]]-Tableau1[[#This Row],[Sum_time]])</f>
        <v>0</v>
      </c>
      <c r="P582" s="8"/>
      <c r="Q582" s="16" t="str">
        <f>_xlfn.CONCAT(Tableau1[[#This Row],[Competition]],"_",Tableau1[[#This Row],[Championship_step]],"_",Tableau1[[#This Row],[Competition_date]],"_",Tableau1[[#This Row],[Gender]])</f>
        <v>Diamond League Paris 2025__45828_Male</v>
      </c>
      <c r="R582" t="s">
        <v>1374</v>
      </c>
      <c r="S582" s="1" t="s">
        <v>68</v>
      </c>
      <c r="U582" s="1" t="s">
        <v>69</v>
      </c>
      <c r="V582" s="1">
        <v>45828</v>
      </c>
      <c r="W582" s="4">
        <f>YEAR(Tableau1[[#This Row],[Competition_date]])</f>
        <v>2025</v>
      </c>
      <c r="X582" s="4">
        <v>28</v>
      </c>
      <c r="Y582" s="6">
        <v>0.38</v>
      </c>
      <c r="Z582" s="4" t="s">
        <v>79</v>
      </c>
    </row>
    <row r="583" spans="1:27" hidden="1" x14ac:dyDescent="0.35">
      <c r="A583" t="str">
        <f>_xlfn.CONCAT(Tableau1[[#This Row],[Athletes]],"_",Tableau1[[#This Row],[Nationality]],"_",Tableau1[[#This Row],[Competition_year]])</f>
        <v>Wafa ZAROUAL_MAR_2022</v>
      </c>
      <c r="B583" s="9" t="s">
        <v>1299</v>
      </c>
      <c r="C583" s="9" t="s">
        <v>29</v>
      </c>
      <c r="D583" s="12" t="s">
        <v>21</v>
      </c>
      <c r="E583" s="9">
        <v>14.9</v>
      </c>
      <c r="F583" s="9">
        <v>14.9</v>
      </c>
      <c r="G583" s="9">
        <v>15.3</v>
      </c>
      <c r="H583" s="9">
        <v>15.6</v>
      </c>
      <c r="I583" s="9">
        <v>16.2</v>
      </c>
      <c r="J583" s="9">
        <v>16.3</v>
      </c>
      <c r="K583" s="9">
        <v>16.7</v>
      </c>
      <c r="L583">
        <f>Tableau1[[#This Row],[Final_time]]-SUM(Tableau1[[#This Row],[0_100m]:[600_700m]])</f>
        <v>16.739999999999995</v>
      </c>
      <c r="M583" s="9">
        <v>126.64</v>
      </c>
      <c r="N583">
        <f>SUM(Tableau1[[#This Row],[0_100m]:[700_800m]])</f>
        <v>126.64</v>
      </c>
      <c r="O583">
        <f>ABS(Tableau1[[#This Row],[Final_time]]-Tableau1[[#This Row],[Sum_time]])</f>
        <v>0</v>
      </c>
      <c r="P583" s="8"/>
      <c r="Q583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3" t="s">
        <v>493</v>
      </c>
      <c r="S583" s="1" t="s">
        <v>68</v>
      </c>
      <c r="U583" s="1" t="s">
        <v>288</v>
      </c>
      <c r="V583" s="1">
        <v>44717</v>
      </c>
      <c r="W583" s="4">
        <f>YEAR(Tableau1[[#This Row],[Competition_date]])</f>
        <v>2022</v>
      </c>
      <c r="X583" s="4">
        <v>22</v>
      </c>
      <c r="Y583" s="6">
        <v>0.75</v>
      </c>
      <c r="Z583" s="4" t="s">
        <v>79</v>
      </c>
      <c r="AA583" t="s">
        <v>176</v>
      </c>
    </row>
    <row r="584" spans="1:27" hidden="1" x14ac:dyDescent="0.35">
      <c r="A584" t="str">
        <f>_xlfn.CONCAT(Tableau1[[#This Row],[Athletes]],"_",Tableau1[[#This Row],[Nationality]],"_",Tableau1[[#This Row],[Competition_year]])</f>
        <v>Lamiae MAMOUNI_MAR_2022</v>
      </c>
      <c r="B584" s="9" t="s">
        <v>979</v>
      </c>
      <c r="C584" s="9" t="s">
        <v>29</v>
      </c>
      <c r="D584" s="12" t="s">
        <v>21</v>
      </c>
      <c r="E584" s="9">
        <v>15.1</v>
      </c>
      <c r="F584" s="9">
        <v>14.9</v>
      </c>
      <c r="G584" s="9">
        <v>15.4</v>
      </c>
      <c r="H584" s="9">
        <v>15.8</v>
      </c>
      <c r="I584" s="9">
        <v>16.7</v>
      </c>
      <c r="J584" s="9">
        <v>16.899999999999999</v>
      </c>
      <c r="K584" s="9">
        <v>17.600000000000001</v>
      </c>
      <c r="L584">
        <f>Tableau1[[#This Row],[Final_time]]-SUM(Tableau1[[#This Row],[0_100m]:[600_700m]])</f>
        <v>17.909999999999997</v>
      </c>
      <c r="M584" s="9">
        <v>130.31</v>
      </c>
      <c r="N584">
        <f>SUM(Tableau1[[#This Row],[0_100m]:[700_800m]])</f>
        <v>130.31</v>
      </c>
      <c r="O584">
        <f>ABS(Tableau1[[#This Row],[Final_time]]-Tableau1[[#This Row],[Sum_time]])</f>
        <v>0</v>
      </c>
      <c r="P584" s="8"/>
      <c r="Q584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4" t="s">
        <v>493</v>
      </c>
      <c r="S584" s="1" t="s">
        <v>68</v>
      </c>
      <c r="U584" s="1" t="s">
        <v>288</v>
      </c>
      <c r="V584" s="1">
        <v>44717</v>
      </c>
      <c r="W584" s="4">
        <f>YEAR(Tableau1[[#This Row],[Competition_date]])</f>
        <v>2022</v>
      </c>
      <c r="X584" s="4">
        <v>22</v>
      </c>
      <c r="Y584" s="6">
        <v>0.75</v>
      </c>
      <c r="Z584" s="4" t="s">
        <v>79</v>
      </c>
      <c r="AA584" t="s">
        <v>176</v>
      </c>
    </row>
    <row r="585" spans="1:27" hidden="1" x14ac:dyDescent="0.35">
      <c r="A585" t="str">
        <f>_xlfn.CONCAT(Tableau1[[#This Row],[Athletes]],"_",Tableau1[[#This Row],[Nationality]],"_",Tableau1[[#This Row],[Competition_year]])</f>
        <v>Assia AIT TALEB_MAR_2022</v>
      </c>
      <c r="B585" s="9" t="s">
        <v>393</v>
      </c>
      <c r="C585" s="9" t="s">
        <v>29</v>
      </c>
      <c r="D585" s="12" t="s">
        <v>21</v>
      </c>
      <c r="E585" s="9">
        <v>15.4</v>
      </c>
      <c r="F585" s="9">
        <v>15.8</v>
      </c>
      <c r="G585" s="9">
        <v>16.100000000000001</v>
      </c>
      <c r="H585" s="9">
        <v>16.600000000000001</v>
      </c>
      <c r="I585" s="9">
        <v>16.899999999999999</v>
      </c>
      <c r="J585" s="9">
        <v>16.8</v>
      </c>
      <c r="K585" s="9">
        <v>16.899999999999999</v>
      </c>
      <c r="L585">
        <f>Tableau1[[#This Row],[Final_time]]-SUM(Tableau1[[#This Row],[0_100m]:[600_700m]])</f>
        <v>17.300000000000011</v>
      </c>
      <c r="M585" s="9">
        <v>131.80000000000001</v>
      </c>
      <c r="N585">
        <f>SUM(Tableau1[[#This Row],[0_100m]:[700_800m]])</f>
        <v>131.80000000000001</v>
      </c>
      <c r="O585">
        <f>ABS(Tableau1[[#This Row],[Final_time]]-Tableau1[[#This Row],[Sum_time]])</f>
        <v>0</v>
      </c>
      <c r="P585" s="8"/>
      <c r="Q585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5" t="s">
        <v>493</v>
      </c>
      <c r="S585" s="1" t="s">
        <v>68</v>
      </c>
      <c r="U585" s="1" t="s">
        <v>288</v>
      </c>
      <c r="V585" s="1">
        <v>44717</v>
      </c>
      <c r="W585" s="4">
        <f>YEAR(Tableau1[[#This Row],[Competition_date]])</f>
        <v>2022</v>
      </c>
      <c r="X585" s="4">
        <v>22</v>
      </c>
      <c r="Y585" s="6">
        <v>0.75</v>
      </c>
      <c r="Z585" s="4" t="s">
        <v>79</v>
      </c>
      <c r="AA585" t="s">
        <v>176</v>
      </c>
    </row>
    <row r="586" spans="1:27" hidden="1" x14ac:dyDescent="0.35">
      <c r="A586" t="str">
        <f>_xlfn.CONCAT(Tableau1[[#This Row],[Athletes]],"_",Tableau1[[#This Row],[Nationality]],"_",Tableau1[[#This Row],[Competition_year]])</f>
        <v>Dounia SOUHAIL_MAR_2022</v>
      </c>
      <c r="B586" s="9" t="s">
        <v>394</v>
      </c>
      <c r="C586" s="9" t="s">
        <v>29</v>
      </c>
      <c r="D586" s="12" t="s">
        <v>21</v>
      </c>
      <c r="E586" s="9">
        <v>15.7</v>
      </c>
      <c r="F586" s="9">
        <v>15.4</v>
      </c>
      <c r="G586" s="9">
        <v>16.100000000000001</v>
      </c>
      <c r="H586" s="9">
        <v>16.600000000000001</v>
      </c>
      <c r="I586" s="9">
        <v>17</v>
      </c>
      <c r="J586" s="9">
        <v>17.399999999999999</v>
      </c>
      <c r="K586" s="9">
        <v>18.100000000000001</v>
      </c>
      <c r="L586">
        <f>Tableau1[[#This Row],[Final_time]]-SUM(Tableau1[[#This Row],[0_100m]:[600_700m]])</f>
        <v>17.75</v>
      </c>
      <c r="M586" s="9">
        <v>134.05000000000001</v>
      </c>
      <c r="N586">
        <f>SUM(Tableau1[[#This Row],[0_100m]:[700_800m]])</f>
        <v>134.05000000000001</v>
      </c>
      <c r="O586">
        <f>ABS(Tableau1[[#This Row],[Final_time]]-Tableau1[[#This Row],[Sum_time]])</f>
        <v>0</v>
      </c>
      <c r="P586" s="8"/>
      <c r="Q586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6" t="s">
        <v>493</v>
      </c>
      <c r="S586" s="1" t="s">
        <v>68</v>
      </c>
      <c r="U586" s="1" t="s">
        <v>288</v>
      </c>
      <c r="V586" s="1">
        <v>44717</v>
      </c>
      <c r="W586" s="4">
        <f>YEAR(Tableau1[[#This Row],[Competition_date]])</f>
        <v>2022</v>
      </c>
      <c r="X586" s="4">
        <v>22</v>
      </c>
      <c r="Y586" s="6">
        <v>0.75</v>
      </c>
      <c r="Z586" s="4" t="s">
        <v>79</v>
      </c>
      <c r="AA586" t="s">
        <v>176</v>
      </c>
    </row>
    <row r="587" spans="1:27" hidden="1" x14ac:dyDescent="0.35">
      <c r="A587" t="str">
        <f>_xlfn.CONCAT(Tableau1[[#This Row],[Athletes]],"_",Tableau1[[#This Row],[Nationality]],"_",Tableau1[[#This Row],[Competition_year]])</f>
        <v>Meryem ELMOUTACHARRAF_MAR_2022</v>
      </c>
      <c r="B587" s="9" t="s">
        <v>1054</v>
      </c>
      <c r="C587" s="9" t="s">
        <v>29</v>
      </c>
      <c r="D587" s="12" t="s">
        <v>21</v>
      </c>
      <c r="E587" s="9">
        <v>15.5</v>
      </c>
      <c r="F587" s="9">
        <v>15.5</v>
      </c>
      <c r="G587" s="9">
        <v>16</v>
      </c>
      <c r="H587" s="9">
        <v>16.600000000000001</v>
      </c>
      <c r="I587" s="9">
        <v>17</v>
      </c>
      <c r="J587" s="9">
        <v>17.3</v>
      </c>
      <c r="K587" s="9">
        <v>17.399999999999999</v>
      </c>
      <c r="L587">
        <f>Tableau1[[#This Row],[Final_time]]-SUM(Tableau1[[#This Row],[0_100m]:[600_700m]])</f>
        <v>19.150000000000006</v>
      </c>
      <c r="M587" s="9">
        <v>134.44999999999999</v>
      </c>
      <c r="N587">
        <f>SUM(Tableau1[[#This Row],[0_100m]:[700_800m]])</f>
        <v>134.44999999999999</v>
      </c>
      <c r="O587">
        <f>ABS(Tableau1[[#This Row],[Final_time]]-Tableau1[[#This Row],[Sum_time]])</f>
        <v>0</v>
      </c>
      <c r="P587" s="8"/>
      <c r="Q587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7" t="s">
        <v>493</v>
      </c>
      <c r="S587" s="1" t="s">
        <v>68</v>
      </c>
      <c r="U587" s="1" t="s">
        <v>288</v>
      </c>
      <c r="V587" s="1">
        <v>44717</v>
      </c>
      <c r="W587" s="4">
        <f>YEAR(Tableau1[[#This Row],[Competition_date]])</f>
        <v>2022</v>
      </c>
      <c r="X587" s="4">
        <v>22</v>
      </c>
      <c r="Y587" s="6">
        <v>0.75</v>
      </c>
      <c r="Z587" s="4" t="s">
        <v>79</v>
      </c>
      <c r="AA587" t="s">
        <v>176</v>
      </c>
    </row>
    <row r="588" spans="1:27" hidden="1" x14ac:dyDescent="0.35">
      <c r="A588" t="str">
        <f>_xlfn.CONCAT(Tableau1[[#This Row],[Athletes]],"_",Tableau1[[#This Row],[Nationality]],"_",Tableau1[[#This Row],[Competition_year]])</f>
        <v>Khaddouj EL BALI_MAR_2022</v>
      </c>
      <c r="B588" s="9" t="s">
        <v>959</v>
      </c>
      <c r="C588" s="9" t="s">
        <v>29</v>
      </c>
      <c r="D588" s="12" t="s">
        <v>21</v>
      </c>
      <c r="E588" s="9">
        <v>16</v>
      </c>
      <c r="F588" s="9">
        <v>15.6</v>
      </c>
      <c r="G588" s="9">
        <v>16.100000000000001</v>
      </c>
      <c r="H588" s="9">
        <v>16.5</v>
      </c>
      <c r="I588" s="9">
        <v>17.100000000000001</v>
      </c>
      <c r="J588" s="9">
        <v>17.399999999999999</v>
      </c>
      <c r="K588" s="9">
        <v>18.5</v>
      </c>
      <c r="L588">
        <f>Tableau1[[#This Row],[Final_time]]-SUM(Tableau1[[#This Row],[0_100m]:[600_700m]])</f>
        <v>17.609999999999985</v>
      </c>
      <c r="M588" s="9">
        <v>134.81</v>
      </c>
      <c r="N588">
        <f>SUM(Tableau1[[#This Row],[0_100m]:[700_800m]])</f>
        <v>134.81</v>
      </c>
      <c r="O588">
        <f>ABS(Tableau1[[#This Row],[Final_time]]-Tableau1[[#This Row],[Sum_time]])</f>
        <v>0</v>
      </c>
      <c r="P588" s="8"/>
      <c r="Q588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8" t="s">
        <v>493</v>
      </c>
      <c r="S588" s="1" t="s">
        <v>68</v>
      </c>
      <c r="U588" s="1" t="s">
        <v>288</v>
      </c>
      <c r="V588" s="1">
        <v>44717</v>
      </c>
      <c r="W588" s="4">
        <f>YEAR(Tableau1[[#This Row],[Competition_date]])</f>
        <v>2022</v>
      </c>
      <c r="X588" s="4">
        <v>22</v>
      </c>
      <c r="Y588" s="6">
        <v>0.75</v>
      </c>
      <c r="Z588" s="4" t="s">
        <v>79</v>
      </c>
      <c r="AA588" t="s">
        <v>176</v>
      </c>
    </row>
    <row r="589" spans="1:27" hidden="1" x14ac:dyDescent="0.35">
      <c r="A589" t="str">
        <f>_xlfn.CONCAT(Tableau1[[#This Row],[Athletes]],"_",Tableau1[[#This Row],[Nationality]],"_",Tableau1[[#This Row],[Competition_year]])</f>
        <v>Loubna LAHDAR_MAR_2022</v>
      </c>
      <c r="B589" s="9" t="s">
        <v>1003</v>
      </c>
      <c r="C589" s="9" t="s">
        <v>29</v>
      </c>
      <c r="D589" s="12" t="s">
        <v>21</v>
      </c>
      <c r="E589" s="9">
        <v>15.7</v>
      </c>
      <c r="F589" s="9">
        <v>16.100000000000001</v>
      </c>
      <c r="G589" s="9">
        <v>16.2</v>
      </c>
      <c r="H589" s="9">
        <v>17</v>
      </c>
      <c r="I589" s="9">
        <v>17.600000000000001</v>
      </c>
      <c r="J589" s="9">
        <v>18.2</v>
      </c>
      <c r="K589" s="9">
        <v>18.8</v>
      </c>
      <c r="L589">
        <f>Tableau1[[#This Row],[Final_time]]-SUM(Tableau1[[#This Row],[0_100m]:[600_700m]])</f>
        <v>17.629999999999995</v>
      </c>
      <c r="M589" s="9">
        <v>137.22999999999999</v>
      </c>
      <c r="N589">
        <f>SUM(Tableau1[[#This Row],[0_100m]:[700_800m]])</f>
        <v>137.22999999999999</v>
      </c>
      <c r="O589">
        <f>ABS(Tableau1[[#This Row],[Final_time]]-Tableau1[[#This Row],[Sum_time]])</f>
        <v>0</v>
      </c>
      <c r="P589" s="8"/>
      <c r="Q589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89" t="s">
        <v>493</v>
      </c>
      <c r="S589" s="1" t="s">
        <v>68</v>
      </c>
      <c r="U589" s="1" t="s">
        <v>288</v>
      </c>
      <c r="V589" s="1">
        <v>44717</v>
      </c>
      <c r="W589" s="4">
        <f>YEAR(Tableau1[[#This Row],[Competition_date]])</f>
        <v>2022</v>
      </c>
      <c r="X589" s="4">
        <v>22</v>
      </c>
      <c r="Y589" s="6">
        <v>0.75</v>
      </c>
      <c r="Z589" s="4" t="s">
        <v>79</v>
      </c>
      <c r="AA589" t="s">
        <v>176</v>
      </c>
    </row>
    <row r="590" spans="1:27" hidden="1" x14ac:dyDescent="0.35">
      <c r="A590" t="str">
        <f>_xlfn.CONCAT(Tableau1[[#This Row],[Athletes]],"_",Tableau1[[#This Row],[Nationality]],"_",Tableau1[[#This Row],[Competition_year]])</f>
        <v>Aya ELOUIZI_MAR_2022</v>
      </c>
      <c r="B590" s="9" t="s">
        <v>395</v>
      </c>
      <c r="C590" s="9" t="s">
        <v>29</v>
      </c>
      <c r="D590" s="12" t="s">
        <v>21</v>
      </c>
      <c r="E590" s="9">
        <v>15.4</v>
      </c>
      <c r="F590" s="9">
        <v>15.5</v>
      </c>
      <c r="G590" s="9">
        <v>16.600000000000001</v>
      </c>
      <c r="H590" s="9">
        <v>16.899999999999999</v>
      </c>
      <c r="I590" s="9">
        <v>18.5</v>
      </c>
      <c r="J590" s="9">
        <v>19.100000000000001</v>
      </c>
      <c r="K590" s="9">
        <v>20</v>
      </c>
      <c r="L590">
        <f>Tableau1[[#This Row],[Final_time]]-SUM(Tableau1[[#This Row],[0_100m]:[600_700m]])</f>
        <v>19.080000000000013</v>
      </c>
      <c r="M590" s="9">
        <v>141.08000000000001</v>
      </c>
      <c r="N590">
        <f>SUM(Tableau1[[#This Row],[0_100m]:[700_800m]])</f>
        <v>141.08000000000001</v>
      </c>
      <c r="O590">
        <f>ABS(Tableau1[[#This Row],[Final_time]]-Tableau1[[#This Row],[Sum_time]])</f>
        <v>0</v>
      </c>
      <c r="P590" s="8"/>
      <c r="Q590" s="16" t="str">
        <f>_xlfn.CONCAT(Tableau1[[#This Row],[Competition]],"_",Tableau1[[#This Row],[Championship_step]],"_",Tableau1[[#This Row],[Competition_date]],"_",Tableau1[[#This Row],[Gender]])</f>
        <v>Diamond League Rabat 2022 - U23__44717_Female</v>
      </c>
      <c r="R590" t="s">
        <v>493</v>
      </c>
      <c r="S590" s="1" t="s">
        <v>68</v>
      </c>
      <c r="U590" s="1" t="s">
        <v>288</v>
      </c>
      <c r="V590" s="1">
        <v>44717</v>
      </c>
      <c r="W590" s="4">
        <f>YEAR(Tableau1[[#This Row],[Competition_date]])</f>
        <v>2022</v>
      </c>
      <c r="X590" s="4">
        <v>22</v>
      </c>
      <c r="Y590" s="6">
        <v>0.75</v>
      </c>
      <c r="Z590" s="4" t="s">
        <v>79</v>
      </c>
      <c r="AA590" t="s">
        <v>176</v>
      </c>
    </row>
    <row r="591" spans="1:27" hidden="1" x14ac:dyDescent="0.35">
      <c r="A591" t="str">
        <f>_xlfn.CONCAT(Tableau1[[#This Row],[Athletes]],"_",Tableau1[[#This Row],[Nationality]],"_",Tableau1[[#This Row],[Competition_year]])</f>
        <v>Yassine BENYOUSSEF_MAR_2022</v>
      </c>
      <c r="B591" s="9" t="s">
        <v>315</v>
      </c>
      <c r="C591" s="9" t="s">
        <v>14</v>
      </c>
      <c r="D591" s="12" t="s">
        <v>21</v>
      </c>
      <c r="E591" s="9">
        <v>13.1</v>
      </c>
      <c r="F591" s="9">
        <v>14.5</v>
      </c>
      <c r="G591" s="9">
        <v>15.6</v>
      </c>
      <c r="H591" s="9">
        <v>16</v>
      </c>
      <c r="I591" s="9">
        <v>14.3</v>
      </c>
      <c r="J591" s="9">
        <v>14</v>
      </c>
      <c r="K591" s="9">
        <v>13.6</v>
      </c>
      <c r="L591">
        <f>Tableau1[[#This Row],[Final_time]]-SUM(Tableau1[[#This Row],[0_100m]:[600_700m]])</f>
        <v>13.320000000000007</v>
      </c>
      <c r="M591" s="9">
        <v>114.42</v>
      </c>
      <c r="N591">
        <f>SUM(Tableau1[[#This Row],[0_100m]:[700_800m]])</f>
        <v>114.42</v>
      </c>
      <c r="O591">
        <f>ABS(Tableau1[[#This Row],[Final_time]]-Tableau1[[#This Row],[Sum_time]])</f>
        <v>0</v>
      </c>
      <c r="P591" s="8"/>
      <c r="Q591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1" t="s">
        <v>493</v>
      </c>
      <c r="S591" s="1" t="s">
        <v>68</v>
      </c>
      <c r="U591" s="1" t="s">
        <v>288</v>
      </c>
      <c r="V591" s="1">
        <v>44717</v>
      </c>
      <c r="W591" s="4">
        <f>YEAR(Tableau1[[#This Row],[Competition_date]])</f>
        <v>2022</v>
      </c>
      <c r="X591" s="4">
        <v>22</v>
      </c>
      <c r="Y591" s="6">
        <v>0.75</v>
      </c>
      <c r="Z591" s="4" t="s">
        <v>79</v>
      </c>
      <c r="AA591" t="s">
        <v>176</v>
      </c>
    </row>
    <row r="592" spans="1:27" hidden="1" x14ac:dyDescent="0.35">
      <c r="A592" t="str">
        <f>_xlfn.CONCAT(Tableau1[[#This Row],[Athletes]],"_",Tableau1[[#This Row],[Nationality]],"_",Tableau1[[#This Row],[Competition_year]])</f>
        <v>Ali BENZEM_MAR_2022</v>
      </c>
      <c r="B592" s="9" t="s">
        <v>386</v>
      </c>
      <c r="C592" s="9" t="s">
        <v>14</v>
      </c>
      <c r="D592" s="12" t="s">
        <v>21</v>
      </c>
      <c r="E592" s="9">
        <v>13.7</v>
      </c>
      <c r="F592" s="9">
        <v>14.1</v>
      </c>
      <c r="G592" s="9">
        <v>15.7</v>
      </c>
      <c r="H592" s="9">
        <v>16</v>
      </c>
      <c r="I592" s="9">
        <v>14.4</v>
      </c>
      <c r="J592" s="9">
        <v>14.1</v>
      </c>
      <c r="K592" s="9">
        <v>13.9</v>
      </c>
      <c r="L592">
        <f>Tableau1[[#This Row],[Final_time]]-SUM(Tableau1[[#This Row],[0_100m]:[600_700m]])</f>
        <v>13.36999999999999</v>
      </c>
      <c r="M592" s="9">
        <v>115.27</v>
      </c>
      <c r="N592">
        <f>SUM(Tableau1[[#This Row],[0_100m]:[700_800m]])</f>
        <v>115.27</v>
      </c>
      <c r="O592">
        <f>ABS(Tableau1[[#This Row],[Final_time]]-Tableau1[[#This Row],[Sum_time]])</f>
        <v>0</v>
      </c>
      <c r="P592" s="8"/>
      <c r="Q592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2" t="s">
        <v>493</v>
      </c>
      <c r="S592" s="1" t="s">
        <v>68</v>
      </c>
      <c r="U592" s="1" t="s">
        <v>288</v>
      </c>
      <c r="V592" s="1">
        <v>44717</v>
      </c>
      <c r="W592" s="4">
        <f>YEAR(Tableau1[[#This Row],[Competition_date]])</f>
        <v>2022</v>
      </c>
      <c r="X592" s="4">
        <v>22</v>
      </c>
      <c r="Y592" s="6">
        <v>0.75</v>
      </c>
      <c r="Z592" s="4" t="s">
        <v>79</v>
      </c>
      <c r="AA592" t="s">
        <v>176</v>
      </c>
    </row>
    <row r="593" spans="1:27" hidden="1" x14ac:dyDescent="0.35">
      <c r="A593" t="str">
        <f>_xlfn.CONCAT(Tableau1[[#This Row],[Athletes]],"_",Tableau1[[#This Row],[Nationality]],"_",Tableau1[[#This Row],[Competition_year]])</f>
        <v>Ahmad RAHOUI_MAR_2022</v>
      </c>
      <c r="B593" s="9" t="s">
        <v>544</v>
      </c>
      <c r="C593" s="9" t="s">
        <v>14</v>
      </c>
      <c r="D593" s="12" t="s">
        <v>21</v>
      </c>
      <c r="E593" s="9">
        <v>13.4</v>
      </c>
      <c r="F593" s="9">
        <v>14.2</v>
      </c>
      <c r="G593" s="9">
        <v>15.7</v>
      </c>
      <c r="H593" s="9">
        <v>16</v>
      </c>
      <c r="I593" s="9">
        <v>14.4</v>
      </c>
      <c r="J593" s="9">
        <v>14.1</v>
      </c>
      <c r="K593" s="9">
        <v>13.8</v>
      </c>
      <c r="L593">
        <f>Tableau1[[#This Row],[Final_time]]-SUM(Tableau1[[#This Row],[0_100m]:[600_700m]])</f>
        <v>13.870000000000005</v>
      </c>
      <c r="M593" s="9">
        <v>115.47</v>
      </c>
      <c r="N593">
        <f>SUM(Tableau1[[#This Row],[0_100m]:[700_800m]])</f>
        <v>115.47</v>
      </c>
      <c r="O593">
        <f>ABS(Tableau1[[#This Row],[Final_time]]-Tableau1[[#This Row],[Sum_time]])</f>
        <v>0</v>
      </c>
      <c r="P593" s="8"/>
      <c r="Q593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3" t="s">
        <v>493</v>
      </c>
      <c r="S593" s="1" t="s">
        <v>68</v>
      </c>
      <c r="U593" s="1" t="s">
        <v>288</v>
      </c>
      <c r="V593" s="1">
        <v>44717</v>
      </c>
      <c r="W593" s="4">
        <f>YEAR(Tableau1[[#This Row],[Competition_date]])</f>
        <v>2022</v>
      </c>
      <c r="X593" s="4">
        <v>22</v>
      </c>
      <c r="Y593" s="6">
        <v>0.75</v>
      </c>
      <c r="Z593" s="4" t="s">
        <v>79</v>
      </c>
      <c r="AA593" t="s">
        <v>176</v>
      </c>
    </row>
    <row r="594" spans="1:27" hidden="1" x14ac:dyDescent="0.35">
      <c r="A594" t="str">
        <f>_xlfn.CONCAT(Tableau1[[#This Row],[Athletes]],"_",Tableau1[[#This Row],[Nationality]],"_",Tableau1[[#This Row],[Competition_year]])</f>
        <v>Mouad OUAFIK_MAR_2022</v>
      </c>
      <c r="B594" s="9" t="s">
        <v>1078</v>
      </c>
      <c r="C594" s="9" t="s">
        <v>14</v>
      </c>
      <c r="D594" s="12" t="s">
        <v>21</v>
      </c>
      <c r="E594" s="9">
        <v>13.5</v>
      </c>
      <c r="F594" s="9">
        <v>14.2</v>
      </c>
      <c r="G594" s="9">
        <v>15.7</v>
      </c>
      <c r="H594" s="9">
        <v>16.100000000000001</v>
      </c>
      <c r="I594" s="9">
        <v>14.3</v>
      </c>
      <c r="J594" s="9">
        <v>14</v>
      </c>
      <c r="K594" s="9">
        <v>14</v>
      </c>
      <c r="L594">
        <f>Tableau1[[#This Row],[Final_time]]-SUM(Tableau1[[#This Row],[0_100m]:[600_700m]])</f>
        <v>14.230000000000004</v>
      </c>
      <c r="M594" s="9">
        <v>116.03</v>
      </c>
      <c r="N594">
        <f>SUM(Tableau1[[#This Row],[0_100m]:[700_800m]])</f>
        <v>116.03</v>
      </c>
      <c r="O594">
        <f>ABS(Tableau1[[#This Row],[Final_time]]-Tableau1[[#This Row],[Sum_time]])</f>
        <v>0</v>
      </c>
      <c r="P594" s="8"/>
      <c r="Q594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4" t="s">
        <v>493</v>
      </c>
      <c r="S594" s="1" t="s">
        <v>68</v>
      </c>
      <c r="U594" s="1" t="s">
        <v>288</v>
      </c>
      <c r="V594" s="1">
        <v>44717</v>
      </c>
      <c r="W594" s="4">
        <f>YEAR(Tableau1[[#This Row],[Competition_date]])</f>
        <v>2022</v>
      </c>
      <c r="X594" s="4">
        <v>22</v>
      </c>
      <c r="Y594" s="6">
        <v>0.75</v>
      </c>
      <c r="Z594" s="4" t="s">
        <v>79</v>
      </c>
      <c r="AA594" t="s">
        <v>176</v>
      </c>
    </row>
    <row r="595" spans="1:27" hidden="1" x14ac:dyDescent="0.35">
      <c r="A595" t="str">
        <f>_xlfn.CONCAT(Tableau1[[#This Row],[Athletes]],"_",Tableau1[[#This Row],[Nationality]],"_",Tableau1[[#This Row],[Competition_year]])</f>
        <v>Moncif OUTAHAR_MAR_2022</v>
      </c>
      <c r="B595" s="9" t="s">
        <v>387</v>
      </c>
      <c r="C595" s="9" t="s">
        <v>14</v>
      </c>
      <c r="D595" s="12" t="s">
        <v>21</v>
      </c>
      <c r="E595" s="9">
        <v>13.5</v>
      </c>
      <c r="F595" s="9">
        <v>14.5</v>
      </c>
      <c r="G595" s="9">
        <v>15.7</v>
      </c>
      <c r="H595" s="9">
        <v>16</v>
      </c>
      <c r="I595" s="9">
        <v>14.4</v>
      </c>
      <c r="J595" s="9">
        <v>13.9</v>
      </c>
      <c r="K595" s="9">
        <v>14.1</v>
      </c>
      <c r="L595">
        <f>Tableau1[[#This Row],[Final_time]]-SUM(Tableau1[[#This Row],[0_100m]:[600_700m]])</f>
        <v>14.139999999999986</v>
      </c>
      <c r="M595" s="9">
        <v>116.24</v>
      </c>
      <c r="N595">
        <f>SUM(Tableau1[[#This Row],[0_100m]:[700_800m]])</f>
        <v>116.24</v>
      </c>
      <c r="O595">
        <f>ABS(Tableau1[[#This Row],[Final_time]]-Tableau1[[#This Row],[Sum_time]])</f>
        <v>0</v>
      </c>
      <c r="P595" s="8"/>
      <c r="Q595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5" t="s">
        <v>493</v>
      </c>
      <c r="S595" s="1" t="s">
        <v>68</v>
      </c>
      <c r="U595" s="1" t="s">
        <v>288</v>
      </c>
      <c r="V595" s="1">
        <v>44717</v>
      </c>
      <c r="W595" s="4">
        <f>YEAR(Tableau1[[#This Row],[Competition_date]])</f>
        <v>2022</v>
      </c>
      <c r="X595" s="4">
        <v>22</v>
      </c>
      <c r="Y595" s="6">
        <v>0.75</v>
      </c>
      <c r="Z595" s="4" t="s">
        <v>79</v>
      </c>
      <c r="AA595" t="s">
        <v>176</v>
      </c>
    </row>
    <row r="596" spans="1:27" hidden="1" x14ac:dyDescent="0.35">
      <c r="A596" t="str">
        <f>_xlfn.CONCAT(Tableau1[[#This Row],[Athletes]],"_",Tableau1[[#This Row],[Nationality]],"_",Tableau1[[#This Row],[Competition_year]])</f>
        <v>Zakaria TALAL_MAR_2022</v>
      </c>
      <c r="B596" s="9" t="s">
        <v>388</v>
      </c>
      <c r="C596" s="9" t="s">
        <v>14</v>
      </c>
      <c r="D596" s="12" t="s">
        <v>21</v>
      </c>
      <c r="E596" s="9">
        <v>13.7</v>
      </c>
      <c r="F596" s="9">
        <v>14.2</v>
      </c>
      <c r="G596" s="9">
        <v>15.6</v>
      </c>
      <c r="H596" s="9">
        <v>16.100000000000001</v>
      </c>
      <c r="I596" s="9">
        <v>14.3</v>
      </c>
      <c r="J596" s="9">
        <v>13.7</v>
      </c>
      <c r="K596" s="9">
        <v>14.1</v>
      </c>
      <c r="L596">
        <f>Tableau1[[#This Row],[Final_time]]-SUM(Tableau1[[#This Row],[0_100m]:[600_700m]])</f>
        <v>15.11999999999999</v>
      </c>
      <c r="M596" s="9">
        <v>116.82</v>
      </c>
      <c r="N596">
        <f>SUM(Tableau1[[#This Row],[0_100m]:[700_800m]])</f>
        <v>116.82</v>
      </c>
      <c r="O596">
        <f>ABS(Tableau1[[#This Row],[Final_time]]-Tableau1[[#This Row],[Sum_time]])</f>
        <v>0</v>
      </c>
      <c r="P596" s="8"/>
      <c r="Q596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6" t="s">
        <v>493</v>
      </c>
      <c r="S596" s="1" t="s">
        <v>68</v>
      </c>
      <c r="U596" s="1" t="s">
        <v>288</v>
      </c>
      <c r="V596" s="1">
        <v>44717</v>
      </c>
      <c r="W596" s="4">
        <f>YEAR(Tableau1[[#This Row],[Competition_date]])</f>
        <v>2022</v>
      </c>
      <c r="X596" s="4">
        <v>22</v>
      </c>
      <c r="Y596" s="6">
        <v>0.75</v>
      </c>
      <c r="Z596" s="4" t="s">
        <v>79</v>
      </c>
      <c r="AA596" t="s">
        <v>176</v>
      </c>
    </row>
    <row r="597" spans="1:27" hidden="1" x14ac:dyDescent="0.35">
      <c r="A597" t="str">
        <f>_xlfn.CONCAT(Tableau1[[#This Row],[Athletes]],"_",Tableau1[[#This Row],[Nationality]],"_",Tableau1[[#This Row],[Competition_year]])</f>
        <v>Nizar ELHARCHAOUI_MAR_2022</v>
      </c>
      <c r="B597" s="9" t="s">
        <v>1110</v>
      </c>
      <c r="C597" s="9" t="s">
        <v>14</v>
      </c>
      <c r="D597" s="12" t="s">
        <v>21</v>
      </c>
      <c r="E597" s="9">
        <v>13.7</v>
      </c>
      <c r="F597" s="9">
        <v>14.4</v>
      </c>
      <c r="G597" s="9">
        <v>15.7</v>
      </c>
      <c r="H597" s="9">
        <v>16</v>
      </c>
      <c r="I597" s="9">
        <v>14.7</v>
      </c>
      <c r="J597" s="9">
        <v>13.9</v>
      </c>
      <c r="K597" s="9">
        <v>14.3</v>
      </c>
      <c r="L597">
        <f>Tableau1[[#This Row],[Final_time]]-SUM(Tableau1[[#This Row],[0_100m]:[600_700m]])</f>
        <v>14.539999999999992</v>
      </c>
      <c r="M597" s="9">
        <v>117.24</v>
      </c>
      <c r="N597">
        <f>SUM(Tableau1[[#This Row],[0_100m]:[700_800m]])</f>
        <v>117.24</v>
      </c>
      <c r="O597">
        <f>ABS(Tableau1[[#This Row],[Final_time]]-Tableau1[[#This Row],[Sum_time]])</f>
        <v>0</v>
      </c>
      <c r="P597" s="8"/>
      <c r="Q597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7" t="s">
        <v>493</v>
      </c>
      <c r="S597" s="1" t="s">
        <v>68</v>
      </c>
      <c r="U597" s="1" t="s">
        <v>288</v>
      </c>
      <c r="V597" s="1">
        <v>44717</v>
      </c>
      <c r="W597" s="4">
        <f>YEAR(Tableau1[[#This Row],[Competition_date]])</f>
        <v>2022</v>
      </c>
      <c r="X597" s="4">
        <v>22</v>
      </c>
      <c r="Y597" s="6">
        <v>0.75</v>
      </c>
      <c r="Z597" s="4" t="s">
        <v>79</v>
      </c>
      <c r="AA597" t="s">
        <v>176</v>
      </c>
    </row>
    <row r="598" spans="1:27" hidden="1" x14ac:dyDescent="0.35">
      <c r="A598" t="str">
        <f>_xlfn.CONCAT(Tableau1[[#This Row],[Athletes]],"_",Tableau1[[#This Row],[Nationality]],"_",Tableau1[[#This Row],[Competition_year]])</f>
        <v>Abdelkader AZOUZI_MAR_2022</v>
      </c>
      <c r="B598" s="9" t="s">
        <v>389</v>
      </c>
      <c r="C598" s="9" t="s">
        <v>14</v>
      </c>
      <c r="D598" s="12" t="s">
        <v>21</v>
      </c>
      <c r="E598" s="9">
        <v>13.7</v>
      </c>
      <c r="F598" s="9">
        <v>14.6</v>
      </c>
      <c r="G598" s="9">
        <v>15.4</v>
      </c>
      <c r="H598" s="9">
        <v>15.9</v>
      </c>
      <c r="I598" s="9">
        <v>14.9</v>
      </c>
      <c r="J598" s="9">
        <v>14.4</v>
      </c>
      <c r="K598" s="9">
        <v>14.2</v>
      </c>
      <c r="L598">
        <f>Tableau1[[#This Row],[Final_time]]-SUM(Tableau1[[#This Row],[0_100m]:[600_700m]])</f>
        <v>14.649999999999991</v>
      </c>
      <c r="M598" s="9">
        <v>117.75</v>
      </c>
      <c r="N598">
        <f>SUM(Tableau1[[#This Row],[0_100m]:[700_800m]])</f>
        <v>117.75</v>
      </c>
      <c r="O598">
        <f>ABS(Tableau1[[#This Row],[Final_time]]-Tableau1[[#This Row],[Sum_time]])</f>
        <v>0</v>
      </c>
      <c r="P598" s="8"/>
      <c r="Q598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8" t="s">
        <v>493</v>
      </c>
      <c r="S598" s="1" t="s">
        <v>68</v>
      </c>
      <c r="U598" s="1" t="s">
        <v>288</v>
      </c>
      <c r="V598" s="1">
        <v>44717</v>
      </c>
      <c r="W598" s="4">
        <f>YEAR(Tableau1[[#This Row],[Competition_date]])</f>
        <v>2022</v>
      </c>
      <c r="X598" s="4">
        <v>22</v>
      </c>
      <c r="Y598" s="6">
        <v>0.75</v>
      </c>
      <c r="Z598" s="4" t="s">
        <v>79</v>
      </c>
      <c r="AA598" t="s">
        <v>176</v>
      </c>
    </row>
    <row r="599" spans="1:27" hidden="1" x14ac:dyDescent="0.35">
      <c r="A599" t="str">
        <f>_xlfn.CONCAT(Tableau1[[#This Row],[Athletes]],"_",Tableau1[[#This Row],[Nationality]],"_",Tableau1[[#This Row],[Competition_year]])</f>
        <v>Salim ELHALAL_MAR_2022</v>
      </c>
      <c r="B599" s="9" t="s">
        <v>1186</v>
      </c>
      <c r="C599" s="9" t="s">
        <v>14</v>
      </c>
      <c r="D599" s="12" t="s">
        <v>21</v>
      </c>
      <c r="E599" s="9">
        <v>13.7</v>
      </c>
      <c r="F599" s="9">
        <v>14.7</v>
      </c>
      <c r="G599" s="9">
        <v>15.6</v>
      </c>
      <c r="H599" s="9">
        <v>15.9</v>
      </c>
      <c r="I599" s="9">
        <v>15.1</v>
      </c>
      <c r="J599" s="9">
        <v>14</v>
      </c>
      <c r="K599" s="9">
        <v>14.3</v>
      </c>
      <c r="L599">
        <f>Tableau1[[#This Row],[Final_time]]-SUM(Tableau1[[#This Row],[0_100m]:[600_700m]])</f>
        <v>14.650000000000006</v>
      </c>
      <c r="M599" s="9">
        <v>117.95</v>
      </c>
      <c r="N599">
        <f>SUM(Tableau1[[#This Row],[0_100m]:[700_800m]])</f>
        <v>117.95</v>
      </c>
      <c r="O599">
        <f>ABS(Tableau1[[#This Row],[Final_time]]-Tableau1[[#This Row],[Sum_time]])</f>
        <v>0</v>
      </c>
      <c r="P599" s="8"/>
      <c r="Q599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599" t="s">
        <v>493</v>
      </c>
      <c r="S599" s="1" t="s">
        <v>68</v>
      </c>
      <c r="U599" s="1" t="s">
        <v>288</v>
      </c>
      <c r="V599" s="1">
        <v>44717</v>
      </c>
      <c r="W599" s="4">
        <f>YEAR(Tableau1[[#This Row],[Competition_date]])</f>
        <v>2022</v>
      </c>
      <c r="X599" s="4">
        <v>22</v>
      </c>
      <c r="Y599" s="6">
        <v>0.75</v>
      </c>
      <c r="Z599" s="4" t="s">
        <v>79</v>
      </c>
      <c r="AA599" t="s">
        <v>176</v>
      </c>
    </row>
    <row r="600" spans="1:27" hidden="1" x14ac:dyDescent="0.35">
      <c r="A600" t="str">
        <f>_xlfn.CONCAT(Tableau1[[#This Row],[Athletes]],"_",Tableau1[[#This Row],[Nationality]],"_",Tableau1[[#This Row],[Competition_year]])</f>
        <v>Mohamed MAKKAOUI_MAR_2022</v>
      </c>
      <c r="B600" s="9" t="s">
        <v>1072</v>
      </c>
      <c r="C600" s="9" t="s">
        <v>14</v>
      </c>
      <c r="D600" s="12" t="s">
        <v>21</v>
      </c>
      <c r="E600" s="9">
        <v>13.8</v>
      </c>
      <c r="F600" s="9">
        <v>14.4</v>
      </c>
      <c r="G600" s="9">
        <v>15.6</v>
      </c>
      <c r="H600" s="9">
        <v>16.2</v>
      </c>
      <c r="I600" s="9">
        <v>14.9</v>
      </c>
      <c r="J600" s="9">
        <v>13.8</v>
      </c>
      <c r="K600" s="9">
        <v>14.4</v>
      </c>
      <c r="L600">
        <f>Tableau1[[#This Row],[Final_time]]-SUM(Tableau1[[#This Row],[0_100m]:[600_700m]])</f>
        <v>14.859999999999985</v>
      </c>
      <c r="M600" s="9">
        <v>117.96</v>
      </c>
      <c r="N600">
        <f>SUM(Tableau1[[#This Row],[0_100m]:[700_800m]])</f>
        <v>117.96</v>
      </c>
      <c r="O600">
        <f>ABS(Tableau1[[#This Row],[Final_time]]-Tableau1[[#This Row],[Sum_time]])</f>
        <v>0</v>
      </c>
      <c r="P600" s="8"/>
      <c r="Q600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600" t="s">
        <v>493</v>
      </c>
      <c r="S600" s="1" t="s">
        <v>68</v>
      </c>
      <c r="U600" s="1" t="s">
        <v>288</v>
      </c>
      <c r="V600" s="1">
        <v>44717</v>
      </c>
      <c r="W600" s="4">
        <f>YEAR(Tableau1[[#This Row],[Competition_date]])</f>
        <v>2022</v>
      </c>
      <c r="X600" s="4">
        <v>22</v>
      </c>
      <c r="Y600" s="6">
        <v>0.75</v>
      </c>
      <c r="Z600" s="4" t="s">
        <v>79</v>
      </c>
      <c r="AA600" t="s">
        <v>176</v>
      </c>
    </row>
    <row r="601" spans="1:27" hidden="1" x14ac:dyDescent="0.35">
      <c r="A601" t="str">
        <f>_xlfn.CONCAT(Tableau1[[#This Row],[Athletes]],"_",Tableau1[[#This Row],[Nationality]],"_",Tableau1[[#This Row],[Competition_year]])</f>
        <v>Ilyas RABANI_MAR_2022</v>
      </c>
      <c r="B601" s="9" t="s">
        <v>858</v>
      </c>
      <c r="C601" s="9" t="s">
        <v>14</v>
      </c>
      <c r="D601" s="12" t="s">
        <v>21</v>
      </c>
      <c r="E601" s="9">
        <v>13.8</v>
      </c>
      <c r="F601" s="9">
        <v>14.4</v>
      </c>
      <c r="G601" s="9">
        <v>15.3</v>
      </c>
      <c r="H601" s="9">
        <v>15.9</v>
      </c>
      <c r="I601" s="9">
        <v>14.9</v>
      </c>
      <c r="J601" s="9">
        <v>14.4</v>
      </c>
      <c r="K601" s="9">
        <v>14.8</v>
      </c>
      <c r="L601">
        <f>Tableau1[[#This Row],[Final_time]]-SUM(Tableau1[[#This Row],[0_100m]:[600_700m]])</f>
        <v>14.540000000000006</v>
      </c>
      <c r="M601" s="9">
        <v>118.04</v>
      </c>
      <c r="N601">
        <f>SUM(Tableau1[[#This Row],[0_100m]:[700_800m]])</f>
        <v>118.04</v>
      </c>
      <c r="O601">
        <f>ABS(Tableau1[[#This Row],[Final_time]]-Tableau1[[#This Row],[Sum_time]])</f>
        <v>0</v>
      </c>
      <c r="P601" s="8"/>
      <c r="Q601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601" t="s">
        <v>493</v>
      </c>
      <c r="S601" s="1" t="s">
        <v>68</v>
      </c>
      <c r="U601" s="1" t="s">
        <v>288</v>
      </c>
      <c r="V601" s="1">
        <v>44717</v>
      </c>
      <c r="W601" s="4">
        <f>YEAR(Tableau1[[#This Row],[Competition_date]])</f>
        <v>2022</v>
      </c>
      <c r="X601" s="4">
        <v>22</v>
      </c>
      <c r="Y601" s="6">
        <v>0.75</v>
      </c>
      <c r="Z601" s="4" t="s">
        <v>79</v>
      </c>
      <c r="AA601" t="s">
        <v>176</v>
      </c>
    </row>
    <row r="602" spans="1:27" hidden="1" x14ac:dyDescent="0.35">
      <c r="A602" t="str">
        <f>_xlfn.CONCAT(Tableau1[[#This Row],[Athletes]],"_",Tableau1[[#This Row],[Nationality]],"_",Tableau1[[#This Row],[Competition_year]])</f>
        <v>Abderrahmane TAOUS_MAR_2022</v>
      </c>
      <c r="B602" s="9" t="s">
        <v>390</v>
      </c>
      <c r="C602" s="9" t="s">
        <v>14</v>
      </c>
      <c r="D602" s="12" t="s">
        <v>21</v>
      </c>
      <c r="E602" s="9">
        <v>13.8</v>
      </c>
      <c r="F602" s="9">
        <v>14.2</v>
      </c>
      <c r="G602" s="9">
        <v>15.8</v>
      </c>
      <c r="H602" s="9">
        <v>16.100000000000001</v>
      </c>
      <c r="I602" s="9">
        <v>14.8</v>
      </c>
      <c r="J602" s="9">
        <v>14.4</v>
      </c>
      <c r="K602" s="9">
        <v>14.4</v>
      </c>
      <c r="L602">
        <f>Tableau1[[#This Row],[Final_time]]-SUM(Tableau1[[#This Row],[0_100m]:[600_700m]])</f>
        <v>15.20999999999998</v>
      </c>
      <c r="M602" s="9">
        <v>118.71</v>
      </c>
      <c r="N602">
        <f>SUM(Tableau1[[#This Row],[0_100m]:[700_800m]])</f>
        <v>118.71</v>
      </c>
      <c r="O602">
        <f>ABS(Tableau1[[#This Row],[Final_time]]-Tableau1[[#This Row],[Sum_time]])</f>
        <v>0</v>
      </c>
      <c r="P602" s="8"/>
      <c r="Q602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602" t="s">
        <v>493</v>
      </c>
      <c r="S602" s="1" t="s">
        <v>68</v>
      </c>
      <c r="U602" s="1" t="s">
        <v>288</v>
      </c>
      <c r="V602" s="1">
        <v>44717</v>
      </c>
      <c r="W602" s="4">
        <f>YEAR(Tableau1[[#This Row],[Competition_date]])</f>
        <v>2022</v>
      </c>
      <c r="X602" s="4">
        <v>22</v>
      </c>
      <c r="Y602" s="6">
        <v>0.75</v>
      </c>
      <c r="Z602" s="4" t="s">
        <v>79</v>
      </c>
      <c r="AA602" t="s">
        <v>176</v>
      </c>
    </row>
    <row r="603" spans="1:27" hidden="1" x14ac:dyDescent="0.35">
      <c r="A603" t="str">
        <f>_xlfn.CONCAT(Tableau1[[#This Row],[Athletes]],"_",Tableau1[[#This Row],[Nationality]],"_",Tableau1[[#This Row],[Competition_year]])</f>
        <v>Mohamed KHATTAB_MAR_2022</v>
      </c>
      <c r="B603" s="9" t="s">
        <v>316</v>
      </c>
      <c r="C603" s="9" t="s">
        <v>14</v>
      </c>
      <c r="D603" s="12" t="s">
        <v>21</v>
      </c>
      <c r="E603" s="9">
        <v>13.6</v>
      </c>
      <c r="F603" s="9">
        <v>14.3</v>
      </c>
      <c r="G603" s="9">
        <v>15.7</v>
      </c>
      <c r="H603" s="9">
        <v>16.100000000000001</v>
      </c>
      <c r="I603" s="9">
        <v>14.8</v>
      </c>
      <c r="J603" s="9">
        <v>14.7</v>
      </c>
      <c r="K603" s="9">
        <v>14.7</v>
      </c>
      <c r="L603">
        <f>Tableau1[[#This Row],[Final_time]]-SUM(Tableau1[[#This Row],[0_100m]:[600_700m]])</f>
        <v>15.259999999999991</v>
      </c>
      <c r="M603" s="9">
        <v>119.16</v>
      </c>
      <c r="N603">
        <f>SUM(Tableau1[[#This Row],[0_100m]:[700_800m]])</f>
        <v>119.16</v>
      </c>
      <c r="O603">
        <f>ABS(Tableau1[[#This Row],[Final_time]]-Tableau1[[#This Row],[Sum_time]])</f>
        <v>0</v>
      </c>
      <c r="P603" s="8"/>
      <c r="Q603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603" t="s">
        <v>493</v>
      </c>
      <c r="S603" s="1" t="s">
        <v>68</v>
      </c>
      <c r="U603" s="1" t="s">
        <v>288</v>
      </c>
      <c r="V603" s="1">
        <v>44717</v>
      </c>
      <c r="W603" s="4">
        <f>YEAR(Tableau1[[#This Row],[Competition_date]])</f>
        <v>2022</v>
      </c>
      <c r="X603" s="4">
        <v>22</v>
      </c>
      <c r="Y603" s="6">
        <v>0.75</v>
      </c>
      <c r="Z603" s="4" t="s">
        <v>79</v>
      </c>
      <c r="AA603" t="s">
        <v>176</v>
      </c>
    </row>
    <row r="604" spans="1:27" hidden="1" x14ac:dyDescent="0.35">
      <c r="A604" t="str">
        <f>_xlfn.CONCAT(Tableau1[[#This Row],[Athletes]],"_",Tableau1[[#This Row],[Nationality]],"_",Tableau1[[#This Row],[Competition_year]])</f>
        <v>Hassan FAHIM_MAR_2022</v>
      </c>
      <c r="B604" s="9" t="s">
        <v>391</v>
      </c>
      <c r="C604" s="9" t="s">
        <v>14</v>
      </c>
      <c r="D604" s="12" t="s">
        <v>21</v>
      </c>
      <c r="E604" s="9">
        <v>13.6</v>
      </c>
      <c r="F604" s="9">
        <v>14.6</v>
      </c>
      <c r="G604" s="9">
        <v>15.8</v>
      </c>
      <c r="H604" s="9">
        <v>15.2</v>
      </c>
      <c r="I604" s="9">
        <v>14.3</v>
      </c>
      <c r="J604" s="9">
        <v>14.5</v>
      </c>
      <c r="K604" s="9">
        <v>15.5</v>
      </c>
      <c r="L604">
        <f>Tableau1[[#This Row],[Final_time]]-SUM(Tableau1[[#This Row],[0_100m]:[600_700m]])</f>
        <v>16.340000000000003</v>
      </c>
      <c r="M604" s="9">
        <v>119.84</v>
      </c>
      <c r="N604">
        <f>SUM(Tableau1[[#This Row],[0_100m]:[700_800m]])</f>
        <v>119.84</v>
      </c>
      <c r="O604">
        <f>ABS(Tableau1[[#This Row],[Final_time]]-Tableau1[[#This Row],[Sum_time]])</f>
        <v>0</v>
      </c>
      <c r="P604" s="8"/>
      <c r="Q604" s="1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R604" t="s">
        <v>493</v>
      </c>
      <c r="S604" s="1" t="s">
        <v>68</v>
      </c>
      <c r="U604" s="1" t="s">
        <v>288</v>
      </c>
      <c r="V604" s="1">
        <v>44717</v>
      </c>
      <c r="W604" s="4">
        <f>YEAR(Tableau1[[#This Row],[Competition_date]])</f>
        <v>2022</v>
      </c>
      <c r="X604" s="4">
        <v>22</v>
      </c>
      <c r="Y604" s="6">
        <v>0.75</v>
      </c>
      <c r="Z604" s="4" t="s">
        <v>79</v>
      </c>
      <c r="AA604" t="s">
        <v>176</v>
      </c>
    </row>
    <row r="605" spans="1:27" hidden="1" x14ac:dyDescent="0.35">
      <c r="A605" t="str">
        <f>_xlfn.CONCAT(Tableau1[[#This Row],[Athletes]],"_",Tableau1[[#This Row],[Nationality]],"_",Tableau1[[#This Row],[Competition_year]])</f>
        <v>Mary MORAA_KEN_2022</v>
      </c>
      <c r="B605" s="9" t="s">
        <v>228</v>
      </c>
      <c r="C605" s="9" t="s">
        <v>29</v>
      </c>
      <c r="D605" s="12" t="s">
        <v>15</v>
      </c>
      <c r="E605" s="9">
        <v>13.4</v>
      </c>
      <c r="F605" s="9">
        <v>14.1</v>
      </c>
      <c r="G605" s="9">
        <v>15.2</v>
      </c>
      <c r="H605" s="9">
        <v>15.7</v>
      </c>
      <c r="I605" s="9">
        <v>15.4</v>
      </c>
      <c r="J605" s="9">
        <v>15.1</v>
      </c>
      <c r="K605" s="9">
        <v>15.1</v>
      </c>
      <c r="L605">
        <f>Tableau1[[#This Row],[Final_time]]-SUM(Tableau1[[#This Row],[0_100m]:[600_700m]])</f>
        <v>14.930000000000007</v>
      </c>
      <c r="M605" s="9">
        <v>118.93</v>
      </c>
      <c r="N605">
        <f>SUM(Tableau1[[#This Row],[0_100m]:[700_800m]])</f>
        <v>118.93</v>
      </c>
      <c r="O605">
        <f>ABS(Tableau1[[#This Row],[Final_time]]-Tableau1[[#This Row],[Sum_time]])</f>
        <v>0</v>
      </c>
      <c r="P605" s="8"/>
      <c r="Q605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05" t="s">
        <v>392</v>
      </c>
      <c r="S605" s="1" t="s">
        <v>68</v>
      </c>
      <c r="U605" s="1" t="s">
        <v>69</v>
      </c>
      <c r="V605" s="1">
        <v>44717</v>
      </c>
      <c r="W605" s="4">
        <f>YEAR(Tableau1[[#This Row],[Competition_date]])</f>
        <v>2022</v>
      </c>
      <c r="X605" s="4">
        <v>20</v>
      </c>
      <c r="Y605" s="6">
        <v>0.85</v>
      </c>
      <c r="Z605" s="4" t="s">
        <v>79</v>
      </c>
      <c r="AA605" t="s">
        <v>176</v>
      </c>
    </row>
    <row r="606" spans="1:27" hidden="1" x14ac:dyDescent="0.35">
      <c r="A606" t="str">
        <f>_xlfn.CONCAT(Tableau1[[#This Row],[Athletes]],"_",Tableau1[[#This Row],[Nationality]],"_",Tableau1[[#This Row],[Competition_year]])</f>
        <v>Prudence SEKGODISO_RSA_2022</v>
      </c>
      <c r="B606" s="9" t="s">
        <v>235</v>
      </c>
      <c r="C606" s="9" t="s">
        <v>29</v>
      </c>
      <c r="D606" s="12" t="s">
        <v>96</v>
      </c>
      <c r="E606" s="9">
        <v>13.7</v>
      </c>
      <c r="F606" s="9">
        <v>14</v>
      </c>
      <c r="G606" s="9">
        <v>15.2</v>
      </c>
      <c r="H606" s="9">
        <v>15.5</v>
      </c>
      <c r="I606" s="9">
        <v>15.4</v>
      </c>
      <c r="J606" s="9">
        <v>15</v>
      </c>
      <c r="K606" s="9">
        <v>15.1</v>
      </c>
      <c r="L606">
        <f>Tableau1[[#This Row],[Final_time]]-SUM(Tableau1[[#This Row],[0_100m]:[600_700m]])</f>
        <v>15.330000000000013</v>
      </c>
      <c r="M606" s="9">
        <v>119.23</v>
      </c>
      <c r="N606">
        <f>SUM(Tableau1[[#This Row],[0_100m]:[700_800m]])</f>
        <v>119.23</v>
      </c>
      <c r="O606">
        <f>ABS(Tableau1[[#This Row],[Final_time]]-Tableau1[[#This Row],[Sum_time]])</f>
        <v>0</v>
      </c>
      <c r="P606" s="8"/>
      <c r="Q606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06" t="s">
        <v>392</v>
      </c>
      <c r="S606" s="1" t="s">
        <v>68</v>
      </c>
      <c r="U606" s="1" t="s">
        <v>69</v>
      </c>
      <c r="V606" s="1">
        <v>44717</v>
      </c>
      <c r="W606" s="4">
        <f>YEAR(Tableau1[[#This Row],[Competition_date]])</f>
        <v>2022</v>
      </c>
      <c r="X606" s="4">
        <v>20</v>
      </c>
      <c r="Y606" s="6">
        <v>0.85</v>
      </c>
      <c r="Z606" s="4" t="s">
        <v>79</v>
      </c>
      <c r="AA606" t="s">
        <v>176</v>
      </c>
    </row>
    <row r="607" spans="1:27" hidden="1" x14ac:dyDescent="0.35">
      <c r="A607" t="str">
        <f>_xlfn.CONCAT(Tableau1[[#This Row],[Athletes]],"_",Tableau1[[#This Row],[Nationality]],"_",Tableau1[[#This Row],[Competition_year]])</f>
        <v>Rénelle LAMOTE_FRA_2022</v>
      </c>
      <c r="B607" s="9" t="s">
        <v>225</v>
      </c>
      <c r="C607" s="9" t="s">
        <v>29</v>
      </c>
      <c r="D607" s="12" t="s">
        <v>17</v>
      </c>
      <c r="E607" s="9">
        <v>13.8</v>
      </c>
      <c r="F607" s="9">
        <v>13.8</v>
      </c>
      <c r="G607" s="9">
        <v>15.5</v>
      </c>
      <c r="H607" s="9">
        <v>15.7</v>
      </c>
      <c r="I607" s="9">
        <v>15.6</v>
      </c>
      <c r="J607" s="9">
        <v>15</v>
      </c>
      <c r="K607" s="9">
        <v>15.2</v>
      </c>
      <c r="L607">
        <f>Tableau1[[#This Row],[Final_time]]-SUM(Tableau1[[#This Row],[0_100m]:[600_700m]])</f>
        <v>15.230000000000004</v>
      </c>
      <c r="M607" s="9">
        <v>119.83</v>
      </c>
      <c r="N607">
        <f>SUM(Tableau1[[#This Row],[0_100m]:[700_800m]])</f>
        <v>119.83</v>
      </c>
      <c r="O607">
        <f>ABS(Tableau1[[#This Row],[Final_time]]-Tableau1[[#This Row],[Sum_time]])</f>
        <v>0</v>
      </c>
      <c r="P607" s="8"/>
      <c r="Q607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07" t="s">
        <v>392</v>
      </c>
      <c r="S607" s="1" t="s">
        <v>68</v>
      </c>
      <c r="U607" s="1" t="s">
        <v>69</v>
      </c>
      <c r="V607" s="1">
        <v>44717</v>
      </c>
      <c r="W607" s="4">
        <f>YEAR(Tableau1[[#This Row],[Competition_date]])</f>
        <v>2022</v>
      </c>
      <c r="X607" s="4">
        <v>20</v>
      </c>
      <c r="Y607" s="6">
        <v>0.85</v>
      </c>
      <c r="Z607" s="4" t="s">
        <v>79</v>
      </c>
      <c r="AA607" t="s">
        <v>176</v>
      </c>
    </row>
    <row r="608" spans="1:27" hidden="1" x14ac:dyDescent="0.35">
      <c r="A608" t="str">
        <f>_xlfn.CONCAT(Tableau1[[#This Row],[Athletes]],"_",Tableau1[[#This Row],[Nationality]],"_",Tableau1[[#This Row],[Competition_year]])</f>
        <v>Elena BELLÒ_ITA_2022</v>
      </c>
      <c r="B608" s="9" t="s">
        <v>261</v>
      </c>
      <c r="C608" s="9" t="s">
        <v>29</v>
      </c>
      <c r="D608" s="12" t="s">
        <v>20</v>
      </c>
      <c r="E608" s="9">
        <v>13.9</v>
      </c>
      <c r="F608" s="9">
        <v>14.1</v>
      </c>
      <c r="G608" s="9">
        <v>15.3</v>
      </c>
      <c r="H608" s="9">
        <v>15.5</v>
      </c>
      <c r="I608" s="9">
        <v>15.9</v>
      </c>
      <c r="J608" s="9">
        <v>15.4</v>
      </c>
      <c r="K608" s="9">
        <v>15.4</v>
      </c>
      <c r="L608">
        <f>Tableau1[[#This Row],[Final_time]]-SUM(Tableau1[[#This Row],[0_100m]:[600_700m]])</f>
        <v>15.259999999999991</v>
      </c>
      <c r="M608" s="9">
        <v>120.76</v>
      </c>
      <c r="N608">
        <f>SUM(Tableau1[[#This Row],[0_100m]:[700_800m]])</f>
        <v>120.76</v>
      </c>
      <c r="O608">
        <f>ABS(Tableau1[[#This Row],[Final_time]]-Tableau1[[#This Row],[Sum_time]])</f>
        <v>0</v>
      </c>
      <c r="P608" s="8"/>
      <c r="Q608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08" t="s">
        <v>392</v>
      </c>
      <c r="S608" s="1" t="s">
        <v>68</v>
      </c>
      <c r="U608" s="1" t="s">
        <v>69</v>
      </c>
      <c r="V608" s="1">
        <v>44717</v>
      </c>
      <c r="W608" s="4">
        <f>YEAR(Tableau1[[#This Row],[Competition_date]])</f>
        <v>2022</v>
      </c>
      <c r="X608" s="4">
        <v>20</v>
      </c>
      <c r="Y608" s="6">
        <v>0.85</v>
      </c>
      <c r="Z608" s="4" t="s">
        <v>79</v>
      </c>
      <c r="AA608" t="s">
        <v>176</v>
      </c>
    </row>
    <row r="609" spans="1:27" hidden="1" x14ac:dyDescent="0.35">
      <c r="A609" t="str">
        <f>_xlfn.CONCAT(Tableau1[[#This Row],[Athletes]],"_",Tableau1[[#This Row],[Nationality]],"_",Tableau1[[#This Row],[Competition_year]])</f>
        <v>Noélie YARIGO_BEN_2022</v>
      </c>
      <c r="B609" s="9" t="s">
        <v>214</v>
      </c>
      <c r="C609" s="9" t="s">
        <v>29</v>
      </c>
      <c r="D609" s="12" t="s">
        <v>52</v>
      </c>
      <c r="E609" s="9">
        <v>13.9</v>
      </c>
      <c r="F609" s="9">
        <v>14</v>
      </c>
      <c r="G609" s="9">
        <v>15.2</v>
      </c>
      <c r="H609" s="9">
        <v>15.5</v>
      </c>
      <c r="I609" s="9">
        <v>15.8</v>
      </c>
      <c r="J609" s="9">
        <v>15.4</v>
      </c>
      <c r="K609" s="9">
        <v>15.4</v>
      </c>
      <c r="L609">
        <f>Tableau1[[#This Row],[Final_time]]-SUM(Tableau1[[#This Row],[0_100m]:[600_700m]])</f>
        <v>15.810000000000002</v>
      </c>
      <c r="M609" s="9">
        <v>121.01</v>
      </c>
      <c r="N609">
        <f>SUM(Tableau1[[#This Row],[0_100m]:[700_800m]])</f>
        <v>121.01</v>
      </c>
      <c r="O609">
        <f>ABS(Tableau1[[#This Row],[Final_time]]-Tableau1[[#This Row],[Sum_time]])</f>
        <v>0</v>
      </c>
      <c r="P609" s="8"/>
      <c r="Q609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09" t="s">
        <v>392</v>
      </c>
      <c r="S609" s="1" t="s">
        <v>68</v>
      </c>
      <c r="U609" s="1" t="s">
        <v>69</v>
      </c>
      <c r="V609" s="1">
        <v>44717</v>
      </c>
      <c r="W609" s="4">
        <f>YEAR(Tableau1[[#This Row],[Competition_date]])</f>
        <v>2022</v>
      </c>
      <c r="X609" s="4">
        <v>20</v>
      </c>
      <c r="Y609" s="6">
        <v>0.85</v>
      </c>
      <c r="Z609" s="4" t="s">
        <v>79</v>
      </c>
      <c r="AA609" t="s">
        <v>176</v>
      </c>
    </row>
    <row r="610" spans="1:27" hidden="1" x14ac:dyDescent="0.35">
      <c r="A610" t="str">
        <f>_xlfn.CONCAT(Tableau1[[#This Row],[Athletes]],"_",Tableau1[[#This Row],[Nationality]],"_",Tableau1[[#This Row],[Competition_year]])</f>
        <v>Alexandra BELL_GBR_2022</v>
      </c>
      <c r="B610" s="9" t="s">
        <v>268</v>
      </c>
      <c r="C610" s="9" t="s">
        <v>29</v>
      </c>
      <c r="D610" s="12" t="s">
        <v>30</v>
      </c>
      <c r="E610" s="9">
        <v>13.7</v>
      </c>
      <c r="F610" s="9">
        <v>14.2</v>
      </c>
      <c r="G610" s="9">
        <v>15.3</v>
      </c>
      <c r="H610" s="9">
        <v>15.5</v>
      </c>
      <c r="I610" s="9">
        <v>15.6</v>
      </c>
      <c r="J610" s="9">
        <v>15.5</v>
      </c>
      <c r="K610" s="9">
        <v>15.7</v>
      </c>
      <c r="L610">
        <f>Tableau1[[#This Row],[Final_time]]-SUM(Tableau1[[#This Row],[0_100m]:[600_700m]])</f>
        <v>16</v>
      </c>
      <c r="M610" s="9">
        <v>121.5</v>
      </c>
      <c r="N610">
        <f>SUM(Tableau1[[#This Row],[0_100m]:[700_800m]])</f>
        <v>121.5</v>
      </c>
      <c r="O610">
        <f>ABS(Tableau1[[#This Row],[Final_time]]-Tableau1[[#This Row],[Sum_time]])</f>
        <v>0</v>
      </c>
      <c r="P610" s="8"/>
      <c r="Q610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0" t="s">
        <v>392</v>
      </c>
      <c r="S610" s="1" t="s">
        <v>68</v>
      </c>
      <c r="U610" s="1" t="s">
        <v>69</v>
      </c>
      <c r="V610" s="1">
        <v>44717</v>
      </c>
      <c r="W610" s="4">
        <f>YEAR(Tableau1[[#This Row],[Competition_date]])</f>
        <v>2022</v>
      </c>
      <c r="X610" s="4">
        <v>20</v>
      </c>
      <c r="Y610" s="6">
        <v>0.85</v>
      </c>
      <c r="Z610" s="4" t="s">
        <v>79</v>
      </c>
      <c r="AA610" t="s">
        <v>176</v>
      </c>
    </row>
    <row r="611" spans="1:27" hidden="1" x14ac:dyDescent="0.35">
      <c r="A611" t="str">
        <f>_xlfn.CONCAT(Tableau1[[#This Row],[Athletes]],"_",Tableau1[[#This Row],[Nationality]],"_",Tableau1[[#This Row],[Competition_year]])</f>
        <v>Soukaina HAJJI_MAR_2022</v>
      </c>
      <c r="B611" s="9" t="s">
        <v>398</v>
      </c>
      <c r="C611" s="9" t="s">
        <v>29</v>
      </c>
      <c r="D611" s="12" t="s">
        <v>21</v>
      </c>
      <c r="E611" s="9">
        <v>14.1</v>
      </c>
      <c r="F611" s="9">
        <v>14.1</v>
      </c>
      <c r="G611" s="9">
        <v>15.3</v>
      </c>
      <c r="H611" s="9">
        <v>15.4</v>
      </c>
      <c r="I611" s="9">
        <v>15.8</v>
      </c>
      <c r="J611" s="9">
        <v>15.2</v>
      </c>
      <c r="K611" s="9">
        <v>15.8</v>
      </c>
      <c r="L611">
        <f>Tableau1[[#This Row],[Final_time]]-SUM(Tableau1[[#This Row],[0_100m]:[600_700m]])</f>
        <v>15.89</v>
      </c>
      <c r="M611" s="9">
        <v>121.59</v>
      </c>
      <c r="N611">
        <f>SUM(Tableau1[[#This Row],[0_100m]:[700_800m]])</f>
        <v>121.59</v>
      </c>
      <c r="O611">
        <f>ABS(Tableau1[[#This Row],[Final_time]]-Tableau1[[#This Row],[Sum_time]])</f>
        <v>0</v>
      </c>
      <c r="P611" s="8"/>
      <c r="Q611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1" t="s">
        <v>392</v>
      </c>
      <c r="S611" s="1" t="s">
        <v>68</v>
      </c>
      <c r="U611" s="1" t="s">
        <v>69</v>
      </c>
      <c r="V611" s="1">
        <v>44717</v>
      </c>
      <c r="W611" s="4">
        <f>YEAR(Tableau1[[#This Row],[Competition_date]])</f>
        <v>2022</v>
      </c>
      <c r="X611" s="4">
        <v>20</v>
      </c>
      <c r="Y611" s="6">
        <v>0.85</v>
      </c>
      <c r="Z611" s="4" t="s">
        <v>79</v>
      </c>
      <c r="AA611" t="s">
        <v>176</v>
      </c>
    </row>
    <row r="612" spans="1:27" hidden="1" x14ac:dyDescent="0.35">
      <c r="A612" t="str">
        <f>_xlfn.CONCAT(Tableau1[[#This Row],[Athletes]],"_",Tableau1[[#This Row],[Nationality]],"_",Tableau1[[#This Row],[Competition_year]])</f>
        <v>Majtie KOLBERG_GER_2022</v>
      </c>
      <c r="B612" s="9" t="s">
        <v>277</v>
      </c>
      <c r="C612" s="9" t="s">
        <v>29</v>
      </c>
      <c r="D612" s="12" t="s">
        <v>139</v>
      </c>
      <c r="E612" s="9">
        <v>14.1</v>
      </c>
      <c r="F612" s="9">
        <v>14.1</v>
      </c>
      <c r="G612" s="9">
        <v>15.3</v>
      </c>
      <c r="H612" s="9">
        <v>15.5</v>
      </c>
      <c r="I612" s="9">
        <v>15.6</v>
      </c>
      <c r="J612" s="9">
        <v>15.6</v>
      </c>
      <c r="K612" s="9">
        <v>15.7</v>
      </c>
      <c r="L612">
        <f>Tableau1[[#This Row],[Final_time]]-SUM(Tableau1[[#This Row],[0_100m]:[600_700m]])</f>
        <v>15.730000000000004</v>
      </c>
      <c r="M612" s="9">
        <v>121.63</v>
      </c>
      <c r="N612">
        <f>SUM(Tableau1[[#This Row],[0_100m]:[700_800m]])</f>
        <v>121.63</v>
      </c>
      <c r="O612">
        <f>ABS(Tableau1[[#This Row],[Final_time]]-Tableau1[[#This Row],[Sum_time]])</f>
        <v>0</v>
      </c>
      <c r="P612" s="8"/>
      <c r="Q612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2" t="s">
        <v>392</v>
      </c>
      <c r="S612" s="1" t="s">
        <v>68</v>
      </c>
      <c r="U612" s="1" t="s">
        <v>69</v>
      </c>
      <c r="V612" s="1">
        <v>44717</v>
      </c>
      <c r="W612" s="4">
        <f>YEAR(Tableau1[[#This Row],[Competition_date]])</f>
        <v>2022</v>
      </c>
      <c r="X612" s="4">
        <v>20</v>
      </c>
      <c r="Y612" s="6">
        <v>0.85</v>
      </c>
      <c r="Z612" s="4" t="s">
        <v>79</v>
      </c>
      <c r="AA612" t="s">
        <v>176</v>
      </c>
    </row>
    <row r="613" spans="1:27" hidden="1" x14ac:dyDescent="0.35">
      <c r="A613" t="str">
        <f>_xlfn.CONCAT(Tableau1[[#This Row],[Athletes]],"_",Tableau1[[#This Row],[Nationality]],"_",Tableau1[[#This Row],[Competition_year]])</f>
        <v>Naomi KORIR_KEN_2022</v>
      </c>
      <c r="B613" s="9" t="s">
        <v>269</v>
      </c>
      <c r="C613" s="9" t="s">
        <v>29</v>
      </c>
      <c r="D613" s="12" t="s">
        <v>15</v>
      </c>
      <c r="E613" s="9">
        <v>13.8</v>
      </c>
      <c r="F613" s="9">
        <v>13.9</v>
      </c>
      <c r="G613" s="9">
        <v>15.1</v>
      </c>
      <c r="H613" s="9">
        <v>15.7</v>
      </c>
      <c r="I613" s="9">
        <v>15.6</v>
      </c>
      <c r="J613" s="9">
        <v>15.6</v>
      </c>
      <c r="K613" s="9">
        <v>15.7</v>
      </c>
      <c r="L613">
        <f>Tableau1[[#This Row],[Final_time]]-SUM(Tableau1[[#This Row],[0_100m]:[600_700m]])</f>
        <v>16.740000000000009</v>
      </c>
      <c r="M613" s="9">
        <v>122.14</v>
      </c>
      <c r="N613">
        <f>SUM(Tableau1[[#This Row],[0_100m]:[700_800m]])</f>
        <v>122.14</v>
      </c>
      <c r="O613">
        <f>ABS(Tableau1[[#This Row],[Final_time]]-Tableau1[[#This Row],[Sum_time]])</f>
        <v>0</v>
      </c>
      <c r="P613" s="8"/>
      <c r="Q613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3" t="s">
        <v>392</v>
      </c>
      <c r="S613" s="1" t="s">
        <v>68</v>
      </c>
      <c r="U613" s="1" t="s">
        <v>69</v>
      </c>
      <c r="V613" s="1">
        <v>44717</v>
      </c>
      <c r="W613" s="4">
        <f>YEAR(Tableau1[[#This Row],[Competition_date]])</f>
        <v>2022</v>
      </c>
      <c r="X613" s="4">
        <v>20</v>
      </c>
      <c r="Y613" s="6">
        <v>0.85</v>
      </c>
      <c r="Z613" s="4" t="s">
        <v>79</v>
      </c>
      <c r="AA613" t="s">
        <v>176</v>
      </c>
    </row>
    <row r="614" spans="1:27" hidden="1" x14ac:dyDescent="0.35">
      <c r="A614" t="str">
        <f>_xlfn.CONCAT(Tableau1[[#This Row],[Athletes]],"_",Tableau1[[#This Row],[Nationality]],"_",Tableau1[[#This Row],[Competition_year]])</f>
        <v>Assia RAZIKI_MAR_2022</v>
      </c>
      <c r="B614" s="9" t="s">
        <v>265</v>
      </c>
      <c r="C614" s="9" t="s">
        <v>29</v>
      </c>
      <c r="D614" s="12" t="s">
        <v>21</v>
      </c>
      <c r="E614" s="9">
        <v>14.2</v>
      </c>
      <c r="F614" s="9">
        <v>13.8</v>
      </c>
      <c r="G614" s="9">
        <v>15.4</v>
      </c>
      <c r="H614" s="9">
        <v>15.5</v>
      </c>
      <c r="I614" s="9">
        <v>15.9</v>
      </c>
      <c r="J614" s="9">
        <v>15.5</v>
      </c>
      <c r="K614" s="9">
        <f>106.3-SUM(Tableau1[[#This Row],[0_100m]:[500_600m]])</f>
        <v>16</v>
      </c>
      <c r="L614">
        <f>Tableau1[[#This Row],[Final_time]]-SUM(Tableau1[[#This Row],[0_100m]:[600_700m]])</f>
        <v>16.86</v>
      </c>
      <c r="M614" s="9">
        <v>123.16</v>
      </c>
      <c r="N614">
        <f>SUM(Tableau1[[#This Row],[0_100m]:[700_800m]])</f>
        <v>123.16</v>
      </c>
      <c r="O614">
        <f>ABS(Tableau1[[#This Row],[Final_time]]-Tableau1[[#This Row],[Sum_time]])</f>
        <v>0</v>
      </c>
      <c r="P614" s="8"/>
      <c r="Q614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4" t="s">
        <v>392</v>
      </c>
      <c r="S614" s="1" t="s">
        <v>68</v>
      </c>
      <c r="U614" s="1" t="s">
        <v>69</v>
      </c>
      <c r="V614" s="1">
        <v>44717</v>
      </c>
      <c r="W614" s="4">
        <f>YEAR(Tableau1[[#This Row],[Competition_date]])</f>
        <v>2022</v>
      </c>
      <c r="X614" s="4">
        <v>20</v>
      </c>
      <c r="Y614" s="6">
        <v>0.85</v>
      </c>
      <c r="Z614" s="4" t="s">
        <v>79</v>
      </c>
      <c r="AA614" t="s">
        <v>176</v>
      </c>
    </row>
    <row r="615" spans="1:27" hidden="1" x14ac:dyDescent="0.35">
      <c r="A615" t="str">
        <f>_xlfn.CONCAT(Tableau1[[#This Row],[Athletes]],"_",Tableau1[[#This Row],[Nationality]],"_",Tableau1[[#This Row],[Competition_year]])</f>
        <v>Tigist GIRMA_ETH_2022</v>
      </c>
      <c r="B615" s="9" t="s">
        <v>399</v>
      </c>
      <c r="C615" s="9" t="s">
        <v>29</v>
      </c>
      <c r="D615" s="12" t="s">
        <v>49</v>
      </c>
      <c r="E615" s="9">
        <v>14</v>
      </c>
      <c r="F615" s="9">
        <v>13.8</v>
      </c>
      <c r="G615" s="9">
        <v>15.4</v>
      </c>
      <c r="H615" s="9">
        <v>15.4</v>
      </c>
      <c r="I615" s="9">
        <v>16</v>
      </c>
      <c r="J615" s="9">
        <v>15.4</v>
      </c>
      <c r="K615" s="9">
        <f>106-SUM(Tableau1[[#This Row],[0_100m]:[500_600m]])</f>
        <v>16</v>
      </c>
      <c r="L615">
        <f>Tableau1[[#This Row],[Final_time]]-SUM(Tableau1[[#This Row],[0_100m]:[600_700m]])</f>
        <v>17.420000000000002</v>
      </c>
      <c r="M615" s="9">
        <v>123.42</v>
      </c>
      <c r="N615">
        <f>SUM(Tableau1[[#This Row],[0_100m]:[700_800m]])</f>
        <v>123.42</v>
      </c>
      <c r="O615">
        <f>ABS(Tableau1[[#This Row],[Final_time]]-Tableau1[[#This Row],[Sum_time]])</f>
        <v>0</v>
      </c>
      <c r="P615" s="8"/>
      <c r="Q615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5" t="s">
        <v>392</v>
      </c>
      <c r="S615" s="1" t="s">
        <v>68</v>
      </c>
      <c r="U615" s="1" t="s">
        <v>69</v>
      </c>
      <c r="V615" s="1">
        <v>44717</v>
      </c>
      <c r="W615" s="4">
        <f>YEAR(Tableau1[[#This Row],[Competition_date]])</f>
        <v>2022</v>
      </c>
      <c r="X615" s="4">
        <v>20</v>
      </c>
      <c r="Y615" s="6">
        <v>0.85</v>
      </c>
      <c r="Z615" s="4" t="s">
        <v>79</v>
      </c>
      <c r="AA615" t="s">
        <v>176</v>
      </c>
    </row>
    <row r="616" spans="1:27" hidden="1" x14ac:dyDescent="0.35">
      <c r="A616" t="str">
        <f>_xlfn.CONCAT(Tableau1[[#This Row],[Athletes]],"_",Tableau1[[#This Row],[Nationality]],"_",Tableau1[[#This Row],[Competition_year]])</f>
        <v>Jarinter Mawia MWASYA_KEN_2022</v>
      </c>
      <c r="B616" s="9" t="s">
        <v>257</v>
      </c>
      <c r="C616" s="9" t="s">
        <v>29</v>
      </c>
      <c r="D616" s="12" t="s">
        <v>15</v>
      </c>
      <c r="E616" s="9">
        <v>14.1</v>
      </c>
      <c r="F616" s="9">
        <v>16.3</v>
      </c>
      <c r="G616" s="9">
        <v>14.4</v>
      </c>
      <c r="H616" s="9">
        <v>15.1</v>
      </c>
      <c r="I616" s="9">
        <v>16</v>
      </c>
      <c r="J616" s="9">
        <v>17.2</v>
      </c>
      <c r="K616" s="9">
        <v>18.399999999999999</v>
      </c>
      <c r="L616">
        <f>Tableau1[[#This Row],[Final_time]]-SUM(Tableau1[[#This Row],[0_100m]:[600_700m]])</f>
        <v>18.77000000000001</v>
      </c>
      <c r="M616" s="9">
        <v>130.27000000000001</v>
      </c>
      <c r="N616">
        <f>SUM(Tableau1[[#This Row],[0_100m]:[700_800m]])</f>
        <v>130.27000000000001</v>
      </c>
      <c r="O616">
        <f>ABS(Tableau1[[#This Row],[Final_time]]-Tableau1[[#This Row],[Sum_time]])</f>
        <v>0</v>
      </c>
      <c r="P616" s="8"/>
      <c r="Q616" s="16" t="str">
        <f>_xlfn.CONCAT(Tableau1[[#This Row],[Competition]],"_",Tableau1[[#This Row],[Championship_step]],"_",Tableau1[[#This Row],[Competition_date]],"_",Tableau1[[#This Row],[Gender]])</f>
        <v>Diamond League Rabat 2022__44717_Female</v>
      </c>
      <c r="R616" t="s">
        <v>392</v>
      </c>
      <c r="S616" s="1" t="s">
        <v>68</v>
      </c>
      <c r="U616" s="1" t="s">
        <v>69</v>
      </c>
      <c r="V616" s="1">
        <v>44717</v>
      </c>
      <c r="W616" s="4">
        <f>YEAR(Tableau1[[#This Row],[Competition_date]])</f>
        <v>2022</v>
      </c>
      <c r="X616" s="4">
        <v>20</v>
      </c>
      <c r="Y616" s="6">
        <v>0.85</v>
      </c>
      <c r="Z616" s="4" t="s">
        <v>79</v>
      </c>
      <c r="AA616" t="s">
        <v>176</v>
      </c>
    </row>
    <row r="617" spans="1:27" hidden="1" x14ac:dyDescent="0.35">
      <c r="A617" t="str">
        <f>_xlfn.CONCAT(Tableau1[[#This Row],[Athletes]],"_",Tableau1[[#This Row],[Nationality]],"_",Tableau1[[#This Row],[Competition_year]])</f>
        <v>Emmanuel WANYONYI_KEN_2022</v>
      </c>
      <c r="B617" s="9" t="s">
        <v>183</v>
      </c>
      <c r="C617" s="9" t="s">
        <v>14</v>
      </c>
      <c r="D617" s="12" t="s">
        <v>15</v>
      </c>
      <c r="E617" s="9">
        <v>12.5</v>
      </c>
      <c r="F617" s="9">
        <v>12.3</v>
      </c>
      <c r="G617" s="9">
        <v>13.6</v>
      </c>
      <c r="H617" s="9">
        <v>13.3</v>
      </c>
      <c r="I617" s="9">
        <v>13.5</v>
      </c>
      <c r="J617" s="9">
        <v>13.3</v>
      </c>
      <c r="K617" s="9">
        <v>13.4</v>
      </c>
      <c r="L617">
        <f>Tableau1[[#This Row],[Final_time]]-SUM(Tableau1[[#This Row],[0_100m]:[600_700m]])</f>
        <v>13.569999999999993</v>
      </c>
      <c r="M617" s="9">
        <v>105.47</v>
      </c>
      <c r="N617">
        <f>SUM(Tableau1[[#This Row],[0_100m]:[700_800m]])</f>
        <v>105.47</v>
      </c>
      <c r="O617">
        <f>ABS(Tableau1[[#This Row],[Final_time]]-Tableau1[[#This Row],[Sum_time]])</f>
        <v>0</v>
      </c>
      <c r="P617" s="8"/>
      <c r="Q617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17" t="s">
        <v>392</v>
      </c>
      <c r="S617" s="1" t="s">
        <v>68</v>
      </c>
      <c r="U617" s="1" t="s">
        <v>69</v>
      </c>
      <c r="V617" s="1">
        <v>44717</v>
      </c>
      <c r="W617" s="4">
        <f>YEAR(Tableau1[[#This Row],[Competition_date]])</f>
        <v>2022</v>
      </c>
      <c r="X617" s="4">
        <v>21</v>
      </c>
      <c r="Y617" s="6">
        <v>0.75</v>
      </c>
      <c r="Z617" s="4" t="s">
        <v>79</v>
      </c>
      <c r="AA617" t="s">
        <v>176</v>
      </c>
    </row>
    <row r="618" spans="1:27" hidden="1" x14ac:dyDescent="0.35">
      <c r="A618" t="str">
        <f>_xlfn.CONCAT(Tableau1[[#This Row],[Athletes]],"_",Tableau1[[#This Row],[Nationality]],"_",Tableau1[[#This Row],[Competition_year]])</f>
        <v>Nijel AMOS_BOT_2022</v>
      </c>
      <c r="B618" s="9" t="s">
        <v>384</v>
      </c>
      <c r="C618" s="9" t="s">
        <v>14</v>
      </c>
      <c r="D618" s="12" t="s">
        <v>44</v>
      </c>
      <c r="E618" s="9">
        <v>12.6</v>
      </c>
      <c r="F618" s="9">
        <v>12.1</v>
      </c>
      <c r="G618" s="9">
        <v>13.5</v>
      </c>
      <c r="H618" s="9">
        <v>13.6</v>
      </c>
      <c r="I618" s="9">
        <v>13.6</v>
      </c>
      <c r="J618" s="9">
        <v>13.5</v>
      </c>
      <c r="K618" s="9">
        <v>13.3</v>
      </c>
      <c r="L618">
        <f>Tableau1[[#This Row],[Final_time]]-SUM(Tableau1[[#This Row],[0_100m]:[600_700m]])</f>
        <v>13.459999999999994</v>
      </c>
      <c r="M618" s="9">
        <v>105.66</v>
      </c>
      <c r="N618">
        <f>SUM(Tableau1[[#This Row],[0_100m]:[700_800m]])</f>
        <v>105.66</v>
      </c>
      <c r="O618">
        <f>ABS(Tableau1[[#This Row],[Final_time]]-Tableau1[[#This Row],[Sum_time]])</f>
        <v>0</v>
      </c>
      <c r="P618" s="8"/>
      <c r="Q618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18" t="s">
        <v>392</v>
      </c>
      <c r="S618" s="1" t="s">
        <v>68</v>
      </c>
      <c r="U618" s="1" t="s">
        <v>69</v>
      </c>
      <c r="V618" s="1">
        <v>44717</v>
      </c>
      <c r="W618" s="4">
        <f>YEAR(Tableau1[[#This Row],[Competition_date]])</f>
        <v>2022</v>
      </c>
      <c r="X618" s="4">
        <v>21</v>
      </c>
      <c r="Y618" s="6">
        <v>0.75</v>
      </c>
      <c r="Z618" s="4" t="s">
        <v>79</v>
      </c>
      <c r="AA618" t="s">
        <v>176</v>
      </c>
    </row>
    <row r="619" spans="1:27" hidden="1" x14ac:dyDescent="0.35">
      <c r="A619" t="str">
        <f>_xlfn.CONCAT(Tableau1[[#This Row],[Athletes]],"_",Tableau1[[#This Row],[Nationality]],"_",Tableau1[[#This Row],[Competition_year]])</f>
        <v>Gabriel TUAL_FRA_2022</v>
      </c>
      <c r="B619" s="9" t="s">
        <v>180</v>
      </c>
      <c r="C619" s="9" t="s">
        <v>14</v>
      </c>
      <c r="D619" s="12" t="s">
        <v>17</v>
      </c>
      <c r="E619" s="9">
        <v>12.7</v>
      </c>
      <c r="F619" s="9">
        <v>12.1</v>
      </c>
      <c r="G619" s="9">
        <v>13.7</v>
      </c>
      <c r="H619" s="9">
        <v>13.4</v>
      </c>
      <c r="I619" s="9">
        <v>13.5</v>
      </c>
      <c r="J619" s="9">
        <v>13.2</v>
      </c>
      <c r="K619" s="9">
        <v>13.5</v>
      </c>
      <c r="L619">
        <f>Tableau1[[#This Row],[Final_time]]-SUM(Tableau1[[#This Row],[0_100m]:[600_700m]])</f>
        <v>13.609999999999985</v>
      </c>
      <c r="M619" s="9">
        <v>105.71</v>
      </c>
      <c r="N619">
        <f>SUM(Tableau1[[#This Row],[0_100m]:[700_800m]])</f>
        <v>105.71</v>
      </c>
      <c r="O619">
        <f>ABS(Tableau1[[#This Row],[Final_time]]-Tableau1[[#This Row],[Sum_time]])</f>
        <v>0</v>
      </c>
      <c r="P619" s="8"/>
      <c r="Q619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19" t="s">
        <v>392</v>
      </c>
      <c r="S619" s="1" t="s">
        <v>68</v>
      </c>
      <c r="U619" s="1" t="s">
        <v>69</v>
      </c>
      <c r="V619" s="1">
        <v>44717</v>
      </c>
      <c r="W619" s="4">
        <f>YEAR(Tableau1[[#This Row],[Competition_date]])</f>
        <v>2022</v>
      </c>
      <c r="X619" s="4">
        <v>21</v>
      </c>
      <c r="Y619" s="6">
        <v>0.75</v>
      </c>
      <c r="Z619" s="4" t="s">
        <v>79</v>
      </c>
      <c r="AA619" t="s">
        <v>176</v>
      </c>
    </row>
    <row r="620" spans="1:27" hidden="1" x14ac:dyDescent="0.35">
      <c r="A620" t="str">
        <f>_xlfn.CONCAT(Tableau1[[#This Row],[Athletes]],"_",Tableau1[[#This Row],[Nationality]],"_",Tableau1[[#This Row],[Competition_year]])</f>
        <v>Collins KIPRUTO_KEN_2022</v>
      </c>
      <c r="B620" s="9" t="s">
        <v>340</v>
      </c>
      <c r="C620" s="9" t="s">
        <v>14</v>
      </c>
      <c r="D620" s="12" t="s">
        <v>15</v>
      </c>
      <c r="E620" s="9">
        <v>12.6</v>
      </c>
      <c r="F620" s="9">
        <v>11.9</v>
      </c>
      <c r="G620" s="9">
        <v>13.3</v>
      </c>
      <c r="H620" s="9">
        <v>13.3</v>
      </c>
      <c r="I620" s="9">
        <v>13.5</v>
      </c>
      <c r="J620" s="9">
        <v>13.7</v>
      </c>
      <c r="K620" s="9">
        <v>13.6</v>
      </c>
      <c r="L620">
        <f>Tableau1[[#This Row],[Final_time]]-SUM(Tableau1[[#This Row],[0_100m]:[600_700m]])</f>
        <v>14.390000000000015</v>
      </c>
      <c r="M620" s="9">
        <v>106.29</v>
      </c>
      <c r="N620">
        <f>SUM(Tableau1[[#This Row],[0_100m]:[700_800m]])</f>
        <v>106.29</v>
      </c>
      <c r="O620">
        <f>ABS(Tableau1[[#This Row],[Final_time]]-Tableau1[[#This Row],[Sum_time]])</f>
        <v>0</v>
      </c>
      <c r="P620" s="8"/>
      <c r="Q620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0" t="s">
        <v>392</v>
      </c>
      <c r="S620" s="1" t="s">
        <v>68</v>
      </c>
      <c r="U620" s="1" t="s">
        <v>69</v>
      </c>
      <c r="V620" s="1">
        <v>44717</v>
      </c>
      <c r="W620" s="4">
        <f>YEAR(Tableau1[[#This Row],[Competition_date]])</f>
        <v>2022</v>
      </c>
      <c r="X620" s="4">
        <v>21</v>
      </c>
      <c r="Y620" s="6">
        <v>0.75</v>
      </c>
      <c r="Z620" s="4" t="s">
        <v>79</v>
      </c>
      <c r="AA620" t="s">
        <v>176</v>
      </c>
    </row>
    <row r="621" spans="1:27" hidden="1" x14ac:dyDescent="0.35">
      <c r="A621" t="str">
        <f>_xlfn.CONCAT(Tableau1[[#This Row],[Athletes]],"_",Tableau1[[#This Row],[Nationality]],"_",Tableau1[[#This Row],[Competition_year]])</f>
        <v>Amel TUKA_BIH_2022</v>
      </c>
      <c r="B621" s="9" t="s">
        <v>196</v>
      </c>
      <c r="C621" s="9" t="s">
        <v>14</v>
      </c>
      <c r="D621" s="12" t="s">
        <v>120</v>
      </c>
      <c r="E621" s="9">
        <v>12.5</v>
      </c>
      <c r="F621" s="9">
        <v>12.5</v>
      </c>
      <c r="G621" s="9">
        <v>13.7</v>
      </c>
      <c r="H621" s="9">
        <v>13.6</v>
      </c>
      <c r="I621" s="9">
        <v>13.9</v>
      </c>
      <c r="J621" s="9">
        <v>13.3</v>
      </c>
      <c r="K621" s="9">
        <v>13.9</v>
      </c>
      <c r="L621">
        <f>Tableau1[[#This Row],[Final_time]]-SUM(Tableau1[[#This Row],[0_100m]:[600_700m]])</f>
        <v>13.129999999999995</v>
      </c>
      <c r="M621" s="9">
        <v>106.53</v>
      </c>
      <c r="N621">
        <f>SUM(Tableau1[[#This Row],[0_100m]:[700_800m]])</f>
        <v>106.53</v>
      </c>
      <c r="O621">
        <f>ABS(Tableau1[[#This Row],[Final_time]]-Tableau1[[#This Row],[Sum_time]])</f>
        <v>0</v>
      </c>
      <c r="P621" s="8"/>
      <c r="Q621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1" t="s">
        <v>392</v>
      </c>
      <c r="S621" s="1" t="s">
        <v>68</v>
      </c>
      <c r="U621" s="1" t="s">
        <v>69</v>
      </c>
      <c r="V621" s="1">
        <v>44717</v>
      </c>
      <c r="W621" s="4">
        <f>YEAR(Tableau1[[#This Row],[Competition_date]])</f>
        <v>2022</v>
      </c>
      <c r="X621" s="4">
        <v>21</v>
      </c>
      <c r="Y621" s="6">
        <v>0.75</v>
      </c>
      <c r="Z621" s="4" t="s">
        <v>79</v>
      </c>
      <c r="AA621" t="s">
        <v>176</v>
      </c>
    </row>
    <row r="622" spans="1:27" hidden="1" x14ac:dyDescent="0.35">
      <c r="A622" t="str">
        <f>_xlfn.CONCAT(Tableau1[[#This Row],[Athletes]],"_",Tableau1[[#This Row],[Nationality]],"_",Tableau1[[#This Row],[Competition_year]])</f>
        <v>Abdelati EL GUESSE_MAR_2022</v>
      </c>
      <c r="B622" s="9" t="s">
        <v>112</v>
      </c>
      <c r="C622" s="9" t="s">
        <v>14</v>
      </c>
      <c r="D622" s="12" t="s">
        <v>21</v>
      </c>
      <c r="E622" s="9">
        <v>12.9</v>
      </c>
      <c r="F622" s="9">
        <v>12.4</v>
      </c>
      <c r="G622" s="9">
        <v>13.5</v>
      </c>
      <c r="H622" s="9">
        <v>13.5</v>
      </c>
      <c r="I622" s="9">
        <v>14</v>
      </c>
      <c r="J622" s="9">
        <v>13.5</v>
      </c>
      <c r="K622" s="9">
        <v>13.7</v>
      </c>
      <c r="L622">
        <f>Tableau1[[#This Row],[Final_time]]-SUM(Tableau1[[#This Row],[0_100m]:[600_700m]])</f>
        <v>13.290000000000006</v>
      </c>
      <c r="M622" s="9">
        <v>106.79</v>
      </c>
      <c r="N622">
        <f>SUM(Tableau1[[#This Row],[0_100m]:[700_800m]])</f>
        <v>106.79</v>
      </c>
      <c r="O622">
        <f>ABS(Tableau1[[#This Row],[Final_time]]-Tableau1[[#This Row],[Sum_time]])</f>
        <v>0</v>
      </c>
      <c r="P622" s="8"/>
      <c r="Q622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2" t="s">
        <v>392</v>
      </c>
      <c r="S622" s="1" t="s">
        <v>68</v>
      </c>
      <c r="U622" s="1" t="s">
        <v>69</v>
      </c>
      <c r="V622" s="1">
        <v>44717</v>
      </c>
      <c r="W622" s="4">
        <f>YEAR(Tableau1[[#This Row],[Competition_date]])</f>
        <v>2022</v>
      </c>
      <c r="X622" s="4">
        <v>21</v>
      </c>
      <c r="Y622" s="6">
        <v>0.75</v>
      </c>
      <c r="Z622" s="4" t="s">
        <v>79</v>
      </c>
      <c r="AA622" t="s">
        <v>176</v>
      </c>
    </row>
    <row r="623" spans="1:27" hidden="1" x14ac:dyDescent="0.35">
      <c r="A623" t="str">
        <f>_xlfn.CONCAT(Tableau1[[#This Row],[Athletes]],"_",Tableau1[[#This Row],[Nationality]],"_",Tableau1[[#This Row],[Competition_year]])</f>
        <v>Mostafa SMAILI_MAR_2022</v>
      </c>
      <c r="B623" s="9" t="s">
        <v>396</v>
      </c>
      <c r="C623" s="9" t="s">
        <v>14</v>
      </c>
      <c r="D623" s="12" t="s">
        <v>21</v>
      </c>
      <c r="E623" s="9">
        <v>12.7</v>
      </c>
      <c r="F623" s="9">
        <v>12.5</v>
      </c>
      <c r="G623" s="9">
        <v>13.7</v>
      </c>
      <c r="H623" s="9">
        <v>13.5</v>
      </c>
      <c r="I623" s="9">
        <v>14</v>
      </c>
      <c r="J623" s="9">
        <v>13.3</v>
      </c>
      <c r="K623" s="9">
        <v>13.8</v>
      </c>
      <c r="L623">
        <f>Tableau1[[#This Row],[Final_time]]-SUM(Tableau1[[#This Row],[0_100m]:[600_700m]])</f>
        <v>13.36</v>
      </c>
      <c r="M623" s="9">
        <v>106.86</v>
      </c>
      <c r="N623">
        <f>SUM(Tableau1[[#This Row],[0_100m]:[700_800m]])</f>
        <v>106.86</v>
      </c>
      <c r="O623">
        <f>ABS(Tableau1[[#This Row],[Final_time]]-Tableau1[[#This Row],[Sum_time]])</f>
        <v>0</v>
      </c>
      <c r="P623" s="8"/>
      <c r="Q623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3" t="s">
        <v>392</v>
      </c>
      <c r="S623" s="1" t="s">
        <v>68</v>
      </c>
      <c r="U623" s="1" t="s">
        <v>69</v>
      </c>
      <c r="V623" s="1">
        <v>44717</v>
      </c>
      <c r="W623" s="4">
        <f>YEAR(Tableau1[[#This Row],[Competition_date]])</f>
        <v>2022</v>
      </c>
      <c r="X623" s="4">
        <v>21</v>
      </c>
      <c r="Y623" s="6">
        <v>0.75</v>
      </c>
      <c r="Z623" s="4" t="s">
        <v>79</v>
      </c>
      <c r="AA623" t="s">
        <v>176</v>
      </c>
    </row>
    <row r="624" spans="1:27" hidden="1" x14ac:dyDescent="0.35">
      <c r="A624" t="str">
        <f>_xlfn.CONCAT(Tableau1[[#This Row],[Athletes]],"_",Tableau1[[#This Row],[Nationality]],"_",Tableau1[[#This Row],[Competition_year]])</f>
        <v>Emmanuel Kipkurui KORIR_KEN_2022</v>
      </c>
      <c r="B624" s="9" t="s">
        <v>201</v>
      </c>
      <c r="C624" s="9" t="s">
        <v>14</v>
      </c>
      <c r="D624" s="12" t="s">
        <v>15</v>
      </c>
      <c r="E624" s="9">
        <v>12.7</v>
      </c>
      <c r="F624" s="9">
        <v>12</v>
      </c>
      <c r="G624" s="9">
        <v>13.3</v>
      </c>
      <c r="H624" s="9">
        <v>13.3</v>
      </c>
      <c r="I624" s="9">
        <v>13.6</v>
      </c>
      <c r="J624" s="9">
        <v>13.8</v>
      </c>
      <c r="K624" s="9">
        <v>13.9</v>
      </c>
      <c r="L624">
        <f>Tableau1[[#This Row],[Final_time]]-SUM(Tableau1[[#This Row],[0_100m]:[600_700m]])</f>
        <v>14.330000000000013</v>
      </c>
      <c r="M624" s="9">
        <v>106.93</v>
      </c>
      <c r="N624">
        <f>SUM(Tableau1[[#This Row],[0_100m]:[700_800m]])</f>
        <v>106.93</v>
      </c>
      <c r="O624">
        <f>ABS(Tableau1[[#This Row],[Final_time]]-Tableau1[[#This Row],[Sum_time]])</f>
        <v>0</v>
      </c>
      <c r="P624" s="8"/>
      <c r="Q624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4" t="s">
        <v>392</v>
      </c>
      <c r="S624" s="1" t="s">
        <v>68</v>
      </c>
      <c r="U624" s="1" t="s">
        <v>69</v>
      </c>
      <c r="V624" s="1">
        <v>44717</v>
      </c>
      <c r="W624" s="4">
        <f>YEAR(Tableau1[[#This Row],[Competition_date]])</f>
        <v>2022</v>
      </c>
      <c r="X624" s="4">
        <v>21</v>
      </c>
      <c r="Y624" s="6">
        <v>0.75</v>
      </c>
      <c r="Z624" s="4" t="s">
        <v>79</v>
      </c>
      <c r="AA624" t="s">
        <v>176</v>
      </c>
    </row>
    <row r="625" spans="1:27" hidden="1" x14ac:dyDescent="0.35">
      <c r="A625" t="str">
        <f>_xlfn.CONCAT(Tableau1[[#This Row],[Athletes]],"_",Tableau1[[#This Row],[Nationality]],"_",Tableau1[[#This Row],[Competition_year]])</f>
        <v>Michael SARUNI_KEN_2022</v>
      </c>
      <c r="B625" s="9" t="s">
        <v>397</v>
      </c>
      <c r="C625" s="9" t="s">
        <v>14</v>
      </c>
      <c r="D625" s="12" t="s">
        <v>15</v>
      </c>
      <c r="E625" s="9">
        <v>12.7</v>
      </c>
      <c r="F625" s="9">
        <v>12.2</v>
      </c>
      <c r="G625" s="9">
        <v>13.7</v>
      </c>
      <c r="H625" s="9">
        <v>13.5</v>
      </c>
      <c r="I625" s="9">
        <v>14</v>
      </c>
      <c r="J625" s="9">
        <v>13.5</v>
      </c>
      <c r="K625" s="9">
        <v>13.9</v>
      </c>
      <c r="L625">
        <f>Tableau1[[#This Row],[Final_time]]-SUM(Tableau1[[#This Row],[0_100m]:[600_700m]])</f>
        <v>14.099999999999994</v>
      </c>
      <c r="M625" s="9">
        <v>107.6</v>
      </c>
      <c r="N625">
        <f>SUM(Tableau1[[#This Row],[0_100m]:[700_800m]])</f>
        <v>107.6</v>
      </c>
      <c r="O625">
        <f>ABS(Tableau1[[#This Row],[Final_time]]-Tableau1[[#This Row],[Sum_time]])</f>
        <v>0</v>
      </c>
      <c r="P625" s="8"/>
      <c r="Q625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5" t="s">
        <v>392</v>
      </c>
      <c r="S625" s="1" t="s">
        <v>68</v>
      </c>
      <c r="U625" s="1" t="s">
        <v>69</v>
      </c>
      <c r="V625" s="1">
        <v>44717</v>
      </c>
      <c r="W625" s="4">
        <f>YEAR(Tableau1[[#This Row],[Competition_date]])</f>
        <v>2022</v>
      </c>
      <c r="X625" s="4">
        <v>21</v>
      </c>
      <c r="Y625" s="6">
        <v>0.75</v>
      </c>
      <c r="Z625" s="4" t="s">
        <v>79</v>
      </c>
      <c r="AA625" t="s">
        <v>176</v>
      </c>
    </row>
    <row r="626" spans="1:27" hidden="1" x14ac:dyDescent="0.35">
      <c r="A626" t="str">
        <f>_xlfn.CONCAT(Tableau1[[#This Row],[Athletes]],"_",Tableau1[[#This Row],[Nationality]],"_",Tableau1[[#This Row],[Competition_year]])</f>
        <v>Ferguson Cheruiyot ROTICH_KEN_2022</v>
      </c>
      <c r="B626" s="9" t="s">
        <v>199</v>
      </c>
      <c r="C626" s="9" t="s">
        <v>14</v>
      </c>
      <c r="D626" s="12" t="s">
        <v>15</v>
      </c>
      <c r="E626" s="9">
        <v>12.7</v>
      </c>
      <c r="F626" s="9">
        <v>12.3</v>
      </c>
      <c r="G626" s="9">
        <v>13.6</v>
      </c>
      <c r="H626" s="9">
        <v>13.5</v>
      </c>
      <c r="I626" s="9">
        <v>13.7</v>
      </c>
      <c r="J626" s="9">
        <v>13.5</v>
      </c>
      <c r="K626" s="9">
        <v>13.7</v>
      </c>
      <c r="L626">
        <f>Tableau1[[#This Row],[Final_time]]-SUM(Tableau1[[#This Row],[0_100m]:[600_700m]])</f>
        <v>14.719999999999999</v>
      </c>
      <c r="M626" s="9">
        <v>107.72</v>
      </c>
      <c r="N626">
        <f>SUM(Tableau1[[#This Row],[0_100m]:[700_800m]])</f>
        <v>107.72</v>
      </c>
      <c r="O626">
        <f>ABS(Tableau1[[#This Row],[Final_time]]-Tableau1[[#This Row],[Sum_time]])</f>
        <v>0</v>
      </c>
      <c r="P626" s="8"/>
      <c r="Q626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6" t="s">
        <v>392</v>
      </c>
      <c r="S626" s="1" t="s">
        <v>68</v>
      </c>
      <c r="U626" s="1" t="s">
        <v>69</v>
      </c>
      <c r="V626" s="1">
        <v>44717</v>
      </c>
      <c r="W626" s="4">
        <f>YEAR(Tableau1[[#This Row],[Competition_date]])</f>
        <v>2022</v>
      </c>
      <c r="X626" s="4">
        <v>21</v>
      </c>
      <c r="Y626" s="6">
        <v>0.75</v>
      </c>
      <c r="Z626" s="4" t="s">
        <v>79</v>
      </c>
      <c r="AA626" t="s">
        <v>176</v>
      </c>
    </row>
    <row r="627" spans="1:27" hidden="1" x14ac:dyDescent="0.35">
      <c r="A627" t="str">
        <f>_xlfn.CONCAT(Tableau1[[#This Row],[Athletes]],"_",Tableau1[[#This Row],[Nationality]],"_",Tableau1[[#This Row],[Competition_year]])</f>
        <v>Mariano GARCÍA_ESP_2022</v>
      </c>
      <c r="B627" s="9" t="s">
        <v>241</v>
      </c>
      <c r="C627" s="9" t="s">
        <v>14</v>
      </c>
      <c r="D627" s="12" t="s">
        <v>37</v>
      </c>
      <c r="E627" s="9">
        <v>12.5</v>
      </c>
      <c r="F627" s="9">
        <v>12.2</v>
      </c>
      <c r="G627" s="9">
        <v>13.7</v>
      </c>
      <c r="H627" s="9">
        <v>13.6</v>
      </c>
      <c r="I627" s="9">
        <v>13.8</v>
      </c>
      <c r="J627" s="9">
        <v>13.5</v>
      </c>
      <c r="K627" s="9">
        <v>14.3</v>
      </c>
      <c r="L627">
        <f>Tableau1[[#This Row],[Final_time]]-SUM(Tableau1[[#This Row],[0_100m]:[600_700m]])</f>
        <v>14.88000000000001</v>
      </c>
      <c r="M627" s="9">
        <v>108.48</v>
      </c>
      <c r="N627">
        <f>SUM(Tableau1[[#This Row],[0_100m]:[700_800m]])</f>
        <v>108.48</v>
      </c>
      <c r="O627">
        <f>ABS(Tableau1[[#This Row],[Final_time]]-Tableau1[[#This Row],[Sum_time]])</f>
        <v>0</v>
      </c>
      <c r="P627" s="8"/>
      <c r="Q627" s="16" t="str">
        <f>_xlfn.CONCAT(Tableau1[[#This Row],[Competition]],"_",Tableau1[[#This Row],[Championship_step]],"_",Tableau1[[#This Row],[Competition_date]],"_",Tableau1[[#This Row],[Gender]])</f>
        <v>Diamond League Rabat 2022__44717_Male</v>
      </c>
      <c r="R627" t="s">
        <v>392</v>
      </c>
      <c r="S627" s="1" t="s">
        <v>68</v>
      </c>
      <c r="U627" s="1" t="s">
        <v>69</v>
      </c>
      <c r="V627" s="1">
        <v>44717</v>
      </c>
      <c r="W627" s="4">
        <f>YEAR(Tableau1[[#This Row],[Competition_date]])</f>
        <v>2022</v>
      </c>
      <c r="X627" s="4">
        <v>21</v>
      </c>
      <c r="Y627" s="6">
        <v>0.75</v>
      </c>
      <c r="Z627" s="4" t="s">
        <v>79</v>
      </c>
      <c r="AA627" t="s">
        <v>176</v>
      </c>
    </row>
    <row r="628" spans="1:27" hidden="1" x14ac:dyDescent="0.35">
      <c r="A628" t="str">
        <f>_xlfn.CONCAT(Tableau1[[#This Row],[Athletes]],"_",Tableau1[[#This Row],[Nationality]],"_",Tableau1[[#This Row],[Competition_year]])</f>
        <v>Meryeme AZROUR_MAR_2023</v>
      </c>
      <c r="B628" t="s">
        <v>1055</v>
      </c>
      <c r="C628" t="s">
        <v>29</v>
      </c>
      <c r="D628" s="18" t="s">
        <v>21</v>
      </c>
      <c r="E628">
        <v>16.2</v>
      </c>
      <c r="F628">
        <v>15.9</v>
      </c>
      <c r="G628">
        <v>15.8</v>
      </c>
      <c r="H628">
        <v>15.9</v>
      </c>
      <c r="I628">
        <v>15.9</v>
      </c>
      <c r="J628">
        <v>16.5</v>
      </c>
      <c r="K628">
        <v>16.600000000000001</v>
      </c>
      <c r="L628">
        <f>Tableau1[[#This Row],[Final_time]]-SUM(Tableau1[[#This Row],[0_100m]:[600_700m]])</f>
        <v>16.119999999999976</v>
      </c>
      <c r="M628">
        <v>128.91999999999999</v>
      </c>
      <c r="N628">
        <f>SUM(Tableau1[[#This Row],[0_100m]:[700_800m]])</f>
        <v>128.91999999999999</v>
      </c>
      <c r="O628">
        <f>ABS(Tableau1[[#This Row],[Final_time]]-Tableau1[[#This Row],[Sum_time]])</f>
        <v>0</v>
      </c>
      <c r="P628" s="8"/>
      <c r="Q628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28" t="s">
        <v>495</v>
      </c>
      <c r="S628" s="1" t="s">
        <v>68</v>
      </c>
      <c r="U628" s="1" t="s">
        <v>288</v>
      </c>
      <c r="V628" s="1">
        <v>45074</v>
      </c>
      <c r="W628" s="4">
        <f>YEAR(Tableau1[[#This Row],[Competition_date]])</f>
        <v>2023</v>
      </c>
      <c r="X628" s="4">
        <v>22</v>
      </c>
      <c r="Y628" s="6">
        <v>0.63</v>
      </c>
      <c r="Z628" s="4" t="s">
        <v>79</v>
      </c>
      <c r="AA628" t="s">
        <v>176</v>
      </c>
    </row>
    <row r="629" spans="1:27" hidden="1" x14ac:dyDescent="0.35">
      <c r="A629" t="str">
        <f>_xlfn.CONCAT(Tableau1[[#This Row],[Athletes]],"_",Tableau1[[#This Row],[Nationality]],"_",Tableau1[[#This Row],[Competition_year]])</f>
        <v>Khadija ENNASRI_MAR_2023</v>
      </c>
      <c r="B629" t="s">
        <v>318</v>
      </c>
      <c r="C629" t="s">
        <v>29</v>
      </c>
      <c r="D629" s="18" t="s">
        <v>21</v>
      </c>
      <c r="E629">
        <v>16.100000000000001</v>
      </c>
      <c r="F629">
        <v>16.3</v>
      </c>
      <c r="G629">
        <v>15.7</v>
      </c>
      <c r="H629">
        <v>15.9</v>
      </c>
      <c r="I629">
        <v>15.8</v>
      </c>
      <c r="J629">
        <v>16.100000000000001</v>
      </c>
      <c r="K629">
        <v>16.2</v>
      </c>
      <c r="L629">
        <f>Tableau1[[#This Row],[Final_time]]-SUM(Tableau1[[#This Row],[0_100m]:[600_700m]])</f>
        <v>16.829999999999998</v>
      </c>
      <c r="M629">
        <v>128.93</v>
      </c>
      <c r="N629">
        <f>SUM(Tableau1[[#This Row],[0_100m]:[700_800m]])</f>
        <v>128.93</v>
      </c>
      <c r="O629">
        <f>ABS(Tableau1[[#This Row],[Final_time]]-Tableau1[[#This Row],[Sum_time]])</f>
        <v>0</v>
      </c>
      <c r="P629" s="8"/>
      <c r="Q629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29" t="s">
        <v>495</v>
      </c>
      <c r="S629" s="1" t="s">
        <v>68</v>
      </c>
      <c r="U629" s="1" t="s">
        <v>288</v>
      </c>
      <c r="V629" s="1">
        <v>45074</v>
      </c>
      <c r="W629" s="4">
        <f>YEAR(Tableau1[[#This Row],[Competition_date]])</f>
        <v>2023</v>
      </c>
      <c r="X629" s="4">
        <v>22</v>
      </c>
      <c r="Y629" s="6">
        <v>0.63</v>
      </c>
      <c r="Z629" s="4" t="s">
        <v>79</v>
      </c>
      <c r="AA629" t="s">
        <v>176</v>
      </c>
    </row>
    <row r="630" spans="1:27" hidden="1" x14ac:dyDescent="0.35">
      <c r="A630" t="str">
        <f>_xlfn.CONCAT(Tableau1[[#This Row],[Athletes]],"_",Tableau1[[#This Row],[Nationality]],"_",Tableau1[[#This Row],[Competition_year]])</f>
        <v>Souad ELHADDAD_MAR_2023</v>
      </c>
      <c r="B630" t="s">
        <v>1246</v>
      </c>
      <c r="C630" t="s">
        <v>29</v>
      </c>
      <c r="D630" s="18" t="s">
        <v>21</v>
      </c>
      <c r="E630">
        <v>16.3</v>
      </c>
      <c r="F630">
        <v>16.100000000000001</v>
      </c>
      <c r="G630">
        <v>15.9</v>
      </c>
      <c r="H630">
        <v>15.9</v>
      </c>
      <c r="I630">
        <v>16</v>
      </c>
      <c r="J630">
        <v>15.7</v>
      </c>
      <c r="K630">
        <v>16.5</v>
      </c>
      <c r="L630">
        <f>Tableau1[[#This Row],[Final_time]]-SUM(Tableau1[[#This Row],[0_100m]:[600_700m]])</f>
        <v>16.669999999999987</v>
      </c>
      <c r="M630">
        <v>129.07</v>
      </c>
      <c r="N630">
        <f>SUM(Tableau1[[#This Row],[0_100m]:[700_800m]])</f>
        <v>129.07</v>
      </c>
      <c r="O630">
        <f>ABS(Tableau1[[#This Row],[Final_time]]-Tableau1[[#This Row],[Sum_time]])</f>
        <v>0</v>
      </c>
      <c r="P630" s="8"/>
      <c r="Q630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30" t="s">
        <v>495</v>
      </c>
      <c r="S630" s="1" t="s">
        <v>68</v>
      </c>
      <c r="U630" s="1" t="s">
        <v>288</v>
      </c>
      <c r="V630" s="1">
        <v>45074</v>
      </c>
      <c r="W630" s="4">
        <f>YEAR(Tableau1[[#This Row],[Competition_date]])</f>
        <v>2023</v>
      </c>
      <c r="X630" s="4">
        <v>22</v>
      </c>
      <c r="Y630" s="6">
        <v>0.63</v>
      </c>
      <c r="Z630" s="4" t="s">
        <v>79</v>
      </c>
      <c r="AA630" t="s">
        <v>176</v>
      </c>
    </row>
    <row r="631" spans="1:27" hidden="1" x14ac:dyDescent="0.35">
      <c r="A631" t="str">
        <f>_xlfn.CONCAT(Tableau1[[#This Row],[Athletes]],"_",Tableau1[[#This Row],[Nationality]],"_",Tableau1[[#This Row],[Competition_year]])</f>
        <v>Aya BOUGHAIDA_MAR_2023</v>
      </c>
      <c r="B631" t="s">
        <v>607</v>
      </c>
      <c r="C631" t="s">
        <v>29</v>
      </c>
      <c r="D631" s="18" t="s">
        <v>21</v>
      </c>
      <c r="E631">
        <v>15.7</v>
      </c>
      <c r="F631">
        <v>16.899999999999999</v>
      </c>
      <c r="G631">
        <v>16.100000000000001</v>
      </c>
      <c r="H631">
        <v>15.9</v>
      </c>
      <c r="I631">
        <v>15.9</v>
      </c>
      <c r="J631">
        <v>16.600000000000001</v>
      </c>
      <c r="K631">
        <v>17</v>
      </c>
      <c r="L631">
        <f>Tableau1[[#This Row],[Final_time]]-SUM(Tableau1[[#This Row],[0_100m]:[600_700m]])</f>
        <v>17.5</v>
      </c>
      <c r="M631">
        <v>131.6</v>
      </c>
      <c r="N631">
        <f>SUM(Tableau1[[#This Row],[0_100m]:[700_800m]])</f>
        <v>131.6</v>
      </c>
      <c r="O631">
        <f>ABS(Tableau1[[#This Row],[Final_time]]-Tableau1[[#This Row],[Sum_time]])</f>
        <v>0</v>
      </c>
      <c r="P631" s="8"/>
      <c r="Q631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31" t="s">
        <v>495</v>
      </c>
      <c r="S631" s="1" t="s">
        <v>68</v>
      </c>
      <c r="U631" s="1" t="s">
        <v>288</v>
      </c>
      <c r="V631" s="1">
        <v>45074</v>
      </c>
      <c r="W631" s="4">
        <f>YEAR(Tableau1[[#This Row],[Competition_date]])</f>
        <v>2023</v>
      </c>
      <c r="X631" s="4">
        <v>22</v>
      </c>
      <c r="Y631" s="6">
        <v>0.63</v>
      </c>
      <c r="Z631" s="4" t="s">
        <v>79</v>
      </c>
      <c r="AA631" t="s">
        <v>176</v>
      </c>
    </row>
    <row r="632" spans="1:27" hidden="1" x14ac:dyDescent="0.35">
      <c r="A632" t="str">
        <f>_xlfn.CONCAT(Tableau1[[#This Row],[Athletes]],"_",Tableau1[[#This Row],[Nationality]],"_",Tableau1[[#This Row],[Competition_year]])</f>
        <v>Assia AIT TALEB_MAR_2023</v>
      </c>
      <c r="B632" t="s">
        <v>393</v>
      </c>
      <c r="C632" t="s">
        <v>29</v>
      </c>
      <c r="D632" s="18" t="s">
        <v>21</v>
      </c>
      <c r="E632">
        <v>16.2</v>
      </c>
      <c r="F632">
        <v>16.5</v>
      </c>
      <c r="G632">
        <v>16</v>
      </c>
      <c r="H632">
        <v>16.100000000000001</v>
      </c>
      <c r="I632">
        <v>16.3</v>
      </c>
      <c r="J632">
        <v>17.100000000000001</v>
      </c>
      <c r="K632">
        <v>16.399999999999999</v>
      </c>
      <c r="L632">
        <f>Tableau1[[#This Row],[Final_time]]-SUM(Tableau1[[#This Row],[0_100m]:[600_700m]])</f>
        <v>17.71999999999997</v>
      </c>
      <c r="M632">
        <v>132.32</v>
      </c>
      <c r="N632">
        <f>SUM(Tableau1[[#This Row],[0_100m]:[700_800m]])</f>
        <v>132.32</v>
      </c>
      <c r="O632">
        <f>ABS(Tableau1[[#This Row],[Final_time]]-Tableau1[[#This Row],[Sum_time]])</f>
        <v>0</v>
      </c>
      <c r="P632" s="8"/>
      <c r="Q632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32" t="s">
        <v>495</v>
      </c>
      <c r="S632" s="1" t="s">
        <v>68</v>
      </c>
      <c r="U632" s="1" t="s">
        <v>288</v>
      </c>
      <c r="V632" s="1">
        <v>45074</v>
      </c>
      <c r="W632" s="4">
        <f>YEAR(Tableau1[[#This Row],[Competition_date]])</f>
        <v>2023</v>
      </c>
      <c r="X632" s="4">
        <v>22</v>
      </c>
      <c r="Y632" s="6">
        <v>0.63</v>
      </c>
      <c r="Z632" s="4" t="s">
        <v>79</v>
      </c>
      <c r="AA632" t="s">
        <v>176</v>
      </c>
    </row>
    <row r="633" spans="1:27" hidden="1" x14ac:dyDescent="0.35">
      <c r="A633" t="str">
        <f>_xlfn.CONCAT(Tableau1[[#This Row],[Athletes]],"_",Tableau1[[#This Row],[Nationality]],"_",Tableau1[[#This Row],[Competition_year]])</f>
        <v>Khaddouj EL BALI_MAR_2023</v>
      </c>
      <c r="B633" t="s">
        <v>959</v>
      </c>
      <c r="C633" t="s">
        <v>29</v>
      </c>
      <c r="D633" s="18" t="s">
        <v>21</v>
      </c>
      <c r="E633">
        <v>15.8</v>
      </c>
      <c r="F633">
        <v>17</v>
      </c>
      <c r="G633">
        <v>16.100000000000001</v>
      </c>
      <c r="H633">
        <v>16</v>
      </c>
      <c r="I633">
        <v>16.2</v>
      </c>
      <c r="J633">
        <v>17.2</v>
      </c>
      <c r="K633">
        <v>17</v>
      </c>
      <c r="L633">
        <f>Tableau1[[#This Row],[Final_time]]-SUM(Tableau1[[#This Row],[0_100m]:[600_700m]])</f>
        <v>17.509999999999991</v>
      </c>
      <c r="M633">
        <v>132.81</v>
      </c>
      <c r="N633">
        <f>SUM(Tableau1[[#This Row],[0_100m]:[700_800m]])</f>
        <v>132.81</v>
      </c>
      <c r="O633">
        <f>ABS(Tableau1[[#This Row],[Final_time]]-Tableau1[[#This Row],[Sum_time]])</f>
        <v>0</v>
      </c>
      <c r="P633" s="8"/>
      <c r="Q633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33" t="s">
        <v>495</v>
      </c>
      <c r="S633" s="1" t="s">
        <v>68</v>
      </c>
      <c r="U633" s="1" t="s">
        <v>288</v>
      </c>
      <c r="V633" s="1">
        <v>45074</v>
      </c>
      <c r="W633" s="4">
        <f>YEAR(Tableau1[[#This Row],[Competition_date]])</f>
        <v>2023</v>
      </c>
      <c r="X633" s="4">
        <v>22</v>
      </c>
      <c r="Y633" s="6">
        <v>0.63</v>
      </c>
      <c r="Z633" s="4" t="s">
        <v>79</v>
      </c>
      <c r="AA633" t="s">
        <v>176</v>
      </c>
    </row>
    <row r="634" spans="1:27" hidden="1" x14ac:dyDescent="0.35">
      <c r="A634" t="str">
        <f>_xlfn.CONCAT(Tableau1[[#This Row],[Athletes]],"_",Tableau1[[#This Row],[Nationality]],"_",Tableau1[[#This Row],[Competition_year]])</f>
        <v>Lamyae ABBASSI_MAR_2023</v>
      </c>
      <c r="B634" t="s">
        <v>980</v>
      </c>
      <c r="C634" t="s">
        <v>29</v>
      </c>
      <c r="D634" s="18" t="s">
        <v>21</v>
      </c>
      <c r="E634">
        <v>16.149999999999999</v>
      </c>
      <c r="F634">
        <v>16.55</v>
      </c>
      <c r="G634">
        <v>16.100000000000001</v>
      </c>
      <c r="H634">
        <v>15.9</v>
      </c>
      <c r="I634">
        <v>16.399999999999999</v>
      </c>
      <c r="J634">
        <v>17.100000000000001</v>
      </c>
      <c r="K634">
        <v>18.2</v>
      </c>
      <c r="L634">
        <f>Tableau1[[#This Row],[Final_time]]-SUM(Tableau1[[#This Row],[0_100m]:[600_700m]])</f>
        <v>18.870000000000019</v>
      </c>
      <c r="M634">
        <v>135.27000000000001</v>
      </c>
      <c r="N634">
        <f>SUM(Tableau1[[#This Row],[0_100m]:[700_800m]])</f>
        <v>135.27000000000001</v>
      </c>
      <c r="O634">
        <f>ABS(Tableau1[[#This Row],[Final_time]]-Tableau1[[#This Row],[Sum_time]])</f>
        <v>0</v>
      </c>
      <c r="P634" s="8"/>
      <c r="Q634" s="16" t="str">
        <f>_xlfn.CONCAT(Tableau1[[#This Row],[Competition]],"_",Tableau1[[#This Row],[Championship_step]],"_",Tableau1[[#This Row],[Competition_date]],"_",Tableau1[[#This Row],[Gender]])</f>
        <v>Diamond League Rabat 2023 - U23__45074_Female</v>
      </c>
      <c r="R634" t="s">
        <v>495</v>
      </c>
      <c r="S634" s="1" t="s">
        <v>68</v>
      </c>
      <c r="U634" s="1" t="s">
        <v>288</v>
      </c>
      <c r="V634" s="1">
        <v>45074</v>
      </c>
      <c r="W634" s="4">
        <f>YEAR(Tableau1[[#This Row],[Competition_date]])</f>
        <v>2023</v>
      </c>
      <c r="X634" s="4">
        <v>22</v>
      </c>
      <c r="Y634" s="6">
        <v>0.63</v>
      </c>
      <c r="Z634" s="4" t="s">
        <v>79</v>
      </c>
      <c r="AA634" t="s">
        <v>176</v>
      </c>
    </row>
    <row r="635" spans="1:27" hidden="1" x14ac:dyDescent="0.35">
      <c r="A635" t="str">
        <f>_xlfn.CONCAT(Tableau1[[#This Row],[Athletes]],"_",Tableau1[[#This Row],[Nationality]],"_",Tableau1[[#This Row],[Competition_year]])</f>
        <v>Khalid BOULAARAIS_MAR_2023</v>
      </c>
      <c r="B635" t="s">
        <v>311</v>
      </c>
      <c r="C635" t="s">
        <v>14</v>
      </c>
      <c r="D635" s="18" t="s">
        <v>21</v>
      </c>
      <c r="E635">
        <v>13.6</v>
      </c>
      <c r="F635">
        <v>13.7</v>
      </c>
      <c r="G635">
        <v>15.2</v>
      </c>
      <c r="H635">
        <v>14.5</v>
      </c>
      <c r="I635">
        <v>14.4</v>
      </c>
      <c r="J635">
        <v>13.5</v>
      </c>
      <c r="K635">
        <v>12.7</v>
      </c>
      <c r="L635">
        <f>Tableau1[[#This Row],[Final_time]]-SUM(Tableau1[[#This Row],[0_100m]:[600_700m]])</f>
        <v>13.099999999999994</v>
      </c>
      <c r="M635">
        <v>110.7</v>
      </c>
      <c r="N635">
        <f>SUM(Tableau1[[#This Row],[0_100m]:[700_800m]])</f>
        <v>110.7</v>
      </c>
      <c r="O635">
        <f>ABS(Tableau1[[#This Row],[Final_time]]-Tableau1[[#This Row],[Sum_time]])</f>
        <v>0</v>
      </c>
      <c r="P635" s="8"/>
      <c r="Q635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35" t="s">
        <v>495</v>
      </c>
      <c r="S635" s="1" t="s">
        <v>68</v>
      </c>
      <c r="U635" s="1" t="s">
        <v>288</v>
      </c>
      <c r="V635" s="1">
        <v>45074</v>
      </c>
      <c r="W635" s="4">
        <f>YEAR(Tableau1[[#This Row],[Competition_date]])</f>
        <v>2023</v>
      </c>
      <c r="X635" s="4">
        <v>22</v>
      </c>
      <c r="Y635" s="6">
        <v>0.63</v>
      </c>
      <c r="Z635" s="4" t="s">
        <v>79</v>
      </c>
      <c r="AA635" t="s">
        <v>176</v>
      </c>
    </row>
    <row r="636" spans="1:27" hidden="1" x14ac:dyDescent="0.35">
      <c r="A636" t="str">
        <f>_xlfn.CONCAT(Tableau1[[#This Row],[Athletes]],"_",Tableau1[[#This Row],[Nationality]],"_",Tableau1[[#This Row],[Competition_year]])</f>
        <v>Hassan BEN HACHIMI_MAR_2023</v>
      </c>
      <c r="B636" t="s">
        <v>833</v>
      </c>
      <c r="C636" t="s">
        <v>14</v>
      </c>
      <c r="D636" s="18" t="s">
        <v>21</v>
      </c>
      <c r="E636">
        <v>13.4</v>
      </c>
      <c r="F636">
        <v>13.8</v>
      </c>
      <c r="G636">
        <v>15.3</v>
      </c>
      <c r="H636">
        <v>14.7</v>
      </c>
      <c r="I636">
        <v>14.5</v>
      </c>
      <c r="J636">
        <v>13.4</v>
      </c>
      <c r="K636">
        <v>12.6</v>
      </c>
      <c r="L636">
        <f>Tableau1[[#This Row],[Final_time]]-SUM(Tableau1[[#This Row],[0_100m]:[600_700m]])</f>
        <v>13.200000000000003</v>
      </c>
      <c r="M636">
        <v>110.9</v>
      </c>
      <c r="N636">
        <f>SUM(Tableau1[[#This Row],[0_100m]:[700_800m]])</f>
        <v>110.9</v>
      </c>
      <c r="O636">
        <f>ABS(Tableau1[[#This Row],[Final_time]]-Tableau1[[#This Row],[Sum_time]])</f>
        <v>0</v>
      </c>
      <c r="P636" s="8"/>
      <c r="Q636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36" t="s">
        <v>495</v>
      </c>
      <c r="S636" s="1" t="s">
        <v>68</v>
      </c>
      <c r="U636" s="1" t="s">
        <v>288</v>
      </c>
      <c r="V636" s="1">
        <v>45074</v>
      </c>
      <c r="W636" s="4">
        <f>YEAR(Tableau1[[#This Row],[Competition_date]])</f>
        <v>2023</v>
      </c>
      <c r="X636" s="4">
        <v>22</v>
      </c>
      <c r="Y636" s="6">
        <v>0.63</v>
      </c>
      <c r="Z636" s="4" t="s">
        <v>79</v>
      </c>
      <c r="AA636" t="s">
        <v>176</v>
      </c>
    </row>
    <row r="637" spans="1:27" hidden="1" x14ac:dyDescent="0.35">
      <c r="A637" t="str">
        <f>_xlfn.CONCAT(Tableau1[[#This Row],[Athletes]],"_",Tableau1[[#This Row],[Nationality]],"_",Tableau1[[#This Row],[Competition_year]])</f>
        <v>Mohamed ABOUETTAHERY_MAR_2023</v>
      </c>
      <c r="B637" t="s">
        <v>312</v>
      </c>
      <c r="C637" t="s">
        <v>14</v>
      </c>
      <c r="D637" s="18" t="s">
        <v>21</v>
      </c>
      <c r="E637">
        <v>13.45</v>
      </c>
      <c r="F637">
        <v>14.35</v>
      </c>
      <c r="G637">
        <v>15.2</v>
      </c>
      <c r="H637">
        <v>14.6</v>
      </c>
      <c r="I637">
        <v>14.5</v>
      </c>
      <c r="J637">
        <v>13.5</v>
      </c>
      <c r="K637">
        <v>13</v>
      </c>
      <c r="L637">
        <f>Tableau1[[#This Row],[Final_time]]-SUM(Tableau1[[#This Row],[0_100m]:[600_700m]])</f>
        <v>13</v>
      </c>
      <c r="M637">
        <v>111.6</v>
      </c>
      <c r="N637">
        <f>SUM(Tableau1[[#This Row],[0_100m]:[700_800m]])</f>
        <v>111.6</v>
      </c>
      <c r="O637">
        <f>ABS(Tableau1[[#This Row],[Final_time]]-Tableau1[[#This Row],[Sum_time]])</f>
        <v>0</v>
      </c>
      <c r="P637" s="8"/>
      <c r="Q637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37" t="s">
        <v>495</v>
      </c>
      <c r="S637" s="1" t="s">
        <v>68</v>
      </c>
      <c r="U637" s="1" t="s">
        <v>288</v>
      </c>
      <c r="V637" s="1">
        <v>45074</v>
      </c>
      <c r="W637" s="4">
        <f>YEAR(Tableau1[[#This Row],[Competition_date]])</f>
        <v>2023</v>
      </c>
      <c r="X637" s="4">
        <v>22</v>
      </c>
      <c r="Y637" s="6">
        <v>0.63</v>
      </c>
      <c r="Z637" s="4" t="s">
        <v>79</v>
      </c>
      <c r="AA637" t="s">
        <v>176</v>
      </c>
    </row>
    <row r="638" spans="1:27" hidden="1" x14ac:dyDescent="0.35">
      <c r="A638" t="str">
        <f>_xlfn.CONCAT(Tableau1[[#This Row],[Athletes]],"_",Tableau1[[#This Row],[Nationality]],"_",Tableau1[[#This Row],[Competition_year]])</f>
        <v>Charaf ZAHIR_MAR_2023</v>
      </c>
      <c r="B638" t="s">
        <v>313</v>
      </c>
      <c r="C638" t="s">
        <v>14</v>
      </c>
      <c r="D638" s="18" t="s">
        <v>21</v>
      </c>
      <c r="E638">
        <v>13.8</v>
      </c>
      <c r="F638">
        <v>13.9</v>
      </c>
      <c r="G638">
        <v>15.2</v>
      </c>
      <c r="H638">
        <v>14.4</v>
      </c>
      <c r="I638">
        <v>14.5</v>
      </c>
      <c r="J638">
        <v>13.7</v>
      </c>
      <c r="K638">
        <v>13</v>
      </c>
      <c r="L638">
        <f>Tableau1[[#This Row],[Final_time]]-SUM(Tableau1[[#This Row],[0_100m]:[600_700m]])</f>
        <v>13.379999999999981</v>
      </c>
      <c r="M638">
        <v>111.88</v>
      </c>
      <c r="N638">
        <f>SUM(Tableau1[[#This Row],[0_100m]:[700_800m]])</f>
        <v>111.88</v>
      </c>
      <c r="O638">
        <f>ABS(Tableau1[[#This Row],[Final_time]]-Tableau1[[#This Row],[Sum_time]])</f>
        <v>0</v>
      </c>
      <c r="P638" s="8"/>
      <c r="Q638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38" t="s">
        <v>495</v>
      </c>
      <c r="S638" s="1" t="s">
        <v>68</v>
      </c>
      <c r="U638" s="1" t="s">
        <v>288</v>
      </c>
      <c r="V638" s="1">
        <v>45074</v>
      </c>
      <c r="W638" s="4">
        <f>YEAR(Tableau1[[#This Row],[Competition_date]])</f>
        <v>2023</v>
      </c>
      <c r="X638" s="4">
        <v>22</v>
      </c>
      <c r="Y638" s="6">
        <v>0.63</v>
      </c>
      <c r="Z638" s="4" t="s">
        <v>79</v>
      </c>
      <c r="AA638" t="s">
        <v>176</v>
      </c>
    </row>
    <row r="639" spans="1:27" hidden="1" x14ac:dyDescent="0.35">
      <c r="A639" t="str">
        <f>_xlfn.CONCAT(Tableau1[[#This Row],[Athletes]],"_",Tableau1[[#This Row],[Nationality]],"_",Tableau1[[#This Row],[Competition_year]])</f>
        <v>Salahedine BOUSSAID_MAR_2023</v>
      </c>
      <c r="B639" t="s">
        <v>1182</v>
      </c>
      <c r="C639" t="s">
        <v>14</v>
      </c>
      <c r="D639" s="18" t="s">
        <v>21</v>
      </c>
      <c r="E639">
        <v>13.7</v>
      </c>
      <c r="F639">
        <v>13.8</v>
      </c>
      <c r="G639">
        <v>15.1</v>
      </c>
      <c r="H639">
        <v>14.7</v>
      </c>
      <c r="I639">
        <v>14.6</v>
      </c>
      <c r="J639">
        <v>13.3</v>
      </c>
      <c r="K639">
        <v>13.5</v>
      </c>
      <c r="L639">
        <f>Tableau1[[#This Row],[Final_time]]-SUM(Tableau1[[#This Row],[0_100m]:[600_700m]])</f>
        <v>13.890000000000015</v>
      </c>
      <c r="M639">
        <v>112.59</v>
      </c>
      <c r="N639">
        <f>SUM(Tableau1[[#This Row],[0_100m]:[700_800m]])</f>
        <v>112.59</v>
      </c>
      <c r="O639">
        <f>ABS(Tableau1[[#This Row],[Final_time]]-Tableau1[[#This Row],[Sum_time]])</f>
        <v>0</v>
      </c>
      <c r="P639" s="8"/>
      <c r="Q639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39" t="s">
        <v>495</v>
      </c>
      <c r="S639" s="1" t="s">
        <v>68</v>
      </c>
      <c r="U639" s="1" t="s">
        <v>288</v>
      </c>
      <c r="V639" s="1">
        <v>45074</v>
      </c>
      <c r="W639" s="4">
        <f>YEAR(Tableau1[[#This Row],[Competition_date]])</f>
        <v>2023</v>
      </c>
      <c r="X639" s="4">
        <v>22</v>
      </c>
      <c r="Y639" s="6">
        <v>0.63</v>
      </c>
      <c r="Z639" s="4" t="s">
        <v>79</v>
      </c>
      <c r="AA639" t="s">
        <v>176</v>
      </c>
    </row>
    <row r="640" spans="1:27" hidden="1" x14ac:dyDescent="0.35">
      <c r="A640" t="str">
        <f>_xlfn.CONCAT(Tableau1[[#This Row],[Athletes]],"_",Tableau1[[#This Row],[Nationality]],"_",Tableau1[[#This Row],[Competition_year]])</f>
        <v>Soufiane ZRAIDI_MAR_2023</v>
      </c>
      <c r="B640" t="s">
        <v>314</v>
      </c>
      <c r="C640" t="s">
        <v>14</v>
      </c>
      <c r="D640" s="18" t="s">
        <v>21</v>
      </c>
      <c r="E640">
        <v>13.7</v>
      </c>
      <c r="F640">
        <v>13.5</v>
      </c>
      <c r="G640">
        <v>15.4</v>
      </c>
      <c r="H640">
        <v>14.4</v>
      </c>
      <c r="I640">
        <v>14.5</v>
      </c>
      <c r="J640">
        <v>13.6</v>
      </c>
      <c r="K640">
        <v>13.5</v>
      </c>
      <c r="L640">
        <f>Tableau1[[#This Row],[Final_time]]-SUM(Tableau1[[#This Row],[0_100m]:[600_700m]])</f>
        <v>14.570000000000007</v>
      </c>
      <c r="M640">
        <v>113.17</v>
      </c>
      <c r="N640">
        <f>SUM(Tableau1[[#This Row],[0_100m]:[700_800m]])</f>
        <v>113.17</v>
      </c>
      <c r="O640">
        <f>ABS(Tableau1[[#This Row],[Final_time]]-Tableau1[[#This Row],[Sum_time]])</f>
        <v>0</v>
      </c>
      <c r="P640" s="8"/>
      <c r="Q640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40" t="s">
        <v>495</v>
      </c>
      <c r="S640" s="1" t="s">
        <v>68</v>
      </c>
      <c r="U640" s="1" t="s">
        <v>288</v>
      </c>
      <c r="V640" s="1">
        <v>45074</v>
      </c>
      <c r="W640" s="4">
        <f>YEAR(Tableau1[[#This Row],[Competition_date]])</f>
        <v>2023</v>
      </c>
      <c r="X640" s="4">
        <v>22</v>
      </c>
      <c r="Y640" s="6">
        <v>0.63</v>
      </c>
      <c r="Z640" s="4" t="s">
        <v>79</v>
      </c>
      <c r="AA640" t="s">
        <v>176</v>
      </c>
    </row>
    <row r="641" spans="1:27" hidden="1" x14ac:dyDescent="0.35">
      <c r="A641" t="str">
        <f>_xlfn.CONCAT(Tableau1[[#This Row],[Athletes]],"_",Tableau1[[#This Row],[Nationality]],"_",Tableau1[[#This Row],[Competition_year]])</f>
        <v>Ahmad RAHOUI_MAR_2023</v>
      </c>
      <c r="B641" t="s">
        <v>544</v>
      </c>
      <c r="C641" t="s">
        <v>14</v>
      </c>
      <c r="D641" s="18" t="s">
        <v>21</v>
      </c>
      <c r="E641">
        <v>13.35</v>
      </c>
      <c r="F641">
        <v>13.85</v>
      </c>
      <c r="G641">
        <v>15.3</v>
      </c>
      <c r="H641">
        <v>14.5</v>
      </c>
      <c r="I641">
        <v>14.6</v>
      </c>
      <c r="J641">
        <v>13.6</v>
      </c>
      <c r="K641">
        <v>13.6</v>
      </c>
      <c r="L641">
        <f>Tableau1[[#This Row],[Final_time]]-SUM(Tableau1[[#This Row],[0_100m]:[600_700m]])</f>
        <v>14.450000000000017</v>
      </c>
      <c r="M641">
        <v>113.25</v>
      </c>
      <c r="N641">
        <f>SUM(Tableau1[[#This Row],[0_100m]:[700_800m]])</f>
        <v>113.25</v>
      </c>
      <c r="O641">
        <f>ABS(Tableau1[[#This Row],[Final_time]]-Tableau1[[#This Row],[Sum_time]])</f>
        <v>0</v>
      </c>
      <c r="P641" s="8"/>
      <c r="Q641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41" t="s">
        <v>495</v>
      </c>
      <c r="S641" s="1" t="s">
        <v>68</v>
      </c>
      <c r="U641" s="1" t="s">
        <v>288</v>
      </c>
      <c r="V641" s="1">
        <v>45074</v>
      </c>
      <c r="W641" s="4">
        <f>YEAR(Tableau1[[#This Row],[Competition_date]])</f>
        <v>2023</v>
      </c>
      <c r="X641" s="4">
        <v>22</v>
      </c>
      <c r="Y641" s="6">
        <v>0.63</v>
      </c>
      <c r="Z641" s="4" t="s">
        <v>79</v>
      </c>
      <c r="AA641" t="s">
        <v>176</v>
      </c>
    </row>
    <row r="642" spans="1:27" hidden="1" x14ac:dyDescent="0.35">
      <c r="A642" t="str">
        <f>_xlfn.CONCAT(Tableau1[[#This Row],[Athletes]],"_",Tableau1[[#This Row],[Nationality]],"_",Tableau1[[#This Row],[Competition_year]])</f>
        <v>Yassine BENYOUSSEF_MAR_2023</v>
      </c>
      <c r="B642" t="s">
        <v>315</v>
      </c>
      <c r="C642" t="s">
        <v>14</v>
      </c>
      <c r="D642" s="18" t="s">
        <v>21</v>
      </c>
      <c r="E642">
        <v>13.5</v>
      </c>
      <c r="F642">
        <v>13.9</v>
      </c>
      <c r="G642">
        <v>15.3</v>
      </c>
      <c r="H642">
        <v>14.6</v>
      </c>
      <c r="I642">
        <v>14.7</v>
      </c>
      <c r="J642">
        <v>13.6</v>
      </c>
      <c r="K642">
        <v>14.1</v>
      </c>
      <c r="L642">
        <f>Tableau1[[#This Row],[Final_time]]-SUM(Tableau1[[#This Row],[0_100m]:[600_700m]])</f>
        <v>14.950000000000017</v>
      </c>
      <c r="M642">
        <v>114.65</v>
      </c>
      <c r="N642">
        <f>SUM(Tableau1[[#This Row],[0_100m]:[700_800m]])</f>
        <v>114.65</v>
      </c>
      <c r="O642">
        <f>ABS(Tableau1[[#This Row],[Final_time]]-Tableau1[[#This Row],[Sum_time]])</f>
        <v>0</v>
      </c>
      <c r="P642" s="8"/>
      <c r="Q642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42" t="s">
        <v>495</v>
      </c>
      <c r="S642" s="1" t="s">
        <v>68</v>
      </c>
      <c r="U642" s="1" t="s">
        <v>288</v>
      </c>
      <c r="V642" s="1">
        <v>45074</v>
      </c>
      <c r="W642" s="4">
        <f>YEAR(Tableau1[[#This Row],[Competition_date]])</f>
        <v>2023</v>
      </c>
      <c r="X642" s="4">
        <v>22</v>
      </c>
      <c r="Y642" s="6">
        <v>0.63</v>
      </c>
      <c r="Z642" s="4" t="s">
        <v>79</v>
      </c>
      <c r="AA642" t="s">
        <v>176</v>
      </c>
    </row>
    <row r="643" spans="1:27" hidden="1" x14ac:dyDescent="0.35">
      <c r="A643" t="str">
        <f>_xlfn.CONCAT(Tableau1[[#This Row],[Athletes]],"_",Tableau1[[#This Row],[Nationality]],"_",Tableau1[[#This Row],[Competition_year]])</f>
        <v>Mohamed KHATTAB_MAR_2023</v>
      </c>
      <c r="B643" t="s">
        <v>316</v>
      </c>
      <c r="C643" t="s">
        <v>14</v>
      </c>
      <c r="D643" s="18" t="s">
        <v>21</v>
      </c>
      <c r="E643">
        <v>13.65</v>
      </c>
      <c r="F643">
        <v>13.95</v>
      </c>
      <c r="G643">
        <v>15.1</v>
      </c>
      <c r="H643">
        <v>14.6</v>
      </c>
      <c r="I643">
        <v>14.6</v>
      </c>
      <c r="J643">
        <v>14.3</v>
      </c>
      <c r="K643">
        <v>14.5</v>
      </c>
      <c r="L643">
        <f>Tableau1[[#This Row],[Final_time]]-SUM(Tableau1[[#This Row],[0_100m]:[600_700m]])</f>
        <v>14.689999999999998</v>
      </c>
      <c r="M643">
        <v>115.39</v>
      </c>
      <c r="N643">
        <f>SUM(Tableau1[[#This Row],[0_100m]:[700_800m]])</f>
        <v>115.39</v>
      </c>
      <c r="O643">
        <f>ABS(Tableau1[[#This Row],[Final_time]]-Tableau1[[#This Row],[Sum_time]])</f>
        <v>0</v>
      </c>
      <c r="P643" s="8"/>
      <c r="Q643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43" t="s">
        <v>495</v>
      </c>
      <c r="S643" s="1" t="s">
        <v>68</v>
      </c>
      <c r="U643" s="1" t="s">
        <v>288</v>
      </c>
      <c r="V643" s="1">
        <v>45074</v>
      </c>
      <c r="W643" s="4">
        <f>YEAR(Tableau1[[#This Row],[Competition_date]])</f>
        <v>2023</v>
      </c>
      <c r="X643" s="4">
        <v>22</v>
      </c>
      <c r="Y643" s="6">
        <v>0.63</v>
      </c>
      <c r="Z643" s="4" t="s">
        <v>79</v>
      </c>
      <c r="AA643" t="s">
        <v>176</v>
      </c>
    </row>
    <row r="644" spans="1:27" hidden="1" x14ac:dyDescent="0.35">
      <c r="A644" t="str">
        <f>_xlfn.CONCAT(Tableau1[[#This Row],[Athletes]],"_",Tableau1[[#This Row],[Nationality]],"_",Tableau1[[#This Row],[Competition_year]])</f>
        <v>Taha OUCHEN_MAR_2023</v>
      </c>
      <c r="B644" t="s">
        <v>317</v>
      </c>
      <c r="C644" t="s">
        <v>14</v>
      </c>
      <c r="D644" s="18" t="s">
        <v>21</v>
      </c>
      <c r="E644">
        <v>13.85</v>
      </c>
      <c r="F644">
        <v>13.55</v>
      </c>
      <c r="G644">
        <v>15.4</v>
      </c>
      <c r="H644">
        <v>14.6</v>
      </c>
      <c r="I644">
        <v>14.6</v>
      </c>
      <c r="J644">
        <v>14.1</v>
      </c>
      <c r="K644">
        <v>14.5</v>
      </c>
      <c r="L644">
        <f>Tableau1[[#This Row],[Final_time]]-SUM(Tableau1[[#This Row],[0_100m]:[600_700m]])</f>
        <v>15.440000000000012</v>
      </c>
      <c r="M644">
        <v>116.04</v>
      </c>
      <c r="N644">
        <f>SUM(Tableau1[[#This Row],[0_100m]:[700_800m]])</f>
        <v>116.04</v>
      </c>
      <c r="O644">
        <f>ABS(Tableau1[[#This Row],[Final_time]]-Tableau1[[#This Row],[Sum_time]])</f>
        <v>0</v>
      </c>
      <c r="P644" s="8"/>
      <c r="Q644" s="16" t="str">
        <f>_xlfn.CONCAT(Tableau1[[#This Row],[Competition]],"_",Tableau1[[#This Row],[Championship_step]],"_",Tableau1[[#This Row],[Competition_date]],"_",Tableau1[[#This Row],[Gender]])</f>
        <v>Diamond League Rabat 2023 - U23__45074_Male</v>
      </c>
      <c r="R644" t="s">
        <v>495</v>
      </c>
      <c r="S644" s="1" t="s">
        <v>68</v>
      </c>
      <c r="U644" s="1" t="s">
        <v>288</v>
      </c>
      <c r="V644" s="1">
        <v>45074</v>
      </c>
      <c r="W644" s="4">
        <f>YEAR(Tableau1[[#This Row],[Competition_date]])</f>
        <v>2023</v>
      </c>
      <c r="X644" s="4">
        <v>22</v>
      </c>
      <c r="Y644" s="6">
        <v>0.63</v>
      </c>
      <c r="Z644" s="4" t="s">
        <v>79</v>
      </c>
      <c r="AA644" t="s">
        <v>176</v>
      </c>
    </row>
    <row r="645" spans="1:27" hidden="1" x14ac:dyDescent="0.35">
      <c r="A645" t="str">
        <f>_xlfn.CONCAT(Tableau1[[#This Row],[Athletes]],"_",Tableau1[[#This Row],[Nationality]],"_",Tableau1[[#This Row],[Competition_year]])</f>
        <v>Mary MORAA_KEN_2023</v>
      </c>
      <c r="B645" t="s">
        <v>228</v>
      </c>
      <c r="C645" t="s">
        <v>29</v>
      </c>
      <c r="D645" s="18" t="s">
        <v>15</v>
      </c>
      <c r="E645">
        <v>13.85</v>
      </c>
      <c r="F645">
        <v>13.45</v>
      </c>
      <c r="G645">
        <v>14.4</v>
      </c>
      <c r="H645">
        <v>15</v>
      </c>
      <c r="I645">
        <v>15.5</v>
      </c>
      <c r="J645">
        <v>16</v>
      </c>
      <c r="K645">
        <v>15.6</v>
      </c>
      <c r="L645">
        <f>Tableau1[[#This Row],[Final_time]]-SUM(Tableau1[[#This Row],[0_100m]:[600_700m]])</f>
        <v>14.920000000000016</v>
      </c>
      <c r="M645">
        <v>118.72</v>
      </c>
      <c r="N645">
        <f>SUM(Tableau1[[#This Row],[0_100m]:[700_800m]])</f>
        <v>118.72</v>
      </c>
      <c r="O645">
        <f>ABS(Tableau1[[#This Row],[Final_time]]-Tableau1[[#This Row],[Sum_time]])</f>
        <v>0</v>
      </c>
      <c r="P645" s="8"/>
      <c r="Q645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45" t="s">
        <v>319</v>
      </c>
      <c r="S645" s="1" t="s">
        <v>68</v>
      </c>
      <c r="U645" s="1" t="s">
        <v>69</v>
      </c>
      <c r="V645" s="1">
        <v>45074</v>
      </c>
      <c r="W645" s="4">
        <f>YEAR(Tableau1[[#This Row],[Competition_date]])</f>
        <v>2023</v>
      </c>
      <c r="X645" s="4">
        <v>20</v>
      </c>
      <c r="Y645" s="6">
        <v>0.76</v>
      </c>
      <c r="Z645" s="4" t="s">
        <v>80</v>
      </c>
      <c r="AA645" t="s">
        <v>176</v>
      </c>
    </row>
    <row r="646" spans="1:27" hidden="1" x14ac:dyDescent="0.35">
      <c r="A646" t="str">
        <f>_xlfn.CONCAT(Tableau1[[#This Row],[Athletes]],"_",Tableau1[[#This Row],[Nationality]],"_",Tableau1[[#This Row],[Competition_year]])</f>
        <v>Catriona BISSET_AUS_2023</v>
      </c>
      <c r="B646" t="s">
        <v>217</v>
      </c>
      <c r="C646" t="s">
        <v>29</v>
      </c>
      <c r="D646" s="18" t="s">
        <v>36</v>
      </c>
      <c r="E646">
        <v>13.95</v>
      </c>
      <c r="F646">
        <v>13.65</v>
      </c>
      <c r="G646">
        <v>14.5</v>
      </c>
      <c r="H646">
        <v>14.9</v>
      </c>
      <c r="I646">
        <v>15.6</v>
      </c>
      <c r="J646">
        <v>15.9</v>
      </c>
      <c r="K646">
        <v>15.7</v>
      </c>
      <c r="L646">
        <f>Tableau1[[#This Row],[Final_time]]-SUM(Tableau1[[#This Row],[0_100m]:[600_700m]])</f>
        <v>15.909999999999997</v>
      </c>
      <c r="M646">
        <v>120.11</v>
      </c>
      <c r="N646">
        <f>SUM(Tableau1[[#This Row],[0_100m]:[700_800m]])</f>
        <v>120.11</v>
      </c>
      <c r="O646">
        <f>ABS(Tableau1[[#This Row],[Final_time]]-Tableau1[[#This Row],[Sum_time]])</f>
        <v>0</v>
      </c>
      <c r="P646" s="8"/>
      <c r="Q646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46" t="s">
        <v>319</v>
      </c>
      <c r="S646" s="1" t="s">
        <v>68</v>
      </c>
      <c r="U646" s="1" t="s">
        <v>69</v>
      </c>
      <c r="V646" s="1">
        <v>45074</v>
      </c>
      <c r="W646" s="4">
        <f>YEAR(Tableau1[[#This Row],[Competition_date]])</f>
        <v>2023</v>
      </c>
      <c r="X646" s="4">
        <v>20</v>
      </c>
      <c r="Y646" s="6">
        <v>0.76</v>
      </c>
      <c r="Z646" s="4" t="s">
        <v>80</v>
      </c>
      <c r="AA646" t="s">
        <v>176</v>
      </c>
    </row>
    <row r="647" spans="1:27" hidden="1" x14ac:dyDescent="0.35">
      <c r="A647" t="str">
        <f>_xlfn.CONCAT(Tableau1[[#This Row],[Athletes]],"_",Tableau1[[#This Row],[Nationality]],"_",Tableau1[[#This Row],[Competition_year]])</f>
        <v>Sage HURTA-KLECKER_USA_2023</v>
      </c>
      <c r="B647" t="s">
        <v>289</v>
      </c>
      <c r="C647" t="s">
        <v>29</v>
      </c>
      <c r="D647" s="18" t="s">
        <v>35</v>
      </c>
      <c r="E647">
        <v>14.15</v>
      </c>
      <c r="F647">
        <v>13.65</v>
      </c>
      <c r="G647">
        <v>15</v>
      </c>
      <c r="H647">
        <v>14.9</v>
      </c>
      <c r="I647">
        <v>15.7</v>
      </c>
      <c r="J647">
        <v>16.100000000000001</v>
      </c>
      <c r="K647">
        <v>15.6</v>
      </c>
      <c r="L647">
        <f>Tableau1[[#This Row],[Final_time]]-SUM(Tableau1[[#This Row],[0_100m]:[600_700m]])</f>
        <v>15.52000000000001</v>
      </c>
      <c r="M647">
        <v>120.62</v>
      </c>
      <c r="N647">
        <f>SUM(Tableau1[[#This Row],[0_100m]:[700_800m]])</f>
        <v>120.62</v>
      </c>
      <c r="O647">
        <f>ABS(Tableau1[[#This Row],[Final_time]]-Tableau1[[#This Row],[Sum_time]])</f>
        <v>0</v>
      </c>
      <c r="P647" s="8"/>
      <c r="Q647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47" t="s">
        <v>319</v>
      </c>
      <c r="S647" s="1" t="s">
        <v>68</v>
      </c>
      <c r="U647" s="1" t="s">
        <v>69</v>
      </c>
      <c r="V647" s="1">
        <v>45074</v>
      </c>
      <c r="W647" s="4">
        <f>YEAR(Tableau1[[#This Row],[Competition_date]])</f>
        <v>2023</v>
      </c>
      <c r="X647" s="4">
        <v>20</v>
      </c>
      <c r="Y647" s="6">
        <v>0.76</v>
      </c>
      <c r="Z647" s="4" t="s">
        <v>80</v>
      </c>
      <c r="AA647" t="s">
        <v>176</v>
      </c>
    </row>
    <row r="648" spans="1:27" hidden="1" x14ac:dyDescent="0.35">
      <c r="A648" t="str">
        <f>_xlfn.CONCAT(Tableau1[[#This Row],[Athletes]],"_",Tableau1[[#This Row],[Nationality]],"_",Tableau1[[#This Row],[Competition_year]])</f>
        <v>Natoya GOULE-TOPPIN_JAM_2023</v>
      </c>
      <c r="B648" t="s">
        <v>222</v>
      </c>
      <c r="C648" t="s">
        <v>29</v>
      </c>
      <c r="D648" s="18" t="s">
        <v>33</v>
      </c>
      <c r="E648">
        <v>14.1</v>
      </c>
      <c r="F648">
        <v>13.9</v>
      </c>
      <c r="G648">
        <v>15.1</v>
      </c>
      <c r="H648">
        <v>15.1</v>
      </c>
      <c r="I648">
        <v>15.4</v>
      </c>
      <c r="J648">
        <v>15.4</v>
      </c>
      <c r="K648">
        <v>15.6</v>
      </c>
      <c r="L648">
        <f>Tableau1[[#This Row],[Final_time]]-SUM(Tableau1[[#This Row],[0_100m]:[600_700m]])</f>
        <v>16.309999999999988</v>
      </c>
      <c r="M648">
        <v>120.91</v>
      </c>
      <c r="N648">
        <f>SUM(Tableau1[[#This Row],[0_100m]:[700_800m]])</f>
        <v>120.91</v>
      </c>
      <c r="O648">
        <f>ABS(Tableau1[[#This Row],[Final_time]]-Tableau1[[#This Row],[Sum_time]])</f>
        <v>0</v>
      </c>
      <c r="P648" s="8"/>
      <c r="Q648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48" t="s">
        <v>319</v>
      </c>
      <c r="S648" s="1" t="s">
        <v>68</v>
      </c>
      <c r="U648" s="1" t="s">
        <v>69</v>
      </c>
      <c r="V648" s="1">
        <v>45074</v>
      </c>
      <c r="W648" s="4">
        <f>YEAR(Tableau1[[#This Row],[Competition_date]])</f>
        <v>2023</v>
      </c>
      <c r="X648" s="4">
        <v>20</v>
      </c>
      <c r="Y648" s="6">
        <v>0.76</v>
      </c>
      <c r="Z648" s="4" t="s">
        <v>80</v>
      </c>
      <c r="AA648" t="s">
        <v>176</v>
      </c>
    </row>
    <row r="649" spans="1:27" hidden="1" x14ac:dyDescent="0.35">
      <c r="A649" t="str">
        <f>_xlfn.CONCAT(Tableau1[[#This Row],[Athletes]],"_",Tableau1[[#This Row],[Nationality]],"_",Tableau1[[#This Row],[Competition_year]])</f>
        <v>Anita HORVAT_SLO_2023</v>
      </c>
      <c r="B649" t="s">
        <v>218</v>
      </c>
      <c r="C649" t="s">
        <v>29</v>
      </c>
      <c r="D649" s="18" t="s">
        <v>53</v>
      </c>
      <c r="E649">
        <v>14.2</v>
      </c>
      <c r="F649">
        <v>13.8</v>
      </c>
      <c r="G649">
        <v>15.2</v>
      </c>
      <c r="H649">
        <v>15.2</v>
      </c>
      <c r="I649">
        <v>15.6</v>
      </c>
      <c r="J649">
        <v>15.8</v>
      </c>
      <c r="K649">
        <v>15.8</v>
      </c>
      <c r="L649">
        <f>Tableau1[[#This Row],[Final_time]]-SUM(Tableau1[[#This Row],[0_100m]:[600_700m]])</f>
        <v>15.700000000000003</v>
      </c>
      <c r="M649">
        <v>121.3</v>
      </c>
      <c r="N649">
        <f>SUM(Tableau1[[#This Row],[0_100m]:[700_800m]])</f>
        <v>121.3</v>
      </c>
      <c r="O649">
        <f>ABS(Tableau1[[#This Row],[Final_time]]-Tableau1[[#This Row],[Sum_time]])</f>
        <v>0</v>
      </c>
      <c r="P649" s="8"/>
      <c r="Q649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49" t="s">
        <v>319</v>
      </c>
      <c r="S649" s="1" t="s">
        <v>68</v>
      </c>
      <c r="U649" s="1" t="s">
        <v>69</v>
      </c>
      <c r="V649" s="1">
        <v>45074</v>
      </c>
      <c r="W649" s="4">
        <f>YEAR(Tableau1[[#This Row],[Competition_date]])</f>
        <v>2023</v>
      </c>
      <c r="X649" s="4">
        <v>20</v>
      </c>
      <c r="Y649" s="6">
        <v>0.76</v>
      </c>
      <c r="Z649" s="4" t="s">
        <v>80</v>
      </c>
      <c r="AA649" t="s">
        <v>176</v>
      </c>
    </row>
    <row r="650" spans="1:27" hidden="1" x14ac:dyDescent="0.35">
      <c r="A650" t="str">
        <f>_xlfn.CONCAT(Tableau1[[#This Row],[Athletes]],"_",Tableau1[[#This Row],[Nationality]],"_",Tableau1[[#This Row],[Competition_year]])</f>
        <v>Lore HOFFMANN_SUI_2023</v>
      </c>
      <c r="B650" t="s">
        <v>224</v>
      </c>
      <c r="C650" t="s">
        <v>29</v>
      </c>
      <c r="D650" s="18" t="s">
        <v>73</v>
      </c>
      <c r="E650">
        <v>14.7</v>
      </c>
      <c r="F650">
        <v>13.9</v>
      </c>
      <c r="G650">
        <v>14.8</v>
      </c>
      <c r="H650">
        <v>15.1</v>
      </c>
      <c r="I650">
        <v>15.7</v>
      </c>
      <c r="J650">
        <v>15.8</v>
      </c>
      <c r="K650">
        <v>15.8</v>
      </c>
      <c r="L650">
        <f>Tableau1[[#This Row],[Final_time]]-SUM(Tableau1[[#This Row],[0_100m]:[600_700m]])</f>
        <v>15.570000000000007</v>
      </c>
      <c r="M650">
        <v>121.37</v>
      </c>
      <c r="N650">
        <f>SUM(Tableau1[[#This Row],[0_100m]:[700_800m]])</f>
        <v>121.37</v>
      </c>
      <c r="O650">
        <f>ABS(Tableau1[[#This Row],[Final_time]]-Tableau1[[#This Row],[Sum_time]])</f>
        <v>0</v>
      </c>
      <c r="P650" s="8"/>
      <c r="Q650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50" t="s">
        <v>319</v>
      </c>
      <c r="S650" s="1" t="s">
        <v>68</v>
      </c>
      <c r="U650" s="1" t="s">
        <v>69</v>
      </c>
      <c r="V650" s="1">
        <v>45074</v>
      </c>
      <c r="W650" s="4">
        <f>YEAR(Tableau1[[#This Row],[Competition_date]])</f>
        <v>2023</v>
      </c>
      <c r="X650" s="4">
        <v>20</v>
      </c>
      <c r="Y650" s="6">
        <v>0.76</v>
      </c>
      <c r="Z650" s="4" t="s">
        <v>80</v>
      </c>
      <c r="AA650" t="s">
        <v>176</v>
      </c>
    </row>
    <row r="651" spans="1:27" hidden="1" x14ac:dyDescent="0.35">
      <c r="A651" t="str">
        <f>_xlfn.CONCAT(Tableau1[[#This Row],[Athletes]],"_",Tableau1[[#This Row],[Nationality]],"_",Tableau1[[#This Row],[Competition_year]])</f>
        <v>Assia RAZIKI_MAR_2023</v>
      </c>
      <c r="B651" t="s">
        <v>265</v>
      </c>
      <c r="C651" t="s">
        <v>29</v>
      </c>
      <c r="D651" s="18" t="s">
        <v>21</v>
      </c>
      <c r="E651">
        <v>14.2</v>
      </c>
      <c r="F651">
        <v>13.7</v>
      </c>
      <c r="G651">
        <v>15</v>
      </c>
      <c r="H651">
        <v>15.2</v>
      </c>
      <c r="I651">
        <v>15.7</v>
      </c>
      <c r="J651">
        <v>15.9</v>
      </c>
      <c r="K651">
        <v>15.7</v>
      </c>
      <c r="L651">
        <f>Tableau1[[#This Row],[Final_time]]-SUM(Tableau1[[#This Row],[0_100m]:[600_700m]])</f>
        <v>16.349999999999994</v>
      </c>
      <c r="M651">
        <v>121.75</v>
      </c>
      <c r="N651">
        <f>SUM(Tableau1[[#This Row],[0_100m]:[700_800m]])</f>
        <v>121.75</v>
      </c>
      <c r="O651">
        <f>ABS(Tableau1[[#This Row],[Final_time]]-Tableau1[[#This Row],[Sum_time]])</f>
        <v>0</v>
      </c>
      <c r="P651" s="8"/>
      <c r="Q651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51" t="s">
        <v>319</v>
      </c>
      <c r="S651" s="1" t="s">
        <v>68</v>
      </c>
      <c r="U651" s="1" t="s">
        <v>69</v>
      </c>
      <c r="V651" s="1">
        <v>45074</v>
      </c>
      <c r="W651" s="4">
        <f>YEAR(Tableau1[[#This Row],[Competition_date]])</f>
        <v>2023</v>
      </c>
      <c r="X651" s="4">
        <v>20</v>
      </c>
      <c r="Y651" s="6">
        <v>0.76</v>
      </c>
      <c r="Z651" s="4" t="s">
        <v>80</v>
      </c>
      <c r="AA651" t="s">
        <v>176</v>
      </c>
    </row>
    <row r="652" spans="1:27" hidden="1" x14ac:dyDescent="0.35">
      <c r="A652" t="str">
        <f>_xlfn.CONCAT(Tableau1[[#This Row],[Athletes]],"_",Tableau1[[#This Row],[Nationality]],"_",Tableau1[[#This Row],[Competition_year]])</f>
        <v>Noélie YARIGO_BEN_2023</v>
      </c>
      <c r="B652" t="s">
        <v>214</v>
      </c>
      <c r="C652" t="s">
        <v>29</v>
      </c>
      <c r="D652" s="18" t="s">
        <v>52</v>
      </c>
      <c r="E652">
        <v>14.1</v>
      </c>
      <c r="F652">
        <v>13.6</v>
      </c>
      <c r="G652">
        <v>14.8</v>
      </c>
      <c r="H652">
        <v>15.2</v>
      </c>
      <c r="I652">
        <v>15.9</v>
      </c>
      <c r="J652">
        <v>15.6</v>
      </c>
      <c r="K652">
        <v>16</v>
      </c>
      <c r="L652">
        <f>Tableau1[[#This Row],[Final_time]]-SUM(Tableau1[[#This Row],[0_100m]:[600_700m]])</f>
        <v>16.950000000000003</v>
      </c>
      <c r="M652">
        <v>122.15</v>
      </c>
      <c r="N652">
        <f>SUM(Tableau1[[#This Row],[0_100m]:[700_800m]])</f>
        <v>122.15</v>
      </c>
      <c r="O652">
        <f>ABS(Tableau1[[#This Row],[Final_time]]-Tableau1[[#This Row],[Sum_time]])</f>
        <v>0</v>
      </c>
      <c r="P652" s="8"/>
      <c r="Q652" s="1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R652" t="s">
        <v>319</v>
      </c>
      <c r="S652" s="1" t="s">
        <v>68</v>
      </c>
      <c r="U652" s="1" t="s">
        <v>69</v>
      </c>
      <c r="V652" s="1">
        <v>45074</v>
      </c>
      <c r="W652" s="4">
        <f>YEAR(Tableau1[[#This Row],[Competition_date]])</f>
        <v>2023</v>
      </c>
      <c r="X652" s="4">
        <v>20</v>
      </c>
      <c r="Y652" s="6">
        <v>0.76</v>
      </c>
      <c r="Z652" s="4" t="s">
        <v>80</v>
      </c>
      <c r="AA652" t="s">
        <v>176</v>
      </c>
    </row>
    <row r="653" spans="1:27" hidden="1" x14ac:dyDescent="0.35">
      <c r="A653" t="str">
        <f>_xlfn.CONCAT(Tableau1[[#This Row],[Athletes]],"_",Tableau1[[#This Row],[Nationality]],"_",Tableau1[[#This Row],[Competition_year]])</f>
        <v>Emmanuel WANYONYI_KEN_2023</v>
      </c>
      <c r="B653" t="s">
        <v>183</v>
      </c>
      <c r="C653" t="s">
        <v>14</v>
      </c>
      <c r="D653" s="18" t="s">
        <v>15</v>
      </c>
      <c r="E653">
        <v>12.7</v>
      </c>
      <c r="F653">
        <v>12</v>
      </c>
      <c r="G653">
        <v>13.3</v>
      </c>
      <c r="H653">
        <v>13.5</v>
      </c>
      <c r="I653">
        <v>13.3</v>
      </c>
      <c r="J653">
        <v>13.1</v>
      </c>
      <c r="K653">
        <v>13.2</v>
      </c>
      <c r="L653">
        <f>Tableau1[[#This Row],[Final_time]]-SUM(Tableau1[[#This Row],[0_100m]:[600_700m]])</f>
        <v>13.260000000000005</v>
      </c>
      <c r="M653">
        <v>104.36</v>
      </c>
      <c r="N653">
        <f>SUM(Tableau1[[#This Row],[0_100m]:[700_800m]])</f>
        <v>104.36</v>
      </c>
      <c r="O653">
        <f>ABS(Tableau1[[#This Row],[Final_time]]-Tableau1[[#This Row],[Sum_time]])</f>
        <v>0</v>
      </c>
      <c r="P653" s="8"/>
      <c r="Q653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3" t="s">
        <v>319</v>
      </c>
      <c r="S653" s="1" t="s">
        <v>68</v>
      </c>
      <c r="U653" s="1" t="s">
        <v>69</v>
      </c>
      <c r="V653" s="1">
        <v>45074</v>
      </c>
      <c r="W653" s="4">
        <f>YEAR(Tableau1[[#This Row],[Competition_date]])</f>
        <v>2023</v>
      </c>
      <c r="X653" s="4">
        <v>22</v>
      </c>
      <c r="Y653" s="6">
        <v>0.63</v>
      </c>
      <c r="Z653" s="4" t="s">
        <v>79</v>
      </c>
      <c r="AA653" t="s">
        <v>176</v>
      </c>
    </row>
    <row r="654" spans="1:27" hidden="1" x14ac:dyDescent="0.35">
      <c r="A654" t="str">
        <f>_xlfn.CONCAT(Tableau1[[#This Row],[Athletes]],"_",Tableau1[[#This Row],[Nationality]],"_",Tableau1[[#This Row],[Competition_year]])</f>
        <v>Wyclife KINYAMAL_KEN_2023</v>
      </c>
      <c r="B654" t="s">
        <v>174</v>
      </c>
      <c r="C654" t="s">
        <v>14</v>
      </c>
      <c r="D654" s="18" t="s">
        <v>15</v>
      </c>
      <c r="E654">
        <v>12.65</v>
      </c>
      <c r="F654">
        <v>12.65</v>
      </c>
      <c r="G654">
        <v>13.3</v>
      </c>
      <c r="H654">
        <v>13.3</v>
      </c>
      <c r="I654">
        <v>13.5</v>
      </c>
      <c r="J654">
        <v>12.9</v>
      </c>
      <c r="K654">
        <v>13</v>
      </c>
      <c r="L654">
        <f>Tableau1[[#This Row],[Final_time]]-SUM(Tableau1[[#This Row],[0_100m]:[600_700m]])</f>
        <v>13.429999999999993</v>
      </c>
      <c r="M654">
        <v>104.73</v>
      </c>
      <c r="N654">
        <f>SUM(Tableau1[[#This Row],[0_100m]:[700_800m]])</f>
        <v>104.73</v>
      </c>
      <c r="O654">
        <f>ABS(Tableau1[[#This Row],[Final_time]]-Tableau1[[#This Row],[Sum_time]])</f>
        <v>0</v>
      </c>
      <c r="P654" s="8"/>
      <c r="Q654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4" t="s">
        <v>319</v>
      </c>
      <c r="S654" s="1" t="s">
        <v>68</v>
      </c>
      <c r="U654" s="1" t="s">
        <v>69</v>
      </c>
      <c r="V654" s="1">
        <v>45074</v>
      </c>
      <c r="W654" s="4">
        <f>YEAR(Tableau1[[#This Row],[Competition_date]])</f>
        <v>2023</v>
      </c>
      <c r="X654" s="4">
        <v>22</v>
      </c>
      <c r="Y654" s="6">
        <v>0.63</v>
      </c>
      <c r="Z654" s="4" t="s">
        <v>79</v>
      </c>
      <c r="AA654" t="s">
        <v>176</v>
      </c>
    </row>
    <row r="655" spans="1:27" hidden="1" x14ac:dyDescent="0.35">
      <c r="A655" t="str">
        <f>_xlfn.CONCAT(Tableau1[[#This Row],[Athletes]],"_",Tableau1[[#This Row],[Nationality]],"_",Tableau1[[#This Row],[Competition_year]])</f>
        <v>Benjamin ROBERT_FRA_2023</v>
      </c>
      <c r="B655" t="s">
        <v>111</v>
      </c>
      <c r="C655" t="s">
        <v>14</v>
      </c>
      <c r="D655" s="18" t="s">
        <v>17</v>
      </c>
      <c r="E655">
        <v>12.75</v>
      </c>
      <c r="F655">
        <v>12.25</v>
      </c>
      <c r="G655">
        <v>13.7</v>
      </c>
      <c r="H655">
        <v>13.4</v>
      </c>
      <c r="I655">
        <v>13.7</v>
      </c>
      <c r="J655">
        <v>13.1</v>
      </c>
      <c r="K655">
        <v>12.9</v>
      </c>
      <c r="L655">
        <f>Tableau1[[#This Row],[Final_time]]-SUM(Tableau1[[#This Row],[0_100m]:[600_700m]])</f>
        <v>13.240000000000009</v>
      </c>
      <c r="M655">
        <v>105.04</v>
      </c>
      <c r="N655">
        <f>SUM(Tableau1[[#This Row],[0_100m]:[700_800m]])</f>
        <v>105.04</v>
      </c>
      <c r="O655">
        <f>ABS(Tableau1[[#This Row],[Final_time]]-Tableau1[[#This Row],[Sum_time]])</f>
        <v>0</v>
      </c>
      <c r="P655" s="8"/>
      <c r="Q655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5" t="s">
        <v>319</v>
      </c>
      <c r="S655" s="1" t="s">
        <v>68</v>
      </c>
      <c r="U655" s="1" t="s">
        <v>69</v>
      </c>
      <c r="V655" s="1">
        <v>45074</v>
      </c>
      <c r="W655" s="4">
        <f>YEAR(Tableau1[[#This Row],[Competition_date]])</f>
        <v>2023</v>
      </c>
      <c r="X655" s="4">
        <v>22</v>
      </c>
      <c r="Y655" s="6">
        <v>0.63</v>
      </c>
      <c r="Z655" s="4" t="s">
        <v>79</v>
      </c>
      <c r="AA655" t="s">
        <v>176</v>
      </c>
    </row>
    <row r="656" spans="1:27" hidden="1" x14ac:dyDescent="0.35">
      <c r="A656" t="str">
        <f>_xlfn.CONCAT(Tableau1[[#This Row],[Athletes]],"_",Tableau1[[#This Row],[Nationality]],"_",Tableau1[[#This Row],[Competition_year]])</f>
        <v>Eliott CRESTAN_BEL_2023</v>
      </c>
      <c r="B656" t="s">
        <v>244</v>
      </c>
      <c r="C656" t="s">
        <v>14</v>
      </c>
      <c r="D656" s="18" t="s">
        <v>18</v>
      </c>
      <c r="E656">
        <v>12.4</v>
      </c>
      <c r="F656">
        <v>12.3</v>
      </c>
      <c r="G656">
        <v>13.6</v>
      </c>
      <c r="H656">
        <v>13.5</v>
      </c>
      <c r="I656">
        <v>13.4</v>
      </c>
      <c r="J656">
        <v>13.2</v>
      </c>
      <c r="K656">
        <v>13.2</v>
      </c>
      <c r="L656">
        <f>Tableau1[[#This Row],[Final_time]]-SUM(Tableau1[[#This Row],[0_100m]:[600_700m]])</f>
        <v>13.769999999999996</v>
      </c>
      <c r="M656">
        <v>105.37</v>
      </c>
      <c r="N656">
        <f>SUM(Tableau1[[#This Row],[0_100m]:[700_800m]])</f>
        <v>105.37</v>
      </c>
      <c r="O656">
        <f>ABS(Tableau1[[#This Row],[Final_time]]-Tableau1[[#This Row],[Sum_time]])</f>
        <v>0</v>
      </c>
      <c r="P656" s="8"/>
      <c r="Q656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6" t="s">
        <v>319</v>
      </c>
      <c r="S656" s="1" t="s">
        <v>68</v>
      </c>
      <c r="U656" s="1" t="s">
        <v>69</v>
      </c>
      <c r="V656" s="1">
        <v>45074</v>
      </c>
      <c r="W656" s="4">
        <f>YEAR(Tableau1[[#This Row],[Competition_date]])</f>
        <v>2023</v>
      </c>
      <c r="X656" s="4">
        <v>22</v>
      </c>
      <c r="Y656" s="6">
        <v>0.63</v>
      </c>
      <c r="Z656" s="4" t="s">
        <v>79</v>
      </c>
      <c r="AA656" t="s">
        <v>176</v>
      </c>
    </row>
    <row r="657" spans="1:27" hidden="1" x14ac:dyDescent="0.35">
      <c r="A657" t="str">
        <f>_xlfn.CONCAT(Tableau1[[#This Row],[Athletes]],"_",Tableau1[[#This Row],[Nationality]],"_",Tableau1[[#This Row],[Competition_year]])</f>
        <v>Marco AROP_CAN_2023</v>
      </c>
      <c r="B657" t="s">
        <v>177</v>
      </c>
      <c r="C657" t="s">
        <v>14</v>
      </c>
      <c r="D657" s="18" t="s">
        <v>19</v>
      </c>
      <c r="E657">
        <v>12.95</v>
      </c>
      <c r="F657">
        <v>12.55</v>
      </c>
      <c r="G657">
        <v>13.5</v>
      </c>
      <c r="H657">
        <v>13.6</v>
      </c>
      <c r="I657">
        <v>13.5</v>
      </c>
      <c r="J657">
        <v>12.9</v>
      </c>
      <c r="K657">
        <v>12.9</v>
      </c>
      <c r="L657">
        <f>Tableau1[[#This Row],[Final_time]]-SUM(Tableau1[[#This Row],[0_100m]:[600_700m]])</f>
        <v>14.439999999999998</v>
      </c>
      <c r="M657">
        <v>106.34</v>
      </c>
      <c r="N657">
        <f>SUM(Tableau1[[#This Row],[0_100m]:[700_800m]])</f>
        <v>106.34</v>
      </c>
      <c r="O657">
        <f>ABS(Tableau1[[#This Row],[Final_time]]-Tableau1[[#This Row],[Sum_time]])</f>
        <v>0</v>
      </c>
      <c r="P657" s="8"/>
      <c r="Q657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7" t="s">
        <v>319</v>
      </c>
      <c r="S657" s="1" t="s">
        <v>68</v>
      </c>
      <c r="U657" s="1" t="s">
        <v>69</v>
      </c>
      <c r="V657" s="1">
        <v>45074</v>
      </c>
      <c r="W657" s="4">
        <f>YEAR(Tableau1[[#This Row],[Competition_date]])</f>
        <v>2023</v>
      </c>
      <c r="X657" s="4">
        <v>22</v>
      </c>
      <c r="Y657" s="6">
        <v>0.63</v>
      </c>
      <c r="Z657" s="4" t="s">
        <v>79</v>
      </c>
      <c r="AA657" t="s">
        <v>176</v>
      </c>
    </row>
    <row r="658" spans="1:27" hidden="1" x14ac:dyDescent="0.35">
      <c r="A658" t="str">
        <f>_xlfn.CONCAT(Tableau1[[#This Row],[Athletes]],"_",Tableau1[[#This Row],[Nationality]],"_",Tableau1[[#This Row],[Competition_year]])</f>
        <v>Catalin TECUCEANU_ITA_2023</v>
      </c>
      <c r="B658" t="s">
        <v>179</v>
      </c>
      <c r="C658" t="s">
        <v>14</v>
      </c>
      <c r="D658" s="18" t="s">
        <v>20</v>
      </c>
      <c r="E658">
        <v>12.95</v>
      </c>
      <c r="F658">
        <v>12.85</v>
      </c>
      <c r="G658">
        <v>13.4</v>
      </c>
      <c r="H658">
        <v>13.6</v>
      </c>
      <c r="I658">
        <v>13.7</v>
      </c>
      <c r="J658">
        <v>13.5</v>
      </c>
      <c r="K658">
        <v>13.3</v>
      </c>
      <c r="L658">
        <f>Tableau1[[#This Row],[Final_time]]-SUM(Tableau1[[#This Row],[0_100m]:[600_700m]])</f>
        <v>13.460000000000008</v>
      </c>
      <c r="M658">
        <v>106.76</v>
      </c>
      <c r="N658">
        <f>SUM(Tableau1[[#This Row],[0_100m]:[700_800m]])</f>
        <v>106.76</v>
      </c>
      <c r="O658">
        <f>ABS(Tableau1[[#This Row],[Final_time]]-Tableau1[[#This Row],[Sum_time]])</f>
        <v>0</v>
      </c>
      <c r="P658" s="8"/>
      <c r="Q658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8" t="s">
        <v>319</v>
      </c>
      <c r="S658" s="1" t="s">
        <v>68</v>
      </c>
      <c r="U658" s="1" t="s">
        <v>69</v>
      </c>
      <c r="V658" s="1">
        <v>45074</v>
      </c>
      <c r="W658" s="4">
        <f>YEAR(Tableau1[[#This Row],[Competition_date]])</f>
        <v>2023</v>
      </c>
      <c r="X658" s="4">
        <v>22</v>
      </c>
      <c r="Y658" s="6">
        <v>0.63</v>
      </c>
      <c r="Z658" s="4" t="s">
        <v>79</v>
      </c>
      <c r="AA658" t="s">
        <v>176</v>
      </c>
    </row>
    <row r="659" spans="1:27" hidden="1" x14ac:dyDescent="0.35">
      <c r="A659" t="str">
        <f>_xlfn.CONCAT(Tableau1[[#This Row],[Athletes]],"_",Tableau1[[#This Row],[Nationality]],"_",Tableau1[[#This Row],[Competition_year]])</f>
        <v>Abdelati EL GUESSE_MAR_2023</v>
      </c>
      <c r="B659" t="s">
        <v>112</v>
      </c>
      <c r="C659" t="s">
        <v>14</v>
      </c>
      <c r="D659" s="18" t="s">
        <v>21</v>
      </c>
      <c r="E659">
        <v>12.25</v>
      </c>
      <c r="F659">
        <v>12.25</v>
      </c>
      <c r="G659">
        <v>13.2</v>
      </c>
      <c r="H659">
        <v>13.2</v>
      </c>
      <c r="I659">
        <v>13.2</v>
      </c>
      <c r="J659">
        <v>13.5</v>
      </c>
      <c r="K659">
        <v>14.4</v>
      </c>
      <c r="L659">
        <f>Tableau1[[#This Row],[Final_time]]-SUM(Tableau1[[#This Row],[0_100m]:[600_700m]])</f>
        <v>15.09999999999998</v>
      </c>
      <c r="M659">
        <v>107.1</v>
      </c>
      <c r="N659">
        <f>SUM(Tableau1[[#This Row],[0_100m]:[700_800m]])</f>
        <v>107.1</v>
      </c>
      <c r="O659">
        <f>ABS(Tableau1[[#This Row],[Final_time]]-Tableau1[[#This Row],[Sum_time]])</f>
        <v>0</v>
      </c>
      <c r="P659" s="8"/>
      <c r="Q659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59" t="s">
        <v>319</v>
      </c>
      <c r="S659" s="1" t="s">
        <v>68</v>
      </c>
      <c r="U659" s="1" t="s">
        <v>69</v>
      </c>
      <c r="V659" s="1">
        <v>45074</v>
      </c>
      <c r="W659" s="4">
        <f>YEAR(Tableau1[[#This Row],[Competition_date]])</f>
        <v>2023</v>
      </c>
      <c r="X659" s="4">
        <v>22</v>
      </c>
      <c r="Y659" s="6">
        <v>0.63</v>
      </c>
      <c r="Z659" s="4" t="s">
        <v>79</v>
      </c>
      <c r="AA659" t="s">
        <v>176</v>
      </c>
    </row>
    <row r="660" spans="1:27" hidden="1" x14ac:dyDescent="0.35">
      <c r="A660" t="str">
        <f>_xlfn.CONCAT(Tableau1[[#This Row],[Athletes]],"_",Tableau1[[#This Row],[Nationality]],"_",Tableau1[[#This Row],[Competition_year]])</f>
        <v>Emmanuel Kipkurui KORIR_KEN_2023</v>
      </c>
      <c r="B660" s="9" t="s">
        <v>201</v>
      </c>
      <c r="C660" t="s">
        <v>14</v>
      </c>
      <c r="D660" s="18" t="s">
        <v>15</v>
      </c>
      <c r="E660">
        <v>12.8</v>
      </c>
      <c r="F660">
        <v>12.2</v>
      </c>
      <c r="G660">
        <v>13.9</v>
      </c>
      <c r="H660">
        <v>13.4</v>
      </c>
      <c r="I660">
        <v>13.7</v>
      </c>
      <c r="J660">
        <v>13.5</v>
      </c>
      <c r="K660">
        <v>14</v>
      </c>
      <c r="L660">
        <f>Tableau1[[#This Row],[Final_time]]-SUM(Tableau1[[#This Row],[0_100m]:[600_700m]])</f>
        <v>14.920000000000002</v>
      </c>
      <c r="M660">
        <v>108.42</v>
      </c>
      <c r="N660">
        <f>SUM(Tableau1[[#This Row],[0_100m]:[700_800m]])</f>
        <v>108.42</v>
      </c>
      <c r="O660">
        <f>ABS(Tableau1[[#This Row],[Final_time]]-Tableau1[[#This Row],[Sum_time]])</f>
        <v>0</v>
      </c>
      <c r="P660" s="8"/>
      <c r="Q660" s="16" t="str">
        <f>_xlfn.CONCAT(Tableau1[[#This Row],[Competition]],"_",Tableau1[[#This Row],[Championship_step]],"_",Tableau1[[#This Row],[Competition_date]],"_",Tableau1[[#This Row],[Gender]])</f>
        <v>Diamond League Rabat 2023__45074_Male</v>
      </c>
      <c r="R660" t="s">
        <v>319</v>
      </c>
      <c r="S660" s="1" t="s">
        <v>68</v>
      </c>
      <c r="U660" s="1" t="s">
        <v>69</v>
      </c>
      <c r="V660" s="1">
        <v>45074</v>
      </c>
      <c r="W660" s="4">
        <f>YEAR(Tableau1[[#This Row],[Competition_date]])</f>
        <v>2023</v>
      </c>
      <c r="X660" s="4">
        <v>22</v>
      </c>
      <c r="Y660" s="6">
        <v>0.63</v>
      </c>
      <c r="Z660" s="4" t="s">
        <v>79</v>
      </c>
      <c r="AA660" t="s">
        <v>176</v>
      </c>
    </row>
    <row r="661" spans="1:27" hidden="1" x14ac:dyDescent="0.35">
      <c r="A661" t="str">
        <f>_xlfn.CONCAT(Tableau1[[#This Row],[Athletes]],"_",Tableau1[[#This Row],[Nationality]],"_",Tableau1[[#This Row],[Competition_year]])</f>
        <v>Athing MU-NIKOLAYEV_USA_2022</v>
      </c>
      <c r="B661" s="9" t="s">
        <v>1376</v>
      </c>
      <c r="C661" s="9" t="s">
        <v>29</v>
      </c>
      <c r="D661" s="12" t="s">
        <v>35</v>
      </c>
      <c r="E661" s="9">
        <v>13.9</v>
      </c>
      <c r="F661" s="9">
        <v>13.1</v>
      </c>
      <c r="G661" s="9">
        <v>14.4</v>
      </c>
      <c r="H661" s="9">
        <v>15.2</v>
      </c>
      <c r="I661" s="9">
        <v>15.7</v>
      </c>
      <c r="J661" s="9">
        <v>15.4</v>
      </c>
      <c r="K661" s="9">
        <v>14.7</v>
      </c>
      <c r="L661">
        <f>Tableau1[[#This Row],[Final_time]]-SUM(Tableau1[[#This Row],[0_100m]:[600_700m]])</f>
        <v>14.61</v>
      </c>
      <c r="M661" s="9">
        <v>117.01</v>
      </c>
      <c r="N661">
        <f>SUM(Tableau1[[#This Row],[0_100m]:[700_800m]])</f>
        <v>117.01</v>
      </c>
      <c r="O661">
        <f>ABS(Tableau1[[#This Row],[Final_time]]-Tableau1[[#This Row],[Sum_time]])</f>
        <v>0</v>
      </c>
      <c r="P661" s="8"/>
      <c r="Q661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1" t="s">
        <v>400</v>
      </c>
      <c r="S661" s="1" t="s">
        <v>68</v>
      </c>
      <c r="U661" s="1" t="s">
        <v>69</v>
      </c>
      <c r="V661" s="1">
        <v>44721</v>
      </c>
      <c r="W661" s="4">
        <f>YEAR(Tableau1[[#This Row],[Competition_date]])</f>
        <v>2022</v>
      </c>
      <c r="X661" s="4">
        <v>21</v>
      </c>
      <c r="Y661" s="6">
        <v>0.7</v>
      </c>
      <c r="Z661" s="4" t="s">
        <v>80</v>
      </c>
      <c r="AA661" t="s">
        <v>176</v>
      </c>
    </row>
    <row r="662" spans="1:27" hidden="1" x14ac:dyDescent="0.35">
      <c r="A662" t="str">
        <f>_xlfn.CONCAT(Tableau1[[#This Row],[Athletes]],"_",Tableau1[[#This Row],[Nationality]],"_",Tableau1[[#This Row],[Competition_year]])</f>
        <v>Rénelle LAMOTE_FRA_2022</v>
      </c>
      <c r="B662" s="9" t="s">
        <v>225</v>
      </c>
      <c r="C662" s="9" t="s">
        <v>29</v>
      </c>
      <c r="D662" s="12" t="s">
        <v>17</v>
      </c>
      <c r="E662" s="9">
        <v>13.9</v>
      </c>
      <c r="F662" s="9">
        <v>13.2</v>
      </c>
      <c r="G662" s="9">
        <v>14.6</v>
      </c>
      <c r="H662" s="9">
        <v>15.1</v>
      </c>
      <c r="I662" s="9">
        <v>15.7</v>
      </c>
      <c r="J662" s="9">
        <v>15.5</v>
      </c>
      <c r="K662" s="9">
        <v>15.2</v>
      </c>
      <c r="L662">
        <f>Tableau1[[#This Row],[Final_time]]-SUM(Tableau1[[#This Row],[0_100m]:[600_700m]])</f>
        <v>15.280000000000001</v>
      </c>
      <c r="M662" s="9">
        <v>118.48</v>
      </c>
      <c r="N662">
        <f>SUM(Tableau1[[#This Row],[0_100m]:[700_800m]])</f>
        <v>118.48</v>
      </c>
      <c r="O662">
        <f>ABS(Tableau1[[#This Row],[Final_time]]-Tableau1[[#This Row],[Sum_time]])</f>
        <v>0</v>
      </c>
      <c r="P662" s="8"/>
      <c r="Q662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2" t="s">
        <v>400</v>
      </c>
      <c r="S662" s="1" t="s">
        <v>68</v>
      </c>
      <c r="U662" s="1" t="s">
        <v>69</v>
      </c>
      <c r="V662" s="1">
        <v>44721</v>
      </c>
      <c r="W662" s="4">
        <f>YEAR(Tableau1[[#This Row],[Competition_date]])</f>
        <v>2022</v>
      </c>
      <c r="X662" s="4">
        <v>21</v>
      </c>
      <c r="Y662" s="6">
        <v>0.7</v>
      </c>
      <c r="Z662" s="4" t="s">
        <v>80</v>
      </c>
      <c r="AA662" t="s">
        <v>176</v>
      </c>
    </row>
    <row r="663" spans="1:27" hidden="1" x14ac:dyDescent="0.35">
      <c r="A663" t="str">
        <f>_xlfn.CONCAT(Tableau1[[#This Row],[Athletes]],"_",Tableau1[[#This Row],[Nationality]],"_",Tableau1[[#This Row],[Competition_year]])</f>
        <v>Elena BELLÒ_ITA_2022</v>
      </c>
      <c r="B663" s="9" t="s">
        <v>261</v>
      </c>
      <c r="C663" s="9" t="s">
        <v>29</v>
      </c>
      <c r="D663" s="12" t="s">
        <v>20</v>
      </c>
      <c r="E663" s="9">
        <v>13.7</v>
      </c>
      <c r="F663" s="9">
        <v>13.7</v>
      </c>
      <c r="G663" s="9">
        <v>14.7</v>
      </c>
      <c r="H663" s="9">
        <v>15.1</v>
      </c>
      <c r="I663" s="9">
        <v>15.8</v>
      </c>
      <c r="J663" s="9">
        <v>15.4</v>
      </c>
      <c r="K663" s="9">
        <v>15.5</v>
      </c>
      <c r="L663">
        <f>Tableau1[[#This Row],[Final_time]]-SUM(Tableau1[[#This Row],[0_100m]:[600_700m]])</f>
        <v>15.069999999999993</v>
      </c>
      <c r="M663" s="9">
        <v>118.97</v>
      </c>
      <c r="N663">
        <f>SUM(Tableau1[[#This Row],[0_100m]:[700_800m]])</f>
        <v>118.97</v>
      </c>
      <c r="O663">
        <f>ABS(Tableau1[[#This Row],[Final_time]]-Tableau1[[#This Row],[Sum_time]])</f>
        <v>0</v>
      </c>
      <c r="P663" s="8"/>
      <c r="Q663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3" t="s">
        <v>400</v>
      </c>
      <c r="S663" s="1" t="s">
        <v>68</v>
      </c>
      <c r="U663" s="1" t="s">
        <v>69</v>
      </c>
      <c r="V663" s="1">
        <v>44721</v>
      </c>
      <c r="W663" s="4">
        <f>YEAR(Tableau1[[#This Row],[Competition_date]])</f>
        <v>2022</v>
      </c>
      <c r="X663" s="4">
        <v>21</v>
      </c>
      <c r="Y663" s="6">
        <v>0.7</v>
      </c>
      <c r="Z663" s="4" t="s">
        <v>80</v>
      </c>
      <c r="AA663" t="s">
        <v>176</v>
      </c>
    </row>
    <row r="664" spans="1:27" hidden="1" x14ac:dyDescent="0.35">
      <c r="A664" t="str">
        <f>_xlfn.CONCAT(Tableau1[[#This Row],[Athletes]],"_",Tableau1[[#This Row],[Nationality]],"_",Tableau1[[#This Row],[Competition_year]])</f>
        <v>Mary MORAA_KEN_2022</v>
      </c>
      <c r="B664" s="9" t="s">
        <v>228</v>
      </c>
      <c r="C664" s="9" t="s">
        <v>29</v>
      </c>
      <c r="D664" s="12" t="s">
        <v>15</v>
      </c>
      <c r="E664" s="9">
        <v>13.3</v>
      </c>
      <c r="F664" s="9">
        <v>14.6</v>
      </c>
      <c r="G664" s="9">
        <v>15.3</v>
      </c>
      <c r="H664" s="9">
        <v>15.2</v>
      </c>
      <c r="I664" s="9">
        <v>15.1</v>
      </c>
      <c r="J664" s="9">
        <v>15.1</v>
      </c>
      <c r="K664" s="9">
        <v>15.6</v>
      </c>
      <c r="L664">
        <f>Tableau1[[#This Row],[Final_time]]-SUM(Tableau1[[#This Row],[0_100m]:[600_700m]])</f>
        <v>15.060000000000016</v>
      </c>
      <c r="M664" s="9">
        <v>119.26</v>
      </c>
      <c r="N664">
        <f>SUM(Tableau1[[#This Row],[0_100m]:[700_800m]])</f>
        <v>119.26</v>
      </c>
      <c r="O664">
        <f>ABS(Tableau1[[#This Row],[Final_time]]-Tableau1[[#This Row],[Sum_time]])</f>
        <v>0</v>
      </c>
      <c r="P664" s="8"/>
      <c r="Q664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4" t="s">
        <v>400</v>
      </c>
      <c r="S664" s="1" t="s">
        <v>68</v>
      </c>
      <c r="U664" s="1" t="s">
        <v>69</v>
      </c>
      <c r="V664" s="1">
        <v>44721</v>
      </c>
      <c r="W664" s="4">
        <f>YEAR(Tableau1[[#This Row],[Competition_date]])</f>
        <v>2022</v>
      </c>
      <c r="X664" s="4">
        <v>21</v>
      </c>
      <c r="Y664" s="6">
        <v>0.7</v>
      </c>
      <c r="Z664" s="4" t="s">
        <v>80</v>
      </c>
      <c r="AA664" t="s">
        <v>176</v>
      </c>
    </row>
    <row r="665" spans="1:27" hidden="1" x14ac:dyDescent="0.35">
      <c r="A665" t="str">
        <f>_xlfn.CONCAT(Tableau1[[#This Row],[Athletes]],"_",Tableau1[[#This Row],[Nationality]],"_",Tableau1[[#This Row],[Competition_year]])</f>
        <v>Freweyni HAILU_ETH_2022</v>
      </c>
      <c r="B665" s="9" t="s">
        <v>267</v>
      </c>
      <c r="C665" s="9" t="s">
        <v>29</v>
      </c>
      <c r="D665" s="12" t="s">
        <v>49</v>
      </c>
      <c r="E665" s="9">
        <v>14.3</v>
      </c>
      <c r="F665" s="9">
        <v>14.2</v>
      </c>
      <c r="G665" s="9">
        <v>15</v>
      </c>
      <c r="H665" s="9">
        <v>15.3</v>
      </c>
      <c r="I665" s="9">
        <v>15.4</v>
      </c>
      <c r="J665" s="9">
        <v>14.9</v>
      </c>
      <c r="K665" s="9">
        <v>15.5</v>
      </c>
      <c r="L665">
        <f>Tableau1[[#This Row],[Final_time]]-SUM(Tableau1[[#This Row],[0_100m]:[600_700m]])</f>
        <v>14.789999999999992</v>
      </c>
      <c r="M665" s="9">
        <v>119.39</v>
      </c>
      <c r="N665">
        <f>SUM(Tableau1[[#This Row],[0_100m]:[700_800m]])</f>
        <v>119.39</v>
      </c>
      <c r="O665">
        <f>ABS(Tableau1[[#This Row],[Final_time]]-Tableau1[[#This Row],[Sum_time]])</f>
        <v>0</v>
      </c>
      <c r="P665" s="8"/>
      <c r="Q665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5" t="s">
        <v>400</v>
      </c>
      <c r="S665" s="1" t="s">
        <v>68</v>
      </c>
      <c r="U665" s="1" t="s">
        <v>69</v>
      </c>
      <c r="V665" s="1">
        <v>44721</v>
      </c>
      <c r="W665" s="4">
        <f>YEAR(Tableau1[[#This Row],[Competition_date]])</f>
        <v>2022</v>
      </c>
      <c r="X665" s="4">
        <v>21</v>
      </c>
      <c r="Y665" s="6">
        <v>0.7</v>
      </c>
      <c r="Z665" s="4" t="s">
        <v>80</v>
      </c>
      <c r="AA665" t="s">
        <v>176</v>
      </c>
    </row>
    <row r="666" spans="1:27" hidden="1" x14ac:dyDescent="0.35">
      <c r="A666" t="str">
        <f>_xlfn.CONCAT(Tableau1[[#This Row],[Athletes]],"_",Tableau1[[#This Row],[Nationality]],"_",Tableau1[[#This Row],[Competition_year]])</f>
        <v>Natoya GOULE-TOPPIN_JAM_2022</v>
      </c>
      <c r="B666" s="9" t="s">
        <v>222</v>
      </c>
      <c r="C666" s="9" t="s">
        <v>29</v>
      </c>
      <c r="D666" s="12" t="s">
        <v>33</v>
      </c>
      <c r="E666" s="9">
        <v>14.1</v>
      </c>
      <c r="F666" s="9">
        <v>13.8</v>
      </c>
      <c r="G666" s="9">
        <v>14.9</v>
      </c>
      <c r="H666" s="9">
        <v>15.2</v>
      </c>
      <c r="I666" s="9">
        <v>15.3</v>
      </c>
      <c r="J666" s="9">
        <v>15.5</v>
      </c>
      <c r="K666" s="9">
        <v>15.5</v>
      </c>
      <c r="L666">
        <f>Tableau1[[#This Row],[Final_time]]-SUM(Tableau1[[#This Row],[0_100m]:[600_700m]])</f>
        <v>15.240000000000009</v>
      </c>
      <c r="M666" s="9">
        <v>119.54</v>
      </c>
      <c r="N666">
        <f>SUM(Tableau1[[#This Row],[0_100m]:[700_800m]])</f>
        <v>119.54</v>
      </c>
      <c r="O666">
        <f>ABS(Tableau1[[#This Row],[Final_time]]-Tableau1[[#This Row],[Sum_time]])</f>
        <v>0</v>
      </c>
      <c r="P666" s="8"/>
      <c r="Q666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6" t="s">
        <v>400</v>
      </c>
      <c r="S666" s="1" t="s">
        <v>68</v>
      </c>
      <c r="U666" s="1" t="s">
        <v>69</v>
      </c>
      <c r="V666" s="1">
        <v>44721</v>
      </c>
      <c r="W666" s="4">
        <f>YEAR(Tableau1[[#This Row],[Competition_date]])</f>
        <v>2022</v>
      </c>
      <c r="X666" s="4">
        <v>21</v>
      </c>
      <c r="Y666" s="6">
        <v>0.7</v>
      </c>
      <c r="Z666" s="4" t="s">
        <v>80</v>
      </c>
      <c r="AA666" t="s">
        <v>176</v>
      </c>
    </row>
    <row r="667" spans="1:27" hidden="1" x14ac:dyDescent="0.35">
      <c r="A667" t="str">
        <f>_xlfn.CONCAT(Tableau1[[#This Row],[Athletes]],"_",Tableau1[[#This Row],[Nationality]],"_",Tableau1[[#This Row],[Competition_year]])</f>
        <v>Catriona BISSET_AUS_2022</v>
      </c>
      <c r="B667" s="9" t="s">
        <v>217</v>
      </c>
      <c r="C667" s="9" t="s">
        <v>29</v>
      </c>
      <c r="D667" s="12" t="s">
        <v>36</v>
      </c>
      <c r="E667" s="9">
        <v>14.2</v>
      </c>
      <c r="F667" s="9">
        <v>13.4</v>
      </c>
      <c r="G667" s="9">
        <v>14.7</v>
      </c>
      <c r="H667" s="9">
        <v>14.9</v>
      </c>
      <c r="I667" s="9">
        <v>15.7</v>
      </c>
      <c r="J667" s="9">
        <v>15.3</v>
      </c>
      <c r="K667" s="9">
        <v>15.5</v>
      </c>
      <c r="L667">
        <f>Tableau1[[#This Row],[Final_time]]-SUM(Tableau1[[#This Row],[0_100m]:[600_700m]])</f>
        <v>16.030000000000015</v>
      </c>
      <c r="M667" s="9">
        <v>119.73</v>
      </c>
      <c r="N667">
        <f>SUM(Tableau1[[#This Row],[0_100m]:[700_800m]])</f>
        <v>119.73</v>
      </c>
      <c r="O667">
        <f>ABS(Tableau1[[#This Row],[Final_time]]-Tableau1[[#This Row],[Sum_time]])</f>
        <v>0</v>
      </c>
      <c r="P667" s="8"/>
      <c r="Q667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7" t="s">
        <v>400</v>
      </c>
      <c r="S667" s="1" t="s">
        <v>68</v>
      </c>
      <c r="U667" s="1" t="s">
        <v>69</v>
      </c>
      <c r="V667" s="1">
        <v>44721</v>
      </c>
      <c r="W667" s="4">
        <f>YEAR(Tableau1[[#This Row],[Competition_date]])</f>
        <v>2022</v>
      </c>
      <c r="X667" s="4">
        <v>21</v>
      </c>
      <c r="Y667" s="6">
        <v>0.7</v>
      </c>
      <c r="Z667" s="4" t="s">
        <v>80</v>
      </c>
      <c r="AA667" t="s">
        <v>176</v>
      </c>
    </row>
    <row r="668" spans="1:27" hidden="1" x14ac:dyDescent="0.35">
      <c r="A668" t="str">
        <f>_xlfn.CONCAT(Tableau1[[#This Row],[Athletes]],"_",Tableau1[[#This Row],[Nationality]],"_",Tableau1[[#This Row],[Competition_year]])</f>
        <v>Lindsey BUTTERWORTH_CAN_2022</v>
      </c>
      <c r="B668" s="9" t="s">
        <v>256</v>
      </c>
      <c r="C668" s="9" t="s">
        <v>29</v>
      </c>
      <c r="D668" s="12" t="s">
        <v>19</v>
      </c>
      <c r="E668" s="9">
        <v>14.2</v>
      </c>
      <c r="F668" s="9">
        <v>13.8</v>
      </c>
      <c r="G668" s="9">
        <v>15</v>
      </c>
      <c r="H668" s="9">
        <v>15.2</v>
      </c>
      <c r="I668" s="9">
        <v>15.2</v>
      </c>
      <c r="J668" s="9">
        <v>15.3</v>
      </c>
      <c r="K668" s="9">
        <v>15.3</v>
      </c>
      <c r="L668">
        <f>Tableau1[[#This Row],[Final_time]]-SUM(Tableau1[[#This Row],[0_100m]:[600_700m]])</f>
        <v>15.930000000000007</v>
      </c>
      <c r="M668" s="9">
        <v>119.93</v>
      </c>
      <c r="N668">
        <f>SUM(Tableau1[[#This Row],[0_100m]:[700_800m]])</f>
        <v>119.93</v>
      </c>
      <c r="O668">
        <f>ABS(Tableau1[[#This Row],[Final_time]]-Tableau1[[#This Row],[Sum_time]])</f>
        <v>0</v>
      </c>
      <c r="P668" s="8"/>
      <c r="Q668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8" t="s">
        <v>400</v>
      </c>
      <c r="S668" s="1" t="s">
        <v>68</v>
      </c>
      <c r="U668" s="1" t="s">
        <v>69</v>
      </c>
      <c r="V668" s="1">
        <v>44721</v>
      </c>
      <c r="W668" s="4">
        <f>YEAR(Tableau1[[#This Row],[Competition_date]])</f>
        <v>2022</v>
      </c>
      <c r="X668" s="4">
        <v>21</v>
      </c>
      <c r="Y668" s="6">
        <v>0.7</v>
      </c>
      <c r="Z668" s="4" t="s">
        <v>80</v>
      </c>
      <c r="AA668" t="s">
        <v>176</v>
      </c>
    </row>
    <row r="669" spans="1:27" hidden="1" x14ac:dyDescent="0.35">
      <c r="A669" t="str">
        <f>_xlfn.CONCAT(Tableau1[[#This Row],[Athletes]],"_",Tableau1[[#This Row],[Nationality]],"_",Tableau1[[#This Row],[Competition_year]])</f>
        <v>Jemma REEKIE_GBR_2022</v>
      </c>
      <c r="B669" s="9" t="s">
        <v>220</v>
      </c>
      <c r="C669" s="9" t="s">
        <v>29</v>
      </c>
      <c r="D669" s="12" t="s">
        <v>30</v>
      </c>
      <c r="E669" s="9">
        <v>13.7</v>
      </c>
      <c r="F669" s="9">
        <v>13.9</v>
      </c>
      <c r="G669" s="9">
        <v>14.7</v>
      </c>
      <c r="H669" s="9">
        <v>15.2</v>
      </c>
      <c r="I669" s="9">
        <v>15.7</v>
      </c>
      <c r="J669" s="9">
        <v>15.3</v>
      </c>
      <c r="K669" s="9">
        <v>15.5</v>
      </c>
      <c r="L669">
        <f>Tableau1[[#This Row],[Final_time]]-SUM(Tableau1[[#This Row],[0_100m]:[600_700m]])</f>
        <v>16.28</v>
      </c>
      <c r="M669" s="9">
        <v>120.28</v>
      </c>
      <c r="N669">
        <f>SUM(Tableau1[[#This Row],[0_100m]:[700_800m]])</f>
        <v>120.28</v>
      </c>
      <c r="O669">
        <f>ABS(Tableau1[[#This Row],[Final_time]]-Tableau1[[#This Row],[Sum_time]])</f>
        <v>0</v>
      </c>
      <c r="P669" s="8"/>
      <c r="Q669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69" t="s">
        <v>400</v>
      </c>
      <c r="S669" s="1" t="s">
        <v>68</v>
      </c>
      <c r="U669" s="1" t="s">
        <v>69</v>
      </c>
      <c r="V669" s="1">
        <v>44721</v>
      </c>
      <c r="W669" s="4">
        <f>YEAR(Tableau1[[#This Row],[Competition_date]])</f>
        <v>2022</v>
      </c>
      <c r="X669" s="4">
        <v>21</v>
      </c>
      <c r="Y669" s="6">
        <v>0.7</v>
      </c>
      <c r="Z669" s="4" t="s">
        <v>80</v>
      </c>
      <c r="AA669" t="s">
        <v>176</v>
      </c>
    </row>
    <row r="670" spans="1:27" hidden="1" x14ac:dyDescent="0.35">
      <c r="A670" t="str">
        <f>_xlfn.CONCAT(Tableau1[[#This Row],[Athletes]],"_",Tableau1[[#This Row],[Nationality]],"_",Tableau1[[#This Row],[Competition_year]])</f>
        <v>Halimah NAKAAYI_UGA_2022</v>
      </c>
      <c r="B670" s="9" t="s">
        <v>230</v>
      </c>
      <c r="C670" s="9" t="s">
        <v>29</v>
      </c>
      <c r="D670" s="12" t="s">
        <v>34</v>
      </c>
      <c r="E670" s="9">
        <v>13.7</v>
      </c>
      <c r="F670" s="9">
        <v>13.5</v>
      </c>
      <c r="G670" s="9">
        <v>14.7</v>
      </c>
      <c r="H670" s="9">
        <v>15.2</v>
      </c>
      <c r="I670" s="9">
        <v>15.7</v>
      </c>
      <c r="J670" s="9">
        <v>15.4</v>
      </c>
      <c r="K670" s="9">
        <v>15.7</v>
      </c>
      <c r="L670">
        <f>Tableau1[[#This Row],[Final_time]]-SUM(Tableau1[[#This Row],[0_100m]:[600_700m]])</f>
        <v>17.25</v>
      </c>
      <c r="M670" s="9">
        <v>121.15</v>
      </c>
      <c r="N670">
        <f>SUM(Tableau1[[#This Row],[0_100m]:[700_800m]])</f>
        <v>121.15</v>
      </c>
      <c r="O670">
        <f>ABS(Tableau1[[#This Row],[Final_time]]-Tableau1[[#This Row],[Sum_time]])</f>
        <v>0</v>
      </c>
      <c r="P670" s="8"/>
      <c r="Q670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70" t="s">
        <v>400</v>
      </c>
      <c r="S670" s="1" t="s">
        <v>68</v>
      </c>
      <c r="U670" s="1" t="s">
        <v>69</v>
      </c>
      <c r="V670" s="1">
        <v>44721</v>
      </c>
      <c r="W670" s="4">
        <f>YEAR(Tableau1[[#This Row],[Competition_date]])</f>
        <v>2022</v>
      </c>
      <c r="X670" s="4">
        <v>21</v>
      </c>
      <c r="Y670" s="6">
        <v>0.7</v>
      </c>
      <c r="Z670" s="4" t="s">
        <v>80</v>
      </c>
      <c r="AA670" t="s">
        <v>176</v>
      </c>
    </row>
    <row r="671" spans="1:27" hidden="1" x14ac:dyDescent="0.35">
      <c r="A671" t="str">
        <f>_xlfn.CONCAT(Tableau1[[#This Row],[Athletes]],"_",Tableau1[[#This Row],[Nationality]],"_",Tableau1[[#This Row],[Competition_year]])</f>
        <v>Rose Mary ALMANZA_CUB_2022</v>
      </c>
      <c r="B671" s="9" t="s">
        <v>263</v>
      </c>
      <c r="C671" s="9" t="s">
        <v>29</v>
      </c>
      <c r="D671" s="12" t="s">
        <v>165</v>
      </c>
      <c r="E671" s="9">
        <v>13.8</v>
      </c>
      <c r="F671" s="9">
        <v>13.6</v>
      </c>
      <c r="G671" s="9">
        <v>14.8</v>
      </c>
      <c r="H671" s="9">
        <v>15.2</v>
      </c>
      <c r="I671" s="9">
        <v>15.7</v>
      </c>
      <c r="J671" s="9">
        <v>15.6</v>
      </c>
      <c r="K671" s="9">
        <v>16</v>
      </c>
      <c r="L671">
        <f>Tableau1[[#This Row],[Final_time]]-SUM(Tableau1[[#This Row],[0_100m]:[600_700m]])</f>
        <v>17.700000000000003</v>
      </c>
      <c r="M671" s="9">
        <v>122.4</v>
      </c>
      <c r="N671">
        <f>SUM(Tableau1[[#This Row],[0_100m]:[700_800m]])</f>
        <v>122.4</v>
      </c>
      <c r="O671">
        <f>ABS(Tableau1[[#This Row],[Final_time]]-Tableau1[[#This Row],[Sum_time]])</f>
        <v>0</v>
      </c>
      <c r="P671" s="8"/>
      <c r="Q671" s="1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R671" t="s">
        <v>400</v>
      </c>
      <c r="S671" s="1" t="s">
        <v>68</v>
      </c>
      <c r="U671" s="1" t="s">
        <v>69</v>
      </c>
      <c r="V671" s="1">
        <v>44721</v>
      </c>
      <c r="W671" s="4">
        <f>YEAR(Tableau1[[#This Row],[Competition_date]])</f>
        <v>2022</v>
      </c>
      <c r="X671" s="4">
        <v>21</v>
      </c>
      <c r="Y671" s="6">
        <v>0.7</v>
      </c>
      <c r="Z671" s="4" t="s">
        <v>80</v>
      </c>
      <c r="AA671" t="s">
        <v>176</v>
      </c>
    </row>
    <row r="672" spans="1:27" hidden="1" x14ac:dyDescent="0.35">
      <c r="A672" t="str">
        <f>_xlfn.CONCAT(Tableau1[[#This Row],[Athletes]],"_",Tableau1[[#This Row],[Nationality]],"_",Tableau1[[#This Row],[Competition_year]])</f>
        <v>Tsige DUGUMA_ETH_2025</v>
      </c>
      <c r="B672" t="s">
        <v>1283</v>
      </c>
      <c r="C672" t="s">
        <v>29</v>
      </c>
      <c r="D672" s="18" t="s">
        <v>49</v>
      </c>
      <c r="E672">
        <v>13.4</v>
      </c>
      <c r="F672">
        <v>14.1</v>
      </c>
      <c r="G672">
        <v>14.9</v>
      </c>
      <c r="H672">
        <v>15.5</v>
      </c>
      <c r="I672">
        <v>14.8</v>
      </c>
      <c r="J672">
        <v>14.9</v>
      </c>
      <c r="K672">
        <v>14.7</v>
      </c>
      <c r="L672">
        <f>Tableau1[[#This Row],[Final_time]]-SUM(Tableau1[[#This Row],[0_100m]:[600_700m]])</f>
        <v>14.339999999999989</v>
      </c>
      <c r="M672">
        <v>116.64</v>
      </c>
      <c r="N672">
        <f>SUM(Tableau1[[#This Row],[0_100m]:[700_800m]])</f>
        <v>116.64</v>
      </c>
      <c r="O672">
        <f>ABS(Tableau1[[#This Row],[Final_time]]-Tableau1[[#This Row],[Sum_time]])</f>
        <v>0</v>
      </c>
      <c r="P672" s="8"/>
      <c r="Q672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2" t="s">
        <v>1333</v>
      </c>
      <c r="S672" s="1" t="s">
        <v>68</v>
      </c>
      <c r="U672" s="1" t="s">
        <v>69</v>
      </c>
      <c r="V672" s="1">
        <v>45780</v>
      </c>
      <c r="W672" s="4">
        <f>YEAR(Tableau1[[#This Row],[Competition_date]])</f>
        <v>2025</v>
      </c>
      <c r="X672" s="4">
        <v>21</v>
      </c>
      <c r="Y672" s="6">
        <v>0.52</v>
      </c>
      <c r="Z672" s="4" t="s">
        <v>83</v>
      </c>
    </row>
    <row r="673" spans="1:27" hidden="1" x14ac:dyDescent="0.35">
      <c r="A673" t="str">
        <f>_xlfn.CONCAT(Tableau1[[#This Row],[Athletes]],"_",Tableau1[[#This Row],[Nationality]],"_",Tableau1[[#This Row],[Competition_year]])</f>
        <v>Sarah BILLINGS_AUS_2025</v>
      </c>
      <c r="B673" t="s">
        <v>1213</v>
      </c>
      <c r="C673" t="s">
        <v>29</v>
      </c>
      <c r="D673" s="18" t="s">
        <v>36</v>
      </c>
      <c r="E673">
        <v>14.2</v>
      </c>
      <c r="F673">
        <v>13.7</v>
      </c>
      <c r="G673">
        <v>14.9</v>
      </c>
      <c r="H673">
        <v>15.3</v>
      </c>
      <c r="I673">
        <v>15.2</v>
      </c>
      <c r="J673">
        <v>14.7</v>
      </c>
      <c r="K673">
        <v>14.8</v>
      </c>
      <c r="L673">
        <f>Tableau1[[#This Row],[Final_time]]-SUM(Tableau1[[#This Row],[0_100m]:[600_700m]])</f>
        <v>15.030000000000001</v>
      </c>
      <c r="M673">
        <v>117.83</v>
      </c>
      <c r="N673">
        <f>SUM(Tableau1[[#This Row],[0_100m]:[700_800m]])</f>
        <v>117.83</v>
      </c>
      <c r="O673">
        <f>ABS(Tableau1[[#This Row],[Final_time]]-Tableau1[[#This Row],[Sum_time]])</f>
        <v>0</v>
      </c>
      <c r="P673" s="8"/>
      <c r="Q673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3" t="s">
        <v>1333</v>
      </c>
      <c r="S673" s="1" t="s">
        <v>68</v>
      </c>
      <c r="U673" s="1" t="s">
        <v>69</v>
      </c>
      <c r="V673" s="1">
        <v>45780</v>
      </c>
      <c r="W673" s="4">
        <f>YEAR(Tableau1[[#This Row],[Competition_date]])</f>
        <v>2025</v>
      </c>
      <c r="X673" s="4">
        <v>21</v>
      </c>
      <c r="Y673" s="6">
        <v>0.52</v>
      </c>
      <c r="Z673" s="4" t="s">
        <v>83</v>
      </c>
    </row>
    <row r="674" spans="1:27" hidden="1" x14ac:dyDescent="0.35">
      <c r="A674" t="str">
        <f>_xlfn.CONCAT(Tableau1[[#This Row],[Athletes]],"_",Tableau1[[#This Row],[Nationality]],"_",Tableau1[[#This Row],[Competition_year]])</f>
        <v>Halimah NAKAAYI_UGA_2025</v>
      </c>
      <c r="B674" t="s">
        <v>230</v>
      </c>
      <c r="C674" t="s">
        <v>29</v>
      </c>
      <c r="D674" s="18" t="s">
        <v>34</v>
      </c>
      <c r="E674">
        <v>14</v>
      </c>
      <c r="F674">
        <v>13.6</v>
      </c>
      <c r="G674">
        <v>15.3</v>
      </c>
      <c r="H674">
        <v>15</v>
      </c>
      <c r="I674">
        <v>15.1</v>
      </c>
      <c r="J674">
        <v>14.8</v>
      </c>
      <c r="K674">
        <v>14.8</v>
      </c>
      <c r="L674">
        <f>Tableau1[[#This Row],[Final_time]]-SUM(Tableau1[[#This Row],[0_100m]:[600_700m]])</f>
        <v>15.790000000000006</v>
      </c>
      <c r="M674">
        <v>118.39</v>
      </c>
      <c r="N674">
        <f>SUM(Tableau1[[#This Row],[0_100m]:[700_800m]])</f>
        <v>118.39</v>
      </c>
      <c r="O674">
        <f>ABS(Tableau1[[#This Row],[Final_time]]-Tableau1[[#This Row],[Sum_time]])</f>
        <v>0</v>
      </c>
      <c r="P674" s="8"/>
      <c r="Q674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4" t="s">
        <v>1333</v>
      </c>
      <c r="S674" s="1" t="s">
        <v>68</v>
      </c>
      <c r="U674" s="1" t="s">
        <v>69</v>
      </c>
      <c r="V674" s="1">
        <v>45780</v>
      </c>
      <c r="W674" s="4">
        <f>YEAR(Tableau1[[#This Row],[Competition_date]])</f>
        <v>2025</v>
      </c>
      <c r="X674" s="4">
        <v>21</v>
      </c>
      <c r="Y674" s="6">
        <v>0.52</v>
      </c>
      <c r="Z674" s="4" t="s">
        <v>83</v>
      </c>
    </row>
    <row r="675" spans="1:27" hidden="1" x14ac:dyDescent="0.35">
      <c r="A675" t="str">
        <f>_xlfn.CONCAT(Tableau1[[#This Row],[Athletes]],"_",Tableau1[[#This Row],[Nationality]],"_",Tableau1[[#This Row],[Competition_year]])</f>
        <v>Natoya GOULE-TOPPIN_JAM_2025</v>
      </c>
      <c r="B675" t="s">
        <v>222</v>
      </c>
      <c r="C675" t="s">
        <v>29</v>
      </c>
      <c r="D675" s="18" t="s">
        <v>33</v>
      </c>
      <c r="E675">
        <v>13.2</v>
      </c>
      <c r="F675">
        <v>14.4</v>
      </c>
      <c r="G675">
        <v>15</v>
      </c>
      <c r="H675">
        <v>15.1</v>
      </c>
      <c r="I675">
        <v>15.2</v>
      </c>
      <c r="J675">
        <v>14.9</v>
      </c>
      <c r="K675">
        <v>15.2</v>
      </c>
      <c r="L675">
        <f>Tableau1[[#This Row],[Final_time]]-SUM(Tableau1[[#This Row],[0_100m]:[600_700m]])</f>
        <v>15.429999999999993</v>
      </c>
      <c r="M675">
        <v>118.43</v>
      </c>
      <c r="N675">
        <f>SUM(Tableau1[[#This Row],[0_100m]:[700_800m]])</f>
        <v>118.43</v>
      </c>
      <c r="O675">
        <f>ABS(Tableau1[[#This Row],[Final_time]]-Tableau1[[#This Row],[Sum_time]])</f>
        <v>0</v>
      </c>
      <c r="P675" s="8"/>
      <c r="Q675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5" t="s">
        <v>1333</v>
      </c>
      <c r="S675" s="1" t="s">
        <v>68</v>
      </c>
      <c r="U675" s="1" t="s">
        <v>69</v>
      </c>
      <c r="V675" s="1">
        <v>45780</v>
      </c>
      <c r="W675" s="4">
        <f>YEAR(Tableau1[[#This Row],[Competition_date]])</f>
        <v>2025</v>
      </c>
      <c r="X675" s="4">
        <v>21</v>
      </c>
      <c r="Y675" s="6">
        <v>0.52</v>
      </c>
      <c r="Z675" s="4" t="s">
        <v>83</v>
      </c>
    </row>
    <row r="676" spans="1:27" hidden="1" x14ac:dyDescent="0.35">
      <c r="A676" t="str">
        <f>_xlfn.CONCAT(Tableau1[[#This Row],[Athletes]],"_",Tableau1[[#This Row],[Nationality]],"_",Tableau1[[#This Row],[Competition_year]])</f>
        <v>Addison WILEY_USA_2025</v>
      </c>
      <c r="B676" t="s">
        <v>533</v>
      </c>
      <c r="C676" t="s">
        <v>29</v>
      </c>
      <c r="D676" s="18" t="s">
        <v>35</v>
      </c>
      <c r="E676">
        <v>14</v>
      </c>
      <c r="F676">
        <v>13.4</v>
      </c>
      <c r="G676">
        <v>14.9</v>
      </c>
      <c r="H676">
        <v>15.4</v>
      </c>
      <c r="I676">
        <v>14.9</v>
      </c>
      <c r="J676">
        <v>15</v>
      </c>
      <c r="K676">
        <v>15.3</v>
      </c>
      <c r="L676">
        <f>Tableau1[[#This Row],[Final_time]]-SUM(Tableau1[[#This Row],[0_100m]:[600_700m]])</f>
        <v>15.690000000000012</v>
      </c>
      <c r="M676">
        <v>118.59</v>
      </c>
      <c r="N676">
        <f>SUM(Tableau1[[#This Row],[0_100m]:[700_800m]])</f>
        <v>118.59</v>
      </c>
      <c r="O676">
        <f>ABS(Tableau1[[#This Row],[Final_time]]-Tableau1[[#This Row],[Sum_time]])</f>
        <v>0</v>
      </c>
      <c r="P676" s="8"/>
      <c r="Q676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6" t="s">
        <v>1333</v>
      </c>
      <c r="S676" s="1" t="s">
        <v>68</v>
      </c>
      <c r="U676" s="1" t="s">
        <v>69</v>
      </c>
      <c r="V676" s="1">
        <v>45780</v>
      </c>
      <c r="W676" s="4">
        <f>YEAR(Tableau1[[#This Row],[Competition_date]])</f>
        <v>2025</v>
      </c>
      <c r="X676" s="4">
        <v>21</v>
      </c>
      <c r="Y676" s="6">
        <v>0.52</v>
      </c>
      <c r="Z676" s="4" t="s">
        <v>83</v>
      </c>
    </row>
    <row r="677" spans="1:27" hidden="1" x14ac:dyDescent="0.35">
      <c r="A677" t="str">
        <f>_xlfn.CONCAT(Tableau1[[#This Row],[Athletes]],"_",Tableau1[[#This Row],[Nationality]],"_",Tableau1[[#This Row],[Competition_year]])</f>
        <v>Nigist GETACHEW_ETH_2025</v>
      </c>
      <c r="B677" t="s">
        <v>1105</v>
      </c>
      <c r="C677" t="s">
        <v>29</v>
      </c>
      <c r="D677" s="18" t="s">
        <v>49</v>
      </c>
      <c r="E677">
        <v>13.1</v>
      </c>
      <c r="F677">
        <v>14.2</v>
      </c>
      <c r="G677">
        <v>14.8</v>
      </c>
      <c r="H677">
        <v>15.6</v>
      </c>
      <c r="I677">
        <v>14.9</v>
      </c>
      <c r="J677">
        <v>14.9</v>
      </c>
      <c r="K677">
        <v>14.8</v>
      </c>
      <c r="L677">
        <f>Tableau1[[#This Row],[Final_time]]-SUM(Tableau1[[#This Row],[0_100m]:[600_700m]])</f>
        <v>16.370000000000005</v>
      </c>
      <c r="M677">
        <v>118.67</v>
      </c>
      <c r="N677">
        <f>SUM(Tableau1[[#This Row],[0_100m]:[700_800m]])</f>
        <v>118.67</v>
      </c>
      <c r="O677">
        <f>ABS(Tableau1[[#This Row],[Final_time]]-Tableau1[[#This Row],[Sum_time]])</f>
        <v>0</v>
      </c>
      <c r="P677" s="8"/>
      <c r="Q677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7" t="s">
        <v>1333</v>
      </c>
      <c r="S677" s="1" t="s">
        <v>68</v>
      </c>
      <c r="U677" s="1" t="s">
        <v>69</v>
      </c>
      <c r="V677" s="1">
        <v>45780</v>
      </c>
      <c r="W677" s="4">
        <f>YEAR(Tableau1[[#This Row],[Competition_date]])</f>
        <v>2025</v>
      </c>
      <c r="X677" s="4">
        <v>21</v>
      </c>
      <c r="Y677" s="6">
        <v>0.52</v>
      </c>
      <c r="Z677" s="4" t="s">
        <v>83</v>
      </c>
    </row>
    <row r="678" spans="1:27" hidden="1" x14ac:dyDescent="0.35">
      <c r="A678" t="str">
        <f>_xlfn.CONCAT(Tableau1[[#This Row],[Athletes]],"_",Tableau1[[#This Row],[Nationality]],"_",Tableau1[[#This Row],[Competition_year]])</f>
        <v>Sage HURTA-KLECKER_USA_2025</v>
      </c>
      <c r="B678" t="s">
        <v>289</v>
      </c>
      <c r="C678" t="s">
        <v>29</v>
      </c>
      <c r="D678" s="18" t="s">
        <v>35</v>
      </c>
      <c r="E678">
        <v>13.8</v>
      </c>
      <c r="F678">
        <v>13.7</v>
      </c>
      <c r="G678">
        <v>15</v>
      </c>
      <c r="H678">
        <v>15.5</v>
      </c>
      <c r="I678">
        <v>15.2</v>
      </c>
      <c r="J678">
        <v>14.7</v>
      </c>
      <c r="K678">
        <v>15.4</v>
      </c>
      <c r="L678">
        <f>Tableau1[[#This Row],[Final_time]]-SUM(Tableau1[[#This Row],[0_100m]:[600_700m]])</f>
        <v>15.809999999999988</v>
      </c>
      <c r="M678">
        <v>119.11</v>
      </c>
      <c r="N678">
        <f>SUM(Tableau1[[#This Row],[0_100m]:[700_800m]])</f>
        <v>119.11</v>
      </c>
      <c r="O678">
        <f>ABS(Tableau1[[#This Row],[Final_time]]-Tableau1[[#This Row],[Sum_time]])</f>
        <v>0</v>
      </c>
      <c r="P678" s="8"/>
      <c r="Q678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8" t="s">
        <v>1333</v>
      </c>
      <c r="S678" s="1" t="s">
        <v>68</v>
      </c>
      <c r="U678" s="1" t="s">
        <v>69</v>
      </c>
      <c r="V678" s="1">
        <v>45780</v>
      </c>
      <c r="W678" s="4">
        <f>YEAR(Tableau1[[#This Row],[Competition_date]])</f>
        <v>2025</v>
      </c>
      <c r="X678" s="4">
        <v>21</v>
      </c>
      <c r="Y678" s="6">
        <v>0.52</v>
      </c>
      <c r="Z678" s="4" t="s">
        <v>83</v>
      </c>
    </row>
    <row r="679" spans="1:27" hidden="1" x14ac:dyDescent="0.35">
      <c r="A679" t="str">
        <f>_xlfn.CONCAT(Tableau1[[#This Row],[Athletes]],"_",Tableau1[[#This Row],[Nationality]],"_",Tableau1[[#This Row],[Competition_year]])</f>
        <v>Habitam ALEMU_ETH_2025</v>
      </c>
      <c r="B679" t="s">
        <v>223</v>
      </c>
      <c r="C679" t="s">
        <v>29</v>
      </c>
      <c r="D679" s="18" t="s">
        <v>49</v>
      </c>
      <c r="E679">
        <v>14</v>
      </c>
      <c r="F679">
        <v>13.8</v>
      </c>
      <c r="G679">
        <v>15.2</v>
      </c>
      <c r="H679">
        <v>15.3</v>
      </c>
      <c r="I679">
        <v>15.2</v>
      </c>
      <c r="J679">
        <v>14.7</v>
      </c>
      <c r="K679">
        <v>15</v>
      </c>
      <c r="L679">
        <f>Tableau1[[#This Row],[Final_time]]-SUM(Tableau1[[#This Row],[0_100m]:[600_700m]])</f>
        <v>16.36999999999999</v>
      </c>
      <c r="M679">
        <v>119.57</v>
      </c>
      <c r="N679">
        <f>SUM(Tableau1[[#This Row],[0_100m]:[700_800m]])</f>
        <v>119.57</v>
      </c>
      <c r="O679">
        <f>ABS(Tableau1[[#This Row],[Final_time]]-Tableau1[[#This Row],[Sum_time]])</f>
        <v>0</v>
      </c>
      <c r="P679" s="8"/>
      <c r="Q679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79" t="s">
        <v>1333</v>
      </c>
      <c r="S679" s="1" t="s">
        <v>68</v>
      </c>
      <c r="U679" s="1" t="s">
        <v>69</v>
      </c>
      <c r="V679" s="1">
        <v>45780</v>
      </c>
      <c r="W679" s="4">
        <f>YEAR(Tableau1[[#This Row],[Competition_date]])</f>
        <v>2025</v>
      </c>
      <c r="X679" s="4">
        <v>21</v>
      </c>
      <c r="Y679" s="6">
        <v>0.52</v>
      </c>
      <c r="Z679" s="4" t="s">
        <v>83</v>
      </c>
    </row>
    <row r="680" spans="1:27" hidden="1" x14ac:dyDescent="0.35">
      <c r="A680" t="str">
        <f>_xlfn.CONCAT(Tableau1[[#This Row],[Athletes]],"_",Tableau1[[#This Row],[Nationality]],"_",Tableau1[[#This Row],[Competition_year]])</f>
        <v>Erin WALLACE_GBR_2025</v>
      </c>
      <c r="B680" t="s">
        <v>762</v>
      </c>
      <c r="C680" t="s">
        <v>29</v>
      </c>
      <c r="D680" s="18" t="s">
        <v>30</v>
      </c>
      <c r="E680">
        <v>14.1</v>
      </c>
      <c r="F680">
        <v>13.9</v>
      </c>
      <c r="G680">
        <v>15.3</v>
      </c>
      <c r="H680">
        <v>15.2</v>
      </c>
      <c r="I680">
        <v>15.4</v>
      </c>
      <c r="J680">
        <v>14.9</v>
      </c>
      <c r="K680">
        <v>15.4</v>
      </c>
      <c r="L680">
        <f>Tableau1[[#This Row],[Final_time]]-SUM(Tableau1[[#This Row],[0_100m]:[600_700m]])</f>
        <v>16.09999999999998</v>
      </c>
      <c r="M680">
        <v>120.3</v>
      </c>
      <c r="N680">
        <f>SUM(Tableau1[[#This Row],[0_100m]:[700_800m]])</f>
        <v>120.3</v>
      </c>
      <c r="O680">
        <f>ABS(Tableau1[[#This Row],[Final_time]]-Tableau1[[#This Row],[Sum_time]])</f>
        <v>0</v>
      </c>
      <c r="P680" s="8"/>
      <c r="Q680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80" t="s">
        <v>1333</v>
      </c>
      <c r="S680" s="1" t="s">
        <v>68</v>
      </c>
      <c r="U680" s="1" t="s">
        <v>69</v>
      </c>
      <c r="V680" s="1">
        <v>45780</v>
      </c>
      <c r="W680" s="4">
        <f>YEAR(Tableau1[[#This Row],[Competition_date]])</f>
        <v>2025</v>
      </c>
      <c r="X680" s="4">
        <v>21</v>
      </c>
      <c r="Y680" s="6">
        <v>0.52</v>
      </c>
      <c r="Z680" s="4" t="s">
        <v>83</v>
      </c>
    </row>
    <row r="681" spans="1:27" hidden="1" x14ac:dyDescent="0.35">
      <c r="A681" t="str">
        <f>_xlfn.CONCAT(Tableau1[[#This Row],[Athletes]],"_",Tableau1[[#This Row],[Nationality]],"_",Tableau1[[#This Row],[Competition_year]])</f>
        <v>Noélie YARIGO_BEN_2025</v>
      </c>
      <c r="B681" t="s">
        <v>214</v>
      </c>
      <c r="C681" t="s">
        <v>29</v>
      </c>
      <c r="D681" s="18" t="s">
        <v>52</v>
      </c>
      <c r="E681">
        <v>13.5</v>
      </c>
      <c r="F681">
        <v>14.1</v>
      </c>
      <c r="G681">
        <v>15.1</v>
      </c>
      <c r="H681">
        <v>15.3</v>
      </c>
      <c r="I681">
        <v>15.2</v>
      </c>
      <c r="J681">
        <v>15.2</v>
      </c>
      <c r="K681">
        <v>16</v>
      </c>
      <c r="L681">
        <f>Tableau1[[#This Row],[Final_time]]-SUM(Tableau1[[#This Row],[0_100m]:[600_700m]])</f>
        <v>17.559999999999988</v>
      </c>
      <c r="M681">
        <v>121.96</v>
      </c>
      <c r="N681">
        <f>SUM(Tableau1[[#This Row],[0_100m]:[700_800m]])</f>
        <v>121.96</v>
      </c>
      <c r="O681">
        <f>ABS(Tableau1[[#This Row],[Final_time]]-Tableau1[[#This Row],[Sum_time]])</f>
        <v>0</v>
      </c>
      <c r="P681" s="8"/>
      <c r="Q681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81" t="s">
        <v>1333</v>
      </c>
      <c r="S681" s="1" t="s">
        <v>68</v>
      </c>
      <c r="U681" s="1" t="s">
        <v>69</v>
      </c>
      <c r="V681" s="1">
        <v>45780</v>
      </c>
      <c r="W681" s="4">
        <f>YEAR(Tableau1[[#This Row],[Competition_date]])</f>
        <v>2025</v>
      </c>
      <c r="X681" s="4">
        <v>21</v>
      </c>
      <c r="Y681" s="6">
        <v>0.52</v>
      </c>
      <c r="Z681" s="4" t="s">
        <v>83</v>
      </c>
    </row>
    <row r="682" spans="1:27" hidden="1" x14ac:dyDescent="0.35">
      <c r="A682" t="str">
        <f>_xlfn.CONCAT(Tableau1[[#This Row],[Athletes]],"_",Tableau1[[#This Row],[Nationality]],"_",Tableau1[[#This Row],[Competition_year]])</f>
        <v>Saron BERHE_ETH_2025</v>
      </c>
      <c r="B682" t="s">
        <v>1218</v>
      </c>
      <c r="C682" t="s">
        <v>29</v>
      </c>
      <c r="D682" s="18" t="s">
        <v>49</v>
      </c>
      <c r="E682">
        <v>14.3</v>
      </c>
      <c r="F682">
        <v>13.8</v>
      </c>
      <c r="G682">
        <v>15.2</v>
      </c>
      <c r="H682">
        <v>15</v>
      </c>
      <c r="I682">
        <v>15.5</v>
      </c>
      <c r="J682">
        <v>15.3</v>
      </c>
      <c r="K682">
        <v>16.2</v>
      </c>
      <c r="L682">
        <f>Tableau1[[#This Row],[Final_time]]-SUM(Tableau1[[#This Row],[0_100m]:[600_700m]])</f>
        <v>17.13000000000001</v>
      </c>
      <c r="M682">
        <v>122.43</v>
      </c>
      <c r="N682">
        <f>SUM(Tableau1[[#This Row],[0_100m]:[700_800m]])</f>
        <v>122.43</v>
      </c>
      <c r="O682">
        <f>ABS(Tableau1[[#This Row],[Final_time]]-Tableau1[[#This Row],[Sum_time]])</f>
        <v>0</v>
      </c>
      <c r="P682" s="8"/>
      <c r="Q682" s="16" t="str">
        <f>_xlfn.CONCAT(Tableau1[[#This Row],[Competition]],"_",Tableau1[[#This Row],[Championship_step]],"_",Tableau1[[#This Row],[Competition_date]],"_",Tableau1[[#This Row],[Gender]])</f>
        <v>Diamond League Shanghai 2025__45780_Female</v>
      </c>
      <c r="R682" t="s">
        <v>1333</v>
      </c>
      <c r="S682" s="1" t="s">
        <v>68</v>
      </c>
      <c r="U682" s="1" t="s">
        <v>69</v>
      </c>
      <c r="V682" s="1">
        <v>45780</v>
      </c>
      <c r="W682" s="4">
        <f>YEAR(Tableau1[[#This Row],[Competition_date]])</f>
        <v>2025</v>
      </c>
      <c r="X682" s="4">
        <v>21</v>
      </c>
      <c r="Y682" s="6">
        <v>0.52</v>
      </c>
      <c r="Z682" s="4" t="s">
        <v>83</v>
      </c>
    </row>
    <row r="683" spans="1:27" hidden="1" x14ac:dyDescent="0.35">
      <c r="A683" t="str">
        <f>_xlfn.CONCAT(Tableau1[[#This Row],[Athletes]],"_",Tableau1[[#This Row],[Nationality]],"_",Tableau1[[#This Row],[Competition_year]])</f>
        <v>Ajee' WILSON_USA_2022</v>
      </c>
      <c r="B683" s="9" t="s">
        <v>549</v>
      </c>
      <c r="C683" s="9" t="s">
        <v>29</v>
      </c>
      <c r="D683" s="12" t="s">
        <v>35</v>
      </c>
      <c r="E683" s="9">
        <v>14.1</v>
      </c>
      <c r="F683" s="9">
        <v>13.9</v>
      </c>
      <c r="G683" s="9">
        <v>14.9</v>
      </c>
      <c r="H683" s="9">
        <v>15.2</v>
      </c>
      <c r="I683" s="9">
        <v>15.2</v>
      </c>
      <c r="J683" s="9">
        <v>15.2</v>
      </c>
      <c r="K683" s="9">
        <v>14.9</v>
      </c>
      <c r="L683">
        <f>Tableau1[[#This Row],[Final_time]]-SUM(Tableau1[[#This Row],[0_100m]:[600_700m]])</f>
        <v>14.879999999999995</v>
      </c>
      <c r="M683" s="9">
        <v>118.28</v>
      </c>
      <c r="N683">
        <f>SUM(Tableau1[[#This Row],[0_100m]:[700_800m]])</f>
        <v>118.28</v>
      </c>
      <c r="O683">
        <f>ABS(Tableau1[[#This Row],[Final_time]]-Tableau1[[#This Row],[Sum_time]])</f>
        <v>0</v>
      </c>
      <c r="P683" s="8"/>
      <c r="Q683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3" t="s">
        <v>401</v>
      </c>
      <c r="S683" s="1" t="s">
        <v>68</v>
      </c>
      <c r="U683" s="1" t="s">
        <v>69</v>
      </c>
      <c r="V683" s="1">
        <v>44779</v>
      </c>
      <c r="W683" s="4">
        <f>YEAR(Tableau1[[#This Row],[Competition_date]])</f>
        <v>2022</v>
      </c>
      <c r="X683" s="4">
        <v>17</v>
      </c>
      <c r="Y683" s="6">
        <v>0.86</v>
      </c>
      <c r="Z683" s="4" t="s">
        <v>81</v>
      </c>
      <c r="AA683" t="s">
        <v>176</v>
      </c>
    </row>
    <row r="684" spans="1:27" hidden="1" x14ac:dyDescent="0.35">
      <c r="A684" t="str">
        <f>_xlfn.CONCAT(Tableau1[[#This Row],[Athletes]],"_",Tableau1[[#This Row],[Nationality]],"_",Tableau1[[#This Row],[Competition_year]])</f>
        <v>Sage HURTA-KLECKER_USA_2022</v>
      </c>
      <c r="B684" s="9" t="s">
        <v>289</v>
      </c>
      <c r="C684" s="9" t="s">
        <v>29</v>
      </c>
      <c r="D684" s="12" t="s">
        <v>35</v>
      </c>
      <c r="E684" s="9">
        <v>14.1</v>
      </c>
      <c r="F684" s="9">
        <v>13.7</v>
      </c>
      <c r="G684" s="9">
        <v>14.9</v>
      </c>
      <c r="H684" s="9">
        <v>15.1</v>
      </c>
      <c r="I684" s="9">
        <v>15</v>
      </c>
      <c r="J684" s="9">
        <v>15.2</v>
      </c>
      <c r="K684" s="9">
        <v>15</v>
      </c>
      <c r="L684">
        <f>Tableau1[[#This Row],[Final_time]]-SUM(Tableau1[[#This Row],[0_100m]:[600_700m]])</f>
        <v>15.400000000000006</v>
      </c>
      <c r="M684" s="9">
        <v>118.4</v>
      </c>
      <c r="N684">
        <f>SUM(Tableau1[[#This Row],[0_100m]:[700_800m]])</f>
        <v>118.4</v>
      </c>
      <c r="O684">
        <f>ABS(Tableau1[[#This Row],[Final_time]]-Tableau1[[#This Row],[Sum_time]])</f>
        <v>0</v>
      </c>
      <c r="P684" s="8"/>
      <c r="Q684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4" t="s">
        <v>401</v>
      </c>
      <c r="S684" s="1" t="s">
        <v>68</v>
      </c>
      <c r="U684" s="1" t="s">
        <v>69</v>
      </c>
      <c r="V684" s="1">
        <v>44779</v>
      </c>
      <c r="W684" s="4">
        <f>YEAR(Tableau1[[#This Row],[Competition_date]])</f>
        <v>2022</v>
      </c>
      <c r="X684" s="4">
        <v>17</v>
      </c>
      <c r="Y684" s="6">
        <v>0.86</v>
      </c>
      <c r="Z684" s="4" t="s">
        <v>81</v>
      </c>
      <c r="AA684" t="s">
        <v>176</v>
      </c>
    </row>
    <row r="685" spans="1:27" hidden="1" x14ac:dyDescent="0.35">
      <c r="A685" t="str">
        <f>_xlfn.CONCAT(Tableau1[[#This Row],[Athletes]],"_",Tableau1[[#This Row],[Nationality]],"_",Tableau1[[#This Row],[Competition_year]])</f>
        <v>Anita HORVAT_SLO_2022</v>
      </c>
      <c r="B685" s="9" t="s">
        <v>218</v>
      </c>
      <c r="C685" s="9" t="s">
        <v>29</v>
      </c>
      <c r="D685" s="12" t="s">
        <v>53</v>
      </c>
      <c r="E685" s="9">
        <v>14.2</v>
      </c>
      <c r="F685" s="9">
        <v>13.9</v>
      </c>
      <c r="G685" s="9">
        <v>15.2</v>
      </c>
      <c r="H685" s="9">
        <v>15.3</v>
      </c>
      <c r="I685" s="9">
        <v>15.3</v>
      </c>
      <c r="J685" s="9">
        <v>15.3</v>
      </c>
      <c r="K685" s="9">
        <v>15</v>
      </c>
      <c r="L685">
        <f>Tableau1[[#This Row],[Final_time]]-SUM(Tableau1[[#This Row],[0_100m]:[600_700m]])</f>
        <v>14.760000000000005</v>
      </c>
      <c r="M685" s="9">
        <v>118.96</v>
      </c>
      <c r="N685">
        <f>SUM(Tableau1[[#This Row],[0_100m]:[700_800m]])</f>
        <v>118.96</v>
      </c>
      <c r="O685">
        <f>ABS(Tableau1[[#This Row],[Final_time]]-Tableau1[[#This Row],[Sum_time]])</f>
        <v>0</v>
      </c>
      <c r="P685" s="8"/>
      <c r="Q685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5" t="s">
        <v>401</v>
      </c>
      <c r="S685" s="1" t="s">
        <v>68</v>
      </c>
      <c r="U685" s="1" t="s">
        <v>69</v>
      </c>
      <c r="V685" s="1">
        <v>44779</v>
      </c>
      <c r="W685" s="4">
        <f>YEAR(Tableau1[[#This Row],[Competition_date]])</f>
        <v>2022</v>
      </c>
      <c r="X685" s="4">
        <v>17</v>
      </c>
      <c r="Y685" s="6">
        <v>0.86</v>
      </c>
      <c r="Z685" s="4" t="s">
        <v>81</v>
      </c>
      <c r="AA685" t="s">
        <v>176</v>
      </c>
    </row>
    <row r="686" spans="1:27" hidden="1" x14ac:dyDescent="0.35">
      <c r="A686" t="str">
        <f>_xlfn.CONCAT(Tableau1[[#This Row],[Athletes]],"_",Tableau1[[#This Row],[Nationality]],"_",Tableau1[[#This Row],[Competition_year]])</f>
        <v>Elena BELLÒ_ITA_2022</v>
      </c>
      <c r="B686" s="9" t="s">
        <v>261</v>
      </c>
      <c r="C686" s="9" t="s">
        <v>29</v>
      </c>
      <c r="D686" s="12" t="s">
        <v>20</v>
      </c>
      <c r="E686" s="9">
        <v>14</v>
      </c>
      <c r="F686" s="9">
        <v>13.8</v>
      </c>
      <c r="G686" s="9">
        <v>14.9</v>
      </c>
      <c r="H686" s="9">
        <v>15.2</v>
      </c>
      <c r="I686" s="9">
        <v>15.1</v>
      </c>
      <c r="J686" s="9">
        <v>15.2</v>
      </c>
      <c r="K686" s="9">
        <v>15</v>
      </c>
      <c r="L686">
        <f>Tableau1[[#This Row],[Final_time]]-SUM(Tableau1[[#This Row],[0_100m]:[600_700m]])</f>
        <v>15.769999999999996</v>
      </c>
      <c r="M686" s="9">
        <v>118.97</v>
      </c>
      <c r="N686">
        <f>SUM(Tableau1[[#This Row],[0_100m]:[700_800m]])</f>
        <v>118.97</v>
      </c>
      <c r="O686">
        <f>ABS(Tableau1[[#This Row],[Final_time]]-Tableau1[[#This Row],[Sum_time]])</f>
        <v>0</v>
      </c>
      <c r="P686" s="8"/>
      <c r="Q686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6" t="s">
        <v>401</v>
      </c>
      <c r="S686" s="1" t="s">
        <v>68</v>
      </c>
      <c r="U686" s="1" t="s">
        <v>69</v>
      </c>
      <c r="V686" s="1">
        <v>44779</v>
      </c>
      <c r="W686" s="4">
        <f>YEAR(Tableau1[[#This Row],[Competition_date]])</f>
        <v>2022</v>
      </c>
      <c r="X686" s="4">
        <v>17</v>
      </c>
      <c r="Y686" s="6">
        <v>0.86</v>
      </c>
      <c r="Z686" s="4" t="s">
        <v>81</v>
      </c>
      <c r="AA686" t="s">
        <v>176</v>
      </c>
    </row>
    <row r="687" spans="1:27" hidden="1" x14ac:dyDescent="0.35">
      <c r="A687" t="str">
        <f>_xlfn.CONCAT(Tableau1[[#This Row],[Athletes]],"_",Tableau1[[#This Row],[Nationality]],"_",Tableau1[[#This Row],[Competition_year]])</f>
        <v>Allie WILSON_USA_2022</v>
      </c>
      <c r="B687" s="9" t="s">
        <v>345</v>
      </c>
      <c r="C687" s="9" t="s">
        <v>29</v>
      </c>
      <c r="D687" s="12" t="s">
        <v>35</v>
      </c>
      <c r="E687" s="9">
        <v>14.3</v>
      </c>
      <c r="F687" s="9">
        <v>14</v>
      </c>
      <c r="G687" s="9">
        <v>14.9</v>
      </c>
      <c r="H687" s="9">
        <v>15.2</v>
      </c>
      <c r="I687" s="9">
        <v>15</v>
      </c>
      <c r="J687" s="9">
        <v>15.2</v>
      </c>
      <c r="K687" s="9">
        <v>15.1</v>
      </c>
      <c r="L687">
        <f>Tableau1[[#This Row],[Final_time]]-SUM(Tableau1[[#This Row],[0_100m]:[600_700m]])</f>
        <v>15.649999999999991</v>
      </c>
      <c r="M687" s="9">
        <v>119.35</v>
      </c>
      <c r="N687">
        <f>SUM(Tableau1[[#This Row],[0_100m]:[700_800m]])</f>
        <v>119.35</v>
      </c>
      <c r="O687">
        <f>ABS(Tableau1[[#This Row],[Final_time]]-Tableau1[[#This Row],[Sum_time]])</f>
        <v>0</v>
      </c>
      <c r="P687" s="8"/>
      <c r="Q687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7" t="s">
        <v>401</v>
      </c>
      <c r="S687" s="1" t="s">
        <v>68</v>
      </c>
      <c r="U687" s="1" t="s">
        <v>69</v>
      </c>
      <c r="V687" s="1">
        <v>44779</v>
      </c>
      <c r="W687" s="4">
        <f>YEAR(Tableau1[[#This Row],[Competition_date]])</f>
        <v>2022</v>
      </c>
      <c r="X687" s="4">
        <v>17</v>
      </c>
      <c r="Y687" s="6">
        <v>0.86</v>
      </c>
      <c r="Z687" s="4" t="s">
        <v>81</v>
      </c>
      <c r="AA687" t="s">
        <v>176</v>
      </c>
    </row>
    <row r="688" spans="1:27" hidden="1" x14ac:dyDescent="0.35">
      <c r="A688" t="str">
        <f>_xlfn.CONCAT(Tableau1[[#This Row],[Athletes]],"_",Tableau1[[#This Row],[Nationality]],"_",Tableau1[[#This Row],[Competition_year]])</f>
        <v>Christina HERING_GER_2022</v>
      </c>
      <c r="B688" s="9" t="s">
        <v>226</v>
      </c>
      <c r="C688" s="9" t="s">
        <v>29</v>
      </c>
      <c r="D688" s="12" t="s">
        <v>139</v>
      </c>
      <c r="E688" s="9">
        <v>14</v>
      </c>
      <c r="F688" s="9">
        <v>13.9</v>
      </c>
      <c r="G688" s="9">
        <v>15.1</v>
      </c>
      <c r="H688" s="9">
        <v>15.2</v>
      </c>
      <c r="I688" s="9">
        <v>15.4</v>
      </c>
      <c r="J688" s="9">
        <v>15.1</v>
      </c>
      <c r="K688" s="9">
        <v>15.1</v>
      </c>
      <c r="L688">
        <f>Tableau1[[#This Row],[Final_time]]-SUM(Tableau1[[#This Row],[0_100m]:[600_700m]])</f>
        <v>15.710000000000008</v>
      </c>
      <c r="M688" s="9">
        <v>119.51</v>
      </c>
      <c r="N688">
        <f>SUM(Tableau1[[#This Row],[0_100m]:[700_800m]])</f>
        <v>119.51</v>
      </c>
      <c r="O688">
        <f>ABS(Tableau1[[#This Row],[Final_time]]-Tableau1[[#This Row],[Sum_time]])</f>
        <v>0</v>
      </c>
      <c r="P688" s="8"/>
      <c r="Q688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8" t="s">
        <v>401</v>
      </c>
      <c r="S688" s="1" t="s">
        <v>68</v>
      </c>
      <c r="U688" s="1" t="s">
        <v>69</v>
      </c>
      <c r="V688" s="1">
        <v>44779</v>
      </c>
      <c r="W688" s="4">
        <f>YEAR(Tableau1[[#This Row],[Competition_date]])</f>
        <v>2022</v>
      </c>
      <c r="X688" s="4">
        <v>17</v>
      </c>
      <c r="Y688" s="6">
        <v>0.86</v>
      </c>
      <c r="Z688" s="4" t="s">
        <v>81</v>
      </c>
      <c r="AA688" t="s">
        <v>176</v>
      </c>
    </row>
    <row r="689" spans="1:27" hidden="1" x14ac:dyDescent="0.35">
      <c r="A689" t="str">
        <f>_xlfn.CONCAT(Tableau1[[#This Row],[Athletes]],"_",Tableau1[[#This Row],[Nationality]],"_",Tableau1[[#This Row],[Competition_year]])</f>
        <v>Adrianna TOPOLNICKA_POL_2022</v>
      </c>
      <c r="B689" s="9" t="s">
        <v>540</v>
      </c>
      <c r="C689" s="9" t="s">
        <v>29</v>
      </c>
      <c r="D689" s="12" t="s">
        <v>88</v>
      </c>
      <c r="E689" s="9">
        <v>14.3</v>
      </c>
      <c r="F689" s="9">
        <v>14.3</v>
      </c>
      <c r="G689" s="9">
        <v>15.2</v>
      </c>
      <c r="H689" s="9">
        <v>15.2</v>
      </c>
      <c r="I689" s="9">
        <v>15.1</v>
      </c>
      <c r="J689" s="9">
        <v>15.1</v>
      </c>
      <c r="K689" s="9">
        <v>15</v>
      </c>
      <c r="L689">
        <f>Tableau1[[#This Row],[Final_time]]-SUM(Tableau1[[#This Row],[0_100m]:[600_700m]])</f>
        <v>15.660000000000011</v>
      </c>
      <c r="M689" s="9">
        <v>119.86</v>
      </c>
      <c r="N689">
        <f>SUM(Tableau1[[#This Row],[0_100m]:[700_800m]])</f>
        <v>119.86</v>
      </c>
      <c r="O689">
        <f>ABS(Tableau1[[#This Row],[Final_time]]-Tableau1[[#This Row],[Sum_time]])</f>
        <v>0</v>
      </c>
      <c r="P689" s="8"/>
      <c r="Q689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89" t="s">
        <v>401</v>
      </c>
      <c r="S689" s="1" t="s">
        <v>68</v>
      </c>
      <c r="U689" s="1" t="s">
        <v>69</v>
      </c>
      <c r="V689" s="1">
        <v>44779</v>
      </c>
      <c r="W689" s="4">
        <f>YEAR(Tableau1[[#This Row],[Competition_date]])</f>
        <v>2022</v>
      </c>
      <c r="X689" s="4">
        <v>17</v>
      </c>
      <c r="Y689" s="6">
        <v>0.86</v>
      </c>
      <c r="Z689" s="4" t="s">
        <v>81</v>
      </c>
      <c r="AA689" t="s">
        <v>176</v>
      </c>
    </row>
    <row r="690" spans="1:27" hidden="1" x14ac:dyDescent="0.35">
      <c r="A690" t="str">
        <f>_xlfn.CONCAT(Tableau1[[#This Row],[Athletes]],"_",Tableau1[[#This Row],[Nationality]],"_",Tableau1[[#This Row],[Competition_year]])</f>
        <v>Lore HOFFMANN_SUI_2022</v>
      </c>
      <c r="B690" s="9" t="s">
        <v>224</v>
      </c>
      <c r="C690" s="9" t="s">
        <v>29</v>
      </c>
      <c r="D690" s="12" t="s">
        <v>73</v>
      </c>
      <c r="E690" s="9">
        <v>14.3</v>
      </c>
      <c r="F690" s="9">
        <v>13.8</v>
      </c>
      <c r="G690" s="9">
        <v>15</v>
      </c>
      <c r="H690" s="9">
        <v>15.3</v>
      </c>
      <c r="I690" s="9">
        <v>15.3</v>
      </c>
      <c r="J690" s="9">
        <v>15.2</v>
      </c>
      <c r="K690" s="9">
        <v>15.1</v>
      </c>
      <c r="L690">
        <f>Tableau1[[#This Row],[Final_time]]-SUM(Tableau1[[#This Row],[0_100m]:[600_700m]])</f>
        <v>16.760000000000005</v>
      </c>
      <c r="M690" s="9">
        <v>120.76</v>
      </c>
      <c r="N690">
        <f>SUM(Tableau1[[#This Row],[0_100m]:[700_800m]])</f>
        <v>120.76</v>
      </c>
      <c r="O690">
        <f>ABS(Tableau1[[#This Row],[Final_time]]-Tableau1[[#This Row],[Sum_time]])</f>
        <v>0</v>
      </c>
      <c r="P690" s="8"/>
      <c r="Q690" s="1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R690" t="s">
        <v>401</v>
      </c>
      <c r="S690" s="1" t="s">
        <v>68</v>
      </c>
      <c r="U690" s="1" t="s">
        <v>69</v>
      </c>
      <c r="V690" s="1">
        <v>44779</v>
      </c>
      <c r="W690" s="4">
        <f>YEAR(Tableau1[[#This Row],[Competition_date]])</f>
        <v>2022</v>
      </c>
      <c r="X690" s="4">
        <v>17</v>
      </c>
      <c r="Y690" s="6">
        <v>0.86</v>
      </c>
      <c r="Z690" s="4" t="s">
        <v>81</v>
      </c>
      <c r="AA690" t="s">
        <v>176</v>
      </c>
    </row>
    <row r="691" spans="1:27" hidden="1" x14ac:dyDescent="0.35">
      <c r="A691" t="str">
        <f>_xlfn.CONCAT(Tableau1[[#This Row],[Athletes]],"_",Tableau1[[#This Row],[Nationality]],"_",Tableau1[[#This Row],[Competition_year]])</f>
        <v>Emmanuel Kipkurui KORIR_KEN_2022</v>
      </c>
      <c r="B691" s="9" t="s">
        <v>201</v>
      </c>
      <c r="C691" s="9" t="s">
        <v>14</v>
      </c>
      <c r="D691" s="12" t="s">
        <v>15</v>
      </c>
      <c r="E691" s="9">
        <v>13.1</v>
      </c>
      <c r="F691" s="9">
        <v>12.6</v>
      </c>
      <c r="G691" s="9">
        <v>13.6</v>
      </c>
      <c r="H691" s="9">
        <v>13.9</v>
      </c>
      <c r="I691" s="9">
        <v>13.4</v>
      </c>
      <c r="J691" s="9">
        <v>12.7</v>
      </c>
      <c r="K691" s="9">
        <v>13.2</v>
      </c>
      <c r="L691">
        <f>Tableau1[[#This Row],[Final_time]]-SUM(Tableau1[[#This Row],[0_100m]:[600_700m]])</f>
        <v>13.219999999999999</v>
      </c>
      <c r="M691" s="9">
        <v>105.72</v>
      </c>
      <c r="N691">
        <f>SUM(Tableau1[[#This Row],[0_100m]:[700_800m]])</f>
        <v>105.72</v>
      </c>
      <c r="O691">
        <f>ABS(Tableau1[[#This Row],[Final_time]]-Tableau1[[#This Row],[Sum_time]])</f>
        <v>0</v>
      </c>
      <c r="P691" s="8"/>
      <c r="Q691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1" t="s">
        <v>401</v>
      </c>
      <c r="S691" s="1" t="s">
        <v>68</v>
      </c>
      <c r="U691" s="1" t="s">
        <v>69</v>
      </c>
      <c r="V691" s="1">
        <v>44779</v>
      </c>
      <c r="W691" s="4">
        <f>YEAR(Tableau1[[#This Row],[Competition_date]])</f>
        <v>2022</v>
      </c>
      <c r="X691" s="4">
        <v>18</v>
      </c>
      <c r="Y691" s="6">
        <v>0.79</v>
      </c>
      <c r="Z691" s="4" t="s">
        <v>81</v>
      </c>
      <c r="AA691" t="s">
        <v>176</v>
      </c>
    </row>
    <row r="692" spans="1:27" hidden="1" x14ac:dyDescent="0.35">
      <c r="A692" t="str">
        <f>_xlfn.CONCAT(Tableau1[[#This Row],[Athletes]],"_",Tableau1[[#This Row],[Nationality]],"_",Tableau1[[#This Row],[Competition_year]])</f>
        <v>Ferguson Cheruiyot ROTICH_KEN_2022</v>
      </c>
      <c r="B692" s="9" t="s">
        <v>199</v>
      </c>
      <c r="C692" s="9" t="s">
        <v>14</v>
      </c>
      <c r="D692" s="12" t="s">
        <v>15</v>
      </c>
      <c r="E692" s="9">
        <v>13.1</v>
      </c>
      <c r="F692" s="9">
        <v>12.7</v>
      </c>
      <c r="G692" s="9">
        <v>13.6</v>
      </c>
      <c r="H692" s="9">
        <v>13.5</v>
      </c>
      <c r="I692" s="9">
        <v>12.9</v>
      </c>
      <c r="J692" s="9">
        <v>13.2</v>
      </c>
      <c r="K692" s="9">
        <v>13.2</v>
      </c>
      <c r="L692">
        <f>Tableau1[[#This Row],[Final_time]]-SUM(Tableau1[[#This Row],[0_100m]:[600_700m]])</f>
        <v>13.560000000000002</v>
      </c>
      <c r="M692" s="9">
        <v>105.76</v>
      </c>
      <c r="N692">
        <f>SUM(Tableau1[[#This Row],[0_100m]:[700_800m]])</f>
        <v>105.76</v>
      </c>
      <c r="O692">
        <f>ABS(Tableau1[[#This Row],[Final_time]]-Tableau1[[#This Row],[Sum_time]])</f>
        <v>0</v>
      </c>
      <c r="P692" s="8"/>
      <c r="Q692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2" t="s">
        <v>401</v>
      </c>
      <c r="S692" s="1" t="s">
        <v>68</v>
      </c>
      <c r="U692" s="1" t="s">
        <v>69</v>
      </c>
      <c r="V692" s="1">
        <v>44779</v>
      </c>
      <c r="W692" s="4">
        <f>YEAR(Tableau1[[#This Row],[Competition_date]])</f>
        <v>2022</v>
      </c>
      <c r="X692" s="4">
        <v>18</v>
      </c>
      <c r="Y692" s="6">
        <v>0.79</v>
      </c>
      <c r="Z692" s="4" t="s">
        <v>81</v>
      </c>
      <c r="AA692" t="s">
        <v>176</v>
      </c>
    </row>
    <row r="693" spans="1:27" hidden="1" x14ac:dyDescent="0.35">
      <c r="A693" t="str">
        <f>_xlfn.CONCAT(Tableau1[[#This Row],[Athletes]],"_",Tableau1[[#This Row],[Nationality]],"_",Tableau1[[#This Row],[Competition_year]])</f>
        <v>Tony VAN DIEPEN_NED_2022</v>
      </c>
      <c r="B693" s="9" t="s">
        <v>247</v>
      </c>
      <c r="C693" s="9" t="s">
        <v>14</v>
      </c>
      <c r="D693" s="12" t="s">
        <v>158</v>
      </c>
      <c r="E693" s="9">
        <v>13.2</v>
      </c>
      <c r="F693" s="9">
        <v>12.9</v>
      </c>
      <c r="G693" s="9">
        <v>13.8</v>
      </c>
      <c r="H693" s="9">
        <v>13.7</v>
      </c>
      <c r="I693" s="9">
        <v>13.3</v>
      </c>
      <c r="J693" s="9">
        <v>12.7</v>
      </c>
      <c r="K693" s="9">
        <v>12.8</v>
      </c>
      <c r="L693">
        <f>Tableau1[[#This Row],[Final_time]]-SUM(Tableau1[[#This Row],[0_100m]:[600_700m]])</f>
        <v>13.399999999999991</v>
      </c>
      <c r="M693" s="9">
        <v>105.8</v>
      </c>
      <c r="N693">
        <f>SUM(Tableau1[[#This Row],[0_100m]:[700_800m]])</f>
        <v>105.8</v>
      </c>
      <c r="O693">
        <f>ABS(Tableau1[[#This Row],[Final_time]]-Tableau1[[#This Row],[Sum_time]])</f>
        <v>0</v>
      </c>
      <c r="P693" s="8"/>
      <c r="Q693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3" t="s">
        <v>401</v>
      </c>
      <c r="S693" s="1" t="s">
        <v>68</v>
      </c>
      <c r="U693" s="1" t="s">
        <v>69</v>
      </c>
      <c r="V693" s="1">
        <v>44779</v>
      </c>
      <c r="W693" s="4">
        <f>YEAR(Tableau1[[#This Row],[Competition_date]])</f>
        <v>2022</v>
      </c>
      <c r="X693" s="4">
        <v>18</v>
      </c>
      <c r="Y693" s="6">
        <v>0.79</v>
      </c>
      <c r="Z693" s="4" t="s">
        <v>81</v>
      </c>
      <c r="AA693" t="s">
        <v>176</v>
      </c>
    </row>
    <row r="694" spans="1:27" hidden="1" x14ac:dyDescent="0.35">
      <c r="A694" t="str">
        <f>_xlfn.CONCAT(Tableau1[[#This Row],[Athletes]],"_",Tableau1[[#This Row],[Nationality]],"_",Tableau1[[#This Row],[Competition_year]])</f>
        <v>Adrián BEN_ESP_2022</v>
      </c>
      <c r="B694" s="9" t="s">
        <v>184</v>
      </c>
      <c r="C694" s="9" t="s">
        <v>14</v>
      </c>
      <c r="D694" s="12" t="s">
        <v>37</v>
      </c>
      <c r="E694" s="9">
        <v>13</v>
      </c>
      <c r="F694" s="9">
        <v>13</v>
      </c>
      <c r="G694" s="9">
        <v>13.7</v>
      </c>
      <c r="H694" s="9">
        <v>13.7</v>
      </c>
      <c r="I694" s="9">
        <v>13.5</v>
      </c>
      <c r="J694" s="9">
        <v>13</v>
      </c>
      <c r="K694" s="9">
        <v>12.8</v>
      </c>
      <c r="L694">
        <f>Tableau1[[#This Row],[Final_time]]-SUM(Tableau1[[#This Row],[0_100m]:[600_700m]])</f>
        <v>13.189999999999998</v>
      </c>
      <c r="M694" s="9">
        <v>105.89</v>
      </c>
      <c r="N694">
        <f>SUM(Tableau1[[#This Row],[0_100m]:[700_800m]])</f>
        <v>105.89</v>
      </c>
      <c r="O694">
        <f>ABS(Tableau1[[#This Row],[Final_time]]-Tableau1[[#This Row],[Sum_time]])</f>
        <v>0</v>
      </c>
      <c r="P694" s="8"/>
      <c r="Q694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4" t="s">
        <v>401</v>
      </c>
      <c r="S694" s="1" t="s">
        <v>68</v>
      </c>
      <c r="U694" s="1" t="s">
        <v>69</v>
      </c>
      <c r="V694" s="1">
        <v>44779</v>
      </c>
      <c r="W694" s="4">
        <f>YEAR(Tableau1[[#This Row],[Competition_date]])</f>
        <v>2022</v>
      </c>
      <c r="X694" s="4">
        <v>18</v>
      </c>
      <c r="Y694" s="6">
        <v>0.79</v>
      </c>
      <c r="Z694" s="4" t="s">
        <v>81</v>
      </c>
      <c r="AA694" t="s">
        <v>176</v>
      </c>
    </row>
    <row r="695" spans="1:27" hidden="1" x14ac:dyDescent="0.35">
      <c r="A695" t="str">
        <f>_xlfn.CONCAT(Tableau1[[#This Row],[Athletes]],"_",Tableau1[[#This Row],[Nationality]],"_",Tableau1[[#This Row],[Competition_year]])</f>
        <v>Patryk DOBEK_POL_2022</v>
      </c>
      <c r="B695" s="9" t="s">
        <v>253</v>
      </c>
      <c r="C695" s="9" t="s">
        <v>14</v>
      </c>
      <c r="D695" s="12" t="s">
        <v>88</v>
      </c>
      <c r="E695" s="9">
        <v>12.9</v>
      </c>
      <c r="F695" s="9">
        <v>13</v>
      </c>
      <c r="G695" s="9">
        <v>13.6</v>
      </c>
      <c r="H695" s="9">
        <v>13.8</v>
      </c>
      <c r="I695" s="9">
        <v>13.3</v>
      </c>
      <c r="J695" s="9">
        <v>12.6</v>
      </c>
      <c r="K695" s="9">
        <v>13.1</v>
      </c>
      <c r="L695">
        <f>Tableau1[[#This Row],[Final_time]]-SUM(Tableau1[[#This Row],[0_100m]:[600_700m]])</f>
        <v>14.010000000000019</v>
      </c>
      <c r="M695" s="9">
        <v>106.31</v>
      </c>
      <c r="N695">
        <f>SUM(Tableau1[[#This Row],[0_100m]:[700_800m]])</f>
        <v>106.31</v>
      </c>
      <c r="O695">
        <f>ABS(Tableau1[[#This Row],[Final_time]]-Tableau1[[#This Row],[Sum_time]])</f>
        <v>0</v>
      </c>
      <c r="P695" s="8"/>
      <c r="Q695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5" t="s">
        <v>401</v>
      </c>
      <c r="S695" s="1" t="s">
        <v>68</v>
      </c>
      <c r="U695" s="1" t="s">
        <v>69</v>
      </c>
      <c r="V695" s="1">
        <v>44779</v>
      </c>
      <c r="W695" s="4">
        <f>YEAR(Tableau1[[#This Row],[Competition_date]])</f>
        <v>2022</v>
      </c>
      <c r="X695" s="4">
        <v>18</v>
      </c>
      <c r="Y695" s="6">
        <v>0.79</v>
      </c>
      <c r="Z695" s="4" t="s">
        <v>81</v>
      </c>
      <c r="AA695" t="s">
        <v>176</v>
      </c>
    </row>
    <row r="696" spans="1:27" hidden="1" x14ac:dyDescent="0.35">
      <c r="A696" t="str">
        <f>_xlfn.CONCAT(Tableau1[[#This Row],[Athletes]],"_",Tableau1[[#This Row],[Nationality]],"_",Tableau1[[#This Row],[Competition_year]])</f>
        <v>Bryce HOPPEL_USA_2022</v>
      </c>
      <c r="B696" s="9" t="s">
        <v>173</v>
      </c>
      <c r="C696" s="9" t="s">
        <v>14</v>
      </c>
      <c r="D696" s="12" t="s">
        <v>35</v>
      </c>
      <c r="E696" s="9">
        <v>12.9</v>
      </c>
      <c r="F696" s="9">
        <v>12.4</v>
      </c>
      <c r="G696" s="9">
        <v>13.6</v>
      </c>
      <c r="H696" s="9">
        <v>13.9</v>
      </c>
      <c r="I696" s="9">
        <v>13.3</v>
      </c>
      <c r="J696" s="9">
        <v>13.2</v>
      </c>
      <c r="K696" s="9">
        <v>13.4</v>
      </c>
      <c r="L696">
        <f>Tableau1[[#This Row],[Final_time]]-SUM(Tableau1[[#This Row],[0_100m]:[600_700m]])</f>
        <v>13.649999999999991</v>
      </c>
      <c r="M696" s="9">
        <v>106.35</v>
      </c>
      <c r="N696">
        <f>SUM(Tableau1[[#This Row],[0_100m]:[700_800m]])</f>
        <v>106.35</v>
      </c>
      <c r="O696">
        <f>ABS(Tableau1[[#This Row],[Final_time]]-Tableau1[[#This Row],[Sum_time]])</f>
        <v>0</v>
      </c>
      <c r="P696" s="8"/>
      <c r="Q696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6" t="s">
        <v>401</v>
      </c>
      <c r="S696" s="1" t="s">
        <v>68</v>
      </c>
      <c r="U696" s="1" t="s">
        <v>69</v>
      </c>
      <c r="V696" s="1">
        <v>44779</v>
      </c>
      <c r="W696" s="4">
        <f>YEAR(Tableau1[[#This Row],[Competition_date]])</f>
        <v>2022</v>
      </c>
      <c r="X696" s="4">
        <v>18</v>
      </c>
      <c r="Y696" s="6">
        <v>0.79</v>
      </c>
      <c r="Z696" s="4" t="s">
        <v>81</v>
      </c>
      <c r="AA696" t="s">
        <v>176</v>
      </c>
    </row>
    <row r="697" spans="1:27" hidden="1" x14ac:dyDescent="0.35">
      <c r="A697" t="str">
        <f>_xlfn.CONCAT(Tableau1[[#This Row],[Athletes]],"_",Tableau1[[#This Row],[Nationality]],"_",Tableau1[[#This Row],[Competition_year]])</f>
        <v>Kyle LANGFORD_GBR_2022</v>
      </c>
      <c r="B697" s="9" t="s">
        <v>240</v>
      </c>
      <c r="C697" s="9" t="s">
        <v>14</v>
      </c>
      <c r="D697" s="12" t="s">
        <v>30</v>
      </c>
      <c r="E697" s="9">
        <v>12.8</v>
      </c>
      <c r="F697" s="9">
        <v>12.7</v>
      </c>
      <c r="G697" s="9">
        <v>13.6</v>
      </c>
      <c r="H697" s="9">
        <v>13.9</v>
      </c>
      <c r="I697" s="9">
        <v>13.4</v>
      </c>
      <c r="J697" s="9">
        <v>12.7</v>
      </c>
      <c r="K697" s="9">
        <v>13.2</v>
      </c>
      <c r="L697">
        <f>Tableau1[[#This Row],[Final_time]]-SUM(Tableau1[[#This Row],[0_100m]:[600_700m]])</f>
        <v>14.349999999999994</v>
      </c>
      <c r="M697" s="9">
        <v>106.65</v>
      </c>
      <c r="N697">
        <f>SUM(Tableau1[[#This Row],[0_100m]:[700_800m]])</f>
        <v>106.65</v>
      </c>
      <c r="O697">
        <f>ABS(Tableau1[[#This Row],[Final_time]]-Tableau1[[#This Row],[Sum_time]])</f>
        <v>0</v>
      </c>
      <c r="P697" s="8"/>
      <c r="Q697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7" t="s">
        <v>401</v>
      </c>
      <c r="S697" s="1" t="s">
        <v>68</v>
      </c>
      <c r="U697" s="1" t="s">
        <v>69</v>
      </c>
      <c r="V697" s="1">
        <v>44779</v>
      </c>
      <c r="W697" s="4">
        <f>YEAR(Tableau1[[#This Row],[Competition_date]])</f>
        <v>2022</v>
      </c>
      <c r="X697" s="4">
        <v>18</v>
      </c>
      <c r="Y697" s="6">
        <v>0.79</v>
      </c>
      <c r="Z697" s="4" t="s">
        <v>81</v>
      </c>
      <c r="AA697" t="s">
        <v>176</v>
      </c>
    </row>
    <row r="698" spans="1:27" hidden="1" x14ac:dyDescent="0.35">
      <c r="A698" t="str">
        <f>_xlfn.CONCAT(Tableau1[[#This Row],[Athletes]],"_",Tableau1[[#This Row],[Nationality]],"_",Tableau1[[#This Row],[Competition_year]])</f>
        <v>Clayton MURPHY_USA_2022</v>
      </c>
      <c r="B698" s="9" t="s">
        <v>203</v>
      </c>
      <c r="C698" s="9" t="s">
        <v>14</v>
      </c>
      <c r="D698" s="12" t="s">
        <v>35</v>
      </c>
      <c r="E698" s="9">
        <v>12.8</v>
      </c>
      <c r="F698" s="9">
        <v>12.5</v>
      </c>
      <c r="G698" s="9">
        <v>13.6</v>
      </c>
      <c r="H698" s="9">
        <v>13.9</v>
      </c>
      <c r="I698" s="9">
        <v>13.4</v>
      </c>
      <c r="J698" s="9">
        <v>13.2</v>
      </c>
      <c r="K698" s="9">
        <v>13.4</v>
      </c>
      <c r="L698">
        <f>Tableau1[[#This Row],[Final_time]]-SUM(Tableau1[[#This Row],[0_100m]:[600_700m]])</f>
        <v>13.989999999999995</v>
      </c>
      <c r="M698" s="9">
        <v>106.79</v>
      </c>
      <c r="N698">
        <f>SUM(Tableau1[[#This Row],[0_100m]:[700_800m]])</f>
        <v>106.79</v>
      </c>
      <c r="O698">
        <f>ABS(Tableau1[[#This Row],[Final_time]]-Tableau1[[#This Row],[Sum_time]])</f>
        <v>0</v>
      </c>
      <c r="P698" s="8"/>
      <c r="Q698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8" t="s">
        <v>401</v>
      </c>
      <c r="S698" s="1" t="s">
        <v>68</v>
      </c>
      <c r="U698" s="1" t="s">
        <v>69</v>
      </c>
      <c r="V698" s="1">
        <v>44779</v>
      </c>
      <c r="W698" s="4">
        <f>YEAR(Tableau1[[#This Row],[Competition_date]])</f>
        <v>2022</v>
      </c>
      <c r="X698" s="4">
        <v>18</v>
      </c>
      <c r="Y698" s="6">
        <v>0.79</v>
      </c>
      <c r="Z698" s="4" t="s">
        <v>81</v>
      </c>
      <c r="AA698" t="s">
        <v>176</v>
      </c>
    </row>
    <row r="699" spans="1:27" hidden="1" x14ac:dyDescent="0.35">
      <c r="A699" t="str">
        <f>_xlfn.CONCAT(Tableau1[[#This Row],[Athletes]],"_",Tableau1[[#This Row],[Nationality]],"_",Tableau1[[#This Row],[Competition_year]])</f>
        <v>Erik SOWINSKI_USA_2022</v>
      </c>
      <c r="B699" s="9" t="s">
        <v>342</v>
      </c>
      <c r="C699" s="9" t="s">
        <v>14</v>
      </c>
      <c r="D699" s="12" t="s">
        <v>35</v>
      </c>
      <c r="E699" s="9">
        <v>12.7</v>
      </c>
      <c r="F699" s="9">
        <v>12.8</v>
      </c>
      <c r="G699" s="9">
        <v>13.6</v>
      </c>
      <c r="H699" s="9">
        <v>14</v>
      </c>
      <c r="I699" s="9">
        <v>13.3</v>
      </c>
      <c r="J699" s="9">
        <v>13.2</v>
      </c>
      <c r="K699" s="9">
        <v>13.5</v>
      </c>
      <c r="L699">
        <f>Tableau1[[#This Row],[Final_time]]-SUM(Tableau1[[#This Row],[0_100m]:[600_700m]])</f>
        <v>14.199999999999989</v>
      </c>
      <c r="M699" s="9">
        <v>107.3</v>
      </c>
      <c r="N699">
        <f>SUM(Tableau1[[#This Row],[0_100m]:[700_800m]])</f>
        <v>107.3</v>
      </c>
      <c r="O699">
        <f>ABS(Tableau1[[#This Row],[Final_time]]-Tableau1[[#This Row],[Sum_time]])</f>
        <v>0</v>
      </c>
      <c r="P699" s="8"/>
      <c r="Q699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699" t="s">
        <v>401</v>
      </c>
      <c r="S699" s="1" t="s">
        <v>68</v>
      </c>
      <c r="U699" s="1" t="s">
        <v>69</v>
      </c>
      <c r="V699" s="1">
        <v>44779</v>
      </c>
      <c r="W699" s="4">
        <f>YEAR(Tableau1[[#This Row],[Competition_date]])</f>
        <v>2022</v>
      </c>
      <c r="X699" s="4">
        <v>18</v>
      </c>
      <c r="Y699" s="6">
        <v>0.79</v>
      </c>
      <c r="Z699" s="4" t="s">
        <v>81</v>
      </c>
      <c r="AA699" t="s">
        <v>176</v>
      </c>
    </row>
    <row r="700" spans="1:27" hidden="1" x14ac:dyDescent="0.35">
      <c r="A700" t="str">
        <f>_xlfn.CONCAT(Tableau1[[#This Row],[Athletes]],"_",Tableau1[[#This Row],[Nationality]],"_",Tableau1[[#This Row],[Competition_year]])</f>
        <v>Amel TUKA_BIH_2022</v>
      </c>
      <c r="B700" s="9" t="s">
        <v>196</v>
      </c>
      <c r="C700" s="9" t="s">
        <v>14</v>
      </c>
      <c r="D700" s="12" t="s">
        <v>120</v>
      </c>
      <c r="E700" s="9">
        <v>13.1</v>
      </c>
      <c r="F700" s="9">
        <v>13.1</v>
      </c>
      <c r="G700" s="9">
        <v>13.6</v>
      </c>
      <c r="H700" s="9">
        <v>13.8</v>
      </c>
      <c r="I700" s="9">
        <v>13.8</v>
      </c>
      <c r="J700" s="9">
        <v>13.3</v>
      </c>
      <c r="K700" s="9">
        <v>13.2</v>
      </c>
      <c r="L700">
        <f>Tableau1[[#This Row],[Final_time]]-SUM(Tableau1[[#This Row],[0_100m]:[600_700m]])</f>
        <v>13.860000000000014</v>
      </c>
      <c r="M700" s="9">
        <v>107.76</v>
      </c>
      <c r="N700">
        <f>SUM(Tableau1[[#This Row],[0_100m]:[700_800m]])</f>
        <v>107.76</v>
      </c>
      <c r="O700">
        <f>ABS(Tableau1[[#This Row],[Final_time]]-Tableau1[[#This Row],[Sum_time]])</f>
        <v>0</v>
      </c>
      <c r="P700" s="8"/>
      <c r="Q700" s="16" t="str">
        <f>_xlfn.CONCAT(Tableau1[[#This Row],[Competition]],"_",Tableau1[[#This Row],[Championship_step]],"_",Tableau1[[#This Row],[Competition_date]],"_",Tableau1[[#This Row],[Gender]])</f>
        <v>Diamond League Silesia 2022__44779_Male</v>
      </c>
      <c r="R700" t="s">
        <v>401</v>
      </c>
      <c r="S700" s="1" t="s">
        <v>68</v>
      </c>
      <c r="U700" s="1" t="s">
        <v>69</v>
      </c>
      <c r="V700" s="1">
        <v>44779</v>
      </c>
      <c r="W700" s="4">
        <f>YEAR(Tableau1[[#This Row],[Competition_date]])</f>
        <v>2022</v>
      </c>
      <c r="X700" s="4">
        <v>18</v>
      </c>
      <c r="Y700" s="6">
        <v>0.79</v>
      </c>
      <c r="Z700" s="4" t="s">
        <v>81</v>
      </c>
      <c r="AA700" t="s">
        <v>176</v>
      </c>
    </row>
    <row r="701" spans="1:27" hidden="1" x14ac:dyDescent="0.35">
      <c r="A701" t="str">
        <f>_xlfn.CONCAT(Tableau1[[#This Row],[Athletes]],"_",Tableau1[[#This Row],[Nationality]],"_",Tableau1[[#This Row],[Competition_year]])</f>
        <v>Mary MORAA_KEN_2023</v>
      </c>
      <c r="B701" t="s">
        <v>228</v>
      </c>
      <c r="C701" t="s">
        <v>29</v>
      </c>
      <c r="D701" s="18" t="s">
        <v>15</v>
      </c>
      <c r="E701">
        <v>13.6</v>
      </c>
      <c r="F701">
        <v>13.5</v>
      </c>
      <c r="G701">
        <v>14.9</v>
      </c>
      <c r="H701">
        <v>15.6</v>
      </c>
      <c r="I701">
        <v>15</v>
      </c>
      <c r="J701">
        <v>14.8</v>
      </c>
      <c r="K701">
        <v>14.8</v>
      </c>
      <c r="L701">
        <f>Tableau1[[#This Row],[Final_time]]-SUM(Tableau1[[#This Row],[0_100m]:[600_700m]])</f>
        <v>14.650000000000006</v>
      </c>
      <c r="M701">
        <v>116.85</v>
      </c>
      <c r="N701">
        <f>SUM(Tableau1[[#This Row],[0_100m]:[700_800m]])</f>
        <v>116.85</v>
      </c>
      <c r="O701">
        <f>ABS(Tableau1[[#This Row],[Final_time]]-Tableau1[[#This Row],[Sum_time]])</f>
        <v>0</v>
      </c>
      <c r="P701" s="8"/>
      <c r="Q701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1" t="s">
        <v>320</v>
      </c>
      <c r="S701" s="1" t="s">
        <v>68</v>
      </c>
      <c r="U701" s="1" t="s">
        <v>69</v>
      </c>
      <c r="V701" s="1">
        <v>45123</v>
      </c>
      <c r="W701" s="4">
        <f>YEAR(Tableau1[[#This Row],[Competition_date]])</f>
        <v>2023</v>
      </c>
      <c r="X701" s="4">
        <v>30</v>
      </c>
      <c r="Y701" s="6">
        <v>0.48</v>
      </c>
      <c r="Z701" s="4" t="s">
        <v>299</v>
      </c>
      <c r="AA701" t="s">
        <v>176</v>
      </c>
    </row>
    <row r="702" spans="1:27" hidden="1" x14ac:dyDescent="0.35">
      <c r="A702" t="str">
        <f>_xlfn.CONCAT(Tableau1[[#This Row],[Athletes]],"_",Tableau1[[#This Row],[Nationality]],"_",Tableau1[[#This Row],[Competition_year]])</f>
        <v>Halimah NAKAAYI_UGA_2023</v>
      </c>
      <c r="B702" t="s">
        <v>230</v>
      </c>
      <c r="C702" t="s">
        <v>29</v>
      </c>
      <c r="D702" s="18" t="s">
        <v>34</v>
      </c>
      <c r="E702">
        <v>13.9</v>
      </c>
      <c r="F702">
        <v>13.3</v>
      </c>
      <c r="G702">
        <v>15</v>
      </c>
      <c r="H702">
        <v>15.5</v>
      </c>
      <c r="I702">
        <v>15.2</v>
      </c>
      <c r="J702">
        <v>14.6</v>
      </c>
      <c r="K702">
        <v>14.9</v>
      </c>
      <c r="L702">
        <f>Tableau1[[#This Row],[Final_time]]-SUM(Tableau1[[#This Row],[0_100m]:[600_700m]])</f>
        <v>15.379999999999995</v>
      </c>
      <c r="M702">
        <v>117.78</v>
      </c>
      <c r="N702">
        <f>SUM(Tableau1[[#This Row],[0_100m]:[700_800m]])</f>
        <v>117.78</v>
      </c>
      <c r="O702">
        <f>ABS(Tableau1[[#This Row],[Final_time]]-Tableau1[[#This Row],[Sum_time]])</f>
        <v>0</v>
      </c>
      <c r="P702" s="8"/>
      <c r="Q702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2" t="s">
        <v>320</v>
      </c>
      <c r="S702" s="1" t="s">
        <v>68</v>
      </c>
      <c r="U702" s="1" t="s">
        <v>69</v>
      </c>
      <c r="V702" s="1">
        <v>45123</v>
      </c>
      <c r="W702" s="4">
        <f>YEAR(Tableau1[[#This Row],[Competition_date]])</f>
        <v>2023</v>
      </c>
      <c r="X702" s="4">
        <v>30</v>
      </c>
      <c r="Y702" s="6">
        <v>0.48</v>
      </c>
      <c r="Z702" s="4" t="s">
        <v>299</v>
      </c>
      <c r="AA702" t="s">
        <v>176</v>
      </c>
    </row>
    <row r="703" spans="1:27" hidden="1" x14ac:dyDescent="0.35">
      <c r="A703" t="str">
        <f>_xlfn.CONCAT(Tableau1[[#This Row],[Athletes]],"_",Tableau1[[#This Row],[Nationality]],"_",Tableau1[[#This Row],[Competition_year]])</f>
        <v>Natoya GOULE-TOPPIN_JAM_2023</v>
      </c>
      <c r="B703" t="s">
        <v>222</v>
      </c>
      <c r="C703" t="s">
        <v>29</v>
      </c>
      <c r="D703" s="18" t="s">
        <v>33</v>
      </c>
      <c r="E703">
        <v>13.8</v>
      </c>
      <c r="F703">
        <v>13.3</v>
      </c>
      <c r="G703">
        <v>15</v>
      </c>
      <c r="H703">
        <v>15.6</v>
      </c>
      <c r="I703">
        <v>15.1</v>
      </c>
      <c r="J703">
        <v>14.9</v>
      </c>
      <c r="K703">
        <v>14.7</v>
      </c>
      <c r="L703">
        <f>Tableau1[[#This Row],[Final_time]]-SUM(Tableau1[[#This Row],[0_100m]:[600_700m]])</f>
        <v>15.5</v>
      </c>
      <c r="M703">
        <v>117.9</v>
      </c>
      <c r="N703">
        <f>SUM(Tableau1[[#This Row],[0_100m]:[700_800m]])</f>
        <v>117.9</v>
      </c>
      <c r="O703">
        <f>ABS(Tableau1[[#This Row],[Final_time]]-Tableau1[[#This Row],[Sum_time]])</f>
        <v>0</v>
      </c>
      <c r="P703" s="8"/>
      <c r="Q703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3" t="s">
        <v>320</v>
      </c>
      <c r="S703" s="1" t="s">
        <v>68</v>
      </c>
      <c r="U703" s="1" t="s">
        <v>69</v>
      </c>
      <c r="V703" s="1">
        <v>45123</v>
      </c>
      <c r="W703" s="4">
        <f>YEAR(Tableau1[[#This Row],[Competition_date]])</f>
        <v>2023</v>
      </c>
      <c r="X703" s="4">
        <v>30</v>
      </c>
      <c r="Y703" s="6">
        <v>0.48</v>
      </c>
      <c r="Z703" s="4" t="s">
        <v>299</v>
      </c>
      <c r="AA703" t="s">
        <v>176</v>
      </c>
    </row>
    <row r="704" spans="1:27" hidden="1" x14ac:dyDescent="0.35">
      <c r="A704" t="str">
        <f>_xlfn.CONCAT(Tableau1[[#This Row],[Athletes]],"_",Tableau1[[#This Row],[Nationality]],"_",Tableau1[[#This Row],[Competition_year]])</f>
        <v>Sage HURTA-KLECKER_USA_2023</v>
      </c>
      <c r="B704" t="s">
        <v>289</v>
      </c>
      <c r="C704" t="s">
        <v>29</v>
      </c>
      <c r="D704" s="18" t="s">
        <v>35</v>
      </c>
      <c r="E704">
        <v>14.2</v>
      </c>
      <c r="F704">
        <v>13.6</v>
      </c>
      <c r="G704">
        <v>14.8</v>
      </c>
      <c r="H704">
        <v>15.4</v>
      </c>
      <c r="I704">
        <v>15.4</v>
      </c>
      <c r="J704">
        <v>14.8</v>
      </c>
      <c r="K704">
        <v>14.8</v>
      </c>
      <c r="L704">
        <f>Tableau1[[#This Row],[Final_time]]-SUM(Tableau1[[#This Row],[0_100m]:[600_700m]])</f>
        <v>15.090000000000018</v>
      </c>
      <c r="M704">
        <v>118.09</v>
      </c>
      <c r="N704">
        <f>SUM(Tableau1[[#This Row],[0_100m]:[700_800m]])</f>
        <v>118.09</v>
      </c>
      <c r="O704">
        <f>ABS(Tableau1[[#This Row],[Final_time]]-Tableau1[[#This Row],[Sum_time]])</f>
        <v>0</v>
      </c>
      <c r="P704" s="8"/>
      <c r="Q704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4" t="s">
        <v>320</v>
      </c>
      <c r="S704" s="1" t="s">
        <v>68</v>
      </c>
      <c r="U704" s="1" t="s">
        <v>69</v>
      </c>
      <c r="V704" s="1">
        <v>45123</v>
      </c>
      <c r="W704" s="4">
        <f>YEAR(Tableau1[[#This Row],[Competition_date]])</f>
        <v>2023</v>
      </c>
      <c r="X704" s="4">
        <v>30</v>
      </c>
      <c r="Y704" s="6">
        <v>0.48</v>
      </c>
      <c r="Z704" s="4" t="s">
        <v>299</v>
      </c>
      <c r="AA704" t="s">
        <v>176</v>
      </c>
    </row>
    <row r="705" spans="1:27" hidden="1" x14ac:dyDescent="0.35">
      <c r="A705" t="str">
        <f>_xlfn.CONCAT(Tableau1[[#This Row],[Athletes]],"_",Tableau1[[#This Row],[Nationality]],"_",Tableau1[[#This Row],[Competition_year]])</f>
        <v>Abbey CALDWELL_AUS_2023</v>
      </c>
      <c r="B705" t="s">
        <v>232</v>
      </c>
      <c r="C705" t="s">
        <v>29</v>
      </c>
      <c r="D705" s="18" t="s">
        <v>36</v>
      </c>
      <c r="E705">
        <v>14.3</v>
      </c>
      <c r="F705">
        <v>14.1</v>
      </c>
      <c r="G705">
        <v>14.9</v>
      </c>
      <c r="H705">
        <v>15.2</v>
      </c>
      <c r="I705">
        <v>15.4</v>
      </c>
      <c r="J705">
        <v>14.9</v>
      </c>
      <c r="K705">
        <v>15</v>
      </c>
      <c r="L705">
        <f>Tableau1[[#This Row],[Final_time]]-SUM(Tableau1[[#This Row],[0_100m]:[600_700m]])</f>
        <v>14.679999999999993</v>
      </c>
      <c r="M705">
        <v>118.48</v>
      </c>
      <c r="N705">
        <f>SUM(Tableau1[[#This Row],[0_100m]:[700_800m]])</f>
        <v>118.48</v>
      </c>
      <c r="O705">
        <f>ABS(Tableau1[[#This Row],[Final_time]]-Tableau1[[#This Row],[Sum_time]])</f>
        <v>0</v>
      </c>
      <c r="P705" s="8"/>
      <c r="Q705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5" t="s">
        <v>320</v>
      </c>
      <c r="S705" s="1" t="s">
        <v>68</v>
      </c>
      <c r="U705" s="1" t="s">
        <v>69</v>
      </c>
      <c r="V705" s="1">
        <v>45123</v>
      </c>
      <c r="W705" s="4">
        <f>YEAR(Tableau1[[#This Row],[Competition_date]])</f>
        <v>2023</v>
      </c>
      <c r="X705" s="4">
        <v>30</v>
      </c>
      <c r="Y705" s="6">
        <v>0.48</v>
      </c>
      <c r="Z705" s="4" t="s">
        <v>299</v>
      </c>
      <c r="AA705" t="s">
        <v>176</v>
      </c>
    </row>
    <row r="706" spans="1:27" hidden="1" x14ac:dyDescent="0.35">
      <c r="A706" t="str">
        <f>_xlfn.CONCAT(Tableau1[[#This Row],[Athletes]],"_",Tableau1[[#This Row],[Nationality]],"_",Tableau1[[#This Row],[Competition_year]])</f>
        <v>Anita HORVAT_SLO_2023</v>
      </c>
      <c r="B706" t="s">
        <v>218</v>
      </c>
      <c r="C706" t="s">
        <v>29</v>
      </c>
      <c r="D706" s="18" t="s">
        <v>53</v>
      </c>
      <c r="E706">
        <v>13.8</v>
      </c>
      <c r="F706">
        <v>13.4</v>
      </c>
      <c r="G706">
        <v>15</v>
      </c>
      <c r="H706">
        <v>15.8</v>
      </c>
      <c r="I706">
        <v>15.3</v>
      </c>
      <c r="J706">
        <v>15.2</v>
      </c>
      <c r="K706">
        <v>15.2</v>
      </c>
      <c r="L706">
        <f>Tableau1[[#This Row],[Final_time]]-SUM(Tableau1[[#This Row],[0_100m]:[600_700m]])</f>
        <v>15.239999999999995</v>
      </c>
      <c r="M706">
        <v>118.94</v>
      </c>
      <c r="N706">
        <f>SUM(Tableau1[[#This Row],[0_100m]:[700_800m]])</f>
        <v>118.94</v>
      </c>
      <c r="O706">
        <f>ABS(Tableau1[[#This Row],[Final_time]]-Tableau1[[#This Row],[Sum_time]])</f>
        <v>0</v>
      </c>
      <c r="P706" s="8"/>
      <c r="Q706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6" t="s">
        <v>320</v>
      </c>
      <c r="S706" s="1" t="s">
        <v>68</v>
      </c>
      <c r="U706" s="1" t="s">
        <v>69</v>
      </c>
      <c r="V706" s="1">
        <v>45123</v>
      </c>
      <c r="W706" s="4">
        <f>YEAR(Tableau1[[#This Row],[Competition_date]])</f>
        <v>2023</v>
      </c>
      <c r="X706" s="4">
        <v>30</v>
      </c>
      <c r="Y706" s="6">
        <v>0.48</v>
      </c>
      <c r="Z706" s="4" t="s">
        <v>299</v>
      </c>
      <c r="AA706" t="s">
        <v>176</v>
      </c>
    </row>
    <row r="707" spans="1:27" hidden="1" x14ac:dyDescent="0.35">
      <c r="A707" t="str">
        <f>_xlfn.CONCAT(Tableau1[[#This Row],[Athletes]],"_",Tableau1[[#This Row],[Nationality]],"_",Tableau1[[#This Row],[Competition_year]])</f>
        <v>Rénelle LAMOTE_FRA_2023</v>
      </c>
      <c r="B707" t="s">
        <v>225</v>
      </c>
      <c r="C707" t="s">
        <v>29</v>
      </c>
      <c r="D707" s="18" t="s">
        <v>17</v>
      </c>
      <c r="E707">
        <v>13.9</v>
      </c>
      <c r="F707">
        <v>13.6</v>
      </c>
      <c r="G707">
        <v>14.9</v>
      </c>
      <c r="H707">
        <v>15.4</v>
      </c>
      <c r="I707">
        <v>15.4</v>
      </c>
      <c r="J707">
        <v>15.1</v>
      </c>
      <c r="K707">
        <v>15.3</v>
      </c>
      <c r="L707">
        <f>Tableau1[[#This Row],[Final_time]]-SUM(Tableau1[[#This Row],[0_100m]:[600_700m]])</f>
        <v>15.700000000000003</v>
      </c>
      <c r="M707">
        <v>119.3</v>
      </c>
      <c r="N707">
        <f>SUM(Tableau1[[#This Row],[0_100m]:[700_800m]])</f>
        <v>119.3</v>
      </c>
      <c r="O707">
        <f>ABS(Tableau1[[#This Row],[Final_time]]-Tableau1[[#This Row],[Sum_time]])</f>
        <v>0</v>
      </c>
      <c r="P707" s="8"/>
      <c r="Q707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7" t="s">
        <v>320</v>
      </c>
      <c r="S707" s="1" t="s">
        <v>68</v>
      </c>
      <c r="U707" s="1" t="s">
        <v>69</v>
      </c>
      <c r="V707" s="1">
        <v>45123</v>
      </c>
      <c r="W707" s="4">
        <f>YEAR(Tableau1[[#This Row],[Competition_date]])</f>
        <v>2023</v>
      </c>
      <c r="X707" s="4">
        <v>30</v>
      </c>
      <c r="Y707" s="6">
        <v>0.48</v>
      </c>
      <c r="Z707" s="4" t="s">
        <v>299</v>
      </c>
      <c r="AA707" t="s">
        <v>176</v>
      </c>
    </row>
    <row r="708" spans="1:27" hidden="1" x14ac:dyDescent="0.35">
      <c r="A708" t="str">
        <f>_xlfn.CONCAT(Tableau1[[#This Row],[Athletes]],"_",Tableau1[[#This Row],[Nationality]],"_",Tableau1[[#This Row],[Competition_year]])</f>
        <v>Sofia ENNAOUI_POL_2023</v>
      </c>
      <c r="B708" t="s">
        <v>1238</v>
      </c>
      <c r="C708" t="s">
        <v>29</v>
      </c>
      <c r="D708" s="18" t="s">
        <v>88</v>
      </c>
      <c r="E708">
        <v>14.5</v>
      </c>
      <c r="F708">
        <v>13.8</v>
      </c>
      <c r="G708">
        <v>14.8</v>
      </c>
      <c r="H708">
        <v>14.6</v>
      </c>
      <c r="I708">
        <v>15.4</v>
      </c>
      <c r="J708">
        <v>15</v>
      </c>
      <c r="K708">
        <v>15.5</v>
      </c>
      <c r="L708">
        <f>Tableau1[[#This Row],[Final_time]]-SUM(Tableau1[[#This Row],[0_100m]:[600_700m]])</f>
        <v>16.219999999999985</v>
      </c>
      <c r="M708">
        <v>119.82</v>
      </c>
      <c r="N708">
        <f>SUM(Tableau1[[#This Row],[0_100m]:[700_800m]])</f>
        <v>119.82</v>
      </c>
      <c r="O708">
        <f>ABS(Tableau1[[#This Row],[Final_time]]-Tableau1[[#This Row],[Sum_time]])</f>
        <v>0</v>
      </c>
      <c r="P708" s="8"/>
      <c r="Q708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8" t="s">
        <v>320</v>
      </c>
      <c r="S708" s="1" t="s">
        <v>68</v>
      </c>
      <c r="U708" s="1" t="s">
        <v>69</v>
      </c>
      <c r="V708" s="1">
        <v>45123</v>
      </c>
      <c r="W708" s="4">
        <f>YEAR(Tableau1[[#This Row],[Competition_date]])</f>
        <v>2023</v>
      </c>
      <c r="X708" s="4">
        <v>30</v>
      </c>
      <c r="Y708" s="6">
        <v>0.48</v>
      </c>
      <c r="Z708" s="4" t="s">
        <v>299</v>
      </c>
      <c r="AA708" t="s">
        <v>176</v>
      </c>
    </row>
    <row r="709" spans="1:27" hidden="1" x14ac:dyDescent="0.35">
      <c r="A709" t="str">
        <f>_xlfn.CONCAT(Tableau1[[#This Row],[Athletes]],"_",Tableau1[[#This Row],[Nationality]],"_",Tableau1[[#This Row],[Competition_year]])</f>
        <v>Elena BELLÒ_ITA_2023</v>
      </c>
      <c r="B709" t="s">
        <v>261</v>
      </c>
      <c r="C709" t="s">
        <v>29</v>
      </c>
      <c r="D709" s="18" t="s">
        <v>20</v>
      </c>
      <c r="E709">
        <v>14.1</v>
      </c>
      <c r="F709">
        <v>14.1</v>
      </c>
      <c r="G709">
        <v>14.9</v>
      </c>
      <c r="H709">
        <v>15.4</v>
      </c>
      <c r="I709">
        <v>15.6</v>
      </c>
      <c r="J709">
        <v>15.4</v>
      </c>
      <c r="K709">
        <v>15.3</v>
      </c>
      <c r="L709">
        <f>Tableau1[[#This Row],[Final_time]]-SUM(Tableau1[[#This Row],[0_100m]:[600_700m]])</f>
        <v>15.810000000000002</v>
      </c>
      <c r="M709">
        <v>120.61</v>
      </c>
      <c r="N709">
        <f>SUM(Tableau1[[#This Row],[0_100m]:[700_800m]])</f>
        <v>120.61</v>
      </c>
      <c r="O709">
        <f>ABS(Tableau1[[#This Row],[Final_time]]-Tableau1[[#This Row],[Sum_time]])</f>
        <v>0</v>
      </c>
      <c r="P709" s="8"/>
      <c r="Q709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09" t="s">
        <v>320</v>
      </c>
      <c r="S709" s="1" t="s">
        <v>68</v>
      </c>
      <c r="U709" s="1" t="s">
        <v>69</v>
      </c>
      <c r="V709" s="1">
        <v>45123</v>
      </c>
      <c r="W709" s="4">
        <f>YEAR(Tableau1[[#This Row],[Competition_date]])</f>
        <v>2023</v>
      </c>
      <c r="X709" s="4">
        <v>30</v>
      </c>
      <c r="Y709" s="6">
        <v>0.48</v>
      </c>
      <c r="Z709" s="4" t="s">
        <v>299</v>
      </c>
      <c r="AA709" t="s">
        <v>176</v>
      </c>
    </row>
    <row r="710" spans="1:27" hidden="1" x14ac:dyDescent="0.35">
      <c r="A710" t="str">
        <f>_xlfn.CONCAT(Tableau1[[#This Row],[Athletes]],"_",Tableau1[[#This Row],[Nationality]],"_",Tableau1[[#This Row],[Competition_year]])</f>
        <v>Camille LAUS_BEL_2023</v>
      </c>
      <c r="B710" t="s">
        <v>649</v>
      </c>
      <c r="C710" t="s">
        <v>29</v>
      </c>
      <c r="D710" s="18" t="s">
        <v>18</v>
      </c>
      <c r="E710">
        <v>14.3</v>
      </c>
      <c r="F710">
        <v>14.2</v>
      </c>
      <c r="G710">
        <v>15.1</v>
      </c>
      <c r="H710">
        <v>15.3</v>
      </c>
      <c r="I710">
        <v>15.7</v>
      </c>
      <c r="J710">
        <v>15.9</v>
      </c>
      <c r="K710">
        <v>15.7</v>
      </c>
      <c r="L710">
        <f>Tableau1[[#This Row],[Final_time]]-SUM(Tableau1[[#This Row],[0_100m]:[600_700m]])</f>
        <v>15.149999999999977</v>
      </c>
      <c r="M710">
        <v>121.35</v>
      </c>
      <c r="N710">
        <f>SUM(Tableau1[[#This Row],[0_100m]:[700_800m]])</f>
        <v>121.35</v>
      </c>
      <c r="O710">
        <f>ABS(Tableau1[[#This Row],[Final_time]]-Tableau1[[#This Row],[Sum_time]])</f>
        <v>0</v>
      </c>
      <c r="P710" s="8"/>
      <c r="Q710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10" t="s">
        <v>320</v>
      </c>
      <c r="S710" s="1" t="s">
        <v>68</v>
      </c>
      <c r="U710" s="1" t="s">
        <v>69</v>
      </c>
      <c r="V710" s="1">
        <v>45123</v>
      </c>
      <c r="W710" s="4">
        <f>YEAR(Tableau1[[#This Row],[Competition_date]])</f>
        <v>2023</v>
      </c>
      <c r="X710" s="4">
        <v>30</v>
      </c>
      <c r="Y710" s="6">
        <v>0.48</v>
      </c>
      <c r="Z710" s="4" t="s">
        <v>299</v>
      </c>
      <c r="AA710" t="s">
        <v>176</v>
      </c>
    </row>
    <row r="711" spans="1:27" hidden="1" x14ac:dyDescent="0.35">
      <c r="A711" t="str">
        <f>_xlfn.CONCAT(Tableau1[[#This Row],[Athletes]],"_",Tableau1[[#This Row],[Nationality]],"_",Tableau1[[#This Row],[Competition_year]])</f>
        <v>Margarita KOCZANOWA_POL_2023</v>
      </c>
      <c r="B711" t="s">
        <v>1026</v>
      </c>
      <c r="C711" t="s">
        <v>29</v>
      </c>
      <c r="D711" s="18" t="s">
        <v>88</v>
      </c>
      <c r="E711">
        <v>13.9</v>
      </c>
      <c r="F711">
        <v>13.8</v>
      </c>
      <c r="G711">
        <v>14.9</v>
      </c>
      <c r="H711">
        <v>15.6</v>
      </c>
      <c r="I711">
        <v>15.4</v>
      </c>
      <c r="J711">
        <v>15.2</v>
      </c>
      <c r="K711">
        <v>15.7</v>
      </c>
      <c r="L711">
        <f>Tableau1[[#This Row],[Final_time]]-SUM(Tableau1[[#This Row],[0_100m]:[600_700m]])</f>
        <v>17.589999999999989</v>
      </c>
      <c r="M711">
        <v>122.09</v>
      </c>
      <c r="N711">
        <f>SUM(Tableau1[[#This Row],[0_100m]:[700_800m]])</f>
        <v>122.09</v>
      </c>
      <c r="O711">
        <f>ABS(Tableau1[[#This Row],[Final_time]]-Tableau1[[#This Row],[Sum_time]])</f>
        <v>0</v>
      </c>
      <c r="P711" s="8"/>
      <c r="Q711" s="1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R711" t="s">
        <v>320</v>
      </c>
      <c r="S711" s="1" t="s">
        <v>68</v>
      </c>
      <c r="U711" s="1" t="s">
        <v>69</v>
      </c>
      <c r="V711" s="1">
        <v>45123</v>
      </c>
      <c r="W711" s="4">
        <f>YEAR(Tableau1[[#This Row],[Competition_date]])</f>
        <v>2023</v>
      </c>
      <c r="X711" s="4">
        <v>30</v>
      </c>
      <c r="Y711" s="6">
        <v>0.48</v>
      </c>
      <c r="Z711" s="4" t="s">
        <v>299</v>
      </c>
      <c r="AA711" t="s">
        <v>176</v>
      </c>
    </row>
    <row r="712" spans="1:27" hidden="1" x14ac:dyDescent="0.35">
      <c r="A712" t="str">
        <f>_xlfn.CONCAT(Tableau1[[#This Row],[Athletes]],"_",Tableau1[[#This Row],[Nationality]],"_",Tableau1[[#This Row],[Competition_year]])</f>
        <v>Marco AROP_CAN_2024</v>
      </c>
      <c r="B712" t="s">
        <v>177</v>
      </c>
      <c r="C712" t="s">
        <v>14</v>
      </c>
      <c r="D712" s="18" t="s">
        <v>19</v>
      </c>
      <c r="E712">
        <v>12.8</v>
      </c>
      <c r="F712">
        <v>11.5</v>
      </c>
      <c r="G712">
        <v>12.5</v>
      </c>
      <c r="H712">
        <v>12.9</v>
      </c>
      <c r="I712">
        <v>12.8</v>
      </c>
      <c r="J712">
        <v>13.1</v>
      </c>
      <c r="K712">
        <v>12.9</v>
      </c>
      <c r="L712">
        <f>Tableau1[[#This Row],[Final_time]]-SUM(Tableau1[[#This Row],[0_100m]:[600_700m]])</f>
        <v>13.36</v>
      </c>
      <c r="M712">
        <v>101.86</v>
      </c>
      <c r="N712">
        <f>SUM(Tableau1[[#This Row],[0_100m]:[700_800m]])</f>
        <v>101.86</v>
      </c>
      <c r="O712">
        <f>ABS(Tableau1[[#This Row],[Final_time]]-Tableau1[[#This Row],[Sum_time]])</f>
        <v>0</v>
      </c>
      <c r="P712" s="8"/>
      <c r="Q712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2" t="s">
        <v>89</v>
      </c>
      <c r="S712" s="1" t="s">
        <v>68</v>
      </c>
      <c r="U712" s="1" t="s">
        <v>69</v>
      </c>
      <c r="V712" s="1">
        <v>45529</v>
      </c>
      <c r="W712" s="4">
        <f>YEAR(Tableau1[[#This Row],[Competition_date]])</f>
        <v>2024</v>
      </c>
      <c r="X712" s="4">
        <v>29</v>
      </c>
      <c r="Y712" s="6">
        <v>0.46</v>
      </c>
      <c r="Z712" s="4" t="s">
        <v>80</v>
      </c>
      <c r="AA712" t="s">
        <v>86</v>
      </c>
    </row>
    <row r="713" spans="1:27" hidden="1" x14ac:dyDescent="0.35">
      <c r="A713" t="str">
        <f>_xlfn.CONCAT(Tableau1[[#This Row],[Athletes]],"_",Tableau1[[#This Row],[Nationality]],"_",Tableau1[[#This Row],[Competition_year]])</f>
        <v>Emmanuel WANYONYI_KEN_2024</v>
      </c>
      <c r="B713" t="s">
        <v>183</v>
      </c>
      <c r="C713" t="s">
        <v>14</v>
      </c>
      <c r="D713" s="18" t="s">
        <v>15</v>
      </c>
      <c r="E713">
        <v>12.7</v>
      </c>
      <c r="F713">
        <v>11.8</v>
      </c>
      <c r="G713">
        <v>12.9</v>
      </c>
      <c r="H713">
        <v>12.6</v>
      </c>
      <c r="I713">
        <v>13.2</v>
      </c>
      <c r="J713">
        <v>13.2</v>
      </c>
      <c r="K713">
        <v>13.5</v>
      </c>
      <c r="L713">
        <f>Tableau1[[#This Row],[Final_time]]-SUM(Tableau1[[#This Row],[0_100m]:[600_700m]])</f>
        <v>13.329999999999998</v>
      </c>
      <c r="M713">
        <v>103.23</v>
      </c>
      <c r="N713">
        <f>SUM(Tableau1[[#This Row],[0_100m]:[700_800m]])</f>
        <v>103.23</v>
      </c>
      <c r="O713">
        <f>ABS(Tableau1[[#This Row],[Final_time]]-Tableau1[[#This Row],[Sum_time]])</f>
        <v>0</v>
      </c>
      <c r="P713" s="8"/>
      <c r="Q713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3" t="s">
        <v>89</v>
      </c>
      <c r="S713" s="1" t="s">
        <v>68</v>
      </c>
      <c r="U713" s="1" t="s">
        <v>69</v>
      </c>
      <c r="V713" s="1">
        <v>45529</v>
      </c>
      <c r="W713" s="4">
        <f>YEAR(Tableau1[[#This Row],[Competition_date]])</f>
        <v>2024</v>
      </c>
      <c r="X713" s="4">
        <v>29</v>
      </c>
      <c r="Y713" s="6">
        <v>0.46</v>
      </c>
      <c r="Z713" s="4" t="s">
        <v>80</v>
      </c>
      <c r="AA713" t="s">
        <v>86</v>
      </c>
    </row>
    <row r="714" spans="1:27" hidden="1" x14ac:dyDescent="0.35">
      <c r="A714" t="str">
        <f>_xlfn.CONCAT(Tableau1[[#This Row],[Athletes]],"_",Tableau1[[#This Row],[Nationality]],"_",Tableau1[[#This Row],[Competition_year]])</f>
        <v>Bryce HOPPEL_USA_2024</v>
      </c>
      <c r="B714" t="s">
        <v>173</v>
      </c>
      <c r="C714" t="s">
        <v>14</v>
      </c>
      <c r="D714" s="18" t="s">
        <v>35</v>
      </c>
      <c r="E714">
        <v>12.9</v>
      </c>
      <c r="F714">
        <v>11.8</v>
      </c>
      <c r="G714">
        <v>13</v>
      </c>
      <c r="H714">
        <v>13.1</v>
      </c>
      <c r="I714">
        <v>13</v>
      </c>
      <c r="J714">
        <v>13.5</v>
      </c>
      <c r="K714">
        <v>13.3</v>
      </c>
      <c r="L714">
        <f>Tableau1[[#This Row],[Final_time]]-SUM(Tableau1[[#This Row],[0_100m]:[600_700m]])</f>
        <v>12.719999999999985</v>
      </c>
      <c r="M714">
        <v>103.32</v>
      </c>
      <c r="N714">
        <f>SUM(Tableau1[[#This Row],[0_100m]:[700_800m]])</f>
        <v>103.32</v>
      </c>
      <c r="O714">
        <f>ABS(Tableau1[[#This Row],[Final_time]]-Tableau1[[#This Row],[Sum_time]])</f>
        <v>0</v>
      </c>
      <c r="P714" s="8"/>
      <c r="Q714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4" t="s">
        <v>89</v>
      </c>
      <c r="S714" s="1" t="s">
        <v>68</v>
      </c>
      <c r="U714" s="1" t="s">
        <v>69</v>
      </c>
      <c r="V714" s="1">
        <v>45529</v>
      </c>
      <c r="W714" s="4">
        <f>YEAR(Tableau1[[#This Row],[Competition_date]])</f>
        <v>2024</v>
      </c>
      <c r="X714" s="4">
        <v>29</v>
      </c>
      <c r="Y714" s="6">
        <v>0.46</v>
      </c>
      <c r="Z714" s="4" t="s">
        <v>80</v>
      </c>
      <c r="AA714" t="s">
        <v>86</v>
      </c>
    </row>
    <row r="715" spans="1:27" hidden="1" x14ac:dyDescent="0.35">
      <c r="A715" t="str">
        <f>_xlfn.CONCAT(Tableau1[[#This Row],[Athletes]],"_",Tableau1[[#This Row],[Nationality]],"_",Tableau1[[#This Row],[Competition_year]])</f>
        <v>Eliott CRESTAN_BEL_2024</v>
      </c>
      <c r="B715" t="s">
        <v>244</v>
      </c>
      <c r="C715" t="s">
        <v>14</v>
      </c>
      <c r="D715" s="18" t="s">
        <v>18</v>
      </c>
      <c r="E715">
        <v>12.5</v>
      </c>
      <c r="F715">
        <v>11.8</v>
      </c>
      <c r="G715">
        <v>12.9</v>
      </c>
      <c r="H715">
        <v>12.9</v>
      </c>
      <c r="I715">
        <v>13.3</v>
      </c>
      <c r="J715">
        <v>13.2</v>
      </c>
      <c r="K715">
        <v>13.5</v>
      </c>
      <c r="L715">
        <f>Tableau1[[#This Row],[Final_time]]-SUM(Tableau1[[#This Row],[0_100m]:[600_700m]])</f>
        <v>13.379999999999995</v>
      </c>
      <c r="M715">
        <v>103.48</v>
      </c>
      <c r="N715">
        <f>SUM(Tableau1[[#This Row],[0_100m]:[700_800m]])</f>
        <v>103.48</v>
      </c>
      <c r="O715">
        <f>ABS(Tableau1[[#This Row],[Final_time]]-Tableau1[[#This Row],[Sum_time]])</f>
        <v>0</v>
      </c>
      <c r="P715" s="8"/>
      <c r="Q715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5" t="s">
        <v>89</v>
      </c>
      <c r="S715" s="1" t="s">
        <v>68</v>
      </c>
      <c r="U715" s="1" t="s">
        <v>69</v>
      </c>
      <c r="V715" s="1">
        <v>45529</v>
      </c>
      <c r="W715" s="4">
        <f>YEAR(Tableau1[[#This Row],[Competition_date]])</f>
        <v>2024</v>
      </c>
      <c r="X715" s="4">
        <v>29</v>
      </c>
      <c r="Y715" s="6">
        <v>0.46</v>
      </c>
      <c r="Z715" s="4" t="s">
        <v>80</v>
      </c>
      <c r="AA715" t="s">
        <v>86</v>
      </c>
    </row>
    <row r="716" spans="1:27" hidden="1" x14ac:dyDescent="0.35">
      <c r="A716" t="str">
        <f>_xlfn.CONCAT(Tableau1[[#This Row],[Athletes]],"_",Tableau1[[#This Row],[Nationality]],"_",Tableau1[[#This Row],[Competition_year]])</f>
        <v>Wyclife KINYAMAL_KEN_2024</v>
      </c>
      <c r="B716" t="s">
        <v>174</v>
      </c>
      <c r="C716" t="s">
        <v>14</v>
      </c>
      <c r="D716" s="18" t="s">
        <v>15</v>
      </c>
      <c r="E716">
        <v>12.5</v>
      </c>
      <c r="F716">
        <v>11.9</v>
      </c>
      <c r="G716">
        <v>13.2</v>
      </c>
      <c r="H716">
        <v>12.9</v>
      </c>
      <c r="I716">
        <v>13</v>
      </c>
      <c r="J716">
        <v>13.3</v>
      </c>
      <c r="K716">
        <v>13.3</v>
      </c>
      <c r="L716">
        <f>Tableau1[[#This Row],[Final_time]]-SUM(Tableau1[[#This Row],[0_100m]:[600_700m]])</f>
        <v>13.440000000000012</v>
      </c>
      <c r="M716">
        <v>103.54</v>
      </c>
      <c r="N716">
        <f>SUM(Tableau1[[#This Row],[0_100m]:[700_800m]])</f>
        <v>103.54</v>
      </c>
      <c r="O716">
        <f>ABS(Tableau1[[#This Row],[Final_time]]-Tableau1[[#This Row],[Sum_time]])</f>
        <v>0</v>
      </c>
      <c r="P716" s="8"/>
      <c r="Q716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6" t="s">
        <v>89</v>
      </c>
      <c r="S716" s="1" t="s">
        <v>68</v>
      </c>
      <c r="U716" s="1" t="s">
        <v>69</v>
      </c>
      <c r="V716" s="1">
        <v>45529</v>
      </c>
      <c r="W716" s="4">
        <f>YEAR(Tableau1[[#This Row],[Competition_date]])</f>
        <v>2024</v>
      </c>
      <c r="X716" s="4">
        <v>29</v>
      </c>
      <c r="Y716" s="6">
        <v>0.46</v>
      </c>
      <c r="Z716" s="4" t="s">
        <v>80</v>
      </c>
      <c r="AA716" t="s">
        <v>86</v>
      </c>
    </row>
    <row r="717" spans="1:27" hidden="1" x14ac:dyDescent="0.35">
      <c r="A717" t="str">
        <f>_xlfn.CONCAT(Tableau1[[#This Row],[Athletes]],"_",Tableau1[[#This Row],[Nationality]],"_",Tableau1[[#This Row],[Competition_year]])</f>
        <v>Max BURGIN_GBR_2024</v>
      </c>
      <c r="B717" t="s">
        <v>188</v>
      </c>
      <c r="C717" t="s">
        <v>14</v>
      </c>
      <c r="D717" s="18" t="s">
        <v>30</v>
      </c>
      <c r="E717">
        <v>12.6</v>
      </c>
      <c r="F717">
        <v>11.9</v>
      </c>
      <c r="G717">
        <v>13.4</v>
      </c>
      <c r="H717">
        <v>13.1</v>
      </c>
      <c r="I717">
        <v>13</v>
      </c>
      <c r="J717">
        <v>13.2</v>
      </c>
      <c r="K717">
        <v>13.2</v>
      </c>
      <c r="L717">
        <f>Tableau1[[#This Row],[Final_time]]-SUM(Tableau1[[#This Row],[0_100m]:[600_700m]])</f>
        <v>13.329999999999998</v>
      </c>
      <c r="M717">
        <v>103.73</v>
      </c>
      <c r="N717">
        <f>SUM(Tableau1[[#This Row],[0_100m]:[700_800m]])</f>
        <v>103.73</v>
      </c>
      <c r="O717">
        <f>ABS(Tableau1[[#This Row],[Final_time]]-Tableau1[[#This Row],[Sum_time]])</f>
        <v>0</v>
      </c>
      <c r="P717" s="8"/>
      <c r="Q717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7" t="s">
        <v>89</v>
      </c>
      <c r="S717" s="1" t="s">
        <v>68</v>
      </c>
      <c r="U717" s="1" t="s">
        <v>69</v>
      </c>
      <c r="V717" s="1">
        <v>45529</v>
      </c>
      <c r="W717" s="4">
        <f>YEAR(Tableau1[[#This Row],[Competition_date]])</f>
        <v>2024</v>
      </c>
      <c r="X717" s="4">
        <v>29</v>
      </c>
      <c r="Y717" s="6">
        <v>0.46</v>
      </c>
      <c r="Z717" s="4" t="s">
        <v>80</v>
      </c>
      <c r="AA717" t="s">
        <v>86</v>
      </c>
    </row>
    <row r="718" spans="1:27" hidden="1" x14ac:dyDescent="0.35">
      <c r="A718" t="str">
        <f>_xlfn.CONCAT(Tableau1[[#This Row],[Athletes]],"_",Tableau1[[#This Row],[Nationality]],"_",Tableau1[[#This Row],[Competition_year]])</f>
        <v>Gabriel TUAL_FRA_2024</v>
      </c>
      <c r="B718" t="s">
        <v>180</v>
      </c>
      <c r="C718" t="s">
        <v>14</v>
      </c>
      <c r="D718" s="18" t="s">
        <v>17</v>
      </c>
      <c r="E718">
        <v>12.7</v>
      </c>
      <c r="F718">
        <v>12</v>
      </c>
      <c r="G718">
        <v>13.2</v>
      </c>
      <c r="H718">
        <v>12.9</v>
      </c>
      <c r="I718">
        <v>12.9</v>
      </c>
      <c r="J718">
        <v>13.3</v>
      </c>
      <c r="K718">
        <v>13.2</v>
      </c>
      <c r="L718">
        <f>Tableau1[[#This Row],[Final_time]]-SUM(Tableau1[[#This Row],[0_100m]:[600_700m]])</f>
        <v>13.530000000000001</v>
      </c>
      <c r="M718">
        <v>103.73</v>
      </c>
      <c r="N718">
        <f>SUM(Tableau1[[#This Row],[0_100m]:[700_800m]])</f>
        <v>103.73</v>
      </c>
      <c r="O718">
        <f>ABS(Tableau1[[#This Row],[Final_time]]-Tableau1[[#This Row],[Sum_time]])</f>
        <v>0</v>
      </c>
      <c r="P718" s="8"/>
      <c r="Q718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8" t="s">
        <v>89</v>
      </c>
      <c r="S718" s="1" t="s">
        <v>68</v>
      </c>
      <c r="U718" s="1" t="s">
        <v>69</v>
      </c>
      <c r="V718" s="1">
        <v>45529</v>
      </c>
      <c r="W718" s="4">
        <f>YEAR(Tableau1[[#This Row],[Competition_date]])</f>
        <v>2024</v>
      </c>
      <c r="X718" s="4">
        <v>29</v>
      </c>
      <c r="Y718" s="6">
        <v>0.46</v>
      </c>
      <c r="Z718" s="4" t="s">
        <v>80</v>
      </c>
      <c r="AA718" t="s">
        <v>86</v>
      </c>
    </row>
    <row r="719" spans="1:27" hidden="1" x14ac:dyDescent="0.35">
      <c r="A719" t="str">
        <f>_xlfn.CONCAT(Tableau1[[#This Row],[Athletes]],"_",Tableau1[[#This Row],[Nationality]],"_",Tableau1[[#This Row],[Competition_year]])</f>
        <v>Hobbs KESSLER_USA_2024</v>
      </c>
      <c r="B719" t="s">
        <v>849</v>
      </c>
      <c r="C719" t="s">
        <v>14</v>
      </c>
      <c r="D719" s="18" t="s">
        <v>35</v>
      </c>
      <c r="E719">
        <v>13.1</v>
      </c>
      <c r="F719">
        <v>12.1</v>
      </c>
      <c r="G719">
        <v>12.9</v>
      </c>
      <c r="H719">
        <v>13.1</v>
      </c>
      <c r="I719">
        <v>13</v>
      </c>
      <c r="J719">
        <v>13.4</v>
      </c>
      <c r="K719">
        <v>13.2</v>
      </c>
      <c r="L719">
        <f>Tableau1[[#This Row],[Final_time]]-SUM(Tableau1[[#This Row],[0_100m]:[600_700m]])</f>
        <v>13.169999999999987</v>
      </c>
      <c r="M719">
        <v>103.97</v>
      </c>
      <c r="N719">
        <f>SUM(Tableau1[[#This Row],[0_100m]:[700_800m]])</f>
        <v>103.97</v>
      </c>
      <c r="O719">
        <f>ABS(Tableau1[[#This Row],[Final_time]]-Tableau1[[#This Row],[Sum_time]])</f>
        <v>0</v>
      </c>
      <c r="P719" s="8"/>
      <c r="Q719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19" t="s">
        <v>89</v>
      </c>
      <c r="S719" s="1" t="s">
        <v>68</v>
      </c>
      <c r="U719" s="1" t="s">
        <v>69</v>
      </c>
      <c r="V719" s="1">
        <v>45529</v>
      </c>
      <c r="W719" s="4">
        <f>YEAR(Tableau1[[#This Row],[Competition_date]])</f>
        <v>2024</v>
      </c>
      <c r="X719" s="4">
        <v>29</v>
      </c>
      <c r="Y719" s="6">
        <v>0.46</v>
      </c>
      <c r="Z719" s="4" t="s">
        <v>80</v>
      </c>
      <c r="AA719" t="s">
        <v>86</v>
      </c>
    </row>
    <row r="720" spans="1:27" hidden="1" x14ac:dyDescent="0.35">
      <c r="A720" t="str">
        <f>_xlfn.CONCAT(Tableau1[[#This Row],[Athletes]],"_",Tableau1[[#This Row],[Nationality]],"_",Tableau1[[#This Row],[Competition_year]])</f>
        <v>Andreas KRAMER_SWE_2024</v>
      </c>
      <c r="B720" t="s">
        <v>186</v>
      </c>
      <c r="C720" t="s">
        <v>14</v>
      </c>
      <c r="D720" s="18" t="s">
        <v>28</v>
      </c>
      <c r="E720">
        <v>13.3</v>
      </c>
      <c r="F720">
        <v>11.9</v>
      </c>
      <c r="G720">
        <v>13.1</v>
      </c>
      <c r="H720">
        <v>13.1</v>
      </c>
      <c r="I720">
        <v>13</v>
      </c>
      <c r="J720">
        <v>13.3</v>
      </c>
      <c r="K720">
        <v>13.3</v>
      </c>
      <c r="L720">
        <f>Tableau1[[#This Row],[Final_time]]-SUM(Tableau1[[#This Row],[0_100m]:[600_700m]])</f>
        <v>13.319999999999993</v>
      </c>
      <c r="M720">
        <v>104.32</v>
      </c>
      <c r="N720">
        <f>SUM(Tableau1[[#This Row],[0_100m]:[700_800m]])</f>
        <v>104.32</v>
      </c>
      <c r="O720">
        <f>ABS(Tableau1[[#This Row],[Final_time]]-Tableau1[[#This Row],[Sum_time]])</f>
        <v>0</v>
      </c>
      <c r="P720" s="8"/>
      <c r="Q720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20" t="s">
        <v>89</v>
      </c>
      <c r="S720" s="1" t="s">
        <v>68</v>
      </c>
      <c r="U720" s="1" t="s">
        <v>69</v>
      </c>
      <c r="V720" s="1">
        <v>45529</v>
      </c>
      <c r="W720" s="4">
        <f>YEAR(Tableau1[[#This Row],[Competition_date]])</f>
        <v>2024</v>
      </c>
      <c r="X720" s="4">
        <v>29</v>
      </c>
      <c r="Y720" s="6">
        <v>0.46</v>
      </c>
      <c r="Z720" s="4" t="s">
        <v>80</v>
      </c>
      <c r="AA720" t="s">
        <v>86</v>
      </c>
    </row>
    <row r="721" spans="1:27" hidden="1" x14ac:dyDescent="0.35">
      <c r="A721" t="str">
        <f>_xlfn.CONCAT(Tableau1[[#This Row],[Athletes]],"_",Tableau1[[#This Row],[Nationality]],"_",Tableau1[[#This Row],[Competition_year]])</f>
        <v>Aaron Kemei CHEMININGWA_KEN_2024</v>
      </c>
      <c r="B721" t="s">
        <v>499</v>
      </c>
      <c r="C721" t="s">
        <v>14</v>
      </c>
      <c r="D721" s="18" t="s">
        <v>15</v>
      </c>
      <c r="E721">
        <v>12.9</v>
      </c>
      <c r="F721">
        <v>12.1</v>
      </c>
      <c r="G721">
        <v>13.1</v>
      </c>
      <c r="H721">
        <v>12.9</v>
      </c>
      <c r="I721">
        <v>12.9</v>
      </c>
      <c r="J721">
        <v>13.2</v>
      </c>
      <c r="K721">
        <v>13.7</v>
      </c>
      <c r="L721">
        <f>Tableau1[[#This Row],[Final_time]]-SUM(Tableau1[[#This Row],[0_100m]:[600_700m]])</f>
        <v>13.799999999999997</v>
      </c>
      <c r="M721">
        <v>104.6</v>
      </c>
      <c r="N721">
        <f>SUM(Tableau1[[#This Row],[0_100m]:[700_800m]])</f>
        <v>104.6</v>
      </c>
      <c r="O721">
        <f>ABS(Tableau1[[#This Row],[Final_time]]-Tableau1[[#This Row],[Sum_time]])</f>
        <v>0</v>
      </c>
      <c r="P721" s="8"/>
      <c r="Q721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21" t="s">
        <v>89</v>
      </c>
      <c r="S721" s="1" t="s">
        <v>68</v>
      </c>
      <c r="U721" s="1" t="s">
        <v>69</v>
      </c>
      <c r="V721" s="1">
        <v>45529</v>
      </c>
      <c r="W721" s="4">
        <f>YEAR(Tableau1[[#This Row],[Competition_date]])</f>
        <v>2024</v>
      </c>
      <c r="X721" s="4">
        <v>29</v>
      </c>
      <c r="Y721" s="6">
        <v>0.46</v>
      </c>
      <c r="Z721" s="4" t="s">
        <v>80</v>
      </c>
      <c r="AA721" t="s">
        <v>86</v>
      </c>
    </row>
    <row r="722" spans="1:27" hidden="1" x14ac:dyDescent="0.35">
      <c r="A722" t="str">
        <f>_xlfn.CONCAT(Tableau1[[#This Row],[Athletes]],"_",Tableau1[[#This Row],[Nationality]],"_",Tableau1[[#This Row],[Competition_year]])</f>
        <v>Mohamed ATTAOUI_ESP_2024</v>
      </c>
      <c r="B722" t="s">
        <v>110</v>
      </c>
      <c r="C722" t="s">
        <v>14</v>
      </c>
      <c r="D722" s="18" t="s">
        <v>37</v>
      </c>
      <c r="E722">
        <v>13.5</v>
      </c>
      <c r="F722">
        <v>12</v>
      </c>
      <c r="G722">
        <v>13</v>
      </c>
      <c r="H722">
        <v>13.1</v>
      </c>
      <c r="I722">
        <v>13</v>
      </c>
      <c r="J722">
        <v>13.3</v>
      </c>
      <c r="K722">
        <v>13.4</v>
      </c>
      <c r="L722">
        <f>Tableau1[[#This Row],[Final_time]]-SUM(Tableau1[[#This Row],[0_100m]:[600_700m]])</f>
        <v>13.659999999999997</v>
      </c>
      <c r="M722">
        <v>104.96</v>
      </c>
      <c r="N722">
        <f>SUM(Tableau1[[#This Row],[0_100m]:[700_800m]])</f>
        <v>104.96</v>
      </c>
      <c r="O722">
        <f>ABS(Tableau1[[#This Row],[Final_time]]-Tableau1[[#This Row],[Sum_time]])</f>
        <v>0</v>
      </c>
      <c r="P722" s="8"/>
      <c r="Q722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22" t="s">
        <v>89</v>
      </c>
      <c r="S722" s="1" t="s">
        <v>68</v>
      </c>
      <c r="U722" s="1" t="s">
        <v>69</v>
      </c>
      <c r="V722" s="1">
        <v>45529</v>
      </c>
      <c r="W722" s="4">
        <f>YEAR(Tableau1[[#This Row],[Competition_date]])</f>
        <v>2024</v>
      </c>
      <c r="X722" s="4">
        <v>29</v>
      </c>
      <c r="Y722" s="6">
        <v>0.46</v>
      </c>
      <c r="Z722" s="4" t="s">
        <v>80</v>
      </c>
      <c r="AA722" t="s">
        <v>86</v>
      </c>
    </row>
    <row r="723" spans="1:27" hidden="1" x14ac:dyDescent="0.35">
      <c r="A723" t="str">
        <f>_xlfn.CONCAT(Tableau1[[#This Row],[Athletes]],"_",Tableau1[[#This Row],[Nationality]],"_",Tableau1[[#This Row],[Competition_year]])</f>
        <v>Bartosz KITLIŃSKI_POL_2024</v>
      </c>
      <c r="B723" t="s">
        <v>619</v>
      </c>
      <c r="C723" t="s">
        <v>14</v>
      </c>
      <c r="D723" s="18" t="s">
        <v>88</v>
      </c>
      <c r="E723">
        <v>13.4</v>
      </c>
      <c r="F723">
        <v>12.3</v>
      </c>
      <c r="G723">
        <v>13</v>
      </c>
      <c r="H723">
        <v>13</v>
      </c>
      <c r="I723">
        <v>13</v>
      </c>
      <c r="J723">
        <v>13.2</v>
      </c>
      <c r="K723">
        <v>13.6</v>
      </c>
      <c r="L723">
        <f>Tableau1[[#This Row],[Final_time]]-SUM(Tableau1[[#This Row],[0_100m]:[600_700m]])</f>
        <v>14.060000000000002</v>
      </c>
      <c r="M723">
        <v>105.56</v>
      </c>
      <c r="N723">
        <f>SUM(Tableau1[[#This Row],[0_100m]:[700_800m]])</f>
        <v>105.56</v>
      </c>
      <c r="O723">
        <f>ABS(Tableau1[[#This Row],[Final_time]]-Tableau1[[#This Row],[Sum_time]])</f>
        <v>0</v>
      </c>
      <c r="P723" s="8"/>
      <c r="Q723" s="16" t="str">
        <f>_xlfn.CONCAT(Tableau1[[#This Row],[Competition]],"_",Tableau1[[#This Row],[Championship_step]],"_",Tableau1[[#This Row],[Competition_date]],"_",Tableau1[[#This Row],[Gender]])</f>
        <v>Diamond League Silesia 2024__45529_Male</v>
      </c>
      <c r="R723" t="s">
        <v>89</v>
      </c>
      <c r="S723" s="1" t="s">
        <v>68</v>
      </c>
      <c r="U723" s="1" t="s">
        <v>69</v>
      </c>
      <c r="V723" s="1">
        <v>45529</v>
      </c>
      <c r="W723" s="4">
        <f>YEAR(Tableau1[[#This Row],[Competition_date]])</f>
        <v>2024</v>
      </c>
      <c r="X723" s="4">
        <v>29</v>
      </c>
      <c r="Y723" s="6">
        <v>0.46</v>
      </c>
      <c r="Z723" s="4" t="s">
        <v>80</v>
      </c>
      <c r="AA723" t="s">
        <v>86</v>
      </c>
    </row>
    <row r="724" spans="1:27" hidden="1" x14ac:dyDescent="0.35">
      <c r="A724" t="str">
        <f>_xlfn.CONCAT(Tableau1[[#This Row],[Athletes]],"_",Tableau1[[#This Row],[Nationality]],"_",Tableau1[[#This Row],[Competition_year]])</f>
        <v>Keely HODGKINSON_GBR_2025</v>
      </c>
      <c r="B724" t="s">
        <v>212</v>
      </c>
      <c r="C724" t="s">
        <v>29</v>
      </c>
      <c r="D724" s="18" t="s">
        <v>30</v>
      </c>
      <c r="E724">
        <v>13.9</v>
      </c>
      <c r="F724">
        <v>13.3</v>
      </c>
      <c r="G724">
        <v>14.5</v>
      </c>
      <c r="H724">
        <v>15</v>
      </c>
      <c r="I724">
        <v>14.5</v>
      </c>
      <c r="J724">
        <v>14.2</v>
      </c>
      <c r="K724">
        <v>14.6</v>
      </c>
      <c r="L724">
        <f>Tableau1[[#This Row],[Final_time]]-SUM(Tableau1[[#This Row],[0_100m]:[600_700m]])</f>
        <v>14.739999999999995</v>
      </c>
      <c r="M724">
        <v>114.74</v>
      </c>
      <c r="N724">
        <f>SUM(Tableau1[[#This Row],[0_100m]:[700_800m]])</f>
        <v>114.74</v>
      </c>
      <c r="O724">
        <f>ABS(Tableau1[[#This Row],[Final_time]]-Tableau1[[#This Row],[Sum_time]])</f>
        <v>0</v>
      </c>
      <c r="P724" s="8"/>
      <c r="Q724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24" t="s">
        <v>1383</v>
      </c>
      <c r="S724" s="1" t="s">
        <v>68</v>
      </c>
      <c r="U724" s="1" t="s">
        <v>69</v>
      </c>
      <c r="V724" s="1">
        <v>45885</v>
      </c>
      <c r="W724" s="4">
        <f>YEAR(Tableau1[[#This Row],[Competition_date]])</f>
        <v>2025</v>
      </c>
      <c r="X724" s="4">
        <v>28</v>
      </c>
      <c r="Y724" s="6">
        <v>0.54</v>
      </c>
      <c r="Z724" s="4" t="s">
        <v>79</v>
      </c>
    </row>
    <row r="725" spans="1:27" hidden="1" x14ac:dyDescent="0.35">
      <c r="A725" t="str">
        <f>_xlfn.CONCAT(Tableau1[[#This Row],[Athletes]],"_",Tableau1[[#This Row],[Nationality]],"_",Tableau1[[#This Row],[Competition_year]])</f>
        <v>Lilian ODIRA_KEN_2025</v>
      </c>
      <c r="B725" t="s">
        <v>1381</v>
      </c>
      <c r="C725" t="s">
        <v>29</v>
      </c>
      <c r="D725" s="18" t="s">
        <v>15</v>
      </c>
      <c r="E725">
        <v>14</v>
      </c>
      <c r="F725">
        <v>13.4</v>
      </c>
      <c r="G725">
        <v>14.5</v>
      </c>
      <c r="H725">
        <v>15</v>
      </c>
      <c r="I725">
        <v>14.6</v>
      </c>
      <c r="J725">
        <v>14.7</v>
      </c>
      <c r="K725">
        <v>14.9</v>
      </c>
      <c r="L725">
        <f>Tableau1[[#This Row],[Final_time]]-SUM(Tableau1[[#This Row],[0_100m]:[600_700m]])</f>
        <v>15.419999999999987</v>
      </c>
      <c r="M725">
        <v>116.52</v>
      </c>
      <c r="N725">
        <f>SUM(Tableau1[[#This Row],[0_100m]:[700_800m]])</f>
        <v>116.52</v>
      </c>
      <c r="O725">
        <f>ABS(Tableau1[[#This Row],[Final_time]]-Tableau1[[#This Row],[Sum_time]])</f>
        <v>0</v>
      </c>
      <c r="P725" s="8"/>
      <c r="Q725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25" t="s">
        <v>1383</v>
      </c>
      <c r="S725" s="1" t="s">
        <v>68</v>
      </c>
      <c r="U725" s="1" t="s">
        <v>69</v>
      </c>
      <c r="V725" s="1">
        <v>45885</v>
      </c>
      <c r="W725" s="4">
        <f>YEAR(Tableau1[[#This Row],[Competition_date]])</f>
        <v>2025</v>
      </c>
      <c r="X725" s="4">
        <v>28</v>
      </c>
      <c r="Y725" s="6">
        <v>0.54</v>
      </c>
      <c r="Z725" s="4" t="s">
        <v>79</v>
      </c>
    </row>
    <row r="726" spans="1:27" hidden="1" x14ac:dyDescent="0.35">
      <c r="A726" t="str">
        <f>_xlfn.CONCAT(Tableau1[[#This Row],[Athletes]],"_",Tableau1[[#This Row],[Nationality]],"_",Tableau1[[#This Row],[Competition_year]])</f>
        <v>Oratile NOWE_BOT_2025</v>
      </c>
      <c r="B726" t="s">
        <v>1352</v>
      </c>
      <c r="C726" t="s">
        <v>29</v>
      </c>
      <c r="D726" s="18" t="s">
        <v>44</v>
      </c>
      <c r="E726">
        <v>14</v>
      </c>
      <c r="F726">
        <v>13.4</v>
      </c>
      <c r="G726">
        <v>14.5</v>
      </c>
      <c r="H726">
        <v>15</v>
      </c>
      <c r="I726">
        <v>15.1</v>
      </c>
      <c r="J726">
        <v>15.1</v>
      </c>
      <c r="K726">
        <v>14.9</v>
      </c>
      <c r="L726">
        <f>Tableau1[[#This Row],[Final_time]]-SUM(Tableau1[[#This Row],[0_100m]:[600_700m]])</f>
        <v>14.760000000000005</v>
      </c>
      <c r="M726">
        <v>116.76</v>
      </c>
      <c r="N726">
        <f>SUM(Tableau1[[#This Row],[0_100m]:[700_800m]])</f>
        <v>116.76</v>
      </c>
      <c r="O726">
        <f>ABS(Tableau1[[#This Row],[Final_time]]-Tableau1[[#This Row],[Sum_time]])</f>
        <v>0</v>
      </c>
      <c r="P726" s="8"/>
      <c r="Q726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26" t="s">
        <v>1383</v>
      </c>
      <c r="S726" s="1" t="s">
        <v>68</v>
      </c>
      <c r="U726" s="1" t="s">
        <v>69</v>
      </c>
      <c r="V726" s="1">
        <v>45885</v>
      </c>
      <c r="W726" s="4">
        <f>YEAR(Tableau1[[#This Row],[Competition_date]])</f>
        <v>2025</v>
      </c>
      <c r="X726" s="4">
        <v>28</v>
      </c>
      <c r="Y726" s="6">
        <v>0.54</v>
      </c>
      <c r="Z726" s="4" t="s">
        <v>79</v>
      </c>
    </row>
    <row r="727" spans="1:27" hidden="1" x14ac:dyDescent="0.35">
      <c r="A727" t="str">
        <f>_xlfn.CONCAT(Tableau1[[#This Row],[Athletes]],"_",Tableau1[[#This Row],[Nationality]],"_",Tableau1[[#This Row],[Competition_year]])</f>
        <v>Raevyn ROGERS_USA_2025</v>
      </c>
      <c r="B727" t="s">
        <v>221</v>
      </c>
      <c r="C727" t="s">
        <v>29</v>
      </c>
      <c r="D727" s="18" t="s">
        <v>35</v>
      </c>
      <c r="E727">
        <v>14</v>
      </c>
      <c r="F727">
        <v>13.5</v>
      </c>
      <c r="G727">
        <v>14.8</v>
      </c>
      <c r="H727">
        <v>15</v>
      </c>
      <c r="I727">
        <v>14.9</v>
      </c>
      <c r="J727">
        <v>15.2</v>
      </c>
      <c r="K727">
        <v>15</v>
      </c>
      <c r="L727">
        <f>Tableau1[[#This Row],[Final_time]]-SUM(Tableau1[[#This Row],[0_100m]:[600_700m]])</f>
        <v>15.11999999999999</v>
      </c>
      <c r="M727">
        <v>117.52</v>
      </c>
      <c r="N727">
        <f>SUM(Tableau1[[#This Row],[0_100m]:[700_800m]])</f>
        <v>117.52</v>
      </c>
      <c r="O727">
        <f>ABS(Tableau1[[#This Row],[Final_time]]-Tableau1[[#This Row],[Sum_time]])</f>
        <v>0</v>
      </c>
      <c r="P727" s="8"/>
      <c r="Q727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27" t="s">
        <v>1383</v>
      </c>
      <c r="S727" s="1" t="s">
        <v>68</v>
      </c>
      <c r="U727" s="1" t="s">
        <v>69</v>
      </c>
      <c r="V727" s="1">
        <v>45885</v>
      </c>
      <c r="W727" s="4">
        <f>YEAR(Tableau1[[#This Row],[Competition_date]])</f>
        <v>2025</v>
      </c>
      <c r="X727" s="4">
        <v>28</v>
      </c>
      <c r="Y727" s="6">
        <v>0.54</v>
      </c>
      <c r="Z727" s="4" t="s">
        <v>79</v>
      </c>
    </row>
    <row r="728" spans="1:27" hidden="1" x14ac:dyDescent="0.35">
      <c r="A728" t="str">
        <f>_xlfn.CONCAT(Tableau1[[#This Row],[Athletes]],"_",Tableau1[[#This Row],[Nationality]],"_",Tableau1[[#This Row],[Competition_year]])</f>
        <v>Claudia HOLLINGSWORTH_AUS_2025</v>
      </c>
      <c r="B728" t="s">
        <v>275</v>
      </c>
      <c r="C728" t="s">
        <v>29</v>
      </c>
      <c r="D728" s="18" t="s">
        <v>36</v>
      </c>
      <c r="E728">
        <v>14.2</v>
      </c>
      <c r="F728">
        <v>13.5</v>
      </c>
      <c r="G728">
        <v>14.9</v>
      </c>
      <c r="H728">
        <v>15</v>
      </c>
      <c r="I728">
        <v>14.9</v>
      </c>
      <c r="J728">
        <v>14.9</v>
      </c>
      <c r="K728">
        <v>15.2</v>
      </c>
      <c r="L728">
        <f>Tableau1[[#This Row],[Final_time]]-SUM(Tableau1[[#This Row],[0_100m]:[600_700m]])</f>
        <v>15.069999999999993</v>
      </c>
      <c r="M728">
        <v>117.67</v>
      </c>
      <c r="N728">
        <f>SUM(Tableau1[[#This Row],[0_100m]:[700_800m]])</f>
        <v>117.67</v>
      </c>
      <c r="O728">
        <f>ABS(Tableau1[[#This Row],[Final_time]]-Tableau1[[#This Row],[Sum_time]])</f>
        <v>0</v>
      </c>
      <c r="P728" s="8"/>
      <c r="Q728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28" t="s">
        <v>1383</v>
      </c>
      <c r="S728" s="1" t="s">
        <v>68</v>
      </c>
      <c r="U728" s="1" t="s">
        <v>69</v>
      </c>
      <c r="V728" s="1">
        <v>45885</v>
      </c>
      <c r="W728" s="4">
        <f>YEAR(Tableau1[[#This Row],[Competition_date]])</f>
        <v>2025</v>
      </c>
      <c r="X728" s="4">
        <v>28</v>
      </c>
      <c r="Y728" s="6">
        <v>0.54</v>
      </c>
      <c r="Z728" s="4" t="s">
        <v>79</v>
      </c>
    </row>
    <row r="729" spans="1:27" hidden="1" x14ac:dyDescent="0.35">
      <c r="A729" t="str">
        <f>_xlfn.CONCAT(Tableau1[[#This Row],[Athletes]],"_",Tableau1[[#This Row],[Nationality]],"_",Tableau1[[#This Row],[Competition_year]])</f>
        <v>Abbey CALDWELL_AUS_2025</v>
      </c>
      <c r="B729" t="s">
        <v>232</v>
      </c>
      <c r="C729" t="s">
        <v>29</v>
      </c>
      <c r="D729" s="18" t="s">
        <v>36</v>
      </c>
      <c r="E729">
        <v>14.2</v>
      </c>
      <c r="F729">
        <v>13.7</v>
      </c>
      <c r="G729">
        <v>14.6</v>
      </c>
      <c r="H729">
        <v>15.1</v>
      </c>
      <c r="I729">
        <v>15</v>
      </c>
      <c r="J729">
        <v>15.1</v>
      </c>
      <c r="K729">
        <v>15.1</v>
      </c>
      <c r="L729">
        <f>Tableau1[[#This Row],[Final_time]]-SUM(Tableau1[[#This Row],[0_100m]:[600_700m]])</f>
        <v>14.90000000000002</v>
      </c>
      <c r="M729">
        <v>117.7</v>
      </c>
      <c r="N729">
        <f>SUM(Tableau1[[#This Row],[0_100m]:[700_800m]])</f>
        <v>117.7</v>
      </c>
      <c r="O729">
        <f>ABS(Tableau1[[#This Row],[Final_time]]-Tableau1[[#This Row],[Sum_time]])</f>
        <v>0</v>
      </c>
      <c r="P729" s="8"/>
      <c r="Q729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29" t="s">
        <v>1383</v>
      </c>
      <c r="S729" s="1" t="s">
        <v>68</v>
      </c>
      <c r="U729" s="1" t="s">
        <v>69</v>
      </c>
      <c r="V729" s="1">
        <v>45885</v>
      </c>
      <c r="W729" s="4">
        <f>YEAR(Tableau1[[#This Row],[Competition_date]])</f>
        <v>2025</v>
      </c>
      <c r="X729" s="4">
        <v>28</v>
      </c>
      <c r="Y729" s="6">
        <v>0.54</v>
      </c>
      <c r="Z729" s="4" t="s">
        <v>79</v>
      </c>
    </row>
    <row r="730" spans="1:27" hidden="1" x14ac:dyDescent="0.35">
      <c r="A730" t="str">
        <f>_xlfn.CONCAT(Tableau1[[#This Row],[Athletes]],"_",Tableau1[[#This Row],[Nationality]],"_",Tableau1[[#This Row],[Competition_year]])</f>
        <v>Clara LIBERMAN_FRA_2025</v>
      </c>
      <c r="B730" t="s">
        <v>1382</v>
      </c>
      <c r="C730" t="s">
        <v>29</v>
      </c>
      <c r="D730" s="18" t="s">
        <v>17</v>
      </c>
      <c r="E730">
        <v>14.5</v>
      </c>
      <c r="F730">
        <v>13.9</v>
      </c>
      <c r="G730">
        <v>14.9</v>
      </c>
      <c r="H730">
        <v>15</v>
      </c>
      <c r="I730">
        <v>15.4</v>
      </c>
      <c r="J730">
        <v>14.9</v>
      </c>
      <c r="K730">
        <v>15.1</v>
      </c>
      <c r="L730">
        <f>Tableau1[[#This Row],[Final_time]]-SUM(Tableau1[[#This Row],[0_100m]:[600_700m]])</f>
        <v>15.11999999999999</v>
      </c>
      <c r="M730">
        <v>118.82</v>
      </c>
      <c r="N730">
        <f>SUM(Tableau1[[#This Row],[0_100m]:[700_800m]])</f>
        <v>118.82</v>
      </c>
      <c r="O730">
        <f>ABS(Tableau1[[#This Row],[Final_time]]-Tableau1[[#This Row],[Sum_time]])</f>
        <v>0</v>
      </c>
      <c r="P730" s="8"/>
      <c r="Q730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30" t="s">
        <v>1383</v>
      </c>
      <c r="S730" s="1" t="s">
        <v>68</v>
      </c>
      <c r="U730" s="1" t="s">
        <v>69</v>
      </c>
      <c r="V730" s="1">
        <v>45885</v>
      </c>
      <c r="W730" s="4">
        <f>YEAR(Tableau1[[#This Row],[Competition_date]])</f>
        <v>2025</v>
      </c>
      <c r="X730" s="4">
        <v>28</v>
      </c>
      <c r="Y730" s="6">
        <v>0.54</v>
      </c>
      <c r="Z730" s="4" t="s">
        <v>79</v>
      </c>
    </row>
    <row r="731" spans="1:27" hidden="1" x14ac:dyDescent="0.35">
      <c r="A731" t="str">
        <f>_xlfn.CONCAT(Tableau1[[#This Row],[Athletes]],"_",Tableau1[[#This Row],[Nationality]],"_",Tableau1[[#This Row],[Competition_year]])</f>
        <v>Angelika SARNA_POL_2025</v>
      </c>
      <c r="B731" t="s">
        <v>442</v>
      </c>
      <c r="C731" t="s">
        <v>29</v>
      </c>
      <c r="D731" s="18" t="s">
        <v>88</v>
      </c>
      <c r="E731">
        <v>14.1</v>
      </c>
      <c r="F731">
        <v>13.7</v>
      </c>
      <c r="G731">
        <v>14.9</v>
      </c>
      <c r="H731">
        <v>15.1</v>
      </c>
      <c r="I731">
        <v>15</v>
      </c>
      <c r="J731">
        <v>15.3</v>
      </c>
      <c r="K731">
        <v>15.4</v>
      </c>
      <c r="L731">
        <f>Tableau1[[#This Row],[Final_time]]-SUM(Tableau1[[#This Row],[0_100m]:[600_700m]])</f>
        <v>15.579999999999998</v>
      </c>
      <c r="M731">
        <v>119.08</v>
      </c>
      <c r="N731">
        <f>SUM(Tableau1[[#This Row],[0_100m]:[700_800m]])</f>
        <v>119.08</v>
      </c>
      <c r="O731">
        <f>ABS(Tableau1[[#This Row],[Final_time]]-Tableau1[[#This Row],[Sum_time]])</f>
        <v>0</v>
      </c>
      <c r="P731" s="8"/>
      <c r="Q731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31" t="s">
        <v>1383</v>
      </c>
      <c r="S731" s="1" t="s">
        <v>68</v>
      </c>
      <c r="U731" s="1" t="s">
        <v>69</v>
      </c>
      <c r="V731" s="1">
        <v>45885</v>
      </c>
      <c r="W731" s="4">
        <f>YEAR(Tableau1[[#This Row],[Competition_date]])</f>
        <v>2025</v>
      </c>
      <c r="X731" s="4">
        <v>28</v>
      </c>
      <c r="Y731" s="6">
        <v>0.54</v>
      </c>
      <c r="Z731" s="4" t="s">
        <v>79</v>
      </c>
    </row>
    <row r="732" spans="1:27" hidden="1" x14ac:dyDescent="0.35">
      <c r="A732" t="str">
        <f>_xlfn.CONCAT(Tableau1[[#This Row],[Athletes]],"_",Tableau1[[#This Row],[Nationality]],"_",Tableau1[[#This Row],[Competition_year]])</f>
        <v>Margarita KOCZANOWA_POL_2025</v>
      </c>
      <c r="B732" t="s">
        <v>1026</v>
      </c>
      <c r="C732" t="s">
        <v>29</v>
      </c>
      <c r="D732" s="18" t="s">
        <v>88</v>
      </c>
      <c r="E732">
        <v>14.3</v>
      </c>
      <c r="F732">
        <v>13.8</v>
      </c>
      <c r="G732">
        <v>15</v>
      </c>
      <c r="H732">
        <v>15.1</v>
      </c>
      <c r="I732">
        <v>15</v>
      </c>
      <c r="J732">
        <v>15.2</v>
      </c>
      <c r="K732">
        <v>15.3</v>
      </c>
      <c r="L732">
        <f>Tableau1[[#This Row],[Final_time]]-SUM(Tableau1[[#This Row],[0_100m]:[600_700m]])</f>
        <v>16.200000000000003</v>
      </c>
      <c r="M732">
        <v>119.9</v>
      </c>
      <c r="N732">
        <f>SUM(Tableau1[[#This Row],[0_100m]:[700_800m]])</f>
        <v>119.9</v>
      </c>
      <c r="O732">
        <f>ABS(Tableau1[[#This Row],[Final_time]]-Tableau1[[#This Row],[Sum_time]])</f>
        <v>0</v>
      </c>
      <c r="P732" s="8"/>
      <c r="Q732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32" t="s">
        <v>1383</v>
      </c>
      <c r="S732" s="1" t="s">
        <v>68</v>
      </c>
      <c r="U732" s="1" t="s">
        <v>69</v>
      </c>
      <c r="V732" s="1">
        <v>45885</v>
      </c>
      <c r="W732" s="4">
        <f>YEAR(Tableau1[[#This Row],[Competition_date]])</f>
        <v>2025</v>
      </c>
      <c r="X732" s="4">
        <v>28</v>
      </c>
      <c r="Y732" s="6">
        <v>0.54</v>
      </c>
      <c r="Z732" s="4" t="s">
        <v>79</v>
      </c>
    </row>
    <row r="733" spans="1:27" hidden="1" x14ac:dyDescent="0.35">
      <c r="A733" t="str">
        <f>_xlfn.CONCAT(Tableau1[[#This Row],[Athletes]],"_",Tableau1[[#This Row],[Nationality]],"_",Tableau1[[#This Row],[Competition_year]])</f>
        <v>Catriona BISSET_AUS_2025</v>
      </c>
      <c r="B733" t="s">
        <v>217</v>
      </c>
      <c r="C733" t="s">
        <v>29</v>
      </c>
      <c r="D733" s="18" t="s">
        <v>36</v>
      </c>
      <c r="E733">
        <v>14</v>
      </c>
      <c r="F733">
        <v>13.6</v>
      </c>
      <c r="G733">
        <v>14.6</v>
      </c>
      <c r="H733">
        <v>15</v>
      </c>
      <c r="I733">
        <v>15.2</v>
      </c>
      <c r="J733">
        <v>15.4</v>
      </c>
      <c r="K733">
        <v>15.6</v>
      </c>
      <c r="L733">
        <f>Tableau1[[#This Row],[Final_time]]-SUM(Tableau1[[#This Row],[0_100m]:[600_700m]])</f>
        <v>17.239999999999995</v>
      </c>
      <c r="M733">
        <v>120.64</v>
      </c>
      <c r="N733">
        <f>SUM(Tableau1[[#This Row],[0_100m]:[700_800m]])</f>
        <v>120.64</v>
      </c>
      <c r="O733">
        <f>ABS(Tableau1[[#This Row],[Final_time]]-Tableau1[[#This Row],[Sum_time]])</f>
        <v>0</v>
      </c>
      <c r="P733" s="8"/>
      <c r="Q733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33" t="s">
        <v>1383</v>
      </c>
      <c r="S733" s="1" t="s">
        <v>68</v>
      </c>
      <c r="U733" s="1" t="s">
        <v>69</v>
      </c>
      <c r="V733" s="1">
        <v>45885</v>
      </c>
      <c r="W733" s="4">
        <f>YEAR(Tableau1[[#This Row],[Competition_date]])</f>
        <v>2025</v>
      </c>
      <c r="X733" s="4">
        <v>28</v>
      </c>
      <c r="Y733" s="6">
        <v>0.54</v>
      </c>
      <c r="Z733" s="4" t="s">
        <v>79</v>
      </c>
    </row>
    <row r="734" spans="1:27" hidden="1" x14ac:dyDescent="0.35">
      <c r="A734" t="str">
        <f>_xlfn.CONCAT(Tableau1[[#This Row],[Athletes]],"_",Tableau1[[#This Row],[Nationality]],"_",Tableau1[[#This Row],[Competition_year]])</f>
        <v>Gabriela GAJANOVÁ_SVK_2025</v>
      </c>
      <c r="B734" t="s">
        <v>349</v>
      </c>
      <c r="C734" t="s">
        <v>29</v>
      </c>
      <c r="D734" s="18" t="s">
        <v>100</v>
      </c>
      <c r="E734">
        <v>14.2</v>
      </c>
      <c r="F734">
        <v>13.7</v>
      </c>
      <c r="G734">
        <v>15</v>
      </c>
      <c r="H734">
        <v>15.2</v>
      </c>
      <c r="I734">
        <v>15.6</v>
      </c>
      <c r="J734">
        <v>15.7</v>
      </c>
      <c r="K734">
        <v>16.100000000000001</v>
      </c>
      <c r="L734">
        <f>Tableau1[[#This Row],[Final_time]]-SUM(Tableau1[[#This Row],[0_100m]:[600_700m]])</f>
        <v>15.670000000000002</v>
      </c>
      <c r="M734">
        <v>121.17</v>
      </c>
      <c r="N734">
        <f>SUM(Tableau1[[#This Row],[0_100m]:[700_800m]])</f>
        <v>121.17</v>
      </c>
      <c r="O734">
        <f>ABS(Tableau1[[#This Row],[Final_time]]-Tableau1[[#This Row],[Sum_time]])</f>
        <v>0</v>
      </c>
      <c r="P734" s="8"/>
      <c r="Q734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34" t="s">
        <v>1383</v>
      </c>
      <c r="S734" s="1" t="s">
        <v>68</v>
      </c>
      <c r="U734" s="1" t="s">
        <v>69</v>
      </c>
      <c r="V734" s="1">
        <v>45885</v>
      </c>
      <c r="W734" s="4">
        <f>YEAR(Tableau1[[#This Row],[Competition_date]])</f>
        <v>2025</v>
      </c>
      <c r="X734" s="4">
        <v>28</v>
      </c>
      <c r="Y734" s="6">
        <v>0.54</v>
      </c>
      <c r="Z734" s="4" t="s">
        <v>79</v>
      </c>
    </row>
    <row r="735" spans="1:27" hidden="1" x14ac:dyDescent="0.35">
      <c r="A735" t="str">
        <f>_xlfn.CONCAT(Tableau1[[#This Row],[Athletes]],"_",Tableau1[[#This Row],[Nationality]],"_",Tableau1[[#This Row],[Competition_year]])</f>
        <v>Anna WIELGOSZ_POL_2025</v>
      </c>
      <c r="B735" t="s">
        <v>276</v>
      </c>
      <c r="C735" t="s">
        <v>29</v>
      </c>
      <c r="D735" s="18" t="s">
        <v>88</v>
      </c>
      <c r="E735">
        <v>14.9</v>
      </c>
      <c r="F735">
        <v>14.4</v>
      </c>
      <c r="G735">
        <v>15</v>
      </c>
      <c r="H735">
        <v>15.4</v>
      </c>
      <c r="I735">
        <v>15.4</v>
      </c>
      <c r="J735">
        <v>15.6</v>
      </c>
      <c r="K735">
        <v>15.7</v>
      </c>
      <c r="L735">
        <f>Tableau1[[#This Row],[Final_time]]-SUM(Tableau1[[#This Row],[0_100m]:[600_700m]])</f>
        <v>15.200000000000003</v>
      </c>
      <c r="M735">
        <v>121.6</v>
      </c>
      <c r="N735">
        <f>SUM(Tableau1[[#This Row],[0_100m]:[700_800m]])</f>
        <v>121.6</v>
      </c>
      <c r="O735">
        <f>ABS(Tableau1[[#This Row],[Final_time]]-Tableau1[[#This Row],[Sum_time]])</f>
        <v>0</v>
      </c>
      <c r="P735" s="8"/>
      <c r="Q735" s="1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R735" t="s">
        <v>1383</v>
      </c>
      <c r="S735" s="1" t="s">
        <v>68</v>
      </c>
      <c r="U735" s="1" t="s">
        <v>69</v>
      </c>
      <c r="V735" s="1">
        <v>45885</v>
      </c>
      <c r="W735" s="4">
        <f>YEAR(Tableau1[[#This Row],[Competition_date]])</f>
        <v>2025</v>
      </c>
      <c r="X735" s="4">
        <v>28</v>
      </c>
      <c r="Y735" s="6">
        <v>0.54</v>
      </c>
      <c r="Z735" s="4" t="s">
        <v>79</v>
      </c>
    </row>
    <row r="736" spans="1:27" hidden="1" x14ac:dyDescent="0.35">
      <c r="A736" t="str">
        <f>_xlfn.CONCAT(Tableau1[[#This Row],[Athletes]],"_",Tableau1[[#This Row],[Nationality]],"_",Tableau1[[#This Row],[Competition_year]])</f>
        <v>Jonathan KITILIT_KEN_2021</v>
      </c>
      <c r="B736" s="9" t="s">
        <v>487</v>
      </c>
      <c r="C736" s="9" t="s">
        <v>14</v>
      </c>
      <c r="D736" s="12" t="s">
        <v>15</v>
      </c>
      <c r="E736" s="9">
        <v>13.2</v>
      </c>
      <c r="F736" s="9">
        <v>12.2</v>
      </c>
      <c r="G736" s="9">
        <v>12.9</v>
      </c>
      <c r="H736" s="9">
        <v>13.2</v>
      </c>
      <c r="I736" s="9">
        <v>13.1</v>
      </c>
      <c r="J736" s="9">
        <v>13</v>
      </c>
      <c r="K736" s="9">
        <v>13.3</v>
      </c>
      <c r="L736">
        <f>Tableau1[[#This Row],[Final_time]]-SUM(Tableau1[[#This Row],[0_100m]:[600_700m]])</f>
        <v>13.780000000000015</v>
      </c>
      <c r="M736" s="13">
        <v>104.68</v>
      </c>
      <c r="N736">
        <f>SUM(Tableau1[[#This Row],[0_100m]:[700_800m]])</f>
        <v>104.68</v>
      </c>
      <c r="O736">
        <f>ABS(Tableau1[[#This Row],[Final_time]]-Tableau1[[#This Row],[Sum_time]])</f>
        <v>0</v>
      </c>
      <c r="P736" s="8"/>
      <c r="Q736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36" t="s">
        <v>486</v>
      </c>
      <c r="S736" s="1" t="s">
        <v>68</v>
      </c>
      <c r="U736" s="1" t="s">
        <v>69</v>
      </c>
      <c r="V736" s="1">
        <v>44381</v>
      </c>
      <c r="W736" s="4">
        <f>YEAR(Tableau1[[#This Row],[Competition_date]])</f>
        <v>2021</v>
      </c>
      <c r="X736" s="4">
        <v>27</v>
      </c>
      <c r="Y736" s="6">
        <v>0.35</v>
      </c>
      <c r="Z736" s="4" t="s">
        <v>79</v>
      </c>
      <c r="AA736" t="s">
        <v>176</v>
      </c>
    </row>
    <row r="737" spans="1:27" hidden="1" x14ac:dyDescent="0.35">
      <c r="A737" t="str">
        <f>_xlfn.CONCAT(Tableau1[[#This Row],[Athletes]],"_",Tableau1[[#This Row],[Nationality]],"_",Tableau1[[#This Row],[Competition_year]])</f>
        <v>Archie DAVIS_GBR_2021</v>
      </c>
      <c r="B737" s="9" t="s">
        <v>294</v>
      </c>
      <c r="C737" s="9" t="s">
        <v>14</v>
      </c>
      <c r="D737" s="12" t="s">
        <v>30</v>
      </c>
      <c r="E737" s="9">
        <v>13.3</v>
      </c>
      <c r="F737" s="9">
        <v>12.6</v>
      </c>
      <c r="G737" s="9">
        <v>13.2</v>
      </c>
      <c r="H737" s="9">
        <v>13.4</v>
      </c>
      <c r="I737" s="9">
        <v>13.1</v>
      </c>
      <c r="J737" s="9">
        <v>12.9</v>
      </c>
      <c r="K737" s="9">
        <v>13.1</v>
      </c>
      <c r="L737">
        <f>Tableau1[[#This Row],[Final_time]]-SUM(Tableau1[[#This Row],[0_100m]:[600_700m]])</f>
        <v>13.120000000000005</v>
      </c>
      <c r="M737" s="13">
        <v>104.72</v>
      </c>
      <c r="N737">
        <f>SUM(Tableau1[[#This Row],[0_100m]:[700_800m]])</f>
        <v>104.72</v>
      </c>
      <c r="O737">
        <f>ABS(Tableau1[[#This Row],[Final_time]]-Tableau1[[#This Row],[Sum_time]])</f>
        <v>0</v>
      </c>
      <c r="P737" s="8"/>
      <c r="Q737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37" t="s">
        <v>486</v>
      </c>
      <c r="S737" s="1" t="s">
        <v>68</v>
      </c>
      <c r="U737" s="1" t="s">
        <v>69</v>
      </c>
      <c r="V737" s="1">
        <v>44381</v>
      </c>
      <c r="W737" s="4">
        <f>YEAR(Tableau1[[#This Row],[Competition_date]])</f>
        <v>2021</v>
      </c>
      <c r="X737" s="4">
        <v>27</v>
      </c>
      <c r="Y737" s="6">
        <v>0.35</v>
      </c>
      <c r="Z737" s="4" t="s">
        <v>79</v>
      </c>
      <c r="AA737" t="s">
        <v>176</v>
      </c>
    </row>
    <row r="738" spans="1:27" hidden="1" x14ac:dyDescent="0.35">
      <c r="A738" t="str">
        <f>_xlfn.CONCAT(Tableau1[[#This Row],[Athletes]],"_",Tableau1[[#This Row],[Nationality]],"_",Tableau1[[#This Row],[Competition_year]])</f>
        <v>Piers COPELAND_GBR_2021</v>
      </c>
      <c r="B738" s="9" t="s">
        <v>488</v>
      </c>
      <c r="C738" s="9" t="s">
        <v>14</v>
      </c>
      <c r="D738" s="12" t="s">
        <v>30</v>
      </c>
      <c r="E738" s="9">
        <v>13.3</v>
      </c>
      <c r="F738" s="9">
        <v>13</v>
      </c>
      <c r="G738" s="9">
        <v>13.6</v>
      </c>
      <c r="H738" s="9">
        <v>13.4</v>
      </c>
      <c r="I738" s="9">
        <v>13.2</v>
      </c>
      <c r="J738" s="9">
        <v>13</v>
      </c>
      <c r="K738" s="9">
        <v>13.3</v>
      </c>
      <c r="L738">
        <f>Tableau1[[#This Row],[Final_time]]-SUM(Tableau1[[#This Row],[0_100m]:[600_700m]])</f>
        <v>12.969999999999999</v>
      </c>
      <c r="M738" s="13">
        <v>105.77</v>
      </c>
      <c r="N738">
        <f>SUM(Tableau1[[#This Row],[0_100m]:[700_800m]])</f>
        <v>105.77</v>
      </c>
      <c r="O738">
        <f>ABS(Tableau1[[#This Row],[Final_time]]-Tableau1[[#This Row],[Sum_time]])</f>
        <v>0</v>
      </c>
      <c r="P738" s="8"/>
      <c r="Q738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38" t="s">
        <v>486</v>
      </c>
      <c r="S738" s="1" t="s">
        <v>68</v>
      </c>
      <c r="U738" s="1" t="s">
        <v>69</v>
      </c>
      <c r="V738" s="1">
        <v>44381</v>
      </c>
      <c r="W738" s="4">
        <f>YEAR(Tableau1[[#This Row],[Competition_date]])</f>
        <v>2021</v>
      </c>
      <c r="X738" s="4">
        <v>27</v>
      </c>
      <c r="Y738" s="6">
        <v>0.35</v>
      </c>
      <c r="Z738" s="4" t="s">
        <v>79</v>
      </c>
      <c r="AA738" t="s">
        <v>176</v>
      </c>
    </row>
    <row r="739" spans="1:27" hidden="1" x14ac:dyDescent="0.35">
      <c r="A739" t="str">
        <f>_xlfn.CONCAT(Tableau1[[#This Row],[Athletes]],"_",Tableau1[[#This Row],[Nationality]],"_",Tableau1[[#This Row],[Competition_year]])</f>
        <v>Luke MCCANN_IRL_2021</v>
      </c>
      <c r="B739" s="9" t="s">
        <v>1012</v>
      </c>
      <c r="C739" s="9" t="s">
        <v>14</v>
      </c>
      <c r="D739" s="12" t="s">
        <v>66</v>
      </c>
      <c r="E739" s="9">
        <v>13.4</v>
      </c>
      <c r="F739" s="9">
        <v>12.7</v>
      </c>
      <c r="G739" s="9">
        <v>13.5</v>
      </c>
      <c r="H739" s="9">
        <v>13.5</v>
      </c>
      <c r="I739" s="9">
        <v>13.2</v>
      </c>
      <c r="J739" s="9">
        <v>13.1</v>
      </c>
      <c r="K739" s="9">
        <v>13.3</v>
      </c>
      <c r="L739">
        <f>Tableau1[[#This Row],[Final_time]]-SUM(Tableau1[[#This Row],[0_100m]:[600_700m]])</f>
        <v>13.660000000000011</v>
      </c>
      <c r="M739" s="13">
        <v>106.36</v>
      </c>
      <c r="N739">
        <f>SUM(Tableau1[[#This Row],[0_100m]:[700_800m]])</f>
        <v>106.36</v>
      </c>
      <c r="O739">
        <f>ABS(Tableau1[[#This Row],[Final_time]]-Tableau1[[#This Row],[Sum_time]])</f>
        <v>0</v>
      </c>
      <c r="P739" s="8"/>
      <c r="Q739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39" t="s">
        <v>486</v>
      </c>
      <c r="S739" s="1" t="s">
        <v>68</v>
      </c>
      <c r="U739" s="1" t="s">
        <v>69</v>
      </c>
      <c r="V739" s="1">
        <v>44381</v>
      </c>
      <c r="W739" s="4">
        <f>YEAR(Tableau1[[#This Row],[Competition_date]])</f>
        <v>2021</v>
      </c>
      <c r="X739" s="4">
        <v>27</v>
      </c>
      <c r="Y739" s="6">
        <v>0.35</v>
      </c>
      <c r="Z739" s="4" t="s">
        <v>79</v>
      </c>
      <c r="AA739" t="s">
        <v>176</v>
      </c>
    </row>
    <row r="740" spans="1:27" hidden="1" x14ac:dyDescent="0.35">
      <c r="A740" t="str">
        <f>_xlfn.CONCAT(Tableau1[[#This Row],[Athletes]],"_",Tableau1[[#This Row],[Nationality]],"_",Tableau1[[#This Row],[Competition_year]])</f>
        <v>Jake HEYWARD_GBR_2021</v>
      </c>
      <c r="B740" s="9" t="s">
        <v>489</v>
      </c>
      <c r="C740" s="9" t="s">
        <v>14</v>
      </c>
      <c r="D740" s="12" t="s">
        <v>30</v>
      </c>
      <c r="E740" s="9">
        <v>13.3</v>
      </c>
      <c r="F740" s="9">
        <v>12.9</v>
      </c>
      <c r="G740" s="9">
        <v>13.9</v>
      </c>
      <c r="H740" s="9">
        <v>13.4</v>
      </c>
      <c r="I740" s="9">
        <v>13.1</v>
      </c>
      <c r="J740" s="9">
        <v>12.6</v>
      </c>
      <c r="K740" s="9">
        <v>13.4</v>
      </c>
      <c r="L740">
        <f>Tableau1[[#This Row],[Final_time]]-SUM(Tableau1[[#This Row],[0_100m]:[600_700m]])</f>
        <v>13.870000000000005</v>
      </c>
      <c r="M740" s="13">
        <v>106.47</v>
      </c>
      <c r="N740">
        <f>SUM(Tableau1[[#This Row],[0_100m]:[700_800m]])</f>
        <v>106.47</v>
      </c>
      <c r="O740">
        <f>ABS(Tableau1[[#This Row],[Final_time]]-Tableau1[[#This Row],[Sum_time]])</f>
        <v>0</v>
      </c>
      <c r="P740" s="8"/>
      <c r="Q740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40" t="s">
        <v>486</v>
      </c>
      <c r="S740" s="1" t="s">
        <v>68</v>
      </c>
      <c r="U740" s="1" t="s">
        <v>69</v>
      </c>
      <c r="V740" s="1">
        <v>44381</v>
      </c>
      <c r="W740" s="4">
        <f>YEAR(Tableau1[[#This Row],[Competition_date]])</f>
        <v>2021</v>
      </c>
      <c r="X740" s="4">
        <v>27</v>
      </c>
      <c r="Y740" s="6">
        <v>0.35</v>
      </c>
      <c r="Z740" s="4" t="s">
        <v>79</v>
      </c>
      <c r="AA740" t="s">
        <v>176</v>
      </c>
    </row>
    <row r="741" spans="1:27" hidden="1" x14ac:dyDescent="0.35">
      <c r="A741" t="str">
        <f>_xlfn.CONCAT(Tableau1[[#This Row],[Athletes]],"_",Tableau1[[#This Row],[Nationality]],"_",Tableau1[[#This Row],[Competition_year]])</f>
        <v>Joakim ANDERSSON_SWE_2021</v>
      </c>
      <c r="B741" s="9" t="s">
        <v>405</v>
      </c>
      <c r="C741" s="9" t="s">
        <v>14</v>
      </c>
      <c r="D741" s="12" t="s">
        <v>28</v>
      </c>
      <c r="E741" s="9">
        <v>13.2</v>
      </c>
      <c r="F741" s="9">
        <v>12.5</v>
      </c>
      <c r="G741" s="9">
        <v>13.1</v>
      </c>
      <c r="H741" s="9">
        <v>13.2</v>
      </c>
      <c r="I741" s="9">
        <v>13.3</v>
      </c>
      <c r="J741" s="9">
        <v>13.4</v>
      </c>
      <c r="K741" s="9">
        <v>13.7</v>
      </c>
      <c r="L741">
        <f>Tableau1[[#This Row],[Final_time]]-SUM(Tableau1[[#This Row],[0_100m]:[600_700m]])</f>
        <v>14.11</v>
      </c>
      <c r="M741" s="13">
        <v>106.51</v>
      </c>
      <c r="N741">
        <f>SUM(Tableau1[[#This Row],[0_100m]:[700_800m]])</f>
        <v>106.51</v>
      </c>
      <c r="O741">
        <f>ABS(Tableau1[[#This Row],[Final_time]]-Tableau1[[#This Row],[Sum_time]])</f>
        <v>0</v>
      </c>
      <c r="P741" s="8"/>
      <c r="Q741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41" t="s">
        <v>486</v>
      </c>
      <c r="S741" s="1" t="s">
        <v>68</v>
      </c>
      <c r="U741" s="1" t="s">
        <v>69</v>
      </c>
      <c r="V741" s="1">
        <v>44381</v>
      </c>
      <c r="W741" s="4">
        <f>YEAR(Tableau1[[#This Row],[Competition_date]])</f>
        <v>2021</v>
      </c>
      <c r="X741" s="4">
        <v>27</v>
      </c>
      <c r="Y741" s="6">
        <v>0.35</v>
      </c>
      <c r="Z741" s="4" t="s">
        <v>79</v>
      </c>
      <c r="AA741" t="s">
        <v>176</v>
      </c>
    </row>
    <row r="742" spans="1:27" hidden="1" x14ac:dyDescent="0.35">
      <c r="A742" t="str">
        <f>_xlfn.CONCAT(Tableau1[[#This Row],[Athletes]],"_",Tableau1[[#This Row],[Nationality]],"_",Tableau1[[#This Row],[Competition_year]])</f>
        <v>John FITZSIMONS_IRL_2021</v>
      </c>
      <c r="B742" s="9" t="s">
        <v>193</v>
      </c>
      <c r="C742" s="9" t="s">
        <v>14</v>
      </c>
      <c r="D742" s="12" t="s">
        <v>66</v>
      </c>
      <c r="E742" s="9">
        <v>13.1</v>
      </c>
      <c r="F742" s="9">
        <v>12.5</v>
      </c>
      <c r="G742" s="9">
        <v>13</v>
      </c>
      <c r="H742" s="9">
        <v>13.1</v>
      </c>
      <c r="I742" s="9">
        <v>13.4</v>
      </c>
      <c r="J742" s="9">
        <v>13.4</v>
      </c>
      <c r="K742" s="9">
        <v>13.9</v>
      </c>
      <c r="L742">
        <f>Tableau1[[#This Row],[Final_time]]-SUM(Tableau1[[#This Row],[0_100m]:[600_700m]])</f>
        <v>14.139999999999986</v>
      </c>
      <c r="M742" s="13">
        <v>106.54</v>
      </c>
      <c r="N742">
        <f>SUM(Tableau1[[#This Row],[0_100m]:[700_800m]])</f>
        <v>106.54</v>
      </c>
      <c r="O742">
        <f>ABS(Tableau1[[#This Row],[Final_time]]-Tableau1[[#This Row],[Sum_time]])</f>
        <v>0</v>
      </c>
      <c r="P742" s="8"/>
      <c r="Q742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42" t="s">
        <v>486</v>
      </c>
      <c r="S742" s="1" t="s">
        <v>68</v>
      </c>
      <c r="U742" s="1" t="s">
        <v>69</v>
      </c>
      <c r="V742" s="1">
        <v>44381</v>
      </c>
      <c r="W742" s="4">
        <f>YEAR(Tableau1[[#This Row],[Competition_date]])</f>
        <v>2021</v>
      </c>
      <c r="X742" s="4">
        <v>27</v>
      </c>
      <c r="Y742" s="6">
        <v>0.35</v>
      </c>
      <c r="Z742" s="4" t="s">
        <v>79</v>
      </c>
      <c r="AA742" t="s">
        <v>176</v>
      </c>
    </row>
    <row r="743" spans="1:27" hidden="1" x14ac:dyDescent="0.35">
      <c r="A743" t="str">
        <f>_xlfn.CONCAT(Tableau1[[#This Row],[Athletes]],"_",Tableau1[[#This Row],[Nationality]],"_",Tableau1[[#This Row],[Competition_year]])</f>
        <v>Alexander LUNDSKOG_SWE_2021</v>
      </c>
      <c r="B743" s="9" t="s">
        <v>322</v>
      </c>
      <c r="C743" s="9" t="s">
        <v>14</v>
      </c>
      <c r="D743" s="12" t="s">
        <v>28</v>
      </c>
      <c r="E743" s="9">
        <v>13.1</v>
      </c>
      <c r="F743" s="9">
        <v>12.8</v>
      </c>
      <c r="G743" s="9">
        <v>13.5</v>
      </c>
      <c r="H743" s="9">
        <v>13.4</v>
      </c>
      <c r="I743" s="9">
        <v>13.5</v>
      </c>
      <c r="J743" s="9">
        <v>13.4</v>
      </c>
      <c r="K743" s="9">
        <v>13.8</v>
      </c>
      <c r="L743">
        <f>Tableau1[[#This Row],[Final_time]]-SUM(Tableau1[[#This Row],[0_100m]:[600_700m]])</f>
        <v>14.209999999999994</v>
      </c>
      <c r="M743" s="13">
        <v>107.71</v>
      </c>
      <c r="N743">
        <f>SUM(Tableau1[[#This Row],[0_100m]:[700_800m]])</f>
        <v>107.71</v>
      </c>
      <c r="O743">
        <f>ABS(Tableau1[[#This Row],[Final_time]]-Tableau1[[#This Row],[Sum_time]])</f>
        <v>0</v>
      </c>
      <c r="P743" s="8"/>
      <c r="Q743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43" t="s">
        <v>486</v>
      </c>
      <c r="S743" s="1" t="s">
        <v>68</v>
      </c>
      <c r="U743" s="1" t="s">
        <v>69</v>
      </c>
      <c r="V743" s="1">
        <v>44381</v>
      </c>
      <c r="W743" s="4">
        <f>YEAR(Tableau1[[#This Row],[Competition_date]])</f>
        <v>2021</v>
      </c>
      <c r="X743" s="4">
        <v>27</v>
      </c>
      <c r="Y743" s="6">
        <v>0.35</v>
      </c>
      <c r="Z743" s="4" t="s">
        <v>79</v>
      </c>
      <c r="AA743" t="s">
        <v>176</v>
      </c>
    </row>
    <row r="744" spans="1:27" hidden="1" x14ac:dyDescent="0.35">
      <c r="A744" t="str">
        <f>_xlfn.CONCAT(Tableau1[[#This Row],[Athletes]],"_",Tableau1[[#This Row],[Nationality]],"_",Tableau1[[#This Row],[Competition_year]])</f>
        <v>Johan ROGESTEDT_SWE_2021</v>
      </c>
      <c r="B744" s="9" t="s">
        <v>490</v>
      </c>
      <c r="C744" s="9" t="s">
        <v>14</v>
      </c>
      <c r="D744" s="12" t="s">
        <v>28</v>
      </c>
      <c r="E744" s="9">
        <v>13.3</v>
      </c>
      <c r="F744" s="9">
        <v>13.1</v>
      </c>
      <c r="G744" s="9">
        <v>13.9</v>
      </c>
      <c r="H744" s="9">
        <v>13.4</v>
      </c>
      <c r="I744" s="9">
        <v>13.3</v>
      </c>
      <c r="J744" s="9">
        <v>13.5</v>
      </c>
      <c r="K744" s="9">
        <v>14.3</v>
      </c>
      <c r="L744">
        <f>Tableau1[[#This Row],[Final_time]]-SUM(Tableau1[[#This Row],[0_100m]:[600_700m]])</f>
        <v>14.920000000000002</v>
      </c>
      <c r="M744" s="13">
        <v>109.72</v>
      </c>
      <c r="N744">
        <f>SUM(Tableau1[[#This Row],[0_100m]:[700_800m]])</f>
        <v>109.72</v>
      </c>
      <c r="O744">
        <f>ABS(Tableau1[[#This Row],[Final_time]]-Tableau1[[#This Row],[Sum_time]])</f>
        <v>0</v>
      </c>
      <c r="P744" s="8"/>
      <c r="Q744" s="16" t="str">
        <f>_xlfn.CONCAT(Tableau1[[#This Row],[Competition]],"_",Tableau1[[#This Row],[Championship_step]],"_",Tableau1[[#This Row],[Competition_date]],"_",Tableau1[[#This Row],[Gender]])</f>
        <v>Diamond League Stockholm 2021 - pre-program__44381_Male</v>
      </c>
      <c r="R744" t="s">
        <v>486</v>
      </c>
      <c r="S744" s="1" t="s">
        <v>68</v>
      </c>
      <c r="U744" s="1" t="s">
        <v>69</v>
      </c>
      <c r="V744" s="1">
        <v>44381</v>
      </c>
      <c r="W744" s="4">
        <f>YEAR(Tableau1[[#This Row],[Competition_date]])</f>
        <v>2021</v>
      </c>
      <c r="X744" s="4">
        <v>27</v>
      </c>
      <c r="Y744" s="6">
        <v>0.35</v>
      </c>
      <c r="Z744" s="4" t="s">
        <v>79</v>
      </c>
      <c r="AA744" t="s">
        <v>176</v>
      </c>
    </row>
    <row r="745" spans="1:27" hidden="1" x14ac:dyDescent="0.35">
      <c r="A745" t="str">
        <f>_xlfn.CONCAT(Tableau1[[#This Row],[Athletes]],"_",Tableau1[[#This Row],[Nationality]],"_",Tableau1[[#This Row],[Competition_year]])</f>
        <v>Rose Mary ALMANZA_CUB_2021</v>
      </c>
      <c r="B745" s="9" t="s">
        <v>263</v>
      </c>
      <c r="C745" s="9" t="s">
        <v>29</v>
      </c>
      <c r="D745" s="12" t="s">
        <v>165</v>
      </c>
      <c r="E745" s="9">
        <v>14.1</v>
      </c>
      <c r="F745" s="9">
        <v>14.1</v>
      </c>
      <c r="G745" s="9">
        <v>14.6</v>
      </c>
      <c r="H745" s="9">
        <v>14.4</v>
      </c>
      <c r="I745" s="9">
        <v>15</v>
      </c>
      <c r="J745" s="9">
        <v>14.8</v>
      </c>
      <c r="K745" s="9">
        <v>14.6</v>
      </c>
      <c r="L745">
        <f>Tableau1[[#This Row],[Final_time]]-SUM(Tableau1[[#This Row],[0_100m]:[600_700m]])</f>
        <v>14.680000000000021</v>
      </c>
      <c r="M745" s="13">
        <v>116.28</v>
      </c>
      <c r="N745">
        <f>SUM(Tableau1[[#This Row],[0_100m]:[700_800m]])</f>
        <v>116.28</v>
      </c>
      <c r="O745">
        <f>ABS(Tableau1[[#This Row],[Final_time]]-Tableau1[[#This Row],[Sum_time]])</f>
        <v>0</v>
      </c>
      <c r="P745" s="8"/>
      <c r="Q745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45" t="s">
        <v>485</v>
      </c>
      <c r="S745" s="1" t="s">
        <v>68</v>
      </c>
      <c r="U745" s="1" t="s">
        <v>69</v>
      </c>
      <c r="V745" s="1">
        <v>44381</v>
      </c>
      <c r="W745" s="4">
        <f>YEAR(Tableau1[[#This Row],[Competition_date]])</f>
        <v>2021</v>
      </c>
      <c r="X745" s="4">
        <v>27</v>
      </c>
      <c r="Y745" s="6">
        <v>0.41</v>
      </c>
      <c r="Z745" s="4" t="s">
        <v>79</v>
      </c>
      <c r="AA745" t="s">
        <v>176</v>
      </c>
    </row>
    <row r="746" spans="1:27" hidden="1" x14ac:dyDescent="0.35">
      <c r="A746" t="str">
        <f>_xlfn.CONCAT(Tableau1[[#This Row],[Athletes]],"_",Tableau1[[#This Row],[Nationality]],"_",Tableau1[[#This Row],[Competition_year]])</f>
        <v>Natoya GOULE-TOPPIN_JAM_2021</v>
      </c>
      <c r="B746" s="9" t="s">
        <v>222</v>
      </c>
      <c r="C746" s="9" t="s">
        <v>29</v>
      </c>
      <c r="D746" s="12" t="s">
        <v>33</v>
      </c>
      <c r="E746" s="9">
        <v>14.3</v>
      </c>
      <c r="F746" s="9">
        <v>14.3</v>
      </c>
      <c r="G746" s="9">
        <v>14.6</v>
      </c>
      <c r="H746" s="9">
        <v>14.5</v>
      </c>
      <c r="I746" s="9">
        <v>14.8</v>
      </c>
      <c r="J746" s="9">
        <v>14.6</v>
      </c>
      <c r="K746" s="9">
        <v>14.6</v>
      </c>
      <c r="L746">
        <f>Tableau1[[#This Row],[Final_time]]-SUM(Tableau1[[#This Row],[0_100m]:[600_700m]])</f>
        <v>14.740000000000009</v>
      </c>
      <c r="M746" s="13">
        <v>116.44</v>
      </c>
      <c r="N746">
        <f>SUM(Tableau1[[#This Row],[0_100m]:[700_800m]])</f>
        <v>116.44</v>
      </c>
      <c r="O746">
        <f>ABS(Tableau1[[#This Row],[Final_time]]-Tableau1[[#This Row],[Sum_time]])</f>
        <v>0</v>
      </c>
      <c r="P746" s="8"/>
      <c r="Q746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46" t="s">
        <v>485</v>
      </c>
      <c r="S746" s="1" t="s">
        <v>68</v>
      </c>
      <c r="U746" s="1" t="s">
        <v>69</v>
      </c>
      <c r="V746" s="1">
        <v>44381</v>
      </c>
      <c r="W746" s="4">
        <f>YEAR(Tableau1[[#This Row],[Competition_date]])</f>
        <v>2021</v>
      </c>
      <c r="X746" s="4">
        <v>27</v>
      </c>
      <c r="Y746" s="6">
        <v>0.41</v>
      </c>
      <c r="Z746" s="4" t="s">
        <v>79</v>
      </c>
      <c r="AA746" t="s">
        <v>176</v>
      </c>
    </row>
    <row r="747" spans="1:27" hidden="1" x14ac:dyDescent="0.35">
      <c r="A747" t="str">
        <f>_xlfn.CONCAT(Tableau1[[#This Row],[Athletes]],"_",Tableau1[[#This Row],[Nationality]],"_",Tableau1[[#This Row],[Competition_year]])</f>
        <v>Kate GRACE_USA_2021</v>
      </c>
      <c r="B747" s="9" t="s">
        <v>468</v>
      </c>
      <c r="C747" s="9" t="s">
        <v>29</v>
      </c>
      <c r="D747" s="12" t="s">
        <v>35</v>
      </c>
      <c r="E747" s="9">
        <v>14.5</v>
      </c>
      <c r="F747" s="9">
        <v>14.3</v>
      </c>
      <c r="G747" s="9">
        <v>14.7</v>
      </c>
      <c r="H747" s="9">
        <v>14.5</v>
      </c>
      <c r="I747" s="9">
        <v>15</v>
      </c>
      <c r="J747" s="9">
        <v>14.8</v>
      </c>
      <c r="K747" s="9">
        <v>14.7</v>
      </c>
      <c r="L747">
        <f>Tableau1[[#This Row],[Final_time]]-SUM(Tableau1[[#This Row],[0_100m]:[600_700m]])</f>
        <v>14.86</v>
      </c>
      <c r="M747" s="13">
        <v>117.36</v>
      </c>
      <c r="N747">
        <f>SUM(Tableau1[[#This Row],[0_100m]:[700_800m]])</f>
        <v>117.36</v>
      </c>
      <c r="O747">
        <f>ABS(Tableau1[[#This Row],[Final_time]]-Tableau1[[#This Row],[Sum_time]])</f>
        <v>0</v>
      </c>
      <c r="P747" s="8"/>
      <c r="Q747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47" t="s">
        <v>485</v>
      </c>
      <c r="S747" s="1" t="s">
        <v>68</v>
      </c>
      <c r="U747" s="1" t="s">
        <v>69</v>
      </c>
      <c r="V747" s="1">
        <v>44381</v>
      </c>
      <c r="W747" s="4">
        <f>YEAR(Tableau1[[#This Row],[Competition_date]])</f>
        <v>2021</v>
      </c>
      <c r="X747" s="4">
        <v>27</v>
      </c>
      <c r="Y747" s="6">
        <v>0.41</v>
      </c>
      <c r="Z747" s="4" t="s">
        <v>79</v>
      </c>
      <c r="AA747" t="s">
        <v>176</v>
      </c>
    </row>
    <row r="748" spans="1:27" hidden="1" x14ac:dyDescent="0.35">
      <c r="A748" t="str">
        <f>_xlfn.CONCAT(Tableau1[[#This Row],[Athletes]],"_",Tableau1[[#This Row],[Nationality]],"_",Tableau1[[#This Row],[Competition_year]])</f>
        <v>Keely HODGKINSON_GBR_2021</v>
      </c>
      <c r="B748" s="9" t="s">
        <v>212</v>
      </c>
      <c r="C748" s="9" t="s">
        <v>29</v>
      </c>
      <c r="D748" s="12" t="s">
        <v>30</v>
      </c>
      <c r="E748" s="9">
        <v>14.2</v>
      </c>
      <c r="F748" s="9">
        <v>14.3</v>
      </c>
      <c r="G748" s="9">
        <v>15</v>
      </c>
      <c r="H748" s="9">
        <v>15.4</v>
      </c>
      <c r="I748" s="9">
        <v>15</v>
      </c>
      <c r="J748" s="9">
        <v>14.5</v>
      </c>
      <c r="K748" s="9">
        <v>14.6</v>
      </c>
      <c r="L748">
        <f>Tableau1[[#This Row],[Final_time]]-SUM(Tableau1[[#This Row],[0_100m]:[600_700m]])</f>
        <v>14.510000000000005</v>
      </c>
      <c r="M748" s="13">
        <v>117.51</v>
      </c>
      <c r="N748">
        <f>SUM(Tableau1[[#This Row],[0_100m]:[700_800m]])</f>
        <v>117.51</v>
      </c>
      <c r="O748">
        <f>ABS(Tableau1[[#This Row],[Final_time]]-Tableau1[[#This Row],[Sum_time]])</f>
        <v>0</v>
      </c>
      <c r="P748" s="8"/>
      <c r="Q748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48" t="s">
        <v>485</v>
      </c>
      <c r="S748" s="1" t="s">
        <v>68</v>
      </c>
      <c r="U748" s="1" t="s">
        <v>69</v>
      </c>
      <c r="V748" s="1">
        <v>44381</v>
      </c>
      <c r="W748" s="4">
        <f>YEAR(Tableau1[[#This Row],[Competition_date]])</f>
        <v>2021</v>
      </c>
      <c r="X748" s="4">
        <v>27</v>
      </c>
      <c r="Y748" s="6">
        <v>0.41</v>
      </c>
      <c r="Z748" s="4" t="s">
        <v>79</v>
      </c>
      <c r="AA748" t="s">
        <v>176</v>
      </c>
    </row>
    <row r="749" spans="1:27" hidden="1" x14ac:dyDescent="0.35">
      <c r="A749" t="str">
        <f>_xlfn.CONCAT(Tableau1[[#This Row],[Athletes]],"_",Tableau1[[#This Row],[Nationality]],"_",Tableau1[[#This Row],[Competition_year]])</f>
        <v>Catriona BISSET_AUS_2021</v>
      </c>
      <c r="B749" s="9" t="s">
        <v>217</v>
      </c>
      <c r="C749" s="9" t="s">
        <v>29</v>
      </c>
      <c r="D749" s="12" t="s">
        <v>36</v>
      </c>
      <c r="E749" s="9">
        <v>14.2</v>
      </c>
      <c r="F749" s="9">
        <v>14.5</v>
      </c>
      <c r="G749" s="9">
        <v>14.9</v>
      </c>
      <c r="H749" s="9">
        <v>14.9</v>
      </c>
      <c r="I749" s="9">
        <v>15.3</v>
      </c>
      <c r="J749" s="9">
        <v>14.9</v>
      </c>
      <c r="K749" s="9">
        <v>14.8</v>
      </c>
      <c r="L749">
        <f>Tableau1[[#This Row],[Final_time]]-SUM(Tableau1[[#This Row],[0_100m]:[600_700m]])</f>
        <v>15.629999999999995</v>
      </c>
      <c r="M749" s="13">
        <v>119.13</v>
      </c>
      <c r="N749">
        <f>SUM(Tableau1[[#This Row],[0_100m]:[700_800m]])</f>
        <v>119.13</v>
      </c>
      <c r="O749">
        <f>ABS(Tableau1[[#This Row],[Final_time]]-Tableau1[[#This Row],[Sum_time]])</f>
        <v>0</v>
      </c>
      <c r="P749" s="8"/>
      <c r="Q749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49" t="s">
        <v>485</v>
      </c>
      <c r="S749" s="1" t="s">
        <v>68</v>
      </c>
      <c r="U749" s="1" t="s">
        <v>69</v>
      </c>
      <c r="V749" s="1">
        <v>44381</v>
      </c>
      <c r="W749" s="4">
        <f>YEAR(Tableau1[[#This Row],[Competition_date]])</f>
        <v>2021</v>
      </c>
      <c r="X749" s="4">
        <v>27</v>
      </c>
      <c r="Y749" s="6">
        <v>0.41</v>
      </c>
      <c r="Z749" s="4" t="s">
        <v>79</v>
      </c>
      <c r="AA749" t="s">
        <v>176</v>
      </c>
    </row>
    <row r="750" spans="1:27" hidden="1" x14ac:dyDescent="0.35">
      <c r="A750" t="str">
        <f>_xlfn.CONCAT(Tableau1[[#This Row],[Athletes]],"_",Tableau1[[#This Row],[Nationality]],"_",Tableau1[[#This Row],[Competition_year]])</f>
        <v>Lovisa LINDH_SWE_2021</v>
      </c>
      <c r="B750" s="9" t="s">
        <v>378</v>
      </c>
      <c r="C750" s="9" t="s">
        <v>29</v>
      </c>
      <c r="D750" s="12" t="s">
        <v>28</v>
      </c>
      <c r="E750" s="9">
        <v>14.5</v>
      </c>
      <c r="F750" s="9">
        <v>14.2</v>
      </c>
      <c r="G750" s="9">
        <v>15</v>
      </c>
      <c r="H750" s="9">
        <v>15.4</v>
      </c>
      <c r="I750" s="9">
        <v>15</v>
      </c>
      <c r="J750" s="9">
        <v>14.8</v>
      </c>
      <c r="K750" s="9">
        <v>15.2</v>
      </c>
      <c r="L750">
        <f>Tableau1[[#This Row],[Final_time]]-SUM(Tableau1[[#This Row],[0_100m]:[600_700m]])</f>
        <v>15.660000000000011</v>
      </c>
      <c r="M750" s="13">
        <v>119.76</v>
      </c>
      <c r="N750">
        <f>SUM(Tableau1[[#This Row],[0_100m]:[700_800m]])</f>
        <v>119.76</v>
      </c>
      <c r="O750">
        <f>ABS(Tableau1[[#This Row],[Final_time]]-Tableau1[[#This Row],[Sum_time]])</f>
        <v>0</v>
      </c>
      <c r="P750" s="8"/>
      <c r="Q750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50" t="s">
        <v>485</v>
      </c>
      <c r="S750" s="1" t="s">
        <v>68</v>
      </c>
      <c r="U750" s="1" t="s">
        <v>69</v>
      </c>
      <c r="V750" s="1">
        <v>44381</v>
      </c>
      <c r="W750" s="4">
        <f>YEAR(Tableau1[[#This Row],[Competition_date]])</f>
        <v>2021</v>
      </c>
      <c r="X750" s="4">
        <v>27</v>
      </c>
      <c r="Y750" s="6">
        <v>0.41</v>
      </c>
      <c r="Z750" s="4" t="s">
        <v>79</v>
      </c>
      <c r="AA750" t="s">
        <v>176</v>
      </c>
    </row>
    <row r="751" spans="1:27" hidden="1" x14ac:dyDescent="0.35">
      <c r="A751" t="str">
        <f>_xlfn.CONCAT(Tableau1[[#This Row],[Athletes]],"_",Tableau1[[#This Row],[Nationality]],"_",Tableau1[[#This Row],[Competition_year]])</f>
        <v>Hedda HYNNE_NOR_2021</v>
      </c>
      <c r="B751" s="9" t="s">
        <v>281</v>
      </c>
      <c r="C751" s="9" t="s">
        <v>29</v>
      </c>
      <c r="D751" s="12" t="s">
        <v>123</v>
      </c>
      <c r="E751" s="9">
        <v>14.7</v>
      </c>
      <c r="F751" s="9">
        <v>14.3</v>
      </c>
      <c r="G751" s="9">
        <v>14.9</v>
      </c>
      <c r="H751" s="9">
        <v>15.4</v>
      </c>
      <c r="I751" s="9">
        <v>15</v>
      </c>
      <c r="J751" s="9">
        <v>14.9</v>
      </c>
      <c r="K751" s="9">
        <v>15</v>
      </c>
      <c r="L751">
        <f>Tableau1[[#This Row],[Final_time]]-SUM(Tableau1[[#This Row],[0_100m]:[600_700m]])</f>
        <v>15.61999999999999</v>
      </c>
      <c r="M751" s="13">
        <v>119.82</v>
      </c>
      <c r="N751">
        <f>SUM(Tableau1[[#This Row],[0_100m]:[700_800m]])</f>
        <v>119.82</v>
      </c>
      <c r="O751">
        <f>ABS(Tableau1[[#This Row],[Final_time]]-Tableau1[[#This Row],[Sum_time]])</f>
        <v>0</v>
      </c>
      <c r="P751" s="8"/>
      <c r="Q751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51" t="s">
        <v>485</v>
      </c>
      <c r="S751" s="1" t="s">
        <v>68</v>
      </c>
      <c r="U751" s="1" t="s">
        <v>69</v>
      </c>
      <c r="V751" s="1">
        <v>44381</v>
      </c>
      <c r="W751" s="4">
        <f>YEAR(Tableau1[[#This Row],[Competition_date]])</f>
        <v>2021</v>
      </c>
      <c r="X751" s="4">
        <v>27</v>
      </c>
      <c r="Y751" s="6">
        <v>0.41</v>
      </c>
      <c r="Z751" s="4" t="s">
        <v>79</v>
      </c>
      <c r="AA751" t="s">
        <v>176</v>
      </c>
    </row>
    <row r="752" spans="1:27" hidden="1" x14ac:dyDescent="0.35">
      <c r="A752" t="str">
        <f>_xlfn.CONCAT(Tableau1[[#This Row],[Athletes]],"_",Tableau1[[#This Row],[Nationality]],"_",Tableau1[[#This Row],[Competition_year]])</f>
        <v>Worknesh MESELE_ETH_2021</v>
      </c>
      <c r="B752" s="9" t="s">
        <v>215</v>
      </c>
      <c r="C752" s="9" t="s">
        <v>29</v>
      </c>
      <c r="D752" s="12" t="s">
        <v>49</v>
      </c>
      <c r="E752" s="9">
        <v>14.3</v>
      </c>
      <c r="F752" s="9">
        <v>14.1</v>
      </c>
      <c r="G752" s="9">
        <v>14.6</v>
      </c>
      <c r="H752" s="9">
        <v>14.9</v>
      </c>
      <c r="I752" s="9">
        <v>15.4</v>
      </c>
      <c r="J752" s="9">
        <v>15.2</v>
      </c>
      <c r="K752" s="9">
        <v>16.7</v>
      </c>
      <c r="L752">
        <f>Tableau1[[#This Row],[Final_time]]-SUM(Tableau1[[#This Row],[0_100m]:[600_700m]])</f>
        <v>16.86999999999999</v>
      </c>
      <c r="M752" s="13">
        <v>122.07</v>
      </c>
      <c r="N752">
        <f>SUM(Tableau1[[#This Row],[0_100m]:[700_800m]])</f>
        <v>122.07</v>
      </c>
      <c r="O752">
        <f>ABS(Tableau1[[#This Row],[Final_time]]-Tableau1[[#This Row],[Sum_time]])</f>
        <v>0</v>
      </c>
      <c r="P752" s="8"/>
      <c r="Q752" s="16" t="str">
        <f>_xlfn.CONCAT(Tableau1[[#This Row],[Competition]],"_",Tableau1[[#This Row],[Championship_step]],"_",Tableau1[[#This Row],[Competition_date]],"_",Tableau1[[#This Row],[Gender]])</f>
        <v>Diamond League Stockholm 2021__44381_Female</v>
      </c>
      <c r="R752" t="s">
        <v>485</v>
      </c>
      <c r="S752" s="1" t="s">
        <v>68</v>
      </c>
      <c r="U752" s="1" t="s">
        <v>69</v>
      </c>
      <c r="V752" s="1">
        <v>44381</v>
      </c>
      <c r="W752" s="4">
        <f>YEAR(Tableau1[[#This Row],[Competition_date]])</f>
        <v>2021</v>
      </c>
      <c r="X752" s="4">
        <v>27</v>
      </c>
      <c r="Y752" s="6">
        <v>0.41</v>
      </c>
      <c r="Z752" s="4" t="s">
        <v>79</v>
      </c>
      <c r="AA752" t="s">
        <v>176</v>
      </c>
    </row>
    <row r="753" spans="1:27" hidden="1" x14ac:dyDescent="0.35">
      <c r="A753" t="str">
        <f>_xlfn.CONCAT(Tableau1[[#This Row],[Athletes]],"_",Tableau1[[#This Row],[Nationality]],"_",Tableau1[[#This Row],[Competition_year]])</f>
        <v>Ferguson Cheruiyot ROTICH_KEN_2021</v>
      </c>
      <c r="B753" s="9" t="s">
        <v>199</v>
      </c>
      <c r="C753" s="9" t="s">
        <v>14</v>
      </c>
      <c r="D753" s="12" t="s">
        <v>15</v>
      </c>
      <c r="E753" s="9">
        <v>13.6</v>
      </c>
      <c r="F753" s="9">
        <v>12.3</v>
      </c>
      <c r="G753" s="9">
        <v>12.9</v>
      </c>
      <c r="H753" s="9">
        <v>13</v>
      </c>
      <c r="I753" s="9">
        <v>13.2</v>
      </c>
      <c r="J753" s="9">
        <v>12.6</v>
      </c>
      <c r="K753" s="9">
        <v>13</v>
      </c>
      <c r="L753">
        <f>Tableau1[[#This Row],[Final_time]]-SUM(Tableau1[[#This Row],[0_100m]:[600_700m]])</f>
        <v>13.240000000000009</v>
      </c>
      <c r="M753" s="9">
        <v>103.84</v>
      </c>
      <c r="N753">
        <f>SUM(Tableau1[[#This Row],[0_100m]:[700_800m]])</f>
        <v>103.84</v>
      </c>
      <c r="O753">
        <f>ABS(Tableau1[[#This Row],[Final_time]]-Tableau1[[#This Row],[Sum_time]])</f>
        <v>0</v>
      </c>
      <c r="P753" s="8"/>
      <c r="Q753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3" t="s">
        <v>485</v>
      </c>
      <c r="S753" s="1" t="s">
        <v>68</v>
      </c>
      <c r="U753" s="1" t="s">
        <v>69</v>
      </c>
      <c r="V753" s="1">
        <v>44381</v>
      </c>
      <c r="W753" s="4">
        <f>YEAR(Tableau1[[#This Row],[Competition_date]])</f>
        <v>2021</v>
      </c>
      <c r="X753" s="4">
        <v>26</v>
      </c>
      <c r="Y753" s="6">
        <v>0.42</v>
      </c>
      <c r="Z753" s="4" t="s">
        <v>79</v>
      </c>
      <c r="AA753" t="s">
        <v>176</v>
      </c>
    </row>
    <row r="754" spans="1:27" hidden="1" x14ac:dyDescent="0.35">
      <c r="A754" t="str">
        <f>_xlfn.CONCAT(Tableau1[[#This Row],[Athletes]],"_",Tableau1[[#This Row],[Nationality]],"_",Tableau1[[#This Row],[Competition_year]])</f>
        <v>Marco AROP_CAN_2021</v>
      </c>
      <c r="B754" s="9" t="s">
        <v>177</v>
      </c>
      <c r="C754" s="9" t="s">
        <v>14</v>
      </c>
      <c r="D754" s="12" t="s">
        <v>19</v>
      </c>
      <c r="E754" s="9">
        <v>12.9</v>
      </c>
      <c r="F754" s="9">
        <v>12.3</v>
      </c>
      <c r="G754" s="9">
        <v>13</v>
      </c>
      <c r="H754" s="9">
        <v>13.1</v>
      </c>
      <c r="I754" s="9">
        <v>12.9</v>
      </c>
      <c r="J754" s="9">
        <v>12.6</v>
      </c>
      <c r="K754" s="9">
        <v>13.3</v>
      </c>
      <c r="L754">
        <f>Tableau1[[#This Row],[Final_time]]-SUM(Tableau1[[#This Row],[0_100m]:[600_700m]])</f>
        <v>13.900000000000006</v>
      </c>
      <c r="M754" s="9">
        <v>104</v>
      </c>
      <c r="N754">
        <f>SUM(Tableau1[[#This Row],[0_100m]:[700_800m]])</f>
        <v>104</v>
      </c>
      <c r="O754">
        <f>ABS(Tableau1[[#This Row],[Final_time]]-Tableau1[[#This Row],[Sum_time]])</f>
        <v>0</v>
      </c>
      <c r="P754" s="8"/>
      <c r="Q754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4" t="s">
        <v>485</v>
      </c>
      <c r="S754" s="1" t="s">
        <v>68</v>
      </c>
      <c r="U754" s="1" t="s">
        <v>69</v>
      </c>
      <c r="V754" s="1">
        <v>44381</v>
      </c>
      <c r="W754" s="4">
        <f>YEAR(Tableau1[[#This Row],[Competition_date]])</f>
        <v>2021</v>
      </c>
      <c r="X754" s="4">
        <v>26</v>
      </c>
      <c r="Y754" s="6">
        <v>0.42</v>
      </c>
      <c r="Z754" s="4" t="s">
        <v>79</v>
      </c>
      <c r="AA754" t="s">
        <v>176</v>
      </c>
    </row>
    <row r="755" spans="1:27" hidden="1" x14ac:dyDescent="0.35">
      <c r="A755" t="str">
        <f>_xlfn.CONCAT(Tableau1[[#This Row],[Athletes]],"_",Tableau1[[#This Row],[Nationality]],"_",Tableau1[[#This Row],[Competition_year]])</f>
        <v>Elliot GILES_GBR_2021</v>
      </c>
      <c r="B755" s="9" t="s">
        <v>383</v>
      </c>
      <c r="C755" s="9" t="s">
        <v>14</v>
      </c>
      <c r="D755" s="12" t="s">
        <v>30</v>
      </c>
      <c r="E755" s="9">
        <v>13</v>
      </c>
      <c r="F755" s="9">
        <v>12.4</v>
      </c>
      <c r="G755" s="9">
        <v>13.1</v>
      </c>
      <c r="H755" s="9">
        <v>13.1</v>
      </c>
      <c r="I755" s="9">
        <v>13.1</v>
      </c>
      <c r="J755" s="9">
        <v>13.1</v>
      </c>
      <c r="K755" s="9">
        <v>13</v>
      </c>
      <c r="L755">
        <f>Tableau1[[#This Row],[Final_time]]-SUM(Tableau1[[#This Row],[0_100m]:[600_700m]])</f>
        <v>13.25</v>
      </c>
      <c r="M755" s="9">
        <v>104.05</v>
      </c>
      <c r="N755">
        <f>SUM(Tableau1[[#This Row],[0_100m]:[700_800m]])</f>
        <v>104.05</v>
      </c>
      <c r="O755">
        <f>ABS(Tableau1[[#This Row],[Final_time]]-Tableau1[[#This Row],[Sum_time]])</f>
        <v>0</v>
      </c>
      <c r="P755" s="8"/>
      <c r="Q755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5" t="s">
        <v>485</v>
      </c>
      <c r="S755" s="1" t="s">
        <v>68</v>
      </c>
      <c r="U755" s="1" t="s">
        <v>69</v>
      </c>
      <c r="V755" s="1">
        <v>44381</v>
      </c>
      <c r="W755" s="4">
        <f>YEAR(Tableau1[[#This Row],[Competition_date]])</f>
        <v>2021</v>
      </c>
      <c r="X755" s="4">
        <v>26</v>
      </c>
      <c r="Y755" s="6">
        <v>0.42</v>
      </c>
      <c r="Z755" s="4" t="s">
        <v>79</v>
      </c>
      <c r="AA755" t="s">
        <v>176</v>
      </c>
    </row>
    <row r="756" spans="1:27" hidden="1" x14ac:dyDescent="0.35">
      <c r="A756" t="str">
        <f>_xlfn.CONCAT(Tableau1[[#This Row],[Athletes]],"_",Tableau1[[#This Row],[Nationality]],"_",Tableau1[[#This Row],[Competition_year]])</f>
        <v>Adrián BEN_ESP_2021</v>
      </c>
      <c r="B756" s="9" t="s">
        <v>184</v>
      </c>
      <c r="C756" s="9" t="s">
        <v>14</v>
      </c>
      <c r="D756" s="12" t="s">
        <v>37</v>
      </c>
      <c r="E756" s="9">
        <v>13.2</v>
      </c>
      <c r="F756" s="9">
        <v>12.5</v>
      </c>
      <c r="G756" s="9">
        <v>13.3</v>
      </c>
      <c r="H756" s="9">
        <v>13.1</v>
      </c>
      <c r="I756" s="9">
        <v>13.3</v>
      </c>
      <c r="J756" s="9">
        <v>12.9</v>
      </c>
      <c r="K756" s="9">
        <v>12.7</v>
      </c>
      <c r="L756">
        <f>Tableau1[[#This Row],[Final_time]]-SUM(Tableau1[[#This Row],[0_100m]:[600_700m]])</f>
        <v>13.179999999999993</v>
      </c>
      <c r="M756" s="9">
        <v>104.18</v>
      </c>
      <c r="N756">
        <f>SUM(Tableau1[[#This Row],[0_100m]:[700_800m]])</f>
        <v>104.18</v>
      </c>
      <c r="O756">
        <f>ABS(Tableau1[[#This Row],[Final_time]]-Tableau1[[#This Row],[Sum_time]])</f>
        <v>0</v>
      </c>
      <c r="P756" s="8"/>
      <c r="Q756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6" t="s">
        <v>485</v>
      </c>
      <c r="S756" s="1" t="s">
        <v>68</v>
      </c>
      <c r="U756" s="1" t="s">
        <v>69</v>
      </c>
      <c r="V756" s="1">
        <v>44381</v>
      </c>
      <c r="W756" s="4">
        <f>YEAR(Tableau1[[#This Row],[Competition_date]])</f>
        <v>2021</v>
      </c>
      <c r="X756" s="4">
        <v>26</v>
      </c>
      <c r="Y756" s="6">
        <v>0.42</v>
      </c>
      <c r="Z756" s="4" t="s">
        <v>79</v>
      </c>
      <c r="AA756" t="s">
        <v>176</v>
      </c>
    </row>
    <row r="757" spans="1:27" hidden="1" x14ac:dyDescent="0.35">
      <c r="A757" t="str">
        <f>_xlfn.CONCAT(Tableau1[[#This Row],[Athletes]],"_",Tableau1[[#This Row],[Nationality]],"_",Tableau1[[#This Row],[Competition_year]])</f>
        <v>Isaiah HARRIS_USA_2021</v>
      </c>
      <c r="B757" s="9" t="s">
        <v>192</v>
      </c>
      <c r="C757" s="9" t="s">
        <v>14</v>
      </c>
      <c r="D757" s="12" t="s">
        <v>35</v>
      </c>
      <c r="E757" s="9">
        <v>12.8</v>
      </c>
      <c r="F757" s="9">
        <v>12.6</v>
      </c>
      <c r="G757" s="9">
        <v>13.1</v>
      </c>
      <c r="H757" s="9">
        <v>13.2</v>
      </c>
      <c r="I757" s="9">
        <v>13.2</v>
      </c>
      <c r="J757" s="9">
        <v>13.2</v>
      </c>
      <c r="K757" s="9">
        <v>13.1</v>
      </c>
      <c r="L757">
        <f>Tableau1[[#This Row],[Final_time]]-SUM(Tableau1[[#This Row],[0_100m]:[600_700m]])</f>
        <v>13.310000000000002</v>
      </c>
      <c r="M757" s="9">
        <v>104.51</v>
      </c>
      <c r="N757">
        <f>SUM(Tableau1[[#This Row],[0_100m]:[700_800m]])</f>
        <v>104.51</v>
      </c>
      <c r="O757">
        <f>ABS(Tableau1[[#This Row],[Final_time]]-Tableau1[[#This Row],[Sum_time]])</f>
        <v>0</v>
      </c>
      <c r="P757" s="8"/>
      <c r="Q757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7" t="s">
        <v>485</v>
      </c>
      <c r="S757" s="1" t="s">
        <v>68</v>
      </c>
      <c r="U757" s="1" t="s">
        <v>69</v>
      </c>
      <c r="V757" s="1">
        <v>44381</v>
      </c>
      <c r="W757" s="4">
        <f>YEAR(Tableau1[[#This Row],[Competition_date]])</f>
        <v>2021</v>
      </c>
      <c r="X757" s="4">
        <v>26</v>
      </c>
      <c r="Y757" s="6">
        <v>0.42</v>
      </c>
      <c r="Z757" s="4" t="s">
        <v>79</v>
      </c>
      <c r="AA757" t="s">
        <v>176</v>
      </c>
    </row>
    <row r="758" spans="1:27" hidden="1" x14ac:dyDescent="0.35">
      <c r="A758" t="str">
        <f>_xlfn.CONCAT(Tableau1[[#This Row],[Athletes]],"_",Tableau1[[#This Row],[Nationality]],"_",Tableau1[[#This Row],[Competition_year]])</f>
        <v>Amel TUKA_BIH_2021</v>
      </c>
      <c r="B758" s="9" t="s">
        <v>196</v>
      </c>
      <c r="C758" s="9" t="s">
        <v>14</v>
      </c>
      <c r="D758" s="12" t="s">
        <v>120</v>
      </c>
      <c r="E758" s="9">
        <v>13.2</v>
      </c>
      <c r="F758" s="9">
        <v>12.6</v>
      </c>
      <c r="G758" s="9">
        <v>13.3</v>
      </c>
      <c r="H758" s="9">
        <v>13.2</v>
      </c>
      <c r="I758" s="9">
        <v>13.3</v>
      </c>
      <c r="J758" s="9">
        <v>12.8</v>
      </c>
      <c r="K758" s="9">
        <v>13.1</v>
      </c>
      <c r="L758">
        <f>Tableau1[[#This Row],[Final_time]]-SUM(Tableau1[[#This Row],[0_100m]:[600_700m]])</f>
        <v>13.440000000000012</v>
      </c>
      <c r="M758" s="9">
        <v>104.94</v>
      </c>
      <c r="N758">
        <f>SUM(Tableau1[[#This Row],[0_100m]:[700_800m]])</f>
        <v>104.94</v>
      </c>
      <c r="O758">
        <f>ABS(Tableau1[[#This Row],[Final_time]]-Tableau1[[#This Row],[Sum_time]])</f>
        <v>0</v>
      </c>
      <c r="P758" s="8"/>
      <c r="Q758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8" t="s">
        <v>485</v>
      </c>
      <c r="S758" s="1" t="s">
        <v>68</v>
      </c>
      <c r="U758" s="1" t="s">
        <v>69</v>
      </c>
      <c r="V758" s="1">
        <v>44381</v>
      </c>
      <c r="W758" s="4">
        <f>YEAR(Tableau1[[#This Row],[Competition_date]])</f>
        <v>2021</v>
      </c>
      <c r="X758" s="4">
        <v>26</v>
      </c>
      <c r="Y758" s="6">
        <v>0.42</v>
      </c>
      <c r="Z758" s="4" t="s">
        <v>79</v>
      </c>
      <c r="AA758" t="s">
        <v>176</v>
      </c>
    </row>
    <row r="759" spans="1:27" hidden="1" x14ac:dyDescent="0.35">
      <c r="A759" t="str">
        <f>_xlfn.CONCAT(Tableau1[[#This Row],[Athletes]],"_",Tableau1[[#This Row],[Nationality]],"_",Tableau1[[#This Row],[Competition_year]])</f>
        <v>Andreas KRAMER_SWE_2021</v>
      </c>
      <c r="B759" s="9" t="s">
        <v>186</v>
      </c>
      <c r="C759" s="9" t="s">
        <v>14</v>
      </c>
      <c r="D759" s="12" t="s">
        <v>28</v>
      </c>
      <c r="E759" s="9">
        <v>13.5</v>
      </c>
      <c r="F759" s="9">
        <v>12.5</v>
      </c>
      <c r="G759" s="9">
        <v>13.3</v>
      </c>
      <c r="H759" s="9">
        <v>13.2</v>
      </c>
      <c r="I759" s="9">
        <v>13.3</v>
      </c>
      <c r="J759" s="9">
        <v>12.9</v>
      </c>
      <c r="K759" s="9">
        <v>13</v>
      </c>
      <c r="L759">
        <f>Tableau1[[#This Row],[Final_time]]-SUM(Tableau1[[#This Row],[0_100m]:[600_700m]])</f>
        <v>13.349999999999994</v>
      </c>
      <c r="M759" s="9">
        <v>105.05</v>
      </c>
      <c r="N759">
        <f>SUM(Tableau1[[#This Row],[0_100m]:[700_800m]])</f>
        <v>105.05</v>
      </c>
      <c r="O759">
        <f>ABS(Tableau1[[#This Row],[Final_time]]-Tableau1[[#This Row],[Sum_time]])</f>
        <v>0</v>
      </c>
      <c r="P759" s="8"/>
      <c r="Q759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59" t="s">
        <v>485</v>
      </c>
      <c r="S759" s="1" t="s">
        <v>68</v>
      </c>
      <c r="U759" s="1" t="s">
        <v>69</v>
      </c>
      <c r="V759" s="1">
        <v>44381</v>
      </c>
      <c r="W759" s="4">
        <f>YEAR(Tableau1[[#This Row],[Competition_date]])</f>
        <v>2021</v>
      </c>
      <c r="X759" s="4">
        <v>26</v>
      </c>
      <c r="Y759" s="6">
        <v>0.42</v>
      </c>
      <c r="Z759" s="4" t="s">
        <v>79</v>
      </c>
      <c r="AA759" t="s">
        <v>176</v>
      </c>
    </row>
    <row r="760" spans="1:27" hidden="1" x14ac:dyDescent="0.35">
      <c r="A760" t="str">
        <f>_xlfn.CONCAT(Tableau1[[#This Row],[Athletes]],"_",Tableau1[[#This Row],[Nationality]],"_",Tableau1[[#This Row],[Competition_year]])</f>
        <v>Jamie WEBB_GBR_2021</v>
      </c>
      <c r="B760" s="9" t="s">
        <v>360</v>
      </c>
      <c r="C760" s="9" t="s">
        <v>14</v>
      </c>
      <c r="D760" s="12" t="s">
        <v>30</v>
      </c>
      <c r="E760" s="9">
        <v>13.2</v>
      </c>
      <c r="F760" s="9">
        <v>12.3</v>
      </c>
      <c r="G760" s="9">
        <v>13.2</v>
      </c>
      <c r="H760" s="9">
        <v>13.2</v>
      </c>
      <c r="I760" s="9">
        <v>13.3</v>
      </c>
      <c r="J760" s="9">
        <v>13.3</v>
      </c>
      <c r="K760" s="9">
        <v>16.600000000000001</v>
      </c>
      <c r="L760">
        <f>Tableau1[[#This Row],[Final_time]]-SUM(Tableau1[[#This Row],[0_100m]:[600_700m]])</f>
        <v>20.210000000000008</v>
      </c>
      <c r="M760" s="9">
        <v>115.31</v>
      </c>
      <c r="N760">
        <f>SUM(Tableau1[[#This Row],[0_100m]:[700_800m]])</f>
        <v>115.31</v>
      </c>
      <c r="O760">
        <f>ABS(Tableau1[[#This Row],[Final_time]]-Tableau1[[#This Row],[Sum_time]])</f>
        <v>0</v>
      </c>
      <c r="P760" s="8"/>
      <c r="Q760" s="16" t="str">
        <f>_xlfn.CONCAT(Tableau1[[#This Row],[Competition]],"_",Tableau1[[#This Row],[Championship_step]],"_",Tableau1[[#This Row],[Competition_date]],"_",Tableau1[[#This Row],[Gender]])</f>
        <v>Diamond League Stockholm 2021__44381_Male</v>
      </c>
      <c r="R760" t="s">
        <v>485</v>
      </c>
      <c r="S760" s="1" t="s">
        <v>68</v>
      </c>
      <c r="U760" s="1" t="s">
        <v>69</v>
      </c>
      <c r="V760" s="1">
        <v>44381</v>
      </c>
      <c r="W760" s="4">
        <f>YEAR(Tableau1[[#This Row],[Competition_date]])</f>
        <v>2021</v>
      </c>
      <c r="X760" s="4">
        <v>26</v>
      </c>
      <c r="Y760" s="6">
        <v>0.42</v>
      </c>
      <c r="Z760" s="4" t="s">
        <v>79</v>
      </c>
      <c r="AA760" t="s">
        <v>176</v>
      </c>
    </row>
    <row r="761" spans="1:27" hidden="1" x14ac:dyDescent="0.35">
      <c r="A761" t="str">
        <f>_xlfn.CONCAT(Tableau1[[#This Row],[Athletes]],"_",Tableau1[[#This Row],[Nationality]],"_",Tableau1[[#This Row],[Competition_year]])</f>
        <v>Eveliina MÄÄTTÄNEN_FIN_2022</v>
      </c>
      <c r="B761" s="9" t="s">
        <v>216</v>
      </c>
      <c r="C761" s="9" t="s">
        <v>29</v>
      </c>
      <c r="D761" s="12" t="s">
        <v>85</v>
      </c>
      <c r="E761" s="9">
        <v>14.7</v>
      </c>
      <c r="F761" s="9">
        <v>14</v>
      </c>
      <c r="G761" s="9">
        <v>15.2</v>
      </c>
      <c r="H761" s="9">
        <v>14.8</v>
      </c>
      <c r="I761" s="9">
        <v>15.1</v>
      </c>
      <c r="J761" s="9">
        <v>15.2</v>
      </c>
      <c r="K761" s="9">
        <v>15.7</v>
      </c>
      <c r="L761">
        <f>Tableau1[[#This Row],[Final_time]]-SUM(Tableau1[[#This Row],[0_100m]:[600_700m]])</f>
        <v>16.439999999999998</v>
      </c>
      <c r="M761" s="9">
        <v>121.14</v>
      </c>
      <c r="N761">
        <f>SUM(Tableau1[[#This Row],[0_100m]:[700_800m]])</f>
        <v>121.14</v>
      </c>
      <c r="O761">
        <f>ABS(Tableau1[[#This Row],[Final_time]]-Tableau1[[#This Row],[Sum_time]])</f>
        <v>0</v>
      </c>
      <c r="P761" s="8"/>
      <c r="Q761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1" t="s">
        <v>494</v>
      </c>
      <c r="S761" s="1" t="s">
        <v>68</v>
      </c>
      <c r="U761" s="1" t="s">
        <v>288</v>
      </c>
      <c r="V761" s="1">
        <v>44742</v>
      </c>
      <c r="W761" s="4">
        <f>YEAR(Tableau1[[#This Row],[Competition_date]])</f>
        <v>2022</v>
      </c>
      <c r="X761" s="4">
        <v>25</v>
      </c>
      <c r="Y761" s="6">
        <v>0.68</v>
      </c>
      <c r="Z761" s="4" t="s">
        <v>80</v>
      </c>
      <c r="AA761" t="s">
        <v>176</v>
      </c>
    </row>
    <row r="762" spans="1:27" hidden="1" x14ac:dyDescent="0.35">
      <c r="A762" t="str">
        <f>_xlfn.CONCAT(Tableau1[[#This Row],[Athletes]],"_",Tableau1[[#This Row],[Nationality]],"_",Tableau1[[#This Row],[Competition_year]])</f>
        <v>Adrianna TOPOLNICKA_POL_2022</v>
      </c>
      <c r="B762" s="9" t="s">
        <v>540</v>
      </c>
      <c r="C762" s="9" t="s">
        <v>29</v>
      </c>
      <c r="D762" s="12" t="s">
        <v>88</v>
      </c>
      <c r="E762" s="9">
        <v>14.3</v>
      </c>
      <c r="F762" s="9">
        <v>14.2</v>
      </c>
      <c r="G762" s="9">
        <v>15.1</v>
      </c>
      <c r="H762" s="9">
        <v>14.8</v>
      </c>
      <c r="I762" s="9">
        <v>14.9</v>
      </c>
      <c r="J762" s="9">
        <v>15.2</v>
      </c>
      <c r="K762" s="9">
        <v>15.6</v>
      </c>
      <c r="L762">
        <f>Tableau1[[#This Row],[Final_time]]-SUM(Tableau1[[#This Row],[0_100m]:[600_700m]])</f>
        <v>17.169999999999987</v>
      </c>
      <c r="M762" s="9">
        <v>121.27</v>
      </c>
      <c r="N762">
        <f>SUM(Tableau1[[#This Row],[0_100m]:[700_800m]])</f>
        <v>121.27</v>
      </c>
      <c r="O762">
        <f>ABS(Tableau1[[#This Row],[Final_time]]-Tableau1[[#This Row],[Sum_time]])</f>
        <v>0</v>
      </c>
      <c r="P762" s="8"/>
      <c r="Q762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2" t="s">
        <v>494</v>
      </c>
      <c r="S762" s="1" t="s">
        <v>68</v>
      </c>
      <c r="U762" s="1" t="s">
        <v>288</v>
      </c>
      <c r="V762" s="1">
        <v>44742</v>
      </c>
      <c r="W762" s="4">
        <f>YEAR(Tableau1[[#This Row],[Competition_date]])</f>
        <v>2022</v>
      </c>
      <c r="X762" s="4">
        <v>25</v>
      </c>
      <c r="Y762" s="6">
        <v>0.68</v>
      </c>
      <c r="Z762" s="4" t="s">
        <v>80</v>
      </c>
      <c r="AA762" t="s">
        <v>176</v>
      </c>
    </row>
    <row r="763" spans="1:27" hidden="1" x14ac:dyDescent="0.35">
      <c r="A763" t="str">
        <f>_xlfn.CONCAT(Tableau1[[#This Row],[Athletes]],"_",Tableau1[[#This Row],[Nationality]],"_",Tableau1[[#This Row],[Competition_year]])</f>
        <v>McKenna KEEGAN_USA_2022</v>
      </c>
      <c r="B763" s="9" t="s">
        <v>407</v>
      </c>
      <c r="C763" s="9" t="s">
        <v>29</v>
      </c>
      <c r="D763" s="12" t="s">
        <v>35</v>
      </c>
      <c r="E763" s="9">
        <v>14.5</v>
      </c>
      <c r="F763" s="9">
        <v>14.3</v>
      </c>
      <c r="G763" s="9">
        <v>15.2</v>
      </c>
      <c r="H763" s="9">
        <v>15</v>
      </c>
      <c r="I763" s="9">
        <v>15.1</v>
      </c>
      <c r="J763" s="9">
        <v>15.5</v>
      </c>
      <c r="K763" s="9">
        <v>16.600000000000001</v>
      </c>
      <c r="L763">
        <f>Tableau1[[#This Row],[Final_time]]-SUM(Tableau1[[#This Row],[0_100m]:[600_700m]])</f>
        <v>17.27000000000001</v>
      </c>
      <c r="M763" s="9">
        <v>123.47</v>
      </c>
      <c r="N763">
        <f>SUM(Tableau1[[#This Row],[0_100m]:[700_800m]])</f>
        <v>123.47</v>
      </c>
      <c r="O763">
        <f>ABS(Tableau1[[#This Row],[Final_time]]-Tableau1[[#This Row],[Sum_time]])</f>
        <v>0</v>
      </c>
      <c r="P763" s="8"/>
      <c r="Q763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3" t="s">
        <v>494</v>
      </c>
      <c r="S763" s="1" t="s">
        <v>68</v>
      </c>
      <c r="U763" s="1" t="s">
        <v>288</v>
      </c>
      <c r="V763" s="1">
        <v>44742</v>
      </c>
      <c r="W763" s="4">
        <f>YEAR(Tableau1[[#This Row],[Competition_date]])</f>
        <v>2022</v>
      </c>
      <c r="X763" s="4">
        <v>25</v>
      </c>
      <c r="Y763" s="6">
        <v>0.68</v>
      </c>
      <c r="Z763" s="4" t="s">
        <v>80</v>
      </c>
      <c r="AA763" t="s">
        <v>176</v>
      </c>
    </row>
    <row r="764" spans="1:27" hidden="1" x14ac:dyDescent="0.35">
      <c r="A764" t="str">
        <f>_xlfn.CONCAT(Tableau1[[#This Row],[Athletes]],"_",Tableau1[[#This Row],[Nationality]],"_",Tableau1[[#This Row],[Competition_year]])</f>
        <v>Lova PERMAN_SWE_2022</v>
      </c>
      <c r="B764" s="9" t="s">
        <v>408</v>
      </c>
      <c r="C764" s="9" t="s">
        <v>29</v>
      </c>
      <c r="D764" s="12" t="s">
        <v>28</v>
      </c>
      <c r="E764" s="9">
        <v>14.7</v>
      </c>
      <c r="F764" s="9">
        <v>14.3</v>
      </c>
      <c r="G764" s="9">
        <v>15.3</v>
      </c>
      <c r="H764" s="9">
        <v>15.2</v>
      </c>
      <c r="I764" s="9">
        <v>15.6</v>
      </c>
      <c r="J764" s="9">
        <v>16.3</v>
      </c>
      <c r="K764" s="9">
        <v>16.8</v>
      </c>
      <c r="L764">
        <f>Tableau1[[#This Row],[Final_time]]-SUM(Tableau1[[#This Row],[0_100m]:[600_700m]])</f>
        <v>17.38000000000001</v>
      </c>
      <c r="M764" s="9">
        <v>125.58</v>
      </c>
      <c r="N764">
        <f>SUM(Tableau1[[#This Row],[0_100m]:[700_800m]])</f>
        <v>125.58</v>
      </c>
      <c r="O764">
        <f>ABS(Tableau1[[#This Row],[Final_time]]-Tableau1[[#This Row],[Sum_time]])</f>
        <v>0</v>
      </c>
      <c r="P764" s="8"/>
      <c r="Q764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4" t="s">
        <v>494</v>
      </c>
      <c r="S764" s="1" t="s">
        <v>68</v>
      </c>
      <c r="U764" s="1" t="s">
        <v>288</v>
      </c>
      <c r="V764" s="1">
        <v>44742</v>
      </c>
      <c r="W764" s="4">
        <f>YEAR(Tableau1[[#This Row],[Competition_date]])</f>
        <v>2022</v>
      </c>
      <c r="X764" s="4">
        <v>25</v>
      </c>
      <c r="Y764" s="6">
        <v>0.68</v>
      </c>
      <c r="Z764" s="4" t="s">
        <v>80</v>
      </c>
      <c r="AA764" t="s">
        <v>176</v>
      </c>
    </row>
    <row r="765" spans="1:27" hidden="1" x14ac:dyDescent="0.35">
      <c r="A765" t="str">
        <f>_xlfn.CONCAT(Tableau1[[#This Row],[Athletes]],"_",Tableau1[[#This Row],[Nationality]],"_",Tableau1[[#This Row],[Competition_year]])</f>
        <v>Maria FREIJ_SWE_2022</v>
      </c>
      <c r="B765" s="9" t="s">
        <v>334</v>
      </c>
      <c r="C765" s="9" t="s">
        <v>29</v>
      </c>
      <c r="D765" s="12" t="s">
        <v>28</v>
      </c>
      <c r="E765" s="9">
        <v>14.9</v>
      </c>
      <c r="F765" s="9">
        <v>14.4</v>
      </c>
      <c r="G765" s="9">
        <v>15.4</v>
      </c>
      <c r="H765" s="9">
        <v>15.7</v>
      </c>
      <c r="I765" s="9">
        <v>16.2</v>
      </c>
      <c r="J765" s="9">
        <v>16.8</v>
      </c>
      <c r="K765" s="9">
        <v>16.899999999999999</v>
      </c>
      <c r="L765">
        <f>Tableau1[[#This Row],[Final_time]]-SUM(Tableau1[[#This Row],[0_100m]:[600_700m]])</f>
        <v>17.069999999999993</v>
      </c>
      <c r="M765" s="9">
        <v>127.37</v>
      </c>
      <c r="N765">
        <f>SUM(Tableau1[[#This Row],[0_100m]:[700_800m]])</f>
        <v>127.37</v>
      </c>
      <c r="O765">
        <f>ABS(Tableau1[[#This Row],[Final_time]]-Tableau1[[#This Row],[Sum_time]])</f>
        <v>0</v>
      </c>
      <c r="P765" s="8"/>
      <c r="Q765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5" t="s">
        <v>494</v>
      </c>
      <c r="S765" s="1" t="s">
        <v>68</v>
      </c>
      <c r="U765" s="1" t="s">
        <v>288</v>
      </c>
      <c r="V765" s="1">
        <v>44742</v>
      </c>
      <c r="W765" s="4">
        <f>YEAR(Tableau1[[#This Row],[Competition_date]])</f>
        <v>2022</v>
      </c>
      <c r="X765" s="4">
        <v>25</v>
      </c>
      <c r="Y765" s="6">
        <v>0.68</v>
      </c>
      <c r="Z765" s="4" t="s">
        <v>80</v>
      </c>
      <c r="AA765" t="s">
        <v>176</v>
      </c>
    </row>
    <row r="766" spans="1:27" hidden="1" x14ac:dyDescent="0.35">
      <c r="A766" t="str">
        <f>_xlfn.CONCAT(Tableau1[[#This Row],[Athletes]],"_",Tableau1[[#This Row],[Nationality]],"_",Tableau1[[#This Row],[Competition_year]])</f>
        <v>Olivia WESLIEN_SWE_2022</v>
      </c>
      <c r="B766" s="9" t="s">
        <v>409</v>
      </c>
      <c r="C766" s="9" t="s">
        <v>29</v>
      </c>
      <c r="D766" s="12" t="s">
        <v>28</v>
      </c>
      <c r="E766" s="9">
        <v>15.9</v>
      </c>
      <c r="F766" s="9">
        <v>14.9</v>
      </c>
      <c r="G766" s="9">
        <v>15.8</v>
      </c>
      <c r="H766" s="9">
        <v>16.100000000000001</v>
      </c>
      <c r="I766" s="9">
        <v>16</v>
      </c>
      <c r="J766" s="9">
        <v>16.399999999999999</v>
      </c>
      <c r="K766" s="9">
        <v>16.399999999999999</v>
      </c>
      <c r="L766">
        <f>Tableau1[[#This Row],[Final_time]]-SUM(Tableau1[[#This Row],[0_100m]:[600_700m]])</f>
        <v>17.060000000000002</v>
      </c>
      <c r="M766" s="9">
        <v>128.56</v>
      </c>
      <c r="N766">
        <f>SUM(Tableau1[[#This Row],[0_100m]:[700_800m]])</f>
        <v>128.56</v>
      </c>
      <c r="O766">
        <f>ABS(Tableau1[[#This Row],[Final_time]]-Tableau1[[#This Row],[Sum_time]])</f>
        <v>0</v>
      </c>
      <c r="P766" s="8"/>
      <c r="Q766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6" t="s">
        <v>494</v>
      </c>
      <c r="S766" s="1" t="s">
        <v>68</v>
      </c>
      <c r="U766" s="1" t="s">
        <v>288</v>
      </c>
      <c r="V766" s="1">
        <v>44742</v>
      </c>
      <c r="W766" s="4">
        <f>YEAR(Tableau1[[#This Row],[Competition_date]])</f>
        <v>2022</v>
      </c>
      <c r="X766" s="4">
        <v>25</v>
      </c>
      <c r="Y766" s="6">
        <v>0.68</v>
      </c>
      <c r="Z766" s="4" t="s">
        <v>80</v>
      </c>
      <c r="AA766" t="s">
        <v>176</v>
      </c>
    </row>
    <row r="767" spans="1:27" hidden="1" x14ac:dyDescent="0.35">
      <c r="A767" t="str">
        <f>_xlfn.CONCAT(Tableau1[[#This Row],[Athletes]],"_",Tableau1[[#This Row],[Nationality]],"_",Tableau1[[#This Row],[Competition_year]])</f>
        <v>Anna SILVANDER_SWE_2022</v>
      </c>
      <c r="B767" s="9" t="s">
        <v>410</v>
      </c>
      <c r="C767" s="9" t="s">
        <v>29</v>
      </c>
      <c r="D767" s="12" t="s">
        <v>28</v>
      </c>
      <c r="E767" s="9">
        <v>15.5</v>
      </c>
      <c r="F767" s="9">
        <v>14.9</v>
      </c>
      <c r="G767" s="9">
        <v>15.7</v>
      </c>
      <c r="H767" s="9">
        <v>16.2</v>
      </c>
      <c r="I767" s="9">
        <v>16.5</v>
      </c>
      <c r="J767" s="9">
        <v>16.7</v>
      </c>
      <c r="K767" s="9">
        <v>16.5</v>
      </c>
      <c r="L767">
        <f>Tableau1[[#This Row],[Final_time]]-SUM(Tableau1[[#This Row],[0_100m]:[600_700m]])</f>
        <v>17.090000000000003</v>
      </c>
      <c r="M767" s="9">
        <v>129.09</v>
      </c>
      <c r="N767">
        <f>SUM(Tableau1[[#This Row],[0_100m]:[700_800m]])</f>
        <v>129.09</v>
      </c>
      <c r="O767">
        <f>ABS(Tableau1[[#This Row],[Final_time]]-Tableau1[[#This Row],[Sum_time]])</f>
        <v>0</v>
      </c>
      <c r="P767" s="8"/>
      <c r="Q767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7" t="s">
        <v>494</v>
      </c>
      <c r="S767" s="1" t="s">
        <v>68</v>
      </c>
      <c r="U767" s="1" t="s">
        <v>288</v>
      </c>
      <c r="V767" s="1">
        <v>44742</v>
      </c>
      <c r="W767" s="4">
        <f>YEAR(Tableau1[[#This Row],[Competition_date]])</f>
        <v>2022</v>
      </c>
      <c r="X767" s="4">
        <v>25</v>
      </c>
      <c r="Y767" s="6">
        <v>0.68</v>
      </c>
      <c r="Z767" s="4" t="s">
        <v>80</v>
      </c>
      <c r="AA767" t="s">
        <v>176</v>
      </c>
    </row>
    <row r="768" spans="1:27" hidden="1" x14ac:dyDescent="0.35">
      <c r="A768" t="str">
        <f>_xlfn.CONCAT(Tableau1[[#This Row],[Athletes]],"_",Tableau1[[#This Row],[Nationality]],"_",Tableau1[[#This Row],[Competition_year]])</f>
        <v>Elvira BREDIN_SWE_2022</v>
      </c>
      <c r="B768" s="9" t="s">
        <v>411</v>
      </c>
      <c r="C768" s="9" t="s">
        <v>29</v>
      </c>
      <c r="D768" s="12" t="s">
        <v>28</v>
      </c>
      <c r="E768" s="9">
        <v>15</v>
      </c>
      <c r="F768" s="9">
        <v>14.7</v>
      </c>
      <c r="G768" s="9">
        <v>15.6</v>
      </c>
      <c r="H768" s="9">
        <v>16</v>
      </c>
      <c r="I768" s="9">
        <v>16.399999999999999</v>
      </c>
      <c r="J768" s="9">
        <v>16.8</v>
      </c>
      <c r="K768" s="9">
        <v>17</v>
      </c>
      <c r="L768">
        <f>Tableau1[[#This Row],[Final_time]]-SUM(Tableau1[[#This Row],[0_100m]:[600_700m]])</f>
        <v>17.680000000000021</v>
      </c>
      <c r="M768" s="9">
        <v>129.18</v>
      </c>
      <c r="N768">
        <f>SUM(Tableau1[[#This Row],[0_100m]:[700_800m]])</f>
        <v>129.18</v>
      </c>
      <c r="O768">
        <f>ABS(Tableau1[[#This Row],[Final_time]]-Tableau1[[#This Row],[Sum_time]])</f>
        <v>0</v>
      </c>
      <c r="P768" s="8"/>
      <c r="Q768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8" t="s">
        <v>494</v>
      </c>
      <c r="S768" s="1" t="s">
        <v>68</v>
      </c>
      <c r="U768" s="1" t="s">
        <v>288</v>
      </c>
      <c r="V768" s="1">
        <v>44742</v>
      </c>
      <c r="W768" s="4">
        <f>YEAR(Tableau1[[#This Row],[Competition_date]])</f>
        <v>2022</v>
      </c>
      <c r="X768" s="4">
        <v>25</v>
      </c>
      <c r="Y768" s="6">
        <v>0.68</v>
      </c>
      <c r="Z768" s="4" t="s">
        <v>80</v>
      </c>
      <c r="AA768" t="s">
        <v>176</v>
      </c>
    </row>
    <row r="769" spans="1:27" hidden="1" x14ac:dyDescent="0.35">
      <c r="A769" t="str">
        <f>_xlfn.CONCAT(Tableau1[[#This Row],[Athletes]],"_",Tableau1[[#This Row],[Nationality]],"_",Tableau1[[#This Row],[Competition_year]])</f>
        <v>Saga PROVCI_SWE_2022</v>
      </c>
      <c r="B769" s="9" t="s">
        <v>412</v>
      </c>
      <c r="C769" s="9" t="s">
        <v>29</v>
      </c>
      <c r="D769" s="12" t="s">
        <v>28</v>
      </c>
      <c r="E769" s="9">
        <v>15</v>
      </c>
      <c r="F769" s="9">
        <v>15</v>
      </c>
      <c r="G769" s="9">
        <v>15.6</v>
      </c>
      <c r="H769" s="9">
        <v>15.9</v>
      </c>
      <c r="I769" s="9">
        <v>16.5</v>
      </c>
      <c r="J769" s="9">
        <v>16.899999999999999</v>
      </c>
      <c r="K769" s="9">
        <f>112.5-SUM(Tableau1[[#This Row],[0_100m]:[500_600m]])</f>
        <v>17.599999999999994</v>
      </c>
      <c r="L769">
        <f>Tableau1[[#This Row],[Final_time]]-SUM(Tableau1[[#This Row],[0_100m]:[600_700m]])</f>
        <v>17.960000000000008</v>
      </c>
      <c r="M769" s="9">
        <v>130.46</v>
      </c>
      <c r="N769">
        <f>SUM(Tableau1[[#This Row],[0_100m]:[700_800m]])</f>
        <v>130.46</v>
      </c>
      <c r="O769">
        <f>ABS(Tableau1[[#This Row],[Final_time]]-Tableau1[[#This Row],[Sum_time]])</f>
        <v>0</v>
      </c>
      <c r="P769" s="8"/>
      <c r="Q769" s="16" t="str">
        <f>_xlfn.CONCAT(Tableau1[[#This Row],[Competition]],"_",Tableau1[[#This Row],[Championship_step]],"_",Tableau1[[#This Row],[Competition_date]],"_",Tableau1[[#This Row],[Gender]])</f>
        <v>Diamond League Stockholm 2022 - National__44742_Female</v>
      </c>
      <c r="R769" t="s">
        <v>494</v>
      </c>
      <c r="S769" s="1" t="s">
        <v>68</v>
      </c>
      <c r="U769" s="1" t="s">
        <v>288</v>
      </c>
      <c r="V769" s="1">
        <v>44742</v>
      </c>
      <c r="W769" s="4">
        <f>YEAR(Tableau1[[#This Row],[Competition_date]])</f>
        <v>2022</v>
      </c>
      <c r="X769" s="4">
        <v>25</v>
      </c>
      <c r="Y769" s="6">
        <v>0.68</v>
      </c>
      <c r="Z769" s="4" t="s">
        <v>80</v>
      </c>
      <c r="AA769" t="s">
        <v>176</v>
      </c>
    </row>
    <row r="770" spans="1:27" hidden="1" x14ac:dyDescent="0.35">
      <c r="A770" t="str">
        <f>_xlfn.CONCAT(Tableau1[[#This Row],[Athletes]],"_",Tableau1[[#This Row],[Nationality]],"_",Tableau1[[#This Row],[Competition_year]])</f>
        <v>Ben PATTISON_GBR_2022</v>
      </c>
      <c r="B770" s="9" t="s">
        <v>108</v>
      </c>
      <c r="C770" s="9" t="s">
        <v>14</v>
      </c>
      <c r="D770" s="12" t="s">
        <v>30</v>
      </c>
      <c r="E770" s="9">
        <v>13.1</v>
      </c>
      <c r="F770" s="9">
        <v>12.3</v>
      </c>
      <c r="G770" s="9">
        <v>13.4</v>
      </c>
      <c r="H770" s="9">
        <v>13.3</v>
      </c>
      <c r="I770" s="9">
        <v>13.5</v>
      </c>
      <c r="J770" s="9">
        <v>13.7</v>
      </c>
      <c r="K770" s="9">
        <v>13.6</v>
      </c>
      <c r="L770">
        <f>Tableau1[[#This Row],[Final_time]]-SUM(Tableau1[[#This Row],[0_100m]:[600_700m]])</f>
        <v>13.160000000000011</v>
      </c>
      <c r="M770" s="9">
        <v>106.06</v>
      </c>
      <c r="N770">
        <f>SUM(Tableau1[[#This Row],[0_100m]:[700_800m]])</f>
        <v>106.06</v>
      </c>
      <c r="O770">
        <f>ABS(Tableau1[[#This Row],[Final_time]]-Tableau1[[#This Row],[Sum_time]])</f>
        <v>0</v>
      </c>
      <c r="P770" s="8"/>
      <c r="Q770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0" t="s">
        <v>494</v>
      </c>
      <c r="S770" s="1" t="s">
        <v>68</v>
      </c>
      <c r="U770" s="1" t="s">
        <v>288</v>
      </c>
      <c r="V770" s="1">
        <v>44742</v>
      </c>
      <c r="W770" s="4">
        <f>YEAR(Tableau1[[#This Row],[Competition_date]])</f>
        <v>2022</v>
      </c>
      <c r="X770" s="4">
        <v>25</v>
      </c>
      <c r="Y770" s="6">
        <v>0.68</v>
      </c>
      <c r="Z770" s="4" t="s">
        <v>81</v>
      </c>
      <c r="AA770" t="s">
        <v>176</v>
      </c>
    </row>
    <row r="771" spans="1:27" hidden="1" x14ac:dyDescent="0.35">
      <c r="A771" t="str">
        <f>_xlfn.CONCAT(Tableau1[[#This Row],[Athletes]],"_",Tableau1[[#This Row],[Nationality]],"_",Tableau1[[#This Row],[Competition_year]])</f>
        <v>John FITZSIMONS_IRL_2022</v>
      </c>
      <c r="B771" s="9" t="s">
        <v>193</v>
      </c>
      <c r="C771" s="9" t="s">
        <v>14</v>
      </c>
      <c r="D771" s="12" t="s">
        <v>66</v>
      </c>
      <c r="E771" s="9">
        <v>13.1</v>
      </c>
      <c r="F771" s="9">
        <v>12.6</v>
      </c>
      <c r="G771" s="9">
        <v>13.9</v>
      </c>
      <c r="H771" s="9">
        <v>13.2</v>
      </c>
      <c r="I771" s="9">
        <v>13.5</v>
      </c>
      <c r="J771" s="9">
        <v>13.2</v>
      </c>
      <c r="K771" s="9">
        <v>13.7</v>
      </c>
      <c r="L771">
        <f>Tableau1[[#This Row],[Final_time]]-SUM(Tableau1[[#This Row],[0_100m]:[600_700m]])</f>
        <v>13.599999999999994</v>
      </c>
      <c r="M771" s="9">
        <v>106.8</v>
      </c>
      <c r="N771">
        <f>SUM(Tableau1[[#This Row],[0_100m]:[700_800m]])</f>
        <v>106.8</v>
      </c>
      <c r="O771">
        <f>ABS(Tableau1[[#This Row],[Final_time]]-Tableau1[[#This Row],[Sum_time]])</f>
        <v>0</v>
      </c>
      <c r="P771" s="8"/>
      <c r="Q771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1" t="s">
        <v>494</v>
      </c>
      <c r="S771" s="1" t="s">
        <v>68</v>
      </c>
      <c r="U771" s="1" t="s">
        <v>288</v>
      </c>
      <c r="V771" s="1">
        <v>44742</v>
      </c>
      <c r="W771" s="4">
        <f>YEAR(Tableau1[[#This Row],[Competition_date]])</f>
        <v>2022</v>
      </c>
      <c r="X771" s="4">
        <v>25</v>
      </c>
      <c r="Y771" s="6">
        <v>0.68</v>
      </c>
      <c r="Z771" s="4" t="s">
        <v>81</v>
      </c>
      <c r="AA771" t="s">
        <v>176</v>
      </c>
    </row>
    <row r="772" spans="1:27" hidden="1" x14ac:dyDescent="0.35">
      <c r="A772" t="str">
        <f>_xlfn.CONCAT(Tableau1[[#This Row],[Athletes]],"_",Tableau1[[#This Row],[Nationality]],"_",Tableau1[[#This Row],[Competition_year]])</f>
        <v>Jye PERROTT_AUS_2022</v>
      </c>
      <c r="B772" s="9" t="s">
        <v>402</v>
      </c>
      <c r="C772" s="9" t="s">
        <v>14</v>
      </c>
      <c r="D772" s="12" t="s">
        <v>36</v>
      </c>
      <c r="E772" s="9">
        <v>13</v>
      </c>
      <c r="F772" s="9">
        <v>12.5</v>
      </c>
      <c r="G772" s="9">
        <v>13.5</v>
      </c>
      <c r="H772" s="9">
        <v>13.4</v>
      </c>
      <c r="I772" s="9">
        <v>13.4</v>
      </c>
      <c r="J772" s="9">
        <v>13.8</v>
      </c>
      <c r="K772" s="9">
        <v>13.7</v>
      </c>
      <c r="L772">
        <f>Tableau1[[#This Row],[Final_time]]-SUM(Tableau1[[#This Row],[0_100m]:[600_700m]])</f>
        <v>13.730000000000004</v>
      </c>
      <c r="M772" s="9">
        <v>107.03</v>
      </c>
      <c r="N772">
        <f>SUM(Tableau1[[#This Row],[0_100m]:[700_800m]])</f>
        <v>107.03</v>
      </c>
      <c r="O772">
        <f>ABS(Tableau1[[#This Row],[Final_time]]-Tableau1[[#This Row],[Sum_time]])</f>
        <v>0</v>
      </c>
      <c r="P772" s="8"/>
      <c r="Q772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2" t="s">
        <v>494</v>
      </c>
      <c r="S772" s="1" t="s">
        <v>68</v>
      </c>
      <c r="U772" s="1" t="s">
        <v>288</v>
      </c>
      <c r="V772" s="1">
        <v>44742</v>
      </c>
      <c r="W772" s="4">
        <f>YEAR(Tableau1[[#This Row],[Competition_date]])</f>
        <v>2022</v>
      </c>
      <c r="X772" s="4">
        <v>25</v>
      </c>
      <c r="Y772" s="6">
        <v>0.68</v>
      </c>
      <c r="Z772" s="4" t="s">
        <v>81</v>
      </c>
      <c r="AA772" t="s">
        <v>176</v>
      </c>
    </row>
    <row r="773" spans="1:27" hidden="1" x14ac:dyDescent="0.35">
      <c r="A773" t="str">
        <f>_xlfn.CONCAT(Tableau1[[#This Row],[Athletes]],"_",Tableau1[[#This Row],[Nationality]],"_",Tableau1[[#This Row],[Competition_year]])</f>
        <v>Felix FRANCOIS_SWE_2022</v>
      </c>
      <c r="B773" s="9" t="s">
        <v>403</v>
      </c>
      <c r="C773" s="9" t="s">
        <v>14</v>
      </c>
      <c r="D773" s="12" t="s">
        <v>28</v>
      </c>
      <c r="E773" s="9">
        <v>13.2</v>
      </c>
      <c r="F773" s="9">
        <v>12.4</v>
      </c>
      <c r="G773" s="9">
        <v>13.6</v>
      </c>
      <c r="H773" s="9">
        <v>13.4</v>
      </c>
      <c r="I773" s="9">
        <v>13.5</v>
      </c>
      <c r="J773" s="9">
        <v>13.7</v>
      </c>
      <c r="K773" s="9">
        <v>13.7</v>
      </c>
      <c r="L773">
        <f>Tableau1[[#This Row],[Final_time]]-SUM(Tableau1[[#This Row],[0_100m]:[600_700m]])</f>
        <v>13.709999999999994</v>
      </c>
      <c r="M773" s="9">
        <v>107.21</v>
      </c>
      <c r="N773">
        <f>SUM(Tableau1[[#This Row],[0_100m]:[700_800m]])</f>
        <v>107.21</v>
      </c>
      <c r="O773">
        <f>ABS(Tableau1[[#This Row],[Final_time]]-Tableau1[[#This Row],[Sum_time]])</f>
        <v>0</v>
      </c>
      <c r="P773" s="8"/>
      <c r="Q773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3" t="s">
        <v>494</v>
      </c>
      <c r="S773" s="1" t="s">
        <v>68</v>
      </c>
      <c r="U773" s="1" t="s">
        <v>288</v>
      </c>
      <c r="V773" s="1">
        <v>44742</v>
      </c>
      <c r="W773" s="4">
        <f>YEAR(Tableau1[[#This Row],[Competition_date]])</f>
        <v>2022</v>
      </c>
      <c r="X773" s="4">
        <v>25</v>
      </c>
      <c r="Y773" s="6">
        <v>0.68</v>
      </c>
      <c r="Z773" s="4" t="s">
        <v>81</v>
      </c>
      <c r="AA773" t="s">
        <v>176</v>
      </c>
    </row>
    <row r="774" spans="1:27" hidden="1" x14ac:dyDescent="0.35">
      <c r="A774" t="str">
        <f>_xlfn.CONCAT(Tableau1[[#This Row],[Athletes]],"_",Tableau1[[#This Row],[Nationality]],"_",Tableau1[[#This Row],[Competition_year]])</f>
        <v>James PRESTON_NZL_2022</v>
      </c>
      <c r="B774" s="9" t="s">
        <v>128</v>
      </c>
      <c r="C774" s="9" t="s">
        <v>14</v>
      </c>
      <c r="D774" s="12" t="s">
        <v>116</v>
      </c>
      <c r="E774" s="9">
        <v>13.2</v>
      </c>
      <c r="F774" s="9">
        <v>12.7</v>
      </c>
      <c r="G774" s="9">
        <v>13.8</v>
      </c>
      <c r="H774" s="9">
        <v>13.2</v>
      </c>
      <c r="I774" s="9">
        <v>13.6</v>
      </c>
      <c r="J774" s="9">
        <v>13.5</v>
      </c>
      <c r="K774" s="9">
        <v>13.7</v>
      </c>
      <c r="L774">
        <f>Tableau1[[#This Row],[Final_time]]-SUM(Tableau1[[#This Row],[0_100m]:[600_700m]])</f>
        <v>14.590000000000003</v>
      </c>
      <c r="M774" s="9">
        <v>108.29</v>
      </c>
      <c r="N774">
        <f>SUM(Tableau1[[#This Row],[0_100m]:[700_800m]])</f>
        <v>108.29</v>
      </c>
      <c r="O774">
        <f>ABS(Tableau1[[#This Row],[Final_time]]-Tableau1[[#This Row],[Sum_time]])</f>
        <v>0</v>
      </c>
      <c r="P774" s="8"/>
      <c r="Q774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4" t="s">
        <v>494</v>
      </c>
      <c r="S774" s="1" t="s">
        <v>68</v>
      </c>
      <c r="U774" s="1" t="s">
        <v>288</v>
      </c>
      <c r="V774" s="1">
        <v>44742</v>
      </c>
      <c r="W774" s="4">
        <f>YEAR(Tableau1[[#This Row],[Competition_date]])</f>
        <v>2022</v>
      </c>
      <c r="X774" s="4">
        <v>25</v>
      </c>
      <c r="Y774" s="6">
        <v>0.68</v>
      </c>
      <c r="Z774" s="4" t="s">
        <v>81</v>
      </c>
      <c r="AA774" t="s">
        <v>176</v>
      </c>
    </row>
    <row r="775" spans="1:27" hidden="1" x14ac:dyDescent="0.35">
      <c r="A775" t="str">
        <f>_xlfn.CONCAT(Tableau1[[#This Row],[Athletes]],"_",Tableau1[[#This Row],[Nationality]],"_",Tableau1[[#This Row],[Competition_year]])</f>
        <v>Mohammed AL-SULEIMANI_OMA_2022</v>
      </c>
      <c r="B775" s="9" t="s">
        <v>404</v>
      </c>
      <c r="C775" s="9" t="s">
        <v>14</v>
      </c>
      <c r="D775" s="12" t="s">
        <v>61</v>
      </c>
      <c r="E775" s="9">
        <v>13.6</v>
      </c>
      <c r="F775" s="9">
        <v>12.8</v>
      </c>
      <c r="G775" s="9">
        <v>13.8</v>
      </c>
      <c r="H775" s="9">
        <v>13.5</v>
      </c>
      <c r="I775" s="9">
        <v>13.5</v>
      </c>
      <c r="J775" s="9">
        <v>13.4</v>
      </c>
      <c r="K775" s="9">
        <v>13.7</v>
      </c>
      <c r="L775">
        <f>Tableau1[[#This Row],[Final_time]]-SUM(Tableau1[[#This Row],[0_100m]:[600_700m]])</f>
        <v>14.149999999999991</v>
      </c>
      <c r="M775" s="9">
        <v>108.45</v>
      </c>
      <c r="N775">
        <f>SUM(Tableau1[[#This Row],[0_100m]:[700_800m]])</f>
        <v>108.45</v>
      </c>
      <c r="O775">
        <f>ABS(Tableau1[[#This Row],[Final_time]]-Tableau1[[#This Row],[Sum_time]])</f>
        <v>0</v>
      </c>
      <c r="P775" s="8"/>
      <c r="Q775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5" t="s">
        <v>494</v>
      </c>
      <c r="S775" s="1" t="s">
        <v>68</v>
      </c>
      <c r="U775" s="1" t="s">
        <v>288</v>
      </c>
      <c r="V775" s="1">
        <v>44742</v>
      </c>
      <c r="W775" s="4">
        <f>YEAR(Tableau1[[#This Row],[Competition_date]])</f>
        <v>2022</v>
      </c>
      <c r="X775" s="4">
        <v>25</v>
      </c>
      <c r="Y775" s="6">
        <v>0.68</v>
      </c>
      <c r="Z775" s="4" t="s">
        <v>81</v>
      </c>
      <c r="AA775" t="s">
        <v>176</v>
      </c>
    </row>
    <row r="776" spans="1:27" hidden="1" x14ac:dyDescent="0.35">
      <c r="A776" t="str">
        <f>_xlfn.CONCAT(Tableau1[[#This Row],[Athletes]],"_",Tableau1[[#This Row],[Nationality]],"_",Tableau1[[#This Row],[Competition_year]])</f>
        <v>Joakim ANDERSSON_SWE_2022</v>
      </c>
      <c r="B776" s="9" t="s">
        <v>405</v>
      </c>
      <c r="C776" s="9" t="s">
        <v>14</v>
      </c>
      <c r="D776" s="12" t="s">
        <v>28</v>
      </c>
      <c r="E776" s="9">
        <v>13</v>
      </c>
      <c r="F776" s="9">
        <v>12.7</v>
      </c>
      <c r="G776" s="9">
        <v>13.7</v>
      </c>
      <c r="H776" s="9">
        <v>13.6</v>
      </c>
      <c r="I776" s="9">
        <v>13.8</v>
      </c>
      <c r="J776" s="9">
        <v>13.6</v>
      </c>
      <c r="K776" s="9">
        <v>14</v>
      </c>
      <c r="L776">
        <f>Tableau1[[#This Row],[Final_time]]-SUM(Tableau1[[#This Row],[0_100m]:[600_700m]])</f>
        <v>14.340000000000003</v>
      </c>
      <c r="M776" s="9">
        <v>108.74</v>
      </c>
      <c r="N776">
        <f>SUM(Tableau1[[#This Row],[0_100m]:[700_800m]])</f>
        <v>108.74</v>
      </c>
      <c r="O776">
        <f>ABS(Tableau1[[#This Row],[Final_time]]-Tableau1[[#This Row],[Sum_time]])</f>
        <v>0</v>
      </c>
      <c r="P776" s="8"/>
      <c r="Q776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6" t="s">
        <v>494</v>
      </c>
      <c r="S776" s="1" t="s">
        <v>68</v>
      </c>
      <c r="U776" s="1" t="s">
        <v>288</v>
      </c>
      <c r="V776" s="1">
        <v>44742</v>
      </c>
      <c r="W776" s="4">
        <f>YEAR(Tableau1[[#This Row],[Competition_date]])</f>
        <v>2022</v>
      </c>
      <c r="X776" s="4">
        <v>25</v>
      </c>
      <c r="Y776" s="6">
        <v>0.68</v>
      </c>
      <c r="Z776" s="4" t="s">
        <v>81</v>
      </c>
      <c r="AA776" t="s">
        <v>176</v>
      </c>
    </row>
    <row r="777" spans="1:27" hidden="1" x14ac:dyDescent="0.35">
      <c r="A777" t="str">
        <f>_xlfn.CONCAT(Tableau1[[#This Row],[Athletes]],"_",Tableau1[[#This Row],[Nationality]],"_",Tableau1[[#This Row],[Competition_year]])</f>
        <v>Habtom ASGEDE_ERI_2022</v>
      </c>
      <c r="B777" s="9" t="s">
        <v>326</v>
      </c>
      <c r="C777" s="9" t="s">
        <v>14</v>
      </c>
      <c r="D777" s="12" t="s">
        <v>325</v>
      </c>
      <c r="E777" s="9">
        <v>13.3</v>
      </c>
      <c r="F777" s="9">
        <v>12.6</v>
      </c>
      <c r="G777" s="9">
        <v>13.4</v>
      </c>
      <c r="H777" s="9">
        <v>13.2</v>
      </c>
      <c r="I777" s="9">
        <v>13.9</v>
      </c>
      <c r="J777" s="9">
        <v>14.2</v>
      </c>
      <c r="K777" s="9">
        <v>14.9</v>
      </c>
      <c r="L777">
        <f>Tableau1[[#This Row],[Final_time]]-SUM(Tableau1[[#This Row],[0_100m]:[600_700m]])</f>
        <v>15.059999999999988</v>
      </c>
      <c r="M777" s="9">
        <v>110.56</v>
      </c>
      <c r="N777">
        <f>SUM(Tableau1[[#This Row],[0_100m]:[700_800m]])</f>
        <v>110.56</v>
      </c>
      <c r="O777">
        <f>ABS(Tableau1[[#This Row],[Final_time]]-Tableau1[[#This Row],[Sum_time]])</f>
        <v>0</v>
      </c>
      <c r="P777" s="8"/>
      <c r="Q777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7" t="s">
        <v>494</v>
      </c>
      <c r="S777" s="1" t="s">
        <v>68</v>
      </c>
      <c r="U777" s="1" t="s">
        <v>288</v>
      </c>
      <c r="V777" s="1">
        <v>44742</v>
      </c>
      <c r="W777" s="4">
        <f>YEAR(Tableau1[[#This Row],[Competition_date]])</f>
        <v>2022</v>
      </c>
      <c r="X777" s="4">
        <v>25</v>
      </c>
      <c r="Y777" s="6">
        <v>0.68</v>
      </c>
      <c r="Z777" s="4" t="s">
        <v>81</v>
      </c>
      <c r="AA777" t="s">
        <v>176</v>
      </c>
    </row>
    <row r="778" spans="1:27" hidden="1" x14ac:dyDescent="0.35">
      <c r="A778" t="str">
        <f>_xlfn.CONCAT(Tableau1[[#This Row],[Athletes]],"_",Tableau1[[#This Row],[Nationality]],"_",Tableau1[[#This Row],[Competition_year]])</f>
        <v>Björn SEIFERT_SWE_2022</v>
      </c>
      <c r="B778" s="9" t="s">
        <v>406</v>
      </c>
      <c r="C778" s="9" t="s">
        <v>14</v>
      </c>
      <c r="D778" s="12" t="s">
        <v>28</v>
      </c>
      <c r="E778" s="9">
        <v>13</v>
      </c>
      <c r="F778" s="9">
        <v>13</v>
      </c>
      <c r="G778" s="9">
        <v>13.9</v>
      </c>
      <c r="H778" s="9">
        <v>13.6</v>
      </c>
      <c r="I778" s="9">
        <v>13.8</v>
      </c>
      <c r="J778" s="9">
        <v>14.2</v>
      </c>
      <c r="K778" s="9">
        <v>14.6</v>
      </c>
      <c r="L778">
        <f>Tableau1[[#This Row],[Final_time]]-SUM(Tableau1[[#This Row],[0_100m]:[600_700m]])</f>
        <v>15.64</v>
      </c>
      <c r="M778" s="9">
        <v>111.74</v>
      </c>
      <c r="N778">
        <f>SUM(Tableau1[[#This Row],[0_100m]:[700_800m]])</f>
        <v>111.74</v>
      </c>
      <c r="O778">
        <f>ABS(Tableau1[[#This Row],[Final_time]]-Tableau1[[#This Row],[Sum_time]])</f>
        <v>0</v>
      </c>
      <c r="P778" s="8"/>
      <c r="Q778" s="16" t="str">
        <f>_xlfn.CONCAT(Tableau1[[#This Row],[Competition]],"_",Tableau1[[#This Row],[Championship_step]],"_",Tableau1[[#This Row],[Competition_date]],"_",Tableau1[[#This Row],[Gender]])</f>
        <v>Diamond League Stockholm 2022 - National__44742_Male</v>
      </c>
      <c r="R778" t="s">
        <v>494</v>
      </c>
      <c r="S778" s="1" t="s">
        <v>68</v>
      </c>
      <c r="U778" s="1" t="s">
        <v>288</v>
      </c>
      <c r="V778" s="1">
        <v>44742</v>
      </c>
      <c r="W778" s="4">
        <f>YEAR(Tableau1[[#This Row],[Competition_date]])</f>
        <v>2022</v>
      </c>
      <c r="X778" s="4">
        <v>25</v>
      </c>
      <c r="Y778" s="6">
        <v>0.68</v>
      </c>
      <c r="Z778" s="4" t="s">
        <v>81</v>
      </c>
      <c r="AA778" t="s">
        <v>176</v>
      </c>
    </row>
    <row r="779" spans="1:27" hidden="1" x14ac:dyDescent="0.35">
      <c r="A779" t="str">
        <f>_xlfn.CONCAT(Tableau1[[#This Row],[Athletes]],"_",Tableau1[[#This Row],[Nationality]],"_",Tableau1[[#This Row],[Competition_year]])</f>
        <v>Mary MORAA_KEN_2022</v>
      </c>
      <c r="B779" s="9" t="s">
        <v>228</v>
      </c>
      <c r="C779" s="9" t="s">
        <v>29</v>
      </c>
      <c r="D779" s="12" t="s">
        <v>15</v>
      </c>
      <c r="E779" s="9">
        <v>13.4</v>
      </c>
      <c r="F779" s="9">
        <v>13.2</v>
      </c>
      <c r="G779" s="9">
        <v>15.6</v>
      </c>
      <c r="H779" s="9">
        <v>15.5</v>
      </c>
      <c r="I779" s="9">
        <v>15.6</v>
      </c>
      <c r="J779" s="9">
        <v>14.9</v>
      </c>
      <c r="K779" s="9">
        <v>14.9</v>
      </c>
      <c r="L779">
        <f>Tableau1[[#This Row],[Final_time]]-SUM(Tableau1[[#This Row],[0_100m]:[600_700m]])</f>
        <v>14.579999999999998</v>
      </c>
      <c r="M779" s="9">
        <v>117.68</v>
      </c>
      <c r="N779">
        <f>SUM(Tableau1[[#This Row],[0_100m]:[700_800m]])</f>
        <v>117.68</v>
      </c>
      <c r="O779">
        <f>ABS(Tableau1[[#This Row],[Final_time]]-Tableau1[[#This Row],[Sum_time]])</f>
        <v>0</v>
      </c>
      <c r="P779" s="8"/>
      <c r="Q779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79" t="s">
        <v>413</v>
      </c>
      <c r="S779" s="1" t="s">
        <v>68</v>
      </c>
      <c r="U779" s="1" t="s">
        <v>69</v>
      </c>
      <c r="V779" s="1">
        <v>44742</v>
      </c>
      <c r="W779" s="4">
        <f>YEAR(Tableau1[[#This Row],[Competition_date]])</f>
        <v>2022</v>
      </c>
      <c r="X779" s="4">
        <v>23</v>
      </c>
      <c r="Y779" s="6">
        <v>0.73</v>
      </c>
      <c r="Z779" s="4" t="s">
        <v>80</v>
      </c>
      <c r="AA779" t="s">
        <v>176</v>
      </c>
    </row>
    <row r="780" spans="1:27" hidden="1" x14ac:dyDescent="0.35">
      <c r="A780" t="str">
        <f>_xlfn.CONCAT(Tableau1[[#This Row],[Athletes]],"_",Tableau1[[#This Row],[Nationality]],"_",Tableau1[[#This Row],[Competition_year]])</f>
        <v>Keely HODGKINSON_GBR_2022</v>
      </c>
      <c r="B780" s="9" t="s">
        <v>212</v>
      </c>
      <c r="C780" s="9" t="s">
        <v>29</v>
      </c>
      <c r="D780" s="12" t="s">
        <v>30</v>
      </c>
      <c r="E780" s="9">
        <v>13.7</v>
      </c>
      <c r="F780" s="9">
        <v>13.1</v>
      </c>
      <c r="G780" s="9">
        <v>15.8</v>
      </c>
      <c r="H780" s="9">
        <v>15.6</v>
      </c>
      <c r="I780" s="9">
        <v>15.5</v>
      </c>
      <c r="J780" s="9">
        <v>14.7</v>
      </c>
      <c r="K780" s="9">
        <v>15</v>
      </c>
      <c r="L780">
        <f>Tableau1[[#This Row],[Final_time]]-SUM(Tableau1[[#This Row],[0_100m]:[600_700m]])</f>
        <v>14.780000000000015</v>
      </c>
      <c r="M780" s="9">
        <v>118.18</v>
      </c>
      <c r="N780">
        <f>SUM(Tableau1[[#This Row],[0_100m]:[700_800m]])</f>
        <v>118.18</v>
      </c>
      <c r="O780">
        <f>ABS(Tableau1[[#This Row],[Final_time]]-Tableau1[[#This Row],[Sum_time]])</f>
        <v>0</v>
      </c>
      <c r="P780" s="8"/>
      <c r="Q780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0" t="s">
        <v>413</v>
      </c>
      <c r="S780" s="1" t="s">
        <v>68</v>
      </c>
      <c r="U780" s="1" t="s">
        <v>69</v>
      </c>
      <c r="V780" s="1">
        <v>44742</v>
      </c>
      <c r="W780" s="4">
        <f>YEAR(Tableau1[[#This Row],[Competition_date]])</f>
        <v>2022</v>
      </c>
      <c r="X780" s="4">
        <v>23</v>
      </c>
      <c r="Y780" s="6">
        <v>0.73</v>
      </c>
      <c r="Z780" s="4" t="s">
        <v>80</v>
      </c>
      <c r="AA780" t="s">
        <v>176</v>
      </c>
    </row>
    <row r="781" spans="1:27" hidden="1" x14ac:dyDescent="0.35">
      <c r="A781" t="str">
        <f>_xlfn.CONCAT(Tableau1[[#This Row],[Athletes]],"_",Tableau1[[#This Row],[Nationality]],"_",Tableau1[[#This Row],[Competition_year]])</f>
        <v>Catriona BISSET_AUS_2022</v>
      </c>
      <c r="B781" s="9" t="s">
        <v>217</v>
      </c>
      <c r="C781" s="9" t="s">
        <v>29</v>
      </c>
      <c r="D781" s="12" t="s">
        <v>36</v>
      </c>
      <c r="E781" s="9">
        <v>13.7</v>
      </c>
      <c r="F781" s="9">
        <v>13</v>
      </c>
      <c r="G781" s="9">
        <v>15.7</v>
      </c>
      <c r="H781" s="9">
        <v>15.5</v>
      </c>
      <c r="I781" s="9">
        <v>15.6</v>
      </c>
      <c r="J781" s="9">
        <v>15.1</v>
      </c>
      <c r="K781" s="9">
        <v>14.9</v>
      </c>
      <c r="L781">
        <f>Tableau1[[#This Row],[Final_time]]-SUM(Tableau1[[#This Row],[0_100m]:[600_700m]])</f>
        <v>15.040000000000006</v>
      </c>
      <c r="M781" s="9">
        <v>118.54</v>
      </c>
      <c r="N781">
        <f>SUM(Tableau1[[#This Row],[0_100m]:[700_800m]])</f>
        <v>118.54</v>
      </c>
      <c r="O781">
        <f>ABS(Tableau1[[#This Row],[Final_time]]-Tableau1[[#This Row],[Sum_time]])</f>
        <v>0</v>
      </c>
      <c r="P781" s="8"/>
      <c r="Q781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1" t="s">
        <v>413</v>
      </c>
      <c r="S781" s="1" t="s">
        <v>68</v>
      </c>
      <c r="U781" s="1" t="s">
        <v>69</v>
      </c>
      <c r="V781" s="1">
        <v>44742</v>
      </c>
      <c r="W781" s="4">
        <f>YEAR(Tableau1[[#This Row],[Competition_date]])</f>
        <v>2022</v>
      </c>
      <c r="X781" s="4">
        <v>23</v>
      </c>
      <c r="Y781" s="6">
        <v>0.73</v>
      </c>
      <c r="Z781" s="4" t="s">
        <v>80</v>
      </c>
      <c r="AA781" t="s">
        <v>176</v>
      </c>
    </row>
    <row r="782" spans="1:27" hidden="1" x14ac:dyDescent="0.35">
      <c r="A782" t="str">
        <f>_xlfn.CONCAT(Tableau1[[#This Row],[Athletes]],"_",Tableau1[[#This Row],[Nationality]],"_",Tableau1[[#This Row],[Competition_year]])</f>
        <v>Halimah NAKAAYI_UGA_2022</v>
      </c>
      <c r="B782" s="9" t="s">
        <v>230</v>
      </c>
      <c r="C782" s="9" t="s">
        <v>29</v>
      </c>
      <c r="D782" s="12" t="s">
        <v>34</v>
      </c>
      <c r="E782" s="9">
        <v>13.5</v>
      </c>
      <c r="F782" s="9">
        <v>13.4</v>
      </c>
      <c r="G782" s="9">
        <v>15.8</v>
      </c>
      <c r="H782" s="9">
        <v>15.6</v>
      </c>
      <c r="I782" s="9">
        <v>15.5</v>
      </c>
      <c r="J782" s="9">
        <v>14.9</v>
      </c>
      <c r="K782" s="9">
        <v>15.1</v>
      </c>
      <c r="L782">
        <f>Tableau1[[#This Row],[Final_time]]-SUM(Tableau1[[#This Row],[0_100m]:[600_700m]])</f>
        <v>15.049999999999983</v>
      </c>
      <c r="M782" s="9">
        <v>118.85</v>
      </c>
      <c r="N782">
        <f>SUM(Tableau1[[#This Row],[0_100m]:[700_800m]])</f>
        <v>118.85</v>
      </c>
      <c r="O782">
        <f>ABS(Tableau1[[#This Row],[Final_time]]-Tableau1[[#This Row],[Sum_time]])</f>
        <v>0</v>
      </c>
      <c r="P782" s="8"/>
      <c r="Q782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2" t="s">
        <v>413</v>
      </c>
      <c r="S782" s="1" t="s">
        <v>68</v>
      </c>
      <c r="U782" s="1" t="s">
        <v>69</v>
      </c>
      <c r="V782" s="1">
        <v>44742</v>
      </c>
      <c r="W782" s="4">
        <f>YEAR(Tableau1[[#This Row],[Competition_date]])</f>
        <v>2022</v>
      </c>
      <c r="X782" s="4">
        <v>23</v>
      </c>
      <c r="Y782" s="6">
        <v>0.73</v>
      </c>
      <c r="Z782" s="4" t="s">
        <v>80</v>
      </c>
      <c r="AA782" t="s">
        <v>176</v>
      </c>
    </row>
    <row r="783" spans="1:27" hidden="1" x14ac:dyDescent="0.35">
      <c r="A783" t="str">
        <f>_xlfn.CONCAT(Tableau1[[#This Row],[Athletes]],"_",Tableau1[[#This Row],[Nationality]],"_",Tableau1[[#This Row],[Competition_year]])</f>
        <v>Sage HURTA-KLECKER_USA_2022</v>
      </c>
      <c r="B783" s="9" t="s">
        <v>289</v>
      </c>
      <c r="C783" s="9" t="s">
        <v>29</v>
      </c>
      <c r="D783" s="12" t="s">
        <v>35</v>
      </c>
      <c r="E783" s="9">
        <v>13.7</v>
      </c>
      <c r="F783" s="9">
        <v>13.3</v>
      </c>
      <c r="G783" s="9">
        <v>15.8</v>
      </c>
      <c r="H783" s="9">
        <v>15.2</v>
      </c>
      <c r="I783" s="9">
        <v>15.6</v>
      </c>
      <c r="J783" s="9">
        <v>15</v>
      </c>
      <c r="K783" s="9">
        <v>15</v>
      </c>
      <c r="L783">
        <f>Tableau1[[#This Row],[Final_time]]-SUM(Tableau1[[#This Row],[0_100m]:[600_700m]])</f>
        <v>15.350000000000009</v>
      </c>
      <c r="M783" s="9">
        <v>118.95</v>
      </c>
      <c r="N783">
        <f>SUM(Tableau1[[#This Row],[0_100m]:[700_800m]])</f>
        <v>118.95</v>
      </c>
      <c r="O783">
        <f>ABS(Tableau1[[#This Row],[Final_time]]-Tableau1[[#This Row],[Sum_time]])</f>
        <v>0</v>
      </c>
      <c r="P783" s="8"/>
      <c r="Q783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3" t="s">
        <v>413</v>
      </c>
      <c r="S783" s="1" t="s">
        <v>68</v>
      </c>
      <c r="U783" s="1" t="s">
        <v>69</v>
      </c>
      <c r="V783" s="1">
        <v>44742</v>
      </c>
      <c r="W783" s="4">
        <f>YEAR(Tableau1[[#This Row],[Competition_date]])</f>
        <v>2022</v>
      </c>
      <c r="X783" s="4">
        <v>23</v>
      </c>
      <c r="Y783" s="6">
        <v>0.73</v>
      </c>
      <c r="Z783" s="4" t="s">
        <v>80</v>
      </c>
      <c r="AA783" t="s">
        <v>176</v>
      </c>
    </row>
    <row r="784" spans="1:27" hidden="1" x14ac:dyDescent="0.35">
      <c r="A784" t="str">
        <f>_xlfn.CONCAT(Tableau1[[#This Row],[Athletes]],"_",Tableau1[[#This Row],[Nationality]],"_",Tableau1[[#This Row],[Competition_year]])</f>
        <v>Prudence SEKGODISO_RSA_2022</v>
      </c>
      <c r="B784" s="9" t="s">
        <v>235</v>
      </c>
      <c r="C784" s="9" t="s">
        <v>29</v>
      </c>
      <c r="D784" s="12" t="s">
        <v>96</v>
      </c>
      <c r="E784" s="9">
        <v>13.5</v>
      </c>
      <c r="F784" s="9">
        <v>13.3</v>
      </c>
      <c r="G784" s="9">
        <v>15.8</v>
      </c>
      <c r="H784" s="9">
        <v>15.7</v>
      </c>
      <c r="I784" s="9">
        <v>15.6</v>
      </c>
      <c r="J784" s="9">
        <v>14.9</v>
      </c>
      <c r="K784" s="9">
        <v>15.1</v>
      </c>
      <c r="L784">
        <f>Tableau1[[#This Row],[Final_time]]-SUM(Tableau1[[#This Row],[0_100m]:[600_700m]])</f>
        <v>15.620000000000005</v>
      </c>
      <c r="M784" s="9">
        <v>119.52</v>
      </c>
      <c r="N784">
        <f>SUM(Tableau1[[#This Row],[0_100m]:[700_800m]])</f>
        <v>119.52</v>
      </c>
      <c r="O784">
        <f>ABS(Tableau1[[#This Row],[Final_time]]-Tableau1[[#This Row],[Sum_time]])</f>
        <v>0</v>
      </c>
      <c r="P784" s="8"/>
      <c r="Q784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4" t="s">
        <v>413</v>
      </c>
      <c r="S784" s="1" t="s">
        <v>68</v>
      </c>
      <c r="U784" s="1" t="s">
        <v>69</v>
      </c>
      <c r="V784" s="1">
        <v>44742</v>
      </c>
      <c r="W784" s="4">
        <f>YEAR(Tableau1[[#This Row],[Competition_date]])</f>
        <v>2022</v>
      </c>
      <c r="X784" s="4">
        <v>23</v>
      </c>
      <c r="Y784" s="6">
        <v>0.73</v>
      </c>
      <c r="Z784" s="4" t="s">
        <v>80</v>
      </c>
      <c r="AA784" t="s">
        <v>176</v>
      </c>
    </row>
    <row r="785" spans="1:27" hidden="1" x14ac:dyDescent="0.35">
      <c r="A785" t="str">
        <f>_xlfn.CONCAT(Tableau1[[#This Row],[Athletes]],"_",Tableau1[[#This Row],[Nationality]],"_",Tableau1[[#This Row],[Competition_year]])</f>
        <v>Brooke FELDMEIER_USA_2022</v>
      </c>
      <c r="B785" s="9" t="s">
        <v>367</v>
      </c>
      <c r="C785" s="9" t="s">
        <v>29</v>
      </c>
      <c r="D785" s="12" t="s">
        <v>35</v>
      </c>
      <c r="E785" s="9">
        <v>13.8</v>
      </c>
      <c r="F785" s="9">
        <v>13.2</v>
      </c>
      <c r="G785" s="9">
        <v>15.8</v>
      </c>
      <c r="H785" s="9">
        <v>15.6</v>
      </c>
      <c r="I785" s="9">
        <v>15.5</v>
      </c>
      <c r="J785" s="9">
        <v>15</v>
      </c>
      <c r="K785" s="9">
        <v>15.1</v>
      </c>
      <c r="L785">
        <f>Tableau1[[#This Row],[Final_time]]-SUM(Tableau1[[#This Row],[0_100m]:[600_700m]])</f>
        <v>15.730000000000004</v>
      </c>
      <c r="M785" s="9">
        <v>119.73</v>
      </c>
      <c r="N785">
        <f>SUM(Tableau1[[#This Row],[0_100m]:[700_800m]])</f>
        <v>119.73</v>
      </c>
      <c r="O785">
        <f>ABS(Tableau1[[#This Row],[Final_time]]-Tableau1[[#This Row],[Sum_time]])</f>
        <v>0</v>
      </c>
      <c r="P785" s="8"/>
      <c r="Q785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5" t="s">
        <v>413</v>
      </c>
      <c r="S785" s="1" t="s">
        <v>68</v>
      </c>
      <c r="U785" s="1" t="s">
        <v>69</v>
      </c>
      <c r="V785" s="1">
        <v>44742</v>
      </c>
      <c r="W785" s="4">
        <f>YEAR(Tableau1[[#This Row],[Competition_date]])</f>
        <v>2022</v>
      </c>
      <c r="X785" s="4">
        <v>23</v>
      </c>
      <c r="Y785" s="6">
        <v>0.73</v>
      </c>
      <c r="Z785" s="4" t="s">
        <v>80</v>
      </c>
      <c r="AA785" t="s">
        <v>176</v>
      </c>
    </row>
    <row r="786" spans="1:27" hidden="1" x14ac:dyDescent="0.35">
      <c r="A786" t="str">
        <f>_xlfn.CONCAT(Tableau1[[#This Row],[Athletes]],"_",Tableau1[[#This Row],[Nationality]],"_",Tableau1[[#This Row],[Competition_year]])</f>
        <v>Hedda HYNNE_NOR_2022</v>
      </c>
      <c r="B786" s="9" t="s">
        <v>281</v>
      </c>
      <c r="C786" s="9" t="s">
        <v>29</v>
      </c>
      <c r="D786" s="12" t="s">
        <v>123</v>
      </c>
      <c r="E786" s="9">
        <v>14</v>
      </c>
      <c r="F786" s="9">
        <v>13.3</v>
      </c>
      <c r="G786" s="9">
        <v>15.7</v>
      </c>
      <c r="H786" s="9">
        <v>15.6</v>
      </c>
      <c r="I786" s="9">
        <v>15.5</v>
      </c>
      <c r="J786" s="9">
        <v>15.3</v>
      </c>
      <c r="K786" s="9">
        <v>15.6</v>
      </c>
      <c r="L786">
        <f>Tableau1[[#This Row],[Final_time]]-SUM(Tableau1[[#This Row],[0_100m]:[600_700m]])</f>
        <v>17.090000000000018</v>
      </c>
      <c r="M786" s="9">
        <v>122.09</v>
      </c>
      <c r="N786">
        <f>SUM(Tableau1[[#This Row],[0_100m]:[700_800m]])</f>
        <v>122.09</v>
      </c>
      <c r="O786">
        <f>ABS(Tableau1[[#This Row],[Final_time]]-Tableau1[[#This Row],[Sum_time]])</f>
        <v>0</v>
      </c>
      <c r="P786" s="8"/>
      <c r="Q786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6" t="s">
        <v>413</v>
      </c>
      <c r="S786" s="1" t="s">
        <v>68</v>
      </c>
      <c r="U786" s="1" t="s">
        <v>69</v>
      </c>
      <c r="V786" s="1">
        <v>44742</v>
      </c>
      <c r="W786" s="4">
        <f>YEAR(Tableau1[[#This Row],[Competition_date]])</f>
        <v>2022</v>
      </c>
      <c r="X786" s="4">
        <v>23</v>
      </c>
      <c r="Y786" s="6">
        <v>0.73</v>
      </c>
      <c r="Z786" s="4" t="s">
        <v>80</v>
      </c>
      <c r="AA786" t="s">
        <v>176</v>
      </c>
    </row>
    <row r="787" spans="1:27" hidden="1" x14ac:dyDescent="0.35">
      <c r="A787" t="str">
        <f>_xlfn.CONCAT(Tableau1[[#This Row],[Athletes]],"_",Tableau1[[#This Row],[Nationality]],"_",Tableau1[[#This Row],[Competition_year]])</f>
        <v>Lovisa LINDH_SWE_2022</v>
      </c>
      <c r="B787" s="9" t="s">
        <v>378</v>
      </c>
      <c r="C787" s="9" t="s">
        <v>29</v>
      </c>
      <c r="D787" s="12" t="s">
        <v>28</v>
      </c>
      <c r="E787" s="9">
        <v>14.2</v>
      </c>
      <c r="F787" s="9">
        <v>13.3</v>
      </c>
      <c r="G787" s="9">
        <v>15.5</v>
      </c>
      <c r="H787" s="9">
        <v>15.6</v>
      </c>
      <c r="I787" s="9">
        <v>15.6</v>
      </c>
      <c r="J787" s="9">
        <v>15.2</v>
      </c>
      <c r="K787" s="9">
        <f>106.1-SUM(Tableau1[[#This Row],[0_100m]:[500_600m]])</f>
        <v>16.699999999999989</v>
      </c>
      <c r="L787">
        <f>Tableau1[[#This Row],[Final_time]]-SUM(Tableau1[[#This Row],[0_100m]:[600_700m]])</f>
        <v>17.120000000000005</v>
      </c>
      <c r="M787" s="9">
        <v>123.22</v>
      </c>
      <c r="N787">
        <f>SUM(Tableau1[[#This Row],[0_100m]:[700_800m]])</f>
        <v>123.22</v>
      </c>
      <c r="O787">
        <f>ABS(Tableau1[[#This Row],[Final_time]]-Tableau1[[#This Row],[Sum_time]])</f>
        <v>0</v>
      </c>
      <c r="P787" s="8"/>
      <c r="Q787" s="1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R787" t="s">
        <v>413</v>
      </c>
      <c r="S787" s="1" t="s">
        <v>68</v>
      </c>
      <c r="U787" s="1" t="s">
        <v>69</v>
      </c>
      <c r="V787" s="1">
        <v>44742</v>
      </c>
      <c r="W787" s="4">
        <f>YEAR(Tableau1[[#This Row],[Competition_date]])</f>
        <v>2022</v>
      </c>
      <c r="X787" s="4">
        <v>23</v>
      </c>
      <c r="Y787" s="6">
        <v>0.73</v>
      </c>
      <c r="Z787" s="4" t="s">
        <v>80</v>
      </c>
      <c r="AA787" t="s">
        <v>176</v>
      </c>
    </row>
    <row r="788" spans="1:27" hidden="1" x14ac:dyDescent="0.35">
      <c r="A788" t="str">
        <f>_xlfn.CONCAT(Tableau1[[#This Row],[Athletes]],"_",Tableau1[[#This Row],[Nationality]],"_",Tableau1[[#This Row],[Competition_year]])</f>
        <v>Slimane MOULA_ALG_2022</v>
      </c>
      <c r="B788" s="9" t="s">
        <v>103</v>
      </c>
      <c r="C788" s="9" t="s">
        <v>14</v>
      </c>
      <c r="D788" s="12" t="s">
        <v>24</v>
      </c>
      <c r="E788" s="9">
        <v>12.5</v>
      </c>
      <c r="F788" s="9">
        <v>11.8</v>
      </c>
      <c r="G788" s="9">
        <v>13.1</v>
      </c>
      <c r="H788" s="9">
        <v>13</v>
      </c>
      <c r="I788" s="9">
        <v>13.7</v>
      </c>
      <c r="J788" s="9">
        <v>13.6</v>
      </c>
      <c r="K788" s="9">
        <v>13.6</v>
      </c>
      <c r="L788">
        <f>Tableau1[[#This Row],[Final_time]]-SUM(Tableau1[[#This Row],[0_100m]:[600_700m]])</f>
        <v>13.300000000000011</v>
      </c>
      <c r="M788" s="9">
        <v>104.6</v>
      </c>
      <c r="N788">
        <f>SUM(Tableau1[[#This Row],[0_100m]:[700_800m]])</f>
        <v>104.6</v>
      </c>
      <c r="O788">
        <f>ABS(Tableau1[[#This Row],[Final_time]]-Tableau1[[#This Row],[Sum_time]])</f>
        <v>0</v>
      </c>
      <c r="P788" s="8"/>
      <c r="Q788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88" t="s">
        <v>413</v>
      </c>
      <c r="S788" s="1" t="s">
        <v>68</v>
      </c>
      <c r="U788" s="1" t="s">
        <v>69</v>
      </c>
      <c r="V788" s="1">
        <v>44742</v>
      </c>
      <c r="W788" s="4">
        <f>YEAR(Tableau1[[#This Row],[Competition_date]])</f>
        <v>2022</v>
      </c>
      <c r="X788" s="4">
        <v>22</v>
      </c>
      <c r="Y788" s="6">
        <v>0.79</v>
      </c>
      <c r="Z788" s="4" t="s">
        <v>80</v>
      </c>
      <c r="AA788" t="s">
        <v>176</v>
      </c>
    </row>
    <row r="789" spans="1:27" hidden="1" x14ac:dyDescent="0.35">
      <c r="A789" t="str">
        <f>_xlfn.CONCAT(Tableau1[[#This Row],[Athletes]],"_",Tableau1[[#This Row],[Nationality]],"_",Tableau1[[#This Row],[Competition_year]])</f>
        <v>Benjamin ROBERT_FRA_2022</v>
      </c>
      <c r="B789" s="9" t="s">
        <v>111</v>
      </c>
      <c r="C789" s="9" t="s">
        <v>14</v>
      </c>
      <c r="D789" s="12" t="s">
        <v>17</v>
      </c>
      <c r="E789" s="9">
        <v>12.5</v>
      </c>
      <c r="F789" s="9">
        <v>12.2</v>
      </c>
      <c r="G789" s="9">
        <v>13.2</v>
      </c>
      <c r="H789" s="9">
        <v>13.1</v>
      </c>
      <c r="I789" s="9">
        <v>13.6</v>
      </c>
      <c r="J789" s="9">
        <v>13.4</v>
      </c>
      <c r="K789" s="9">
        <v>13.5</v>
      </c>
      <c r="L789">
        <f>Tableau1[[#This Row],[Final_time]]-SUM(Tableau1[[#This Row],[0_100m]:[600_700m]])</f>
        <v>13.61</v>
      </c>
      <c r="M789" s="9">
        <v>105.11</v>
      </c>
      <c r="N789">
        <f>SUM(Tableau1[[#This Row],[0_100m]:[700_800m]])</f>
        <v>105.11</v>
      </c>
      <c r="O789">
        <f>ABS(Tableau1[[#This Row],[Final_time]]-Tableau1[[#This Row],[Sum_time]])</f>
        <v>0</v>
      </c>
      <c r="P789" s="8"/>
      <c r="Q789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89" t="s">
        <v>413</v>
      </c>
      <c r="S789" s="1" t="s">
        <v>68</v>
      </c>
      <c r="U789" s="1" t="s">
        <v>69</v>
      </c>
      <c r="V789" s="1">
        <v>44742</v>
      </c>
      <c r="W789" s="4">
        <f>YEAR(Tableau1[[#This Row],[Competition_date]])</f>
        <v>2022</v>
      </c>
      <c r="X789" s="4">
        <v>22</v>
      </c>
      <c r="Y789" s="6">
        <v>0.79</v>
      </c>
      <c r="Z789" s="4" t="s">
        <v>80</v>
      </c>
      <c r="AA789" t="s">
        <v>176</v>
      </c>
    </row>
    <row r="790" spans="1:27" hidden="1" x14ac:dyDescent="0.35">
      <c r="A790" t="str">
        <f>_xlfn.CONCAT(Tableau1[[#This Row],[Athletes]],"_",Tableau1[[#This Row],[Nationality]],"_",Tableau1[[#This Row],[Competition_year]])</f>
        <v>Gabriel TUAL_FRA_2022</v>
      </c>
      <c r="B790" s="9" t="s">
        <v>180</v>
      </c>
      <c r="C790" s="9" t="s">
        <v>14</v>
      </c>
      <c r="D790" s="12" t="s">
        <v>17</v>
      </c>
      <c r="E790" s="9">
        <v>12.5</v>
      </c>
      <c r="F790" s="9">
        <v>12</v>
      </c>
      <c r="G790" s="9">
        <v>13.2</v>
      </c>
      <c r="H790" s="9">
        <v>13.1</v>
      </c>
      <c r="I790" s="9">
        <v>13.7</v>
      </c>
      <c r="J790" s="9">
        <v>13.7</v>
      </c>
      <c r="K790" s="9">
        <v>13.5</v>
      </c>
      <c r="L790">
        <f>Tableau1[[#This Row],[Final_time]]-SUM(Tableau1[[#This Row],[0_100m]:[600_700m]])</f>
        <v>13.590000000000003</v>
      </c>
      <c r="M790" s="9">
        <v>105.29</v>
      </c>
      <c r="N790">
        <f>SUM(Tableau1[[#This Row],[0_100m]:[700_800m]])</f>
        <v>105.29</v>
      </c>
      <c r="O790">
        <f>ABS(Tableau1[[#This Row],[Final_time]]-Tableau1[[#This Row],[Sum_time]])</f>
        <v>0</v>
      </c>
      <c r="P790" s="8"/>
      <c r="Q790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90" t="s">
        <v>413</v>
      </c>
      <c r="S790" s="1" t="s">
        <v>68</v>
      </c>
      <c r="U790" s="1" t="s">
        <v>69</v>
      </c>
      <c r="V790" s="1">
        <v>44742</v>
      </c>
      <c r="W790" s="4">
        <f>YEAR(Tableau1[[#This Row],[Competition_date]])</f>
        <v>2022</v>
      </c>
      <c r="X790" s="4">
        <v>22</v>
      </c>
      <c r="Y790" s="6">
        <v>0.79</v>
      </c>
      <c r="Z790" s="4" t="s">
        <v>80</v>
      </c>
      <c r="AA790" t="s">
        <v>176</v>
      </c>
    </row>
    <row r="791" spans="1:27" hidden="1" x14ac:dyDescent="0.35">
      <c r="A791" t="str">
        <f>_xlfn.CONCAT(Tableau1[[#This Row],[Athletes]],"_",Tableau1[[#This Row],[Nationality]],"_",Tableau1[[#This Row],[Competition_year]])</f>
        <v>Andreas KRAMER_SWE_2022</v>
      </c>
      <c r="B791" s="9" t="s">
        <v>186</v>
      </c>
      <c r="C791" s="9" t="s">
        <v>14</v>
      </c>
      <c r="D791" s="12" t="s">
        <v>28</v>
      </c>
      <c r="E791" s="9">
        <v>12.3</v>
      </c>
      <c r="F791" s="9">
        <v>12.1</v>
      </c>
      <c r="G791" s="9">
        <v>13.2</v>
      </c>
      <c r="H791" s="9">
        <v>13</v>
      </c>
      <c r="I791" s="9">
        <v>13.6</v>
      </c>
      <c r="J791" s="9">
        <v>13.7</v>
      </c>
      <c r="K791" s="9">
        <v>13.8</v>
      </c>
      <c r="L791">
        <f>Tableau1[[#This Row],[Final_time]]-SUM(Tableau1[[#This Row],[0_100m]:[600_700m]])</f>
        <v>13.720000000000013</v>
      </c>
      <c r="M791" s="9">
        <v>105.42</v>
      </c>
      <c r="N791">
        <f>SUM(Tableau1[[#This Row],[0_100m]:[700_800m]])</f>
        <v>105.42</v>
      </c>
      <c r="O791">
        <f>ABS(Tableau1[[#This Row],[Final_time]]-Tableau1[[#This Row],[Sum_time]])</f>
        <v>0</v>
      </c>
      <c r="P791" s="8"/>
      <c r="Q791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91" t="s">
        <v>413</v>
      </c>
      <c r="S791" s="1" t="s">
        <v>68</v>
      </c>
      <c r="U791" s="1" t="s">
        <v>69</v>
      </c>
      <c r="V791" s="1">
        <v>44742</v>
      </c>
      <c r="W791" s="4">
        <f>YEAR(Tableau1[[#This Row],[Competition_date]])</f>
        <v>2022</v>
      </c>
      <c r="X791" s="4">
        <v>22</v>
      </c>
      <c r="Y791" s="6">
        <v>0.79</v>
      </c>
      <c r="Z791" s="4" t="s">
        <v>80</v>
      </c>
      <c r="AA791" t="s">
        <v>176</v>
      </c>
    </row>
    <row r="792" spans="1:27" hidden="1" x14ac:dyDescent="0.35">
      <c r="A792" t="str">
        <f>_xlfn.CONCAT(Tableau1[[#This Row],[Athletes]],"_",Tableau1[[#This Row],[Nationality]],"_",Tableau1[[#This Row],[Competition_year]])</f>
        <v>Adrián BEN_ESP_2022</v>
      </c>
      <c r="B792" s="9" t="s">
        <v>184</v>
      </c>
      <c r="C792" s="9" t="s">
        <v>14</v>
      </c>
      <c r="D792" s="12" t="s">
        <v>37</v>
      </c>
      <c r="E792" s="9">
        <v>13.1</v>
      </c>
      <c r="F792" s="9">
        <v>12.6</v>
      </c>
      <c r="G792" s="9">
        <v>13.1</v>
      </c>
      <c r="H792" s="9">
        <v>13.6</v>
      </c>
      <c r="I792" s="9">
        <v>13.3</v>
      </c>
      <c r="J792" s="9">
        <v>12.8</v>
      </c>
      <c r="K792" s="9">
        <v>13.4</v>
      </c>
      <c r="L792">
        <f>Tableau1[[#This Row],[Final_time]]-SUM(Tableau1[[#This Row],[0_100m]:[600_700m]])</f>
        <v>13.949999999999989</v>
      </c>
      <c r="M792" s="9">
        <v>105.85</v>
      </c>
      <c r="N792">
        <f>SUM(Tableau1[[#This Row],[0_100m]:[700_800m]])</f>
        <v>105.85</v>
      </c>
      <c r="O792">
        <f>ABS(Tableau1[[#This Row],[Final_time]]-Tableau1[[#This Row],[Sum_time]])</f>
        <v>0</v>
      </c>
      <c r="P792" s="8"/>
      <c r="Q792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92" t="s">
        <v>413</v>
      </c>
      <c r="S792" s="1" t="s">
        <v>68</v>
      </c>
      <c r="U792" s="1" t="s">
        <v>69</v>
      </c>
      <c r="V792" s="1">
        <v>44742</v>
      </c>
      <c r="W792" s="4">
        <f>YEAR(Tableau1[[#This Row],[Competition_date]])</f>
        <v>2022</v>
      </c>
      <c r="X792" s="4">
        <v>22</v>
      </c>
      <c r="Y792" s="6">
        <v>0.79</v>
      </c>
      <c r="Z792" s="4" t="s">
        <v>80</v>
      </c>
      <c r="AA792" t="s">
        <v>176</v>
      </c>
    </row>
    <row r="793" spans="1:27" hidden="1" x14ac:dyDescent="0.35">
      <c r="A793" t="str">
        <f>_xlfn.CONCAT(Tableau1[[#This Row],[Athletes]],"_",Tableau1[[#This Row],[Nationality]],"_",Tableau1[[#This Row],[Competition_year]])</f>
        <v>Emmanuel Kipkurui KORIR_KEN_2022</v>
      </c>
      <c r="B793" s="9" t="s">
        <v>201</v>
      </c>
      <c r="C793" s="9" t="s">
        <v>14</v>
      </c>
      <c r="D793" s="12" t="s">
        <v>15</v>
      </c>
      <c r="E793" s="9">
        <v>12.6</v>
      </c>
      <c r="F793" s="9">
        <v>11.5</v>
      </c>
      <c r="G793" s="9">
        <v>13</v>
      </c>
      <c r="H793" s="9">
        <v>13.1</v>
      </c>
      <c r="I793" s="9">
        <v>13.6</v>
      </c>
      <c r="J793" s="9">
        <v>13.7</v>
      </c>
      <c r="K793" s="9">
        <v>14</v>
      </c>
      <c r="L793">
        <f>Tableau1[[#This Row],[Final_time]]-SUM(Tableau1[[#This Row],[0_100m]:[600_700m]])</f>
        <v>14.349999999999994</v>
      </c>
      <c r="M793" s="9">
        <v>105.85</v>
      </c>
      <c r="N793">
        <f>SUM(Tableau1[[#This Row],[0_100m]:[700_800m]])</f>
        <v>105.85</v>
      </c>
      <c r="O793">
        <f>ABS(Tableau1[[#This Row],[Final_time]]-Tableau1[[#This Row],[Sum_time]])</f>
        <v>0</v>
      </c>
      <c r="P793" s="8"/>
      <c r="Q793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93" t="s">
        <v>413</v>
      </c>
      <c r="S793" s="1" t="s">
        <v>68</v>
      </c>
      <c r="U793" s="1" t="s">
        <v>69</v>
      </c>
      <c r="V793" s="1">
        <v>44742</v>
      </c>
      <c r="W793" s="4">
        <f>YEAR(Tableau1[[#This Row],[Competition_date]])</f>
        <v>2022</v>
      </c>
      <c r="X793" s="4">
        <v>22</v>
      </c>
      <c r="Y793" s="6">
        <v>0.79</v>
      </c>
      <c r="Z793" s="4" t="s">
        <v>80</v>
      </c>
      <c r="AA793" t="s">
        <v>176</v>
      </c>
    </row>
    <row r="794" spans="1:27" hidden="1" x14ac:dyDescent="0.35">
      <c r="A794" t="str">
        <f>_xlfn.CONCAT(Tableau1[[#This Row],[Athletes]],"_",Tableau1[[#This Row],[Nationality]],"_",Tableau1[[#This Row],[Competition_year]])</f>
        <v>Collins KIPRUTO_KEN_2022</v>
      </c>
      <c r="B794" s="9" t="s">
        <v>340</v>
      </c>
      <c r="C794" s="9" t="s">
        <v>14</v>
      </c>
      <c r="D794" s="12" t="s">
        <v>15</v>
      </c>
      <c r="E794" s="9">
        <v>12.1</v>
      </c>
      <c r="F794" s="9">
        <v>12</v>
      </c>
      <c r="G794" s="9">
        <v>12.8</v>
      </c>
      <c r="H794" s="9">
        <v>13.1</v>
      </c>
      <c r="I794" s="9">
        <v>13.6</v>
      </c>
      <c r="J794" s="9">
        <v>13.7</v>
      </c>
      <c r="K794" s="9">
        <v>14</v>
      </c>
      <c r="L794">
        <f>Tableau1[[#This Row],[Final_time]]-SUM(Tableau1[[#This Row],[0_100m]:[600_700m]])</f>
        <v>14.559999999999988</v>
      </c>
      <c r="M794" s="9">
        <v>105.86</v>
      </c>
      <c r="N794">
        <f>SUM(Tableau1[[#This Row],[0_100m]:[700_800m]])</f>
        <v>105.86</v>
      </c>
      <c r="O794">
        <f>ABS(Tableau1[[#This Row],[Final_time]]-Tableau1[[#This Row],[Sum_time]])</f>
        <v>0</v>
      </c>
      <c r="P794" s="8"/>
      <c r="Q794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94" t="s">
        <v>413</v>
      </c>
      <c r="S794" s="1" t="s">
        <v>68</v>
      </c>
      <c r="U794" s="1" t="s">
        <v>69</v>
      </c>
      <c r="V794" s="1">
        <v>44742</v>
      </c>
      <c r="W794" s="4">
        <f>YEAR(Tableau1[[#This Row],[Competition_date]])</f>
        <v>2022</v>
      </c>
      <c r="X794" s="4">
        <v>22</v>
      </c>
      <c r="Y794" s="6">
        <v>0.79</v>
      </c>
      <c r="Z794" s="4" t="s">
        <v>80</v>
      </c>
      <c r="AA794" t="s">
        <v>176</v>
      </c>
    </row>
    <row r="795" spans="1:27" hidden="1" x14ac:dyDescent="0.35">
      <c r="A795" t="str">
        <f>_xlfn.CONCAT(Tableau1[[#This Row],[Athletes]],"_",Tableau1[[#This Row],[Nationality]],"_",Tableau1[[#This Row],[Competition_year]])</f>
        <v>Ferguson Cheruiyot ROTICH_KEN_2022</v>
      </c>
      <c r="B795" s="9" t="s">
        <v>199</v>
      </c>
      <c r="C795" s="9" t="s">
        <v>14</v>
      </c>
      <c r="D795" s="12" t="s">
        <v>15</v>
      </c>
      <c r="E795" s="9">
        <v>12.4</v>
      </c>
      <c r="F795" s="9">
        <v>12</v>
      </c>
      <c r="G795" s="9">
        <v>13.2</v>
      </c>
      <c r="H795" s="9">
        <v>13.1</v>
      </c>
      <c r="I795" s="9">
        <v>13.7</v>
      </c>
      <c r="J795" s="9">
        <v>13.8</v>
      </c>
      <c r="K795" s="9">
        <v>14.4</v>
      </c>
      <c r="L795">
        <f>Tableau1[[#This Row],[Final_time]]-SUM(Tableau1[[#This Row],[0_100m]:[600_700m]])</f>
        <v>15.450000000000003</v>
      </c>
      <c r="M795" s="9">
        <v>108.05</v>
      </c>
      <c r="N795">
        <f>SUM(Tableau1[[#This Row],[0_100m]:[700_800m]])</f>
        <v>108.05</v>
      </c>
      <c r="O795">
        <f>ABS(Tableau1[[#This Row],[Final_time]]-Tableau1[[#This Row],[Sum_time]])</f>
        <v>0</v>
      </c>
      <c r="P795" s="8"/>
      <c r="Q795" s="1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R795" t="s">
        <v>413</v>
      </c>
      <c r="S795" s="1" t="s">
        <v>68</v>
      </c>
      <c r="U795" s="1" t="s">
        <v>69</v>
      </c>
      <c r="V795" s="1">
        <v>44742</v>
      </c>
      <c r="W795" s="4">
        <f>YEAR(Tableau1[[#This Row],[Competition_date]])</f>
        <v>2022</v>
      </c>
      <c r="X795" s="4">
        <v>22</v>
      </c>
      <c r="Y795" s="6">
        <v>0.79</v>
      </c>
      <c r="Z795" s="4" t="s">
        <v>80</v>
      </c>
      <c r="AA795" t="s">
        <v>176</v>
      </c>
    </row>
    <row r="796" spans="1:27" hidden="1" x14ac:dyDescent="0.35">
      <c r="A796" t="str">
        <f>_xlfn.CONCAT(Tableau1[[#This Row],[Athletes]],"_",Tableau1[[#This Row],[Nationality]],"_",Tableau1[[#This Row],[Competition_year]])</f>
        <v>Samuel PIHLSTRÖM_SWE_2023</v>
      </c>
      <c r="B796" t="s">
        <v>1191</v>
      </c>
      <c r="C796" t="s">
        <v>14</v>
      </c>
      <c r="D796" s="18" t="s">
        <v>28</v>
      </c>
      <c r="E796">
        <v>13.9</v>
      </c>
      <c r="F796">
        <v>13.3</v>
      </c>
      <c r="G796">
        <v>13.5</v>
      </c>
      <c r="H796">
        <v>13.4</v>
      </c>
      <c r="I796">
        <v>13.7</v>
      </c>
      <c r="J796">
        <v>13.8</v>
      </c>
      <c r="K796">
        <v>13.2</v>
      </c>
      <c r="L796">
        <f>Tableau1[[#This Row],[Final_time]]-SUM(Tableau1[[#This Row],[0_100m]:[600_700m]])</f>
        <v>13.820000000000007</v>
      </c>
      <c r="M796">
        <v>108.62</v>
      </c>
      <c r="N796">
        <f>SUM(Tableau1[[#This Row],[0_100m]:[700_800m]])</f>
        <v>108.62</v>
      </c>
      <c r="O796">
        <f>ABS(Tableau1[[#This Row],[Final_time]]-Tableau1[[#This Row],[Sum_time]])</f>
        <v>0</v>
      </c>
      <c r="P796" s="8"/>
      <c r="Q796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796" t="s">
        <v>496</v>
      </c>
      <c r="S796" s="1" t="s">
        <v>68</v>
      </c>
      <c r="U796" s="1" t="s">
        <v>288</v>
      </c>
      <c r="V796" s="1">
        <v>45109</v>
      </c>
      <c r="W796" s="4">
        <f>YEAR(Tableau1[[#This Row],[Competition_date]])</f>
        <v>2023</v>
      </c>
      <c r="X796" s="4">
        <v>16</v>
      </c>
      <c r="Y796" s="6">
        <v>0.85</v>
      </c>
      <c r="Z796" s="4" t="s">
        <v>81</v>
      </c>
      <c r="AA796" t="s">
        <v>176</v>
      </c>
    </row>
    <row r="797" spans="1:27" hidden="1" x14ac:dyDescent="0.35">
      <c r="A797" t="str">
        <f>_xlfn.CONCAT(Tableau1[[#This Row],[Athletes]],"_",Tableau1[[#This Row],[Nationality]],"_",Tableau1[[#This Row],[Competition_year]])</f>
        <v>Patryk SIERADZKI_POL_2023</v>
      </c>
      <c r="B797" t="s">
        <v>243</v>
      </c>
      <c r="C797" t="s">
        <v>14</v>
      </c>
      <c r="D797" s="18" t="s">
        <v>88</v>
      </c>
      <c r="E797">
        <v>13</v>
      </c>
      <c r="F797">
        <v>12.8</v>
      </c>
      <c r="G797">
        <v>13.5</v>
      </c>
      <c r="H797">
        <v>13.2</v>
      </c>
      <c r="I797">
        <v>13.7</v>
      </c>
      <c r="J797">
        <v>14.1</v>
      </c>
      <c r="K797">
        <v>14.4</v>
      </c>
      <c r="L797">
        <f>Tableau1[[#This Row],[Final_time]]-SUM(Tableau1[[#This Row],[0_100m]:[600_700m]])</f>
        <v>14.789999999999992</v>
      </c>
      <c r="M797">
        <v>109.49</v>
      </c>
      <c r="N797">
        <f>SUM(Tableau1[[#This Row],[0_100m]:[700_800m]])</f>
        <v>109.49</v>
      </c>
      <c r="O797">
        <f>ABS(Tableau1[[#This Row],[Final_time]]-Tableau1[[#This Row],[Sum_time]])</f>
        <v>0</v>
      </c>
      <c r="P797" s="8"/>
      <c r="Q797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797" t="s">
        <v>496</v>
      </c>
      <c r="S797" s="1" t="s">
        <v>68</v>
      </c>
      <c r="U797" s="1" t="s">
        <v>288</v>
      </c>
      <c r="V797" s="1">
        <v>45109</v>
      </c>
      <c r="W797" s="4">
        <f>YEAR(Tableau1[[#This Row],[Competition_date]])</f>
        <v>2023</v>
      </c>
      <c r="X797" s="4">
        <v>16</v>
      </c>
      <c r="Y797" s="6">
        <v>0.85</v>
      </c>
      <c r="Z797" s="4" t="s">
        <v>81</v>
      </c>
      <c r="AA797" t="s">
        <v>176</v>
      </c>
    </row>
    <row r="798" spans="1:27" hidden="1" x14ac:dyDescent="0.35">
      <c r="A798" t="str">
        <f>_xlfn.CONCAT(Tableau1[[#This Row],[Athletes]],"_",Tableau1[[#This Row],[Nationality]],"_",Tableau1[[#This Row],[Competition_year]])</f>
        <v>Pablo SÁNCHEZ-VALLADARES_ESP_2023</v>
      </c>
      <c r="B798" t="s">
        <v>1127</v>
      </c>
      <c r="C798" t="s">
        <v>14</v>
      </c>
      <c r="D798" s="18" t="s">
        <v>37</v>
      </c>
      <c r="E798">
        <v>13.2</v>
      </c>
      <c r="F798">
        <v>13</v>
      </c>
      <c r="G798">
        <v>13.5</v>
      </c>
      <c r="H798">
        <v>13.3</v>
      </c>
      <c r="I798">
        <v>13.5</v>
      </c>
      <c r="J798">
        <v>14.2</v>
      </c>
      <c r="K798">
        <v>14.5</v>
      </c>
      <c r="L798">
        <f>Tableau1[[#This Row],[Final_time]]-SUM(Tableau1[[#This Row],[0_100m]:[600_700m]])</f>
        <v>14.450000000000003</v>
      </c>
      <c r="M798">
        <v>109.65</v>
      </c>
      <c r="N798">
        <f>SUM(Tableau1[[#This Row],[0_100m]:[700_800m]])</f>
        <v>109.65</v>
      </c>
      <c r="O798">
        <f>ABS(Tableau1[[#This Row],[Final_time]]-Tableau1[[#This Row],[Sum_time]])</f>
        <v>0</v>
      </c>
      <c r="P798" s="8"/>
      <c r="Q798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798" t="s">
        <v>496</v>
      </c>
      <c r="S798" s="1" t="s">
        <v>68</v>
      </c>
      <c r="U798" s="1" t="s">
        <v>288</v>
      </c>
      <c r="V798" s="1">
        <v>45109</v>
      </c>
      <c r="W798" s="4">
        <f>YEAR(Tableau1[[#This Row],[Competition_date]])</f>
        <v>2023</v>
      </c>
      <c r="X798" s="4">
        <v>16</v>
      </c>
      <c r="Y798" s="6">
        <v>0.85</v>
      </c>
      <c r="Z798" s="4" t="s">
        <v>81</v>
      </c>
      <c r="AA798" t="s">
        <v>176</v>
      </c>
    </row>
    <row r="799" spans="1:27" hidden="1" x14ac:dyDescent="0.35">
      <c r="A799" t="str">
        <f>_xlfn.CONCAT(Tableau1[[#This Row],[Athletes]],"_",Tableau1[[#This Row],[Nationality]],"_",Tableau1[[#This Row],[Competition_year]])</f>
        <v>Alexander LUNDSKOG_SWE_2023</v>
      </c>
      <c r="B799" t="s">
        <v>322</v>
      </c>
      <c r="C799" t="s">
        <v>14</v>
      </c>
      <c r="D799" s="18" t="s">
        <v>28</v>
      </c>
      <c r="E799">
        <v>13.6</v>
      </c>
      <c r="F799">
        <v>13.6</v>
      </c>
      <c r="G799">
        <v>13.8</v>
      </c>
      <c r="H799">
        <v>13.3</v>
      </c>
      <c r="I799">
        <v>13.7</v>
      </c>
      <c r="J799">
        <v>13.8</v>
      </c>
      <c r="K799">
        <v>14</v>
      </c>
      <c r="L799">
        <f>Tableau1[[#This Row],[Final_time]]-SUM(Tableau1[[#This Row],[0_100m]:[600_700m]])</f>
        <v>14.019999999999996</v>
      </c>
      <c r="M799">
        <v>109.82</v>
      </c>
      <c r="N799">
        <f>SUM(Tableau1[[#This Row],[0_100m]:[700_800m]])</f>
        <v>109.82</v>
      </c>
      <c r="O799">
        <f>ABS(Tableau1[[#This Row],[Final_time]]-Tableau1[[#This Row],[Sum_time]])</f>
        <v>0</v>
      </c>
      <c r="P799" s="8"/>
      <c r="Q799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799" t="s">
        <v>496</v>
      </c>
      <c r="S799" s="1" t="s">
        <v>68</v>
      </c>
      <c r="U799" s="1" t="s">
        <v>288</v>
      </c>
      <c r="V799" s="1">
        <v>45109</v>
      </c>
      <c r="W799" s="4">
        <f>YEAR(Tableau1[[#This Row],[Competition_date]])</f>
        <v>2023</v>
      </c>
      <c r="X799" s="4">
        <v>16</v>
      </c>
      <c r="Y799" s="6">
        <v>0.85</v>
      </c>
      <c r="Z799" s="4" t="s">
        <v>81</v>
      </c>
      <c r="AA799" t="s">
        <v>176</v>
      </c>
    </row>
    <row r="800" spans="1:27" hidden="1" x14ac:dyDescent="0.35">
      <c r="A800" t="str">
        <f>_xlfn.CONCAT(Tableau1[[#This Row],[Athletes]],"_",Tableau1[[#This Row],[Nationality]],"_",Tableau1[[#This Row],[Competition_year]])</f>
        <v>Viktor IDHAMMAR_SWE_2023</v>
      </c>
      <c r="B800" t="s">
        <v>323</v>
      </c>
      <c r="C800" t="s">
        <v>14</v>
      </c>
      <c r="D800" s="18" t="s">
        <v>28</v>
      </c>
      <c r="E800">
        <v>13.8</v>
      </c>
      <c r="F800">
        <v>13.7</v>
      </c>
      <c r="G800">
        <v>13.8</v>
      </c>
      <c r="H800">
        <v>13.6</v>
      </c>
      <c r="I800">
        <v>13.7</v>
      </c>
      <c r="J800">
        <v>13.8</v>
      </c>
      <c r="K800">
        <v>14</v>
      </c>
      <c r="L800">
        <f>Tableau1[[#This Row],[Final_time]]-SUM(Tableau1[[#This Row],[0_100m]:[600_700m]])</f>
        <v>14.250000000000014</v>
      </c>
      <c r="M800">
        <v>110.65</v>
      </c>
      <c r="N800">
        <f>SUM(Tableau1[[#This Row],[0_100m]:[700_800m]])</f>
        <v>110.65</v>
      </c>
      <c r="O800">
        <f>ABS(Tableau1[[#This Row],[Final_time]]-Tableau1[[#This Row],[Sum_time]])</f>
        <v>0</v>
      </c>
      <c r="P800" s="8"/>
      <c r="Q800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800" t="s">
        <v>496</v>
      </c>
      <c r="S800" s="1" t="s">
        <v>68</v>
      </c>
      <c r="U800" s="1" t="s">
        <v>288</v>
      </c>
      <c r="V800" s="1">
        <v>45109</v>
      </c>
      <c r="W800" s="4">
        <f>YEAR(Tableau1[[#This Row],[Competition_date]])</f>
        <v>2023</v>
      </c>
      <c r="X800" s="4">
        <v>16</v>
      </c>
      <c r="Y800" s="6">
        <v>0.85</v>
      </c>
      <c r="Z800" s="4" t="s">
        <v>81</v>
      </c>
      <c r="AA800" t="s">
        <v>176</v>
      </c>
    </row>
    <row r="801" spans="1:27" hidden="1" x14ac:dyDescent="0.35">
      <c r="A801" t="str">
        <f>_xlfn.CONCAT(Tableau1[[#This Row],[Athletes]],"_",Tableau1[[#This Row],[Nationality]],"_",Tableau1[[#This Row],[Competition_year]])</f>
        <v>Oussama NABIL_MAR_2023</v>
      </c>
      <c r="B801" t="s">
        <v>210</v>
      </c>
      <c r="C801" t="s">
        <v>14</v>
      </c>
      <c r="D801" s="18" t="s">
        <v>21</v>
      </c>
      <c r="E801">
        <v>13.9</v>
      </c>
      <c r="F801">
        <v>12.7</v>
      </c>
      <c r="G801">
        <v>13.6</v>
      </c>
      <c r="H801">
        <v>13.2</v>
      </c>
      <c r="I801">
        <v>13.4</v>
      </c>
      <c r="J801">
        <v>13.6</v>
      </c>
      <c r="K801">
        <v>14.6</v>
      </c>
      <c r="L801">
        <f>Tableau1[[#This Row],[Final_time]]-SUM(Tableau1[[#This Row],[0_100m]:[600_700m]])</f>
        <v>16.049999999999997</v>
      </c>
      <c r="M801">
        <v>111.05</v>
      </c>
      <c r="N801">
        <f>SUM(Tableau1[[#This Row],[0_100m]:[700_800m]])</f>
        <v>111.05</v>
      </c>
      <c r="O801">
        <f>ABS(Tableau1[[#This Row],[Final_time]]-Tableau1[[#This Row],[Sum_time]])</f>
        <v>0</v>
      </c>
      <c r="P801" s="8"/>
      <c r="Q801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801" t="s">
        <v>496</v>
      </c>
      <c r="S801" s="1" t="s">
        <v>68</v>
      </c>
      <c r="U801" s="1" t="s">
        <v>288</v>
      </c>
      <c r="V801" s="1">
        <v>45109</v>
      </c>
      <c r="W801" s="4">
        <f>YEAR(Tableau1[[#This Row],[Competition_date]])</f>
        <v>2023</v>
      </c>
      <c r="X801" s="4">
        <v>16</v>
      </c>
      <c r="Y801" s="6">
        <v>0.85</v>
      </c>
      <c r="Z801" s="4" t="s">
        <v>81</v>
      </c>
      <c r="AA801" t="s">
        <v>176</v>
      </c>
    </row>
    <row r="802" spans="1:27" hidden="1" x14ac:dyDescent="0.35">
      <c r="A802" t="str">
        <f>_xlfn.CONCAT(Tableau1[[#This Row],[Athletes]],"_",Tableau1[[#This Row],[Nationality]],"_",Tableau1[[#This Row],[Competition_year]])</f>
        <v>Yared KIDANE_ERI_2023</v>
      </c>
      <c r="B802" t="s">
        <v>324</v>
      </c>
      <c r="C802" t="s">
        <v>14</v>
      </c>
      <c r="D802" s="18" t="s">
        <v>325</v>
      </c>
      <c r="E802">
        <v>14.1</v>
      </c>
      <c r="F802">
        <v>13.3</v>
      </c>
      <c r="G802">
        <v>13.9</v>
      </c>
      <c r="H802">
        <v>13.8</v>
      </c>
      <c r="I802">
        <v>14.2</v>
      </c>
      <c r="J802">
        <v>14.4</v>
      </c>
      <c r="K802">
        <v>14.9</v>
      </c>
      <c r="L802">
        <f>Tableau1[[#This Row],[Final_time]]-SUM(Tableau1[[#This Row],[0_100m]:[600_700m]])</f>
        <v>14.939999999999998</v>
      </c>
      <c r="M802">
        <v>113.54</v>
      </c>
      <c r="N802">
        <f>SUM(Tableau1[[#This Row],[0_100m]:[700_800m]])</f>
        <v>113.54</v>
      </c>
      <c r="O802">
        <f>ABS(Tableau1[[#This Row],[Final_time]]-Tableau1[[#This Row],[Sum_time]])</f>
        <v>0</v>
      </c>
      <c r="P802" s="8"/>
      <c r="Q802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802" t="s">
        <v>496</v>
      </c>
      <c r="S802" s="1" t="s">
        <v>68</v>
      </c>
      <c r="U802" s="1" t="s">
        <v>288</v>
      </c>
      <c r="V802" s="1">
        <v>45109</v>
      </c>
      <c r="W802" s="4">
        <f>YEAR(Tableau1[[#This Row],[Competition_date]])</f>
        <v>2023</v>
      </c>
      <c r="X802" s="4">
        <v>16</v>
      </c>
      <c r="Y802" s="6">
        <v>0.85</v>
      </c>
      <c r="Z802" s="4" t="s">
        <v>81</v>
      </c>
      <c r="AA802" t="s">
        <v>176</v>
      </c>
    </row>
    <row r="803" spans="1:27" hidden="1" x14ac:dyDescent="0.35">
      <c r="A803" t="str">
        <f>_xlfn.CONCAT(Tableau1[[#This Row],[Athletes]],"_",Tableau1[[#This Row],[Nationality]],"_",Tableau1[[#This Row],[Competition_year]])</f>
        <v>Benjamin ÅBERG_SWE_2023</v>
      </c>
      <c r="B803" t="s">
        <v>622</v>
      </c>
      <c r="C803" t="s">
        <v>14</v>
      </c>
      <c r="D803" s="18" t="s">
        <v>28</v>
      </c>
      <c r="E803">
        <v>13.8</v>
      </c>
      <c r="F803">
        <v>13.8</v>
      </c>
      <c r="G803">
        <v>13.9</v>
      </c>
      <c r="H803">
        <v>13.6</v>
      </c>
      <c r="I803">
        <v>13.8</v>
      </c>
      <c r="J803">
        <v>14.3</v>
      </c>
      <c r="K803">
        <v>15.1</v>
      </c>
      <c r="L803">
        <f>Tableau1[[#This Row],[Final_time]]-SUM(Tableau1[[#This Row],[0_100m]:[600_700m]])</f>
        <v>16.010000000000005</v>
      </c>
      <c r="M803">
        <v>114.31</v>
      </c>
      <c r="N803">
        <f>SUM(Tableau1[[#This Row],[0_100m]:[700_800m]])</f>
        <v>114.31</v>
      </c>
      <c r="O803">
        <f>ABS(Tableau1[[#This Row],[Final_time]]-Tableau1[[#This Row],[Sum_time]])</f>
        <v>0</v>
      </c>
      <c r="P803" s="8"/>
      <c r="Q803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803" t="s">
        <v>496</v>
      </c>
      <c r="S803" s="1" t="s">
        <v>68</v>
      </c>
      <c r="U803" s="1" t="s">
        <v>288</v>
      </c>
      <c r="V803" s="1">
        <v>45109</v>
      </c>
      <c r="W803" s="4">
        <f>YEAR(Tableau1[[#This Row],[Competition_date]])</f>
        <v>2023</v>
      </c>
      <c r="X803" s="4">
        <v>16</v>
      </c>
      <c r="Y803" s="6">
        <v>0.85</v>
      </c>
      <c r="Z803" s="4" t="s">
        <v>81</v>
      </c>
      <c r="AA803" t="s">
        <v>176</v>
      </c>
    </row>
    <row r="804" spans="1:27" hidden="1" x14ac:dyDescent="0.35">
      <c r="A804" t="str">
        <f>_xlfn.CONCAT(Tableau1[[#This Row],[Athletes]],"_",Tableau1[[#This Row],[Nationality]],"_",Tableau1[[#This Row],[Competition_year]])</f>
        <v>Habtom ASGEDE_ERI_2023</v>
      </c>
      <c r="B804" t="s">
        <v>326</v>
      </c>
      <c r="C804" t="s">
        <v>14</v>
      </c>
      <c r="D804" s="18" t="s">
        <v>325</v>
      </c>
      <c r="E804">
        <v>13.4</v>
      </c>
      <c r="F804">
        <v>13</v>
      </c>
      <c r="G804">
        <v>13.7</v>
      </c>
      <c r="H804">
        <v>13.7</v>
      </c>
      <c r="I804">
        <v>14.8</v>
      </c>
      <c r="J804">
        <v>15.6</v>
      </c>
      <c r="K804">
        <v>16.3</v>
      </c>
      <c r="L804">
        <f>Tableau1[[#This Row],[Final_time]]-SUM(Tableau1[[#This Row],[0_100m]:[600_700m]])</f>
        <v>16.740000000000009</v>
      </c>
      <c r="M804">
        <v>117.24</v>
      </c>
      <c r="N804">
        <f>SUM(Tableau1[[#This Row],[0_100m]:[700_800m]])</f>
        <v>117.24</v>
      </c>
      <c r="O804">
        <f>ABS(Tableau1[[#This Row],[Final_time]]-Tableau1[[#This Row],[Sum_time]])</f>
        <v>0</v>
      </c>
      <c r="P804" s="8"/>
      <c r="Q804" s="16" t="str">
        <f>_xlfn.CONCAT(Tableau1[[#This Row],[Competition]],"_",Tableau1[[#This Row],[Championship_step]],"_",Tableau1[[#This Row],[Competition_date]],"_",Tableau1[[#This Row],[Gender]])</f>
        <v>Diamond League Stockholm 2023 -National__45109_Male</v>
      </c>
      <c r="R804" t="s">
        <v>496</v>
      </c>
      <c r="S804" s="1" t="s">
        <v>68</v>
      </c>
      <c r="U804" s="1" t="s">
        <v>288</v>
      </c>
      <c r="V804" s="1">
        <v>45109</v>
      </c>
      <c r="W804" s="4">
        <f>YEAR(Tableau1[[#This Row],[Competition_date]])</f>
        <v>2023</v>
      </c>
      <c r="X804" s="4">
        <v>16</v>
      </c>
      <c r="Y804" s="6">
        <v>0.85</v>
      </c>
      <c r="Z804" s="4" t="s">
        <v>81</v>
      </c>
      <c r="AA804" t="s">
        <v>176</v>
      </c>
    </row>
    <row r="805" spans="1:27" hidden="1" x14ac:dyDescent="0.35">
      <c r="A805" t="str">
        <f>_xlfn.CONCAT(Tableau1[[#This Row],[Athletes]],"_",Tableau1[[#This Row],[Nationality]],"_",Tableau1[[#This Row],[Competition_year]])</f>
        <v>Worknesh MESELE_ETH_2023</v>
      </c>
      <c r="B805" t="s">
        <v>215</v>
      </c>
      <c r="C805" t="s">
        <v>29</v>
      </c>
      <c r="D805" s="18" t="s">
        <v>49</v>
      </c>
      <c r="E805">
        <v>14.3</v>
      </c>
      <c r="F805">
        <v>13.8</v>
      </c>
      <c r="G805">
        <v>15.3</v>
      </c>
      <c r="H805">
        <v>15.2</v>
      </c>
      <c r="I805">
        <v>15.5</v>
      </c>
      <c r="J805">
        <v>15.4</v>
      </c>
      <c r="K805">
        <v>15.4</v>
      </c>
      <c r="L805">
        <f>Tableau1[[#This Row],[Final_time]]-SUM(Tableau1[[#This Row],[0_100m]:[600_700m]])</f>
        <v>15.149999999999977</v>
      </c>
      <c r="M805" s="10">
        <v>120.05</v>
      </c>
      <c r="N805">
        <f>SUM(Tableau1[[#This Row],[0_100m]:[700_800m]])</f>
        <v>120.05</v>
      </c>
      <c r="O805">
        <f>ABS(Tableau1[[#This Row],[Final_time]]-Tableau1[[#This Row],[Sum_time]])</f>
        <v>0</v>
      </c>
      <c r="P805" s="8"/>
      <c r="Q805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05" t="s">
        <v>321</v>
      </c>
      <c r="S805" s="1" t="s">
        <v>68</v>
      </c>
      <c r="U805" s="1" t="s">
        <v>69</v>
      </c>
      <c r="V805" s="1">
        <v>45109</v>
      </c>
      <c r="W805" s="4">
        <f>YEAR(Tableau1[[#This Row],[Competition_date]])</f>
        <v>2023</v>
      </c>
      <c r="X805" s="4">
        <v>25</v>
      </c>
      <c r="Y805" s="6">
        <v>0.84</v>
      </c>
      <c r="Z805" s="4" t="s">
        <v>98</v>
      </c>
      <c r="AA805" t="s">
        <v>176</v>
      </c>
    </row>
    <row r="806" spans="1:27" hidden="1" x14ac:dyDescent="0.35">
      <c r="A806" t="str">
        <f>_xlfn.CONCAT(Tableau1[[#This Row],[Athletes]],"_",Tableau1[[#This Row],[Nationality]],"_",Tableau1[[#This Row],[Competition_year]])</f>
        <v>Eveliina MÄÄTTÄNEN_FIN_2023</v>
      </c>
      <c r="B806" t="s">
        <v>216</v>
      </c>
      <c r="C806" t="s">
        <v>29</v>
      </c>
      <c r="D806" s="18" t="s">
        <v>85</v>
      </c>
      <c r="E806">
        <v>14.5</v>
      </c>
      <c r="F806">
        <v>13.8</v>
      </c>
      <c r="G806">
        <v>15.3</v>
      </c>
      <c r="H806">
        <v>15.3</v>
      </c>
      <c r="I806">
        <v>15.4</v>
      </c>
      <c r="J806">
        <v>15.6</v>
      </c>
      <c r="K806">
        <v>15.8</v>
      </c>
      <c r="L806">
        <f>Tableau1[[#This Row],[Final_time]]-SUM(Tableau1[[#This Row],[0_100m]:[600_700m]])</f>
        <v>15.799999999999997</v>
      </c>
      <c r="M806" s="10">
        <v>121.5</v>
      </c>
      <c r="N806">
        <f>SUM(Tableau1[[#This Row],[0_100m]:[700_800m]])</f>
        <v>121.5</v>
      </c>
      <c r="O806">
        <f>ABS(Tableau1[[#This Row],[Final_time]]-Tableau1[[#This Row],[Sum_time]])</f>
        <v>0</v>
      </c>
      <c r="P806" s="8"/>
      <c r="Q806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06" t="s">
        <v>321</v>
      </c>
      <c r="S806" s="1" t="s">
        <v>68</v>
      </c>
      <c r="U806" s="1" t="s">
        <v>69</v>
      </c>
      <c r="V806" s="1">
        <v>45109</v>
      </c>
      <c r="W806" s="4">
        <f>YEAR(Tableau1[[#This Row],[Competition_date]])</f>
        <v>2023</v>
      </c>
      <c r="X806" s="4">
        <v>25</v>
      </c>
      <c r="Y806" s="6">
        <v>0.84</v>
      </c>
      <c r="Z806" s="4" t="s">
        <v>98</v>
      </c>
      <c r="AA806" t="s">
        <v>176</v>
      </c>
    </row>
    <row r="807" spans="1:27" hidden="1" x14ac:dyDescent="0.35">
      <c r="A807" t="str">
        <f>_xlfn.CONCAT(Tableau1[[#This Row],[Athletes]],"_",Tableau1[[#This Row],[Nationality]],"_",Tableau1[[#This Row],[Competition_year]])</f>
        <v>Natalіia KROL_UKR_2023</v>
      </c>
      <c r="B807" t="s">
        <v>1089</v>
      </c>
      <c r="C807" t="s">
        <v>29</v>
      </c>
      <c r="D807" s="18" t="s">
        <v>166</v>
      </c>
      <c r="E807">
        <v>14.8</v>
      </c>
      <c r="F807">
        <v>14</v>
      </c>
      <c r="G807">
        <v>15.4</v>
      </c>
      <c r="H807">
        <v>15.4</v>
      </c>
      <c r="I807">
        <v>15.3</v>
      </c>
      <c r="J807">
        <v>15.4</v>
      </c>
      <c r="K807">
        <v>15.6</v>
      </c>
      <c r="L807">
        <f>Tableau1[[#This Row],[Final_time]]-SUM(Tableau1[[#This Row],[0_100m]:[600_700m]])</f>
        <v>15.659999999999997</v>
      </c>
      <c r="M807" s="10">
        <v>121.56</v>
      </c>
      <c r="N807">
        <f>SUM(Tableau1[[#This Row],[0_100m]:[700_800m]])</f>
        <v>121.56</v>
      </c>
      <c r="O807">
        <f>ABS(Tableau1[[#This Row],[Final_time]]-Tableau1[[#This Row],[Sum_time]])</f>
        <v>0</v>
      </c>
      <c r="P807" s="8"/>
      <c r="Q807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07" t="s">
        <v>321</v>
      </c>
      <c r="S807" s="1" t="s">
        <v>68</v>
      </c>
      <c r="U807" s="1" t="s">
        <v>69</v>
      </c>
      <c r="V807" s="1">
        <v>45109</v>
      </c>
      <c r="W807" s="4">
        <f>YEAR(Tableau1[[#This Row],[Competition_date]])</f>
        <v>2023</v>
      </c>
      <c r="X807" s="4">
        <v>25</v>
      </c>
      <c r="Y807" s="6">
        <v>0.84</v>
      </c>
      <c r="Z807" s="4" t="s">
        <v>98</v>
      </c>
      <c r="AA807" t="s">
        <v>176</v>
      </c>
    </row>
    <row r="808" spans="1:27" hidden="1" x14ac:dyDescent="0.35">
      <c r="A808" t="str">
        <f>_xlfn.CONCAT(Tableau1[[#This Row],[Athletes]],"_",Tableau1[[#This Row],[Nationality]],"_",Tableau1[[#This Row],[Competition_year]])</f>
        <v>Revee WALCOTT-NOLAN_GBR_2023</v>
      </c>
      <c r="B808" t="s">
        <v>331</v>
      </c>
      <c r="C808" t="s">
        <v>29</v>
      </c>
      <c r="D808" s="18" t="s">
        <v>30</v>
      </c>
      <c r="E808">
        <v>14.3</v>
      </c>
      <c r="F808">
        <v>14.1</v>
      </c>
      <c r="G808">
        <v>15.4</v>
      </c>
      <c r="H808">
        <v>15.3</v>
      </c>
      <c r="I808">
        <v>15.4</v>
      </c>
      <c r="J808">
        <v>15.6</v>
      </c>
      <c r="K808">
        <v>15.7</v>
      </c>
      <c r="L808">
        <f>Tableau1[[#This Row],[Final_time]]-SUM(Tableau1[[#This Row],[0_100m]:[600_700m]])</f>
        <v>16.070000000000007</v>
      </c>
      <c r="M808" s="10">
        <v>121.87</v>
      </c>
      <c r="N808">
        <f>SUM(Tableau1[[#This Row],[0_100m]:[700_800m]])</f>
        <v>121.87</v>
      </c>
      <c r="O808">
        <f>ABS(Tableau1[[#This Row],[Final_time]]-Tableau1[[#This Row],[Sum_time]])</f>
        <v>0</v>
      </c>
      <c r="P808" s="8"/>
      <c r="Q808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08" t="s">
        <v>321</v>
      </c>
      <c r="S808" s="1" t="s">
        <v>68</v>
      </c>
      <c r="U808" s="1" t="s">
        <v>69</v>
      </c>
      <c r="V808" s="1">
        <v>45109</v>
      </c>
      <c r="W808" s="4">
        <f>YEAR(Tableau1[[#This Row],[Competition_date]])</f>
        <v>2023</v>
      </c>
      <c r="X808" s="4">
        <v>25</v>
      </c>
      <c r="Y808" s="6">
        <v>0.84</v>
      </c>
      <c r="Z808" s="4" t="s">
        <v>98</v>
      </c>
      <c r="AA808" t="s">
        <v>176</v>
      </c>
    </row>
    <row r="809" spans="1:27" hidden="1" x14ac:dyDescent="0.35">
      <c r="A809" t="str">
        <f>_xlfn.CONCAT(Tableau1[[#This Row],[Athletes]],"_",Tableau1[[#This Row],[Nationality]],"_",Tableau1[[#This Row],[Competition_year]])</f>
        <v>Annemarie NISSEN_DEN_2023</v>
      </c>
      <c r="B809" t="s">
        <v>332</v>
      </c>
      <c r="C809" t="s">
        <v>29</v>
      </c>
      <c r="D809" s="18" t="s">
        <v>333</v>
      </c>
      <c r="E809">
        <v>14.3</v>
      </c>
      <c r="F809">
        <v>14.4</v>
      </c>
      <c r="G809">
        <v>15.4</v>
      </c>
      <c r="H809">
        <v>15.3</v>
      </c>
      <c r="I809">
        <v>15.4</v>
      </c>
      <c r="J809">
        <v>15.5</v>
      </c>
      <c r="K809">
        <v>15.7</v>
      </c>
      <c r="L809">
        <f>Tableau1[[#This Row],[Final_time]]-SUM(Tableau1[[#This Row],[0_100m]:[600_700m]])</f>
        <v>15.929999999999993</v>
      </c>
      <c r="M809" s="10">
        <v>121.93</v>
      </c>
      <c r="N809">
        <f>SUM(Tableau1[[#This Row],[0_100m]:[700_800m]])</f>
        <v>121.93</v>
      </c>
      <c r="O809">
        <f>ABS(Tableau1[[#This Row],[Final_time]]-Tableau1[[#This Row],[Sum_time]])</f>
        <v>0</v>
      </c>
      <c r="P809" s="8"/>
      <c r="Q809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09" t="s">
        <v>321</v>
      </c>
      <c r="S809" s="1" t="s">
        <v>68</v>
      </c>
      <c r="U809" s="1" t="s">
        <v>69</v>
      </c>
      <c r="V809" s="1">
        <v>45109</v>
      </c>
      <c r="W809" s="4">
        <f>YEAR(Tableau1[[#This Row],[Competition_date]])</f>
        <v>2023</v>
      </c>
      <c r="X809" s="4">
        <v>25</v>
      </c>
      <c r="Y809" s="6">
        <v>0.84</v>
      </c>
      <c r="Z809" s="4" t="s">
        <v>98</v>
      </c>
      <c r="AA809" t="s">
        <v>176</v>
      </c>
    </row>
    <row r="810" spans="1:27" hidden="1" x14ac:dyDescent="0.35">
      <c r="A810" t="str">
        <f>_xlfn.CONCAT(Tableau1[[#This Row],[Athletes]],"_",Tableau1[[#This Row],[Nationality]],"_",Tableau1[[#This Row],[Competition_year]])</f>
        <v>Maria FREIJ_SWE_2023</v>
      </c>
      <c r="B810" t="s">
        <v>334</v>
      </c>
      <c r="C810" t="s">
        <v>29</v>
      </c>
      <c r="D810" s="18" t="s">
        <v>28</v>
      </c>
      <c r="E810">
        <v>14.5</v>
      </c>
      <c r="F810">
        <v>14.4</v>
      </c>
      <c r="G810">
        <v>15.4</v>
      </c>
      <c r="H810">
        <v>15.5</v>
      </c>
      <c r="I810">
        <v>15.9</v>
      </c>
      <c r="J810">
        <v>16.5</v>
      </c>
      <c r="K810">
        <v>16.7</v>
      </c>
      <c r="L810">
        <f>Tableau1[[#This Row],[Final_time]]-SUM(Tableau1[[#This Row],[0_100m]:[600_700m]])</f>
        <v>16.339999999999989</v>
      </c>
      <c r="M810" s="10">
        <v>125.24</v>
      </c>
      <c r="N810">
        <f>SUM(Tableau1[[#This Row],[0_100m]:[700_800m]])</f>
        <v>125.24</v>
      </c>
      <c r="O810">
        <f>ABS(Tableau1[[#This Row],[Final_time]]-Tableau1[[#This Row],[Sum_time]])</f>
        <v>0</v>
      </c>
      <c r="P810" s="8"/>
      <c r="Q810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10" t="s">
        <v>321</v>
      </c>
      <c r="S810" s="1" t="s">
        <v>68</v>
      </c>
      <c r="U810" s="1" t="s">
        <v>69</v>
      </c>
      <c r="V810" s="1">
        <v>45109</v>
      </c>
      <c r="W810" s="4">
        <f>YEAR(Tableau1[[#This Row],[Competition_date]])</f>
        <v>2023</v>
      </c>
      <c r="X810" s="4">
        <v>25</v>
      </c>
      <c r="Y810" s="6">
        <v>0.84</v>
      </c>
      <c r="Z810" s="4" t="s">
        <v>98</v>
      </c>
      <c r="AA810" t="s">
        <v>176</v>
      </c>
    </row>
    <row r="811" spans="1:27" hidden="1" x14ac:dyDescent="0.35">
      <c r="A811" t="str">
        <f>_xlfn.CONCAT(Tableau1[[#This Row],[Athletes]],"_",Tableau1[[#This Row],[Nationality]],"_",Tableau1[[#This Row],[Competition_year]])</f>
        <v>Yolanda NGARAMBE_SWE_2023</v>
      </c>
      <c r="B811" t="s">
        <v>335</v>
      </c>
      <c r="C811" t="s">
        <v>29</v>
      </c>
      <c r="D811" s="18" t="s">
        <v>28</v>
      </c>
      <c r="E811">
        <v>14.9</v>
      </c>
      <c r="F811">
        <v>14.5</v>
      </c>
      <c r="G811">
        <v>15.4</v>
      </c>
      <c r="H811">
        <v>15.6</v>
      </c>
      <c r="I811">
        <v>16</v>
      </c>
      <c r="J811">
        <v>16.3</v>
      </c>
      <c r="K811">
        <v>16.5</v>
      </c>
      <c r="L811">
        <f>Tableau1[[#This Row],[Final_time]]-SUM(Tableau1[[#This Row],[0_100m]:[600_700m]])</f>
        <v>16.939999999999998</v>
      </c>
      <c r="M811" s="10">
        <v>126.14</v>
      </c>
      <c r="N811">
        <f>SUM(Tableau1[[#This Row],[0_100m]:[700_800m]])</f>
        <v>126.14</v>
      </c>
      <c r="O811">
        <f>ABS(Tableau1[[#This Row],[Final_time]]-Tableau1[[#This Row],[Sum_time]])</f>
        <v>0</v>
      </c>
      <c r="P811" s="8"/>
      <c r="Q811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11" t="s">
        <v>321</v>
      </c>
      <c r="S811" s="1" t="s">
        <v>68</v>
      </c>
      <c r="U811" s="1" t="s">
        <v>69</v>
      </c>
      <c r="V811" s="1">
        <v>45109</v>
      </c>
      <c r="W811" s="4">
        <f>YEAR(Tableau1[[#This Row],[Competition_date]])</f>
        <v>2023</v>
      </c>
      <c r="X811" s="4">
        <v>25</v>
      </c>
      <c r="Y811" s="6">
        <v>0.84</v>
      </c>
      <c r="Z811" s="4" t="s">
        <v>98</v>
      </c>
      <c r="AA811" t="s">
        <v>176</v>
      </c>
    </row>
    <row r="812" spans="1:27" hidden="1" x14ac:dyDescent="0.35">
      <c r="A812" t="str">
        <f>_xlfn.CONCAT(Tableau1[[#This Row],[Athletes]],"_",Tableau1[[#This Row],[Nationality]],"_",Tableau1[[#This Row],[Competition_year]])</f>
        <v>Julia NIELSEN_SWE_2023</v>
      </c>
      <c r="B812" t="s">
        <v>336</v>
      </c>
      <c r="C812" t="s">
        <v>29</v>
      </c>
      <c r="D812" s="18" t="s">
        <v>28</v>
      </c>
      <c r="E812">
        <v>14.5</v>
      </c>
      <c r="F812">
        <v>14.7</v>
      </c>
      <c r="G812">
        <v>15.4</v>
      </c>
      <c r="H812">
        <v>15.6</v>
      </c>
      <c r="I812">
        <v>15.9</v>
      </c>
      <c r="J812">
        <v>16.3</v>
      </c>
      <c r="K812">
        <v>16.5</v>
      </c>
      <c r="L812">
        <f>Tableau1[[#This Row],[Final_time]]-SUM(Tableau1[[#This Row],[0_100m]:[600_700m]])</f>
        <v>17.399999999999991</v>
      </c>
      <c r="M812" s="10">
        <v>126.3</v>
      </c>
      <c r="N812">
        <f>SUM(Tableau1[[#This Row],[0_100m]:[700_800m]])</f>
        <v>126.3</v>
      </c>
      <c r="O812">
        <f>ABS(Tableau1[[#This Row],[Final_time]]-Tableau1[[#This Row],[Sum_time]])</f>
        <v>0</v>
      </c>
      <c r="P812" s="8"/>
      <c r="Q812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12" t="s">
        <v>321</v>
      </c>
      <c r="S812" s="1" t="s">
        <v>68</v>
      </c>
      <c r="U812" s="1" t="s">
        <v>69</v>
      </c>
      <c r="V812" s="1">
        <v>45109</v>
      </c>
      <c r="W812" s="4">
        <f>YEAR(Tableau1[[#This Row],[Competition_date]])</f>
        <v>2023</v>
      </c>
      <c r="X812" s="4">
        <v>25</v>
      </c>
      <c r="Y812" s="6">
        <v>0.84</v>
      </c>
      <c r="Z812" s="4" t="s">
        <v>98</v>
      </c>
      <c r="AA812" t="s">
        <v>176</v>
      </c>
    </row>
    <row r="813" spans="1:27" hidden="1" x14ac:dyDescent="0.35">
      <c r="A813" t="str">
        <f>_xlfn.CONCAT(Tableau1[[#This Row],[Athletes]],"_",Tableau1[[#This Row],[Nationality]],"_",Tableau1[[#This Row],[Competition_year]])</f>
        <v>Nadja RUGLAND_SWE_2023</v>
      </c>
      <c r="B813" t="s">
        <v>337</v>
      </c>
      <c r="C813" t="s">
        <v>29</v>
      </c>
      <c r="D813" s="18" t="s">
        <v>28</v>
      </c>
      <c r="E813">
        <v>15.5</v>
      </c>
      <c r="F813">
        <v>15</v>
      </c>
      <c r="G813">
        <v>15.5</v>
      </c>
      <c r="H813">
        <v>15.8</v>
      </c>
      <c r="I813">
        <v>16.2</v>
      </c>
      <c r="J813">
        <v>16.899999999999999</v>
      </c>
      <c r="K813">
        <v>17.2</v>
      </c>
      <c r="L813">
        <f>Tableau1[[#This Row],[Final_time]]-SUM(Tableau1[[#This Row],[0_100m]:[600_700m]])</f>
        <v>18.09999999999998</v>
      </c>
      <c r="M813" s="10">
        <v>130.19999999999999</v>
      </c>
      <c r="N813">
        <f>SUM(Tableau1[[#This Row],[0_100m]:[700_800m]])</f>
        <v>130.19999999999999</v>
      </c>
      <c r="O813">
        <f>ABS(Tableau1[[#This Row],[Final_time]]-Tableau1[[#This Row],[Sum_time]])</f>
        <v>0</v>
      </c>
      <c r="P813" s="8"/>
      <c r="Q813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13" t="s">
        <v>321</v>
      </c>
      <c r="S813" s="1" t="s">
        <v>68</v>
      </c>
      <c r="U813" s="1" t="s">
        <v>69</v>
      </c>
      <c r="V813" s="1">
        <v>45109</v>
      </c>
      <c r="W813" s="4">
        <f>YEAR(Tableau1[[#This Row],[Competition_date]])</f>
        <v>2023</v>
      </c>
      <c r="X813" s="4">
        <v>25</v>
      </c>
      <c r="Y813" s="6">
        <v>0.84</v>
      </c>
      <c r="Z813" s="4" t="s">
        <v>98</v>
      </c>
      <c r="AA813" t="s">
        <v>176</v>
      </c>
    </row>
    <row r="814" spans="1:27" hidden="1" x14ac:dyDescent="0.35">
      <c r="A814" t="str">
        <f>_xlfn.CONCAT(Tableau1[[#This Row],[Athletes]],"_",Tableau1[[#This Row],[Nationality]],"_",Tableau1[[#This Row],[Competition_year]])</f>
        <v>Josefin Victoria HEIER_NOR_2023</v>
      </c>
      <c r="B814" t="s">
        <v>338</v>
      </c>
      <c r="C814" t="s">
        <v>29</v>
      </c>
      <c r="D814" s="18" t="s">
        <v>123</v>
      </c>
      <c r="E814">
        <v>15.1</v>
      </c>
      <c r="F814">
        <v>14.6</v>
      </c>
      <c r="G814">
        <v>15.3</v>
      </c>
      <c r="H814">
        <v>15.8</v>
      </c>
      <c r="I814">
        <v>16.2</v>
      </c>
      <c r="J814">
        <v>17</v>
      </c>
      <c r="K814">
        <v>18</v>
      </c>
      <c r="L814">
        <f>Tableau1[[#This Row],[Final_time]]-SUM(Tableau1[[#This Row],[0_100m]:[600_700m]])</f>
        <v>19.189999999999998</v>
      </c>
      <c r="M814" s="10">
        <v>131.19</v>
      </c>
      <c r="N814">
        <f>SUM(Tableau1[[#This Row],[0_100m]:[700_800m]])</f>
        <v>131.19</v>
      </c>
      <c r="O814">
        <f>ABS(Tableau1[[#This Row],[Final_time]]-Tableau1[[#This Row],[Sum_time]])</f>
        <v>0</v>
      </c>
      <c r="P814" s="8"/>
      <c r="Q814" s="1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R814" t="s">
        <v>321</v>
      </c>
      <c r="S814" s="1" t="s">
        <v>68</v>
      </c>
      <c r="U814" s="1" t="s">
        <v>69</v>
      </c>
      <c r="V814" s="1">
        <v>45109</v>
      </c>
      <c r="W814" s="4">
        <f>YEAR(Tableau1[[#This Row],[Competition_date]])</f>
        <v>2023</v>
      </c>
      <c r="X814" s="4">
        <v>25</v>
      </c>
      <c r="Y814" s="6">
        <v>0.84</v>
      </c>
      <c r="Z814" s="4" t="s">
        <v>98</v>
      </c>
      <c r="AA814" t="s">
        <v>176</v>
      </c>
    </row>
    <row r="815" spans="1:27" hidden="1" x14ac:dyDescent="0.35">
      <c r="A815" t="str">
        <f>_xlfn.CONCAT(Tableau1[[#This Row],[Athletes]],"_",Tableau1[[#This Row],[Nationality]],"_",Tableau1[[#This Row],[Competition_year]])</f>
        <v>Djamel SEDJATI_ALG_2023</v>
      </c>
      <c r="B815" t="s">
        <v>170</v>
      </c>
      <c r="C815" t="s">
        <v>14</v>
      </c>
      <c r="D815" s="18" t="s">
        <v>24</v>
      </c>
      <c r="E815">
        <v>12.8</v>
      </c>
      <c r="F815">
        <v>11.9</v>
      </c>
      <c r="G815">
        <v>12.7</v>
      </c>
      <c r="H815">
        <v>12.9</v>
      </c>
      <c r="I815">
        <v>13.2</v>
      </c>
      <c r="J815">
        <v>13.3</v>
      </c>
      <c r="K815">
        <v>13.5</v>
      </c>
      <c r="L815">
        <f>Tableau1[[#This Row],[Final_time]]-SUM(Tableau1[[#This Row],[0_100m]:[600_700m]])</f>
        <v>14.290000000000006</v>
      </c>
      <c r="M815">
        <v>104.59</v>
      </c>
      <c r="N815">
        <f>SUM(Tableau1[[#This Row],[0_100m]:[700_800m]])</f>
        <v>104.59</v>
      </c>
      <c r="O815">
        <f>ABS(Tableau1[[#This Row],[Final_time]]-Tableau1[[#This Row],[Sum_time]])</f>
        <v>0</v>
      </c>
      <c r="P815" s="8"/>
      <c r="Q815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15" t="s">
        <v>321</v>
      </c>
      <c r="S815" s="1" t="s">
        <v>68</v>
      </c>
      <c r="U815" s="1" t="s">
        <v>69</v>
      </c>
      <c r="V815" s="1">
        <v>45109</v>
      </c>
      <c r="W815" s="4">
        <f>YEAR(Tableau1[[#This Row],[Competition_date]])</f>
        <v>2023</v>
      </c>
      <c r="X815" s="4">
        <v>15</v>
      </c>
      <c r="Y815" s="6">
        <v>0.81</v>
      </c>
      <c r="Z815" s="4" t="s">
        <v>81</v>
      </c>
      <c r="AA815" t="s">
        <v>176</v>
      </c>
    </row>
    <row r="816" spans="1:27" hidden="1" x14ac:dyDescent="0.35">
      <c r="A816" t="str">
        <f>_xlfn.CONCAT(Tableau1[[#This Row],[Athletes]],"_",Tableau1[[#This Row],[Nationality]],"_",Tableau1[[#This Row],[Competition_year]])</f>
        <v>Saúl ORDÓÑEZ_ESP_2023</v>
      </c>
      <c r="B816" t="s">
        <v>178</v>
      </c>
      <c r="C816" t="s">
        <v>14</v>
      </c>
      <c r="D816" s="18" t="s">
        <v>37</v>
      </c>
      <c r="E816">
        <v>12.9</v>
      </c>
      <c r="F816">
        <v>11.9</v>
      </c>
      <c r="G816">
        <v>12.8</v>
      </c>
      <c r="H816">
        <v>13</v>
      </c>
      <c r="I816">
        <v>13.2</v>
      </c>
      <c r="J816">
        <v>13.3</v>
      </c>
      <c r="K816">
        <v>13.3</v>
      </c>
      <c r="L816">
        <f>Tableau1[[#This Row],[Final_time]]-SUM(Tableau1[[#This Row],[0_100m]:[600_700m]])</f>
        <v>14.27000000000001</v>
      </c>
      <c r="M816">
        <v>104.67</v>
      </c>
      <c r="N816">
        <f>SUM(Tableau1[[#This Row],[0_100m]:[700_800m]])</f>
        <v>104.67</v>
      </c>
      <c r="O816">
        <f>ABS(Tableau1[[#This Row],[Final_time]]-Tableau1[[#This Row],[Sum_time]])</f>
        <v>0</v>
      </c>
      <c r="P816" s="8"/>
      <c r="Q816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16" t="s">
        <v>321</v>
      </c>
      <c r="S816" s="1" t="s">
        <v>68</v>
      </c>
      <c r="U816" s="1" t="s">
        <v>69</v>
      </c>
      <c r="V816" s="1">
        <v>45109</v>
      </c>
      <c r="W816" s="4">
        <f>YEAR(Tableau1[[#This Row],[Competition_date]])</f>
        <v>2023</v>
      </c>
      <c r="X816" s="4">
        <v>15</v>
      </c>
      <c r="Y816" s="6">
        <v>0.81</v>
      </c>
      <c r="Z816" s="4" t="s">
        <v>81</v>
      </c>
      <c r="AA816" t="s">
        <v>176</v>
      </c>
    </row>
    <row r="817" spans="1:27" hidden="1" x14ac:dyDescent="0.35">
      <c r="A817" t="str">
        <f>_xlfn.CONCAT(Tableau1[[#This Row],[Athletes]],"_",Tableau1[[#This Row],[Nationality]],"_",Tableau1[[#This Row],[Competition_year]])</f>
        <v>Gabriel TUAL_FRA_2023</v>
      </c>
      <c r="B817" t="s">
        <v>180</v>
      </c>
      <c r="C817" t="s">
        <v>14</v>
      </c>
      <c r="D817" s="18" t="s">
        <v>17</v>
      </c>
      <c r="E817">
        <v>12.8</v>
      </c>
      <c r="F817">
        <v>12.3</v>
      </c>
      <c r="G817">
        <v>13</v>
      </c>
      <c r="H817">
        <v>13</v>
      </c>
      <c r="I817">
        <v>13.2</v>
      </c>
      <c r="J817">
        <v>13.2</v>
      </c>
      <c r="K817">
        <v>13.4</v>
      </c>
      <c r="L817">
        <f>Tableau1[[#This Row],[Final_time]]-SUM(Tableau1[[#This Row],[0_100m]:[600_700m]])</f>
        <v>13.949999999999989</v>
      </c>
      <c r="M817">
        <v>104.85</v>
      </c>
      <c r="N817">
        <f>SUM(Tableau1[[#This Row],[0_100m]:[700_800m]])</f>
        <v>104.85</v>
      </c>
      <c r="O817">
        <f>ABS(Tableau1[[#This Row],[Final_time]]-Tableau1[[#This Row],[Sum_time]])</f>
        <v>0</v>
      </c>
      <c r="P817" s="8"/>
      <c r="Q817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17" t="s">
        <v>321</v>
      </c>
      <c r="S817" s="1" t="s">
        <v>68</v>
      </c>
      <c r="U817" s="1" t="s">
        <v>69</v>
      </c>
      <c r="V817" s="1">
        <v>45109</v>
      </c>
      <c r="W817" s="4">
        <f>YEAR(Tableau1[[#This Row],[Competition_date]])</f>
        <v>2023</v>
      </c>
      <c r="X817" s="4">
        <v>15</v>
      </c>
      <c r="Y817" s="6">
        <v>0.81</v>
      </c>
      <c r="Z817" s="4" t="s">
        <v>81</v>
      </c>
      <c r="AA817" t="s">
        <v>176</v>
      </c>
    </row>
    <row r="818" spans="1:27" hidden="1" x14ac:dyDescent="0.35">
      <c r="A818" t="str">
        <f>_xlfn.CONCAT(Tableau1[[#This Row],[Athletes]],"_",Tableau1[[#This Row],[Nationality]],"_",Tableau1[[#This Row],[Competition_year]])</f>
        <v>Andreas KRAMER_SWE_2023</v>
      </c>
      <c r="B818" t="s">
        <v>186</v>
      </c>
      <c r="C818" t="s">
        <v>14</v>
      </c>
      <c r="D818" s="18" t="s">
        <v>28</v>
      </c>
      <c r="E818">
        <v>12.9</v>
      </c>
      <c r="F818">
        <v>12.3</v>
      </c>
      <c r="G818">
        <v>13.1</v>
      </c>
      <c r="H818">
        <v>13</v>
      </c>
      <c r="I818">
        <v>13.2</v>
      </c>
      <c r="J818">
        <v>13.2</v>
      </c>
      <c r="K818">
        <v>13.4</v>
      </c>
      <c r="L818">
        <f>Tableau1[[#This Row],[Final_time]]-SUM(Tableau1[[#This Row],[0_100m]:[600_700m]])</f>
        <v>13.909999999999997</v>
      </c>
      <c r="M818">
        <v>105.01</v>
      </c>
      <c r="N818">
        <f>SUM(Tableau1[[#This Row],[0_100m]:[700_800m]])</f>
        <v>105.01</v>
      </c>
      <c r="O818">
        <f>ABS(Tableau1[[#This Row],[Final_time]]-Tableau1[[#This Row],[Sum_time]])</f>
        <v>0</v>
      </c>
      <c r="P818" s="8"/>
      <c r="Q818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18" t="s">
        <v>321</v>
      </c>
      <c r="S818" s="1" t="s">
        <v>68</v>
      </c>
      <c r="U818" s="1" t="s">
        <v>69</v>
      </c>
      <c r="V818" s="1">
        <v>45109</v>
      </c>
      <c r="W818" s="4">
        <f>YEAR(Tableau1[[#This Row],[Competition_date]])</f>
        <v>2023</v>
      </c>
      <c r="X818" s="4">
        <v>15</v>
      </c>
      <c r="Y818" s="6">
        <v>0.81</v>
      </c>
      <c r="Z818" s="4" t="s">
        <v>81</v>
      </c>
      <c r="AA818" t="s">
        <v>176</v>
      </c>
    </row>
    <row r="819" spans="1:27" hidden="1" x14ac:dyDescent="0.35">
      <c r="A819" t="str">
        <f>_xlfn.CONCAT(Tableau1[[#This Row],[Athletes]],"_",Tableau1[[#This Row],[Nationality]],"_",Tableau1[[#This Row],[Competition_year]])</f>
        <v>Yanis MEZIANE_FRA_2023</v>
      </c>
      <c r="B819" t="s">
        <v>171</v>
      </c>
      <c r="C819" t="s">
        <v>14</v>
      </c>
      <c r="D819" s="18" t="s">
        <v>17</v>
      </c>
      <c r="E819">
        <v>12.8</v>
      </c>
      <c r="F819">
        <v>12.2</v>
      </c>
      <c r="G819">
        <v>12.9</v>
      </c>
      <c r="H819">
        <v>13</v>
      </c>
      <c r="I819">
        <v>13.1</v>
      </c>
      <c r="J819">
        <v>13.4</v>
      </c>
      <c r="K819">
        <v>13.5</v>
      </c>
      <c r="L819">
        <f>Tableau1[[#This Row],[Final_time]]-SUM(Tableau1[[#This Row],[0_100m]:[600_700m]])</f>
        <v>14.530000000000001</v>
      </c>
      <c r="M819">
        <v>105.43</v>
      </c>
      <c r="N819">
        <f>SUM(Tableau1[[#This Row],[0_100m]:[700_800m]])</f>
        <v>105.43</v>
      </c>
      <c r="O819">
        <f>ABS(Tableau1[[#This Row],[Final_time]]-Tableau1[[#This Row],[Sum_time]])</f>
        <v>0</v>
      </c>
      <c r="P819" s="8"/>
      <c r="Q819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19" t="s">
        <v>321</v>
      </c>
      <c r="S819" s="1" t="s">
        <v>68</v>
      </c>
      <c r="U819" s="1" t="s">
        <v>69</v>
      </c>
      <c r="V819" s="1">
        <v>45109</v>
      </c>
      <c r="W819" s="4">
        <f>YEAR(Tableau1[[#This Row],[Competition_date]])</f>
        <v>2023</v>
      </c>
      <c r="X819" s="4">
        <v>15</v>
      </c>
      <c r="Y819" s="6">
        <v>0.81</v>
      </c>
      <c r="Z819" s="4" t="s">
        <v>81</v>
      </c>
      <c r="AA819" t="s">
        <v>176</v>
      </c>
    </row>
    <row r="820" spans="1:27" hidden="1" x14ac:dyDescent="0.35">
      <c r="A820" t="str">
        <f>_xlfn.CONCAT(Tableau1[[#This Row],[Athletes]],"_",Tableau1[[#This Row],[Nationality]],"_",Tableau1[[#This Row],[Competition_year]])</f>
        <v>Tom DRADRIGA_UGA_2023</v>
      </c>
      <c r="B820" t="s">
        <v>191</v>
      </c>
      <c r="C820" t="s">
        <v>14</v>
      </c>
      <c r="D820" s="18" t="s">
        <v>34</v>
      </c>
      <c r="E820">
        <v>12.8</v>
      </c>
      <c r="F820">
        <v>12.5</v>
      </c>
      <c r="G820">
        <v>13.2</v>
      </c>
      <c r="H820">
        <v>13</v>
      </c>
      <c r="I820">
        <v>13.3</v>
      </c>
      <c r="J820">
        <v>13.5</v>
      </c>
      <c r="K820">
        <v>13.9</v>
      </c>
      <c r="L820">
        <f>Tableau1[[#This Row],[Final_time]]-SUM(Tableau1[[#This Row],[0_100m]:[600_700m]])</f>
        <v>14.810000000000002</v>
      </c>
      <c r="M820">
        <v>107.01</v>
      </c>
      <c r="N820">
        <f>SUM(Tableau1[[#This Row],[0_100m]:[700_800m]])</f>
        <v>107.01</v>
      </c>
      <c r="O820">
        <f>ABS(Tableau1[[#This Row],[Final_time]]-Tableau1[[#This Row],[Sum_time]])</f>
        <v>0</v>
      </c>
      <c r="P820" s="8"/>
      <c r="Q820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20" t="s">
        <v>321</v>
      </c>
      <c r="S820" s="1" t="s">
        <v>68</v>
      </c>
      <c r="U820" s="1" t="s">
        <v>69</v>
      </c>
      <c r="V820" s="1">
        <v>45109</v>
      </c>
      <c r="W820" s="4">
        <f>YEAR(Tableau1[[#This Row],[Competition_date]])</f>
        <v>2023</v>
      </c>
      <c r="X820" s="4">
        <v>15</v>
      </c>
      <c r="Y820" s="6">
        <v>0.81</v>
      </c>
      <c r="Z820" s="4" t="s">
        <v>81</v>
      </c>
      <c r="AA820" t="s">
        <v>176</v>
      </c>
    </row>
    <row r="821" spans="1:27" hidden="1" x14ac:dyDescent="0.35">
      <c r="A821" t="str">
        <f>_xlfn.CONCAT(Tableau1[[#This Row],[Athletes]],"_",Tableau1[[#This Row],[Nationality]],"_",Tableau1[[#This Row],[Competition_year]])</f>
        <v>Joseph DENG_AUS_2023</v>
      </c>
      <c r="B821" t="s">
        <v>113</v>
      </c>
      <c r="C821" t="s">
        <v>14</v>
      </c>
      <c r="D821" s="18" t="s">
        <v>36</v>
      </c>
      <c r="E821">
        <v>13</v>
      </c>
      <c r="F821">
        <v>12.4</v>
      </c>
      <c r="G821">
        <v>13.2</v>
      </c>
      <c r="H821">
        <v>13.1</v>
      </c>
      <c r="I821">
        <v>13.3</v>
      </c>
      <c r="J821">
        <v>13.3</v>
      </c>
      <c r="K821">
        <v>14</v>
      </c>
      <c r="L821">
        <f>Tableau1[[#This Row],[Final_time]]-SUM(Tableau1[[#This Row],[0_100m]:[600_700m]])</f>
        <v>15.240000000000009</v>
      </c>
      <c r="M821">
        <v>107.54</v>
      </c>
      <c r="N821">
        <f>SUM(Tableau1[[#This Row],[0_100m]:[700_800m]])</f>
        <v>107.54</v>
      </c>
      <c r="O821">
        <f>ABS(Tableau1[[#This Row],[Final_time]]-Tableau1[[#This Row],[Sum_time]])</f>
        <v>0</v>
      </c>
      <c r="P821" s="8"/>
      <c r="Q821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21" t="s">
        <v>321</v>
      </c>
      <c r="S821" s="1" t="s">
        <v>68</v>
      </c>
      <c r="U821" s="1" t="s">
        <v>69</v>
      </c>
      <c r="V821" s="1">
        <v>45109</v>
      </c>
      <c r="W821" s="4">
        <f>YEAR(Tableau1[[#This Row],[Competition_date]])</f>
        <v>2023</v>
      </c>
      <c r="X821" s="4">
        <v>15</v>
      </c>
      <c r="Y821" s="6">
        <v>0.81</v>
      </c>
      <c r="Z821" s="4" t="s">
        <v>81</v>
      </c>
      <c r="AA821" t="s">
        <v>176</v>
      </c>
    </row>
    <row r="822" spans="1:27" hidden="1" x14ac:dyDescent="0.35">
      <c r="A822" t="str">
        <f>_xlfn.CONCAT(Tableau1[[#This Row],[Athletes]],"_",Tableau1[[#This Row],[Nationality]],"_",Tableau1[[#This Row],[Competition_year]])</f>
        <v>Emmanuel Kipkurui KORIR_KEN_2023</v>
      </c>
      <c r="B822" s="9" t="s">
        <v>201</v>
      </c>
      <c r="C822" t="s">
        <v>14</v>
      </c>
      <c r="D822" s="18" t="s">
        <v>15</v>
      </c>
      <c r="E822">
        <v>13</v>
      </c>
      <c r="F822">
        <v>12.5</v>
      </c>
      <c r="G822">
        <v>13.2</v>
      </c>
      <c r="H822">
        <v>13.2</v>
      </c>
      <c r="I822">
        <v>13.5</v>
      </c>
      <c r="J822">
        <v>13.6</v>
      </c>
      <c r="K822">
        <v>14.4</v>
      </c>
      <c r="L822">
        <f>Tableau1[[#This Row],[Final_time]]-SUM(Tableau1[[#This Row],[0_100m]:[600_700m]])</f>
        <v>15.559999999999988</v>
      </c>
      <c r="M822">
        <v>108.96</v>
      </c>
      <c r="N822">
        <f>SUM(Tableau1[[#This Row],[0_100m]:[700_800m]])</f>
        <v>108.96</v>
      </c>
      <c r="O822">
        <f>ABS(Tableau1[[#This Row],[Final_time]]-Tableau1[[#This Row],[Sum_time]])</f>
        <v>0</v>
      </c>
      <c r="P822" s="8"/>
      <c r="Q822" s="16" t="str">
        <f>_xlfn.CONCAT(Tableau1[[#This Row],[Competition]],"_",Tableau1[[#This Row],[Championship_step]],"_",Tableau1[[#This Row],[Competition_date]],"_",Tableau1[[#This Row],[Gender]])</f>
        <v>Diamond League Stockholm 2023__45109_Male</v>
      </c>
      <c r="R822" t="s">
        <v>321</v>
      </c>
      <c r="S822" s="1" t="s">
        <v>68</v>
      </c>
      <c r="U822" s="1" t="s">
        <v>69</v>
      </c>
      <c r="V822" s="1">
        <v>45109</v>
      </c>
      <c r="W822" s="4">
        <f>YEAR(Tableau1[[#This Row],[Competition_date]])</f>
        <v>2023</v>
      </c>
      <c r="X822" s="4">
        <v>15</v>
      </c>
      <c r="Y822" s="6">
        <v>0.81</v>
      </c>
      <c r="Z822" s="4" t="s">
        <v>81</v>
      </c>
      <c r="AA822" t="s">
        <v>176</v>
      </c>
    </row>
    <row r="823" spans="1:27" hidden="1" x14ac:dyDescent="0.35">
      <c r="A823" t="str">
        <f>_xlfn.CONCAT(Tableau1[[#This Row],[Athletes]],"_",Tableau1[[#This Row],[Nationality]],"_",Tableau1[[#This Row],[Competition_year]])</f>
        <v>Jemma REEKIE_GBR_2024</v>
      </c>
      <c r="B823" t="s">
        <v>220</v>
      </c>
      <c r="C823" t="s">
        <v>29</v>
      </c>
      <c r="D823" s="18" t="s">
        <v>30</v>
      </c>
      <c r="E823">
        <v>14</v>
      </c>
      <c r="F823">
        <v>13.9</v>
      </c>
      <c r="G823">
        <v>14.7</v>
      </c>
      <c r="H823">
        <v>15.2</v>
      </c>
      <c r="I823">
        <v>15.5</v>
      </c>
      <c r="J823">
        <v>14.6</v>
      </c>
      <c r="K823">
        <v>14.6</v>
      </c>
      <c r="L823">
        <f>Tableau1[[#This Row],[Final_time]]-SUM(Tableau1[[#This Row],[0_100m]:[600_700m]])</f>
        <v>15.29000000000002</v>
      </c>
      <c r="M823">
        <v>117.79</v>
      </c>
      <c r="N823">
        <f>SUM(Tableau1[[#This Row],[0_100m]:[700_800m]])</f>
        <v>117.79</v>
      </c>
      <c r="O823">
        <f>ABS(Tableau1[[#This Row],[Final_time]]-Tableau1[[#This Row],[Sum_time]])</f>
        <v>0</v>
      </c>
      <c r="P823" s="8"/>
      <c r="Q823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3" t="s">
        <v>42</v>
      </c>
      <c r="S823" s="1" t="s">
        <v>68</v>
      </c>
      <c r="U823" s="1" t="s">
        <v>69</v>
      </c>
      <c r="V823" s="1">
        <v>45445</v>
      </c>
      <c r="W823" s="4">
        <f>YEAR(Tableau1[[#This Row],[Competition_date]])</f>
        <v>2024</v>
      </c>
      <c r="X823" s="4">
        <v>24</v>
      </c>
      <c r="Y823" s="6">
        <v>0.43</v>
      </c>
      <c r="Z823" s="4" t="s">
        <v>79</v>
      </c>
      <c r="AA823" t="s">
        <v>84</v>
      </c>
    </row>
    <row r="824" spans="1:27" hidden="1" x14ac:dyDescent="0.35">
      <c r="A824" t="str">
        <f>_xlfn.CONCAT(Tableau1[[#This Row],[Athletes]],"_",Tableau1[[#This Row],[Nationality]],"_",Tableau1[[#This Row],[Competition_year]])</f>
        <v>Vivian Chebet KIPROTICH_KEN_2024</v>
      </c>
      <c r="B824" t="s">
        <v>1298</v>
      </c>
      <c r="C824" t="s">
        <v>29</v>
      </c>
      <c r="D824" s="18" t="s">
        <v>15</v>
      </c>
      <c r="E824">
        <v>14.5</v>
      </c>
      <c r="F824">
        <v>13.5</v>
      </c>
      <c r="G824">
        <v>15</v>
      </c>
      <c r="H824">
        <v>15.3</v>
      </c>
      <c r="I824">
        <v>15.4</v>
      </c>
      <c r="J824">
        <v>14.7</v>
      </c>
      <c r="K824">
        <v>14.7</v>
      </c>
      <c r="L824">
        <f>Tableau1[[#This Row],[Final_time]]-SUM(Tableau1[[#This Row],[0_100m]:[600_700m]])</f>
        <v>15.539999999999992</v>
      </c>
      <c r="M824">
        <v>118.64</v>
      </c>
      <c r="N824">
        <f>SUM(Tableau1[[#This Row],[0_100m]:[700_800m]])</f>
        <v>118.64</v>
      </c>
      <c r="O824">
        <f>ABS(Tableau1[[#This Row],[Final_time]]-Tableau1[[#This Row],[Sum_time]])</f>
        <v>0</v>
      </c>
      <c r="P824" s="8"/>
      <c r="Q824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4" t="s">
        <v>42</v>
      </c>
      <c r="S824" s="1" t="s">
        <v>68</v>
      </c>
      <c r="U824" s="1" t="s">
        <v>69</v>
      </c>
      <c r="V824" s="1">
        <v>45445</v>
      </c>
      <c r="W824" s="4">
        <f>YEAR(Tableau1[[#This Row],[Competition_date]])</f>
        <v>2024</v>
      </c>
      <c r="X824" s="4">
        <v>24</v>
      </c>
      <c r="Y824" s="6">
        <v>0.43</v>
      </c>
      <c r="Z824" s="4" t="s">
        <v>79</v>
      </c>
      <c r="AA824" t="s">
        <v>84</v>
      </c>
    </row>
    <row r="825" spans="1:27" hidden="1" x14ac:dyDescent="0.35">
      <c r="A825" t="str">
        <f>_xlfn.CONCAT(Tableau1[[#This Row],[Athletes]],"_",Tableau1[[#This Row],[Nationality]],"_",Tableau1[[#This Row],[Competition_year]])</f>
        <v>Eveliina MÄÄTTÄNEN_FIN_2024</v>
      </c>
      <c r="B825" t="s">
        <v>216</v>
      </c>
      <c r="C825" t="s">
        <v>29</v>
      </c>
      <c r="D825" s="18" t="s">
        <v>85</v>
      </c>
      <c r="E825">
        <v>14.4</v>
      </c>
      <c r="F825">
        <v>13.5</v>
      </c>
      <c r="G825">
        <v>15</v>
      </c>
      <c r="H825">
        <v>15.2</v>
      </c>
      <c r="I825">
        <v>15.4</v>
      </c>
      <c r="J825">
        <v>14.8</v>
      </c>
      <c r="K825">
        <v>15.3</v>
      </c>
      <c r="L825">
        <f>Tableau1[[#This Row],[Final_time]]-SUM(Tableau1[[#This Row],[0_100m]:[600_700m]])</f>
        <v>15.990000000000009</v>
      </c>
      <c r="M825">
        <v>119.59</v>
      </c>
      <c r="N825">
        <f>SUM(Tableau1[[#This Row],[0_100m]:[700_800m]])</f>
        <v>119.59</v>
      </c>
      <c r="O825">
        <f>ABS(Tableau1[[#This Row],[Final_time]]-Tableau1[[#This Row],[Sum_time]])</f>
        <v>0</v>
      </c>
      <c r="P825" s="8"/>
      <c r="Q825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5" t="s">
        <v>42</v>
      </c>
      <c r="S825" s="1" t="s">
        <v>68</v>
      </c>
      <c r="U825" s="1" t="s">
        <v>69</v>
      </c>
      <c r="V825" s="1">
        <v>45445</v>
      </c>
      <c r="W825" s="4">
        <f>YEAR(Tableau1[[#This Row],[Competition_date]])</f>
        <v>2024</v>
      </c>
      <c r="X825" s="4">
        <v>24</v>
      </c>
      <c r="Y825" s="6">
        <v>0.43</v>
      </c>
      <c r="Z825" s="4" t="s">
        <v>79</v>
      </c>
      <c r="AA825" t="s">
        <v>84</v>
      </c>
    </row>
    <row r="826" spans="1:27" hidden="1" x14ac:dyDescent="0.35">
      <c r="A826" t="str">
        <f>_xlfn.CONCAT(Tableau1[[#This Row],[Athletes]],"_",Tableau1[[#This Row],[Nationality]],"_",Tableau1[[#This Row],[Competition_year]])</f>
        <v>Nigist GETACHEW_ETH_2024</v>
      </c>
      <c r="B826" t="s">
        <v>1105</v>
      </c>
      <c r="C826" t="s">
        <v>29</v>
      </c>
      <c r="D826" s="18" t="s">
        <v>49</v>
      </c>
      <c r="E826">
        <v>14.1</v>
      </c>
      <c r="F826">
        <v>14</v>
      </c>
      <c r="G826">
        <v>14.9</v>
      </c>
      <c r="H826">
        <v>15</v>
      </c>
      <c r="I826">
        <v>15.5</v>
      </c>
      <c r="J826">
        <v>14.6</v>
      </c>
      <c r="K826">
        <v>15.4</v>
      </c>
      <c r="L826">
        <f>Tableau1[[#This Row],[Final_time]]-SUM(Tableau1[[#This Row],[0_100m]:[600_700m]])</f>
        <v>16.269999999999996</v>
      </c>
      <c r="M826">
        <v>119.77</v>
      </c>
      <c r="N826">
        <f>SUM(Tableau1[[#This Row],[0_100m]:[700_800m]])</f>
        <v>119.77</v>
      </c>
      <c r="O826">
        <f>ABS(Tableau1[[#This Row],[Final_time]]-Tableau1[[#This Row],[Sum_time]])</f>
        <v>0</v>
      </c>
      <c r="P826" s="8"/>
      <c r="Q826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6" t="s">
        <v>42</v>
      </c>
      <c r="S826" s="1" t="s">
        <v>68</v>
      </c>
      <c r="U826" s="1" t="s">
        <v>69</v>
      </c>
      <c r="V826" s="1">
        <v>45445</v>
      </c>
      <c r="W826" s="4">
        <f>YEAR(Tableau1[[#This Row],[Competition_date]])</f>
        <v>2024</v>
      </c>
      <c r="X826" s="4">
        <v>24</v>
      </c>
      <c r="Y826" s="6">
        <v>0.43</v>
      </c>
      <c r="Z826" s="4" t="s">
        <v>79</v>
      </c>
      <c r="AA826" t="s">
        <v>84</v>
      </c>
    </row>
    <row r="827" spans="1:27" hidden="1" x14ac:dyDescent="0.35">
      <c r="A827" t="str">
        <f>_xlfn.CONCAT(Tableau1[[#This Row],[Athletes]],"_",Tableau1[[#This Row],[Nationality]],"_",Tableau1[[#This Row],[Competition_year]])</f>
        <v>Yolanda NGARAMBE_SWE_2024</v>
      </c>
      <c r="B827" t="s">
        <v>335</v>
      </c>
      <c r="C827" t="s">
        <v>29</v>
      </c>
      <c r="D827" s="18" t="s">
        <v>28</v>
      </c>
      <c r="E827">
        <v>14.8</v>
      </c>
      <c r="F827">
        <v>14.1</v>
      </c>
      <c r="G827">
        <v>14.9</v>
      </c>
      <c r="H827">
        <v>15.2</v>
      </c>
      <c r="I827">
        <v>15.5</v>
      </c>
      <c r="J827">
        <v>15.4</v>
      </c>
      <c r="K827">
        <v>15.6</v>
      </c>
      <c r="L827">
        <f>Tableau1[[#This Row],[Final_time]]-SUM(Tableau1[[#This Row],[0_100m]:[600_700m]])</f>
        <v>15.819999999999993</v>
      </c>
      <c r="M827">
        <v>121.32</v>
      </c>
      <c r="N827">
        <f>SUM(Tableau1[[#This Row],[0_100m]:[700_800m]])</f>
        <v>121.32</v>
      </c>
      <c r="O827">
        <f>ABS(Tableau1[[#This Row],[Final_time]]-Tableau1[[#This Row],[Sum_time]])</f>
        <v>0</v>
      </c>
      <c r="P827" s="8"/>
      <c r="Q827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7" t="s">
        <v>42</v>
      </c>
      <c r="S827" s="1" t="s">
        <v>68</v>
      </c>
      <c r="U827" s="1" t="s">
        <v>69</v>
      </c>
      <c r="V827" s="1">
        <v>45445</v>
      </c>
      <c r="W827" s="4">
        <f>YEAR(Tableau1[[#This Row],[Competition_date]])</f>
        <v>2024</v>
      </c>
      <c r="X827" s="4">
        <v>24</v>
      </c>
      <c r="Y827" s="6">
        <v>0.43</v>
      </c>
      <c r="Z827" s="4" t="s">
        <v>79</v>
      </c>
      <c r="AA827" t="s">
        <v>84</v>
      </c>
    </row>
    <row r="828" spans="1:27" hidden="1" x14ac:dyDescent="0.35">
      <c r="A828" t="str">
        <f>_xlfn.CONCAT(Tableau1[[#This Row],[Athletes]],"_",Tableau1[[#This Row],[Nationality]],"_",Tableau1[[#This Row],[Competition_year]])</f>
        <v>Noélie YARIGO_BEN_2024</v>
      </c>
      <c r="B828" t="s">
        <v>214</v>
      </c>
      <c r="C828" t="s">
        <v>29</v>
      </c>
      <c r="D828" s="18" t="s">
        <v>52</v>
      </c>
      <c r="E828">
        <v>14.4</v>
      </c>
      <c r="F828">
        <v>13.8</v>
      </c>
      <c r="G828">
        <v>14.8</v>
      </c>
      <c r="H828">
        <v>15.2</v>
      </c>
      <c r="I828">
        <v>15.5</v>
      </c>
      <c r="J828">
        <v>15.5</v>
      </c>
      <c r="K828">
        <v>15.8</v>
      </c>
      <c r="L828">
        <f>Tableau1[[#This Row],[Final_time]]-SUM(Tableau1[[#This Row],[0_100m]:[600_700m]])</f>
        <v>17.260000000000005</v>
      </c>
      <c r="M828">
        <v>122.26</v>
      </c>
      <c r="N828">
        <f>SUM(Tableau1[[#This Row],[0_100m]:[700_800m]])</f>
        <v>122.26</v>
      </c>
      <c r="O828">
        <f>ABS(Tableau1[[#This Row],[Final_time]]-Tableau1[[#This Row],[Sum_time]])</f>
        <v>0</v>
      </c>
      <c r="P828" s="8"/>
      <c r="Q828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8" t="s">
        <v>42</v>
      </c>
      <c r="S828" s="1" t="s">
        <v>68</v>
      </c>
      <c r="U828" s="1" t="s">
        <v>69</v>
      </c>
      <c r="V828" s="1">
        <v>45445</v>
      </c>
      <c r="W828" s="4">
        <f>YEAR(Tableau1[[#This Row],[Competition_date]])</f>
        <v>2024</v>
      </c>
      <c r="X828" s="4">
        <v>24</v>
      </c>
      <c r="Y828" s="6">
        <v>0.43</v>
      </c>
      <c r="Z828" s="4" t="s">
        <v>79</v>
      </c>
      <c r="AA828" t="s">
        <v>84</v>
      </c>
    </row>
    <row r="829" spans="1:27" hidden="1" x14ac:dyDescent="0.35">
      <c r="A829" t="str">
        <f>_xlfn.CONCAT(Tableau1[[#This Row],[Athletes]],"_",Tableau1[[#This Row],[Nationality]],"_",Tableau1[[#This Row],[Competition_year]])</f>
        <v>Julia NIELSEN_SWE_2024</v>
      </c>
      <c r="B829" t="s">
        <v>336</v>
      </c>
      <c r="C829" t="s">
        <v>29</v>
      </c>
      <c r="D829" s="18" t="s">
        <v>28</v>
      </c>
      <c r="E829">
        <v>14.4</v>
      </c>
      <c r="F829">
        <v>14</v>
      </c>
      <c r="G829">
        <v>14.9</v>
      </c>
      <c r="H829">
        <v>15.3</v>
      </c>
      <c r="I829">
        <v>15.4</v>
      </c>
      <c r="J829">
        <v>15.4</v>
      </c>
      <c r="K829">
        <v>15.8</v>
      </c>
      <c r="L829">
        <f>Tableau1[[#This Row],[Final_time]]-SUM(Tableau1[[#This Row],[0_100m]:[600_700m]])</f>
        <v>17.170000000000002</v>
      </c>
      <c r="M829">
        <v>122.37</v>
      </c>
      <c r="N829">
        <f>SUM(Tableau1[[#This Row],[0_100m]:[700_800m]])</f>
        <v>122.37</v>
      </c>
      <c r="O829">
        <f>ABS(Tableau1[[#This Row],[Final_time]]-Tableau1[[#This Row],[Sum_time]])</f>
        <v>0</v>
      </c>
      <c r="P829" s="8"/>
      <c r="Q829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29" t="s">
        <v>42</v>
      </c>
      <c r="S829" s="1" t="s">
        <v>68</v>
      </c>
      <c r="U829" s="1" t="s">
        <v>69</v>
      </c>
      <c r="V829" s="1">
        <v>45445</v>
      </c>
      <c r="W829" s="4">
        <f>YEAR(Tableau1[[#This Row],[Competition_date]])</f>
        <v>2024</v>
      </c>
      <c r="X829" s="4">
        <v>24</v>
      </c>
      <c r="Y829" s="6">
        <v>0.43</v>
      </c>
      <c r="Z829" s="4" t="s">
        <v>79</v>
      </c>
      <c r="AA829" t="s">
        <v>84</v>
      </c>
    </row>
    <row r="830" spans="1:27" hidden="1" x14ac:dyDescent="0.35">
      <c r="A830" t="str">
        <f>_xlfn.CONCAT(Tableau1[[#This Row],[Athletes]],"_",Tableau1[[#This Row],[Nationality]],"_",Tableau1[[#This Row],[Competition_year]])</f>
        <v>Wilma NIELSEN_SWE_2024</v>
      </c>
      <c r="B830" t="s">
        <v>1306</v>
      </c>
      <c r="C830" t="s">
        <v>29</v>
      </c>
      <c r="D830" s="18" t="s">
        <v>28</v>
      </c>
      <c r="E830">
        <v>14.6</v>
      </c>
      <c r="F830">
        <v>14</v>
      </c>
      <c r="G830">
        <v>14.9</v>
      </c>
      <c r="H830">
        <v>15.3</v>
      </c>
      <c r="I830">
        <v>15.5</v>
      </c>
      <c r="J830">
        <v>15.3</v>
      </c>
      <c r="K830">
        <v>16.100000000000001</v>
      </c>
      <c r="L830">
        <f>Tableau1[[#This Row],[Final_time]]-SUM(Tableau1[[#This Row],[0_100m]:[600_700m]])</f>
        <v>17.400000000000006</v>
      </c>
      <c r="M830">
        <v>123.1</v>
      </c>
      <c r="N830">
        <f>SUM(Tableau1[[#This Row],[0_100m]:[700_800m]])</f>
        <v>123.1</v>
      </c>
      <c r="O830">
        <f>ABS(Tableau1[[#This Row],[Final_time]]-Tableau1[[#This Row],[Sum_time]])</f>
        <v>0</v>
      </c>
      <c r="P830" s="8"/>
      <c r="Q830" s="1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R830" t="s">
        <v>42</v>
      </c>
      <c r="S830" s="1" t="s">
        <v>68</v>
      </c>
      <c r="U830" s="1" t="s">
        <v>69</v>
      </c>
      <c r="V830" s="1">
        <v>45445</v>
      </c>
      <c r="W830" s="4">
        <f>YEAR(Tableau1[[#This Row],[Competition_date]])</f>
        <v>2024</v>
      </c>
      <c r="X830" s="4">
        <v>24</v>
      </c>
      <c r="Y830" s="6">
        <v>0.43</v>
      </c>
      <c r="Z830" s="4" t="s">
        <v>79</v>
      </c>
      <c r="AA830" t="s">
        <v>84</v>
      </c>
    </row>
    <row r="831" spans="1:27" hidden="1" x14ac:dyDescent="0.35">
      <c r="A831" t="str">
        <f>_xlfn.CONCAT(Tableau1[[#This Row],[Athletes]],"_",Tableau1[[#This Row],[Nationality]],"_",Tableau1[[#This Row],[Competition_year]])</f>
        <v>Djamel SEDJATI_ALG_2024</v>
      </c>
      <c r="B831" t="s">
        <v>170</v>
      </c>
      <c r="C831" t="s">
        <v>14</v>
      </c>
      <c r="D831" s="18" t="s">
        <v>24</v>
      </c>
      <c r="E831">
        <v>12.8</v>
      </c>
      <c r="F831">
        <v>11.9</v>
      </c>
      <c r="G831">
        <v>13.4</v>
      </c>
      <c r="H831">
        <v>13.4</v>
      </c>
      <c r="I831">
        <v>13.2</v>
      </c>
      <c r="J831">
        <v>12.7</v>
      </c>
      <c r="K831">
        <v>12.9</v>
      </c>
      <c r="L831">
        <f>Tableau1[[#This Row],[Final_time]]-SUM(Tableau1[[#This Row],[0_100m]:[600_700m]])</f>
        <v>12.929999999999993</v>
      </c>
      <c r="M831">
        <v>103.23</v>
      </c>
      <c r="N831">
        <f>SUM(Tableau1[[#This Row],[0_100m]:[700_800m]])</f>
        <v>103.23</v>
      </c>
      <c r="O831">
        <f>ABS(Tableau1[[#This Row],[Final_time]]-Tableau1[[#This Row],[Sum_time]])</f>
        <v>0</v>
      </c>
      <c r="P831" s="8"/>
      <c r="Q831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1" t="s">
        <v>42</v>
      </c>
      <c r="S831" s="1" t="s">
        <v>68</v>
      </c>
      <c r="U831" s="1" t="s">
        <v>69</v>
      </c>
      <c r="V831" s="1">
        <v>45445</v>
      </c>
      <c r="W831" s="4">
        <f>YEAR(Tableau1[[#This Row],[Competition_date]])</f>
        <v>2024</v>
      </c>
      <c r="X831" s="4">
        <v>22</v>
      </c>
      <c r="Y831" s="6">
        <v>0.49</v>
      </c>
      <c r="Z831" s="4" t="s">
        <v>79</v>
      </c>
      <c r="AA831" t="s">
        <v>43</v>
      </c>
    </row>
    <row r="832" spans="1:27" hidden="1" x14ac:dyDescent="0.35">
      <c r="A832" t="str">
        <f>_xlfn.CONCAT(Tableau1[[#This Row],[Athletes]],"_",Tableau1[[#This Row],[Nationality]],"_",Tableau1[[#This Row],[Competition_year]])</f>
        <v>Bryce HOPPEL_USA_2024</v>
      </c>
      <c r="B832" t="s">
        <v>173</v>
      </c>
      <c r="C832" t="s">
        <v>14</v>
      </c>
      <c r="D832" s="18" t="s">
        <v>35</v>
      </c>
      <c r="E832">
        <v>12.7</v>
      </c>
      <c r="F832">
        <v>11.7</v>
      </c>
      <c r="G832">
        <v>13.3</v>
      </c>
      <c r="H832">
        <v>13.3</v>
      </c>
      <c r="I832">
        <v>13.3</v>
      </c>
      <c r="J832">
        <v>13.1</v>
      </c>
      <c r="K832">
        <v>13.3</v>
      </c>
      <c r="L832">
        <f>Tableau1[[#This Row],[Final_time]]-SUM(Tableau1[[#This Row],[0_100m]:[600_700m]])</f>
        <v>13.590000000000018</v>
      </c>
      <c r="M832">
        <v>104.29</v>
      </c>
      <c r="N832">
        <f>SUM(Tableau1[[#This Row],[0_100m]:[700_800m]])</f>
        <v>104.29</v>
      </c>
      <c r="O832">
        <f>ABS(Tableau1[[#This Row],[Final_time]]-Tableau1[[#This Row],[Sum_time]])</f>
        <v>0</v>
      </c>
      <c r="P832" s="8"/>
      <c r="Q832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2" t="s">
        <v>42</v>
      </c>
      <c r="S832" s="1" t="s">
        <v>68</v>
      </c>
      <c r="U832" s="1" t="s">
        <v>69</v>
      </c>
      <c r="V832" s="1">
        <v>45445</v>
      </c>
      <c r="W832" s="4">
        <f>YEAR(Tableau1[[#This Row],[Competition_date]])</f>
        <v>2024</v>
      </c>
      <c r="X832" s="4">
        <v>22</v>
      </c>
      <c r="Y832" s="6">
        <v>0.49</v>
      </c>
      <c r="Z832" s="4" t="s">
        <v>79</v>
      </c>
      <c r="AA832" t="s">
        <v>43</v>
      </c>
    </row>
    <row r="833" spans="1:27" hidden="1" x14ac:dyDescent="0.35">
      <c r="A833" t="str">
        <f>_xlfn.CONCAT(Tableau1[[#This Row],[Athletes]],"_",Tableau1[[#This Row],[Nationality]],"_",Tableau1[[#This Row],[Competition_year]])</f>
        <v>Tshepiso MASALELA_BOT_2024</v>
      </c>
      <c r="B833" t="s">
        <v>107</v>
      </c>
      <c r="C833" t="s">
        <v>14</v>
      </c>
      <c r="D833" s="18" t="s">
        <v>44</v>
      </c>
      <c r="E833">
        <v>12.7</v>
      </c>
      <c r="F833">
        <v>12.1</v>
      </c>
      <c r="G833">
        <v>13.7</v>
      </c>
      <c r="H833">
        <v>13.3</v>
      </c>
      <c r="I833">
        <v>13.1</v>
      </c>
      <c r="J833">
        <v>12.8</v>
      </c>
      <c r="K833">
        <v>13.1</v>
      </c>
      <c r="L833">
        <f>Tableau1[[#This Row],[Final_time]]-SUM(Tableau1[[#This Row],[0_100m]:[600_700m]])</f>
        <v>13.640000000000015</v>
      </c>
      <c r="M833">
        <v>104.44</v>
      </c>
      <c r="N833">
        <f>SUM(Tableau1[[#This Row],[0_100m]:[700_800m]])</f>
        <v>104.44</v>
      </c>
      <c r="O833">
        <f>ABS(Tableau1[[#This Row],[Final_time]]-Tableau1[[#This Row],[Sum_time]])</f>
        <v>0</v>
      </c>
      <c r="P833" s="8"/>
      <c r="Q833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3" t="s">
        <v>42</v>
      </c>
      <c r="S833" s="1" t="s">
        <v>68</v>
      </c>
      <c r="U833" s="1" t="s">
        <v>69</v>
      </c>
      <c r="V833" s="1">
        <v>45445</v>
      </c>
      <c r="W833" s="4">
        <f>YEAR(Tableau1[[#This Row],[Competition_date]])</f>
        <v>2024</v>
      </c>
      <c r="X833" s="4">
        <v>22</v>
      </c>
      <c r="Y833" s="6">
        <v>0.49</v>
      </c>
      <c r="Z833" s="4" t="s">
        <v>79</v>
      </c>
      <c r="AA833" t="s">
        <v>43</v>
      </c>
    </row>
    <row r="834" spans="1:27" hidden="1" x14ac:dyDescent="0.35">
      <c r="A834" t="str">
        <f>_xlfn.CONCAT(Tableau1[[#This Row],[Athletes]],"_",Tableau1[[#This Row],[Nationality]],"_",Tableau1[[#This Row],[Competition_year]])</f>
        <v>Ben PATTISON_GBR_2024</v>
      </c>
      <c r="B834" t="s">
        <v>108</v>
      </c>
      <c r="C834" t="s">
        <v>14</v>
      </c>
      <c r="D834" s="18" t="s">
        <v>30</v>
      </c>
      <c r="E834">
        <v>12.5</v>
      </c>
      <c r="F834">
        <v>11.9</v>
      </c>
      <c r="G834">
        <v>13.1</v>
      </c>
      <c r="H834">
        <v>13.2</v>
      </c>
      <c r="I834">
        <v>13.3</v>
      </c>
      <c r="J834">
        <v>13.1</v>
      </c>
      <c r="K834">
        <v>13.3</v>
      </c>
      <c r="L834">
        <f>Tableau1[[#This Row],[Final_time]]-SUM(Tableau1[[#This Row],[0_100m]:[600_700m]])</f>
        <v>14.040000000000006</v>
      </c>
      <c r="M834">
        <v>104.44</v>
      </c>
      <c r="N834">
        <f>SUM(Tableau1[[#This Row],[0_100m]:[700_800m]])</f>
        <v>104.44</v>
      </c>
      <c r="O834">
        <f>ABS(Tableau1[[#This Row],[Final_time]]-Tableau1[[#This Row],[Sum_time]])</f>
        <v>0</v>
      </c>
      <c r="P834" s="8"/>
      <c r="Q834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4" t="s">
        <v>42</v>
      </c>
      <c r="S834" s="1" t="s">
        <v>68</v>
      </c>
      <c r="U834" s="1" t="s">
        <v>69</v>
      </c>
      <c r="V834" s="1">
        <v>45445</v>
      </c>
      <c r="W834" s="4">
        <f>YEAR(Tableau1[[#This Row],[Competition_date]])</f>
        <v>2024</v>
      </c>
      <c r="X834" s="4">
        <v>22</v>
      </c>
      <c r="Y834" s="6">
        <v>0.49</v>
      </c>
      <c r="Z834" s="4" t="s">
        <v>79</v>
      </c>
      <c r="AA834" t="s">
        <v>43</v>
      </c>
    </row>
    <row r="835" spans="1:27" hidden="1" x14ac:dyDescent="0.35">
      <c r="A835" t="str">
        <f>_xlfn.CONCAT(Tableau1[[#This Row],[Athletes]],"_",Tableau1[[#This Row],[Nationality]],"_",Tableau1[[#This Row],[Competition_year]])</f>
        <v>Benjamin ROBERT_FRA_2024</v>
      </c>
      <c r="B835" t="s">
        <v>111</v>
      </c>
      <c r="C835" t="s">
        <v>14</v>
      </c>
      <c r="D835" s="18" t="s">
        <v>17</v>
      </c>
      <c r="E835">
        <v>12.8</v>
      </c>
      <c r="F835">
        <v>12</v>
      </c>
      <c r="G835">
        <v>13.5</v>
      </c>
      <c r="H835">
        <v>13.2</v>
      </c>
      <c r="I835">
        <v>13.2</v>
      </c>
      <c r="J835">
        <v>13.1</v>
      </c>
      <c r="K835">
        <v>13.3</v>
      </c>
      <c r="L835">
        <f>Tableau1[[#This Row],[Final_time]]-SUM(Tableau1[[#This Row],[0_100m]:[600_700m]])</f>
        <v>13.63000000000001</v>
      </c>
      <c r="M835">
        <v>104.73</v>
      </c>
      <c r="N835">
        <f>SUM(Tableau1[[#This Row],[0_100m]:[700_800m]])</f>
        <v>104.73</v>
      </c>
      <c r="O835">
        <f>ABS(Tableau1[[#This Row],[Final_time]]-Tableau1[[#This Row],[Sum_time]])</f>
        <v>0</v>
      </c>
      <c r="P835" s="8"/>
      <c r="Q835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5" t="s">
        <v>42</v>
      </c>
      <c r="S835" s="1" t="s">
        <v>68</v>
      </c>
      <c r="U835" s="1" t="s">
        <v>69</v>
      </c>
      <c r="V835" s="1">
        <v>45445</v>
      </c>
      <c r="W835" s="4">
        <f>YEAR(Tableau1[[#This Row],[Competition_date]])</f>
        <v>2024</v>
      </c>
      <c r="X835" s="4">
        <v>22</v>
      </c>
      <c r="Y835" s="6">
        <v>0.49</v>
      </c>
      <c r="Z835" s="4" t="s">
        <v>79</v>
      </c>
      <c r="AA835" t="s">
        <v>43</v>
      </c>
    </row>
    <row r="836" spans="1:27" hidden="1" x14ac:dyDescent="0.35">
      <c r="A836" t="str">
        <f>_xlfn.CONCAT(Tableau1[[#This Row],[Athletes]],"_",Tableau1[[#This Row],[Nationality]],"_",Tableau1[[#This Row],[Competition_year]])</f>
        <v>Elliot GILES_GBR_2024</v>
      </c>
      <c r="B836" t="s">
        <v>383</v>
      </c>
      <c r="C836" t="s">
        <v>14</v>
      </c>
      <c r="D836" s="18" t="s">
        <v>30</v>
      </c>
      <c r="E836">
        <v>12.7</v>
      </c>
      <c r="F836">
        <v>11.8</v>
      </c>
      <c r="G836">
        <v>13.4</v>
      </c>
      <c r="H836">
        <v>13.3</v>
      </c>
      <c r="I836">
        <v>13.2</v>
      </c>
      <c r="J836">
        <v>13.2</v>
      </c>
      <c r="K836">
        <v>13.4</v>
      </c>
      <c r="L836">
        <f>Tableau1[[#This Row],[Final_time]]-SUM(Tableau1[[#This Row],[0_100m]:[600_700m]])</f>
        <v>14.09999999999998</v>
      </c>
      <c r="M836">
        <v>105.1</v>
      </c>
      <c r="N836">
        <f>SUM(Tableau1[[#This Row],[0_100m]:[700_800m]])</f>
        <v>105.1</v>
      </c>
      <c r="O836">
        <f>ABS(Tableau1[[#This Row],[Final_time]]-Tableau1[[#This Row],[Sum_time]])</f>
        <v>0</v>
      </c>
      <c r="P836" s="8"/>
      <c r="Q836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6" t="s">
        <v>42</v>
      </c>
      <c r="S836" s="1" t="s">
        <v>68</v>
      </c>
      <c r="U836" s="1" t="s">
        <v>69</v>
      </c>
      <c r="V836" s="1">
        <v>45445</v>
      </c>
      <c r="W836" s="4">
        <f>YEAR(Tableau1[[#This Row],[Competition_date]])</f>
        <v>2024</v>
      </c>
      <c r="X836" s="4">
        <v>22</v>
      </c>
      <c r="Y836" s="6">
        <v>0.49</v>
      </c>
      <c r="Z836" s="4" t="s">
        <v>79</v>
      </c>
      <c r="AA836" t="s">
        <v>43</v>
      </c>
    </row>
    <row r="837" spans="1:27" hidden="1" x14ac:dyDescent="0.35">
      <c r="A837" t="str">
        <f>_xlfn.CONCAT(Tableau1[[#This Row],[Athletes]],"_",Tableau1[[#This Row],[Nationality]],"_",Tableau1[[#This Row],[Competition_year]])</f>
        <v>Andreas KRAMER_SWE_2024</v>
      </c>
      <c r="B837" t="s">
        <v>186</v>
      </c>
      <c r="C837" t="s">
        <v>14</v>
      </c>
      <c r="D837" s="18" t="s">
        <v>28</v>
      </c>
      <c r="E837">
        <v>12.6</v>
      </c>
      <c r="F837">
        <v>12</v>
      </c>
      <c r="G837">
        <v>13.3</v>
      </c>
      <c r="H837">
        <v>13.3</v>
      </c>
      <c r="I837">
        <v>13.3</v>
      </c>
      <c r="J837">
        <v>13.1</v>
      </c>
      <c r="K837">
        <v>13.6</v>
      </c>
      <c r="L837">
        <f>Tableau1[[#This Row],[Final_time]]-SUM(Tableau1[[#This Row],[0_100m]:[600_700m]])</f>
        <v>14.070000000000007</v>
      </c>
      <c r="M837">
        <v>105.27</v>
      </c>
      <c r="N837">
        <f>SUM(Tableau1[[#This Row],[0_100m]:[700_800m]])</f>
        <v>105.27</v>
      </c>
      <c r="O837">
        <f>ABS(Tableau1[[#This Row],[Final_time]]-Tableau1[[#This Row],[Sum_time]])</f>
        <v>0</v>
      </c>
      <c r="P837" s="8"/>
      <c r="Q837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7" t="s">
        <v>42</v>
      </c>
      <c r="S837" s="1" t="s">
        <v>68</v>
      </c>
      <c r="U837" s="1" t="s">
        <v>69</v>
      </c>
      <c r="V837" s="1">
        <v>45445</v>
      </c>
      <c r="W837" s="4">
        <f>YEAR(Tableau1[[#This Row],[Competition_date]])</f>
        <v>2024</v>
      </c>
      <c r="X837" s="4">
        <v>22</v>
      </c>
      <c r="Y837" s="6">
        <v>0.49</v>
      </c>
      <c r="Z837" s="4" t="s">
        <v>79</v>
      </c>
      <c r="AA837" t="s">
        <v>43</v>
      </c>
    </row>
    <row r="838" spans="1:27" hidden="1" x14ac:dyDescent="0.35">
      <c r="A838" t="str">
        <f>_xlfn.CONCAT(Tableau1[[#This Row],[Athletes]],"_",Tableau1[[#This Row],[Nationality]],"_",Tableau1[[#This Row],[Competition_year]])</f>
        <v>Jake WIGHTMAN_GBR_2024</v>
      </c>
      <c r="B838" t="s">
        <v>339</v>
      </c>
      <c r="C838" t="s">
        <v>14</v>
      </c>
      <c r="D838" s="18" t="s">
        <v>30</v>
      </c>
      <c r="E838">
        <v>12.6</v>
      </c>
      <c r="F838">
        <v>12.2</v>
      </c>
      <c r="G838">
        <v>13.4</v>
      </c>
      <c r="H838">
        <v>13.4</v>
      </c>
      <c r="I838">
        <v>13.4</v>
      </c>
      <c r="J838">
        <v>12.6</v>
      </c>
      <c r="K838">
        <v>13.4</v>
      </c>
      <c r="L838">
        <f>Tableau1[[#This Row],[Final_time]]-SUM(Tableau1[[#This Row],[0_100m]:[600_700m]])</f>
        <v>14.349999999999994</v>
      </c>
      <c r="M838">
        <v>105.35</v>
      </c>
      <c r="N838">
        <f>SUM(Tableau1[[#This Row],[0_100m]:[700_800m]])</f>
        <v>105.35</v>
      </c>
      <c r="O838">
        <f>ABS(Tableau1[[#This Row],[Final_time]]-Tableau1[[#This Row],[Sum_time]])</f>
        <v>0</v>
      </c>
      <c r="P838" s="8"/>
      <c r="Q838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8" t="s">
        <v>42</v>
      </c>
      <c r="S838" s="1" t="s">
        <v>68</v>
      </c>
      <c r="U838" s="1" t="s">
        <v>69</v>
      </c>
      <c r="V838" s="1">
        <v>45445</v>
      </c>
      <c r="W838" s="4">
        <f>YEAR(Tableau1[[#This Row],[Competition_date]])</f>
        <v>2024</v>
      </c>
      <c r="X838" s="4">
        <v>22</v>
      </c>
      <c r="Y838" s="6">
        <v>0.49</v>
      </c>
      <c r="Z838" s="4" t="s">
        <v>79</v>
      </c>
      <c r="AA838" t="s">
        <v>43</v>
      </c>
    </row>
    <row r="839" spans="1:27" hidden="1" x14ac:dyDescent="0.35">
      <c r="A839" t="str">
        <f>_xlfn.CONCAT(Tableau1[[#This Row],[Athletes]],"_",Tableau1[[#This Row],[Nationality]],"_",Tableau1[[#This Row],[Competition_year]])</f>
        <v>Slimane MOULA_ALG_2024</v>
      </c>
      <c r="B839" t="s">
        <v>103</v>
      </c>
      <c r="C839" t="s">
        <v>14</v>
      </c>
      <c r="D839" s="18" t="s">
        <v>24</v>
      </c>
      <c r="E839">
        <v>12.7</v>
      </c>
      <c r="F839">
        <v>11.9</v>
      </c>
      <c r="G839">
        <v>13.5</v>
      </c>
      <c r="H839">
        <v>13.3</v>
      </c>
      <c r="I839">
        <v>13.6</v>
      </c>
      <c r="J839">
        <v>13.2</v>
      </c>
      <c r="K839">
        <v>14</v>
      </c>
      <c r="L839">
        <f>Tableau1[[#This Row],[Final_time]]-SUM(Tableau1[[#This Row],[0_100m]:[600_700m]])</f>
        <v>15.819999999999993</v>
      </c>
      <c r="M839">
        <v>108.02</v>
      </c>
      <c r="N839">
        <f>SUM(Tableau1[[#This Row],[0_100m]:[700_800m]])</f>
        <v>108.02</v>
      </c>
      <c r="O839">
        <f>ABS(Tableau1[[#This Row],[Final_time]]-Tableau1[[#This Row],[Sum_time]])</f>
        <v>0</v>
      </c>
      <c r="P839" s="8"/>
      <c r="Q839" s="1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R839" t="s">
        <v>42</v>
      </c>
      <c r="S839" s="1" t="s">
        <v>68</v>
      </c>
      <c r="U839" s="1" t="s">
        <v>69</v>
      </c>
      <c r="V839" s="1">
        <v>45445</v>
      </c>
      <c r="W839" s="4">
        <f>YEAR(Tableau1[[#This Row],[Competition_date]])</f>
        <v>2024</v>
      </c>
      <c r="X839" s="4">
        <v>22</v>
      </c>
      <c r="Y839" s="6">
        <v>0.49</v>
      </c>
      <c r="Z839" s="4" t="s">
        <v>79</v>
      </c>
      <c r="AA839" t="s">
        <v>43</v>
      </c>
    </row>
    <row r="840" spans="1:27" hidden="1" x14ac:dyDescent="0.35">
      <c r="A840" t="str">
        <f>_xlfn.CONCAT(Tableau1[[#This Row],[Athletes]],"_",Tableau1[[#This Row],[Nationality]],"_",Tableau1[[#This Row],[Competition_year]])</f>
        <v>Georgia HUNTER BELL_GBR_2025</v>
      </c>
      <c r="B840" t="s">
        <v>1351</v>
      </c>
      <c r="C840" t="s">
        <v>29</v>
      </c>
      <c r="D840" s="18" t="s">
        <v>30</v>
      </c>
      <c r="E840">
        <v>14</v>
      </c>
      <c r="F840">
        <v>13.9</v>
      </c>
      <c r="G840">
        <v>15.8</v>
      </c>
      <c r="H840">
        <v>15.7</v>
      </c>
      <c r="I840">
        <v>14.9</v>
      </c>
      <c r="J840">
        <v>14.9</v>
      </c>
      <c r="K840">
        <v>14.3</v>
      </c>
      <c r="L840">
        <f>Tableau1[[#This Row],[Final_time]]-SUM(Tableau1[[#This Row],[0_100m]:[600_700m]])</f>
        <v>14.159999999999982</v>
      </c>
      <c r="M840">
        <v>117.66</v>
      </c>
      <c r="N840">
        <f>SUM(Tableau1[[#This Row],[0_100m]:[700_800m]])</f>
        <v>117.66</v>
      </c>
      <c r="O840">
        <f>ABS(Tableau1[[#This Row],[Final_time]]-Tableau1[[#This Row],[Sum_time]])</f>
        <v>0</v>
      </c>
      <c r="P840" s="8"/>
      <c r="Q840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0" t="s">
        <v>1353</v>
      </c>
      <c r="S840" s="1" t="s">
        <v>68</v>
      </c>
      <c r="U840" s="1" t="s">
        <v>69</v>
      </c>
      <c r="V840" s="1">
        <v>45823</v>
      </c>
      <c r="W840" s="4">
        <f>YEAR(Tableau1[[#This Row],[Competition_date]])</f>
        <v>2025</v>
      </c>
      <c r="X840" s="4">
        <v>24</v>
      </c>
      <c r="Y840" s="6">
        <v>0.28999999999999998</v>
      </c>
      <c r="Z840" s="4" t="s">
        <v>80</v>
      </c>
    </row>
    <row r="841" spans="1:27" hidden="1" x14ac:dyDescent="0.35">
      <c r="A841" t="str">
        <f>_xlfn.CONCAT(Tableau1[[#This Row],[Athletes]],"_",Tableau1[[#This Row],[Nationality]],"_",Tableau1[[#This Row],[Competition_year]])</f>
        <v>Mary MORAA_KEN_2025</v>
      </c>
      <c r="B841" t="s">
        <v>228</v>
      </c>
      <c r="C841" t="s">
        <v>29</v>
      </c>
      <c r="D841" s="18" t="s">
        <v>15</v>
      </c>
      <c r="E841">
        <v>13.7</v>
      </c>
      <c r="F841">
        <v>13.8</v>
      </c>
      <c r="G841">
        <v>15.8</v>
      </c>
      <c r="H841">
        <v>16.2</v>
      </c>
      <c r="I841">
        <v>14.8</v>
      </c>
      <c r="J841">
        <v>13.9</v>
      </c>
      <c r="K841">
        <v>14.6</v>
      </c>
      <c r="L841">
        <f>Tableau1[[#This Row],[Final_time]]-SUM(Tableau1[[#This Row],[0_100m]:[600_700m]])</f>
        <v>15.030000000000001</v>
      </c>
      <c r="M841">
        <v>117.83</v>
      </c>
      <c r="N841">
        <f>SUM(Tableau1[[#This Row],[0_100m]:[700_800m]])</f>
        <v>117.83</v>
      </c>
      <c r="O841">
        <f>ABS(Tableau1[[#This Row],[Final_time]]-Tableau1[[#This Row],[Sum_time]])</f>
        <v>0</v>
      </c>
      <c r="P841" s="8"/>
      <c r="Q841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1" t="s">
        <v>1353</v>
      </c>
      <c r="S841" s="1" t="s">
        <v>68</v>
      </c>
      <c r="U841" s="1" t="s">
        <v>69</v>
      </c>
      <c r="V841" s="1">
        <v>45823</v>
      </c>
      <c r="W841" s="4">
        <f>YEAR(Tableau1[[#This Row],[Competition_date]])</f>
        <v>2025</v>
      </c>
      <c r="X841" s="4">
        <v>24</v>
      </c>
      <c r="Y841" s="6">
        <v>0.28999999999999998</v>
      </c>
      <c r="Z841" s="4" t="s">
        <v>80</v>
      </c>
    </row>
    <row r="842" spans="1:27" hidden="1" x14ac:dyDescent="0.35">
      <c r="A842" t="str">
        <f>_xlfn.CONCAT(Tableau1[[#This Row],[Athletes]],"_",Tableau1[[#This Row],[Nationality]],"_",Tableau1[[#This Row],[Competition_year]])</f>
        <v>Prudence SEKGODISO_RSA_2025</v>
      </c>
      <c r="B842" t="s">
        <v>235</v>
      </c>
      <c r="C842" t="s">
        <v>29</v>
      </c>
      <c r="D842" s="18" t="s">
        <v>96</v>
      </c>
      <c r="E842">
        <v>13.7</v>
      </c>
      <c r="F842">
        <v>14</v>
      </c>
      <c r="G842">
        <v>15.7</v>
      </c>
      <c r="H842">
        <v>15.7</v>
      </c>
      <c r="I842">
        <v>14.8</v>
      </c>
      <c r="J842">
        <v>14.6</v>
      </c>
      <c r="K842">
        <v>14.5</v>
      </c>
      <c r="L842">
        <f>Tableau1[[#This Row],[Final_time]]-SUM(Tableau1[[#This Row],[0_100m]:[600_700m]])</f>
        <v>15.000000000000014</v>
      </c>
      <c r="M842">
        <v>118</v>
      </c>
      <c r="N842">
        <f>SUM(Tableau1[[#This Row],[0_100m]:[700_800m]])</f>
        <v>118</v>
      </c>
      <c r="O842">
        <f>ABS(Tableau1[[#This Row],[Final_time]]-Tableau1[[#This Row],[Sum_time]])</f>
        <v>0</v>
      </c>
      <c r="P842" s="8"/>
      <c r="Q842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2" t="s">
        <v>1353</v>
      </c>
      <c r="S842" s="1" t="s">
        <v>68</v>
      </c>
      <c r="U842" s="1" t="s">
        <v>69</v>
      </c>
      <c r="V842" s="1">
        <v>45823</v>
      </c>
      <c r="W842" s="4">
        <f>YEAR(Tableau1[[#This Row],[Competition_date]])</f>
        <v>2025</v>
      </c>
      <c r="X842" s="4">
        <v>24</v>
      </c>
      <c r="Y842" s="6">
        <v>0.28999999999999998</v>
      </c>
      <c r="Z842" s="4" t="s">
        <v>80</v>
      </c>
    </row>
    <row r="843" spans="1:27" hidden="1" x14ac:dyDescent="0.35">
      <c r="A843" t="str">
        <f>_xlfn.CONCAT(Tableau1[[#This Row],[Athletes]],"_",Tableau1[[#This Row],[Nationality]],"_",Tableau1[[#This Row],[Competition_year]])</f>
        <v>Audrey WERRO_SUI_2025</v>
      </c>
      <c r="B843" t="s">
        <v>329</v>
      </c>
      <c r="C843" t="s">
        <v>29</v>
      </c>
      <c r="D843" s="18" t="s">
        <v>73</v>
      </c>
      <c r="E843">
        <v>13.9</v>
      </c>
      <c r="F843">
        <v>13.7</v>
      </c>
      <c r="G843">
        <v>15.8</v>
      </c>
      <c r="H843">
        <v>15.5</v>
      </c>
      <c r="I843">
        <v>15.1</v>
      </c>
      <c r="J843">
        <v>14.5</v>
      </c>
      <c r="K843">
        <v>14.7</v>
      </c>
      <c r="L843">
        <f>Tableau1[[#This Row],[Final_time]]-SUM(Tableau1[[#This Row],[0_100m]:[600_700m]])</f>
        <v>15.149999999999991</v>
      </c>
      <c r="M843">
        <v>118.35</v>
      </c>
      <c r="N843">
        <f>SUM(Tableau1[[#This Row],[0_100m]:[700_800m]])</f>
        <v>118.35</v>
      </c>
      <c r="O843">
        <f>ABS(Tableau1[[#This Row],[Final_time]]-Tableau1[[#This Row],[Sum_time]])</f>
        <v>0</v>
      </c>
      <c r="P843" s="8"/>
      <c r="Q843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3" t="s">
        <v>1353</v>
      </c>
      <c r="S843" s="1" t="s">
        <v>68</v>
      </c>
      <c r="U843" s="1" t="s">
        <v>69</v>
      </c>
      <c r="V843" s="1">
        <v>45823</v>
      </c>
      <c r="W843" s="4">
        <f>YEAR(Tableau1[[#This Row],[Competition_date]])</f>
        <v>2025</v>
      </c>
      <c r="X843" s="4">
        <v>24</v>
      </c>
      <c r="Y843" s="6">
        <v>0.28999999999999998</v>
      </c>
      <c r="Z843" s="4" t="s">
        <v>80</v>
      </c>
    </row>
    <row r="844" spans="1:27" hidden="1" x14ac:dyDescent="0.35">
      <c r="A844" t="str">
        <f>_xlfn.CONCAT(Tableau1[[#This Row],[Athletes]],"_",Tableau1[[#This Row],[Nationality]],"_",Tableau1[[#This Row],[Competition_year]])</f>
        <v>Jemma REEKIE_GBR_2025</v>
      </c>
      <c r="B844" t="s">
        <v>220</v>
      </c>
      <c r="C844" t="s">
        <v>29</v>
      </c>
      <c r="D844" s="18" t="s">
        <v>30</v>
      </c>
      <c r="E844">
        <v>13.9</v>
      </c>
      <c r="F844">
        <v>14</v>
      </c>
      <c r="G844">
        <v>15.9</v>
      </c>
      <c r="H844">
        <v>15.1</v>
      </c>
      <c r="I844">
        <v>14.9</v>
      </c>
      <c r="J844">
        <v>14.5</v>
      </c>
      <c r="K844">
        <v>14.9</v>
      </c>
      <c r="L844">
        <f>Tableau1[[#This Row],[Final_time]]-SUM(Tableau1[[#This Row],[0_100m]:[600_700m]])</f>
        <v>15.459999999999994</v>
      </c>
      <c r="M844">
        <v>118.66</v>
      </c>
      <c r="N844">
        <f>SUM(Tableau1[[#This Row],[0_100m]:[700_800m]])</f>
        <v>118.66</v>
      </c>
      <c r="O844">
        <f>ABS(Tableau1[[#This Row],[Final_time]]-Tableau1[[#This Row],[Sum_time]])</f>
        <v>0</v>
      </c>
      <c r="P844" s="8"/>
      <c r="Q844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4" t="s">
        <v>1353</v>
      </c>
      <c r="S844" s="1" t="s">
        <v>68</v>
      </c>
      <c r="U844" s="1" t="s">
        <v>69</v>
      </c>
      <c r="V844" s="1">
        <v>45823</v>
      </c>
      <c r="W844" s="4">
        <f>YEAR(Tableau1[[#This Row],[Competition_date]])</f>
        <v>2025</v>
      </c>
      <c r="X844" s="4">
        <v>24</v>
      </c>
      <c r="Y844" s="6">
        <v>0.28999999999999998</v>
      </c>
      <c r="Z844" s="4" t="s">
        <v>80</v>
      </c>
    </row>
    <row r="845" spans="1:27" hidden="1" x14ac:dyDescent="0.35">
      <c r="A845" t="str">
        <f>_xlfn.CONCAT(Tableau1[[#This Row],[Athletes]],"_",Tableau1[[#This Row],[Nationality]],"_",Tableau1[[#This Row],[Competition_year]])</f>
        <v>Oratile NOWE_BOT_2025</v>
      </c>
      <c r="B845" t="s">
        <v>1352</v>
      </c>
      <c r="C845" t="s">
        <v>29</v>
      </c>
      <c r="D845" s="18" t="s">
        <v>44</v>
      </c>
      <c r="E845">
        <v>14</v>
      </c>
      <c r="F845">
        <v>13.7</v>
      </c>
      <c r="G845">
        <v>15.9</v>
      </c>
      <c r="H845">
        <v>15.6</v>
      </c>
      <c r="I845">
        <v>15.1</v>
      </c>
      <c r="J845">
        <v>14.6</v>
      </c>
      <c r="K845">
        <v>15</v>
      </c>
      <c r="L845">
        <f>Tableau1[[#This Row],[Final_time]]-SUM(Tableau1[[#This Row],[0_100m]:[600_700m]])</f>
        <v>14.88000000000001</v>
      </c>
      <c r="M845">
        <v>118.78</v>
      </c>
      <c r="N845">
        <f>SUM(Tableau1[[#This Row],[0_100m]:[700_800m]])</f>
        <v>118.78</v>
      </c>
      <c r="O845">
        <f>ABS(Tableau1[[#This Row],[Final_time]]-Tableau1[[#This Row],[Sum_time]])</f>
        <v>0</v>
      </c>
      <c r="P845" s="8"/>
      <c r="Q845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5" t="s">
        <v>1353</v>
      </c>
      <c r="S845" s="1" t="s">
        <v>68</v>
      </c>
      <c r="U845" s="1" t="s">
        <v>69</v>
      </c>
      <c r="V845" s="1">
        <v>45823</v>
      </c>
      <c r="W845" s="4">
        <f>YEAR(Tableau1[[#This Row],[Competition_date]])</f>
        <v>2025</v>
      </c>
      <c r="X845" s="4">
        <v>24</v>
      </c>
      <c r="Y845" s="6">
        <v>0.28999999999999998</v>
      </c>
      <c r="Z845" s="4" t="s">
        <v>80</v>
      </c>
    </row>
    <row r="846" spans="1:27" hidden="1" x14ac:dyDescent="0.35">
      <c r="A846" t="str">
        <f>_xlfn.CONCAT(Tableau1[[#This Row],[Athletes]],"_",Tableau1[[#This Row],[Nationality]],"_",Tableau1[[#This Row],[Competition_year]])</f>
        <v>Addison WILEY_USA_2025</v>
      </c>
      <c r="B846" t="s">
        <v>533</v>
      </c>
      <c r="C846" t="s">
        <v>29</v>
      </c>
      <c r="D846" s="18" t="s">
        <v>35</v>
      </c>
      <c r="M846">
        <v>118.86</v>
      </c>
      <c r="N846">
        <f>SUM(Tableau1[[#This Row],[0_100m]:[700_800m]])</f>
        <v>0</v>
      </c>
      <c r="O846">
        <f>ABS(Tableau1[[#This Row],[Final_time]]-Tableau1[[#This Row],[Sum_time]])</f>
        <v>118.86</v>
      </c>
      <c r="P846" s="8"/>
      <c r="Q846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6" t="s">
        <v>1353</v>
      </c>
      <c r="S846" s="1" t="s">
        <v>68</v>
      </c>
      <c r="U846" s="1" t="s">
        <v>69</v>
      </c>
      <c r="V846" s="1">
        <v>45823</v>
      </c>
      <c r="W846" s="4">
        <f>YEAR(Tableau1[[#This Row],[Competition_date]])</f>
        <v>2025</v>
      </c>
      <c r="X846" s="4">
        <v>24</v>
      </c>
      <c r="Y846" s="6">
        <v>0.28999999999999998</v>
      </c>
      <c r="Z846" s="4" t="s">
        <v>80</v>
      </c>
    </row>
    <row r="847" spans="1:27" hidden="1" x14ac:dyDescent="0.35">
      <c r="A847" t="str">
        <f>_xlfn.CONCAT(Tableau1[[#This Row],[Athletes]],"_",Tableau1[[#This Row],[Nationality]],"_",Tableau1[[#This Row],[Competition_year]])</f>
        <v>Eloisa COIRO_ITA_2025</v>
      </c>
      <c r="B847" t="s">
        <v>233</v>
      </c>
      <c r="C847" t="s">
        <v>29</v>
      </c>
      <c r="D847" s="18" t="s">
        <v>20</v>
      </c>
      <c r="M847">
        <v>120.2</v>
      </c>
      <c r="N847">
        <f>SUM(Tableau1[[#This Row],[0_100m]:[700_800m]])</f>
        <v>0</v>
      </c>
      <c r="O847">
        <f>ABS(Tableau1[[#This Row],[Final_time]]-Tableau1[[#This Row],[Sum_time]])</f>
        <v>120.2</v>
      </c>
      <c r="P847" s="8"/>
      <c r="Q847" s="16" t="str">
        <f>_xlfn.CONCAT(Tableau1[[#This Row],[Competition]],"_",Tableau1[[#This Row],[Championship_step]],"_",Tableau1[[#This Row],[Competition_date]],"_",Tableau1[[#This Row],[Gender]])</f>
        <v>Diamond League Stockholm 2025__45823_Female</v>
      </c>
      <c r="R847" t="s">
        <v>1353</v>
      </c>
      <c r="S847" s="1" t="s">
        <v>68</v>
      </c>
      <c r="U847" s="1" t="s">
        <v>69</v>
      </c>
      <c r="V847" s="1">
        <v>45823</v>
      </c>
      <c r="W847" s="4">
        <f>YEAR(Tableau1[[#This Row],[Competition_date]])</f>
        <v>2025</v>
      </c>
      <c r="X847" s="4">
        <v>24</v>
      </c>
      <c r="Y847" s="6">
        <v>0.28999999999999998</v>
      </c>
      <c r="Z847" s="4" t="s">
        <v>80</v>
      </c>
    </row>
    <row r="848" spans="1:27" hidden="1" x14ac:dyDescent="0.35">
      <c r="A848" t="str">
        <f>_xlfn.CONCAT(Tableau1[[#This Row],[Athletes]],"_",Tableau1[[#This Row],[Nationality]],"_",Tableau1[[#This Row],[Competition_year]])</f>
        <v>Emmanuel WANYONYI_KEN_2023</v>
      </c>
      <c r="B848" t="s">
        <v>183</v>
      </c>
      <c r="C848" t="s">
        <v>14</v>
      </c>
      <c r="D848" s="18" t="s">
        <v>15</v>
      </c>
      <c r="E848">
        <v>12.7</v>
      </c>
      <c r="F848">
        <v>11.7</v>
      </c>
      <c r="G848">
        <v>12.9</v>
      </c>
      <c r="H848">
        <v>13</v>
      </c>
      <c r="I848">
        <v>13.3</v>
      </c>
      <c r="J848">
        <v>13.3</v>
      </c>
      <c r="K848">
        <v>13.2</v>
      </c>
      <c r="L848">
        <f>Tableau1[[#This Row],[Final_time]]-SUM(Tableau1[[#This Row],[0_100m]:[600_700m]])</f>
        <v>13.100000000000009</v>
      </c>
      <c r="M848">
        <v>103.2</v>
      </c>
      <c r="N848">
        <f>SUM(Tableau1[[#This Row],[0_100m]:[700_800m]])</f>
        <v>103.2</v>
      </c>
      <c r="O848">
        <f>ABS(Tableau1[[#This Row],[Final_time]]-Tableau1[[#This Row],[Sum_time]])</f>
        <v>0</v>
      </c>
      <c r="P848" s="8"/>
      <c r="Q848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48" t="s">
        <v>327</v>
      </c>
      <c r="S848" s="1" t="s">
        <v>68</v>
      </c>
      <c r="U848" s="1" t="s">
        <v>69</v>
      </c>
      <c r="V848" s="1">
        <v>45171</v>
      </c>
      <c r="W848" s="4">
        <f>YEAR(Tableau1[[#This Row],[Competition_date]])</f>
        <v>2023</v>
      </c>
      <c r="X848" s="4">
        <v>29</v>
      </c>
      <c r="Y848" s="6">
        <v>0.81</v>
      </c>
      <c r="Z848" s="4" t="s">
        <v>80</v>
      </c>
      <c r="AA848" t="s">
        <v>176</v>
      </c>
    </row>
    <row r="849" spans="1:27" hidden="1" x14ac:dyDescent="0.35">
      <c r="A849" t="str">
        <f>_xlfn.CONCAT(Tableau1[[#This Row],[Athletes]],"_",Tableau1[[#This Row],[Nationality]],"_",Tableau1[[#This Row],[Competition_year]])</f>
        <v>Marco AROP_CAN_2023</v>
      </c>
      <c r="B849" t="s">
        <v>177</v>
      </c>
      <c r="C849" t="s">
        <v>14</v>
      </c>
      <c r="D849" s="18" t="s">
        <v>19</v>
      </c>
      <c r="E849">
        <v>12.6</v>
      </c>
      <c r="F849">
        <v>11.8</v>
      </c>
      <c r="G849">
        <v>12.8</v>
      </c>
      <c r="H849">
        <v>13.2</v>
      </c>
      <c r="I849">
        <v>13.6</v>
      </c>
      <c r="J849">
        <v>12.9</v>
      </c>
      <c r="K849">
        <v>13.3</v>
      </c>
      <c r="L849">
        <f>Tableau1[[#This Row],[Final_time]]-SUM(Tableau1[[#This Row],[0_100m]:[600_700m]])</f>
        <v>13.039999999999992</v>
      </c>
      <c r="M849">
        <v>103.24</v>
      </c>
      <c r="N849">
        <f>SUM(Tableau1[[#This Row],[0_100m]:[700_800m]])</f>
        <v>103.24</v>
      </c>
      <c r="O849">
        <f>ABS(Tableau1[[#This Row],[Final_time]]-Tableau1[[#This Row],[Sum_time]])</f>
        <v>0</v>
      </c>
      <c r="P849" s="8"/>
      <c r="Q849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49" t="s">
        <v>327</v>
      </c>
      <c r="S849" s="1" t="s">
        <v>68</v>
      </c>
      <c r="U849" s="1" t="s">
        <v>69</v>
      </c>
      <c r="V849" s="1">
        <v>45171</v>
      </c>
      <c r="W849" s="4">
        <f>YEAR(Tableau1[[#This Row],[Competition_date]])</f>
        <v>2023</v>
      </c>
      <c r="X849" s="4">
        <v>29</v>
      </c>
      <c r="Y849" s="6">
        <v>0.81</v>
      </c>
      <c r="Z849" s="4" t="s">
        <v>80</v>
      </c>
      <c r="AA849" t="s">
        <v>176</v>
      </c>
    </row>
    <row r="850" spans="1:27" hidden="1" x14ac:dyDescent="0.35">
      <c r="A850" t="str">
        <f>_xlfn.CONCAT(Tableau1[[#This Row],[Athletes]],"_",Tableau1[[#This Row],[Nationality]],"_",Tableau1[[#This Row],[Competition_year]])</f>
        <v>Benjamin ROBERT_FRA_2023</v>
      </c>
      <c r="B850" t="s">
        <v>111</v>
      </c>
      <c r="C850" t="s">
        <v>14</v>
      </c>
      <c r="D850" s="18" t="s">
        <v>17</v>
      </c>
      <c r="E850">
        <v>12.7</v>
      </c>
      <c r="F850">
        <v>11.9</v>
      </c>
      <c r="G850">
        <v>13.1</v>
      </c>
      <c r="H850">
        <v>13.3</v>
      </c>
      <c r="I850">
        <v>13.5</v>
      </c>
      <c r="J850">
        <v>13.3</v>
      </c>
      <c r="K850">
        <v>13.3</v>
      </c>
      <c r="L850">
        <f>Tableau1[[#This Row],[Final_time]]-SUM(Tableau1[[#This Row],[0_100m]:[600_700m]])</f>
        <v>12.780000000000001</v>
      </c>
      <c r="M850">
        <v>103.88</v>
      </c>
      <c r="N850">
        <f>SUM(Tableau1[[#This Row],[0_100m]:[700_800m]])</f>
        <v>103.88</v>
      </c>
      <c r="O850">
        <f>ABS(Tableau1[[#This Row],[Final_time]]-Tableau1[[#This Row],[Sum_time]])</f>
        <v>0</v>
      </c>
      <c r="P850" s="8"/>
      <c r="Q850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0" t="s">
        <v>327</v>
      </c>
      <c r="S850" s="1" t="s">
        <v>68</v>
      </c>
      <c r="U850" s="1" t="s">
        <v>69</v>
      </c>
      <c r="V850" s="1">
        <v>45171</v>
      </c>
      <c r="W850" s="4">
        <f>YEAR(Tableau1[[#This Row],[Competition_date]])</f>
        <v>2023</v>
      </c>
      <c r="X850" s="4">
        <v>29</v>
      </c>
      <c r="Y850" s="6">
        <v>0.81</v>
      </c>
      <c r="Z850" s="4" t="s">
        <v>80</v>
      </c>
      <c r="AA850" t="s">
        <v>176</v>
      </c>
    </row>
    <row r="851" spans="1:27" hidden="1" x14ac:dyDescent="0.35">
      <c r="A851" t="str">
        <f>_xlfn.CONCAT(Tableau1[[#This Row],[Athletes]],"_",Tableau1[[#This Row],[Nationality]],"_",Tableau1[[#This Row],[Competition_year]])</f>
        <v>Wyclife KINYAMAL_KEN_2023</v>
      </c>
      <c r="B851" t="s">
        <v>174</v>
      </c>
      <c r="C851" t="s">
        <v>14</v>
      </c>
      <c r="D851" s="18" t="s">
        <v>15</v>
      </c>
      <c r="E851">
        <v>12.5</v>
      </c>
      <c r="F851">
        <v>11.9</v>
      </c>
      <c r="G851">
        <v>13.1</v>
      </c>
      <c r="H851">
        <v>13.1</v>
      </c>
      <c r="I851">
        <v>13.2</v>
      </c>
      <c r="J851">
        <v>13.3</v>
      </c>
      <c r="K851">
        <v>13.4</v>
      </c>
      <c r="L851">
        <f>Tableau1[[#This Row],[Final_time]]-SUM(Tableau1[[#This Row],[0_100m]:[600_700m]])</f>
        <v>13.540000000000006</v>
      </c>
      <c r="M851">
        <v>104.04</v>
      </c>
      <c r="N851">
        <f>SUM(Tableau1[[#This Row],[0_100m]:[700_800m]])</f>
        <v>104.04</v>
      </c>
      <c r="O851">
        <f>ABS(Tableau1[[#This Row],[Final_time]]-Tableau1[[#This Row],[Sum_time]])</f>
        <v>0</v>
      </c>
      <c r="P851" s="8"/>
      <c r="Q851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1" t="s">
        <v>327</v>
      </c>
      <c r="S851" s="1" t="s">
        <v>68</v>
      </c>
      <c r="U851" s="1" t="s">
        <v>69</v>
      </c>
      <c r="V851" s="1">
        <v>45171</v>
      </c>
      <c r="W851" s="4">
        <f>YEAR(Tableau1[[#This Row],[Competition_date]])</f>
        <v>2023</v>
      </c>
      <c r="X851" s="4">
        <v>29</v>
      </c>
      <c r="Y851" s="6">
        <v>0.81</v>
      </c>
      <c r="Z851" s="4" t="s">
        <v>80</v>
      </c>
      <c r="AA851" t="s">
        <v>176</v>
      </c>
    </row>
    <row r="852" spans="1:27" hidden="1" x14ac:dyDescent="0.35">
      <c r="A852" t="str">
        <f>_xlfn.CONCAT(Tableau1[[#This Row],[Athletes]],"_",Tableau1[[#This Row],[Nationality]],"_",Tableau1[[#This Row],[Competition_year]])</f>
        <v>Daniel ROWDEN_GBR_2023</v>
      </c>
      <c r="B852" t="s">
        <v>172</v>
      </c>
      <c r="C852" t="s">
        <v>14</v>
      </c>
      <c r="D852" s="18" t="s">
        <v>30</v>
      </c>
      <c r="E852">
        <v>12.6</v>
      </c>
      <c r="F852">
        <v>12</v>
      </c>
      <c r="G852">
        <v>13.1</v>
      </c>
      <c r="H852">
        <v>13.2</v>
      </c>
      <c r="I852">
        <v>13.4</v>
      </c>
      <c r="J852">
        <v>13.3</v>
      </c>
      <c r="K852">
        <v>13.3</v>
      </c>
      <c r="L852">
        <f>Tableau1[[#This Row],[Final_time]]-SUM(Tableau1[[#This Row],[0_100m]:[600_700m]])</f>
        <v>13.36999999999999</v>
      </c>
      <c r="M852">
        <v>104.27</v>
      </c>
      <c r="N852">
        <f>SUM(Tableau1[[#This Row],[0_100m]:[700_800m]])</f>
        <v>104.27</v>
      </c>
      <c r="O852">
        <f>ABS(Tableau1[[#This Row],[Final_time]]-Tableau1[[#This Row],[Sum_time]])</f>
        <v>0</v>
      </c>
      <c r="P852" s="8"/>
      <c r="Q852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2" t="s">
        <v>327</v>
      </c>
      <c r="S852" s="1" t="s">
        <v>68</v>
      </c>
      <c r="U852" s="1" t="s">
        <v>69</v>
      </c>
      <c r="V852" s="1">
        <v>45171</v>
      </c>
      <c r="W852" s="4">
        <f>YEAR(Tableau1[[#This Row],[Competition_date]])</f>
        <v>2023</v>
      </c>
      <c r="X852" s="4">
        <v>29</v>
      </c>
      <c r="Y852" s="6">
        <v>0.81</v>
      </c>
      <c r="Z852" s="4" t="s">
        <v>80</v>
      </c>
      <c r="AA852" t="s">
        <v>176</v>
      </c>
    </row>
    <row r="853" spans="1:27" hidden="1" x14ac:dyDescent="0.35">
      <c r="A853" t="str">
        <f>_xlfn.CONCAT(Tableau1[[#This Row],[Athletes]],"_",Tableau1[[#This Row],[Nationality]],"_",Tableau1[[#This Row],[Competition_year]])</f>
        <v>Yanis MEZIANE_FRA_2023</v>
      </c>
      <c r="B853" t="s">
        <v>171</v>
      </c>
      <c r="C853" t="s">
        <v>14</v>
      </c>
      <c r="D853" s="18" t="s">
        <v>17</v>
      </c>
      <c r="E853">
        <v>13</v>
      </c>
      <c r="F853">
        <v>12.1</v>
      </c>
      <c r="G853">
        <v>13.5</v>
      </c>
      <c r="H853">
        <v>13.2</v>
      </c>
      <c r="I853">
        <v>13.6</v>
      </c>
      <c r="J853">
        <v>13.1</v>
      </c>
      <c r="K853">
        <v>12.9</v>
      </c>
      <c r="L853">
        <f>Tableau1[[#This Row],[Final_time]]-SUM(Tableau1[[#This Row],[0_100m]:[600_700m]])</f>
        <v>12.88000000000001</v>
      </c>
      <c r="M853">
        <v>104.28</v>
      </c>
      <c r="N853">
        <f>SUM(Tableau1[[#This Row],[0_100m]:[700_800m]])</f>
        <v>104.28</v>
      </c>
      <c r="O853">
        <f>ABS(Tableau1[[#This Row],[Final_time]]-Tableau1[[#This Row],[Sum_time]])</f>
        <v>0</v>
      </c>
      <c r="P853" s="8"/>
      <c r="Q853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3" t="s">
        <v>327</v>
      </c>
      <c r="S853" s="1" t="s">
        <v>68</v>
      </c>
      <c r="U853" s="1" t="s">
        <v>69</v>
      </c>
      <c r="V853" s="1">
        <v>45171</v>
      </c>
      <c r="W853" s="4">
        <f>YEAR(Tableau1[[#This Row],[Competition_date]])</f>
        <v>2023</v>
      </c>
      <c r="X853" s="4">
        <v>29</v>
      </c>
      <c r="Y853" s="6">
        <v>0.81</v>
      </c>
      <c r="Z853" s="4" t="s">
        <v>80</v>
      </c>
      <c r="AA853" t="s">
        <v>176</v>
      </c>
    </row>
    <row r="854" spans="1:27" hidden="1" x14ac:dyDescent="0.35">
      <c r="A854" t="str">
        <f>_xlfn.CONCAT(Tableau1[[#This Row],[Athletes]],"_",Tableau1[[#This Row],[Nationality]],"_",Tableau1[[#This Row],[Competition_year]])</f>
        <v>Saúl ORDÓÑEZ_ESP_2023</v>
      </c>
      <c r="B854" t="s">
        <v>178</v>
      </c>
      <c r="C854" t="s">
        <v>14</v>
      </c>
      <c r="D854" s="18" t="s">
        <v>37</v>
      </c>
      <c r="E854">
        <v>12.8</v>
      </c>
      <c r="F854">
        <v>11.9</v>
      </c>
      <c r="G854">
        <v>13.2</v>
      </c>
      <c r="H854">
        <v>13.3</v>
      </c>
      <c r="I854">
        <v>13.5</v>
      </c>
      <c r="J854">
        <v>13.3</v>
      </c>
      <c r="K854">
        <v>13.2</v>
      </c>
      <c r="L854">
        <f>Tableau1[[#This Row],[Final_time]]-SUM(Tableau1[[#This Row],[0_100m]:[600_700m]])</f>
        <v>13.340000000000003</v>
      </c>
      <c r="M854">
        <v>104.54</v>
      </c>
      <c r="N854">
        <f>SUM(Tableau1[[#This Row],[0_100m]:[700_800m]])</f>
        <v>104.54</v>
      </c>
      <c r="O854">
        <f>ABS(Tableau1[[#This Row],[Final_time]]-Tableau1[[#This Row],[Sum_time]])</f>
        <v>0</v>
      </c>
      <c r="P854" s="8"/>
      <c r="Q854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4" t="s">
        <v>327</v>
      </c>
      <c r="S854" s="1" t="s">
        <v>68</v>
      </c>
      <c r="U854" s="1" t="s">
        <v>69</v>
      </c>
      <c r="V854" s="1">
        <v>45171</v>
      </c>
      <c r="W854" s="4">
        <f>YEAR(Tableau1[[#This Row],[Competition_date]])</f>
        <v>2023</v>
      </c>
      <c r="X854" s="4">
        <v>29</v>
      </c>
      <c r="Y854" s="6">
        <v>0.81</v>
      </c>
      <c r="Z854" s="4" t="s">
        <v>80</v>
      </c>
      <c r="AA854" t="s">
        <v>176</v>
      </c>
    </row>
    <row r="855" spans="1:27" hidden="1" x14ac:dyDescent="0.35">
      <c r="A855" t="str">
        <f>_xlfn.CONCAT(Tableau1[[#This Row],[Athletes]],"_",Tableau1[[#This Row],[Nationality]],"_",Tableau1[[#This Row],[Competition_year]])</f>
        <v>Gabriel TUAL_FRA_2023</v>
      </c>
      <c r="B855" t="s">
        <v>180</v>
      </c>
      <c r="C855" t="s">
        <v>14</v>
      </c>
      <c r="D855" s="18" t="s">
        <v>17</v>
      </c>
      <c r="E855">
        <v>12.6</v>
      </c>
      <c r="F855">
        <v>12.2</v>
      </c>
      <c r="G855">
        <v>13.5</v>
      </c>
      <c r="H855">
        <v>13.3</v>
      </c>
      <c r="I855">
        <v>13.6</v>
      </c>
      <c r="J855">
        <v>13</v>
      </c>
      <c r="K855">
        <v>13.3</v>
      </c>
      <c r="L855">
        <f>Tableau1[[#This Row],[Final_time]]-SUM(Tableau1[[#This Row],[0_100m]:[600_700m]])</f>
        <v>13.15000000000002</v>
      </c>
      <c r="M855">
        <v>104.65</v>
      </c>
      <c r="N855">
        <f>SUM(Tableau1[[#This Row],[0_100m]:[700_800m]])</f>
        <v>104.65</v>
      </c>
      <c r="O855">
        <f>ABS(Tableau1[[#This Row],[Final_time]]-Tableau1[[#This Row],[Sum_time]])</f>
        <v>0</v>
      </c>
      <c r="P855" s="8"/>
      <c r="Q855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5" t="s">
        <v>327</v>
      </c>
      <c r="S855" s="1" t="s">
        <v>68</v>
      </c>
      <c r="U855" s="1" t="s">
        <v>69</v>
      </c>
      <c r="V855" s="1">
        <v>45171</v>
      </c>
      <c r="W855" s="4">
        <f>YEAR(Tableau1[[#This Row],[Competition_date]])</f>
        <v>2023</v>
      </c>
      <c r="X855" s="4">
        <v>29</v>
      </c>
      <c r="Y855" s="6">
        <v>0.81</v>
      </c>
      <c r="Z855" s="4" t="s">
        <v>80</v>
      </c>
      <c r="AA855" t="s">
        <v>176</v>
      </c>
    </row>
    <row r="856" spans="1:27" hidden="1" x14ac:dyDescent="0.35">
      <c r="A856" t="str">
        <f>_xlfn.CONCAT(Tableau1[[#This Row],[Athletes]],"_",Tableau1[[#This Row],[Nationality]],"_",Tableau1[[#This Row],[Competition_year]])</f>
        <v>Ben PATTISON_GBR_2023</v>
      </c>
      <c r="B856" t="s">
        <v>108</v>
      </c>
      <c r="C856" t="s">
        <v>14</v>
      </c>
      <c r="D856" s="18" t="s">
        <v>30</v>
      </c>
      <c r="E856">
        <v>12.8</v>
      </c>
      <c r="F856">
        <v>12</v>
      </c>
      <c r="G856">
        <v>13.3</v>
      </c>
      <c r="H856">
        <v>13.3</v>
      </c>
      <c r="I856">
        <v>13.4</v>
      </c>
      <c r="J856">
        <v>13.6</v>
      </c>
      <c r="K856">
        <v>13.3</v>
      </c>
      <c r="L856">
        <f>Tableau1[[#This Row],[Final_time]]-SUM(Tableau1[[#This Row],[0_100m]:[600_700m]])</f>
        <v>13.170000000000002</v>
      </c>
      <c r="M856">
        <v>104.87</v>
      </c>
      <c r="N856">
        <f>SUM(Tableau1[[#This Row],[0_100m]:[700_800m]])</f>
        <v>104.87</v>
      </c>
      <c r="O856">
        <f>ABS(Tableau1[[#This Row],[Final_time]]-Tableau1[[#This Row],[Sum_time]])</f>
        <v>0</v>
      </c>
      <c r="P856" s="8"/>
      <c r="Q856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6" t="s">
        <v>327</v>
      </c>
      <c r="S856" s="1" t="s">
        <v>68</v>
      </c>
      <c r="U856" s="1" t="s">
        <v>69</v>
      </c>
      <c r="V856" s="1">
        <v>45171</v>
      </c>
      <c r="W856" s="4">
        <f>YEAR(Tableau1[[#This Row],[Competition_date]])</f>
        <v>2023</v>
      </c>
      <c r="X856" s="4">
        <v>29</v>
      </c>
      <c r="Y856" s="6">
        <v>0.81</v>
      </c>
      <c r="Z856" s="4" t="s">
        <v>80</v>
      </c>
      <c r="AA856" t="s">
        <v>176</v>
      </c>
    </row>
    <row r="857" spans="1:27" hidden="1" x14ac:dyDescent="0.35">
      <c r="A857" t="str">
        <f>_xlfn.CONCAT(Tableau1[[#This Row],[Athletes]],"_",Tableau1[[#This Row],[Nationality]],"_",Tableau1[[#This Row],[Competition_year]])</f>
        <v>Andreas KRAMER_SWE_2023</v>
      </c>
      <c r="B857" t="s">
        <v>186</v>
      </c>
      <c r="C857" t="s">
        <v>14</v>
      </c>
      <c r="D857" s="18" t="s">
        <v>28</v>
      </c>
      <c r="E857">
        <v>12.9</v>
      </c>
      <c r="F857">
        <v>12.1</v>
      </c>
      <c r="G857">
        <v>13.5</v>
      </c>
      <c r="H857">
        <v>13.4</v>
      </c>
      <c r="I857">
        <v>13.6</v>
      </c>
      <c r="J857">
        <v>13.2</v>
      </c>
      <c r="K857">
        <v>13.2</v>
      </c>
      <c r="L857">
        <f>Tableau1[[#This Row],[Final_time]]-SUM(Tableau1[[#This Row],[0_100m]:[600_700m]])</f>
        <v>13.069999999999993</v>
      </c>
      <c r="M857">
        <v>104.97</v>
      </c>
      <c r="N857">
        <f>SUM(Tableau1[[#This Row],[0_100m]:[700_800m]])</f>
        <v>104.97</v>
      </c>
      <c r="O857">
        <f>ABS(Tableau1[[#This Row],[Final_time]]-Tableau1[[#This Row],[Sum_time]])</f>
        <v>0</v>
      </c>
      <c r="P857" s="8"/>
      <c r="Q857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7" t="s">
        <v>327</v>
      </c>
      <c r="S857" s="1" t="s">
        <v>68</v>
      </c>
      <c r="U857" s="1" t="s">
        <v>69</v>
      </c>
      <c r="V857" s="1">
        <v>45171</v>
      </c>
      <c r="W857" s="4">
        <f>YEAR(Tableau1[[#This Row],[Competition_date]])</f>
        <v>2023</v>
      </c>
      <c r="X857" s="4">
        <v>29</v>
      </c>
      <c r="Y857" s="6">
        <v>0.81</v>
      </c>
      <c r="Z857" s="4" t="s">
        <v>80</v>
      </c>
      <c r="AA857" t="s">
        <v>176</v>
      </c>
    </row>
    <row r="858" spans="1:27" hidden="1" x14ac:dyDescent="0.35">
      <c r="A858" t="str">
        <f>_xlfn.CONCAT(Tableau1[[#This Row],[Athletes]],"_",Tableau1[[#This Row],[Nationality]],"_",Tableau1[[#This Row],[Competition_year]])</f>
        <v>Isaiah HARRIS_USA_2023</v>
      </c>
      <c r="B858" t="s">
        <v>192</v>
      </c>
      <c r="C858" t="s">
        <v>14</v>
      </c>
      <c r="D858" s="18" t="s">
        <v>35</v>
      </c>
      <c r="E858">
        <v>12.4</v>
      </c>
      <c r="F858">
        <v>12.3</v>
      </c>
      <c r="G858">
        <v>13.5</v>
      </c>
      <c r="H858">
        <v>13.4</v>
      </c>
      <c r="I858">
        <v>13.3</v>
      </c>
      <c r="J858">
        <v>13.2</v>
      </c>
      <c r="K858">
        <v>13.5</v>
      </c>
      <c r="L858">
        <f>Tableau1[[#This Row],[Final_time]]-SUM(Tableau1[[#This Row],[0_100m]:[600_700m]])</f>
        <v>13.499999999999986</v>
      </c>
      <c r="M858">
        <v>105.1</v>
      </c>
      <c r="N858">
        <f>SUM(Tableau1[[#This Row],[0_100m]:[700_800m]])</f>
        <v>105.1</v>
      </c>
      <c r="O858">
        <f>ABS(Tableau1[[#This Row],[Final_time]]-Tableau1[[#This Row],[Sum_time]])</f>
        <v>0</v>
      </c>
      <c r="P858" s="8"/>
      <c r="Q858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8" t="s">
        <v>327</v>
      </c>
      <c r="S858" s="1" t="s">
        <v>68</v>
      </c>
      <c r="U858" s="1" t="s">
        <v>69</v>
      </c>
      <c r="V858" s="1">
        <v>45171</v>
      </c>
      <c r="W858" s="4">
        <f>YEAR(Tableau1[[#This Row],[Competition_date]])</f>
        <v>2023</v>
      </c>
      <c r="X858" s="4">
        <v>29</v>
      </c>
      <c r="Y858" s="6">
        <v>0.81</v>
      </c>
      <c r="Z858" s="4" t="s">
        <v>80</v>
      </c>
      <c r="AA858" t="s">
        <v>176</v>
      </c>
    </row>
    <row r="859" spans="1:27" hidden="1" x14ac:dyDescent="0.35">
      <c r="A859" t="str">
        <f>_xlfn.CONCAT(Tableau1[[#This Row],[Athletes]],"_",Tableau1[[#This Row],[Nationality]],"_",Tableau1[[#This Row],[Competition_year]])</f>
        <v>Simone BARONTINI_ITA_2023</v>
      </c>
      <c r="B859" t="s">
        <v>185</v>
      </c>
      <c r="C859" t="s">
        <v>14</v>
      </c>
      <c r="D859" s="18" t="s">
        <v>20</v>
      </c>
      <c r="E859">
        <v>12.7</v>
      </c>
      <c r="F859">
        <v>12.4</v>
      </c>
      <c r="G859">
        <v>13.3</v>
      </c>
      <c r="H859">
        <v>13.5</v>
      </c>
      <c r="I859">
        <v>13.8</v>
      </c>
      <c r="J859">
        <v>13.3</v>
      </c>
      <c r="K859">
        <v>13.2</v>
      </c>
      <c r="L859">
        <f>Tableau1[[#This Row],[Final_time]]-SUM(Tableau1[[#This Row],[0_100m]:[600_700m]])</f>
        <v>13.219999999999999</v>
      </c>
      <c r="M859">
        <v>105.42</v>
      </c>
      <c r="N859">
        <f>SUM(Tableau1[[#This Row],[0_100m]:[700_800m]])</f>
        <v>105.42</v>
      </c>
      <c r="O859">
        <f>ABS(Tableau1[[#This Row],[Final_time]]-Tableau1[[#This Row],[Sum_time]])</f>
        <v>0</v>
      </c>
      <c r="P859" s="8"/>
      <c r="Q859" s="16" t="str">
        <f>_xlfn.CONCAT(Tableau1[[#This Row],[Competition]],"_",Tableau1[[#This Row],[Championship_step]],"_",Tableau1[[#This Row],[Competition_date]],"_",Tableau1[[#This Row],[Gender]])</f>
        <v>Diamond League Xiamen 2023__45171_Male</v>
      </c>
      <c r="R859" t="s">
        <v>327</v>
      </c>
      <c r="S859" s="1" t="s">
        <v>68</v>
      </c>
      <c r="U859" s="1" t="s">
        <v>69</v>
      </c>
      <c r="V859" s="1">
        <v>45171</v>
      </c>
      <c r="W859" s="4">
        <f>YEAR(Tableau1[[#This Row],[Competition_date]])</f>
        <v>2023</v>
      </c>
      <c r="X859" s="4">
        <v>29</v>
      </c>
      <c r="Y859" s="6">
        <v>0.81</v>
      </c>
      <c r="Z859" s="4" t="s">
        <v>80</v>
      </c>
      <c r="AA859" t="s">
        <v>176</v>
      </c>
    </row>
    <row r="860" spans="1:27" hidden="1" x14ac:dyDescent="0.35">
      <c r="A860" t="str">
        <f>_xlfn.CONCAT(Tableau1[[#This Row],[Athletes]],"_",Tableau1[[#This Row],[Nationality]],"_",Tableau1[[#This Row],[Competition_year]])</f>
        <v>Marco AROP_CAN_2024</v>
      </c>
      <c r="B860" t="s">
        <v>177</v>
      </c>
      <c r="C860" t="s">
        <v>14</v>
      </c>
      <c r="D860" s="18" t="s">
        <v>19</v>
      </c>
      <c r="E860">
        <v>12.7</v>
      </c>
      <c r="F860">
        <v>11.6</v>
      </c>
      <c r="G860">
        <v>13.1</v>
      </c>
      <c r="H860">
        <v>13.3</v>
      </c>
      <c r="I860">
        <v>13.1</v>
      </c>
      <c r="J860">
        <v>13</v>
      </c>
      <c r="K860">
        <v>13.3</v>
      </c>
      <c r="L860">
        <f>Tableau1[[#This Row],[Final_time]]-SUM(Tableau1[[#This Row],[0_100m]:[600_700m]])</f>
        <v>13.509999999999991</v>
      </c>
      <c r="M860">
        <v>103.61</v>
      </c>
      <c r="N860">
        <f>SUM(Tableau1[[#This Row],[0_100m]:[700_800m]])</f>
        <v>103.61</v>
      </c>
      <c r="O860">
        <f>ABS(Tableau1[[#This Row],[Final_time]]-Tableau1[[#This Row],[Sum_time]])</f>
        <v>0</v>
      </c>
      <c r="P860" s="8"/>
      <c r="Q860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0" t="s">
        <v>62</v>
      </c>
      <c r="S860" s="1" t="s">
        <v>68</v>
      </c>
      <c r="U860" s="1" t="s">
        <v>69</v>
      </c>
      <c r="V860" s="1">
        <v>45402</v>
      </c>
      <c r="W860" s="4">
        <f>YEAR(Tableau1[[#This Row],[Competition_date]])</f>
        <v>2024</v>
      </c>
      <c r="X860" s="4">
        <v>22</v>
      </c>
      <c r="Y860" s="6">
        <v>0.97</v>
      </c>
      <c r="Z860" s="4" t="s">
        <v>83</v>
      </c>
      <c r="AA860" s="5" t="s">
        <v>63</v>
      </c>
    </row>
    <row r="861" spans="1:27" hidden="1" x14ac:dyDescent="0.35">
      <c r="A861" t="str">
        <f>_xlfn.CONCAT(Tableau1[[#This Row],[Athletes]],"_",Tableau1[[#This Row],[Nationality]],"_",Tableau1[[#This Row],[Competition_year]])</f>
        <v>Wyclife KINYAMAL_KEN_2024</v>
      </c>
      <c r="B861" t="s">
        <v>174</v>
      </c>
      <c r="C861" t="s">
        <v>14</v>
      </c>
      <c r="D861" s="18" t="s">
        <v>15</v>
      </c>
      <c r="E861">
        <v>12.4</v>
      </c>
      <c r="F861">
        <v>12</v>
      </c>
      <c r="G861">
        <v>13.2</v>
      </c>
      <c r="H861">
        <v>13.5</v>
      </c>
      <c r="I861">
        <v>13.1</v>
      </c>
      <c r="J861">
        <v>13</v>
      </c>
      <c r="K861">
        <v>13.1</v>
      </c>
      <c r="L861">
        <f>Tableau1[[#This Row],[Final_time]]-SUM(Tableau1[[#This Row],[0_100m]:[600_700m]])</f>
        <v>13.360000000000014</v>
      </c>
      <c r="M861">
        <v>103.66</v>
      </c>
      <c r="N861">
        <f>SUM(Tableau1[[#This Row],[0_100m]:[700_800m]])</f>
        <v>103.66</v>
      </c>
      <c r="O861">
        <f>ABS(Tableau1[[#This Row],[Final_time]]-Tableau1[[#This Row],[Sum_time]])</f>
        <v>0</v>
      </c>
      <c r="P861" s="8"/>
      <c r="Q861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1" t="s">
        <v>62</v>
      </c>
      <c r="S861" s="1" t="s">
        <v>68</v>
      </c>
      <c r="U861" s="1" t="s">
        <v>69</v>
      </c>
      <c r="V861" s="1">
        <v>45402</v>
      </c>
      <c r="W861" s="4">
        <f>YEAR(Tableau1[[#This Row],[Competition_date]])</f>
        <v>2024</v>
      </c>
      <c r="X861" s="4">
        <v>22</v>
      </c>
      <c r="Y861" s="6">
        <v>0.97</v>
      </c>
      <c r="Z861" s="4" t="s">
        <v>83</v>
      </c>
      <c r="AA861" t="s">
        <v>63</v>
      </c>
    </row>
    <row r="862" spans="1:27" hidden="1" x14ac:dyDescent="0.35">
      <c r="A862" t="str">
        <f>_xlfn.CONCAT(Tableau1[[#This Row],[Athletes]],"_",Tableau1[[#This Row],[Nationality]],"_",Tableau1[[#This Row],[Competition_year]])</f>
        <v>Tshepiso MASALELA_BOT_2024</v>
      </c>
      <c r="B862" t="s">
        <v>107</v>
      </c>
      <c r="C862" t="s">
        <v>14</v>
      </c>
      <c r="D862" s="18" t="s">
        <v>44</v>
      </c>
      <c r="E862">
        <v>12.9</v>
      </c>
      <c r="F862">
        <v>11.5</v>
      </c>
      <c r="G862">
        <v>13.3</v>
      </c>
      <c r="H862">
        <v>13.6</v>
      </c>
      <c r="I862">
        <v>13.2</v>
      </c>
      <c r="J862">
        <v>12.7</v>
      </c>
      <c r="K862">
        <v>13.3</v>
      </c>
      <c r="L862">
        <f>Tableau1[[#This Row],[Final_time]]-SUM(Tableau1[[#This Row],[0_100m]:[600_700m]])</f>
        <v>13.379999999999995</v>
      </c>
      <c r="M862">
        <v>103.88</v>
      </c>
      <c r="N862">
        <f>SUM(Tableau1[[#This Row],[0_100m]:[700_800m]])</f>
        <v>103.88</v>
      </c>
      <c r="O862">
        <f>ABS(Tableau1[[#This Row],[Final_time]]-Tableau1[[#This Row],[Sum_time]])</f>
        <v>0</v>
      </c>
      <c r="P862" s="8"/>
      <c r="Q862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2" t="s">
        <v>62</v>
      </c>
      <c r="S862" s="1" t="s">
        <v>68</v>
      </c>
      <c r="U862" s="1" t="s">
        <v>69</v>
      </c>
      <c r="V862" s="1">
        <v>45402</v>
      </c>
      <c r="W862" s="4">
        <f>YEAR(Tableau1[[#This Row],[Competition_date]])</f>
        <v>2024</v>
      </c>
      <c r="X862" s="4">
        <v>22</v>
      </c>
      <c r="Y862" s="6">
        <v>0.97</v>
      </c>
      <c r="Z862" s="4" t="s">
        <v>83</v>
      </c>
      <c r="AA862" t="s">
        <v>63</v>
      </c>
    </row>
    <row r="863" spans="1:27" hidden="1" x14ac:dyDescent="0.35">
      <c r="A863" t="str">
        <f>_xlfn.CONCAT(Tableau1[[#This Row],[Athletes]],"_",Tableau1[[#This Row],[Nationality]],"_",Tableau1[[#This Row],[Competition_year]])</f>
        <v>Alex Ngeno KIPNGETICH_KEN_2024</v>
      </c>
      <c r="B863" t="s">
        <v>182</v>
      </c>
      <c r="C863" t="s">
        <v>14</v>
      </c>
      <c r="D863" s="18" t="s">
        <v>15</v>
      </c>
      <c r="E863">
        <v>13.1</v>
      </c>
      <c r="F863">
        <v>12</v>
      </c>
      <c r="G863">
        <v>13.2</v>
      </c>
      <c r="H863">
        <v>13.9</v>
      </c>
      <c r="I863">
        <v>13.4</v>
      </c>
      <c r="J863">
        <v>12.8</v>
      </c>
      <c r="K863">
        <v>12.9</v>
      </c>
      <c r="L863">
        <f>Tableau1[[#This Row],[Final_time]]-SUM(Tableau1[[#This Row],[0_100m]:[600_700m]])</f>
        <v>13.460000000000008</v>
      </c>
      <c r="M863">
        <v>104.76</v>
      </c>
      <c r="N863">
        <f>SUM(Tableau1[[#This Row],[0_100m]:[700_800m]])</f>
        <v>104.76</v>
      </c>
      <c r="O863">
        <f>ABS(Tableau1[[#This Row],[Final_time]]-Tableau1[[#This Row],[Sum_time]])</f>
        <v>0</v>
      </c>
      <c r="P863" s="8"/>
      <c r="Q863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3" t="s">
        <v>62</v>
      </c>
      <c r="S863" s="1" t="s">
        <v>68</v>
      </c>
      <c r="U863" s="1" t="s">
        <v>69</v>
      </c>
      <c r="V863" s="1">
        <v>45402</v>
      </c>
      <c r="W863" s="4">
        <f>YEAR(Tableau1[[#This Row],[Competition_date]])</f>
        <v>2024</v>
      </c>
      <c r="X863" s="4">
        <v>22</v>
      </c>
      <c r="Y863" s="6">
        <v>0.97</v>
      </c>
      <c r="Z863" s="4" t="s">
        <v>83</v>
      </c>
      <c r="AA863" t="s">
        <v>63</v>
      </c>
    </row>
    <row r="864" spans="1:27" hidden="1" x14ac:dyDescent="0.35">
      <c r="A864" t="str">
        <f>_xlfn.CONCAT(Tableau1[[#This Row],[Athletes]],"_",Tableau1[[#This Row],[Nationality]],"_",Tableau1[[#This Row],[Competition_year]])</f>
        <v>Andreas KRAMER_SWE_2024</v>
      </c>
      <c r="B864" t="s">
        <v>186</v>
      </c>
      <c r="C864" t="s">
        <v>14</v>
      </c>
      <c r="D864" s="18" t="s">
        <v>28</v>
      </c>
      <c r="E864">
        <v>13</v>
      </c>
      <c r="F864">
        <v>12</v>
      </c>
      <c r="G864">
        <v>13.4</v>
      </c>
      <c r="H864">
        <v>13.8</v>
      </c>
      <c r="I864">
        <v>13.3</v>
      </c>
      <c r="J864">
        <v>13.3</v>
      </c>
      <c r="K864">
        <v>13.1</v>
      </c>
      <c r="L864">
        <f>Tableau1[[#This Row],[Final_time]]-SUM(Tableau1[[#This Row],[0_100m]:[600_700m]])</f>
        <v>12.910000000000011</v>
      </c>
      <c r="M864">
        <v>104.81</v>
      </c>
      <c r="N864">
        <f>SUM(Tableau1[[#This Row],[0_100m]:[700_800m]])</f>
        <v>104.81</v>
      </c>
      <c r="O864">
        <f>ABS(Tableau1[[#This Row],[Final_time]]-Tableau1[[#This Row],[Sum_time]])</f>
        <v>0</v>
      </c>
      <c r="P864" s="8"/>
      <c r="Q864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4" t="s">
        <v>62</v>
      </c>
      <c r="S864" s="1" t="s">
        <v>68</v>
      </c>
      <c r="U864" s="1" t="s">
        <v>69</v>
      </c>
      <c r="V864" s="1">
        <v>45402</v>
      </c>
      <c r="W864" s="4">
        <f>YEAR(Tableau1[[#This Row],[Competition_date]])</f>
        <v>2024</v>
      </c>
      <c r="X864" s="4">
        <v>22</v>
      </c>
      <c r="Y864" s="6">
        <v>0.97</v>
      </c>
      <c r="Z864" s="4" t="s">
        <v>83</v>
      </c>
      <c r="AA864" t="s">
        <v>63</v>
      </c>
    </row>
    <row r="865" spans="1:27" hidden="1" x14ac:dyDescent="0.35">
      <c r="A865" t="str">
        <f>_xlfn.CONCAT(Tableau1[[#This Row],[Athletes]],"_",Tableau1[[#This Row],[Nationality]],"_",Tableau1[[#This Row],[Competition_year]])</f>
        <v>Elias NGENY_KEN_2024</v>
      </c>
      <c r="B865" t="s">
        <v>732</v>
      </c>
      <c r="C865" t="s">
        <v>14</v>
      </c>
      <c r="D865" s="18" t="s">
        <v>15</v>
      </c>
      <c r="E865">
        <v>12.7</v>
      </c>
      <c r="F865">
        <v>11.9</v>
      </c>
      <c r="G865">
        <v>13.4</v>
      </c>
      <c r="H865">
        <v>13.7</v>
      </c>
      <c r="I865">
        <v>13.4</v>
      </c>
      <c r="J865">
        <v>12.9</v>
      </c>
      <c r="K865">
        <v>13.3</v>
      </c>
      <c r="L865">
        <f>Tableau1[[#This Row],[Final_time]]-SUM(Tableau1[[#This Row],[0_100m]:[600_700m]])</f>
        <v>14.069999999999993</v>
      </c>
      <c r="M865">
        <v>105.37</v>
      </c>
      <c r="N865">
        <f>SUM(Tableau1[[#This Row],[0_100m]:[700_800m]])</f>
        <v>105.37</v>
      </c>
      <c r="O865">
        <f>ABS(Tableau1[[#This Row],[Final_time]]-Tableau1[[#This Row],[Sum_time]])</f>
        <v>0</v>
      </c>
      <c r="P865" s="8"/>
      <c r="Q865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5" t="s">
        <v>62</v>
      </c>
      <c r="S865" s="1" t="s">
        <v>68</v>
      </c>
      <c r="U865" s="1" t="s">
        <v>69</v>
      </c>
      <c r="V865" s="1">
        <v>45402</v>
      </c>
      <c r="W865" s="4">
        <f>YEAR(Tableau1[[#This Row],[Competition_date]])</f>
        <v>2024</v>
      </c>
      <c r="X865" s="4">
        <v>22</v>
      </c>
      <c r="Y865" s="6">
        <v>0.97</v>
      </c>
      <c r="Z865" s="4" t="s">
        <v>83</v>
      </c>
      <c r="AA865" t="s">
        <v>63</v>
      </c>
    </row>
    <row r="866" spans="1:27" hidden="1" x14ac:dyDescent="0.35">
      <c r="A866" t="str">
        <f>_xlfn.CONCAT(Tableau1[[#This Row],[Athletes]],"_",Tableau1[[#This Row],[Nationality]],"_",Tableau1[[#This Row],[Competition_year]])</f>
        <v>Clayton MURPHY_USA_2024</v>
      </c>
      <c r="B866" t="s">
        <v>203</v>
      </c>
      <c r="C866" t="s">
        <v>14</v>
      </c>
      <c r="D866" s="18" t="s">
        <v>35</v>
      </c>
      <c r="E866">
        <v>12.6</v>
      </c>
      <c r="F866">
        <v>12</v>
      </c>
      <c r="G866">
        <v>13.4</v>
      </c>
      <c r="H866">
        <v>13.7</v>
      </c>
      <c r="I866">
        <v>13.2</v>
      </c>
      <c r="J866">
        <v>13.1</v>
      </c>
      <c r="K866">
        <v>13.6</v>
      </c>
      <c r="L866">
        <f>Tableau1[[#This Row],[Final_time]]-SUM(Tableau1[[#This Row],[0_100m]:[600_700m]])</f>
        <v>13.780000000000001</v>
      </c>
      <c r="M866">
        <v>105.38</v>
      </c>
      <c r="N866">
        <f>SUM(Tableau1[[#This Row],[0_100m]:[700_800m]])</f>
        <v>105.38</v>
      </c>
      <c r="O866">
        <f>ABS(Tableau1[[#This Row],[Final_time]]-Tableau1[[#This Row],[Sum_time]])</f>
        <v>0</v>
      </c>
      <c r="P866" s="8"/>
      <c r="Q866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6" t="s">
        <v>62</v>
      </c>
      <c r="S866" s="1" t="s">
        <v>68</v>
      </c>
      <c r="U866" s="1" t="s">
        <v>69</v>
      </c>
      <c r="V866" s="1">
        <v>45402</v>
      </c>
      <c r="W866" s="4">
        <f>YEAR(Tableau1[[#This Row],[Competition_date]])</f>
        <v>2024</v>
      </c>
      <c r="X866" s="4">
        <v>22</v>
      </c>
      <c r="Y866" s="6">
        <v>0.97</v>
      </c>
      <c r="Z866" s="4" t="s">
        <v>83</v>
      </c>
      <c r="AA866" t="s">
        <v>63</v>
      </c>
    </row>
    <row r="867" spans="1:27" hidden="1" x14ac:dyDescent="0.35">
      <c r="A867" t="str">
        <f>_xlfn.CONCAT(Tableau1[[#This Row],[Athletes]],"_",Tableau1[[#This Row],[Nationality]],"_",Tableau1[[#This Row],[Competition_year]])</f>
        <v>Abdelati EL GUESSE_MAR_2024</v>
      </c>
      <c r="B867" t="s">
        <v>112</v>
      </c>
      <c r="C867" t="s">
        <v>14</v>
      </c>
      <c r="D867" s="18" t="s">
        <v>21</v>
      </c>
      <c r="E867">
        <v>13</v>
      </c>
      <c r="F867">
        <v>11.9</v>
      </c>
      <c r="G867">
        <v>13.2</v>
      </c>
      <c r="H867">
        <v>13.9</v>
      </c>
      <c r="I867">
        <v>13.8</v>
      </c>
      <c r="J867">
        <v>12.8</v>
      </c>
      <c r="K867">
        <v>13.3</v>
      </c>
      <c r="L867">
        <f>Tableau1[[#This Row],[Final_time]]-SUM(Tableau1[[#This Row],[0_100m]:[600_700m]])</f>
        <v>13.750000000000014</v>
      </c>
      <c r="M867">
        <v>105.65</v>
      </c>
      <c r="N867">
        <f>SUM(Tableau1[[#This Row],[0_100m]:[700_800m]])</f>
        <v>105.65</v>
      </c>
      <c r="O867">
        <f>ABS(Tableau1[[#This Row],[Final_time]]-Tableau1[[#This Row],[Sum_time]])</f>
        <v>0</v>
      </c>
      <c r="P867" s="8"/>
      <c r="Q867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7" t="s">
        <v>62</v>
      </c>
      <c r="S867" s="1" t="s">
        <v>68</v>
      </c>
      <c r="U867" s="1" t="s">
        <v>69</v>
      </c>
      <c r="V867" s="1">
        <v>45402</v>
      </c>
      <c r="W867" s="4">
        <f>YEAR(Tableau1[[#This Row],[Competition_date]])</f>
        <v>2024</v>
      </c>
      <c r="X867" s="4">
        <v>22</v>
      </c>
      <c r="Y867" s="6">
        <v>0.97</v>
      </c>
      <c r="Z867" s="4" t="s">
        <v>83</v>
      </c>
      <c r="AA867" t="s">
        <v>63</v>
      </c>
    </row>
    <row r="868" spans="1:27" hidden="1" x14ac:dyDescent="0.35">
      <c r="A868" t="str">
        <f>_xlfn.CONCAT(Tableau1[[#This Row],[Athletes]],"_",Tableau1[[#This Row],[Nationality]],"_",Tableau1[[#This Row],[Competition_year]])</f>
        <v>Dezhu LIU_CHN_2024</v>
      </c>
      <c r="B868" t="s">
        <v>703</v>
      </c>
      <c r="C868" t="s">
        <v>14</v>
      </c>
      <c r="D868" s="18" t="s">
        <v>64</v>
      </c>
      <c r="E868">
        <v>12.7</v>
      </c>
      <c r="F868">
        <v>11.9</v>
      </c>
      <c r="G868">
        <v>13.6</v>
      </c>
      <c r="H868">
        <v>13.7</v>
      </c>
      <c r="I868">
        <v>13.6</v>
      </c>
      <c r="J868">
        <v>13</v>
      </c>
      <c r="K868">
        <v>13.2</v>
      </c>
      <c r="L868">
        <f>Tableau1[[#This Row],[Final_time]]-SUM(Tableau1[[#This Row],[0_100m]:[600_700m]])</f>
        <v>13.959999999999994</v>
      </c>
      <c r="M868">
        <v>105.66</v>
      </c>
      <c r="N868">
        <f>SUM(Tableau1[[#This Row],[0_100m]:[700_800m]])</f>
        <v>105.66</v>
      </c>
      <c r="O868">
        <f>ABS(Tableau1[[#This Row],[Final_time]]-Tableau1[[#This Row],[Sum_time]])</f>
        <v>0</v>
      </c>
      <c r="P868" s="8"/>
      <c r="Q868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8" t="s">
        <v>62</v>
      </c>
      <c r="S868" s="1" t="s">
        <v>68</v>
      </c>
      <c r="U868" s="1" t="s">
        <v>69</v>
      </c>
      <c r="V868" s="1">
        <v>45402</v>
      </c>
      <c r="W868" s="4">
        <f>YEAR(Tableau1[[#This Row],[Competition_date]])</f>
        <v>2024</v>
      </c>
      <c r="X868" s="4">
        <v>22</v>
      </c>
      <c r="Y868" s="6">
        <v>0.97</v>
      </c>
      <c r="Z868" s="4" t="s">
        <v>83</v>
      </c>
      <c r="AA868" t="s">
        <v>63</v>
      </c>
    </row>
    <row r="869" spans="1:27" hidden="1" x14ac:dyDescent="0.35">
      <c r="A869" t="str">
        <f>_xlfn.CONCAT(Tableau1[[#This Row],[Athletes]],"_",Tableau1[[#This Row],[Nationality]],"_",Tableau1[[#This Row],[Competition_year]])</f>
        <v>Ethan HUSSEY_GBR_2024</v>
      </c>
      <c r="B869" t="s">
        <v>293</v>
      </c>
      <c r="C869" t="s">
        <v>14</v>
      </c>
      <c r="D869" s="18" t="s">
        <v>30</v>
      </c>
      <c r="E869">
        <v>12.8</v>
      </c>
      <c r="F869">
        <v>12.2</v>
      </c>
      <c r="G869">
        <v>13.2</v>
      </c>
      <c r="H869">
        <v>13.7</v>
      </c>
      <c r="I869">
        <v>13.5</v>
      </c>
      <c r="J869">
        <v>13.3</v>
      </c>
      <c r="K869">
        <v>13.6</v>
      </c>
      <c r="L869">
        <f>Tableau1[[#This Row],[Final_time]]-SUM(Tableau1[[#This Row],[0_100m]:[600_700m]])</f>
        <v>13.900000000000006</v>
      </c>
      <c r="M869">
        <v>106.2</v>
      </c>
      <c r="N869">
        <f>SUM(Tableau1[[#This Row],[0_100m]:[700_800m]])</f>
        <v>106.2</v>
      </c>
      <c r="O869">
        <f>ABS(Tableau1[[#This Row],[Final_time]]-Tableau1[[#This Row],[Sum_time]])</f>
        <v>0</v>
      </c>
      <c r="P869" s="8"/>
      <c r="Q869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69" t="s">
        <v>62</v>
      </c>
      <c r="S869" s="1" t="s">
        <v>68</v>
      </c>
      <c r="U869" s="1" t="s">
        <v>69</v>
      </c>
      <c r="V869" s="1">
        <v>45402</v>
      </c>
      <c r="W869" s="4">
        <f>YEAR(Tableau1[[#This Row],[Competition_date]])</f>
        <v>2024</v>
      </c>
      <c r="X869" s="4">
        <v>22</v>
      </c>
      <c r="Y869" s="6">
        <v>0.97</v>
      </c>
      <c r="Z869" s="4" t="s">
        <v>83</v>
      </c>
      <c r="AA869" t="s">
        <v>63</v>
      </c>
    </row>
    <row r="870" spans="1:27" hidden="1" x14ac:dyDescent="0.35">
      <c r="A870" t="str">
        <f>_xlfn.CONCAT(Tableau1[[#This Row],[Athletes]],"_",Tableau1[[#This Row],[Nationality]],"_",Tableau1[[#This Row],[Competition_year]])</f>
        <v>Peter BOL_AUS_2024</v>
      </c>
      <c r="B870" t="s">
        <v>127</v>
      </c>
      <c r="C870" t="s">
        <v>14</v>
      </c>
      <c r="D870" s="18" t="s">
        <v>36</v>
      </c>
      <c r="E870">
        <v>12.6</v>
      </c>
      <c r="F870">
        <v>11.9</v>
      </c>
      <c r="G870">
        <v>13.3</v>
      </c>
      <c r="H870">
        <v>13.7</v>
      </c>
      <c r="I870">
        <v>13.2</v>
      </c>
      <c r="J870">
        <v>13</v>
      </c>
      <c r="K870">
        <v>13.8</v>
      </c>
      <c r="L870">
        <f>Tableau1[[#This Row],[Final_time]]-SUM(Tableau1[[#This Row],[0_100m]:[600_700m]])</f>
        <v>15.519999999999996</v>
      </c>
      <c r="M870">
        <v>107.02</v>
      </c>
      <c r="N870">
        <f>SUM(Tableau1[[#This Row],[0_100m]:[700_800m]])</f>
        <v>107.02</v>
      </c>
      <c r="O870">
        <f>ABS(Tableau1[[#This Row],[Final_time]]-Tableau1[[#This Row],[Sum_time]])</f>
        <v>0</v>
      </c>
      <c r="P870" s="8"/>
      <c r="Q870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70" t="s">
        <v>62</v>
      </c>
      <c r="S870" s="1" t="s">
        <v>68</v>
      </c>
      <c r="U870" s="1" t="s">
        <v>69</v>
      </c>
      <c r="V870" s="1">
        <v>45402</v>
      </c>
      <c r="W870" s="4">
        <f>YEAR(Tableau1[[#This Row],[Competition_date]])</f>
        <v>2024</v>
      </c>
      <c r="X870" s="4">
        <v>22</v>
      </c>
      <c r="Y870" s="6">
        <v>0.97</v>
      </c>
      <c r="Z870" s="4" t="s">
        <v>83</v>
      </c>
      <c r="AA870" t="s">
        <v>63</v>
      </c>
    </row>
    <row r="871" spans="1:27" hidden="1" x14ac:dyDescent="0.35">
      <c r="A871" t="str">
        <f>_xlfn.CONCAT(Tableau1[[#This Row],[Athletes]],"_",Tableau1[[#This Row],[Nationality]],"_",Tableau1[[#This Row],[Competition_year]])</f>
        <v>Mark ENGLISH_IRL_2024</v>
      </c>
      <c r="B871" t="s">
        <v>187</v>
      </c>
      <c r="C871" t="s">
        <v>14</v>
      </c>
      <c r="D871" s="18" t="s">
        <v>66</v>
      </c>
      <c r="E871">
        <v>12.7</v>
      </c>
      <c r="F871">
        <v>11.7</v>
      </c>
      <c r="G871">
        <v>13.4</v>
      </c>
      <c r="H871">
        <v>13.7</v>
      </c>
      <c r="I871">
        <v>13.7</v>
      </c>
      <c r="J871">
        <v>13.7</v>
      </c>
      <c r="K871">
        <v>14.1</v>
      </c>
      <c r="L871">
        <f>Tableau1[[#This Row],[Final_time]]-SUM(Tableau1[[#This Row],[0_100m]:[600_700m]])</f>
        <v>14.14</v>
      </c>
      <c r="M871">
        <v>107.14</v>
      </c>
      <c r="N871">
        <f>SUM(Tableau1[[#This Row],[0_100m]:[700_800m]])</f>
        <v>107.14</v>
      </c>
      <c r="O871">
        <f>ABS(Tableau1[[#This Row],[Final_time]]-Tableau1[[#This Row],[Sum_time]])</f>
        <v>0</v>
      </c>
      <c r="P871" s="8"/>
      <c r="Q871" s="16" t="str">
        <f>_xlfn.CONCAT(Tableau1[[#This Row],[Competition]],"_",Tableau1[[#This Row],[Championship_step]],"_",Tableau1[[#This Row],[Competition_date]],"_",Tableau1[[#This Row],[Gender]])</f>
        <v>Diamond League Xiamen 2024__45402_Male</v>
      </c>
      <c r="R871" t="s">
        <v>62</v>
      </c>
      <c r="S871" s="1" t="s">
        <v>68</v>
      </c>
      <c r="U871" s="1" t="s">
        <v>69</v>
      </c>
      <c r="V871" s="1">
        <v>45402</v>
      </c>
      <c r="W871" s="4">
        <f>YEAR(Tableau1[[#This Row],[Competition_date]])</f>
        <v>2024</v>
      </c>
      <c r="X871" s="4">
        <v>22</v>
      </c>
      <c r="Y871" s="6">
        <v>0.97</v>
      </c>
      <c r="Z871" s="4" t="s">
        <v>83</v>
      </c>
      <c r="AA871" t="s">
        <v>63</v>
      </c>
    </row>
    <row r="872" spans="1:27" hidden="1" x14ac:dyDescent="0.35">
      <c r="A872" t="str">
        <f>_xlfn.CONCAT(Tableau1[[#This Row],[Athletes]],"_",Tableau1[[#This Row],[Nationality]],"_",Tableau1[[#This Row],[Competition_year]])</f>
        <v>Keely HODGKINSON_GBR_2021</v>
      </c>
      <c r="B872" s="9" t="s">
        <v>212</v>
      </c>
      <c r="C872" s="9" t="s">
        <v>29</v>
      </c>
      <c r="D872" s="12" t="s">
        <v>30</v>
      </c>
      <c r="E872" s="13">
        <v>13.8</v>
      </c>
      <c r="F872" s="9">
        <v>13.5</v>
      </c>
      <c r="G872" s="9">
        <v>15</v>
      </c>
      <c r="H872" s="9">
        <v>15.5</v>
      </c>
      <c r="I872" s="9">
        <v>15.4</v>
      </c>
      <c r="J872">
        <v>15.5</v>
      </c>
      <c r="K872">
        <v>14.7</v>
      </c>
      <c r="L872">
        <f>Tableau1[[#This Row],[Final_time]]-SUM(Tableau1[[#This Row],[0_100m]:[600_700m]])</f>
        <v>14.579999999999998</v>
      </c>
      <c r="M872">
        <v>117.98</v>
      </c>
      <c r="N872">
        <f>SUM(Tableau1[[#This Row],[0_100m]:[700_800m]])</f>
        <v>117.98</v>
      </c>
      <c r="O872">
        <f>ABS(Tableau1[[#This Row],[Final_time]]-Tableau1[[#This Row],[Sum_time]])</f>
        <v>0</v>
      </c>
      <c r="P872" s="8"/>
      <c r="Q872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2" t="s">
        <v>491</v>
      </c>
      <c r="S872" s="1" t="s">
        <v>68</v>
      </c>
      <c r="U872" s="1" t="s">
        <v>69</v>
      </c>
      <c r="V872" s="1">
        <v>44448</v>
      </c>
      <c r="W872" s="4">
        <f>YEAR(Tableau1[[#This Row],[Competition_date]])</f>
        <v>2021</v>
      </c>
      <c r="X872" s="4">
        <v>20</v>
      </c>
      <c r="Y872" s="6">
        <v>0.62</v>
      </c>
      <c r="Z872" s="4" t="s">
        <v>80</v>
      </c>
      <c r="AA872" t="s">
        <v>176</v>
      </c>
    </row>
    <row r="873" spans="1:27" hidden="1" x14ac:dyDescent="0.35">
      <c r="A873" t="str">
        <f>_xlfn.CONCAT(Tableau1[[#This Row],[Athletes]],"_",Tableau1[[#This Row],[Nationality]],"_",Tableau1[[#This Row],[Competition_year]])</f>
        <v>Kate GRACE_USA_2021</v>
      </c>
      <c r="B873" s="9" t="s">
        <v>468</v>
      </c>
      <c r="C873" s="9" t="s">
        <v>29</v>
      </c>
      <c r="D873" s="12" t="s">
        <v>35</v>
      </c>
      <c r="E873" s="13">
        <v>13.7</v>
      </c>
      <c r="F873" s="9">
        <v>13.7</v>
      </c>
      <c r="G873" s="9">
        <v>15.1</v>
      </c>
      <c r="H873" s="9">
        <v>15.4</v>
      </c>
      <c r="I873" s="9">
        <v>15.5</v>
      </c>
      <c r="J873">
        <v>15.5</v>
      </c>
      <c r="K873">
        <v>14.6</v>
      </c>
      <c r="L873">
        <f>Tableau1[[#This Row],[Final_time]]-SUM(Tableau1[[#This Row],[0_100m]:[600_700m]])</f>
        <v>14.840000000000003</v>
      </c>
      <c r="M873">
        <v>118.34</v>
      </c>
      <c r="N873">
        <f>SUM(Tableau1[[#This Row],[0_100m]:[700_800m]])</f>
        <v>118.34</v>
      </c>
      <c r="O873">
        <f>ABS(Tableau1[[#This Row],[Final_time]]-Tableau1[[#This Row],[Sum_time]])</f>
        <v>0</v>
      </c>
      <c r="P873" s="8"/>
      <c r="Q873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3" t="s">
        <v>491</v>
      </c>
      <c r="S873" s="1" t="s">
        <v>68</v>
      </c>
      <c r="U873" s="1" t="s">
        <v>69</v>
      </c>
      <c r="V873" s="1">
        <v>44448</v>
      </c>
      <c r="W873" s="4">
        <f>YEAR(Tableau1[[#This Row],[Competition_date]])</f>
        <v>2021</v>
      </c>
      <c r="X873" s="4">
        <v>20</v>
      </c>
      <c r="Y873" s="6">
        <v>0.62</v>
      </c>
      <c r="Z873" s="4" t="s">
        <v>80</v>
      </c>
      <c r="AA873" t="s">
        <v>176</v>
      </c>
    </row>
    <row r="874" spans="1:27" hidden="1" x14ac:dyDescent="0.35">
      <c r="A874" t="str">
        <f>_xlfn.CONCAT(Tableau1[[#This Row],[Athletes]],"_",Tableau1[[#This Row],[Nationality]],"_",Tableau1[[#This Row],[Competition_year]])</f>
        <v>Natoya GOULE-TOPPIN_JAM_2021</v>
      </c>
      <c r="B874" s="9" t="s">
        <v>222</v>
      </c>
      <c r="C874" s="9" t="s">
        <v>29</v>
      </c>
      <c r="D874" s="12" t="s">
        <v>33</v>
      </c>
      <c r="E874" s="13">
        <v>13.7</v>
      </c>
      <c r="F874" s="9">
        <v>13.5</v>
      </c>
      <c r="G874" s="9">
        <v>15</v>
      </c>
      <c r="H874" s="9">
        <v>15.4</v>
      </c>
      <c r="I874" s="9">
        <v>15.6</v>
      </c>
      <c r="J874">
        <v>15.4</v>
      </c>
      <c r="K874">
        <v>14.8</v>
      </c>
      <c r="L874">
        <f>Tableau1[[#This Row],[Final_time]]-SUM(Tableau1[[#This Row],[0_100m]:[600_700m]])</f>
        <v>14.939999999999998</v>
      </c>
      <c r="M874">
        <v>118.34</v>
      </c>
      <c r="N874">
        <f>SUM(Tableau1[[#This Row],[0_100m]:[700_800m]])</f>
        <v>118.34</v>
      </c>
      <c r="O874">
        <f>ABS(Tableau1[[#This Row],[Final_time]]-Tableau1[[#This Row],[Sum_time]])</f>
        <v>0</v>
      </c>
      <c r="P874" s="8"/>
      <c r="Q874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4" t="s">
        <v>491</v>
      </c>
      <c r="S874" s="1" t="s">
        <v>68</v>
      </c>
      <c r="U874" s="1" t="s">
        <v>69</v>
      </c>
      <c r="V874" s="1">
        <v>44448</v>
      </c>
      <c r="W874" s="4">
        <f>YEAR(Tableau1[[#This Row],[Competition_date]])</f>
        <v>2021</v>
      </c>
      <c r="X874" s="4">
        <v>20</v>
      </c>
      <c r="Y874" s="6">
        <v>0.62</v>
      </c>
      <c r="Z874" s="4" t="s">
        <v>80</v>
      </c>
      <c r="AA874" t="s">
        <v>176</v>
      </c>
    </row>
    <row r="875" spans="1:27" hidden="1" x14ac:dyDescent="0.35">
      <c r="A875" t="str">
        <f>_xlfn.CONCAT(Tableau1[[#This Row],[Athletes]],"_",Tableau1[[#This Row],[Nationality]],"_",Tableau1[[#This Row],[Competition_year]])</f>
        <v>Jemma REEKIE_GBR_2021</v>
      </c>
      <c r="B875" s="9" t="s">
        <v>220</v>
      </c>
      <c r="C875" s="9" t="s">
        <v>29</v>
      </c>
      <c r="D875" s="12" t="s">
        <v>30</v>
      </c>
      <c r="E875" s="13">
        <v>13.7</v>
      </c>
      <c r="F875" s="9">
        <v>13.6</v>
      </c>
      <c r="G875" s="9">
        <v>15.1</v>
      </c>
      <c r="H875" s="9">
        <v>15.4</v>
      </c>
      <c r="I875" s="9">
        <v>15.5</v>
      </c>
      <c r="J875">
        <v>15.5</v>
      </c>
      <c r="K875">
        <v>14.8</v>
      </c>
      <c r="L875">
        <f>Tableau1[[#This Row],[Final_time]]-SUM(Tableau1[[#This Row],[0_100m]:[600_700m]])</f>
        <v>15.010000000000005</v>
      </c>
      <c r="M875">
        <v>118.61</v>
      </c>
      <c r="N875">
        <f>SUM(Tableau1[[#This Row],[0_100m]:[700_800m]])</f>
        <v>118.61</v>
      </c>
      <c r="O875">
        <f>ABS(Tableau1[[#This Row],[Final_time]]-Tableau1[[#This Row],[Sum_time]])</f>
        <v>0</v>
      </c>
      <c r="P875" s="8"/>
      <c r="Q875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5" t="s">
        <v>491</v>
      </c>
      <c r="S875" s="1" t="s">
        <v>68</v>
      </c>
      <c r="U875" s="1" t="s">
        <v>69</v>
      </c>
      <c r="V875" s="1">
        <v>44448</v>
      </c>
      <c r="W875" s="4">
        <f>YEAR(Tableau1[[#This Row],[Competition_date]])</f>
        <v>2021</v>
      </c>
      <c r="X875" s="4">
        <v>20</v>
      </c>
      <c r="Y875" s="6">
        <v>0.62</v>
      </c>
      <c r="Z875" s="4" t="s">
        <v>80</v>
      </c>
      <c r="AA875" t="s">
        <v>176</v>
      </c>
    </row>
    <row r="876" spans="1:27" hidden="1" x14ac:dyDescent="0.35">
      <c r="A876" t="str">
        <f>_xlfn.CONCAT(Tableau1[[#This Row],[Athletes]],"_",Tableau1[[#This Row],[Nationality]],"_",Tableau1[[#This Row],[Competition_year]])</f>
        <v>Halimah NAKAAYI_UGA_2021</v>
      </c>
      <c r="B876" s="9" t="s">
        <v>230</v>
      </c>
      <c r="C876" s="9" t="s">
        <v>29</v>
      </c>
      <c r="D876" s="12" t="s">
        <v>34</v>
      </c>
      <c r="E876" s="13">
        <v>14.1</v>
      </c>
      <c r="F876" s="9">
        <v>13.7</v>
      </c>
      <c r="G876" s="9">
        <v>14.8</v>
      </c>
      <c r="H876" s="9">
        <v>15.5</v>
      </c>
      <c r="I876" s="9">
        <v>15.5</v>
      </c>
      <c r="J876">
        <v>15.4</v>
      </c>
      <c r="K876">
        <v>14.9</v>
      </c>
      <c r="L876">
        <f>Tableau1[[#This Row],[Final_time]]-SUM(Tableau1[[#This Row],[0_100m]:[600_700m]])</f>
        <v>14.989999999999995</v>
      </c>
      <c r="M876">
        <v>118.89</v>
      </c>
      <c r="N876">
        <f>SUM(Tableau1[[#This Row],[0_100m]:[700_800m]])</f>
        <v>118.89</v>
      </c>
      <c r="O876">
        <f>ABS(Tableau1[[#This Row],[Final_time]]-Tableau1[[#This Row],[Sum_time]])</f>
        <v>0</v>
      </c>
      <c r="P876" s="8"/>
      <c r="Q876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6" t="s">
        <v>491</v>
      </c>
      <c r="S876" s="1" t="s">
        <v>68</v>
      </c>
      <c r="U876" s="1" t="s">
        <v>69</v>
      </c>
      <c r="V876" s="1">
        <v>44448</v>
      </c>
      <c r="W876" s="4">
        <f>YEAR(Tableau1[[#This Row],[Competition_date]])</f>
        <v>2021</v>
      </c>
      <c r="X876" s="4">
        <v>20</v>
      </c>
      <c r="Y876" s="6">
        <v>0.62</v>
      </c>
      <c r="Z876" s="4" t="s">
        <v>80</v>
      </c>
      <c r="AA876" t="s">
        <v>176</v>
      </c>
    </row>
    <row r="877" spans="1:27" hidden="1" x14ac:dyDescent="0.35">
      <c r="A877" t="str">
        <f>_xlfn.CONCAT(Tableau1[[#This Row],[Athletes]],"_",Tableau1[[#This Row],[Nationality]],"_",Tableau1[[#This Row],[Competition_year]])</f>
        <v>Habitam ALEMU_ETH_2021</v>
      </c>
      <c r="B877" s="9" t="s">
        <v>223</v>
      </c>
      <c r="C877" s="9" t="s">
        <v>29</v>
      </c>
      <c r="D877" s="12" t="s">
        <v>49</v>
      </c>
      <c r="E877" s="13">
        <v>14.1</v>
      </c>
      <c r="F877" s="9">
        <v>13.6</v>
      </c>
      <c r="G877" s="9">
        <v>14.8</v>
      </c>
      <c r="H877" s="9">
        <v>15.5</v>
      </c>
      <c r="I877" s="9">
        <v>15.4</v>
      </c>
      <c r="J877">
        <v>15.4</v>
      </c>
      <c r="K877">
        <v>14.9</v>
      </c>
      <c r="L877">
        <f>Tableau1[[#This Row],[Final_time]]-SUM(Tableau1[[#This Row],[0_100m]:[600_700m]])</f>
        <v>15.779999999999987</v>
      </c>
      <c r="M877">
        <v>119.48</v>
      </c>
      <c r="N877">
        <f>SUM(Tableau1[[#This Row],[0_100m]:[700_800m]])</f>
        <v>119.48</v>
      </c>
      <c r="O877">
        <f>ABS(Tableau1[[#This Row],[Final_time]]-Tableau1[[#This Row],[Sum_time]])</f>
        <v>0</v>
      </c>
      <c r="P877" s="8"/>
      <c r="Q877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7" t="s">
        <v>491</v>
      </c>
      <c r="S877" s="1" t="s">
        <v>68</v>
      </c>
      <c r="U877" s="1" t="s">
        <v>69</v>
      </c>
      <c r="V877" s="1">
        <v>44448</v>
      </c>
      <c r="W877" s="4">
        <f>YEAR(Tableau1[[#This Row],[Competition_date]])</f>
        <v>2021</v>
      </c>
      <c r="X877" s="4">
        <v>20</v>
      </c>
      <c r="Y877" s="6">
        <v>0.62</v>
      </c>
      <c r="Z877" s="4" t="s">
        <v>80</v>
      </c>
      <c r="AA877" t="s">
        <v>176</v>
      </c>
    </row>
    <row r="878" spans="1:27" hidden="1" x14ac:dyDescent="0.35">
      <c r="A878" t="str">
        <f>_xlfn.CONCAT(Tableau1[[#This Row],[Athletes]],"_",Tableau1[[#This Row],[Nationality]],"_",Tableau1[[#This Row],[Competition_year]])</f>
        <v>Catriona BISSET_AUS_2021</v>
      </c>
      <c r="B878" s="9" t="s">
        <v>217</v>
      </c>
      <c r="C878" s="9" t="s">
        <v>29</v>
      </c>
      <c r="D878" s="12" t="s">
        <v>36</v>
      </c>
      <c r="E878" s="13">
        <v>14.3</v>
      </c>
      <c r="F878" s="9">
        <v>13.8</v>
      </c>
      <c r="G878" s="9">
        <v>14.8</v>
      </c>
      <c r="H878" s="9">
        <v>15.5</v>
      </c>
      <c r="I878" s="9">
        <v>15.5</v>
      </c>
      <c r="J878">
        <v>15.4</v>
      </c>
      <c r="K878">
        <v>15.1</v>
      </c>
      <c r="L878">
        <f>Tableau1[[#This Row],[Final_time]]-SUM(Tableau1[[#This Row],[0_100m]:[600_700m]])</f>
        <v>15.259999999999991</v>
      </c>
      <c r="M878">
        <v>119.66</v>
      </c>
      <c r="N878">
        <f>SUM(Tableau1[[#This Row],[0_100m]:[700_800m]])</f>
        <v>119.66</v>
      </c>
      <c r="O878">
        <f>ABS(Tableau1[[#This Row],[Final_time]]-Tableau1[[#This Row],[Sum_time]])</f>
        <v>0</v>
      </c>
      <c r="P878" s="8"/>
      <c r="Q878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8" t="s">
        <v>491</v>
      </c>
      <c r="S878" s="1" t="s">
        <v>68</v>
      </c>
      <c r="U878" s="1" t="s">
        <v>69</v>
      </c>
      <c r="V878" s="1">
        <v>44448</v>
      </c>
      <c r="W878" s="4">
        <f>YEAR(Tableau1[[#This Row],[Competition_date]])</f>
        <v>2021</v>
      </c>
      <c r="X878" s="4">
        <v>20</v>
      </c>
      <c r="Y878" s="6">
        <v>0.62</v>
      </c>
      <c r="Z878" s="4" t="s">
        <v>80</v>
      </c>
      <c r="AA878" t="s">
        <v>176</v>
      </c>
    </row>
    <row r="879" spans="1:27" hidden="1" x14ac:dyDescent="0.35">
      <c r="A879" t="str">
        <f>_xlfn.CONCAT(Tableau1[[#This Row],[Athletes]],"_",Tableau1[[#This Row],[Nationality]],"_",Tableau1[[#This Row],[Competition_year]])</f>
        <v>Lore HOFFMANN_SUI_2021</v>
      </c>
      <c r="B879" s="9" t="s">
        <v>224</v>
      </c>
      <c r="C879" s="9" t="s">
        <v>29</v>
      </c>
      <c r="D879" s="18" t="s">
        <v>73</v>
      </c>
      <c r="E879" s="10">
        <v>14.2</v>
      </c>
      <c r="F879">
        <v>13.7</v>
      </c>
      <c r="G879">
        <v>14.8</v>
      </c>
      <c r="H879">
        <v>15.5</v>
      </c>
      <c r="I879">
        <v>15.5</v>
      </c>
      <c r="J879">
        <v>15.3</v>
      </c>
      <c r="K879">
        <v>15</v>
      </c>
      <c r="L879">
        <f>Tableau1[[#This Row],[Final_time]]-SUM(Tableau1[[#This Row],[0_100m]:[600_700m]])</f>
        <v>16.25</v>
      </c>
      <c r="M879">
        <v>120.25</v>
      </c>
      <c r="N879">
        <f>SUM(Tableau1[[#This Row],[0_100m]:[700_800m]])</f>
        <v>120.25</v>
      </c>
      <c r="O879">
        <f>ABS(Tableau1[[#This Row],[Final_time]]-Tableau1[[#This Row],[Sum_time]])</f>
        <v>0</v>
      </c>
      <c r="P879" s="8"/>
      <c r="Q879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79" t="s">
        <v>491</v>
      </c>
      <c r="S879" s="1" t="s">
        <v>68</v>
      </c>
      <c r="U879" s="1" t="s">
        <v>69</v>
      </c>
      <c r="V879" s="1">
        <v>44448</v>
      </c>
      <c r="W879" s="4">
        <f>YEAR(Tableau1[[#This Row],[Competition_date]])</f>
        <v>2021</v>
      </c>
      <c r="X879" s="4">
        <v>20</v>
      </c>
      <c r="Y879" s="6">
        <v>0.62</v>
      </c>
      <c r="Z879" s="4" t="s">
        <v>80</v>
      </c>
      <c r="AA879" t="s">
        <v>176</v>
      </c>
    </row>
    <row r="880" spans="1:27" hidden="1" x14ac:dyDescent="0.35">
      <c r="A880" t="str">
        <f>_xlfn.CONCAT(Tableau1[[#This Row],[Athletes]],"_",Tableau1[[#This Row],[Nationality]],"_",Tableau1[[#This Row],[Competition_year]])</f>
        <v>Lovisa LINDH_SWE_2021</v>
      </c>
      <c r="B880" s="9" t="s">
        <v>378</v>
      </c>
      <c r="C880" s="9" t="s">
        <v>29</v>
      </c>
      <c r="D880" s="18" t="s">
        <v>28</v>
      </c>
      <c r="E880" s="10">
        <v>14.3</v>
      </c>
      <c r="F880">
        <v>14</v>
      </c>
      <c r="G880">
        <v>14.8</v>
      </c>
      <c r="H880">
        <v>15.6</v>
      </c>
      <c r="I880">
        <v>15.4</v>
      </c>
      <c r="J880">
        <v>15.5</v>
      </c>
      <c r="K880">
        <v>15.2</v>
      </c>
      <c r="L880">
        <f>Tableau1[[#This Row],[Final_time]]-SUM(Tableau1[[#This Row],[0_100m]:[600_700m]])</f>
        <v>16.039999999999992</v>
      </c>
      <c r="M880">
        <v>120.84</v>
      </c>
      <c r="N880">
        <f>SUM(Tableau1[[#This Row],[0_100m]:[700_800m]])</f>
        <v>120.84</v>
      </c>
      <c r="O880">
        <f>ABS(Tableau1[[#This Row],[Final_time]]-Tableau1[[#This Row],[Sum_time]])</f>
        <v>0</v>
      </c>
      <c r="P880" s="8"/>
      <c r="Q880" s="1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R880" t="s">
        <v>491</v>
      </c>
      <c r="S880" s="1" t="s">
        <v>68</v>
      </c>
      <c r="U880" s="1" t="s">
        <v>69</v>
      </c>
      <c r="V880" s="1">
        <v>44448</v>
      </c>
      <c r="W880" s="4">
        <f>YEAR(Tableau1[[#This Row],[Competition_date]])</f>
        <v>2021</v>
      </c>
      <c r="X880" s="4">
        <v>20</v>
      </c>
      <c r="Y880" s="6">
        <v>0.62</v>
      </c>
      <c r="Z880" s="4" t="s">
        <v>80</v>
      </c>
      <c r="AA880" t="s">
        <v>176</v>
      </c>
    </row>
    <row r="881" spans="1:27" hidden="1" x14ac:dyDescent="0.35">
      <c r="A881" t="str">
        <f>_xlfn.CONCAT(Tableau1[[#This Row],[Athletes]],"_",Tableau1[[#This Row],[Nationality]],"_",Tableau1[[#This Row],[Competition_year]])</f>
        <v>Emmanuel Kipkurui KORIR_KEN_2021</v>
      </c>
      <c r="B881" s="9" t="s">
        <v>201</v>
      </c>
      <c r="C881" s="9" t="s">
        <v>14</v>
      </c>
      <c r="D881" s="12" t="s">
        <v>15</v>
      </c>
      <c r="E881" s="13">
        <v>12.7</v>
      </c>
      <c r="F881" s="13">
        <v>11.6</v>
      </c>
      <c r="G881" s="9">
        <v>12.9</v>
      </c>
      <c r="H881" s="9">
        <v>13.9</v>
      </c>
      <c r="I881" s="9">
        <v>13.9</v>
      </c>
      <c r="J881" s="9">
        <v>13.7</v>
      </c>
      <c r="K881">
        <v>12.7</v>
      </c>
      <c r="L881">
        <f>Tableau1[[#This Row],[Final_time]]-SUM(Tableau1[[#This Row],[0_100m]:[600_700m]])</f>
        <v>13.159999999999997</v>
      </c>
      <c r="M881">
        <v>104.56</v>
      </c>
      <c r="N881">
        <f>SUM(Tableau1[[#This Row],[0_100m]:[700_800m]])</f>
        <v>104.56</v>
      </c>
      <c r="O881">
        <f>ABS(Tableau1[[#This Row],[Final_time]]-Tableau1[[#This Row],[Sum_time]])</f>
        <v>0</v>
      </c>
      <c r="P881" s="8"/>
      <c r="Q881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1" t="s">
        <v>491</v>
      </c>
      <c r="S881" s="1" t="s">
        <v>68</v>
      </c>
      <c r="U881" s="1" t="s">
        <v>69</v>
      </c>
      <c r="V881" s="1">
        <v>44448</v>
      </c>
      <c r="W881" s="4">
        <f>YEAR(Tableau1[[#This Row],[Competition_date]])</f>
        <v>2021</v>
      </c>
      <c r="X881" s="4">
        <v>19</v>
      </c>
      <c r="Y881" s="6">
        <v>0.69</v>
      </c>
      <c r="Z881" s="4" t="s">
        <v>82</v>
      </c>
      <c r="AA881" t="s">
        <v>176</v>
      </c>
    </row>
    <row r="882" spans="1:27" hidden="1" x14ac:dyDescent="0.35">
      <c r="A882" t="str">
        <f>_xlfn.CONCAT(Tableau1[[#This Row],[Athletes]],"_",Tableau1[[#This Row],[Nationality]],"_",Tableau1[[#This Row],[Competition_year]])</f>
        <v>Ferguson Cheruiyot ROTICH_KEN_2021</v>
      </c>
      <c r="B882" s="9" t="s">
        <v>199</v>
      </c>
      <c r="C882" s="9" t="s">
        <v>14</v>
      </c>
      <c r="D882" s="12" t="s">
        <v>15</v>
      </c>
      <c r="E882" s="13">
        <v>12.7</v>
      </c>
      <c r="F882" s="13">
        <v>12</v>
      </c>
      <c r="G882" s="9">
        <v>13.2</v>
      </c>
      <c r="H882" s="9">
        <v>13.6</v>
      </c>
      <c r="I882" s="9">
        <v>13.9</v>
      </c>
      <c r="J882" s="9">
        <v>13.2</v>
      </c>
      <c r="K882">
        <v>12.8</v>
      </c>
      <c r="L882">
        <f>Tableau1[[#This Row],[Final_time]]-SUM(Tableau1[[#This Row],[0_100m]:[600_700m]])</f>
        <v>13.559999999999988</v>
      </c>
      <c r="M882">
        <v>104.96</v>
      </c>
      <c r="N882">
        <f>SUM(Tableau1[[#This Row],[0_100m]:[700_800m]])</f>
        <v>104.96</v>
      </c>
      <c r="O882">
        <f>ABS(Tableau1[[#This Row],[Final_time]]-Tableau1[[#This Row],[Sum_time]])</f>
        <v>0</v>
      </c>
      <c r="P882" s="8"/>
      <c r="Q882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2" t="s">
        <v>491</v>
      </c>
      <c r="S882" s="1" t="s">
        <v>68</v>
      </c>
      <c r="U882" s="1" t="s">
        <v>69</v>
      </c>
      <c r="V882" s="1">
        <v>44448</v>
      </c>
      <c r="W882" s="4">
        <f>YEAR(Tableau1[[#This Row],[Competition_date]])</f>
        <v>2021</v>
      </c>
      <c r="X882" s="4">
        <v>19</v>
      </c>
      <c r="Y882" s="6">
        <v>0.69</v>
      </c>
      <c r="Z882" s="4" t="s">
        <v>82</v>
      </c>
      <c r="AA882" t="s">
        <v>176</v>
      </c>
    </row>
    <row r="883" spans="1:27" hidden="1" x14ac:dyDescent="0.35">
      <c r="A883" t="str">
        <f>_xlfn.CONCAT(Tableau1[[#This Row],[Athletes]],"_",Tableau1[[#This Row],[Nationality]],"_",Tableau1[[#This Row],[Competition_year]])</f>
        <v>Clayton MURPHY_USA_2021</v>
      </c>
      <c r="B883" s="9" t="s">
        <v>203</v>
      </c>
      <c r="C883" s="9" t="s">
        <v>14</v>
      </c>
      <c r="D883" s="12" t="s">
        <v>35</v>
      </c>
      <c r="E883" s="13">
        <v>12.6</v>
      </c>
      <c r="F883" s="13">
        <v>11.9</v>
      </c>
      <c r="G883" s="9">
        <v>13.2</v>
      </c>
      <c r="H883" s="9">
        <v>13.7</v>
      </c>
      <c r="I883" s="9">
        <v>14</v>
      </c>
      <c r="J883" s="9">
        <v>13.7</v>
      </c>
      <c r="K883">
        <v>13</v>
      </c>
      <c r="L883">
        <f>Tableau1[[#This Row],[Final_time]]-SUM(Tableau1[[#This Row],[0_100m]:[600_700m]])</f>
        <v>13.109999999999985</v>
      </c>
      <c r="M883">
        <v>105.21</v>
      </c>
      <c r="N883">
        <f>SUM(Tableau1[[#This Row],[0_100m]:[700_800m]])</f>
        <v>105.21</v>
      </c>
      <c r="O883">
        <f>ABS(Tableau1[[#This Row],[Final_time]]-Tableau1[[#This Row],[Sum_time]])</f>
        <v>0</v>
      </c>
      <c r="P883" s="8"/>
      <c r="Q883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3" t="s">
        <v>491</v>
      </c>
      <c r="S883" s="1" t="s">
        <v>68</v>
      </c>
      <c r="U883" s="1" t="s">
        <v>69</v>
      </c>
      <c r="V883" s="1">
        <v>44448</v>
      </c>
      <c r="W883" s="4">
        <f>YEAR(Tableau1[[#This Row],[Competition_date]])</f>
        <v>2021</v>
      </c>
      <c r="X883" s="4">
        <v>19</v>
      </c>
      <c r="Y883" s="6">
        <v>0.69</v>
      </c>
      <c r="Z883" s="4" t="s">
        <v>82</v>
      </c>
      <c r="AA883" t="s">
        <v>176</v>
      </c>
    </row>
    <row r="884" spans="1:27" hidden="1" x14ac:dyDescent="0.35">
      <c r="A884" t="str">
        <f>_xlfn.CONCAT(Tableau1[[#This Row],[Athletes]],"_",Tableau1[[#This Row],[Nationality]],"_",Tableau1[[#This Row],[Competition_year]])</f>
        <v>Marco AROP_CAN_2021</v>
      </c>
      <c r="B884" s="9" t="s">
        <v>177</v>
      </c>
      <c r="C884" s="9" t="s">
        <v>14</v>
      </c>
      <c r="D884" s="12" t="s">
        <v>19</v>
      </c>
      <c r="E884" s="13">
        <v>12.6</v>
      </c>
      <c r="F884" s="13">
        <v>11.8</v>
      </c>
      <c r="G884" s="9">
        <v>13</v>
      </c>
      <c r="H884" s="9">
        <v>13.7</v>
      </c>
      <c r="I884" s="9">
        <v>14</v>
      </c>
      <c r="J884" s="9">
        <v>13.7</v>
      </c>
      <c r="K884">
        <v>12.9</v>
      </c>
      <c r="L884">
        <f>Tableau1[[#This Row],[Final_time]]-SUM(Tableau1[[#This Row],[0_100m]:[600_700m]])</f>
        <v>13.530000000000001</v>
      </c>
      <c r="M884">
        <v>105.23</v>
      </c>
      <c r="N884">
        <f>SUM(Tableau1[[#This Row],[0_100m]:[700_800m]])</f>
        <v>105.23</v>
      </c>
      <c r="O884">
        <f>ABS(Tableau1[[#This Row],[Final_time]]-Tableau1[[#This Row],[Sum_time]])</f>
        <v>0</v>
      </c>
      <c r="P884" s="8"/>
      <c r="Q884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4" t="s">
        <v>491</v>
      </c>
      <c r="S884" s="1" t="s">
        <v>68</v>
      </c>
      <c r="U884" s="1" t="s">
        <v>69</v>
      </c>
      <c r="V884" s="1">
        <v>44448</v>
      </c>
      <c r="W884" s="4">
        <f>YEAR(Tableau1[[#This Row],[Competition_date]])</f>
        <v>2021</v>
      </c>
      <c r="X884" s="4">
        <v>19</v>
      </c>
      <c r="Y884" s="6">
        <v>0.69</v>
      </c>
      <c r="Z884" s="4" t="s">
        <v>82</v>
      </c>
      <c r="AA884" t="s">
        <v>176</v>
      </c>
    </row>
    <row r="885" spans="1:27" hidden="1" x14ac:dyDescent="0.35">
      <c r="A885" t="str">
        <f>_xlfn.CONCAT(Tableau1[[#This Row],[Athletes]],"_",Tableau1[[#This Row],[Nationality]],"_",Tableau1[[#This Row],[Competition_year]])</f>
        <v>Elliot GILES_GBR_2021</v>
      </c>
      <c r="B885" s="9" t="s">
        <v>383</v>
      </c>
      <c r="C885" s="9" t="s">
        <v>14</v>
      </c>
      <c r="D885" s="12" t="s">
        <v>30</v>
      </c>
      <c r="E885" s="13">
        <v>12.7</v>
      </c>
      <c r="F885" s="13">
        <v>12</v>
      </c>
      <c r="G885" s="9">
        <v>13.2</v>
      </c>
      <c r="H885" s="9">
        <v>13.7</v>
      </c>
      <c r="I885" s="9">
        <v>14</v>
      </c>
      <c r="J885" s="9">
        <v>13.7</v>
      </c>
      <c r="K885">
        <v>13</v>
      </c>
      <c r="L885">
        <f>Tableau1[[#This Row],[Final_time]]-SUM(Tableau1[[#This Row],[0_100m]:[600_700m]])</f>
        <v>12.950000000000003</v>
      </c>
      <c r="M885">
        <v>105.25</v>
      </c>
      <c r="N885">
        <f>SUM(Tableau1[[#This Row],[0_100m]:[700_800m]])</f>
        <v>105.25</v>
      </c>
      <c r="O885">
        <f>ABS(Tableau1[[#This Row],[Final_time]]-Tableau1[[#This Row],[Sum_time]])</f>
        <v>0</v>
      </c>
      <c r="P885" s="8"/>
      <c r="Q885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5" t="s">
        <v>491</v>
      </c>
      <c r="S885" s="1" t="s">
        <v>68</v>
      </c>
      <c r="U885" s="1" t="s">
        <v>69</v>
      </c>
      <c r="V885" s="1">
        <v>44448</v>
      </c>
      <c r="W885" s="4">
        <f>YEAR(Tableau1[[#This Row],[Competition_date]])</f>
        <v>2021</v>
      </c>
      <c r="X885" s="4">
        <v>19</v>
      </c>
      <c r="Y885" s="6">
        <v>0.69</v>
      </c>
      <c r="Z885" s="4" t="s">
        <v>82</v>
      </c>
      <c r="AA885" t="s">
        <v>176</v>
      </c>
    </row>
    <row r="886" spans="1:27" hidden="1" x14ac:dyDescent="0.35">
      <c r="A886" t="str">
        <f>_xlfn.CONCAT(Tableau1[[#This Row],[Athletes]],"_",Tableau1[[#This Row],[Nationality]],"_",Tableau1[[#This Row],[Competition_year]])</f>
        <v>Isaiah HARRIS_USA_2021</v>
      </c>
      <c r="B886" s="9" t="s">
        <v>192</v>
      </c>
      <c r="C886" s="9" t="s">
        <v>14</v>
      </c>
      <c r="D886" s="12" t="s">
        <v>35</v>
      </c>
      <c r="E886" s="13">
        <v>12.3</v>
      </c>
      <c r="F886" s="13">
        <v>12</v>
      </c>
      <c r="G886" s="9">
        <v>13.1</v>
      </c>
      <c r="H886" s="9">
        <v>13.9</v>
      </c>
      <c r="I886" s="9">
        <v>14</v>
      </c>
      <c r="J886" s="9">
        <v>13.7</v>
      </c>
      <c r="K886">
        <v>13.1</v>
      </c>
      <c r="L886">
        <f>Tableau1[[#This Row],[Final_time]]-SUM(Tableau1[[#This Row],[0_100m]:[600_700m]])</f>
        <v>13.600000000000009</v>
      </c>
      <c r="M886">
        <v>105.7</v>
      </c>
      <c r="N886">
        <f>SUM(Tableau1[[#This Row],[0_100m]:[700_800m]])</f>
        <v>105.7</v>
      </c>
      <c r="O886">
        <f>ABS(Tableau1[[#This Row],[Final_time]]-Tableau1[[#This Row],[Sum_time]])</f>
        <v>0</v>
      </c>
      <c r="P886" s="8"/>
      <c r="Q886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6" t="s">
        <v>491</v>
      </c>
      <c r="S886" s="1" t="s">
        <v>68</v>
      </c>
      <c r="U886" s="1" t="s">
        <v>69</v>
      </c>
      <c r="V886" s="1">
        <v>44448</v>
      </c>
      <c r="W886" s="4">
        <f>YEAR(Tableau1[[#This Row],[Competition_date]])</f>
        <v>2021</v>
      </c>
      <c r="X886" s="4">
        <v>19</v>
      </c>
      <c r="Y886" s="6">
        <v>0.69</v>
      </c>
      <c r="Z886" s="4" t="s">
        <v>82</v>
      </c>
      <c r="AA886" t="s">
        <v>176</v>
      </c>
    </row>
    <row r="887" spans="1:27" hidden="1" x14ac:dyDescent="0.35">
      <c r="A887" t="str">
        <f>_xlfn.CONCAT(Tableau1[[#This Row],[Athletes]],"_",Tableau1[[#This Row],[Nationality]],"_",Tableau1[[#This Row],[Competition_year]])</f>
        <v>Amel TUKA_BIH_2021</v>
      </c>
      <c r="B887" s="9" t="s">
        <v>196</v>
      </c>
      <c r="C887" s="9" t="s">
        <v>14</v>
      </c>
      <c r="D887" s="12" t="s">
        <v>120</v>
      </c>
      <c r="E887" s="13">
        <v>12.6</v>
      </c>
      <c r="F887" s="13">
        <v>12</v>
      </c>
      <c r="G887" s="9">
        <v>13.1</v>
      </c>
      <c r="H887" s="9">
        <v>13.9</v>
      </c>
      <c r="I887" s="9">
        <v>14</v>
      </c>
      <c r="J887" s="9">
        <v>13.8</v>
      </c>
      <c r="K887">
        <v>13.1</v>
      </c>
      <c r="L887">
        <f>Tableau1[[#This Row],[Final_time]]-SUM(Tableau1[[#This Row],[0_100m]:[600_700m]])</f>
        <v>13.690000000000012</v>
      </c>
      <c r="M887">
        <v>106.19</v>
      </c>
      <c r="N887">
        <f>SUM(Tableau1[[#This Row],[0_100m]:[700_800m]])</f>
        <v>106.19</v>
      </c>
      <c r="O887">
        <f>ABS(Tableau1[[#This Row],[Final_time]]-Tableau1[[#This Row],[Sum_time]])</f>
        <v>0</v>
      </c>
      <c r="P887" s="8"/>
      <c r="Q887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7" t="s">
        <v>491</v>
      </c>
      <c r="S887" s="1" t="s">
        <v>68</v>
      </c>
      <c r="U887" s="1" t="s">
        <v>69</v>
      </c>
      <c r="V887" s="1">
        <v>44448</v>
      </c>
      <c r="W887" s="4">
        <f>YEAR(Tableau1[[#This Row],[Competition_date]])</f>
        <v>2021</v>
      </c>
      <c r="X887" s="4">
        <v>19</v>
      </c>
      <c r="Y887" s="6">
        <v>0.69</v>
      </c>
      <c r="Z887" s="4" t="s">
        <v>82</v>
      </c>
      <c r="AA887" t="s">
        <v>176</v>
      </c>
    </row>
    <row r="888" spans="1:27" hidden="1" x14ac:dyDescent="0.35">
      <c r="A888" t="str">
        <f>_xlfn.CONCAT(Tableau1[[#This Row],[Athletes]],"_",Tableau1[[#This Row],[Nationality]],"_",Tableau1[[#This Row],[Competition_year]])</f>
        <v>Wyclife KINYAMAL_KEN_2021</v>
      </c>
      <c r="B888" t="s">
        <v>174</v>
      </c>
      <c r="C888" t="s">
        <v>14</v>
      </c>
      <c r="D888" s="12" t="s">
        <v>15</v>
      </c>
      <c r="E888" s="10">
        <v>12.3</v>
      </c>
      <c r="F888" s="10">
        <v>12</v>
      </c>
      <c r="G888">
        <v>13.3</v>
      </c>
      <c r="H888">
        <v>13.7</v>
      </c>
      <c r="I888">
        <v>14</v>
      </c>
      <c r="J888">
        <v>13.6</v>
      </c>
      <c r="K888">
        <v>13</v>
      </c>
      <c r="L888">
        <f>Tableau1[[#This Row],[Final_time]]-SUM(Tableau1[[#This Row],[0_100m]:[600_700m]])</f>
        <v>14.620000000000005</v>
      </c>
      <c r="M888">
        <v>106.52</v>
      </c>
      <c r="N888">
        <f>SUM(Tableau1[[#This Row],[0_100m]:[700_800m]])</f>
        <v>106.52</v>
      </c>
      <c r="O888">
        <f>ABS(Tableau1[[#This Row],[Final_time]]-Tableau1[[#This Row],[Sum_time]])</f>
        <v>0</v>
      </c>
      <c r="P888" s="8"/>
      <c r="Q888" s="1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R888" t="s">
        <v>491</v>
      </c>
      <c r="S888" s="1" t="s">
        <v>68</v>
      </c>
      <c r="U888" s="1" t="s">
        <v>69</v>
      </c>
      <c r="V888" s="1">
        <v>44448</v>
      </c>
      <c r="W888" s="4">
        <f>YEAR(Tableau1[[#This Row],[Competition_date]])</f>
        <v>2021</v>
      </c>
      <c r="X888" s="4">
        <v>19</v>
      </c>
      <c r="Y888" s="6">
        <v>0.69</v>
      </c>
      <c r="Z888" s="4" t="s">
        <v>82</v>
      </c>
      <c r="AA888" t="s">
        <v>176</v>
      </c>
    </row>
    <row r="889" spans="1:27" hidden="1" x14ac:dyDescent="0.35">
      <c r="A889" t="str">
        <f>_xlfn.CONCAT(Tableau1[[#This Row],[Athletes]],"_",Tableau1[[#This Row],[Nationality]],"_",Tableau1[[#This Row],[Competition_year]])</f>
        <v>Mary MORAA_KEN_2022</v>
      </c>
      <c r="B889" s="9" t="s">
        <v>228</v>
      </c>
      <c r="C889" s="9" t="s">
        <v>29</v>
      </c>
      <c r="D889" s="12" t="s">
        <v>15</v>
      </c>
      <c r="E889" s="9">
        <v>13.7</v>
      </c>
      <c r="F889" s="9">
        <v>13.5</v>
      </c>
      <c r="G889" s="9">
        <v>15.1</v>
      </c>
      <c r="H889" s="9">
        <v>15.3</v>
      </c>
      <c r="I889" s="9">
        <v>15.6</v>
      </c>
      <c r="J889" s="9">
        <v>15</v>
      </c>
      <c r="K889" s="9">
        <v>14.8</v>
      </c>
      <c r="L889">
        <f>Tableau1[[#This Row],[Final_time]]-SUM(Tableau1[[#This Row],[0_100m]:[600_700m]])</f>
        <v>14.63000000000001</v>
      </c>
      <c r="M889" s="9">
        <v>117.63</v>
      </c>
      <c r="N889">
        <f>SUM(Tableau1[[#This Row],[0_100m]:[700_800m]])</f>
        <v>117.63</v>
      </c>
      <c r="O889">
        <f>ABS(Tableau1[[#This Row],[Final_time]]-Tableau1[[#This Row],[Sum_time]])</f>
        <v>0</v>
      </c>
      <c r="P889" s="8"/>
      <c r="Q889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89" t="s">
        <v>414</v>
      </c>
      <c r="S889" s="1" t="s">
        <v>68</v>
      </c>
      <c r="U889" s="1" t="s">
        <v>69</v>
      </c>
      <c r="V889" s="1">
        <v>44812</v>
      </c>
      <c r="W889" s="4">
        <f>YEAR(Tableau1[[#This Row],[Competition_date]])</f>
        <v>2022</v>
      </c>
      <c r="X889" s="4">
        <v>17</v>
      </c>
      <c r="Y889" s="6">
        <v>0.72</v>
      </c>
      <c r="Z889" s="4" t="s">
        <v>80</v>
      </c>
      <c r="AA889" t="s">
        <v>176</v>
      </c>
    </row>
    <row r="890" spans="1:27" hidden="1" x14ac:dyDescent="0.35">
      <c r="A890" t="str">
        <f>_xlfn.CONCAT(Tableau1[[#This Row],[Athletes]],"_",Tableau1[[#This Row],[Nationality]],"_",Tableau1[[#This Row],[Competition_year]])</f>
        <v>Natoya GOULE-TOPPIN_JAM_2022</v>
      </c>
      <c r="B890" s="9" t="s">
        <v>222</v>
      </c>
      <c r="C890" s="9" t="s">
        <v>29</v>
      </c>
      <c r="D890" s="12" t="s">
        <v>33</v>
      </c>
      <c r="E890" s="9">
        <v>13.6</v>
      </c>
      <c r="F890" s="9">
        <v>13.7</v>
      </c>
      <c r="G890" s="9">
        <v>15.3</v>
      </c>
      <c r="H890" s="9">
        <v>15.3</v>
      </c>
      <c r="I890" s="9">
        <v>15.5</v>
      </c>
      <c r="J890" s="9">
        <v>14.9</v>
      </c>
      <c r="K890" s="9">
        <v>15</v>
      </c>
      <c r="L890">
        <f>Tableau1[[#This Row],[Final_time]]-SUM(Tableau1[[#This Row],[0_100m]:[600_700m]])</f>
        <v>14.549999999999997</v>
      </c>
      <c r="M890" s="9">
        <v>117.85</v>
      </c>
      <c r="N890">
        <f>SUM(Tableau1[[#This Row],[0_100m]:[700_800m]])</f>
        <v>117.85</v>
      </c>
      <c r="O890">
        <f>ABS(Tableau1[[#This Row],[Final_time]]-Tableau1[[#This Row],[Sum_time]])</f>
        <v>0</v>
      </c>
      <c r="P890" s="8"/>
      <c r="Q890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0" t="s">
        <v>414</v>
      </c>
      <c r="S890" s="1" t="s">
        <v>68</v>
      </c>
      <c r="U890" s="1" t="s">
        <v>69</v>
      </c>
      <c r="V890" s="1">
        <v>44812</v>
      </c>
      <c r="W890" s="4">
        <f>YEAR(Tableau1[[#This Row],[Competition_date]])</f>
        <v>2022</v>
      </c>
      <c r="X890" s="4">
        <v>17</v>
      </c>
      <c r="Y890" s="6">
        <v>0.72</v>
      </c>
      <c r="Z890" s="4" t="s">
        <v>80</v>
      </c>
      <c r="AA890" t="s">
        <v>176</v>
      </c>
    </row>
    <row r="891" spans="1:27" hidden="1" x14ac:dyDescent="0.35">
      <c r="A891" t="str">
        <f>_xlfn.CONCAT(Tableau1[[#This Row],[Athletes]],"_",Tableau1[[#This Row],[Nationality]],"_",Tableau1[[#This Row],[Competition_year]])</f>
        <v>Sage HURTA-KLECKER_USA_2022</v>
      </c>
      <c r="B891" s="9" t="s">
        <v>289</v>
      </c>
      <c r="C891" s="9" t="s">
        <v>29</v>
      </c>
      <c r="D891" s="12" t="s">
        <v>35</v>
      </c>
      <c r="E891" s="9">
        <v>13.8</v>
      </c>
      <c r="F891" s="9">
        <v>13.7</v>
      </c>
      <c r="G891" s="9">
        <v>15.3</v>
      </c>
      <c r="H891" s="9">
        <v>15</v>
      </c>
      <c r="I891" s="9">
        <v>15.5</v>
      </c>
      <c r="J891" s="9">
        <v>14.9</v>
      </c>
      <c r="K891" s="9">
        <v>15</v>
      </c>
      <c r="L891">
        <f>Tableau1[[#This Row],[Final_time]]-SUM(Tableau1[[#This Row],[0_100m]:[600_700m]])</f>
        <v>15.269999999999996</v>
      </c>
      <c r="M891" s="9">
        <v>118.47</v>
      </c>
      <c r="N891">
        <f>SUM(Tableau1[[#This Row],[0_100m]:[700_800m]])</f>
        <v>118.47</v>
      </c>
      <c r="O891">
        <f>ABS(Tableau1[[#This Row],[Final_time]]-Tableau1[[#This Row],[Sum_time]])</f>
        <v>0</v>
      </c>
      <c r="P891" s="8"/>
      <c r="Q891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1" t="s">
        <v>414</v>
      </c>
      <c r="S891" s="1" t="s">
        <v>68</v>
      </c>
      <c r="U891" s="1" t="s">
        <v>69</v>
      </c>
      <c r="V891" s="1">
        <v>44812</v>
      </c>
      <c r="W891" s="4">
        <f>YEAR(Tableau1[[#This Row],[Competition_date]])</f>
        <v>2022</v>
      </c>
      <c r="X891" s="4">
        <v>17</v>
      </c>
      <c r="Y891" s="6">
        <v>0.72</v>
      </c>
      <c r="Z891" s="4" t="s">
        <v>80</v>
      </c>
      <c r="AA891" t="s">
        <v>176</v>
      </c>
    </row>
    <row r="892" spans="1:27" hidden="1" x14ac:dyDescent="0.35">
      <c r="A892" t="str">
        <f>_xlfn.CONCAT(Tableau1[[#This Row],[Athletes]],"_",Tableau1[[#This Row],[Nationality]],"_",Tableau1[[#This Row],[Competition_year]])</f>
        <v>Halimah NAKAAYI_UGA_2022</v>
      </c>
      <c r="B892" s="9" t="s">
        <v>230</v>
      </c>
      <c r="C892" s="9" t="s">
        <v>29</v>
      </c>
      <c r="D892" s="12" t="s">
        <v>34</v>
      </c>
      <c r="E892" s="9">
        <v>13.6</v>
      </c>
      <c r="F892" s="9">
        <v>13.8</v>
      </c>
      <c r="G892" s="9">
        <v>15.4</v>
      </c>
      <c r="H892" s="9">
        <v>15.3</v>
      </c>
      <c r="I892" s="9">
        <v>15.4</v>
      </c>
      <c r="J892" s="9">
        <v>15</v>
      </c>
      <c r="K892" s="9">
        <v>15</v>
      </c>
      <c r="L892">
        <f>Tableau1[[#This Row],[Final_time]]-SUM(Tableau1[[#This Row],[0_100m]:[600_700m]])</f>
        <v>15.319999999999993</v>
      </c>
      <c r="M892" s="9">
        <v>118.82</v>
      </c>
      <c r="N892">
        <f>SUM(Tableau1[[#This Row],[0_100m]:[700_800m]])</f>
        <v>118.82</v>
      </c>
      <c r="O892">
        <f>ABS(Tableau1[[#This Row],[Final_time]]-Tableau1[[#This Row],[Sum_time]])</f>
        <v>0</v>
      </c>
      <c r="P892" s="8"/>
      <c r="Q892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2" t="s">
        <v>414</v>
      </c>
      <c r="S892" s="1" t="s">
        <v>68</v>
      </c>
      <c r="U892" s="1" t="s">
        <v>69</v>
      </c>
      <c r="V892" s="1">
        <v>44812</v>
      </c>
      <c r="W892" s="4">
        <f>YEAR(Tableau1[[#This Row],[Competition_date]])</f>
        <v>2022</v>
      </c>
      <c r="X892" s="4">
        <v>17</v>
      </c>
      <c r="Y892" s="6">
        <v>0.72</v>
      </c>
      <c r="Z892" s="4" t="s">
        <v>80</v>
      </c>
      <c r="AA892" t="s">
        <v>176</v>
      </c>
    </row>
    <row r="893" spans="1:27" hidden="1" x14ac:dyDescent="0.35">
      <c r="A893" t="str">
        <f>_xlfn.CONCAT(Tableau1[[#This Row],[Athletes]],"_",Tableau1[[#This Row],[Nationality]],"_",Tableau1[[#This Row],[Competition_year]])</f>
        <v>Keely HODGKINSON_GBR_2022</v>
      </c>
      <c r="B893" s="9" t="s">
        <v>212</v>
      </c>
      <c r="C893" s="9" t="s">
        <v>29</v>
      </c>
      <c r="D893" s="12" t="s">
        <v>30</v>
      </c>
      <c r="E893" s="9">
        <v>13.9</v>
      </c>
      <c r="F893" s="9">
        <v>13.4</v>
      </c>
      <c r="G893" s="9">
        <v>15.3</v>
      </c>
      <c r="H893" s="9">
        <v>15.5</v>
      </c>
      <c r="I893" s="9">
        <v>15.4</v>
      </c>
      <c r="J893" s="9">
        <v>15</v>
      </c>
      <c r="K893" s="9">
        <v>15.1</v>
      </c>
      <c r="L893">
        <f>Tableau1[[#This Row],[Final_time]]-SUM(Tableau1[[#This Row],[0_100m]:[600_700m]])</f>
        <v>15.460000000000008</v>
      </c>
      <c r="M893" s="9">
        <v>119.06</v>
      </c>
      <c r="N893">
        <f>SUM(Tableau1[[#This Row],[0_100m]:[700_800m]])</f>
        <v>119.06</v>
      </c>
      <c r="O893">
        <f>ABS(Tableau1[[#This Row],[Final_time]]-Tableau1[[#This Row],[Sum_time]])</f>
        <v>0</v>
      </c>
      <c r="P893" s="8"/>
      <c r="Q893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3" t="s">
        <v>414</v>
      </c>
      <c r="S893" s="1" t="s">
        <v>68</v>
      </c>
      <c r="U893" s="1" t="s">
        <v>69</v>
      </c>
      <c r="V893" s="1">
        <v>44812</v>
      </c>
      <c r="W893" s="4">
        <f>YEAR(Tableau1[[#This Row],[Competition_date]])</f>
        <v>2022</v>
      </c>
      <c r="X893" s="4">
        <v>17</v>
      </c>
      <c r="Y893" s="6">
        <v>0.72</v>
      </c>
      <c r="Z893" s="4" t="s">
        <v>80</v>
      </c>
      <c r="AA893" t="s">
        <v>176</v>
      </c>
    </row>
    <row r="894" spans="1:27" hidden="1" x14ac:dyDescent="0.35">
      <c r="A894" t="str">
        <f>_xlfn.CONCAT(Tableau1[[#This Row],[Athletes]],"_",Tableau1[[#This Row],[Nationality]],"_",Tableau1[[#This Row],[Competition_year]])</f>
        <v>Anita HORVAT_SLO_2022</v>
      </c>
      <c r="B894" s="9" t="s">
        <v>218</v>
      </c>
      <c r="C894" s="9" t="s">
        <v>29</v>
      </c>
      <c r="D894" s="12" t="s">
        <v>53</v>
      </c>
      <c r="E894" s="9">
        <v>13.9</v>
      </c>
      <c r="F894" s="9">
        <v>13.7</v>
      </c>
      <c r="G894" s="9">
        <v>15.4</v>
      </c>
      <c r="H894" s="9">
        <v>15.4</v>
      </c>
      <c r="I894" s="9">
        <v>15.5</v>
      </c>
      <c r="J894" s="9">
        <v>15.3</v>
      </c>
      <c r="K894" s="9">
        <v>15</v>
      </c>
      <c r="L894">
        <f>Tableau1[[#This Row],[Final_time]]-SUM(Tableau1[[#This Row],[0_100m]:[600_700m]])</f>
        <v>15.049999999999997</v>
      </c>
      <c r="M894" s="9">
        <v>119.25</v>
      </c>
      <c r="N894">
        <f>SUM(Tableau1[[#This Row],[0_100m]:[700_800m]])</f>
        <v>119.25</v>
      </c>
      <c r="O894">
        <f>ABS(Tableau1[[#This Row],[Final_time]]-Tableau1[[#This Row],[Sum_time]])</f>
        <v>0</v>
      </c>
      <c r="P894" s="8"/>
      <c r="Q894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4" t="s">
        <v>414</v>
      </c>
      <c r="S894" s="1" t="s">
        <v>68</v>
      </c>
      <c r="U894" s="1" t="s">
        <v>69</v>
      </c>
      <c r="V894" s="1">
        <v>44812</v>
      </c>
      <c r="W894" s="4">
        <f>YEAR(Tableau1[[#This Row],[Competition_date]])</f>
        <v>2022</v>
      </c>
      <c r="X894" s="4">
        <v>17</v>
      </c>
      <c r="Y894" s="6">
        <v>0.72</v>
      </c>
      <c r="Z894" s="4" t="s">
        <v>80</v>
      </c>
      <c r="AA894" t="s">
        <v>176</v>
      </c>
    </row>
    <row r="895" spans="1:27" hidden="1" x14ac:dyDescent="0.35">
      <c r="A895" t="str">
        <f>_xlfn.CONCAT(Tableau1[[#This Row],[Athletes]],"_",Tableau1[[#This Row],[Nationality]],"_",Tableau1[[#This Row],[Competition_year]])</f>
        <v>Rénelle LAMOTE_FRA_2022</v>
      </c>
      <c r="B895" s="9" t="s">
        <v>225</v>
      </c>
      <c r="C895" s="9" t="s">
        <v>29</v>
      </c>
      <c r="D895" s="12" t="s">
        <v>17</v>
      </c>
      <c r="E895" s="9">
        <v>13.8</v>
      </c>
      <c r="F895" s="9">
        <v>13.4</v>
      </c>
      <c r="G895" s="9">
        <v>15.2</v>
      </c>
      <c r="H895" s="9">
        <v>15.2</v>
      </c>
      <c r="I895" s="9">
        <v>15.6</v>
      </c>
      <c r="J895" s="9">
        <v>15.2</v>
      </c>
      <c r="K895" s="9">
        <v>15</v>
      </c>
      <c r="L895">
        <f>Tableau1[[#This Row],[Final_time]]-SUM(Tableau1[[#This Row],[0_100m]:[600_700m]])</f>
        <v>15.97999999999999</v>
      </c>
      <c r="M895" s="9">
        <v>119.38</v>
      </c>
      <c r="N895">
        <f>SUM(Tableau1[[#This Row],[0_100m]:[700_800m]])</f>
        <v>119.38</v>
      </c>
      <c r="O895">
        <f>ABS(Tableau1[[#This Row],[Final_time]]-Tableau1[[#This Row],[Sum_time]])</f>
        <v>0</v>
      </c>
      <c r="P895" s="8"/>
      <c r="Q895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5" t="s">
        <v>414</v>
      </c>
      <c r="S895" s="1" t="s">
        <v>68</v>
      </c>
      <c r="U895" s="1" t="s">
        <v>69</v>
      </c>
      <c r="V895" s="1">
        <v>44812</v>
      </c>
      <c r="W895" s="4">
        <f>YEAR(Tableau1[[#This Row],[Competition_date]])</f>
        <v>2022</v>
      </c>
      <c r="X895" s="4">
        <v>17</v>
      </c>
      <c r="Y895" s="6">
        <v>0.72</v>
      </c>
      <c r="Z895" s="4" t="s">
        <v>80</v>
      </c>
      <c r="AA895" t="s">
        <v>176</v>
      </c>
    </row>
    <row r="896" spans="1:27" hidden="1" x14ac:dyDescent="0.35">
      <c r="A896" t="str">
        <f>_xlfn.CONCAT(Tableau1[[#This Row],[Athletes]],"_",Tableau1[[#This Row],[Nationality]],"_",Tableau1[[#This Row],[Competition_year]])</f>
        <v>Lore HOFFMANN_SUI_2022</v>
      </c>
      <c r="B896" s="9" t="s">
        <v>224</v>
      </c>
      <c r="C896" s="9" t="s">
        <v>29</v>
      </c>
      <c r="D896" s="12" t="s">
        <v>73</v>
      </c>
      <c r="E896" s="9">
        <v>14.5</v>
      </c>
      <c r="F896" s="9">
        <v>13.9</v>
      </c>
      <c r="G896" s="9">
        <v>15</v>
      </c>
      <c r="H896" s="9">
        <v>15.3</v>
      </c>
      <c r="I896" s="9">
        <v>15.4</v>
      </c>
      <c r="J896" s="9">
        <v>14.9</v>
      </c>
      <c r="K896" s="9">
        <v>14.9</v>
      </c>
      <c r="L896">
        <f>Tableau1[[#This Row],[Final_time]]-SUM(Tableau1[[#This Row],[0_100m]:[600_700m]])</f>
        <v>15.789999999999978</v>
      </c>
      <c r="M896" s="9">
        <v>119.69</v>
      </c>
      <c r="N896">
        <f>SUM(Tableau1[[#This Row],[0_100m]:[700_800m]])</f>
        <v>119.69</v>
      </c>
      <c r="O896">
        <f>ABS(Tableau1[[#This Row],[Final_time]]-Tableau1[[#This Row],[Sum_time]])</f>
        <v>0</v>
      </c>
      <c r="P896" s="8"/>
      <c r="Q896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6" t="s">
        <v>414</v>
      </c>
      <c r="S896" s="1" t="s">
        <v>68</v>
      </c>
      <c r="U896" s="1" t="s">
        <v>69</v>
      </c>
      <c r="V896" s="1">
        <v>44812</v>
      </c>
      <c r="W896" s="4">
        <f>YEAR(Tableau1[[#This Row],[Competition_date]])</f>
        <v>2022</v>
      </c>
      <c r="X896" s="4">
        <v>17</v>
      </c>
      <c r="Y896" s="6">
        <v>0.72</v>
      </c>
      <c r="Z896" s="4" t="s">
        <v>80</v>
      </c>
      <c r="AA896" t="s">
        <v>176</v>
      </c>
    </row>
    <row r="897" spans="1:27" hidden="1" x14ac:dyDescent="0.35">
      <c r="A897" t="str">
        <f>_xlfn.CONCAT(Tableau1[[#This Row],[Athletes]],"_",Tableau1[[#This Row],[Nationality]],"_",Tableau1[[#This Row],[Competition_year]])</f>
        <v>Elena BELLÒ_ITA_2022</v>
      </c>
      <c r="B897" s="9" t="s">
        <v>261</v>
      </c>
      <c r="C897" s="9" t="s">
        <v>29</v>
      </c>
      <c r="D897" s="12" t="s">
        <v>20</v>
      </c>
      <c r="E897" s="9">
        <v>13.9</v>
      </c>
      <c r="F897" s="9">
        <v>13.5</v>
      </c>
      <c r="G897" s="9">
        <v>15.3</v>
      </c>
      <c r="H897" s="9">
        <v>15.5</v>
      </c>
      <c r="I897" s="9">
        <v>15.5</v>
      </c>
      <c r="J897" s="9">
        <v>15.2</v>
      </c>
      <c r="K897" s="9">
        <v>15.3</v>
      </c>
      <c r="L897">
        <f>Tableau1[[#This Row],[Final_time]]-SUM(Tableau1[[#This Row],[0_100m]:[600_700m]])</f>
        <v>16.039999999999992</v>
      </c>
      <c r="M897" s="9">
        <v>120.24</v>
      </c>
      <c r="N897">
        <f>SUM(Tableau1[[#This Row],[0_100m]:[700_800m]])</f>
        <v>120.24</v>
      </c>
      <c r="O897">
        <f>ABS(Tableau1[[#This Row],[Final_time]]-Tableau1[[#This Row],[Sum_time]])</f>
        <v>0</v>
      </c>
      <c r="P897" s="8"/>
      <c r="Q897" s="1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R897" t="s">
        <v>414</v>
      </c>
      <c r="S897" s="1" t="s">
        <v>68</v>
      </c>
      <c r="U897" s="1" t="s">
        <v>69</v>
      </c>
      <c r="V897" s="1">
        <v>44812</v>
      </c>
      <c r="W897" s="4">
        <f>YEAR(Tableau1[[#This Row],[Competition_date]])</f>
        <v>2022</v>
      </c>
      <c r="X897" s="4">
        <v>17</v>
      </c>
      <c r="Y897" s="6">
        <v>0.72</v>
      </c>
      <c r="Z897" s="4" t="s">
        <v>80</v>
      </c>
      <c r="AA897" t="s">
        <v>176</v>
      </c>
    </row>
    <row r="898" spans="1:27" hidden="1" x14ac:dyDescent="0.35">
      <c r="A898" t="str">
        <f>_xlfn.CONCAT(Tableau1[[#This Row],[Athletes]],"_",Tableau1[[#This Row],[Nationality]],"_",Tableau1[[#This Row],[Competition_year]])</f>
        <v>Emmanuel Kipkurui KORIR_KEN_2022</v>
      </c>
      <c r="B898" s="9" t="s">
        <v>201</v>
      </c>
      <c r="C898" s="9" t="s">
        <v>14</v>
      </c>
      <c r="D898" s="12" t="s">
        <v>15</v>
      </c>
      <c r="E898" s="9">
        <v>12.9</v>
      </c>
      <c r="F898" s="9">
        <v>12.3</v>
      </c>
      <c r="G898" s="9">
        <v>13.2</v>
      </c>
      <c r="H898" s="9">
        <v>13</v>
      </c>
      <c r="I898" s="9">
        <v>13.4</v>
      </c>
      <c r="J898" s="9">
        <v>12.6</v>
      </c>
      <c r="K898" s="9">
        <v>12.7</v>
      </c>
      <c r="L898">
        <f>Tableau1[[#This Row],[Final_time]]-SUM(Tableau1[[#This Row],[0_100m]:[600_700m]])</f>
        <v>13.159999999999997</v>
      </c>
      <c r="M898" s="9">
        <v>103.26</v>
      </c>
      <c r="N898">
        <f>SUM(Tableau1[[#This Row],[0_100m]:[700_800m]])</f>
        <v>103.26</v>
      </c>
      <c r="O898">
        <f>ABS(Tableau1[[#This Row],[Final_time]]-Tableau1[[#This Row],[Sum_time]])</f>
        <v>0</v>
      </c>
      <c r="P898" s="8"/>
      <c r="Q898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898" t="s">
        <v>414</v>
      </c>
      <c r="S898" s="1" t="s">
        <v>68</v>
      </c>
      <c r="U898" s="1" t="s">
        <v>69</v>
      </c>
      <c r="V898" s="1">
        <v>44812</v>
      </c>
      <c r="W898" s="4">
        <f>YEAR(Tableau1[[#This Row],[Competition_date]])</f>
        <v>2022</v>
      </c>
      <c r="X898" s="4">
        <v>17</v>
      </c>
      <c r="Y898" s="6">
        <v>0.72</v>
      </c>
      <c r="Z898" s="4" t="s">
        <v>80</v>
      </c>
      <c r="AA898" t="s">
        <v>176</v>
      </c>
    </row>
    <row r="899" spans="1:27" hidden="1" x14ac:dyDescent="0.35">
      <c r="A899" t="str">
        <f>_xlfn.CONCAT(Tableau1[[#This Row],[Athletes]],"_",Tableau1[[#This Row],[Nationality]],"_",Tableau1[[#This Row],[Competition_year]])</f>
        <v>Marco AROP_CAN_2022</v>
      </c>
      <c r="B899" s="9" t="s">
        <v>177</v>
      </c>
      <c r="C899" s="9" t="s">
        <v>14</v>
      </c>
      <c r="D899" s="12" t="s">
        <v>19</v>
      </c>
      <c r="E899" s="9">
        <v>12.8</v>
      </c>
      <c r="F899" s="9">
        <v>12.2</v>
      </c>
      <c r="G899" s="9">
        <v>13</v>
      </c>
      <c r="H899" s="9">
        <v>13.3</v>
      </c>
      <c r="I899" s="9">
        <v>13.3</v>
      </c>
      <c r="J899" s="9">
        <v>12.2</v>
      </c>
      <c r="K899" s="9">
        <v>12.6</v>
      </c>
      <c r="L899">
        <f>Tableau1[[#This Row],[Final_time]]-SUM(Tableau1[[#This Row],[0_100m]:[600_700m]])</f>
        <v>13.980000000000004</v>
      </c>
      <c r="M899" s="9">
        <v>103.38</v>
      </c>
      <c r="N899">
        <f>SUM(Tableau1[[#This Row],[0_100m]:[700_800m]])</f>
        <v>103.38</v>
      </c>
      <c r="O899">
        <f>ABS(Tableau1[[#This Row],[Final_time]]-Tableau1[[#This Row],[Sum_time]])</f>
        <v>0</v>
      </c>
      <c r="P899" s="8"/>
      <c r="Q899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899" t="s">
        <v>414</v>
      </c>
      <c r="S899" s="1" t="s">
        <v>68</v>
      </c>
      <c r="U899" s="1" t="s">
        <v>69</v>
      </c>
      <c r="V899" s="1">
        <v>44812</v>
      </c>
      <c r="W899" s="4">
        <f>YEAR(Tableau1[[#This Row],[Competition_date]])</f>
        <v>2022</v>
      </c>
      <c r="X899" s="4">
        <v>17</v>
      </c>
      <c r="Y899" s="6">
        <v>0.72</v>
      </c>
      <c r="Z899" s="4" t="s">
        <v>80</v>
      </c>
      <c r="AA899" t="s">
        <v>176</v>
      </c>
    </row>
    <row r="900" spans="1:27" hidden="1" x14ac:dyDescent="0.35">
      <c r="A900" t="str">
        <f>_xlfn.CONCAT(Tableau1[[#This Row],[Athletes]],"_",Tableau1[[#This Row],[Nationality]],"_",Tableau1[[#This Row],[Competition_year]])</f>
        <v>Jake WIGHTMAN_GBR_2022</v>
      </c>
      <c r="B900" s="9" t="s">
        <v>339</v>
      </c>
      <c r="C900" s="9" t="s">
        <v>14</v>
      </c>
      <c r="D900" s="12" t="s">
        <v>30</v>
      </c>
      <c r="E900" s="9">
        <v>12.7</v>
      </c>
      <c r="F900" s="9">
        <v>12.4</v>
      </c>
      <c r="G900" s="9">
        <v>13.1</v>
      </c>
      <c r="H900" s="9">
        <v>12.9</v>
      </c>
      <c r="I900" s="9">
        <v>13.2</v>
      </c>
      <c r="J900" s="9">
        <v>12.8</v>
      </c>
      <c r="K900" s="9">
        <v>12.9</v>
      </c>
      <c r="L900">
        <f>Tableau1[[#This Row],[Final_time]]-SUM(Tableau1[[#This Row],[0_100m]:[600_700m]])</f>
        <v>14.099999999999994</v>
      </c>
      <c r="M900" s="9">
        <v>104.1</v>
      </c>
      <c r="N900">
        <f>SUM(Tableau1[[#This Row],[0_100m]:[700_800m]])</f>
        <v>104.1</v>
      </c>
      <c r="O900">
        <f>ABS(Tableau1[[#This Row],[Final_time]]-Tableau1[[#This Row],[Sum_time]])</f>
        <v>0</v>
      </c>
      <c r="P900" s="8"/>
      <c r="Q900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900" t="s">
        <v>414</v>
      </c>
      <c r="S900" s="1" t="s">
        <v>68</v>
      </c>
      <c r="U900" s="1" t="s">
        <v>69</v>
      </c>
      <c r="V900" s="1">
        <v>44812</v>
      </c>
      <c r="W900" s="4">
        <f>YEAR(Tableau1[[#This Row],[Competition_date]])</f>
        <v>2022</v>
      </c>
      <c r="X900" s="4">
        <v>17</v>
      </c>
      <c r="Y900" s="6">
        <v>0.72</v>
      </c>
      <c r="Z900" s="4" t="s">
        <v>80</v>
      </c>
      <c r="AA900" t="s">
        <v>176</v>
      </c>
    </row>
    <row r="901" spans="1:27" hidden="1" x14ac:dyDescent="0.35">
      <c r="A901" t="str">
        <f>_xlfn.CONCAT(Tableau1[[#This Row],[Athletes]],"_",Tableau1[[#This Row],[Nationality]],"_",Tableau1[[#This Row],[Competition_year]])</f>
        <v>Wyclife KINYAMAL_KEN_2022</v>
      </c>
      <c r="B901" s="9" t="s">
        <v>174</v>
      </c>
      <c r="C901" s="9" t="s">
        <v>14</v>
      </c>
      <c r="D901" s="12" t="s">
        <v>15</v>
      </c>
      <c r="E901" s="9">
        <v>12.5</v>
      </c>
      <c r="F901" s="9">
        <v>12.4</v>
      </c>
      <c r="G901" s="9">
        <v>13.5</v>
      </c>
      <c r="H901" s="9">
        <v>12.9</v>
      </c>
      <c r="I901" s="9">
        <v>13.1</v>
      </c>
      <c r="J901" s="9">
        <v>12.7</v>
      </c>
      <c r="K901" s="9">
        <v>12.8</v>
      </c>
      <c r="L901">
        <f>Tableau1[[#This Row],[Final_time]]-SUM(Tableau1[[#This Row],[0_100m]:[600_700m]])</f>
        <v>14.570000000000007</v>
      </c>
      <c r="M901" s="9">
        <v>104.47</v>
      </c>
      <c r="N901">
        <f>SUM(Tableau1[[#This Row],[0_100m]:[700_800m]])</f>
        <v>104.47</v>
      </c>
      <c r="O901">
        <f>ABS(Tableau1[[#This Row],[Final_time]]-Tableau1[[#This Row],[Sum_time]])</f>
        <v>0</v>
      </c>
      <c r="P901" s="8"/>
      <c r="Q901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901" t="s">
        <v>414</v>
      </c>
      <c r="S901" s="1" t="s">
        <v>68</v>
      </c>
      <c r="U901" s="1" t="s">
        <v>69</v>
      </c>
      <c r="V901" s="1">
        <v>44812</v>
      </c>
      <c r="W901" s="4">
        <f>YEAR(Tableau1[[#This Row],[Competition_date]])</f>
        <v>2022</v>
      </c>
      <c r="X901" s="4">
        <v>17</v>
      </c>
      <c r="Y901" s="6">
        <v>0.72</v>
      </c>
      <c r="Z901" s="4" t="s">
        <v>80</v>
      </c>
      <c r="AA901" t="s">
        <v>176</v>
      </c>
    </row>
    <row r="902" spans="1:27" hidden="1" x14ac:dyDescent="0.35">
      <c r="A902" t="str">
        <f>_xlfn.CONCAT(Tableau1[[#This Row],[Athletes]],"_",Tableau1[[#This Row],[Nationality]],"_",Tableau1[[#This Row],[Competition_year]])</f>
        <v>Bryce HOPPEL_USA_2022</v>
      </c>
      <c r="B902" s="9" t="s">
        <v>173</v>
      </c>
      <c r="C902" s="9" t="s">
        <v>14</v>
      </c>
      <c r="D902" s="12" t="s">
        <v>35</v>
      </c>
      <c r="E902" s="9">
        <v>12.9</v>
      </c>
      <c r="F902" s="9">
        <v>12.5</v>
      </c>
      <c r="G902" s="9">
        <v>13.4</v>
      </c>
      <c r="H902" s="9">
        <v>13</v>
      </c>
      <c r="I902" s="9">
        <v>13.3</v>
      </c>
      <c r="J902" s="9">
        <v>13.1</v>
      </c>
      <c r="K902" s="9">
        <v>13.1</v>
      </c>
      <c r="L902">
        <f>Tableau1[[#This Row],[Final_time]]-SUM(Tableau1[[#This Row],[0_100m]:[600_700m]])</f>
        <v>13.470000000000013</v>
      </c>
      <c r="M902" s="9">
        <v>104.77</v>
      </c>
      <c r="N902">
        <f>SUM(Tableau1[[#This Row],[0_100m]:[700_800m]])</f>
        <v>104.77</v>
      </c>
      <c r="O902">
        <f>ABS(Tableau1[[#This Row],[Final_time]]-Tableau1[[#This Row],[Sum_time]])</f>
        <v>0</v>
      </c>
      <c r="P902" s="8"/>
      <c r="Q902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902" t="s">
        <v>414</v>
      </c>
      <c r="S902" s="1" t="s">
        <v>68</v>
      </c>
      <c r="U902" s="1" t="s">
        <v>69</v>
      </c>
      <c r="V902" s="1">
        <v>44812</v>
      </c>
      <c r="W902" s="4">
        <f>YEAR(Tableau1[[#This Row],[Competition_date]])</f>
        <v>2022</v>
      </c>
      <c r="X902" s="4">
        <v>17</v>
      </c>
      <c r="Y902" s="6">
        <v>0.72</v>
      </c>
      <c r="Z902" s="4" t="s">
        <v>80</v>
      </c>
      <c r="AA902" t="s">
        <v>176</v>
      </c>
    </row>
    <row r="903" spans="1:27" hidden="1" x14ac:dyDescent="0.35">
      <c r="A903" t="str">
        <f>_xlfn.CONCAT(Tableau1[[#This Row],[Athletes]],"_",Tableau1[[#This Row],[Nationality]],"_",Tableau1[[#This Row],[Competition_year]])</f>
        <v>Andreas KRAMER_SWE_2022</v>
      </c>
      <c r="B903" s="9" t="s">
        <v>186</v>
      </c>
      <c r="C903" s="9" t="s">
        <v>14</v>
      </c>
      <c r="D903" s="12" t="s">
        <v>28</v>
      </c>
      <c r="E903" s="9">
        <v>13</v>
      </c>
      <c r="F903" s="9">
        <v>12.6</v>
      </c>
      <c r="G903" s="9">
        <v>13.4</v>
      </c>
      <c r="H903" s="9">
        <v>13.3</v>
      </c>
      <c r="I903" s="9">
        <v>13.4</v>
      </c>
      <c r="J903" s="9">
        <v>13.1</v>
      </c>
      <c r="K903" s="9">
        <v>12.9</v>
      </c>
      <c r="L903">
        <f>Tableau1[[#This Row],[Final_time]]-SUM(Tableau1[[#This Row],[0_100m]:[600_700m]])</f>
        <v>13.239999999999995</v>
      </c>
      <c r="M903" s="9">
        <v>104.94</v>
      </c>
      <c r="N903">
        <f>SUM(Tableau1[[#This Row],[0_100m]:[700_800m]])</f>
        <v>104.94</v>
      </c>
      <c r="O903">
        <f>ABS(Tableau1[[#This Row],[Final_time]]-Tableau1[[#This Row],[Sum_time]])</f>
        <v>0</v>
      </c>
      <c r="P903" s="8"/>
      <c r="Q903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903" t="s">
        <v>414</v>
      </c>
      <c r="S903" s="1" t="s">
        <v>68</v>
      </c>
      <c r="U903" s="1" t="s">
        <v>69</v>
      </c>
      <c r="V903" s="1">
        <v>44812</v>
      </c>
      <c r="W903" s="4">
        <f>YEAR(Tableau1[[#This Row],[Competition_date]])</f>
        <v>2022</v>
      </c>
      <c r="X903" s="4">
        <v>17</v>
      </c>
      <c r="Y903" s="6">
        <v>0.72</v>
      </c>
      <c r="Z903" s="4" t="s">
        <v>80</v>
      </c>
      <c r="AA903" t="s">
        <v>176</v>
      </c>
    </row>
    <row r="904" spans="1:27" hidden="1" x14ac:dyDescent="0.35">
      <c r="A904" t="str">
        <f>_xlfn.CONCAT(Tableau1[[#This Row],[Athletes]],"_",Tableau1[[#This Row],[Nationality]],"_",Tableau1[[#This Row],[Competition_year]])</f>
        <v>Gabriel TUAL_FRA_2022</v>
      </c>
      <c r="B904" s="9" t="s">
        <v>180</v>
      </c>
      <c r="C904" s="9" t="s">
        <v>14</v>
      </c>
      <c r="D904" s="12" t="s">
        <v>17</v>
      </c>
      <c r="E904" s="9">
        <v>12.9</v>
      </c>
      <c r="F904" s="9">
        <v>11.9</v>
      </c>
      <c r="G904" s="9">
        <v>13</v>
      </c>
      <c r="H904" s="9">
        <v>13.1</v>
      </c>
      <c r="I904" s="9">
        <v>13.2</v>
      </c>
      <c r="J904" s="9">
        <v>13.2</v>
      </c>
      <c r="K904" s="9">
        <v>13.5</v>
      </c>
      <c r="L904">
        <f>Tableau1[[#This Row],[Final_time]]-SUM(Tableau1[[#This Row],[0_100m]:[600_700m]])</f>
        <v>14.450000000000003</v>
      </c>
      <c r="M904" s="9">
        <v>105.25</v>
      </c>
      <c r="N904">
        <f>SUM(Tableau1[[#This Row],[0_100m]:[700_800m]])</f>
        <v>105.25</v>
      </c>
      <c r="O904">
        <f>ABS(Tableau1[[#This Row],[Final_time]]-Tableau1[[#This Row],[Sum_time]])</f>
        <v>0</v>
      </c>
      <c r="P904" s="8"/>
      <c r="Q904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904" t="s">
        <v>414</v>
      </c>
      <c r="S904" s="1" t="s">
        <v>68</v>
      </c>
      <c r="U904" s="1" t="s">
        <v>69</v>
      </c>
      <c r="V904" s="1">
        <v>44812</v>
      </c>
      <c r="W904" s="4">
        <f>YEAR(Tableau1[[#This Row],[Competition_date]])</f>
        <v>2022</v>
      </c>
      <c r="X904" s="4">
        <v>17</v>
      </c>
      <c r="Y904" s="6">
        <v>0.72</v>
      </c>
      <c r="Z904" s="4" t="s">
        <v>80</v>
      </c>
      <c r="AA904" t="s">
        <v>176</v>
      </c>
    </row>
    <row r="905" spans="1:27" hidden="1" x14ac:dyDescent="0.35">
      <c r="A905" t="str">
        <f>_xlfn.CONCAT(Tableau1[[#This Row],[Athletes]],"_",Tableau1[[#This Row],[Nationality]],"_",Tableau1[[#This Row],[Competition_year]])</f>
        <v>Benjamin ROBERT_FRA_2022</v>
      </c>
      <c r="B905" s="9" t="s">
        <v>111</v>
      </c>
      <c r="C905" s="9" t="s">
        <v>14</v>
      </c>
      <c r="D905" s="12" t="s">
        <v>17</v>
      </c>
      <c r="E905" s="9">
        <v>12.9</v>
      </c>
      <c r="F905" s="9">
        <v>12.3</v>
      </c>
      <c r="G905" s="9">
        <v>13.5</v>
      </c>
      <c r="H905" s="9">
        <v>13.4</v>
      </c>
      <c r="I905" s="9">
        <v>13.7</v>
      </c>
      <c r="J905" s="9">
        <v>13.9</v>
      </c>
      <c r="K905" s="9">
        <v>14</v>
      </c>
      <c r="L905">
        <f>Tableau1[[#This Row],[Final_time]]-SUM(Tableau1[[#This Row],[0_100m]:[600_700m]])</f>
        <v>14.409999999999997</v>
      </c>
      <c r="M905" s="9">
        <v>108.11</v>
      </c>
      <c r="N905">
        <f>SUM(Tableau1[[#This Row],[0_100m]:[700_800m]])</f>
        <v>108.11</v>
      </c>
      <c r="O905">
        <f>ABS(Tableau1[[#This Row],[Final_time]]-Tableau1[[#This Row],[Sum_time]])</f>
        <v>0</v>
      </c>
      <c r="P905" s="8"/>
      <c r="Q905" s="1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R905" t="s">
        <v>414</v>
      </c>
      <c r="S905" s="1" t="s">
        <v>68</v>
      </c>
      <c r="U905" s="1" t="s">
        <v>69</v>
      </c>
      <c r="V905" s="1">
        <v>44812</v>
      </c>
      <c r="W905" s="4">
        <f>YEAR(Tableau1[[#This Row],[Competition_date]])</f>
        <v>2022</v>
      </c>
      <c r="X905" s="4">
        <v>17</v>
      </c>
      <c r="Y905" s="6">
        <v>0.72</v>
      </c>
      <c r="Z905" s="4" t="s">
        <v>80</v>
      </c>
      <c r="AA905" t="s">
        <v>176</v>
      </c>
    </row>
    <row r="906" spans="1:27" hidden="1" x14ac:dyDescent="0.35">
      <c r="A906" t="str">
        <f>_xlfn.CONCAT(Tableau1[[#This Row],[Athletes]],"_",Tableau1[[#This Row],[Nationality]],"_",Tableau1[[#This Row],[Competition_year]])</f>
        <v>Laura MUIR_GBR_2023</v>
      </c>
      <c r="B906" t="s">
        <v>328</v>
      </c>
      <c r="C906" t="s">
        <v>29</v>
      </c>
      <c r="D906" s="18" t="s">
        <v>30</v>
      </c>
      <c r="E906">
        <v>14.1</v>
      </c>
      <c r="F906">
        <v>13.7</v>
      </c>
      <c r="G906">
        <v>14.8</v>
      </c>
      <c r="H906">
        <v>14.8</v>
      </c>
      <c r="I906">
        <v>15.1</v>
      </c>
      <c r="J906">
        <v>14.8</v>
      </c>
      <c r="K906">
        <v>14.9</v>
      </c>
      <c r="L906">
        <f>Tableau1[[#This Row],[Final_time]]-SUM(Tableau1[[#This Row],[0_100m]:[600_700m]])</f>
        <v>15.510000000000005</v>
      </c>
      <c r="M906">
        <v>117.71</v>
      </c>
      <c r="N906">
        <f>SUM(Tableau1[[#This Row],[0_100m]:[700_800m]])</f>
        <v>117.71</v>
      </c>
      <c r="O906">
        <f>ABS(Tableau1[[#This Row],[Final_time]]-Tableau1[[#This Row],[Sum_time]])</f>
        <v>0</v>
      </c>
      <c r="P906" s="8"/>
      <c r="Q906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06" t="s">
        <v>330</v>
      </c>
      <c r="S906" s="1" t="s">
        <v>68</v>
      </c>
      <c r="U906" s="1" t="s">
        <v>69</v>
      </c>
      <c r="V906" s="1">
        <v>45169</v>
      </c>
      <c r="W906" s="4">
        <f>YEAR(Tableau1[[#This Row],[Competition_date]])</f>
        <v>2023</v>
      </c>
      <c r="X906" s="4">
        <v>16</v>
      </c>
      <c r="Y906" s="6">
        <v>0.84</v>
      </c>
      <c r="Z906" s="4" t="s">
        <v>299</v>
      </c>
      <c r="AA906" t="s">
        <v>176</v>
      </c>
    </row>
    <row r="907" spans="1:27" hidden="1" x14ac:dyDescent="0.35">
      <c r="A907" t="str">
        <f>_xlfn.CONCAT(Tableau1[[#This Row],[Athletes]],"_",Tableau1[[#This Row],[Nationality]],"_",Tableau1[[#This Row],[Competition_year]])</f>
        <v>Catriona BISSET_AUS_2023</v>
      </c>
      <c r="B907" t="s">
        <v>217</v>
      </c>
      <c r="C907" t="s">
        <v>29</v>
      </c>
      <c r="D907" s="18" t="s">
        <v>36</v>
      </c>
      <c r="E907">
        <v>13.8</v>
      </c>
      <c r="F907">
        <v>13.2</v>
      </c>
      <c r="G907">
        <v>14.9</v>
      </c>
      <c r="H907">
        <v>15.6</v>
      </c>
      <c r="I907">
        <v>15.3</v>
      </c>
      <c r="J907">
        <v>14.9</v>
      </c>
      <c r="K907">
        <v>15.4</v>
      </c>
      <c r="L907">
        <f>Tableau1[[#This Row],[Final_time]]-SUM(Tableau1[[#This Row],[0_100m]:[600_700m]])</f>
        <v>15.669999999999987</v>
      </c>
      <c r="M907">
        <v>118.77</v>
      </c>
      <c r="N907">
        <f>SUM(Tableau1[[#This Row],[0_100m]:[700_800m]])</f>
        <v>118.77</v>
      </c>
      <c r="O907">
        <f>ABS(Tableau1[[#This Row],[Final_time]]-Tableau1[[#This Row],[Sum_time]])</f>
        <v>0</v>
      </c>
      <c r="P907" s="8"/>
      <c r="Q907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07" t="s">
        <v>330</v>
      </c>
      <c r="S907" s="1" t="s">
        <v>68</v>
      </c>
      <c r="U907" s="1" t="s">
        <v>69</v>
      </c>
      <c r="V907" s="1">
        <v>45169</v>
      </c>
      <c r="W907" s="4">
        <f>YEAR(Tableau1[[#This Row],[Competition_date]])</f>
        <v>2023</v>
      </c>
      <c r="X907" s="4">
        <v>16</v>
      </c>
      <c r="Y907" s="6">
        <v>0.84</v>
      </c>
      <c r="Z907" s="4" t="s">
        <v>299</v>
      </c>
      <c r="AA907" t="s">
        <v>176</v>
      </c>
    </row>
    <row r="908" spans="1:27" hidden="1" x14ac:dyDescent="0.35">
      <c r="A908" t="str">
        <f>_xlfn.CONCAT(Tableau1[[#This Row],[Athletes]],"_",Tableau1[[#This Row],[Nationality]],"_",Tableau1[[#This Row],[Competition_year]])</f>
        <v>Adelle TRACEY_JAM_2023</v>
      </c>
      <c r="B908" t="s">
        <v>231</v>
      </c>
      <c r="C908" t="s">
        <v>29</v>
      </c>
      <c r="D908" s="18" t="s">
        <v>33</v>
      </c>
      <c r="E908">
        <v>13.9</v>
      </c>
      <c r="F908">
        <v>13.6</v>
      </c>
      <c r="G908">
        <v>15</v>
      </c>
      <c r="H908">
        <v>15.8</v>
      </c>
      <c r="I908">
        <v>15.5</v>
      </c>
      <c r="J908">
        <v>14.9</v>
      </c>
      <c r="K908">
        <v>15.3</v>
      </c>
      <c r="L908">
        <f>Tableau1[[#This Row],[Final_time]]-SUM(Tableau1[[#This Row],[0_100m]:[600_700m]])</f>
        <v>15.049999999999997</v>
      </c>
      <c r="M908">
        <v>119.05</v>
      </c>
      <c r="N908">
        <f>SUM(Tableau1[[#This Row],[0_100m]:[700_800m]])</f>
        <v>119.05</v>
      </c>
      <c r="O908">
        <f>ABS(Tableau1[[#This Row],[Final_time]]-Tableau1[[#This Row],[Sum_time]])</f>
        <v>0</v>
      </c>
      <c r="P908" s="8"/>
      <c r="Q908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08" t="s">
        <v>330</v>
      </c>
      <c r="S908" s="1" t="s">
        <v>68</v>
      </c>
      <c r="U908" s="1" t="s">
        <v>69</v>
      </c>
      <c r="V908" s="1">
        <v>45169</v>
      </c>
      <c r="W908" s="4">
        <f>YEAR(Tableau1[[#This Row],[Competition_date]])</f>
        <v>2023</v>
      </c>
      <c r="X908" s="4">
        <v>16</v>
      </c>
      <c r="Y908" s="6">
        <v>0.84</v>
      </c>
      <c r="Z908" s="4" t="s">
        <v>299</v>
      </c>
      <c r="AA908" t="s">
        <v>176</v>
      </c>
    </row>
    <row r="909" spans="1:27" hidden="1" x14ac:dyDescent="0.35">
      <c r="A909" t="str">
        <f>_xlfn.CONCAT(Tableau1[[#This Row],[Athletes]],"_",Tableau1[[#This Row],[Nationality]],"_",Tableau1[[#This Row],[Competition_year]])</f>
        <v>Nia AKINS_USA_2023</v>
      </c>
      <c r="B909" t="s">
        <v>213</v>
      </c>
      <c r="C909" t="s">
        <v>29</v>
      </c>
      <c r="D909" s="18" t="s">
        <v>35</v>
      </c>
      <c r="E909">
        <v>13.9</v>
      </c>
      <c r="F909">
        <v>13.4</v>
      </c>
      <c r="G909">
        <v>15</v>
      </c>
      <c r="H909">
        <v>15.8</v>
      </c>
      <c r="I909">
        <v>15.4</v>
      </c>
      <c r="J909">
        <v>15.4</v>
      </c>
      <c r="K909">
        <v>15.3</v>
      </c>
      <c r="L909">
        <f>Tableau1[[#This Row],[Final_time]]-SUM(Tableau1[[#This Row],[0_100m]:[600_700m]])</f>
        <v>15.090000000000003</v>
      </c>
      <c r="M909">
        <v>119.29</v>
      </c>
      <c r="N909">
        <f>SUM(Tableau1[[#This Row],[0_100m]:[700_800m]])</f>
        <v>119.29</v>
      </c>
      <c r="O909">
        <f>ABS(Tableau1[[#This Row],[Final_time]]-Tableau1[[#This Row],[Sum_time]])</f>
        <v>0</v>
      </c>
      <c r="P909" s="8"/>
      <c r="Q909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09" t="s">
        <v>330</v>
      </c>
      <c r="S909" s="1" t="s">
        <v>68</v>
      </c>
      <c r="U909" s="1" t="s">
        <v>69</v>
      </c>
      <c r="V909" s="1">
        <v>45169</v>
      </c>
      <c r="W909" s="4">
        <f>YEAR(Tableau1[[#This Row],[Competition_date]])</f>
        <v>2023</v>
      </c>
      <c r="X909" s="4">
        <v>16</v>
      </c>
      <c r="Y909" s="6">
        <v>0.84</v>
      </c>
      <c r="Z909" s="4" t="s">
        <v>299</v>
      </c>
      <c r="AA909" t="s">
        <v>176</v>
      </c>
    </row>
    <row r="910" spans="1:27" hidden="1" x14ac:dyDescent="0.35">
      <c r="A910" t="str">
        <f>_xlfn.CONCAT(Tableau1[[#This Row],[Athletes]],"_",Tableau1[[#This Row],[Nationality]],"_",Tableau1[[#This Row],[Competition_year]])</f>
        <v>Rénelle LAMOTE_FRA_2023</v>
      </c>
      <c r="B910" t="s">
        <v>225</v>
      </c>
      <c r="C910" t="s">
        <v>29</v>
      </c>
      <c r="D910" s="18" t="s">
        <v>17</v>
      </c>
      <c r="E910">
        <v>13.6</v>
      </c>
      <c r="F910">
        <v>12.9</v>
      </c>
      <c r="G910">
        <v>14.9</v>
      </c>
      <c r="H910">
        <v>15.4</v>
      </c>
      <c r="I910">
        <v>15.3</v>
      </c>
      <c r="J910">
        <v>15.3</v>
      </c>
      <c r="K910">
        <v>15.6</v>
      </c>
      <c r="L910">
        <f>Tableau1[[#This Row],[Final_time]]-SUM(Tableau1[[#This Row],[0_100m]:[600_700m]])</f>
        <v>16.330000000000013</v>
      </c>
      <c r="M910">
        <v>119.33</v>
      </c>
      <c r="N910">
        <f>SUM(Tableau1[[#This Row],[0_100m]:[700_800m]])</f>
        <v>119.33</v>
      </c>
      <c r="O910">
        <f>ABS(Tableau1[[#This Row],[Final_time]]-Tableau1[[#This Row],[Sum_time]])</f>
        <v>0</v>
      </c>
      <c r="P910" s="8"/>
      <c r="Q910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0" t="s">
        <v>330</v>
      </c>
      <c r="S910" s="1" t="s">
        <v>68</v>
      </c>
      <c r="U910" s="1" t="s">
        <v>69</v>
      </c>
      <c r="V910" s="1">
        <v>45169</v>
      </c>
      <c r="W910" s="4">
        <f>YEAR(Tableau1[[#This Row],[Competition_date]])</f>
        <v>2023</v>
      </c>
      <c r="X910" s="4">
        <v>16</v>
      </c>
      <c r="Y910" s="6">
        <v>0.84</v>
      </c>
      <c r="Z910" s="4" t="s">
        <v>299</v>
      </c>
      <c r="AA910" t="s">
        <v>176</v>
      </c>
    </row>
    <row r="911" spans="1:27" hidden="1" x14ac:dyDescent="0.35">
      <c r="A911" t="str">
        <f>_xlfn.CONCAT(Tableau1[[#This Row],[Athletes]],"_",Tableau1[[#This Row],[Nationality]],"_",Tableau1[[#This Row],[Competition_year]])</f>
        <v>Raevyn ROGERS_USA_2023</v>
      </c>
      <c r="B911" t="s">
        <v>221</v>
      </c>
      <c r="C911" t="s">
        <v>29</v>
      </c>
      <c r="D911" s="18" t="s">
        <v>35</v>
      </c>
      <c r="E911">
        <v>13.6</v>
      </c>
      <c r="F911">
        <v>13.6</v>
      </c>
      <c r="G911">
        <v>14.8</v>
      </c>
      <c r="H911">
        <v>15.9</v>
      </c>
      <c r="I911">
        <v>15.3</v>
      </c>
      <c r="J911">
        <v>14.8</v>
      </c>
      <c r="K911">
        <v>15.5</v>
      </c>
      <c r="L911">
        <f>Tableau1[[#This Row],[Final_time]]-SUM(Tableau1[[#This Row],[0_100m]:[600_700m]])</f>
        <v>15.849999999999994</v>
      </c>
      <c r="M911">
        <v>119.35</v>
      </c>
      <c r="N911">
        <f>SUM(Tableau1[[#This Row],[0_100m]:[700_800m]])</f>
        <v>119.35</v>
      </c>
      <c r="O911">
        <f>ABS(Tableau1[[#This Row],[Final_time]]-Tableau1[[#This Row],[Sum_time]])</f>
        <v>0</v>
      </c>
      <c r="P911" s="8"/>
      <c r="Q911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1" t="s">
        <v>330</v>
      </c>
      <c r="S911" s="1" t="s">
        <v>68</v>
      </c>
      <c r="U911" s="1" t="s">
        <v>69</v>
      </c>
      <c r="V911" s="1">
        <v>45169</v>
      </c>
      <c r="W911" s="4">
        <f>YEAR(Tableau1[[#This Row],[Competition_date]])</f>
        <v>2023</v>
      </c>
      <c r="X911" s="4">
        <v>16</v>
      </c>
      <c r="Y911" s="6">
        <v>0.84</v>
      </c>
      <c r="Z911" s="4" t="s">
        <v>299</v>
      </c>
      <c r="AA911" t="s">
        <v>176</v>
      </c>
    </row>
    <row r="912" spans="1:27" hidden="1" x14ac:dyDescent="0.35">
      <c r="A912" t="str">
        <f>_xlfn.CONCAT(Tableau1[[#This Row],[Athletes]],"_",Tableau1[[#This Row],[Nationality]],"_",Tableau1[[#This Row],[Competition_year]])</f>
        <v>Audrey WERRO_SUI_2023</v>
      </c>
      <c r="B912" t="s">
        <v>329</v>
      </c>
      <c r="C912" t="s">
        <v>29</v>
      </c>
      <c r="D912" s="18" t="s">
        <v>73</v>
      </c>
      <c r="E912">
        <v>13.5</v>
      </c>
      <c r="F912">
        <v>13</v>
      </c>
      <c r="G912">
        <v>15.1</v>
      </c>
      <c r="H912">
        <v>15.5</v>
      </c>
      <c r="I912">
        <v>15.4</v>
      </c>
      <c r="J912">
        <v>15.5</v>
      </c>
      <c r="K912">
        <v>15.6</v>
      </c>
      <c r="L912">
        <f>Tableau1[[#This Row],[Final_time]]-SUM(Tableau1[[#This Row],[0_100m]:[600_700m]])</f>
        <v>15.900000000000006</v>
      </c>
      <c r="M912">
        <v>119.5</v>
      </c>
      <c r="N912">
        <f>SUM(Tableau1[[#This Row],[0_100m]:[700_800m]])</f>
        <v>119.5</v>
      </c>
      <c r="O912">
        <f>ABS(Tableau1[[#This Row],[Final_time]]-Tableau1[[#This Row],[Sum_time]])</f>
        <v>0</v>
      </c>
      <c r="P912" s="8"/>
      <c r="Q912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2" t="s">
        <v>330</v>
      </c>
      <c r="S912" s="1" t="s">
        <v>68</v>
      </c>
      <c r="U912" s="1" t="s">
        <v>69</v>
      </c>
      <c r="V912" s="1">
        <v>45169</v>
      </c>
      <c r="W912" s="4">
        <f>YEAR(Tableau1[[#This Row],[Competition_date]])</f>
        <v>2023</v>
      </c>
      <c r="X912" s="4">
        <v>16</v>
      </c>
      <c r="Y912" s="6">
        <v>0.84</v>
      </c>
      <c r="Z912" s="4" t="s">
        <v>299</v>
      </c>
      <c r="AA912" t="s">
        <v>176</v>
      </c>
    </row>
    <row r="913" spans="1:27" hidden="1" x14ac:dyDescent="0.35">
      <c r="A913" t="str">
        <f>_xlfn.CONCAT(Tableau1[[#This Row],[Athletes]],"_",Tableau1[[#This Row],[Nationality]],"_",Tableau1[[#This Row],[Competition_year]])</f>
        <v>Lore HOFFMANN_SUI_2023</v>
      </c>
      <c r="B913" t="s">
        <v>224</v>
      </c>
      <c r="C913" t="s">
        <v>29</v>
      </c>
      <c r="D913" s="18" t="s">
        <v>73</v>
      </c>
      <c r="E913">
        <v>14.1</v>
      </c>
      <c r="F913">
        <v>13.8</v>
      </c>
      <c r="G913">
        <v>14.8</v>
      </c>
      <c r="H913">
        <v>15.6</v>
      </c>
      <c r="I913">
        <v>15.4</v>
      </c>
      <c r="J913">
        <v>15</v>
      </c>
      <c r="K913">
        <v>15.6</v>
      </c>
      <c r="L913">
        <f>Tableau1[[#This Row],[Final_time]]-SUM(Tableau1[[#This Row],[0_100m]:[600_700m]])</f>
        <v>15.790000000000006</v>
      </c>
      <c r="M913">
        <v>120.09</v>
      </c>
      <c r="N913">
        <f>SUM(Tableau1[[#This Row],[0_100m]:[700_800m]])</f>
        <v>120.09</v>
      </c>
      <c r="O913">
        <f>ABS(Tableau1[[#This Row],[Final_time]]-Tableau1[[#This Row],[Sum_time]])</f>
        <v>0</v>
      </c>
      <c r="P913" s="8"/>
      <c r="Q913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3" t="s">
        <v>330</v>
      </c>
      <c r="S913" s="1" t="s">
        <v>68</v>
      </c>
      <c r="U913" s="1" t="s">
        <v>69</v>
      </c>
      <c r="V913" s="1">
        <v>45169</v>
      </c>
      <c r="W913" s="4">
        <f>YEAR(Tableau1[[#This Row],[Competition_date]])</f>
        <v>2023</v>
      </c>
      <c r="X913" s="4">
        <v>16</v>
      </c>
      <c r="Y913" s="6">
        <v>0.84</v>
      </c>
      <c r="Z913" s="4" t="s">
        <v>299</v>
      </c>
      <c r="AA913" t="s">
        <v>176</v>
      </c>
    </row>
    <row r="914" spans="1:27" hidden="1" x14ac:dyDescent="0.35">
      <c r="A914" t="str">
        <f>_xlfn.CONCAT(Tableau1[[#This Row],[Athletes]],"_",Tableau1[[#This Row],[Nationality]],"_",Tableau1[[#This Row],[Competition_year]])</f>
        <v>Natoya GOULE-TOPPIN_JAM_2023</v>
      </c>
      <c r="B914" t="s">
        <v>222</v>
      </c>
      <c r="C914" t="s">
        <v>29</v>
      </c>
      <c r="D914" s="18" t="s">
        <v>33</v>
      </c>
      <c r="E914">
        <v>13.8</v>
      </c>
      <c r="F914">
        <v>12.7</v>
      </c>
      <c r="G914">
        <v>14.8</v>
      </c>
      <c r="H914">
        <v>15.2</v>
      </c>
      <c r="I914">
        <v>15.3</v>
      </c>
      <c r="J914">
        <v>15.4</v>
      </c>
      <c r="K914">
        <v>15.7</v>
      </c>
      <c r="L914">
        <f>Tableau1[[#This Row],[Final_time]]-SUM(Tableau1[[#This Row],[0_100m]:[600_700m]])</f>
        <v>17.199999999999989</v>
      </c>
      <c r="M914">
        <v>120.1</v>
      </c>
      <c r="N914">
        <f>SUM(Tableau1[[#This Row],[0_100m]:[700_800m]])</f>
        <v>120.1</v>
      </c>
      <c r="O914">
        <f>ABS(Tableau1[[#This Row],[Final_time]]-Tableau1[[#This Row],[Sum_time]])</f>
        <v>0</v>
      </c>
      <c r="P914" s="8"/>
      <c r="Q914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4" t="s">
        <v>330</v>
      </c>
      <c r="S914" s="1" t="s">
        <v>68</v>
      </c>
      <c r="U914" s="1" t="s">
        <v>69</v>
      </c>
      <c r="V914" s="1">
        <v>45169</v>
      </c>
      <c r="W914" s="4">
        <f>YEAR(Tableau1[[#This Row],[Competition_date]])</f>
        <v>2023</v>
      </c>
      <c r="X914" s="4">
        <v>16</v>
      </c>
      <c r="Y914" s="6">
        <v>0.84</v>
      </c>
      <c r="Z914" s="4" t="s">
        <v>299</v>
      </c>
      <c r="AA914" t="s">
        <v>176</v>
      </c>
    </row>
    <row r="915" spans="1:27" hidden="1" x14ac:dyDescent="0.35">
      <c r="A915" t="str">
        <f>_xlfn.CONCAT(Tableau1[[#This Row],[Athletes]],"_",Tableau1[[#This Row],[Nationality]],"_",Tableau1[[#This Row],[Competition_year]])</f>
        <v>Sage HURTA-KLECKER_USA_2023</v>
      </c>
      <c r="B915" t="s">
        <v>289</v>
      </c>
      <c r="C915" t="s">
        <v>29</v>
      </c>
      <c r="D915" s="18" t="s">
        <v>35</v>
      </c>
      <c r="E915">
        <v>14.1</v>
      </c>
      <c r="F915">
        <v>13.4</v>
      </c>
      <c r="G915">
        <v>14.8</v>
      </c>
      <c r="H915">
        <v>15.9</v>
      </c>
      <c r="I915">
        <v>15.4</v>
      </c>
      <c r="J915">
        <v>15</v>
      </c>
      <c r="K915">
        <v>15.6</v>
      </c>
      <c r="L915">
        <f>Tableau1[[#This Row],[Final_time]]-SUM(Tableau1[[#This Row],[0_100m]:[600_700m]])</f>
        <v>16.310000000000016</v>
      </c>
      <c r="M915">
        <v>120.51</v>
      </c>
      <c r="N915">
        <f>SUM(Tableau1[[#This Row],[0_100m]:[700_800m]])</f>
        <v>120.51</v>
      </c>
      <c r="O915">
        <f>ABS(Tableau1[[#This Row],[Final_time]]-Tableau1[[#This Row],[Sum_time]])</f>
        <v>0</v>
      </c>
      <c r="P915" s="8"/>
      <c r="Q915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5" t="s">
        <v>330</v>
      </c>
      <c r="S915" s="1" t="s">
        <v>68</v>
      </c>
      <c r="U915" s="1" t="s">
        <v>69</v>
      </c>
      <c r="V915" s="1">
        <v>45169</v>
      </c>
      <c r="W915" s="4">
        <f>YEAR(Tableau1[[#This Row],[Competition_date]])</f>
        <v>2023</v>
      </c>
      <c r="X915" s="4">
        <v>16</v>
      </c>
      <c r="Y915" s="6">
        <v>0.84</v>
      </c>
      <c r="Z915" s="4" t="s">
        <v>299</v>
      </c>
      <c r="AA915" t="s">
        <v>176</v>
      </c>
    </row>
    <row r="916" spans="1:27" hidden="1" x14ac:dyDescent="0.35">
      <c r="A916" t="str">
        <f>_xlfn.CONCAT(Tableau1[[#This Row],[Athletes]],"_",Tableau1[[#This Row],[Nationality]],"_",Tableau1[[#This Row],[Competition_year]])</f>
        <v>Halimah NAKAAYI_UGA_2023</v>
      </c>
      <c r="B916" t="s">
        <v>230</v>
      </c>
      <c r="C916" t="s">
        <v>29</v>
      </c>
      <c r="D916" s="18" t="s">
        <v>34</v>
      </c>
      <c r="E916">
        <v>13.8</v>
      </c>
      <c r="F916">
        <v>12.8</v>
      </c>
      <c r="G916">
        <v>15</v>
      </c>
      <c r="H916">
        <v>15.3</v>
      </c>
      <c r="I916">
        <v>15.3</v>
      </c>
      <c r="J916">
        <v>15.4</v>
      </c>
      <c r="K916">
        <v>16</v>
      </c>
      <c r="L916">
        <f>Tableau1[[#This Row],[Final_time]]-SUM(Tableau1[[#This Row],[0_100m]:[600_700m]])</f>
        <v>17.649999999999991</v>
      </c>
      <c r="M916">
        <v>121.25</v>
      </c>
      <c r="N916">
        <f>SUM(Tableau1[[#This Row],[0_100m]:[700_800m]])</f>
        <v>121.25</v>
      </c>
      <c r="O916">
        <f>ABS(Tableau1[[#This Row],[Final_time]]-Tableau1[[#This Row],[Sum_time]])</f>
        <v>0</v>
      </c>
      <c r="P916" s="8"/>
      <c r="Q916" s="16" t="str">
        <f>_xlfn.CONCAT(Tableau1[[#This Row],[Competition]],"_",Tableau1[[#This Row],[Championship_step]],"_",Tableau1[[#This Row],[Competition_date]],"_",Tableau1[[#This Row],[Gender]])</f>
        <v>Diamond League Zurich 2023__45169_Female</v>
      </c>
      <c r="R916" t="s">
        <v>330</v>
      </c>
      <c r="S916" s="1" t="s">
        <v>68</v>
      </c>
      <c r="U916" s="1" t="s">
        <v>69</v>
      </c>
      <c r="V916" s="1">
        <v>45169</v>
      </c>
      <c r="W916" s="4">
        <f>YEAR(Tableau1[[#This Row],[Competition_date]])</f>
        <v>2023</v>
      </c>
      <c r="X916" s="4">
        <v>16</v>
      </c>
      <c r="Y916" s="6">
        <v>0.84</v>
      </c>
      <c r="Z916" s="4" t="s">
        <v>299</v>
      </c>
      <c r="AA916" t="s">
        <v>176</v>
      </c>
    </row>
    <row r="917" spans="1:27" hidden="1" x14ac:dyDescent="0.35">
      <c r="A917" t="str">
        <f>_xlfn.CONCAT(Tableau1[[#This Row],[Athletes]],"_",Tableau1[[#This Row],[Nationality]],"_",Tableau1[[#This Row],[Competition_year]])</f>
        <v>Mary MORAA_KEN_2024</v>
      </c>
      <c r="B917" t="s">
        <v>228</v>
      </c>
      <c r="C917" t="s">
        <v>29</v>
      </c>
      <c r="D917" s="18" t="s">
        <v>15</v>
      </c>
      <c r="E917">
        <v>13.8</v>
      </c>
      <c r="F917">
        <v>13.3</v>
      </c>
      <c r="G917">
        <v>14.4</v>
      </c>
      <c r="H917">
        <v>15.4</v>
      </c>
      <c r="I917">
        <v>15.1</v>
      </c>
      <c r="J917">
        <v>14.8</v>
      </c>
      <c r="K917">
        <v>15.6</v>
      </c>
      <c r="L917">
        <f>Tableau1[[#This Row],[Final_time]]-SUM(Tableau1[[#This Row],[0_100m]:[600_700m]])</f>
        <v>14.680000000000007</v>
      </c>
      <c r="M917">
        <v>117.08</v>
      </c>
      <c r="N917">
        <f>SUM(Tableau1[[#This Row],[0_100m]:[700_800m]])</f>
        <v>117.08</v>
      </c>
      <c r="O917">
        <f>ABS(Tableau1[[#This Row],[Final_time]]-Tableau1[[#This Row],[Sum_time]])</f>
        <v>0</v>
      </c>
      <c r="P917" s="8"/>
      <c r="Q917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17" t="s">
        <v>97</v>
      </c>
      <c r="S917" s="1" t="s">
        <v>68</v>
      </c>
      <c r="U917" s="1" t="s">
        <v>69</v>
      </c>
      <c r="V917" s="1">
        <v>45540</v>
      </c>
      <c r="W917" s="4">
        <f>YEAR(Tableau1[[#This Row],[Competition_date]])</f>
        <v>2024</v>
      </c>
      <c r="X917" s="4">
        <v>17</v>
      </c>
      <c r="Y917" s="6">
        <v>0.96</v>
      </c>
      <c r="Z917" s="4" t="s">
        <v>98</v>
      </c>
      <c r="AA917" t="s">
        <v>99</v>
      </c>
    </row>
    <row r="918" spans="1:27" hidden="1" x14ac:dyDescent="0.35">
      <c r="A918" t="str">
        <f>_xlfn.CONCAT(Tableau1[[#This Row],[Athletes]],"_",Tableau1[[#This Row],[Nationality]],"_",Tableau1[[#This Row],[Competition_year]])</f>
        <v>Georgia HUNTER BELL_GBR_2024</v>
      </c>
      <c r="B918" t="s">
        <v>1351</v>
      </c>
      <c r="C918" t="s">
        <v>29</v>
      </c>
      <c r="D918" s="18" t="s">
        <v>30</v>
      </c>
      <c r="E918">
        <v>14.1</v>
      </c>
      <c r="F918">
        <v>13.6</v>
      </c>
      <c r="G918">
        <v>14.5</v>
      </c>
      <c r="H918">
        <v>14.9</v>
      </c>
      <c r="I918">
        <v>15.4</v>
      </c>
      <c r="J918">
        <v>15</v>
      </c>
      <c r="K918">
        <v>15.5</v>
      </c>
      <c r="L918">
        <f>Tableau1[[#This Row],[Final_time]]-SUM(Tableau1[[#This Row],[0_100m]:[600_700m]])</f>
        <v>14.939999999999998</v>
      </c>
      <c r="M918">
        <v>117.94</v>
      </c>
      <c r="N918">
        <f>SUM(Tableau1[[#This Row],[0_100m]:[700_800m]])</f>
        <v>117.94</v>
      </c>
      <c r="O918">
        <f>ABS(Tableau1[[#This Row],[Final_time]]-Tableau1[[#This Row],[Sum_time]])</f>
        <v>0</v>
      </c>
      <c r="P918" s="8"/>
      <c r="Q918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18" t="s">
        <v>97</v>
      </c>
      <c r="S918" s="1" t="s">
        <v>68</v>
      </c>
      <c r="U918" s="1" t="s">
        <v>69</v>
      </c>
      <c r="V918" s="1">
        <v>45540</v>
      </c>
      <c r="W918" s="4">
        <f>YEAR(Tableau1[[#This Row],[Competition_date]])</f>
        <v>2024</v>
      </c>
      <c r="X918" s="4">
        <v>17</v>
      </c>
      <c r="Y918" s="6">
        <v>0.96</v>
      </c>
      <c r="Z918" s="4" t="s">
        <v>98</v>
      </c>
      <c r="AA918" t="s">
        <v>99</v>
      </c>
    </row>
    <row r="919" spans="1:27" hidden="1" x14ac:dyDescent="0.35">
      <c r="A919" t="str">
        <f>_xlfn.CONCAT(Tableau1[[#This Row],[Athletes]],"_",Tableau1[[#This Row],[Nationality]],"_",Tableau1[[#This Row],[Competition_year]])</f>
        <v>Addison WILEY_USA_2024</v>
      </c>
      <c r="B919" t="s">
        <v>533</v>
      </c>
      <c r="C919" t="s">
        <v>29</v>
      </c>
      <c r="D919" s="18" t="s">
        <v>35</v>
      </c>
      <c r="E919">
        <v>13.9</v>
      </c>
      <c r="F919">
        <v>13.5</v>
      </c>
      <c r="G919">
        <v>14.5</v>
      </c>
      <c r="H919">
        <v>15</v>
      </c>
      <c r="I919">
        <v>14.8</v>
      </c>
      <c r="J919">
        <v>15.2</v>
      </c>
      <c r="K919">
        <v>15.7</v>
      </c>
      <c r="L919">
        <f>Tableau1[[#This Row],[Final_time]]-SUM(Tableau1[[#This Row],[0_100m]:[600_700m]])</f>
        <v>15.559999999999988</v>
      </c>
      <c r="M919">
        <v>118.16</v>
      </c>
      <c r="N919">
        <f>SUM(Tableau1[[#This Row],[0_100m]:[700_800m]])</f>
        <v>118.16</v>
      </c>
      <c r="O919">
        <f>ABS(Tableau1[[#This Row],[Final_time]]-Tableau1[[#This Row],[Sum_time]])</f>
        <v>0</v>
      </c>
      <c r="P919" s="8"/>
      <c r="Q919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19" t="s">
        <v>97</v>
      </c>
      <c r="S919" s="1" t="s">
        <v>68</v>
      </c>
      <c r="U919" s="1" t="s">
        <v>69</v>
      </c>
      <c r="V919" s="1">
        <v>45540</v>
      </c>
      <c r="W919" s="4">
        <f>YEAR(Tableau1[[#This Row],[Competition_date]])</f>
        <v>2024</v>
      </c>
      <c r="X919" s="4">
        <v>17</v>
      </c>
      <c r="Y919" s="6">
        <v>0.96</v>
      </c>
      <c r="Z919" s="4" t="s">
        <v>98</v>
      </c>
      <c r="AA919" t="s">
        <v>99</v>
      </c>
    </row>
    <row r="920" spans="1:27" hidden="1" x14ac:dyDescent="0.35">
      <c r="A920" t="str">
        <f>_xlfn.CONCAT(Tableau1[[#This Row],[Athletes]],"_",Tableau1[[#This Row],[Nationality]],"_",Tableau1[[#This Row],[Competition_year]])</f>
        <v>Jemma REEKIE_GBR_2024</v>
      </c>
      <c r="B920" t="s">
        <v>220</v>
      </c>
      <c r="C920" t="s">
        <v>29</v>
      </c>
      <c r="D920" s="18" t="s">
        <v>30</v>
      </c>
      <c r="E920">
        <v>13.9</v>
      </c>
      <c r="F920">
        <v>13.4</v>
      </c>
      <c r="G920">
        <v>14.4</v>
      </c>
      <c r="H920">
        <v>15.3</v>
      </c>
      <c r="I920">
        <v>15.2</v>
      </c>
      <c r="J920">
        <v>15</v>
      </c>
      <c r="K920">
        <v>15.6</v>
      </c>
      <c r="L920">
        <f>Tableau1[[#This Row],[Final_time]]-SUM(Tableau1[[#This Row],[0_100m]:[600_700m]])</f>
        <v>15.689999999999998</v>
      </c>
      <c r="M920">
        <v>118.49</v>
      </c>
      <c r="N920">
        <f>SUM(Tableau1[[#This Row],[0_100m]:[700_800m]])</f>
        <v>118.49</v>
      </c>
      <c r="O920">
        <f>ABS(Tableau1[[#This Row],[Final_time]]-Tableau1[[#This Row],[Sum_time]])</f>
        <v>0</v>
      </c>
      <c r="P920" s="8"/>
      <c r="Q920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0" t="s">
        <v>97</v>
      </c>
      <c r="S920" s="1" t="s">
        <v>68</v>
      </c>
      <c r="U920" s="1" t="s">
        <v>69</v>
      </c>
      <c r="V920" s="1">
        <v>45540</v>
      </c>
      <c r="W920" s="4">
        <f>YEAR(Tableau1[[#This Row],[Competition_date]])</f>
        <v>2024</v>
      </c>
      <c r="X920" s="4">
        <v>17</v>
      </c>
      <c r="Y920" s="6">
        <v>0.96</v>
      </c>
      <c r="Z920" s="4" t="s">
        <v>98</v>
      </c>
      <c r="AA920" t="s">
        <v>99</v>
      </c>
    </row>
    <row r="921" spans="1:27" hidden="1" x14ac:dyDescent="0.35">
      <c r="A921" t="str">
        <f>_xlfn.CONCAT(Tableau1[[#This Row],[Athletes]],"_",Tableau1[[#This Row],[Nationality]],"_",Tableau1[[#This Row],[Competition_year]])</f>
        <v>Rénelle LAMOTE_FRA_2024</v>
      </c>
      <c r="B921" t="s">
        <v>225</v>
      </c>
      <c r="C921" t="s">
        <v>29</v>
      </c>
      <c r="D921" s="18" t="s">
        <v>17</v>
      </c>
      <c r="E921">
        <v>14.1</v>
      </c>
      <c r="F921">
        <v>13</v>
      </c>
      <c r="G921">
        <v>14.7</v>
      </c>
      <c r="H921">
        <v>15.3</v>
      </c>
      <c r="I921">
        <v>15.2</v>
      </c>
      <c r="J921">
        <v>15</v>
      </c>
      <c r="K921">
        <v>15.8</v>
      </c>
      <c r="L921">
        <f>Tableau1[[#This Row],[Final_time]]-SUM(Tableau1[[#This Row],[0_100m]:[600_700m]])</f>
        <v>15.719999999999999</v>
      </c>
      <c r="M921">
        <v>118.82</v>
      </c>
      <c r="N921">
        <f>SUM(Tableau1[[#This Row],[0_100m]:[700_800m]])</f>
        <v>118.82</v>
      </c>
      <c r="O921">
        <f>ABS(Tableau1[[#This Row],[Final_time]]-Tableau1[[#This Row],[Sum_time]])</f>
        <v>0</v>
      </c>
      <c r="P921" s="8"/>
      <c r="Q921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1" t="s">
        <v>97</v>
      </c>
      <c r="S921" s="1" t="s">
        <v>68</v>
      </c>
      <c r="U921" s="1" t="s">
        <v>69</v>
      </c>
      <c r="V921" s="1">
        <v>45540</v>
      </c>
      <c r="W921" s="4">
        <f>YEAR(Tableau1[[#This Row],[Competition_date]])</f>
        <v>2024</v>
      </c>
      <c r="X921" s="4">
        <v>17</v>
      </c>
      <c r="Y921" s="6">
        <v>0.96</v>
      </c>
      <c r="Z921" s="4" t="s">
        <v>98</v>
      </c>
      <c r="AA921" t="s">
        <v>99</v>
      </c>
    </row>
    <row r="922" spans="1:27" hidden="1" x14ac:dyDescent="0.35">
      <c r="A922" t="str">
        <f>_xlfn.CONCAT(Tableau1[[#This Row],[Athletes]],"_",Tableau1[[#This Row],[Nationality]],"_",Tableau1[[#This Row],[Competition_year]])</f>
        <v>Prudence SEKGODISO_RSA_2024</v>
      </c>
      <c r="B922" t="s">
        <v>235</v>
      </c>
      <c r="C922" t="s">
        <v>29</v>
      </c>
      <c r="D922" s="18" t="s">
        <v>96</v>
      </c>
      <c r="E922">
        <v>13.8</v>
      </c>
      <c r="F922">
        <v>13.5</v>
      </c>
      <c r="G922">
        <v>14.7</v>
      </c>
      <c r="H922">
        <v>15.2</v>
      </c>
      <c r="I922">
        <v>15.5</v>
      </c>
      <c r="J922">
        <v>15.1</v>
      </c>
      <c r="K922">
        <v>15.2</v>
      </c>
      <c r="L922">
        <f>Tableau1[[#This Row],[Final_time]]-SUM(Tableau1[[#This Row],[0_100m]:[600_700m]])</f>
        <v>15.900000000000006</v>
      </c>
      <c r="M922">
        <v>118.9</v>
      </c>
      <c r="N922">
        <f>SUM(Tableau1[[#This Row],[0_100m]:[700_800m]])</f>
        <v>118.9</v>
      </c>
      <c r="O922">
        <f>ABS(Tableau1[[#This Row],[Final_time]]-Tableau1[[#This Row],[Sum_time]])</f>
        <v>0</v>
      </c>
      <c r="P922" s="8"/>
      <c r="Q922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2" t="s">
        <v>97</v>
      </c>
      <c r="S922" s="1" t="s">
        <v>68</v>
      </c>
      <c r="U922" s="1" t="s">
        <v>69</v>
      </c>
      <c r="V922" s="1">
        <v>45540</v>
      </c>
      <c r="W922" s="4">
        <f>YEAR(Tableau1[[#This Row],[Competition_date]])</f>
        <v>2024</v>
      </c>
      <c r="X922" s="4">
        <v>17</v>
      </c>
      <c r="Y922" s="6">
        <v>0.96</v>
      </c>
      <c r="Z922" s="4" t="s">
        <v>98</v>
      </c>
      <c r="AA922" t="s">
        <v>99</v>
      </c>
    </row>
    <row r="923" spans="1:27" hidden="1" x14ac:dyDescent="0.35">
      <c r="A923" t="str">
        <f>_xlfn.CONCAT(Tableau1[[#This Row],[Athletes]],"_",Tableau1[[#This Row],[Nationality]],"_",Tableau1[[#This Row],[Competition_year]])</f>
        <v>Shafiqua MALONEY_VIN_2024</v>
      </c>
      <c r="B923" t="s">
        <v>270</v>
      </c>
      <c r="C923" t="s">
        <v>29</v>
      </c>
      <c r="D923" s="18" t="s">
        <v>72</v>
      </c>
      <c r="E923">
        <v>13.4</v>
      </c>
      <c r="F923">
        <v>13.5</v>
      </c>
      <c r="G923">
        <v>14.2</v>
      </c>
      <c r="H923">
        <v>14.9</v>
      </c>
      <c r="I923">
        <v>15.4</v>
      </c>
      <c r="J923">
        <v>15.7</v>
      </c>
      <c r="K923">
        <v>15.8</v>
      </c>
      <c r="L923">
        <f>Tableau1[[#This Row],[Final_time]]-SUM(Tableau1[[#This Row],[0_100m]:[600_700m]])</f>
        <v>16.160000000000011</v>
      </c>
      <c r="M923">
        <v>119.06</v>
      </c>
      <c r="N923">
        <f>SUM(Tableau1[[#This Row],[0_100m]:[700_800m]])</f>
        <v>119.06</v>
      </c>
      <c r="O923">
        <f>ABS(Tableau1[[#This Row],[Final_time]]-Tableau1[[#This Row],[Sum_time]])</f>
        <v>0</v>
      </c>
      <c r="P923" s="8"/>
      <c r="Q923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3" t="s">
        <v>97</v>
      </c>
      <c r="S923" s="1" t="s">
        <v>68</v>
      </c>
      <c r="U923" s="1" t="s">
        <v>69</v>
      </c>
      <c r="V923" s="1">
        <v>45540</v>
      </c>
      <c r="W923" s="4">
        <f>YEAR(Tableau1[[#This Row],[Competition_date]])</f>
        <v>2024</v>
      </c>
      <c r="X923" s="4">
        <v>17</v>
      </c>
      <c r="Y923" s="6">
        <v>0.96</v>
      </c>
      <c r="Z923" s="4" t="s">
        <v>98</v>
      </c>
      <c r="AA923" t="s">
        <v>99</v>
      </c>
    </row>
    <row r="924" spans="1:27" hidden="1" x14ac:dyDescent="0.35">
      <c r="A924" t="str">
        <f>_xlfn.CONCAT(Tableau1[[#This Row],[Athletes]],"_",Tableau1[[#This Row],[Nationality]],"_",Tableau1[[#This Row],[Competition_year]])</f>
        <v>Rachel PELLAUD_SUI_2024</v>
      </c>
      <c r="B924" t="s">
        <v>1146</v>
      </c>
      <c r="C924" t="s">
        <v>29</v>
      </c>
      <c r="D924" s="18" t="s">
        <v>73</v>
      </c>
      <c r="E924">
        <v>14.3</v>
      </c>
      <c r="F924">
        <v>13.7</v>
      </c>
      <c r="G924">
        <v>14.4</v>
      </c>
      <c r="H924">
        <v>15.2</v>
      </c>
      <c r="I924">
        <v>15.7</v>
      </c>
      <c r="J924">
        <v>15.4</v>
      </c>
      <c r="K924">
        <v>15.4</v>
      </c>
      <c r="L924">
        <f>Tableau1[[#This Row],[Final_time]]-SUM(Tableau1[[#This Row],[0_100m]:[600_700m]])</f>
        <v>15.749999999999986</v>
      </c>
      <c r="M924">
        <v>119.85</v>
      </c>
      <c r="N924">
        <f>SUM(Tableau1[[#This Row],[0_100m]:[700_800m]])</f>
        <v>119.85</v>
      </c>
      <c r="O924">
        <f>ABS(Tableau1[[#This Row],[Final_time]]-Tableau1[[#This Row],[Sum_time]])</f>
        <v>0</v>
      </c>
      <c r="P924" s="8"/>
      <c r="Q924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4" t="s">
        <v>97</v>
      </c>
      <c r="S924" s="1" t="s">
        <v>68</v>
      </c>
      <c r="U924" s="1" t="s">
        <v>69</v>
      </c>
      <c r="V924" s="1">
        <v>45540</v>
      </c>
      <c r="W924" s="4">
        <f>YEAR(Tableau1[[#This Row],[Competition_date]])</f>
        <v>2024</v>
      </c>
      <c r="X924" s="4">
        <v>17</v>
      </c>
      <c r="Y924" s="6">
        <v>0.96</v>
      </c>
      <c r="Z924" s="4" t="s">
        <v>98</v>
      </c>
      <c r="AA924" t="s">
        <v>99</v>
      </c>
    </row>
    <row r="925" spans="1:27" hidden="1" x14ac:dyDescent="0.35">
      <c r="A925" t="str">
        <f>_xlfn.CONCAT(Tableau1[[#This Row],[Athletes]],"_",Tableau1[[#This Row],[Nationality]],"_",Tableau1[[#This Row],[Competition_year]])</f>
        <v>Nia AKINS_USA_2024</v>
      </c>
      <c r="B925" t="s">
        <v>213</v>
      </c>
      <c r="C925" t="s">
        <v>29</v>
      </c>
      <c r="D925" s="18" t="s">
        <v>35</v>
      </c>
      <c r="E925">
        <v>14</v>
      </c>
      <c r="F925">
        <v>13.6</v>
      </c>
      <c r="G925">
        <v>14.5</v>
      </c>
      <c r="H925">
        <v>15.2</v>
      </c>
      <c r="I925">
        <v>15.6</v>
      </c>
      <c r="J925">
        <v>15.2</v>
      </c>
      <c r="K925">
        <v>15.7</v>
      </c>
      <c r="L925">
        <f>Tableau1[[#This Row],[Final_time]]-SUM(Tableau1[[#This Row],[0_100m]:[600_700m]])</f>
        <v>16.049999999999997</v>
      </c>
      <c r="M925">
        <v>119.85</v>
      </c>
      <c r="N925">
        <f>SUM(Tableau1[[#This Row],[0_100m]:[700_800m]])</f>
        <v>119.85</v>
      </c>
      <c r="O925">
        <f>ABS(Tableau1[[#This Row],[Final_time]]-Tableau1[[#This Row],[Sum_time]])</f>
        <v>0</v>
      </c>
      <c r="P925" s="8"/>
      <c r="Q925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5" t="s">
        <v>97</v>
      </c>
      <c r="S925" s="1" t="s">
        <v>68</v>
      </c>
      <c r="U925" s="1" t="s">
        <v>69</v>
      </c>
      <c r="V925" s="1">
        <v>45540</v>
      </c>
      <c r="W925" s="4">
        <f>YEAR(Tableau1[[#This Row],[Competition_date]])</f>
        <v>2024</v>
      </c>
      <c r="X925" s="4">
        <v>17</v>
      </c>
      <c r="Y925" s="6">
        <v>0.96</v>
      </c>
      <c r="Z925" s="4" t="s">
        <v>98</v>
      </c>
      <c r="AA925" t="s">
        <v>99</v>
      </c>
    </row>
    <row r="926" spans="1:27" hidden="1" x14ac:dyDescent="0.35">
      <c r="A926" t="str">
        <f>_xlfn.CONCAT(Tableau1[[#This Row],[Athletes]],"_",Tableau1[[#This Row],[Nationality]],"_",Tableau1[[#This Row],[Competition_year]])</f>
        <v>Gabriela GAJANOVÁ_SVK_2024</v>
      </c>
      <c r="B926" t="s">
        <v>349</v>
      </c>
      <c r="C926" t="s">
        <v>29</v>
      </c>
      <c r="D926" s="18" t="s">
        <v>100</v>
      </c>
      <c r="E926">
        <v>14.4</v>
      </c>
      <c r="F926">
        <v>13.5</v>
      </c>
      <c r="G926">
        <v>14.5</v>
      </c>
      <c r="H926">
        <v>15.3</v>
      </c>
      <c r="I926">
        <v>15.9</v>
      </c>
      <c r="J926">
        <v>15.5</v>
      </c>
      <c r="K926">
        <v>15.5</v>
      </c>
      <c r="L926">
        <f>Tableau1[[#This Row],[Final_time]]-SUM(Tableau1[[#This Row],[0_100m]:[600_700m]])</f>
        <v>15.509999999999991</v>
      </c>
      <c r="M926">
        <v>120.11</v>
      </c>
      <c r="N926">
        <f>SUM(Tableau1[[#This Row],[0_100m]:[700_800m]])</f>
        <v>120.11</v>
      </c>
      <c r="O926">
        <f>ABS(Tableau1[[#This Row],[Final_time]]-Tableau1[[#This Row],[Sum_time]])</f>
        <v>0</v>
      </c>
      <c r="P926" s="8"/>
      <c r="Q926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6" t="s">
        <v>97</v>
      </c>
      <c r="S926" s="1" t="s">
        <v>68</v>
      </c>
      <c r="U926" s="1" t="s">
        <v>69</v>
      </c>
      <c r="V926" s="1">
        <v>45540</v>
      </c>
      <c r="W926" s="4">
        <f>YEAR(Tableau1[[#This Row],[Competition_date]])</f>
        <v>2024</v>
      </c>
      <c r="X926" s="4">
        <v>17</v>
      </c>
      <c r="Y926" s="6">
        <v>0.96</v>
      </c>
      <c r="Z926" s="4" t="s">
        <v>98</v>
      </c>
      <c r="AA926" t="s">
        <v>99</v>
      </c>
    </row>
    <row r="927" spans="1:27" hidden="1" x14ac:dyDescent="0.35">
      <c r="A927" t="str">
        <f>_xlfn.CONCAT(Tableau1[[#This Row],[Athletes]],"_",Tableau1[[#This Row],[Nationality]],"_",Tableau1[[#This Row],[Competition_year]])</f>
        <v>Valentina ROSAMILIA_SUI_2024</v>
      </c>
      <c r="B927" t="s">
        <v>350</v>
      </c>
      <c r="C927" t="s">
        <v>29</v>
      </c>
      <c r="D927" s="18" t="s">
        <v>73</v>
      </c>
      <c r="E927">
        <v>13.9</v>
      </c>
      <c r="F927">
        <v>13.6</v>
      </c>
      <c r="G927">
        <v>14.7</v>
      </c>
      <c r="H927">
        <v>15.2</v>
      </c>
      <c r="I927">
        <v>15.6</v>
      </c>
      <c r="J927">
        <v>15.1</v>
      </c>
      <c r="K927">
        <v>15.5</v>
      </c>
      <c r="L927">
        <f>Tableau1[[#This Row],[Final_time]]-SUM(Tableau1[[#This Row],[0_100m]:[600_700m]])</f>
        <v>16.570000000000007</v>
      </c>
      <c r="M927">
        <v>120.17</v>
      </c>
      <c r="N927">
        <f>SUM(Tableau1[[#This Row],[0_100m]:[700_800m]])</f>
        <v>120.17</v>
      </c>
      <c r="O927">
        <f>ABS(Tableau1[[#This Row],[Final_time]]-Tableau1[[#This Row],[Sum_time]])</f>
        <v>0</v>
      </c>
      <c r="P927" s="8"/>
      <c r="Q927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7" t="s">
        <v>97</v>
      </c>
      <c r="S927" s="1" t="s">
        <v>68</v>
      </c>
      <c r="U927" s="1" t="s">
        <v>69</v>
      </c>
      <c r="V927" s="1">
        <v>45540</v>
      </c>
      <c r="W927" s="4">
        <f>YEAR(Tableau1[[#This Row],[Competition_date]])</f>
        <v>2024</v>
      </c>
      <c r="X927" s="4">
        <v>17</v>
      </c>
      <c r="Y927" s="6">
        <v>0.96</v>
      </c>
      <c r="Z927" s="4" t="s">
        <v>98</v>
      </c>
      <c r="AA927" t="s">
        <v>99</v>
      </c>
    </row>
    <row r="928" spans="1:27" hidden="1" x14ac:dyDescent="0.35">
      <c r="A928" t="str">
        <f>_xlfn.CONCAT(Tableau1[[#This Row],[Athletes]],"_",Tableau1[[#This Row],[Nationality]],"_",Tableau1[[#This Row],[Competition_year]])</f>
        <v>Audrey WERRO_SUI_2024</v>
      </c>
      <c r="B928" t="s">
        <v>329</v>
      </c>
      <c r="C928" t="s">
        <v>29</v>
      </c>
      <c r="D928" s="18" t="s">
        <v>73</v>
      </c>
      <c r="E928">
        <v>13.9</v>
      </c>
      <c r="F928">
        <v>13.3</v>
      </c>
      <c r="G928">
        <v>14.8</v>
      </c>
      <c r="H928">
        <v>15.3</v>
      </c>
      <c r="I928">
        <v>15.9</v>
      </c>
      <c r="J928">
        <v>16.399999999999999</v>
      </c>
      <c r="K928">
        <v>17.399999999999999</v>
      </c>
      <c r="L928">
        <f>Tableau1[[#This Row],[Final_time]]-SUM(Tableau1[[#This Row],[0_100m]:[600_700m]])</f>
        <v>19.170000000000002</v>
      </c>
      <c r="M928">
        <v>126.17</v>
      </c>
      <c r="N928">
        <f>SUM(Tableau1[[#This Row],[0_100m]:[700_800m]])</f>
        <v>126.17</v>
      </c>
      <c r="O928">
        <f>ABS(Tableau1[[#This Row],[Final_time]]-Tableau1[[#This Row],[Sum_time]])</f>
        <v>0</v>
      </c>
      <c r="P928" s="8"/>
      <c r="Q928" s="16" t="str">
        <f>_xlfn.CONCAT(Tableau1[[#This Row],[Competition]],"_",Tableau1[[#This Row],[Championship_step]],"_",Tableau1[[#This Row],[Competition_date]],"_",Tableau1[[#This Row],[Gender]])</f>
        <v>Diamond League Zurich 2024__45540_Female</v>
      </c>
      <c r="R928" t="s">
        <v>97</v>
      </c>
      <c r="S928" s="1" t="s">
        <v>68</v>
      </c>
      <c r="U928" s="1" t="s">
        <v>69</v>
      </c>
      <c r="V928" s="1">
        <v>45540</v>
      </c>
      <c r="W928" s="4">
        <f>YEAR(Tableau1[[#This Row],[Competition_date]])</f>
        <v>2024</v>
      </c>
      <c r="X928" s="4">
        <v>17</v>
      </c>
      <c r="Y928" s="6">
        <v>0.96</v>
      </c>
      <c r="Z928" s="4" t="s">
        <v>98</v>
      </c>
      <c r="AA928" t="s">
        <v>99</v>
      </c>
    </row>
    <row r="929" spans="1:26" hidden="1" x14ac:dyDescent="0.35">
      <c r="A929" t="str">
        <f>_xlfn.CONCAT(Tableau1[[#This Row],[Athletes]],"_",Tableau1[[#This Row],[Nationality]],"_",Tableau1[[#This Row],[Competition_year]])</f>
        <v>Audrey WERRO_SUI_2025</v>
      </c>
      <c r="B929" s="9" t="s">
        <v>329</v>
      </c>
      <c r="C929" s="9" t="s">
        <v>29</v>
      </c>
      <c r="D929" s="12" t="s">
        <v>73</v>
      </c>
      <c r="E929" s="9">
        <v>13.6</v>
      </c>
      <c r="F929" s="9">
        <v>13.3</v>
      </c>
      <c r="G929" s="9">
        <v>14.5</v>
      </c>
      <c r="H929" s="9">
        <v>14.8</v>
      </c>
      <c r="I929" s="9">
        <v>15</v>
      </c>
      <c r="J929" s="9">
        <v>15.1</v>
      </c>
      <c r="K929" s="9">
        <v>14.8</v>
      </c>
      <c r="L929">
        <f>Tableau1[[#This Row],[Final_time]]-SUM(Tableau1[[#This Row],[0_100m]:[600_700m]])</f>
        <v>14.810000000000002</v>
      </c>
      <c r="M929" s="9">
        <v>115.91</v>
      </c>
      <c r="N929">
        <f>SUM(Tableau1[[#This Row],[0_100m]:[700_800m]])</f>
        <v>115.91</v>
      </c>
      <c r="O929">
        <f>ABS(Tableau1[[#This Row],[Final_time]]-Tableau1[[#This Row],[Sum_time]])</f>
        <v>0</v>
      </c>
      <c r="P929" s="8"/>
      <c r="Q929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29" t="s">
        <v>1396</v>
      </c>
      <c r="S929" s="1" t="s">
        <v>68</v>
      </c>
      <c r="U929" s="1" t="s">
        <v>69</v>
      </c>
      <c r="V929" s="1">
        <v>45897</v>
      </c>
      <c r="W929" s="4">
        <f>YEAR(Tableau1[[#This Row],[Competition_date]])</f>
        <v>2025</v>
      </c>
      <c r="X929" s="4">
        <v>18</v>
      </c>
      <c r="Y929" s="6">
        <v>0.9</v>
      </c>
      <c r="Z929" s="4" t="s">
        <v>81</v>
      </c>
    </row>
    <row r="930" spans="1:26" hidden="1" x14ac:dyDescent="0.35">
      <c r="A930" t="str">
        <f>_xlfn.CONCAT(Tableau1[[#This Row],[Athletes]],"_",Tableau1[[#This Row],[Nationality]],"_",Tableau1[[#This Row],[Competition_year]])</f>
        <v>Georgia HUNTER BELL_GBR_2025</v>
      </c>
      <c r="B930" s="9" t="s">
        <v>1351</v>
      </c>
      <c r="C930" s="9" t="s">
        <v>29</v>
      </c>
      <c r="D930" s="12" t="s">
        <v>30</v>
      </c>
      <c r="E930" s="9">
        <v>13.9</v>
      </c>
      <c r="F930" s="9">
        <v>13.3</v>
      </c>
      <c r="G930" s="9">
        <v>14.6</v>
      </c>
      <c r="H930" s="9">
        <v>15</v>
      </c>
      <c r="I930" s="9">
        <v>14.8</v>
      </c>
      <c r="J930" s="9">
        <v>15.2</v>
      </c>
      <c r="K930" s="9">
        <v>14.8</v>
      </c>
      <c r="L930">
        <f>Tableau1[[#This Row],[Final_time]]-SUM(Tableau1[[#This Row],[0_100m]:[600_700m]])</f>
        <v>14.359999999999985</v>
      </c>
      <c r="M930" s="9">
        <v>115.96</v>
      </c>
      <c r="N930">
        <f>SUM(Tableau1[[#This Row],[0_100m]:[700_800m]])</f>
        <v>115.96</v>
      </c>
      <c r="O930">
        <f>ABS(Tableau1[[#This Row],[Final_time]]-Tableau1[[#This Row],[Sum_time]])</f>
        <v>0</v>
      </c>
      <c r="P930" s="8"/>
      <c r="Q930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0" t="s">
        <v>1396</v>
      </c>
      <c r="S930" s="1" t="s">
        <v>68</v>
      </c>
      <c r="U930" s="1" t="s">
        <v>69</v>
      </c>
      <c r="V930" s="1">
        <v>45897</v>
      </c>
      <c r="W930" s="4">
        <f>YEAR(Tableau1[[#This Row],[Competition_date]])</f>
        <v>2025</v>
      </c>
      <c r="X930" s="4">
        <v>18</v>
      </c>
      <c r="Y930" s="6">
        <v>0.9</v>
      </c>
      <c r="Z930" s="4" t="s">
        <v>81</v>
      </c>
    </row>
    <row r="931" spans="1:26" hidden="1" x14ac:dyDescent="0.35">
      <c r="A931" t="str">
        <f>_xlfn.CONCAT(Tableau1[[#This Row],[Athletes]],"_",Tableau1[[#This Row],[Nationality]],"_",Tableau1[[#This Row],[Competition_year]])</f>
        <v>Anaïs BOURGOIN_FRA_2025</v>
      </c>
      <c r="B931" s="9" t="s">
        <v>1375</v>
      </c>
      <c r="C931" s="9" t="s">
        <v>29</v>
      </c>
      <c r="D931" s="12" t="s">
        <v>17</v>
      </c>
      <c r="E931" s="9">
        <v>13.9</v>
      </c>
      <c r="F931" s="9">
        <v>13.5</v>
      </c>
      <c r="G931" s="9">
        <v>14.7</v>
      </c>
      <c r="H931" s="9">
        <v>14.9</v>
      </c>
      <c r="I931" s="9">
        <v>15.1</v>
      </c>
      <c r="J931" s="9">
        <v>14.9</v>
      </c>
      <c r="K931" s="9">
        <v>14.9</v>
      </c>
      <c r="L931">
        <f>Tableau1[[#This Row],[Final_time]]-SUM(Tableau1[[#This Row],[0_100m]:[600_700m]])</f>
        <v>15.069999999999993</v>
      </c>
      <c r="M931" s="9">
        <v>116.97</v>
      </c>
      <c r="N931">
        <f>SUM(Tableau1[[#This Row],[0_100m]:[700_800m]])</f>
        <v>116.97</v>
      </c>
      <c r="O931">
        <f>ABS(Tableau1[[#This Row],[Final_time]]-Tableau1[[#This Row],[Sum_time]])</f>
        <v>0</v>
      </c>
      <c r="P931" s="8"/>
      <c r="Q931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1" t="s">
        <v>1396</v>
      </c>
      <c r="S931" s="1" t="s">
        <v>68</v>
      </c>
      <c r="U931" s="1" t="s">
        <v>69</v>
      </c>
      <c r="V931" s="1">
        <v>45897</v>
      </c>
      <c r="W931" s="4">
        <f>YEAR(Tableau1[[#This Row],[Competition_date]])</f>
        <v>2025</v>
      </c>
      <c r="X931" s="4">
        <v>18</v>
      </c>
      <c r="Y931" s="6">
        <v>0.9</v>
      </c>
      <c r="Z931" s="4" t="s">
        <v>81</v>
      </c>
    </row>
    <row r="932" spans="1:26" hidden="1" x14ac:dyDescent="0.35">
      <c r="A932" t="str">
        <f>_xlfn.CONCAT(Tableau1[[#This Row],[Athletes]],"_",Tableau1[[#This Row],[Nationality]],"_",Tableau1[[#This Row],[Competition_year]])</f>
        <v>Shafiqua MALONEY_VIN_2025</v>
      </c>
      <c r="B932" s="9" t="s">
        <v>270</v>
      </c>
      <c r="C932" s="9" t="s">
        <v>29</v>
      </c>
      <c r="D932" s="12" t="s">
        <v>72</v>
      </c>
      <c r="E932" s="9">
        <v>13.6</v>
      </c>
      <c r="F932" s="9">
        <v>13.3</v>
      </c>
      <c r="G932" s="9">
        <v>14.6</v>
      </c>
      <c r="H932" s="9">
        <v>14.8</v>
      </c>
      <c r="I932" s="9">
        <v>15</v>
      </c>
      <c r="J932" s="9">
        <v>15.1</v>
      </c>
      <c r="K932" s="9">
        <v>15.2</v>
      </c>
      <c r="L932">
        <f>Tableau1[[#This Row],[Final_time]]-SUM(Tableau1[[#This Row],[0_100m]:[600_700m]])</f>
        <v>15.690000000000012</v>
      </c>
      <c r="M932" s="9">
        <v>117.29</v>
      </c>
      <c r="N932">
        <f>SUM(Tableau1[[#This Row],[0_100m]:[700_800m]])</f>
        <v>117.29</v>
      </c>
      <c r="O932">
        <f>ABS(Tableau1[[#This Row],[Final_time]]-Tableau1[[#This Row],[Sum_time]])</f>
        <v>0</v>
      </c>
      <c r="P932" s="8"/>
      <c r="Q932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2" t="s">
        <v>1396</v>
      </c>
      <c r="S932" s="1" t="s">
        <v>68</v>
      </c>
      <c r="U932" s="1" t="s">
        <v>69</v>
      </c>
      <c r="V932" s="1">
        <v>45897</v>
      </c>
      <c r="W932" s="4">
        <f>YEAR(Tableau1[[#This Row],[Competition_date]])</f>
        <v>2025</v>
      </c>
      <c r="X932" s="4">
        <v>18</v>
      </c>
      <c r="Y932" s="6">
        <v>0.9</v>
      </c>
      <c r="Z932" s="4" t="s">
        <v>81</v>
      </c>
    </row>
    <row r="933" spans="1:26" hidden="1" x14ac:dyDescent="0.35">
      <c r="A933" t="str">
        <f>_xlfn.CONCAT(Tableau1[[#This Row],[Athletes]],"_",Tableau1[[#This Row],[Nationality]],"_",Tableau1[[#This Row],[Competition_year]])</f>
        <v>Halimah NAKAAYI_UGA_2025</v>
      </c>
      <c r="B933" s="9" t="s">
        <v>230</v>
      </c>
      <c r="C933" s="9" t="s">
        <v>29</v>
      </c>
      <c r="D933" s="12" t="s">
        <v>34</v>
      </c>
      <c r="E933" s="9">
        <v>13.8</v>
      </c>
      <c r="F933" s="9">
        <v>13.4</v>
      </c>
      <c r="G933" s="9">
        <v>14.7</v>
      </c>
      <c r="H933" s="9">
        <v>15.1</v>
      </c>
      <c r="I933" s="9">
        <v>15</v>
      </c>
      <c r="J933" s="9">
        <v>15.2</v>
      </c>
      <c r="K933" s="9">
        <v>15.2</v>
      </c>
      <c r="L933">
        <f>Tableau1[[#This Row],[Final_time]]-SUM(Tableau1[[#This Row],[0_100m]:[600_700m]])</f>
        <v>16.03</v>
      </c>
      <c r="M933" s="9">
        <v>118.43</v>
      </c>
      <c r="N933">
        <f>SUM(Tableau1[[#This Row],[0_100m]:[700_800m]])</f>
        <v>118.43</v>
      </c>
      <c r="O933">
        <f>ABS(Tableau1[[#This Row],[Final_time]]-Tableau1[[#This Row],[Sum_time]])</f>
        <v>0</v>
      </c>
      <c r="P933" s="8"/>
      <c r="Q933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3" t="s">
        <v>1396</v>
      </c>
      <c r="S933" s="1" t="s">
        <v>68</v>
      </c>
      <c r="U933" s="1" t="s">
        <v>69</v>
      </c>
      <c r="V933" s="1">
        <v>45897</v>
      </c>
      <c r="W933" s="4">
        <f>YEAR(Tableau1[[#This Row],[Competition_date]])</f>
        <v>2025</v>
      </c>
      <c r="X933" s="4">
        <v>18</v>
      </c>
      <c r="Y933" s="6">
        <v>0.9</v>
      </c>
      <c r="Z933" s="4" t="s">
        <v>81</v>
      </c>
    </row>
    <row r="934" spans="1:26" hidden="1" x14ac:dyDescent="0.35">
      <c r="A934" t="str">
        <f>_xlfn.CONCAT(Tableau1[[#This Row],[Athletes]],"_",Tableau1[[#This Row],[Nationality]],"_",Tableau1[[#This Row],[Competition_year]])</f>
        <v>Prudence SEKGODISO_RSA_2025</v>
      </c>
      <c r="B934" s="9" t="s">
        <v>235</v>
      </c>
      <c r="C934" s="9" t="s">
        <v>29</v>
      </c>
      <c r="D934" s="12" t="s">
        <v>96</v>
      </c>
      <c r="E934" s="9">
        <v>13.7</v>
      </c>
      <c r="F934" s="9">
        <v>13.5</v>
      </c>
      <c r="G934" s="9">
        <v>14.8</v>
      </c>
      <c r="H934" s="9">
        <v>14.8</v>
      </c>
      <c r="I934" s="9">
        <v>15</v>
      </c>
      <c r="J934" s="9">
        <v>14.8</v>
      </c>
      <c r="K934" s="9">
        <v>15.3</v>
      </c>
      <c r="L934">
        <f>Tableau1[[#This Row],[Final_time]]-SUM(Tableau1[[#This Row],[0_100m]:[600_700m]])</f>
        <v>16.670000000000002</v>
      </c>
      <c r="M934" s="9">
        <v>118.57</v>
      </c>
      <c r="N934">
        <f>SUM(Tableau1[[#This Row],[0_100m]:[700_800m]])</f>
        <v>118.57</v>
      </c>
      <c r="O934">
        <f>ABS(Tableau1[[#This Row],[Final_time]]-Tableau1[[#This Row],[Sum_time]])</f>
        <v>0</v>
      </c>
      <c r="P934" s="8"/>
      <c r="Q934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4" t="s">
        <v>1396</v>
      </c>
      <c r="S934" s="1" t="s">
        <v>68</v>
      </c>
      <c r="U934" s="1" t="s">
        <v>69</v>
      </c>
      <c r="V934" s="1">
        <v>45897</v>
      </c>
      <c r="W934" s="4">
        <f>YEAR(Tableau1[[#This Row],[Competition_date]])</f>
        <v>2025</v>
      </c>
      <c r="X934" s="4">
        <v>18</v>
      </c>
      <c r="Y934" s="6">
        <v>0.9</v>
      </c>
      <c r="Z934" s="4" t="s">
        <v>81</v>
      </c>
    </row>
    <row r="935" spans="1:26" hidden="1" x14ac:dyDescent="0.35">
      <c r="A935" t="str">
        <f>_xlfn.CONCAT(Tableau1[[#This Row],[Athletes]],"_",Tableau1[[#This Row],[Nationality]],"_",Tableau1[[#This Row],[Competition_year]])</f>
        <v>Sarah BILLINGS_AUS_2025</v>
      </c>
      <c r="B935" s="9" t="s">
        <v>1213</v>
      </c>
      <c r="C935" s="9" t="s">
        <v>29</v>
      </c>
      <c r="D935" s="12" t="s">
        <v>36</v>
      </c>
      <c r="E935" s="9">
        <v>14.1</v>
      </c>
      <c r="F935" s="9">
        <v>13.6</v>
      </c>
      <c r="G935" s="9">
        <v>14.6</v>
      </c>
      <c r="H935" s="9">
        <v>15</v>
      </c>
      <c r="I935" s="9">
        <v>15</v>
      </c>
      <c r="J935" s="9">
        <v>15.1</v>
      </c>
      <c r="K935" s="9">
        <v>15.4</v>
      </c>
      <c r="L935">
        <f>Tableau1[[#This Row],[Final_time]]-SUM(Tableau1[[#This Row],[0_100m]:[600_700m]])</f>
        <v>15.960000000000008</v>
      </c>
      <c r="M935" s="9">
        <v>118.76</v>
      </c>
      <c r="N935">
        <f>SUM(Tableau1[[#This Row],[0_100m]:[700_800m]])</f>
        <v>118.76</v>
      </c>
      <c r="O935">
        <f>ABS(Tableau1[[#This Row],[Final_time]]-Tableau1[[#This Row],[Sum_time]])</f>
        <v>0</v>
      </c>
      <c r="P935" s="8"/>
      <c r="Q935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5" t="s">
        <v>1396</v>
      </c>
      <c r="S935" s="1" t="s">
        <v>68</v>
      </c>
      <c r="U935" s="1" t="s">
        <v>69</v>
      </c>
      <c r="V935" s="1">
        <v>45897</v>
      </c>
      <c r="W935" s="4">
        <f>YEAR(Tableau1[[#This Row],[Competition_date]])</f>
        <v>2025</v>
      </c>
      <c r="X935" s="4">
        <v>18</v>
      </c>
      <c r="Y935" s="6">
        <v>0.9</v>
      </c>
      <c r="Z935" s="4" t="s">
        <v>81</v>
      </c>
    </row>
    <row r="936" spans="1:26" hidden="1" x14ac:dyDescent="0.35">
      <c r="A936" t="str">
        <f>_xlfn.CONCAT(Tableau1[[#This Row],[Athletes]],"_",Tableau1[[#This Row],[Nationality]],"_",Tableau1[[#This Row],[Competition_year]])</f>
        <v>Addison WILEY_USA_2025</v>
      </c>
      <c r="B936" s="9" t="s">
        <v>533</v>
      </c>
      <c r="C936" s="9" t="s">
        <v>29</v>
      </c>
      <c r="D936" s="12" t="s">
        <v>35</v>
      </c>
      <c r="E936" s="9">
        <v>13.6</v>
      </c>
      <c r="F936" s="9">
        <v>13.5</v>
      </c>
      <c r="G936" s="9">
        <v>14.5</v>
      </c>
      <c r="H936" s="9">
        <v>14.9</v>
      </c>
      <c r="I936" s="9">
        <v>15</v>
      </c>
      <c r="J936" s="9">
        <v>15.1</v>
      </c>
      <c r="K936" s="9">
        <v>16</v>
      </c>
      <c r="L936">
        <f>Tableau1[[#This Row],[Final_time]]-SUM(Tableau1[[#This Row],[0_100m]:[600_700m]])</f>
        <v>16.540000000000006</v>
      </c>
      <c r="M936" s="9">
        <v>119.14</v>
      </c>
      <c r="N936">
        <f>SUM(Tableau1[[#This Row],[0_100m]:[700_800m]])</f>
        <v>119.14</v>
      </c>
      <c r="O936">
        <f>ABS(Tableau1[[#This Row],[Final_time]]-Tableau1[[#This Row],[Sum_time]])</f>
        <v>0</v>
      </c>
      <c r="P936" s="8"/>
      <c r="Q936" s="1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R936" t="s">
        <v>1396</v>
      </c>
      <c r="S936" s="1" t="s">
        <v>68</v>
      </c>
      <c r="U936" s="1" t="s">
        <v>69</v>
      </c>
      <c r="V936" s="1">
        <v>45897</v>
      </c>
      <c r="W936" s="4">
        <f>YEAR(Tableau1[[#This Row],[Competition_date]])</f>
        <v>2025</v>
      </c>
      <c r="X936" s="4">
        <v>18</v>
      </c>
      <c r="Y936" s="6">
        <v>0.9</v>
      </c>
      <c r="Z936" s="4" t="s">
        <v>81</v>
      </c>
    </row>
    <row r="937" spans="1:26" hidden="1" x14ac:dyDescent="0.35">
      <c r="A937" t="str">
        <f>_xlfn.CONCAT(Tableau1[[#This Row],[Athletes]],"_",Tableau1[[#This Row],[Nationality]],"_",Tableau1[[#This Row],[Competition_year]])</f>
        <v>Emmanuel WANYONYI_KEN_2025</v>
      </c>
      <c r="B937" t="s">
        <v>183</v>
      </c>
      <c r="C937" t="s">
        <v>14</v>
      </c>
      <c r="D937" s="18" t="s">
        <v>15</v>
      </c>
      <c r="E937">
        <v>12.4</v>
      </c>
      <c r="F937">
        <v>11.5</v>
      </c>
      <c r="G937">
        <v>12.7</v>
      </c>
      <c r="H937">
        <v>12.9</v>
      </c>
      <c r="I937">
        <v>13</v>
      </c>
      <c r="J937">
        <v>13.1</v>
      </c>
      <c r="K937">
        <v>13.3</v>
      </c>
      <c r="L937">
        <f>Tableau1[[#This Row],[Final_time]]-SUM(Tableau1[[#This Row],[0_100m]:[600_700m]])</f>
        <v>13.470000000000013</v>
      </c>
      <c r="M937">
        <v>102.37</v>
      </c>
      <c r="N937">
        <f>SUM(Tableau1[[#This Row],[0_100m]:[700_800m]])</f>
        <v>102.37</v>
      </c>
      <c r="O937">
        <f>ABS(Tableau1[[#This Row],[Final_time]]-Tableau1[[#This Row],[Sum_time]])</f>
        <v>0</v>
      </c>
      <c r="P937" s="8"/>
      <c r="Q937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37" t="s">
        <v>1396</v>
      </c>
      <c r="S937" s="1" t="s">
        <v>68</v>
      </c>
      <c r="U937" s="1" t="s">
        <v>69</v>
      </c>
      <c r="V937" s="1">
        <v>45897</v>
      </c>
      <c r="W937" s="4">
        <f>YEAR(Tableau1[[#This Row],[Competition_date]])</f>
        <v>2025</v>
      </c>
      <c r="X937" s="4">
        <v>18</v>
      </c>
      <c r="Y937" s="6">
        <v>0.9</v>
      </c>
      <c r="Z937" s="4" t="s">
        <v>81</v>
      </c>
    </row>
    <row r="938" spans="1:26" hidden="1" x14ac:dyDescent="0.35">
      <c r="A938" t="str">
        <f>_xlfn.CONCAT(Tableau1[[#This Row],[Athletes]],"_",Tableau1[[#This Row],[Nationality]],"_",Tableau1[[#This Row],[Competition_year]])</f>
        <v>Max BURGIN_GBR_2025</v>
      </c>
      <c r="B938" t="s">
        <v>188</v>
      </c>
      <c r="C938" t="s">
        <v>14</v>
      </c>
      <c r="D938" s="18" t="s">
        <v>30</v>
      </c>
      <c r="E938">
        <v>12.5</v>
      </c>
      <c r="F938">
        <v>11.5</v>
      </c>
      <c r="G938">
        <v>12.8</v>
      </c>
      <c r="H938">
        <v>13</v>
      </c>
      <c r="I938">
        <v>13.1</v>
      </c>
      <c r="J938">
        <v>13.2</v>
      </c>
      <c r="K938">
        <v>13</v>
      </c>
      <c r="L938">
        <f>Tableau1[[#This Row],[Final_time]]-SUM(Tableau1[[#This Row],[0_100m]:[600_700m]])</f>
        <v>13.320000000000007</v>
      </c>
      <c r="M938">
        <v>102.42</v>
      </c>
      <c r="N938">
        <f>SUM(Tableau1[[#This Row],[0_100m]:[700_800m]])</f>
        <v>102.42</v>
      </c>
      <c r="O938">
        <f>ABS(Tableau1[[#This Row],[Final_time]]-Tableau1[[#This Row],[Sum_time]])</f>
        <v>0</v>
      </c>
      <c r="P938" s="8"/>
      <c r="Q938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38" t="s">
        <v>1396</v>
      </c>
      <c r="S938" s="1" t="s">
        <v>68</v>
      </c>
      <c r="U938" s="1" t="s">
        <v>69</v>
      </c>
      <c r="V938" s="1">
        <v>45897</v>
      </c>
      <c r="W938" s="4">
        <f>YEAR(Tableau1[[#This Row],[Competition_date]])</f>
        <v>2025</v>
      </c>
      <c r="X938" s="4">
        <v>18</v>
      </c>
      <c r="Y938" s="6">
        <v>0.9</v>
      </c>
      <c r="Z938" s="4" t="s">
        <v>81</v>
      </c>
    </row>
    <row r="939" spans="1:26" hidden="1" x14ac:dyDescent="0.35">
      <c r="A939" t="str">
        <f>_xlfn.CONCAT(Tableau1[[#This Row],[Athletes]],"_",Tableau1[[#This Row],[Nationality]],"_",Tableau1[[#This Row],[Competition_year]])</f>
        <v>Marco AROP_CAN_2025</v>
      </c>
      <c r="B939" t="s">
        <v>177</v>
      </c>
      <c r="C939" t="s">
        <v>14</v>
      </c>
      <c r="D939" s="18" t="s">
        <v>19</v>
      </c>
      <c r="E939">
        <v>12.4</v>
      </c>
      <c r="F939">
        <v>11.6</v>
      </c>
      <c r="G939">
        <v>12.9</v>
      </c>
      <c r="H939">
        <v>13</v>
      </c>
      <c r="I939">
        <v>13.2</v>
      </c>
      <c r="J939">
        <v>13.1</v>
      </c>
      <c r="K939">
        <v>13.1</v>
      </c>
      <c r="L939">
        <f>Tableau1[[#This Row],[Final_time]]-SUM(Tableau1[[#This Row],[0_100m]:[600_700m]])</f>
        <v>13.27000000000001</v>
      </c>
      <c r="M939">
        <v>102.57</v>
      </c>
      <c r="N939">
        <f>SUM(Tableau1[[#This Row],[0_100m]:[700_800m]])</f>
        <v>102.57</v>
      </c>
      <c r="O939">
        <f>ABS(Tableau1[[#This Row],[Final_time]]-Tableau1[[#This Row],[Sum_time]])</f>
        <v>0</v>
      </c>
      <c r="P939" s="8"/>
      <c r="Q939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39" t="s">
        <v>1396</v>
      </c>
      <c r="S939" s="1" t="s">
        <v>68</v>
      </c>
      <c r="U939" s="1" t="s">
        <v>69</v>
      </c>
      <c r="V939" s="1">
        <v>45897</v>
      </c>
      <c r="W939" s="4">
        <f>YEAR(Tableau1[[#This Row],[Competition_date]])</f>
        <v>2025</v>
      </c>
      <c r="X939" s="4">
        <v>18</v>
      </c>
      <c r="Y939" s="6">
        <v>0.9</v>
      </c>
      <c r="Z939" s="4" t="s">
        <v>81</v>
      </c>
    </row>
    <row r="940" spans="1:26" hidden="1" x14ac:dyDescent="0.35">
      <c r="A940" t="str">
        <f>_xlfn.CONCAT(Tableau1[[#This Row],[Athletes]],"_",Tableau1[[#This Row],[Nationality]],"_",Tableau1[[#This Row],[Competition_year]])</f>
        <v>Djamel SEDJATI_ALG_2025</v>
      </c>
      <c r="B940" t="s">
        <v>170</v>
      </c>
      <c r="C940" t="s">
        <v>14</v>
      </c>
      <c r="D940" s="18" t="s">
        <v>24</v>
      </c>
      <c r="E940">
        <v>12.6</v>
      </c>
      <c r="F940">
        <v>11.8</v>
      </c>
      <c r="G940">
        <v>13</v>
      </c>
      <c r="H940">
        <v>13.1</v>
      </c>
      <c r="I940">
        <v>13.3</v>
      </c>
      <c r="J940">
        <v>12.8</v>
      </c>
      <c r="K940">
        <v>13.3</v>
      </c>
      <c r="L940">
        <f>Tableau1[[#This Row],[Final_time]]-SUM(Tableau1[[#This Row],[0_100m]:[600_700m]])</f>
        <v>12.940000000000012</v>
      </c>
      <c r="M940">
        <v>102.84</v>
      </c>
      <c r="N940">
        <f>SUM(Tableau1[[#This Row],[0_100m]:[700_800m]])</f>
        <v>102.84</v>
      </c>
      <c r="O940">
        <f>ABS(Tableau1[[#This Row],[Final_time]]-Tableau1[[#This Row],[Sum_time]])</f>
        <v>0</v>
      </c>
      <c r="P940" s="8"/>
      <c r="Q940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40" t="s">
        <v>1396</v>
      </c>
      <c r="S940" s="1" t="s">
        <v>68</v>
      </c>
      <c r="U940" s="1" t="s">
        <v>69</v>
      </c>
      <c r="V940" s="1">
        <v>45897</v>
      </c>
      <c r="W940" s="4">
        <f>YEAR(Tableau1[[#This Row],[Competition_date]])</f>
        <v>2025</v>
      </c>
      <c r="X940" s="4">
        <v>18</v>
      </c>
      <c r="Y940" s="6">
        <v>0.9</v>
      </c>
      <c r="Z940" s="4" t="s">
        <v>81</v>
      </c>
    </row>
    <row r="941" spans="1:26" hidden="1" x14ac:dyDescent="0.35">
      <c r="A941" t="str">
        <f>_xlfn.CONCAT(Tableau1[[#This Row],[Athletes]],"_",Tableau1[[#This Row],[Nationality]],"_",Tableau1[[#This Row],[Competition_year]])</f>
        <v>Tshepiso MASALELA_BOT_2025</v>
      </c>
      <c r="B941" t="s">
        <v>107</v>
      </c>
      <c r="C941" t="s">
        <v>14</v>
      </c>
      <c r="D941" s="18" t="s">
        <v>44</v>
      </c>
      <c r="E941">
        <v>12.5</v>
      </c>
      <c r="F941">
        <v>11.7</v>
      </c>
      <c r="G941">
        <v>13</v>
      </c>
      <c r="H941">
        <v>13</v>
      </c>
      <c r="I941">
        <v>13.2</v>
      </c>
      <c r="J941">
        <v>13.1</v>
      </c>
      <c r="K941">
        <v>13.2</v>
      </c>
      <c r="L941">
        <f>Tableau1[[#This Row],[Final_time]]-SUM(Tableau1[[#This Row],[0_100m]:[600_700m]])</f>
        <v>13.459999999999994</v>
      </c>
      <c r="M941">
        <v>103.16</v>
      </c>
      <c r="N941">
        <f>SUM(Tableau1[[#This Row],[0_100m]:[700_800m]])</f>
        <v>103.16</v>
      </c>
      <c r="O941">
        <f>ABS(Tableau1[[#This Row],[Final_time]]-Tableau1[[#This Row],[Sum_time]])</f>
        <v>0</v>
      </c>
      <c r="P941" s="8"/>
      <c r="Q941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41" t="s">
        <v>1396</v>
      </c>
      <c r="S941" s="1" t="s">
        <v>68</v>
      </c>
      <c r="U941" s="1" t="s">
        <v>69</v>
      </c>
      <c r="V941" s="1">
        <v>45897</v>
      </c>
      <c r="W941" s="4">
        <f>YEAR(Tableau1[[#This Row],[Competition_date]])</f>
        <v>2025</v>
      </c>
      <c r="X941" s="4">
        <v>18</v>
      </c>
      <c r="Y941" s="6">
        <v>0.9</v>
      </c>
      <c r="Z941" s="4" t="s">
        <v>81</v>
      </c>
    </row>
    <row r="942" spans="1:26" hidden="1" x14ac:dyDescent="0.35">
      <c r="A942" t="str">
        <f>_xlfn.CONCAT(Tableau1[[#This Row],[Athletes]],"_",Tableau1[[#This Row],[Nationality]],"_",Tableau1[[#This Row],[Competition_year]])</f>
        <v>Mohamed ATTAOUI_ESP_2025</v>
      </c>
      <c r="B942" t="s">
        <v>110</v>
      </c>
      <c r="C942" t="s">
        <v>14</v>
      </c>
      <c r="D942" s="18" t="s">
        <v>37</v>
      </c>
      <c r="E942">
        <v>12.5</v>
      </c>
      <c r="F942">
        <v>11.5</v>
      </c>
      <c r="G942">
        <v>13</v>
      </c>
      <c r="H942">
        <v>13</v>
      </c>
      <c r="I942">
        <v>13.2</v>
      </c>
      <c r="J942">
        <v>13.1</v>
      </c>
      <c r="K942">
        <v>13.2</v>
      </c>
      <c r="L942">
        <f>Tableau1[[#This Row],[Final_time]]-SUM(Tableau1[[#This Row],[0_100m]:[600_700m]])</f>
        <v>13.849999999999994</v>
      </c>
      <c r="M942">
        <v>103.35</v>
      </c>
      <c r="N942">
        <f>SUM(Tableau1[[#This Row],[0_100m]:[700_800m]])</f>
        <v>103.35</v>
      </c>
      <c r="O942">
        <f>ABS(Tableau1[[#This Row],[Final_time]]-Tableau1[[#This Row],[Sum_time]])</f>
        <v>0</v>
      </c>
      <c r="P942" s="8"/>
      <c r="Q942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42" t="s">
        <v>1396</v>
      </c>
      <c r="S942" s="1" t="s">
        <v>68</v>
      </c>
      <c r="U942" s="1" t="s">
        <v>69</v>
      </c>
      <c r="V942" s="1">
        <v>45897</v>
      </c>
      <c r="W942" s="4">
        <f>YEAR(Tableau1[[#This Row],[Competition_date]])</f>
        <v>2025</v>
      </c>
      <c r="X942" s="4">
        <v>18</v>
      </c>
      <c r="Y942" s="6">
        <v>0.9</v>
      </c>
      <c r="Z942" s="4" t="s">
        <v>81</v>
      </c>
    </row>
    <row r="943" spans="1:26" hidden="1" x14ac:dyDescent="0.35">
      <c r="A943" t="str">
        <f>_xlfn.CONCAT(Tableau1[[#This Row],[Athletes]],"_",Tableau1[[#This Row],[Nationality]],"_",Tableau1[[#This Row],[Competition_year]])</f>
        <v>Bryce HOPPEL_USA_2025</v>
      </c>
      <c r="B943" t="s">
        <v>173</v>
      </c>
      <c r="C943" t="s">
        <v>14</v>
      </c>
      <c r="D943" s="18" t="s">
        <v>35</v>
      </c>
      <c r="E943">
        <v>12.7</v>
      </c>
      <c r="F943">
        <v>11.8</v>
      </c>
      <c r="G943">
        <v>12.9</v>
      </c>
      <c r="H943">
        <v>13</v>
      </c>
      <c r="I943">
        <v>13.2</v>
      </c>
      <c r="J943">
        <v>13.2</v>
      </c>
      <c r="K943">
        <v>13.4</v>
      </c>
      <c r="L943">
        <f>Tableau1[[#This Row],[Final_time]]-SUM(Tableau1[[#This Row],[0_100m]:[600_700m]])</f>
        <v>13.579999999999998</v>
      </c>
      <c r="M943">
        <v>103.78</v>
      </c>
      <c r="N943">
        <f>SUM(Tableau1[[#This Row],[0_100m]:[700_800m]])</f>
        <v>103.78</v>
      </c>
      <c r="O943">
        <f>ABS(Tableau1[[#This Row],[Final_time]]-Tableau1[[#This Row],[Sum_time]])</f>
        <v>0</v>
      </c>
      <c r="P943" s="8"/>
      <c r="Q943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43" t="s">
        <v>1396</v>
      </c>
      <c r="S943" s="1" t="s">
        <v>68</v>
      </c>
      <c r="U943" s="1" t="s">
        <v>69</v>
      </c>
      <c r="V943" s="1">
        <v>45897</v>
      </c>
      <c r="W943" s="4">
        <f>YEAR(Tableau1[[#This Row],[Competition_date]])</f>
        <v>2025</v>
      </c>
      <c r="X943" s="4">
        <v>18</v>
      </c>
      <c r="Y943" s="6">
        <v>0.9</v>
      </c>
      <c r="Z943" s="4" t="s">
        <v>81</v>
      </c>
    </row>
    <row r="944" spans="1:26" hidden="1" x14ac:dyDescent="0.35">
      <c r="A944" t="str">
        <f>_xlfn.CONCAT(Tableau1[[#This Row],[Athletes]],"_",Tableau1[[#This Row],[Nationality]],"_",Tableau1[[#This Row],[Competition_year]])</f>
        <v>Josh HOEY_USA_2025</v>
      </c>
      <c r="B944" t="s">
        <v>1372</v>
      </c>
      <c r="C944" t="s">
        <v>14</v>
      </c>
      <c r="D944" s="18" t="s">
        <v>35</v>
      </c>
      <c r="E944">
        <v>12.6</v>
      </c>
      <c r="F944">
        <v>11.7</v>
      </c>
      <c r="G944">
        <v>12.9</v>
      </c>
      <c r="H944">
        <v>13</v>
      </c>
      <c r="I944">
        <v>13.1</v>
      </c>
      <c r="J944">
        <v>13.1</v>
      </c>
      <c r="K944">
        <v>13.3</v>
      </c>
      <c r="L944">
        <f>Tableau1[[#This Row],[Final_time]]-SUM(Tableau1[[#This Row],[0_100m]:[600_700m]])</f>
        <v>14.550000000000011</v>
      </c>
      <c r="M944">
        <v>104.25</v>
      </c>
      <c r="N944">
        <f>SUM(Tableau1[[#This Row],[0_100m]:[700_800m]])</f>
        <v>104.25</v>
      </c>
      <c r="O944">
        <f>ABS(Tableau1[[#This Row],[Final_time]]-Tableau1[[#This Row],[Sum_time]])</f>
        <v>0</v>
      </c>
      <c r="P944" s="8"/>
      <c r="Q944" s="1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R944" t="s">
        <v>1396</v>
      </c>
      <c r="S944" s="1" t="s">
        <v>68</v>
      </c>
      <c r="U944" s="1" t="s">
        <v>69</v>
      </c>
      <c r="V944" s="1">
        <v>45897</v>
      </c>
      <c r="W944" s="4">
        <f>YEAR(Tableau1[[#This Row],[Competition_date]])</f>
        <v>2025</v>
      </c>
      <c r="X944" s="4">
        <v>18</v>
      </c>
      <c r="Y944" s="6">
        <v>0.9</v>
      </c>
      <c r="Z944" s="4" t="s">
        <v>81</v>
      </c>
    </row>
    <row r="945" spans="1:27" hidden="1" x14ac:dyDescent="0.35">
      <c r="A945" t="str">
        <f>_xlfn.CONCAT(Tableau1[[#This Row],[Athletes]],"_",Tableau1[[#This Row],[Nationality]],"_",Tableau1[[#This Row],[Competition_year]])</f>
        <v>Djamel SEDJATI_ALG_2022</v>
      </c>
      <c r="B945" t="s">
        <v>170</v>
      </c>
      <c r="C945" t="s">
        <v>14</v>
      </c>
      <c r="D945" s="18" t="s">
        <v>24</v>
      </c>
      <c r="E945">
        <v>12.78</v>
      </c>
      <c r="F945">
        <v>12.58</v>
      </c>
      <c r="G945">
        <v>13.67</v>
      </c>
      <c r="H945">
        <v>13.57</v>
      </c>
      <c r="I945">
        <v>12.85</v>
      </c>
      <c r="J945">
        <v>12.84</v>
      </c>
      <c r="K945">
        <v>12.89</v>
      </c>
      <c r="L945">
        <f>Tableau1[[#This Row],[Final_time]]-SUM(Tableau1[[#This Row],[0_100m]:[600_700m]])</f>
        <v>12.959999999999994</v>
      </c>
      <c r="M945">
        <v>104.14</v>
      </c>
      <c r="N945">
        <f>SUM(Tableau1[[#This Row],[0_100m]:[700_800m]])</f>
        <v>104.14</v>
      </c>
      <c r="O945">
        <f>ABS(Tableau1[[#This Row],[Final_time]]-Tableau1[[#This Row],[Sum_time]])</f>
        <v>0</v>
      </c>
      <c r="P945" s="8"/>
      <c r="Q945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45" t="s">
        <v>143</v>
      </c>
      <c r="S945" s="1" t="s">
        <v>136</v>
      </c>
      <c r="T945" t="s">
        <v>149</v>
      </c>
      <c r="U945" s="1" t="s">
        <v>69</v>
      </c>
      <c r="V945" s="1">
        <v>44765</v>
      </c>
      <c r="W945" s="4">
        <f>YEAR(Tableau1[[#This Row],[Competition_date]])</f>
        <v>2022</v>
      </c>
      <c r="X945" s="4">
        <v>25</v>
      </c>
      <c r="Y945" s="6">
        <v>0.44</v>
      </c>
      <c r="Z945" s="4"/>
      <c r="AA945" t="s">
        <v>161</v>
      </c>
    </row>
    <row r="946" spans="1:27" hidden="1" x14ac:dyDescent="0.35">
      <c r="A946" t="str">
        <f>_xlfn.CONCAT(Tableau1[[#This Row],[Athletes]],"_",Tableau1[[#This Row],[Nationality]],"_",Tableau1[[#This Row],[Competition_year]])</f>
        <v>Marco AROP_CAN_2022</v>
      </c>
      <c r="B946" t="s">
        <v>177</v>
      </c>
      <c r="C946" t="s">
        <v>14</v>
      </c>
      <c r="D946" s="18" t="s">
        <v>19</v>
      </c>
      <c r="E946">
        <v>12.84</v>
      </c>
      <c r="F946">
        <v>12.27</v>
      </c>
      <c r="G946">
        <v>13.41</v>
      </c>
      <c r="H946">
        <v>13.52</v>
      </c>
      <c r="I946">
        <v>12.84</v>
      </c>
      <c r="J946">
        <v>12.67</v>
      </c>
      <c r="K946">
        <v>12.95</v>
      </c>
      <c r="L946">
        <f>Tableau1[[#This Row],[Final_time]]-SUM(Tableau1[[#This Row],[0_100m]:[600_700m]])</f>
        <v>13.780000000000001</v>
      </c>
      <c r="M946">
        <v>104.28</v>
      </c>
      <c r="N946">
        <f>SUM(Tableau1[[#This Row],[0_100m]:[700_800m]])</f>
        <v>104.28</v>
      </c>
      <c r="O946">
        <f>ABS(Tableau1[[#This Row],[Final_time]]-Tableau1[[#This Row],[Sum_time]])</f>
        <v>0</v>
      </c>
      <c r="P946" s="8"/>
      <c r="Q946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46" t="s">
        <v>143</v>
      </c>
      <c r="S946" s="1" t="s">
        <v>136</v>
      </c>
      <c r="T946" t="s">
        <v>149</v>
      </c>
      <c r="U946" s="1" t="s">
        <v>69</v>
      </c>
      <c r="V946" s="1">
        <v>44765</v>
      </c>
      <c r="W946" s="4">
        <f>YEAR(Tableau1[[#This Row],[Competition_date]])</f>
        <v>2022</v>
      </c>
      <c r="X946" s="4">
        <v>25</v>
      </c>
      <c r="Y946" s="6">
        <v>0.44</v>
      </c>
      <c r="Z946" s="4"/>
      <c r="AA946" t="s">
        <v>161</v>
      </c>
    </row>
    <row r="947" spans="1:27" hidden="1" x14ac:dyDescent="0.35">
      <c r="A947" t="str">
        <f>_xlfn.CONCAT(Tableau1[[#This Row],[Athletes]],"_",Tableau1[[#This Row],[Nationality]],"_",Tableau1[[#This Row],[Competition_year]])</f>
        <v>Emmanuel WANYONYI_KEN_2022</v>
      </c>
      <c r="B947" t="s">
        <v>183</v>
      </c>
      <c r="C947" t="s">
        <v>14</v>
      </c>
      <c r="D947" s="18" t="s">
        <v>15</v>
      </c>
      <c r="E947">
        <v>12.85</v>
      </c>
      <c r="F947">
        <v>12.66</v>
      </c>
      <c r="G947">
        <v>13.6</v>
      </c>
      <c r="H947">
        <v>13.52</v>
      </c>
      <c r="I947">
        <v>13.24</v>
      </c>
      <c r="J947">
        <v>12.68</v>
      </c>
      <c r="K947">
        <v>12.98</v>
      </c>
      <c r="L947">
        <f>Tableau1[[#This Row],[Final_time]]-SUM(Tableau1[[#This Row],[0_100m]:[600_700m]])</f>
        <v>13.010000000000019</v>
      </c>
      <c r="M947">
        <v>104.54</v>
      </c>
      <c r="N947">
        <f>SUM(Tableau1[[#This Row],[0_100m]:[700_800m]])</f>
        <v>104.54</v>
      </c>
      <c r="O947">
        <f>ABS(Tableau1[[#This Row],[Final_time]]-Tableau1[[#This Row],[Sum_time]])</f>
        <v>0</v>
      </c>
      <c r="P947" s="8"/>
      <c r="Q947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47" t="s">
        <v>143</v>
      </c>
      <c r="S947" s="1" t="s">
        <v>136</v>
      </c>
      <c r="T947" t="s">
        <v>149</v>
      </c>
      <c r="U947" s="1" t="s">
        <v>69</v>
      </c>
      <c r="V947" s="1">
        <v>44765</v>
      </c>
      <c r="W947" s="4">
        <f>YEAR(Tableau1[[#This Row],[Competition_date]])</f>
        <v>2022</v>
      </c>
      <c r="X947" s="4">
        <v>25</v>
      </c>
      <c r="Y947" s="6">
        <v>0.44</v>
      </c>
      <c r="Z947" s="4"/>
      <c r="AA947" t="s">
        <v>161</v>
      </c>
    </row>
    <row r="948" spans="1:27" hidden="1" x14ac:dyDescent="0.35">
      <c r="A948" t="str">
        <f>_xlfn.CONCAT(Tableau1[[#This Row],[Athletes]],"_",Tableau1[[#This Row],[Nationality]],"_",Tableau1[[#This Row],[Competition_year]])</f>
        <v>Slimane MOULA_ALG_2022</v>
      </c>
      <c r="B948" t="s">
        <v>103</v>
      </c>
      <c r="C948" t="s">
        <v>14</v>
      </c>
      <c r="D948" s="18" t="s">
        <v>24</v>
      </c>
      <c r="E948">
        <v>12.71</v>
      </c>
      <c r="F948">
        <v>12.24</v>
      </c>
      <c r="G948">
        <v>13.6</v>
      </c>
      <c r="H948">
        <v>13.62</v>
      </c>
      <c r="I948">
        <v>13.18</v>
      </c>
      <c r="J948">
        <v>13</v>
      </c>
      <c r="K948">
        <v>13.18</v>
      </c>
      <c r="L948">
        <f>Tableau1[[#This Row],[Final_time]]-SUM(Tableau1[[#This Row],[0_100m]:[600_700m]])</f>
        <v>13.319999999999993</v>
      </c>
      <c r="M948">
        <v>104.85</v>
      </c>
      <c r="N948">
        <f>SUM(Tableau1[[#This Row],[0_100m]:[700_800m]])</f>
        <v>104.85</v>
      </c>
      <c r="O948">
        <f>ABS(Tableau1[[#This Row],[Final_time]]-Tableau1[[#This Row],[Sum_time]])</f>
        <v>0</v>
      </c>
      <c r="P948" s="8"/>
      <c r="Q948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48" t="s">
        <v>143</v>
      </c>
      <c r="S948" s="1" t="s">
        <v>136</v>
      </c>
      <c r="T948" t="s">
        <v>149</v>
      </c>
      <c r="U948" s="1" t="s">
        <v>69</v>
      </c>
      <c r="V948" s="1">
        <v>44765</v>
      </c>
      <c r="W948" s="4">
        <f>YEAR(Tableau1[[#This Row],[Competition_date]])</f>
        <v>2022</v>
      </c>
      <c r="X948" s="4">
        <v>25</v>
      </c>
      <c r="Y948" s="6">
        <v>0.44</v>
      </c>
      <c r="Z948" s="4"/>
      <c r="AA948" t="s">
        <v>161</v>
      </c>
    </row>
    <row r="949" spans="1:27" hidden="1" x14ac:dyDescent="0.35">
      <c r="A949" t="str">
        <f>_xlfn.CONCAT(Tableau1[[#This Row],[Athletes]],"_",Tableau1[[#This Row],[Nationality]],"_",Tableau1[[#This Row],[Competition_year]])</f>
        <v>Gabriel TUAL_FRA_2022</v>
      </c>
      <c r="B949" t="s">
        <v>180</v>
      </c>
      <c r="C949" t="s">
        <v>14</v>
      </c>
      <c r="D949" s="18" t="s">
        <v>17</v>
      </c>
      <c r="E949">
        <v>12.64</v>
      </c>
      <c r="F949">
        <v>12.32</v>
      </c>
      <c r="G949">
        <v>13.8</v>
      </c>
      <c r="H949">
        <v>13.37</v>
      </c>
      <c r="I949">
        <v>12.9</v>
      </c>
      <c r="J949">
        <v>12.81</v>
      </c>
      <c r="K949">
        <v>13.26</v>
      </c>
      <c r="L949">
        <f>Tableau1[[#This Row],[Final_time]]-SUM(Tableau1[[#This Row],[0_100m]:[600_700m]])</f>
        <v>14.389999999999986</v>
      </c>
      <c r="M949">
        <v>105.49</v>
      </c>
      <c r="N949">
        <f>SUM(Tableau1[[#This Row],[0_100m]:[700_800m]])</f>
        <v>105.49</v>
      </c>
      <c r="O949">
        <f>ABS(Tableau1[[#This Row],[Final_time]]-Tableau1[[#This Row],[Sum_time]])</f>
        <v>0</v>
      </c>
      <c r="P949" s="8"/>
      <c r="Q949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49" t="s">
        <v>143</v>
      </c>
      <c r="S949" s="1" t="s">
        <v>136</v>
      </c>
      <c r="T949" t="s">
        <v>149</v>
      </c>
      <c r="U949" s="1" t="s">
        <v>69</v>
      </c>
      <c r="V949" s="1">
        <v>44765</v>
      </c>
      <c r="W949" s="4">
        <f>YEAR(Tableau1[[#This Row],[Competition_date]])</f>
        <v>2022</v>
      </c>
      <c r="X949" s="4">
        <v>25</v>
      </c>
      <c r="Y949" s="6">
        <v>0.44</v>
      </c>
      <c r="Z949" s="4"/>
      <c r="AA949" t="s">
        <v>161</v>
      </c>
    </row>
    <row r="950" spans="1:27" hidden="1" x14ac:dyDescent="0.35">
      <c r="A950" t="str">
        <f>_xlfn.CONCAT(Tableau1[[#This Row],[Athletes]],"_",Tableau1[[#This Row],[Nationality]],"_",Tableau1[[#This Row],[Competition_year]])</f>
        <v>Peter BOL_AUS_2022</v>
      </c>
      <c r="B950" t="s">
        <v>127</v>
      </c>
      <c r="C950" t="s">
        <v>14</v>
      </c>
      <c r="D950" s="18" t="s">
        <v>36</v>
      </c>
      <c r="E950">
        <v>12.74</v>
      </c>
      <c r="F950">
        <v>12.31</v>
      </c>
      <c r="G950">
        <v>13.59</v>
      </c>
      <c r="H950">
        <v>13.83</v>
      </c>
      <c r="I950">
        <v>12.95</v>
      </c>
      <c r="J950">
        <v>13.03</v>
      </c>
      <c r="K950">
        <v>13.17</v>
      </c>
      <c r="L950">
        <f>Tableau1[[#This Row],[Final_time]]-SUM(Tableau1[[#This Row],[0_100m]:[600_700m]])</f>
        <v>13.89</v>
      </c>
      <c r="M950">
        <v>105.51</v>
      </c>
      <c r="N950">
        <f>SUM(Tableau1[[#This Row],[0_100m]:[700_800m]])</f>
        <v>105.51</v>
      </c>
      <c r="O950">
        <f>ABS(Tableau1[[#This Row],[Final_time]]-Tableau1[[#This Row],[Sum_time]])</f>
        <v>0</v>
      </c>
      <c r="P950" s="8"/>
      <c r="Q950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50" t="s">
        <v>143</v>
      </c>
      <c r="S950" s="1" t="s">
        <v>136</v>
      </c>
      <c r="T950" t="s">
        <v>149</v>
      </c>
      <c r="U950" s="1" t="s">
        <v>69</v>
      </c>
      <c r="V950" s="1">
        <v>44765</v>
      </c>
      <c r="W950" s="4">
        <f>YEAR(Tableau1[[#This Row],[Competition_date]])</f>
        <v>2022</v>
      </c>
      <c r="X950" s="4">
        <v>25</v>
      </c>
      <c r="Y950" s="6">
        <v>0.44</v>
      </c>
      <c r="Z950" s="4"/>
      <c r="AA950" t="s">
        <v>161</v>
      </c>
    </row>
    <row r="951" spans="1:27" hidden="1" x14ac:dyDescent="0.35">
      <c r="A951" t="str">
        <f>_xlfn.CONCAT(Tableau1[[#This Row],[Athletes]],"_",Tableau1[[#This Row],[Nationality]],"_",Tableau1[[#This Row],[Competition_year]])</f>
        <v>Wyclife KINYAMAL_KEN_2022</v>
      </c>
      <c r="B951" t="s">
        <v>174</v>
      </c>
      <c r="C951" t="s">
        <v>14</v>
      </c>
      <c r="D951" s="18" t="s">
        <v>15</v>
      </c>
      <c r="E951">
        <v>12.71</v>
      </c>
      <c r="F951">
        <v>12.42</v>
      </c>
      <c r="G951">
        <v>13.67</v>
      </c>
      <c r="H951">
        <v>13.48</v>
      </c>
      <c r="I951">
        <v>12.71</v>
      </c>
      <c r="J951">
        <v>12.84</v>
      </c>
      <c r="K951">
        <v>13.25</v>
      </c>
      <c r="L951">
        <f>Tableau1[[#This Row],[Final_time]]-SUM(Tableau1[[#This Row],[0_100m]:[600_700m]])</f>
        <v>15.989999999999981</v>
      </c>
      <c r="M951">
        <v>107.07</v>
      </c>
      <c r="N951">
        <f>SUM(Tableau1[[#This Row],[0_100m]:[700_800m]])</f>
        <v>107.07</v>
      </c>
      <c r="O951">
        <f>ABS(Tableau1[[#This Row],[Final_time]]-Tableau1[[#This Row],[Sum_time]])</f>
        <v>0</v>
      </c>
      <c r="P951" s="8"/>
      <c r="Q951" s="16" t="str">
        <f>_xlfn.CONCAT(Tableau1[[#This Row],[Competition]],"_",Tableau1[[#This Row],[Championship_step]],"_",Tableau1[[#This Row],[Competition_date]],"_",Tableau1[[#This Row],[Gender]])</f>
        <v>World Championships Eugene 2022_Final_44765_Male</v>
      </c>
      <c r="R951" t="s">
        <v>143</v>
      </c>
      <c r="S951" s="1" t="s">
        <v>136</v>
      </c>
      <c r="T951" t="s">
        <v>149</v>
      </c>
      <c r="U951" s="1" t="s">
        <v>69</v>
      </c>
      <c r="V951" s="1">
        <v>44765</v>
      </c>
      <c r="W951" s="4">
        <f>YEAR(Tableau1[[#This Row],[Competition_date]])</f>
        <v>2022</v>
      </c>
      <c r="X951" s="4">
        <v>25</v>
      </c>
      <c r="Y951" s="6">
        <v>0.44</v>
      </c>
      <c r="Z951" s="4"/>
      <c r="AA951" t="s">
        <v>161</v>
      </c>
    </row>
    <row r="952" spans="1:27" hidden="1" x14ac:dyDescent="0.35">
      <c r="A952" t="str">
        <f>_xlfn.CONCAT(Tableau1[[#This Row],[Athletes]],"_",Tableau1[[#This Row],[Nationality]],"_",Tableau1[[#This Row],[Competition_year]])</f>
        <v>Mary MORAA_KEN_2023</v>
      </c>
      <c r="B952" t="s">
        <v>228</v>
      </c>
      <c r="C952" t="s">
        <v>29</v>
      </c>
      <c r="D952" s="18" t="s">
        <v>15</v>
      </c>
      <c r="E952">
        <v>13.39</v>
      </c>
      <c r="F952">
        <v>13.13</v>
      </c>
      <c r="G952">
        <v>14.7</v>
      </c>
      <c r="H952">
        <v>14.85</v>
      </c>
      <c r="I952">
        <v>15.33</v>
      </c>
      <c r="J952">
        <v>14.92</v>
      </c>
      <c r="K952">
        <v>15.05</v>
      </c>
      <c r="L952">
        <f>Tableau1[[#This Row],[Final_time]]-SUM(Tableau1[[#This Row],[0_100m]:[600_700m]])</f>
        <v>14.659999999999997</v>
      </c>
      <c r="M952">
        <v>116.03</v>
      </c>
      <c r="N952">
        <f>SUM(Tableau1[[#This Row],[0_100m]:[700_800m]])</f>
        <v>116.03</v>
      </c>
      <c r="O952">
        <f>ABS(Tableau1[[#This Row],[Final_time]]-Tableau1[[#This Row],[Sum_time]])</f>
        <v>0</v>
      </c>
      <c r="P952" s="8"/>
      <c r="Q952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2" t="s">
        <v>104</v>
      </c>
      <c r="S952" s="1" t="s">
        <v>136</v>
      </c>
      <c r="T952" t="s">
        <v>149</v>
      </c>
      <c r="U952" s="1" t="s">
        <v>69</v>
      </c>
      <c r="V952" s="1">
        <v>45165</v>
      </c>
      <c r="W952" s="4">
        <f>YEAR(Tableau1[[#This Row],[Competition_date]])</f>
        <v>2023</v>
      </c>
      <c r="X952" s="4">
        <v>30</v>
      </c>
      <c r="Y952" s="6">
        <v>0.49</v>
      </c>
      <c r="Z952" s="4"/>
      <c r="AA952" t="s">
        <v>140</v>
      </c>
    </row>
    <row r="953" spans="1:27" hidden="1" x14ac:dyDescent="0.35">
      <c r="A953" t="str">
        <f>_xlfn.CONCAT(Tableau1[[#This Row],[Athletes]],"_",Tableau1[[#This Row],[Nationality]],"_",Tableau1[[#This Row],[Competition_year]])</f>
        <v>Keely HODGKINSON_GBR_2023</v>
      </c>
      <c r="B953" t="s">
        <v>212</v>
      </c>
      <c r="C953" t="s">
        <v>29</v>
      </c>
      <c r="D953" s="18" t="s">
        <v>30</v>
      </c>
      <c r="E953">
        <v>13.35</v>
      </c>
      <c r="F953">
        <v>13.22</v>
      </c>
      <c r="G953">
        <v>14.65</v>
      </c>
      <c r="H953">
        <v>15.12</v>
      </c>
      <c r="I953">
        <v>15.32</v>
      </c>
      <c r="J953">
        <v>14.79</v>
      </c>
      <c r="K953">
        <v>15.17</v>
      </c>
      <c r="L953">
        <f>Tableau1[[#This Row],[Final_time]]-SUM(Tableau1[[#This Row],[0_100m]:[600_700m]])</f>
        <v>14.720000000000013</v>
      </c>
      <c r="M953">
        <v>116.34</v>
      </c>
      <c r="N953">
        <f>SUM(Tableau1[[#This Row],[0_100m]:[700_800m]])</f>
        <v>116.34</v>
      </c>
      <c r="O953">
        <f>ABS(Tableau1[[#This Row],[Final_time]]-Tableau1[[#This Row],[Sum_time]])</f>
        <v>0</v>
      </c>
      <c r="P953" s="8"/>
      <c r="Q953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3" t="s">
        <v>104</v>
      </c>
      <c r="S953" s="1" t="s">
        <v>136</v>
      </c>
      <c r="T953" t="s">
        <v>149</v>
      </c>
      <c r="U953" s="1" t="s">
        <v>69</v>
      </c>
      <c r="V953" s="1">
        <v>45165</v>
      </c>
      <c r="W953" s="4">
        <f>YEAR(Tableau1[[#This Row],[Competition_date]])</f>
        <v>2023</v>
      </c>
      <c r="X953" s="4">
        <v>30</v>
      </c>
      <c r="Y953" s="6">
        <v>0.49</v>
      </c>
      <c r="Z953" s="4"/>
      <c r="AA953" t="s">
        <v>140</v>
      </c>
    </row>
    <row r="954" spans="1:27" hidden="1" x14ac:dyDescent="0.35">
      <c r="A954" t="str">
        <f>_xlfn.CONCAT(Tableau1[[#This Row],[Athletes]],"_",Tableau1[[#This Row],[Nationality]],"_",Tableau1[[#This Row],[Competition_year]])</f>
        <v>Athing MU-NIKOLAYEV_USA_2023</v>
      </c>
      <c r="B954" t="s">
        <v>1376</v>
      </c>
      <c r="C954" t="s">
        <v>29</v>
      </c>
      <c r="D954" s="18" t="s">
        <v>35</v>
      </c>
      <c r="E954">
        <v>13.26</v>
      </c>
      <c r="F954">
        <v>13.25</v>
      </c>
      <c r="G954">
        <v>14.43</v>
      </c>
      <c r="H954">
        <v>15.07</v>
      </c>
      <c r="I954">
        <v>15.2</v>
      </c>
      <c r="J954">
        <v>15</v>
      </c>
      <c r="K954">
        <v>14.97</v>
      </c>
      <c r="L954">
        <f>Tableau1[[#This Row],[Final_time]]-SUM(Tableau1[[#This Row],[0_100m]:[600_700m]])</f>
        <v>15.430000000000007</v>
      </c>
      <c r="M954">
        <v>116.61</v>
      </c>
      <c r="N954">
        <f>SUM(Tableau1[[#This Row],[0_100m]:[700_800m]])</f>
        <v>116.61</v>
      </c>
      <c r="O954">
        <f>ABS(Tableau1[[#This Row],[Final_time]]-Tableau1[[#This Row],[Sum_time]])</f>
        <v>0</v>
      </c>
      <c r="P954" s="8"/>
      <c r="Q954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4" t="s">
        <v>104</v>
      </c>
      <c r="S954" s="1" t="s">
        <v>136</v>
      </c>
      <c r="T954" t="s">
        <v>149</v>
      </c>
      <c r="U954" s="1" t="s">
        <v>69</v>
      </c>
      <c r="V954" s="1">
        <v>45165</v>
      </c>
      <c r="W954" s="4">
        <f>YEAR(Tableau1[[#This Row],[Competition_date]])</f>
        <v>2023</v>
      </c>
      <c r="X954" s="4">
        <v>30</v>
      </c>
      <c r="Y954" s="6">
        <v>0.49</v>
      </c>
      <c r="Z954" s="4"/>
      <c r="AA954" t="s">
        <v>140</v>
      </c>
    </row>
    <row r="955" spans="1:27" hidden="1" x14ac:dyDescent="0.35">
      <c r="A955" t="str">
        <f>_xlfn.CONCAT(Tableau1[[#This Row],[Athletes]],"_",Tableau1[[#This Row],[Nationality]],"_",Tableau1[[#This Row],[Competition_year]])</f>
        <v>Raevyn ROGERS_USA_2023</v>
      </c>
      <c r="B955" t="s">
        <v>221</v>
      </c>
      <c r="C955" t="s">
        <v>29</v>
      </c>
      <c r="D955" s="18" t="s">
        <v>35</v>
      </c>
      <c r="E955">
        <v>13.42</v>
      </c>
      <c r="F955">
        <v>13.55</v>
      </c>
      <c r="G955">
        <v>14.61</v>
      </c>
      <c r="H955">
        <v>14.99</v>
      </c>
      <c r="I955">
        <v>15.43</v>
      </c>
      <c r="J955">
        <v>15.12</v>
      </c>
      <c r="K955">
        <v>14.99</v>
      </c>
      <c r="L955">
        <f>Tableau1[[#This Row],[Final_time]]-SUM(Tableau1[[#This Row],[0_100m]:[600_700m]])</f>
        <v>15.340000000000003</v>
      </c>
      <c r="M955">
        <v>117.45</v>
      </c>
      <c r="N955">
        <f>SUM(Tableau1[[#This Row],[0_100m]:[700_800m]])</f>
        <v>117.45</v>
      </c>
      <c r="O955">
        <f>ABS(Tableau1[[#This Row],[Final_time]]-Tableau1[[#This Row],[Sum_time]])</f>
        <v>0</v>
      </c>
      <c r="P955" s="8"/>
      <c r="Q955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5" t="s">
        <v>104</v>
      </c>
      <c r="S955" s="1" t="s">
        <v>136</v>
      </c>
      <c r="T955" t="s">
        <v>149</v>
      </c>
      <c r="U955" s="1" t="s">
        <v>69</v>
      </c>
      <c r="V955" s="1">
        <v>45165</v>
      </c>
      <c r="W955" s="4">
        <f>YEAR(Tableau1[[#This Row],[Competition_date]])</f>
        <v>2023</v>
      </c>
      <c r="X955" s="4">
        <v>30</v>
      </c>
      <c r="Y955" s="6">
        <v>0.49</v>
      </c>
      <c r="Z955" s="4"/>
      <c r="AA955" t="s">
        <v>140</v>
      </c>
    </row>
    <row r="956" spans="1:27" hidden="1" x14ac:dyDescent="0.35">
      <c r="A956" t="str">
        <f>_xlfn.CONCAT(Tableau1[[#This Row],[Athletes]],"_",Tableau1[[#This Row],[Nationality]],"_",Tableau1[[#This Row],[Competition_year]])</f>
        <v>Jemma REEKIE_GBR_2023</v>
      </c>
      <c r="B956" t="s">
        <v>220</v>
      </c>
      <c r="C956" t="s">
        <v>29</v>
      </c>
      <c r="D956" s="18" t="s">
        <v>30</v>
      </c>
      <c r="E956">
        <v>13.53</v>
      </c>
      <c r="F956">
        <v>13.02</v>
      </c>
      <c r="G956">
        <v>14.65</v>
      </c>
      <c r="H956">
        <v>15.07</v>
      </c>
      <c r="I956">
        <v>15.31</v>
      </c>
      <c r="J956">
        <v>14.93</v>
      </c>
      <c r="K956">
        <v>15.15</v>
      </c>
      <c r="L956">
        <f>Tableau1[[#This Row],[Final_time]]-SUM(Tableau1[[#This Row],[0_100m]:[600_700m]])</f>
        <v>16.060000000000002</v>
      </c>
      <c r="M956">
        <v>117.72</v>
      </c>
      <c r="N956">
        <f>SUM(Tableau1[[#This Row],[0_100m]:[700_800m]])</f>
        <v>117.72</v>
      </c>
      <c r="O956">
        <f>ABS(Tableau1[[#This Row],[Final_time]]-Tableau1[[#This Row],[Sum_time]])</f>
        <v>0</v>
      </c>
      <c r="P956" s="8"/>
      <c r="Q956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6" t="s">
        <v>104</v>
      </c>
      <c r="S956" s="1" t="s">
        <v>136</v>
      </c>
      <c r="T956" t="s">
        <v>149</v>
      </c>
      <c r="U956" s="1" t="s">
        <v>69</v>
      </c>
      <c r="V956" s="1">
        <v>45165</v>
      </c>
      <c r="W956" s="4">
        <f>YEAR(Tableau1[[#This Row],[Competition_date]])</f>
        <v>2023</v>
      </c>
      <c r="X956" s="4">
        <v>30</v>
      </c>
      <c r="Y956" s="6">
        <v>0.49</v>
      </c>
      <c r="Z956" s="4"/>
      <c r="AA956" t="s">
        <v>140</v>
      </c>
    </row>
    <row r="957" spans="1:27" hidden="1" x14ac:dyDescent="0.35">
      <c r="A957" t="str">
        <f>_xlfn.CONCAT(Tableau1[[#This Row],[Athletes]],"_",Tableau1[[#This Row],[Nationality]],"_",Tableau1[[#This Row],[Competition_year]])</f>
        <v>Nia AKINS_USA_2023</v>
      </c>
      <c r="B957" t="s">
        <v>213</v>
      </c>
      <c r="C957" t="s">
        <v>29</v>
      </c>
      <c r="D957" s="18" t="s">
        <v>35</v>
      </c>
      <c r="E957">
        <v>13.8</v>
      </c>
      <c r="F957">
        <v>13.1</v>
      </c>
      <c r="G957">
        <v>14.5</v>
      </c>
      <c r="H957">
        <v>15.07</v>
      </c>
      <c r="I957">
        <v>15.34</v>
      </c>
      <c r="J957">
        <v>14.94</v>
      </c>
      <c r="K957">
        <v>15.05</v>
      </c>
      <c r="L957">
        <f>Tableau1[[#This Row],[Final_time]]-SUM(Tableau1[[#This Row],[0_100m]:[600_700m]])</f>
        <v>15.930000000000007</v>
      </c>
      <c r="M957">
        <v>117.73</v>
      </c>
      <c r="N957">
        <f>SUM(Tableau1[[#This Row],[0_100m]:[700_800m]])</f>
        <v>117.73</v>
      </c>
      <c r="O957">
        <f>ABS(Tableau1[[#This Row],[Final_time]]-Tableau1[[#This Row],[Sum_time]])</f>
        <v>0</v>
      </c>
      <c r="P957" s="8"/>
      <c r="Q957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7" t="s">
        <v>104</v>
      </c>
      <c r="S957" s="1" t="s">
        <v>136</v>
      </c>
      <c r="T957" t="s">
        <v>149</v>
      </c>
      <c r="U957" s="1" t="s">
        <v>69</v>
      </c>
      <c r="V957" s="1">
        <v>45165</v>
      </c>
      <c r="W957" s="4">
        <f>YEAR(Tableau1[[#This Row],[Competition_date]])</f>
        <v>2023</v>
      </c>
      <c r="X957" s="4">
        <v>30</v>
      </c>
      <c r="Y957" s="6">
        <v>0.49</v>
      </c>
      <c r="Z957" s="4"/>
      <c r="AA957" t="s">
        <v>140</v>
      </c>
    </row>
    <row r="958" spans="1:27" hidden="1" x14ac:dyDescent="0.35">
      <c r="A958" t="str">
        <f>_xlfn.CONCAT(Tableau1[[#This Row],[Athletes]],"_",Tableau1[[#This Row],[Nationality]],"_",Tableau1[[#This Row],[Competition_year]])</f>
        <v>Adelle TRACEY_JAM_2023</v>
      </c>
      <c r="B958" t="s">
        <v>231</v>
      </c>
      <c r="C958" t="s">
        <v>29</v>
      </c>
      <c r="D958" s="18" t="s">
        <v>33</v>
      </c>
      <c r="E958">
        <v>13.87</v>
      </c>
      <c r="F958">
        <v>13.38</v>
      </c>
      <c r="G958">
        <v>14.59</v>
      </c>
      <c r="H958">
        <v>14.89</v>
      </c>
      <c r="I958">
        <v>15.48</v>
      </c>
      <c r="J958">
        <v>15.11</v>
      </c>
      <c r="K958">
        <v>15.36</v>
      </c>
      <c r="L958">
        <f>Tableau1[[#This Row],[Final_time]]-SUM(Tableau1[[#This Row],[0_100m]:[600_700m]])</f>
        <v>15.72999999999999</v>
      </c>
      <c r="M958">
        <v>118.41</v>
      </c>
      <c r="N958">
        <f>SUM(Tableau1[[#This Row],[0_100m]:[700_800m]])</f>
        <v>118.41</v>
      </c>
      <c r="O958">
        <f>ABS(Tableau1[[#This Row],[Final_time]]-Tableau1[[#This Row],[Sum_time]])</f>
        <v>0</v>
      </c>
      <c r="P958" s="8"/>
      <c r="Q958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8" t="s">
        <v>104</v>
      </c>
      <c r="S958" s="1" t="s">
        <v>136</v>
      </c>
      <c r="T958" t="s">
        <v>149</v>
      </c>
      <c r="U958" s="1" t="s">
        <v>69</v>
      </c>
      <c r="V958" s="1">
        <v>45165</v>
      </c>
      <c r="W958" s="4">
        <f>YEAR(Tableau1[[#This Row],[Competition_date]])</f>
        <v>2023</v>
      </c>
      <c r="X958" s="4">
        <v>30</v>
      </c>
      <c r="Y958" s="6">
        <v>0.49</v>
      </c>
      <c r="Z958" s="4"/>
      <c r="AA958" t="s">
        <v>140</v>
      </c>
    </row>
    <row r="959" spans="1:27" hidden="1" x14ac:dyDescent="0.35">
      <c r="A959" t="str">
        <f>_xlfn.CONCAT(Tableau1[[#This Row],[Athletes]],"_",Tableau1[[#This Row],[Nationality]],"_",Tableau1[[#This Row],[Competition_year]])</f>
        <v>Halimah NAKAAYI_UGA_2023</v>
      </c>
      <c r="B959" t="s">
        <v>230</v>
      </c>
      <c r="C959" t="s">
        <v>29</v>
      </c>
      <c r="D959" s="18" t="s">
        <v>34</v>
      </c>
      <c r="E959">
        <v>13.75</v>
      </c>
      <c r="F959">
        <v>13.07</v>
      </c>
      <c r="G959">
        <v>14.61</v>
      </c>
      <c r="H959">
        <v>14.94</v>
      </c>
      <c r="I959">
        <v>15.41</v>
      </c>
      <c r="J959">
        <v>15.32</v>
      </c>
      <c r="K959">
        <v>15.8</v>
      </c>
      <c r="L959">
        <f>Tableau1[[#This Row],[Final_time]]-SUM(Tableau1[[#This Row],[0_100m]:[600_700m]])</f>
        <v>16.280000000000015</v>
      </c>
      <c r="M959">
        <v>119.18</v>
      </c>
      <c r="N959">
        <f>SUM(Tableau1[[#This Row],[0_100m]:[700_800m]])</f>
        <v>119.18</v>
      </c>
      <c r="O959">
        <f>ABS(Tableau1[[#This Row],[Final_time]]-Tableau1[[#This Row],[Sum_time]])</f>
        <v>0</v>
      </c>
      <c r="P959" s="8"/>
      <c r="Q959" s="16" t="str">
        <f>_xlfn.CONCAT(Tableau1[[#This Row],[Competition]],"_",Tableau1[[#This Row],[Championship_step]],"_",Tableau1[[#This Row],[Competition_date]],"_",Tableau1[[#This Row],[Gender]])</f>
        <v>World Championships Budapest 2023_Final_45165_Female</v>
      </c>
      <c r="R959" t="s">
        <v>104</v>
      </c>
      <c r="S959" s="1" t="s">
        <v>136</v>
      </c>
      <c r="T959" t="s">
        <v>149</v>
      </c>
      <c r="U959" s="1" t="s">
        <v>69</v>
      </c>
      <c r="V959" s="1">
        <v>45165</v>
      </c>
      <c r="W959" s="4">
        <f>YEAR(Tableau1[[#This Row],[Competition_date]])</f>
        <v>2023</v>
      </c>
      <c r="X959" s="4">
        <v>30</v>
      </c>
      <c r="Y959" s="6">
        <v>0.49</v>
      </c>
      <c r="Z959" s="4"/>
      <c r="AA959" t="s">
        <v>140</v>
      </c>
    </row>
    <row r="960" spans="1:27" hidden="1" x14ac:dyDescent="0.35">
      <c r="A960" t="str">
        <f>_xlfn.CONCAT(Tableau1[[#This Row],[Athletes]],"_",Tableau1[[#This Row],[Nationality]],"_",Tableau1[[#This Row],[Competition_year]])</f>
        <v>Marco AROP_CAN_2023</v>
      </c>
      <c r="B960" t="s">
        <v>177</v>
      </c>
      <c r="C960" t="s">
        <v>14</v>
      </c>
      <c r="D960" s="18" t="s">
        <v>19</v>
      </c>
      <c r="E960">
        <v>13.25</v>
      </c>
      <c r="F960">
        <v>12.7</v>
      </c>
      <c r="G960">
        <v>13.87</v>
      </c>
      <c r="H960">
        <v>13.56</v>
      </c>
      <c r="I960">
        <v>13.57</v>
      </c>
      <c r="J960">
        <v>12.26</v>
      </c>
      <c r="K960">
        <v>12.42</v>
      </c>
      <c r="L960">
        <f>Tableau1[[#This Row],[Final_time]]-SUM(Tableau1[[#This Row],[0_100m]:[600_700m]])</f>
        <v>12.609999999999985</v>
      </c>
      <c r="M960">
        <v>104.24</v>
      </c>
      <c r="N960">
        <f>SUM(Tableau1[[#This Row],[0_100m]:[700_800m]])</f>
        <v>104.24</v>
      </c>
      <c r="O960">
        <f>ABS(Tableau1[[#This Row],[Final_time]]-Tableau1[[#This Row],[Sum_time]])</f>
        <v>0</v>
      </c>
      <c r="P960" s="8"/>
      <c r="Q960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960" t="s">
        <v>104</v>
      </c>
      <c r="S960" s="1" t="s">
        <v>136</v>
      </c>
      <c r="T960" t="s">
        <v>149</v>
      </c>
      <c r="U960" s="1" t="s">
        <v>69</v>
      </c>
      <c r="V960" s="1">
        <v>45164</v>
      </c>
      <c r="W960" s="4">
        <f>YEAR(Tableau1[[#This Row],[Competition_date]])</f>
        <v>2023</v>
      </c>
      <c r="X960" s="4">
        <v>32</v>
      </c>
      <c r="Y960" s="6">
        <v>0.46</v>
      </c>
      <c r="Z960" s="4"/>
      <c r="AA960" t="s">
        <v>137</v>
      </c>
    </row>
    <row r="961" spans="1:27" hidden="1" x14ac:dyDescent="0.35">
      <c r="A961" t="str">
        <f>_xlfn.CONCAT(Tableau1[[#This Row],[Athletes]],"_",Tableau1[[#This Row],[Nationality]],"_",Tableau1[[#This Row],[Competition_year]])</f>
        <v>Emmanuel WANYONYI_KEN_2023</v>
      </c>
      <c r="B961" t="s">
        <v>183</v>
      </c>
      <c r="C961" t="s">
        <v>14</v>
      </c>
      <c r="D961" s="18" t="s">
        <v>15</v>
      </c>
      <c r="E961">
        <v>12.8</v>
      </c>
      <c r="F961">
        <v>12.52</v>
      </c>
      <c r="G961">
        <v>13.5</v>
      </c>
      <c r="H961">
        <v>13.86</v>
      </c>
      <c r="I961">
        <v>13.75</v>
      </c>
      <c r="J961">
        <v>13.02</v>
      </c>
      <c r="K961">
        <v>12.51</v>
      </c>
      <c r="L961">
        <f>Tableau1[[#This Row],[Final_time]]-SUM(Tableau1[[#This Row],[0_100m]:[600_700m]])</f>
        <v>12.569999999999993</v>
      </c>
      <c r="M961">
        <v>104.53</v>
      </c>
      <c r="N961">
        <f>SUM(Tableau1[[#This Row],[0_100m]:[700_800m]])</f>
        <v>104.53</v>
      </c>
      <c r="O961">
        <f>ABS(Tableau1[[#This Row],[Final_time]]-Tableau1[[#This Row],[Sum_time]])</f>
        <v>0</v>
      </c>
      <c r="P961" s="8"/>
      <c r="Q961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961" t="s">
        <v>104</v>
      </c>
      <c r="S961" s="1" t="s">
        <v>136</v>
      </c>
      <c r="T961" t="s">
        <v>149</v>
      </c>
      <c r="U961" s="1" t="s">
        <v>69</v>
      </c>
      <c r="V961" s="1">
        <v>45164</v>
      </c>
      <c r="W961" s="4">
        <f>YEAR(Tableau1[[#This Row],[Competition_date]])</f>
        <v>2023</v>
      </c>
      <c r="X961" s="4">
        <v>32</v>
      </c>
      <c r="Y961" s="6">
        <v>0.46</v>
      </c>
      <c r="Z961" s="4"/>
      <c r="AA961" t="s">
        <v>137</v>
      </c>
    </row>
    <row r="962" spans="1:27" x14ac:dyDescent="0.35">
      <c r="A962" t="str">
        <f>_xlfn.CONCAT(Tableau1[[#This Row],[Athletes]],"_",Tableau1[[#This Row],[Nationality]],"_",Tableau1[[#This Row],[Competition_year]])</f>
        <v>Rénelle LAMOTE_FRA_2021</v>
      </c>
      <c r="B962" t="s">
        <v>225</v>
      </c>
      <c r="C962" t="s">
        <v>29</v>
      </c>
      <c r="D962" s="18" t="s">
        <v>17</v>
      </c>
      <c r="E962">
        <v>14.3</v>
      </c>
      <c r="F962">
        <f>28.8-Tableau1[[#This Row],[0_100m]]</f>
        <v>14.5</v>
      </c>
      <c r="G962">
        <f>45.1-SUM(Tableau1[[#This Row],[0_100m]:[100_200m]])</f>
        <v>16.3</v>
      </c>
      <c r="H962">
        <v>16.100000000000001</v>
      </c>
      <c r="I962">
        <v>15.7</v>
      </c>
      <c r="J962">
        <v>15.4</v>
      </c>
      <c r="K962">
        <v>15.4</v>
      </c>
      <c r="L962">
        <f>Tableau1[[#This Row],[Final_time]]-SUM(Tableau1[[#This Row],[0_100m]:[600_700m]])</f>
        <v>14.219999999999985</v>
      </c>
      <c r="M962">
        <v>121.92</v>
      </c>
      <c r="N962">
        <f>SUM(Tableau1[[#This Row],[0_100m]:[700_800m]])</f>
        <v>121.92</v>
      </c>
      <c r="O962">
        <f>ABS(Tableau1[[#This Row],[Final_time]]-Tableau1[[#This Row],[Sum_time]])</f>
        <v>0</v>
      </c>
      <c r="P962" s="8" t="s">
        <v>141</v>
      </c>
      <c r="Q962" s="16" t="str">
        <f>_xlfn.CONCAT(Tableau1[[#This Row],[Competition]],"_",Tableau1[[#This Row],[Championship_step]],"_",Tableau1[[#This Row],[Competition_date]],"_",Tableau1[[#This Row],[Gender]])</f>
        <v>Olympic Games Tokyo 2021_Heat 1_44407_Female</v>
      </c>
      <c r="R962" t="s">
        <v>420</v>
      </c>
      <c r="S962" s="1" t="s">
        <v>114</v>
      </c>
      <c r="T962" t="s">
        <v>148</v>
      </c>
      <c r="U962" s="1" t="s">
        <v>69</v>
      </c>
      <c r="V962" s="1">
        <v>44407</v>
      </c>
      <c r="W962" s="4">
        <f>YEAR(Tableau1[[#This Row],[Competition_date]])</f>
        <v>2021</v>
      </c>
      <c r="X962" s="4"/>
      <c r="Y962" s="6"/>
      <c r="Z962" s="4"/>
      <c r="AA962" t="s">
        <v>444</v>
      </c>
    </row>
    <row r="963" spans="1:27" x14ac:dyDescent="0.35">
      <c r="A963" t="str">
        <f>_xlfn.CONCAT(Tableau1[[#This Row],[Athletes]],"_",Tableau1[[#This Row],[Nationality]],"_",Tableau1[[#This Row],[Competition_year]])</f>
        <v>Winnie NANYONDO_UGA_2021</v>
      </c>
      <c r="B963" t="s">
        <v>441</v>
      </c>
      <c r="C963" t="s">
        <v>29</v>
      </c>
      <c r="D963" s="18" t="s">
        <v>34</v>
      </c>
      <c r="E963">
        <v>14.2</v>
      </c>
      <c r="F963">
        <f>29-Tableau1[[#This Row],[0_100m]]</f>
        <v>14.8</v>
      </c>
      <c r="G963">
        <v>16.399999999999999</v>
      </c>
      <c r="H963">
        <v>16.100000000000001</v>
      </c>
      <c r="I963">
        <v>15.7</v>
      </c>
      <c r="J963">
        <v>15.3</v>
      </c>
      <c r="K963">
        <v>15.3</v>
      </c>
      <c r="L963">
        <f>Tableau1[[#This Row],[Final_time]]-SUM(Tableau1[[#This Row],[0_100m]:[600_700m]])</f>
        <v>14.219999999999999</v>
      </c>
      <c r="M963">
        <v>122.02</v>
      </c>
      <c r="N963">
        <f>SUM(Tableau1[[#This Row],[0_100m]:[700_800m]])</f>
        <v>122.02</v>
      </c>
      <c r="O963">
        <f>ABS(Tableau1[[#This Row],[Final_time]]-Tableau1[[#This Row],[Sum_time]])</f>
        <v>0</v>
      </c>
      <c r="P963" s="8" t="s">
        <v>141</v>
      </c>
      <c r="Q963" s="16" t="str">
        <f>_xlfn.CONCAT(Tableau1[[#This Row],[Competition]],"_",Tableau1[[#This Row],[Championship_step]],"_",Tableau1[[#This Row],[Competition_date]],"_",Tableau1[[#This Row],[Gender]])</f>
        <v>Olympic Games Tokyo 2021_Heat 1_44407_Female</v>
      </c>
      <c r="R963" t="s">
        <v>420</v>
      </c>
      <c r="S963" s="1" t="s">
        <v>114</v>
      </c>
      <c r="T963" t="s">
        <v>148</v>
      </c>
      <c r="U963" s="1" t="s">
        <v>69</v>
      </c>
      <c r="V963" s="1">
        <v>44407</v>
      </c>
      <c r="W963" s="4">
        <f>YEAR(Tableau1[[#This Row],[Competition_date]])</f>
        <v>2021</v>
      </c>
      <c r="X963" s="4"/>
      <c r="Y963" s="6"/>
      <c r="Z963" s="4"/>
      <c r="AA963" t="s">
        <v>444</v>
      </c>
    </row>
    <row r="964" spans="1:27" x14ac:dyDescent="0.35">
      <c r="A964" t="str">
        <f>_xlfn.CONCAT(Tableau1[[#This Row],[Athletes]],"_",Tableau1[[#This Row],[Nationality]],"_",Tableau1[[#This Row],[Competition_year]])</f>
        <v>Lore HOFFMANN_SUI_2021</v>
      </c>
      <c r="B964" t="s">
        <v>224</v>
      </c>
      <c r="C964" t="s">
        <v>29</v>
      </c>
      <c r="D964" s="18" t="s">
        <v>73</v>
      </c>
      <c r="E964">
        <v>14.6</v>
      </c>
      <c r="F964">
        <v>14.7</v>
      </c>
      <c r="G964">
        <f>45.9-SUM(Tableau1[[#This Row],[0_100m]:[100_200m]])</f>
        <v>16.600000000000001</v>
      </c>
      <c r="H964">
        <f>61.6-SUM(Tableau1[[#This Row],[0_100m]:[200_300m]])</f>
        <v>15.700000000000003</v>
      </c>
      <c r="I964">
        <v>15.5</v>
      </c>
      <c r="J964">
        <v>15.4</v>
      </c>
      <c r="K964">
        <v>15.3</v>
      </c>
      <c r="L964">
        <f>Tableau1[[#This Row],[Final_time]]-SUM(Tableau1[[#This Row],[0_100m]:[600_700m]])</f>
        <v>14.25</v>
      </c>
      <c r="M964">
        <v>122.05</v>
      </c>
      <c r="N964">
        <f>SUM(Tableau1[[#This Row],[0_100m]:[700_800m]])</f>
        <v>122.05</v>
      </c>
      <c r="O964">
        <f>ABS(Tableau1[[#This Row],[Final_time]]-Tableau1[[#This Row],[Sum_time]])</f>
        <v>0</v>
      </c>
      <c r="P964" s="8" t="s">
        <v>141</v>
      </c>
      <c r="Q964" s="16" t="str">
        <f>_xlfn.CONCAT(Tableau1[[#This Row],[Competition]],"_",Tableau1[[#This Row],[Championship_step]],"_",Tableau1[[#This Row],[Competition_date]],"_",Tableau1[[#This Row],[Gender]])</f>
        <v>Olympic Games Tokyo 2021_Heat 1_44407_Female</v>
      </c>
      <c r="R964" t="s">
        <v>420</v>
      </c>
      <c r="S964" s="1" t="s">
        <v>114</v>
      </c>
      <c r="T964" t="s">
        <v>148</v>
      </c>
      <c r="U964" s="1" t="s">
        <v>69</v>
      </c>
      <c r="V964" s="1">
        <v>44407</v>
      </c>
      <c r="W964" s="4">
        <f>YEAR(Tableau1[[#This Row],[Competition_date]])</f>
        <v>2021</v>
      </c>
      <c r="X964" s="4"/>
      <c r="Y964" s="6"/>
      <c r="Z964" s="4"/>
      <c r="AA964" t="s">
        <v>444</v>
      </c>
    </row>
    <row r="965" spans="1:27" x14ac:dyDescent="0.35">
      <c r="A965" t="str">
        <f>_xlfn.CONCAT(Tableau1[[#This Row],[Athletes]],"_",Tableau1[[#This Row],[Nationality]],"_",Tableau1[[#This Row],[Competition_year]])</f>
        <v>Angelika SARNA_POL_2021</v>
      </c>
      <c r="B965" t="s">
        <v>442</v>
      </c>
      <c r="C965" t="s">
        <v>29</v>
      </c>
      <c r="D965" s="18" t="s">
        <v>88</v>
      </c>
      <c r="E965">
        <v>14.3</v>
      </c>
      <c r="F965">
        <v>14.8</v>
      </c>
      <c r="G965">
        <f>45.8-SUM(Tableau1[[#This Row],[0_100m]:[100_200m]])</f>
        <v>16.699999999999996</v>
      </c>
      <c r="H965">
        <v>16.100000000000001</v>
      </c>
      <c r="I965">
        <v>15.7</v>
      </c>
      <c r="J965">
        <v>15.4</v>
      </c>
      <c r="K965">
        <f>108.1-SUM(Tableau1[[#This Row],[0_100m]:[500_600m]])</f>
        <v>15.099999999999994</v>
      </c>
      <c r="L965">
        <f>Tableau1[[#This Row],[Final_time]]-SUM(Tableau1[[#This Row],[0_100m]:[600_700m]])</f>
        <v>14.080000000000013</v>
      </c>
      <c r="M965">
        <v>122.18</v>
      </c>
      <c r="N965">
        <f>SUM(Tableau1[[#This Row],[0_100m]:[700_800m]])</f>
        <v>122.18</v>
      </c>
      <c r="O965">
        <f>ABS(Tableau1[[#This Row],[Final_time]]-Tableau1[[#This Row],[Sum_time]])</f>
        <v>0</v>
      </c>
      <c r="P965" s="8"/>
      <c r="Q965" s="16" t="str">
        <f>_xlfn.CONCAT(Tableau1[[#This Row],[Competition]],"_",Tableau1[[#This Row],[Championship_step]],"_",Tableau1[[#This Row],[Competition_date]],"_",Tableau1[[#This Row],[Gender]])</f>
        <v>Olympic Games Tokyo 2021_Heat 1_44407_Female</v>
      </c>
      <c r="R965" t="s">
        <v>420</v>
      </c>
      <c r="S965" s="1" t="s">
        <v>114</v>
      </c>
      <c r="T965" t="s">
        <v>148</v>
      </c>
      <c r="U965" s="1" t="s">
        <v>69</v>
      </c>
      <c r="V965" s="1">
        <v>44407</v>
      </c>
      <c r="W965" s="4">
        <f>YEAR(Tableau1[[#This Row],[Competition_date]])</f>
        <v>2021</v>
      </c>
      <c r="X965" s="4"/>
      <c r="Y965" s="6"/>
      <c r="Z965" s="4"/>
      <c r="AA965" t="s">
        <v>444</v>
      </c>
    </row>
    <row r="966" spans="1:27" x14ac:dyDescent="0.35">
      <c r="A966" t="str">
        <f>_xlfn.CONCAT(Tableau1[[#This Row],[Athletes]],"_",Tableau1[[#This Row],[Nationality]],"_",Tableau1[[#This Row],[Competition_year]])</f>
        <v>Madeleine KELLY_CAN_2021</v>
      </c>
      <c r="B966" t="s">
        <v>273</v>
      </c>
      <c r="C966" t="s">
        <v>29</v>
      </c>
      <c r="D966" s="18" t="s">
        <v>19</v>
      </c>
      <c r="E966">
        <v>14.4</v>
      </c>
      <c r="F966">
        <v>14.7</v>
      </c>
      <c r="G966">
        <f>45.6-SUM(Tableau1[[#This Row],[0_100m]:[100_200m]])</f>
        <v>16.5</v>
      </c>
      <c r="H966">
        <v>16.100000000000001</v>
      </c>
      <c r="I966">
        <v>15.7</v>
      </c>
      <c r="J966">
        <v>15.3</v>
      </c>
      <c r="K966">
        <f>108-SUM(Tableau1[[#This Row],[0_100m]:[500_600m]])</f>
        <v>15.299999999999997</v>
      </c>
      <c r="L966">
        <f>Tableau1[[#This Row],[Final_time]]-SUM(Tableau1[[#This Row],[0_100m]:[600_700m]])</f>
        <v>14.39</v>
      </c>
      <c r="M966">
        <v>122.39</v>
      </c>
      <c r="N966">
        <f>SUM(Tableau1[[#This Row],[0_100m]:[700_800m]])</f>
        <v>122.39</v>
      </c>
      <c r="O966">
        <f>ABS(Tableau1[[#This Row],[Final_time]]-Tableau1[[#This Row],[Sum_time]])</f>
        <v>0</v>
      </c>
      <c r="P966" s="8"/>
      <c r="Q966" s="16" t="str">
        <f>_xlfn.CONCAT(Tableau1[[#This Row],[Competition]],"_",Tableau1[[#This Row],[Championship_step]],"_",Tableau1[[#This Row],[Competition_date]],"_",Tableau1[[#This Row],[Gender]])</f>
        <v>Olympic Games Tokyo 2021_Heat 1_44407_Female</v>
      </c>
      <c r="R966" t="s">
        <v>420</v>
      </c>
      <c r="S966" s="1" t="s">
        <v>114</v>
      </c>
      <c r="T966" t="s">
        <v>148</v>
      </c>
      <c r="U966" s="1" t="s">
        <v>69</v>
      </c>
      <c r="V966" s="1">
        <v>44407</v>
      </c>
      <c r="W966" s="4">
        <f>YEAR(Tableau1[[#This Row],[Competition_date]])</f>
        <v>2021</v>
      </c>
      <c r="X966" s="4"/>
      <c r="Y966" s="6"/>
      <c r="Z966" s="4"/>
      <c r="AA966" t="s">
        <v>444</v>
      </c>
    </row>
    <row r="967" spans="1:27" x14ac:dyDescent="0.35">
      <c r="A967" t="str">
        <f>_xlfn.CONCAT(Tableau1[[#This Row],[Athletes]],"_",Tableau1[[#This Row],[Nationality]],"_",Tableau1[[#This Row],[Competition_year]])</f>
        <v>Morgan MITCHELL_AUS_2021</v>
      </c>
      <c r="B967" t="s">
        <v>443</v>
      </c>
      <c r="C967" t="s">
        <v>29</v>
      </c>
      <c r="D967" s="18" t="s">
        <v>36</v>
      </c>
      <c r="E967">
        <v>14.4</v>
      </c>
      <c r="F967">
        <v>14.8</v>
      </c>
      <c r="G967">
        <f>45.8-SUM(Tableau1[[#This Row],[0_100m]:[100_200m]])</f>
        <v>16.599999999999994</v>
      </c>
      <c r="H967">
        <v>16.100000000000001</v>
      </c>
      <c r="I967">
        <v>15.5</v>
      </c>
      <c r="J967">
        <v>15.5</v>
      </c>
      <c r="K967">
        <f>108.6-SUM(Tableau1[[#This Row],[0_100m]:[500_600m]])</f>
        <v>15.699999999999989</v>
      </c>
      <c r="L967">
        <f>Tableau1[[#This Row],[Final_time]]-SUM(Tableau1[[#This Row],[0_100m]:[600_700m]])</f>
        <v>16.840000000000003</v>
      </c>
      <c r="M967">
        <v>125.44</v>
      </c>
      <c r="N967">
        <f>SUM(Tableau1[[#This Row],[0_100m]:[700_800m]])</f>
        <v>125.44</v>
      </c>
      <c r="O967">
        <f>ABS(Tableau1[[#This Row],[Final_time]]-Tableau1[[#This Row],[Sum_time]])</f>
        <v>0</v>
      </c>
      <c r="P967" s="8"/>
      <c r="Q967" s="16" t="str">
        <f>_xlfn.CONCAT(Tableau1[[#This Row],[Competition]],"_",Tableau1[[#This Row],[Championship_step]],"_",Tableau1[[#This Row],[Competition_date]],"_",Tableau1[[#This Row],[Gender]])</f>
        <v>Olympic Games Tokyo 2021_Heat 1_44407_Female</v>
      </c>
      <c r="R967" t="s">
        <v>420</v>
      </c>
      <c r="S967" s="1" t="s">
        <v>114</v>
      </c>
      <c r="T967" t="s">
        <v>148</v>
      </c>
      <c r="U967" s="1" t="s">
        <v>69</v>
      </c>
      <c r="V967" s="1">
        <v>44407</v>
      </c>
      <c r="W967" s="4">
        <f>YEAR(Tableau1[[#This Row],[Competition_date]])</f>
        <v>2021</v>
      </c>
      <c r="X967" s="4"/>
      <c r="Y967" s="6"/>
      <c r="Z967" s="4"/>
      <c r="AA967" t="s">
        <v>444</v>
      </c>
    </row>
    <row r="968" spans="1:27" x14ac:dyDescent="0.35">
      <c r="A968" t="str">
        <f>_xlfn.CONCAT(Tableau1[[#This Row],[Athletes]],"_",Tableau1[[#This Row],[Nationality]],"_",Tableau1[[#This Row],[Competition_year]])</f>
        <v>Ferguson Cheruiyot ROTICH_KEN_2021</v>
      </c>
      <c r="B968" t="s">
        <v>199</v>
      </c>
      <c r="C968" t="s">
        <v>14</v>
      </c>
      <c r="D968" s="18" t="s">
        <v>15</v>
      </c>
      <c r="E968">
        <v>13.2</v>
      </c>
      <c r="F968">
        <v>12.6</v>
      </c>
      <c r="G968">
        <v>13.4</v>
      </c>
      <c r="H968">
        <v>13.2</v>
      </c>
      <c r="I968">
        <v>13</v>
      </c>
      <c r="J968">
        <v>12.4</v>
      </c>
      <c r="K968">
        <v>12.8</v>
      </c>
      <c r="L968">
        <f>Tableau1[[#This Row],[Final_time]]-SUM(Tableau1[[#This Row],[0_100m]:[600_700m]])</f>
        <v>13.150000000000006</v>
      </c>
      <c r="M968">
        <v>103.75</v>
      </c>
      <c r="N968">
        <f>SUM(Tableau1[[#This Row],[0_100m]:[700_800m]])</f>
        <v>103.75</v>
      </c>
      <c r="O968">
        <f>ABS(Tableau1[[#This Row],[Final_time]]-Tableau1[[#This Row],[Sum_time]])</f>
        <v>0</v>
      </c>
      <c r="P968" s="8" t="s">
        <v>141</v>
      </c>
      <c r="Q968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68" t="s">
        <v>420</v>
      </c>
      <c r="S968" s="1" t="s">
        <v>114</v>
      </c>
      <c r="T968" t="s">
        <v>148</v>
      </c>
      <c r="U968" s="1" t="s">
        <v>69</v>
      </c>
      <c r="V968" s="1">
        <v>44408</v>
      </c>
      <c r="W968" s="4">
        <f>YEAR(Tableau1[[#This Row],[Competition_date]])</f>
        <v>2021</v>
      </c>
      <c r="X968" s="4"/>
      <c r="Y968" s="6"/>
      <c r="Z968" s="4"/>
      <c r="AA968" t="s">
        <v>421</v>
      </c>
    </row>
    <row r="969" spans="1:27" x14ac:dyDescent="0.35">
      <c r="A969" t="str">
        <f>_xlfn.CONCAT(Tableau1[[#This Row],[Athletes]],"_",Tableau1[[#This Row],[Nationality]],"_",Tableau1[[#This Row],[Competition_year]])</f>
        <v>Peter BOL_AUS_2021</v>
      </c>
      <c r="B969" t="s">
        <v>127</v>
      </c>
      <c r="C969" t="s">
        <v>14</v>
      </c>
      <c r="D969" s="18" t="s">
        <v>36</v>
      </c>
      <c r="E969">
        <v>12.9</v>
      </c>
      <c r="F969">
        <v>12.7</v>
      </c>
      <c r="G969">
        <v>13.1</v>
      </c>
      <c r="H969">
        <v>13.2</v>
      </c>
      <c r="I969">
        <v>12.8</v>
      </c>
      <c r="J969">
        <v>12.6</v>
      </c>
      <c r="K969">
        <v>13.2</v>
      </c>
      <c r="L969">
        <f>Tableau1[[#This Row],[Final_time]]-SUM(Tableau1[[#This Row],[0_100m]:[600_700m]])</f>
        <v>13.629999999999995</v>
      </c>
      <c r="M969">
        <v>104.13</v>
      </c>
      <c r="N969">
        <f>SUM(Tableau1[[#This Row],[0_100m]:[700_800m]])</f>
        <v>104.13</v>
      </c>
      <c r="O969">
        <f>ABS(Tableau1[[#This Row],[Final_time]]-Tableau1[[#This Row],[Sum_time]])</f>
        <v>0</v>
      </c>
      <c r="P969" s="8" t="s">
        <v>141</v>
      </c>
      <c r="Q969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69" t="s">
        <v>420</v>
      </c>
      <c r="S969" s="1" t="s">
        <v>114</v>
      </c>
      <c r="T969" t="s">
        <v>148</v>
      </c>
      <c r="U969" s="1" t="s">
        <v>69</v>
      </c>
      <c r="V969" s="1">
        <v>44408</v>
      </c>
      <c r="W969" s="4">
        <f>YEAR(Tableau1[[#This Row],[Competition_date]])</f>
        <v>2021</v>
      </c>
      <c r="X969" s="4"/>
      <c r="Y969" s="6"/>
      <c r="Z969" s="4"/>
      <c r="AA969" t="s">
        <v>421</v>
      </c>
    </row>
    <row r="970" spans="1:27" x14ac:dyDescent="0.35">
      <c r="A970" t="str">
        <f>_xlfn.CONCAT(Tableau1[[#This Row],[Athletes]],"_",Tableau1[[#This Row],[Nationality]],"_",Tableau1[[#This Row],[Competition_year]])</f>
        <v>Elliot GILES_GBR_2021</v>
      </c>
      <c r="B970" t="s">
        <v>383</v>
      </c>
      <c r="C970" t="s">
        <v>14</v>
      </c>
      <c r="D970" s="18" t="s">
        <v>30</v>
      </c>
      <c r="E970">
        <v>13.1</v>
      </c>
      <c r="F970">
        <v>12.5</v>
      </c>
      <c r="G970">
        <v>13.3</v>
      </c>
      <c r="H970">
        <v>13.3</v>
      </c>
      <c r="I970">
        <v>12.9</v>
      </c>
      <c r="J970">
        <v>12.9</v>
      </c>
      <c r="K970">
        <v>12.9</v>
      </c>
      <c r="L970">
        <f>Tableau1[[#This Row],[Final_time]]-SUM(Tableau1[[#This Row],[0_100m]:[600_700m]])</f>
        <v>13.589999999999975</v>
      </c>
      <c r="M970">
        <v>104.49</v>
      </c>
      <c r="N970">
        <f>SUM(Tableau1[[#This Row],[0_100m]:[700_800m]])</f>
        <v>104.49</v>
      </c>
      <c r="O970">
        <f>ABS(Tableau1[[#This Row],[Final_time]]-Tableau1[[#This Row],[Sum_time]])</f>
        <v>0</v>
      </c>
      <c r="P970" s="8" t="s">
        <v>141</v>
      </c>
      <c r="Q970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70" t="s">
        <v>420</v>
      </c>
      <c r="S970" s="1" t="s">
        <v>114</v>
      </c>
      <c r="T970" t="s">
        <v>148</v>
      </c>
      <c r="U970" s="1" t="s">
        <v>69</v>
      </c>
      <c r="V970" s="1">
        <v>44408</v>
      </c>
      <c r="W970" s="4">
        <f>YEAR(Tableau1[[#This Row],[Competition_date]])</f>
        <v>2021</v>
      </c>
      <c r="X970" s="4"/>
      <c r="Y970" s="6"/>
      <c r="Z970" s="4"/>
      <c r="AA970" t="s">
        <v>421</v>
      </c>
    </row>
    <row r="971" spans="1:27" x14ac:dyDescent="0.35">
      <c r="A971" t="str">
        <f>_xlfn.CONCAT(Tableau1[[#This Row],[Athletes]],"_",Tableau1[[#This Row],[Nationality]],"_",Tableau1[[#This Row],[Competition_year]])</f>
        <v>Abdelati EL GUESSE_MAR_2021</v>
      </c>
      <c r="B971" t="s">
        <v>112</v>
      </c>
      <c r="C971" t="s">
        <v>14</v>
      </c>
      <c r="D971" s="18" t="s">
        <v>21</v>
      </c>
      <c r="E971">
        <v>13.4</v>
      </c>
      <c r="F971">
        <v>12.6</v>
      </c>
      <c r="G971">
        <v>13.3</v>
      </c>
      <c r="H971">
        <v>13.2</v>
      </c>
      <c r="I971">
        <v>13</v>
      </c>
      <c r="J971">
        <v>12.9</v>
      </c>
      <c r="K971">
        <v>13.1</v>
      </c>
      <c r="L971">
        <f>Tableau1[[#This Row],[Final_time]]-SUM(Tableau1[[#This Row],[0_100m]:[600_700m]])</f>
        <v>13.340000000000003</v>
      </c>
      <c r="M971">
        <v>104.84</v>
      </c>
      <c r="N971">
        <f>SUM(Tableau1[[#This Row],[0_100m]:[700_800m]])</f>
        <v>104.84</v>
      </c>
      <c r="O971">
        <f>ABS(Tableau1[[#This Row],[Final_time]]-Tableau1[[#This Row],[Sum_time]])</f>
        <v>0</v>
      </c>
      <c r="P971" s="8" t="s">
        <v>142</v>
      </c>
      <c r="Q971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71" t="s">
        <v>420</v>
      </c>
      <c r="S971" s="1" t="s">
        <v>114</v>
      </c>
      <c r="T971" t="s">
        <v>148</v>
      </c>
      <c r="U971" s="1" t="s">
        <v>69</v>
      </c>
      <c r="V971" s="1">
        <v>44408</v>
      </c>
      <c r="W971" s="4">
        <f>YEAR(Tableau1[[#This Row],[Competition_date]])</f>
        <v>2021</v>
      </c>
      <c r="X971" s="4"/>
      <c r="Y971" s="6"/>
      <c r="Z971" s="4"/>
      <c r="AA971" t="s">
        <v>421</v>
      </c>
    </row>
    <row r="972" spans="1:27" x14ac:dyDescent="0.35">
      <c r="A972" t="str">
        <f>_xlfn.CONCAT(Tableau1[[#This Row],[Athletes]],"_",Tableau1[[#This Row],[Nationality]],"_",Tableau1[[#This Row],[Competition_year]])</f>
        <v>Isaiah JEWETT_USA_2021</v>
      </c>
      <c r="B972" t="s">
        <v>415</v>
      </c>
      <c r="C972" t="s">
        <v>14</v>
      </c>
      <c r="D972" s="18" t="s">
        <v>35</v>
      </c>
      <c r="E972">
        <v>12.8</v>
      </c>
      <c r="F972">
        <v>12.6</v>
      </c>
      <c r="G972">
        <v>13.1</v>
      </c>
      <c r="H972">
        <v>13.2</v>
      </c>
      <c r="I972">
        <v>12.6</v>
      </c>
      <c r="J972">
        <v>13</v>
      </c>
      <c r="K972">
        <v>13.5</v>
      </c>
      <c r="L972">
        <f>Tableau1[[#This Row],[Final_time]]-SUM(Tableau1[[#This Row],[0_100m]:[600_700m]])</f>
        <v>14.269999999999996</v>
      </c>
      <c r="M972">
        <v>105.07</v>
      </c>
      <c r="N972">
        <f>SUM(Tableau1[[#This Row],[0_100m]:[700_800m]])</f>
        <v>105.07</v>
      </c>
      <c r="O972">
        <f>ABS(Tableau1[[#This Row],[Final_time]]-Tableau1[[#This Row],[Sum_time]])</f>
        <v>0</v>
      </c>
      <c r="P972" s="8" t="s">
        <v>142</v>
      </c>
      <c r="Q972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72" t="s">
        <v>420</v>
      </c>
      <c r="S972" s="1" t="s">
        <v>114</v>
      </c>
      <c r="T972" t="s">
        <v>148</v>
      </c>
      <c r="U972" s="1" t="s">
        <v>69</v>
      </c>
      <c r="V972" s="1">
        <v>44408</v>
      </c>
      <c r="W972" s="4">
        <f>YEAR(Tableau1[[#This Row],[Competition_date]])</f>
        <v>2021</v>
      </c>
      <c r="X972" s="4"/>
      <c r="Y972" s="6"/>
      <c r="Z972" s="4"/>
      <c r="AA972" t="s">
        <v>421</v>
      </c>
    </row>
    <row r="973" spans="1:27" x14ac:dyDescent="0.35">
      <c r="A973" t="str">
        <f>_xlfn.CONCAT(Tableau1[[#This Row],[Athletes]],"_",Tableau1[[#This Row],[Nationality]],"_",Tableau1[[#This Row],[Competition_year]])</f>
        <v>Tony VAN DIEPEN_NED_2021</v>
      </c>
      <c r="B973" t="s">
        <v>247</v>
      </c>
      <c r="C973" t="s">
        <v>14</v>
      </c>
      <c r="D973" s="18" t="s">
        <v>158</v>
      </c>
      <c r="E973">
        <v>13</v>
      </c>
      <c r="F973">
        <v>13</v>
      </c>
      <c r="G973">
        <v>13.3</v>
      </c>
      <c r="H973">
        <v>13.3</v>
      </c>
      <c r="I973">
        <v>13</v>
      </c>
      <c r="J973">
        <v>12.4</v>
      </c>
      <c r="K973">
        <v>13.2</v>
      </c>
      <c r="L973">
        <f>Tableau1[[#This Row],[Final_time]]-SUM(Tableau1[[#This Row],[0_100m]:[600_700m]])</f>
        <v>14.829999999999998</v>
      </c>
      <c r="M973">
        <v>106.03</v>
      </c>
      <c r="N973">
        <f>SUM(Tableau1[[#This Row],[0_100m]:[700_800m]])</f>
        <v>106.03</v>
      </c>
      <c r="O973">
        <f>ABS(Tableau1[[#This Row],[Final_time]]-Tableau1[[#This Row],[Sum_time]])</f>
        <v>0</v>
      </c>
      <c r="P973" s="8"/>
      <c r="Q973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73" t="s">
        <v>420</v>
      </c>
      <c r="S973" s="1" t="s">
        <v>114</v>
      </c>
      <c r="T973" t="s">
        <v>148</v>
      </c>
      <c r="U973" s="1" t="s">
        <v>69</v>
      </c>
      <c r="V973" s="1">
        <v>44408</v>
      </c>
      <c r="W973" s="4">
        <f>YEAR(Tableau1[[#This Row],[Competition_date]])</f>
        <v>2021</v>
      </c>
      <c r="X973" s="4"/>
      <c r="Y973" s="6"/>
      <c r="Z973" s="4"/>
      <c r="AA973" t="s">
        <v>421</v>
      </c>
    </row>
    <row r="974" spans="1:27" x14ac:dyDescent="0.35">
      <c r="A974" t="str">
        <f>_xlfn.CONCAT(Tableau1[[#This Row],[Athletes]],"_",Tableau1[[#This Row],[Nationality]],"_",Tableau1[[#This Row],[Competition_year]])</f>
        <v>Pol MOYA_AND_2021</v>
      </c>
      <c r="B974" t="s">
        <v>416</v>
      </c>
      <c r="C974" t="s">
        <v>14</v>
      </c>
      <c r="D974" s="18" t="s">
        <v>417</v>
      </c>
      <c r="E974">
        <v>13.4</v>
      </c>
      <c r="F974">
        <v>13</v>
      </c>
      <c r="G974">
        <v>13.3</v>
      </c>
      <c r="H974">
        <v>13.4</v>
      </c>
      <c r="I974">
        <v>13.1</v>
      </c>
      <c r="J974">
        <v>13.4</v>
      </c>
      <c r="K974">
        <v>13.6</v>
      </c>
      <c r="L974">
        <f>Tableau1[[#This Row],[Final_time]]-SUM(Tableau1[[#This Row],[0_100m]:[600_700m]])</f>
        <v>14.239999999999995</v>
      </c>
      <c r="M974">
        <v>107.44</v>
      </c>
      <c r="N974">
        <f>SUM(Tableau1[[#This Row],[0_100m]:[700_800m]])</f>
        <v>107.44</v>
      </c>
      <c r="O974">
        <f>ABS(Tableau1[[#This Row],[Final_time]]-Tableau1[[#This Row],[Sum_time]])</f>
        <v>0</v>
      </c>
      <c r="P974" s="8"/>
      <c r="Q974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74" t="s">
        <v>420</v>
      </c>
      <c r="S974" s="1" t="s">
        <v>114</v>
      </c>
      <c r="T974" t="s">
        <v>148</v>
      </c>
      <c r="U974" s="1" t="s">
        <v>69</v>
      </c>
      <c r="V974" s="1">
        <v>44408</v>
      </c>
      <c r="W974" s="4">
        <f>YEAR(Tableau1[[#This Row],[Competition_date]])</f>
        <v>2021</v>
      </c>
      <c r="X974" s="4"/>
      <c r="Y974" s="6"/>
      <c r="Z974" s="4"/>
      <c r="AA974" t="s">
        <v>421</v>
      </c>
    </row>
    <row r="975" spans="1:27" x14ac:dyDescent="0.35">
      <c r="A975" t="str">
        <f>_xlfn.CONCAT(Tableau1[[#This Row],[Athletes]],"_",Tableau1[[#This Row],[Nationality]],"_",Tableau1[[#This Row],[Competition_year]])</f>
        <v>Musa HAJDARI_KOS_2021</v>
      </c>
      <c r="B975" t="s">
        <v>418</v>
      </c>
      <c r="C975" t="s">
        <v>14</v>
      </c>
      <c r="D975" s="18" t="s">
        <v>419</v>
      </c>
      <c r="E975">
        <v>13.3</v>
      </c>
      <c r="F975">
        <v>12.9</v>
      </c>
      <c r="G975">
        <v>13.3</v>
      </c>
      <c r="H975">
        <v>13.4</v>
      </c>
      <c r="I975">
        <v>13.2</v>
      </c>
      <c r="J975">
        <v>13.3</v>
      </c>
      <c r="K975">
        <v>13.9</v>
      </c>
      <c r="L975">
        <f>Tableau1[[#This Row],[Final_time]]-SUM(Tableau1[[#This Row],[0_100m]:[600_700m]])</f>
        <v>15.659999999999997</v>
      </c>
      <c r="M975">
        <v>108.96</v>
      </c>
      <c r="N975">
        <f>SUM(Tableau1[[#This Row],[0_100m]:[700_800m]])</f>
        <v>108.96</v>
      </c>
      <c r="O975">
        <f>ABS(Tableau1[[#This Row],[Final_time]]-Tableau1[[#This Row],[Sum_time]])</f>
        <v>0</v>
      </c>
      <c r="P975" s="8"/>
      <c r="Q975" s="16" t="str">
        <f>_xlfn.CONCAT(Tableau1[[#This Row],[Competition]],"_",Tableau1[[#This Row],[Championship_step]],"_",Tableau1[[#This Row],[Competition_date]],"_",Tableau1[[#This Row],[Gender]])</f>
        <v>Olympic Games Tokyo 2021_Heat 1_44408_Male</v>
      </c>
      <c r="R975" t="s">
        <v>420</v>
      </c>
      <c r="S975" s="1" t="s">
        <v>114</v>
      </c>
      <c r="T975" t="s">
        <v>148</v>
      </c>
      <c r="U975" s="1" t="s">
        <v>69</v>
      </c>
      <c r="V975" s="1">
        <v>44408</v>
      </c>
      <c r="W975" s="4">
        <f>YEAR(Tableau1[[#This Row],[Competition_date]])</f>
        <v>2021</v>
      </c>
      <c r="X975" s="4"/>
      <c r="Y975" s="6"/>
      <c r="Z975" s="4"/>
      <c r="AA975" t="s">
        <v>421</v>
      </c>
    </row>
    <row r="976" spans="1:27" x14ac:dyDescent="0.35">
      <c r="A976" t="str">
        <f>_xlfn.CONCAT(Tableau1[[#This Row],[Athletes]],"_",Tableau1[[#This Row],[Nationality]],"_",Tableau1[[#This Row],[Competition_year]])</f>
        <v>Natoya GOULE-TOPPIN_JAM_2021</v>
      </c>
      <c r="B976" t="s">
        <v>222</v>
      </c>
      <c r="C976" t="s">
        <v>29</v>
      </c>
      <c r="D976" s="18" t="s">
        <v>33</v>
      </c>
      <c r="E976">
        <v>14.1</v>
      </c>
      <c r="F976">
        <v>14.3</v>
      </c>
      <c r="G976">
        <v>15.7</v>
      </c>
      <c r="H976">
        <v>15.8</v>
      </c>
      <c r="I976">
        <v>15.6</v>
      </c>
      <c r="J976">
        <v>14.7</v>
      </c>
      <c r="K976">
        <v>14.4</v>
      </c>
      <c r="L976">
        <f>Tableau1[[#This Row],[Final_time]]-SUM(Tableau1[[#This Row],[0_100m]:[600_700m]])</f>
        <v>15.230000000000004</v>
      </c>
      <c r="M976">
        <v>119.83</v>
      </c>
      <c r="N976">
        <f>SUM(Tableau1[[#This Row],[0_100m]:[700_800m]])</f>
        <v>119.83</v>
      </c>
      <c r="O976">
        <f>ABS(Tableau1[[#This Row],[Final_time]]-Tableau1[[#This Row],[Sum_time]])</f>
        <v>0</v>
      </c>
      <c r="P976" s="8" t="s">
        <v>141</v>
      </c>
      <c r="Q976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76" t="s">
        <v>420</v>
      </c>
      <c r="S976" s="1" t="s">
        <v>114</v>
      </c>
      <c r="T976" t="s">
        <v>147</v>
      </c>
      <c r="U976" s="1" t="s">
        <v>69</v>
      </c>
      <c r="V976" s="1">
        <v>44407</v>
      </c>
      <c r="W976" s="4">
        <f>YEAR(Tableau1[[#This Row],[Competition_date]])</f>
        <v>2021</v>
      </c>
      <c r="X976" s="4"/>
      <c r="Y976" s="6"/>
      <c r="Z976" s="4"/>
      <c r="AA976" t="s">
        <v>444</v>
      </c>
    </row>
    <row r="977" spans="1:27" x14ac:dyDescent="0.35">
      <c r="A977" t="str">
        <f>_xlfn.CONCAT(Tableau1[[#This Row],[Athletes]],"_",Tableau1[[#This Row],[Nationality]],"_",Tableau1[[#This Row],[Competition_year]])</f>
        <v>Noélie YARIGO_BEN_2021</v>
      </c>
      <c r="B977" t="s">
        <v>214</v>
      </c>
      <c r="C977" t="s">
        <v>29</v>
      </c>
      <c r="D977" s="18" t="s">
        <v>52</v>
      </c>
      <c r="E977">
        <v>14.4</v>
      </c>
      <c r="F977">
        <v>14.2</v>
      </c>
      <c r="G977">
        <v>15.8</v>
      </c>
      <c r="H977">
        <v>15.8</v>
      </c>
      <c r="I977">
        <v>15.5</v>
      </c>
      <c r="J977">
        <v>14.8</v>
      </c>
      <c r="K977">
        <f>105.3-SUM(Tableau1[[#This Row],[0_100m]:[500_600m]])</f>
        <v>14.799999999999997</v>
      </c>
      <c r="L977">
        <f>Tableau1[[#This Row],[Final_time]]-SUM(Tableau1[[#This Row],[0_100m]:[600_700m]])</f>
        <v>14.810000000000002</v>
      </c>
      <c r="M977">
        <v>120.11</v>
      </c>
      <c r="N977">
        <f>SUM(Tableau1[[#This Row],[0_100m]:[700_800m]])</f>
        <v>120.11</v>
      </c>
      <c r="O977">
        <f>ABS(Tableau1[[#This Row],[Final_time]]-Tableau1[[#This Row],[Sum_time]])</f>
        <v>0</v>
      </c>
      <c r="P977" s="8" t="s">
        <v>141</v>
      </c>
      <c r="Q977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77" t="s">
        <v>420</v>
      </c>
      <c r="S977" s="1" t="s">
        <v>114</v>
      </c>
      <c r="T977" t="s">
        <v>147</v>
      </c>
      <c r="U977" s="1" t="s">
        <v>69</v>
      </c>
      <c r="V977" s="1">
        <v>44407</v>
      </c>
      <c r="W977" s="4">
        <f>YEAR(Tableau1[[#This Row],[Competition_date]])</f>
        <v>2021</v>
      </c>
      <c r="X977" s="4"/>
      <c r="Y977" s="6"/>
      <c r="Z977" s="4"/>
      <c r="AA977" t="s">
        <v>444</v>
      </c>
    </row>
    <row r="978" spans="1:27" x14ac:dyDescent="0.35">
      <c r="A978" t="str">
        <f>_xlfn.CONCAT(Tableau1[[#This Row],[Athletes]],"_",Tableau1[[#This Row],[Nationality]],"_",Tableau1[[#This Row],[Competition_year]])</f>
        <v>Hedda HYNNE_NOR_2021</v>
      </c>
      <c r="B978" t="s">
        <v>281</v>
      </c>
      <c r="C978" t="s">
        <v>29</v>
      </c>
      <c r="D978" s="18" t="s">
        <v>123</v>
      </c>
      <c r="E978">
        <v>14.4</v>
      </c>
      <c r="F978">
        <v>14.1</v>
      </c>
      <c r="G978">
        <v>15.8</v>
      </c>
      <c r="H978">
        <v>15.8</v>
      </c>
      <c r="I978">
        <v>15.5</v>
      </c>
      <c r="J978">
        <v>14.8</v>
      </c>
      <c r="K978">
        <v>14.7</v>
      </c>
      <c r="L978">
        <f>Tableau1[[#This Row],[Final_time]]-SUM(Tableau1[[#This Row],[0_100m]:[600_700m]])</f>
        <v>15.660000000000011</v>
      </c>
      <c r="M978">
        <v>120.76</v>
      </c>
      <c r="N978">
        <f>SUM(Tableau1[[#This Row],[0_100m]:[700_800m]])</f>
        <v>120.76</v>
      </c>
      <c r="O978">
        <f>ABS(Tableau1[[#This Row],[Final_time]]-Tableau1[[#This Row],[Sum_time]])</f>
        <v>0</v>
      </c>
      <c r="P978" s="8" t="s">
        <v>141</v>
      </c>
      <c r="Q978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78" t="s">
        <v>420</v>
      </c>
      <c r="S978" s="1" t="s">
        <v>114</v>
      </c>
      <c r="T978" t="s">
        <v>147</v>
      </c>
      <c r="U978" s="1" t="s">
        <v>69</v>
      </c>
      <c r="V978" s="1">
        <v>44407</v>
      </c>
      <c r="W978" s="4">
        <f>YEAR(Tableau1[[#This Row],[Competition_date]])</f>
        <v>2021</v>
      </c>
      <c r="X978" s="4"/>
      <c r="Y978" s="6"/>
      <c r="Z978" s="4"/>
      <c r="AA978" t="s">
        <v>444</v>
      </c>
    </row>
    <row r="979" spans="1:27" x14ac:dyDescent="0.35">
      <c r="A979" t="str">
        <f>_xlfn.CONCAT(Tableau1[[#This Row],[Athletes]],"_",Tableau1[[#This Row],[Nationality]],"_",Tableau1[[#This Row],[Competition_year]])</f>
        <v>Halimah NAKAAYI_UGA_2021</v>
      </c>
      <c r="B979" t="s">
        <v>230</v>
      </c>
      <c r="C979" t="s">
        <v>29</v>
      </c>
      <c r="D979" s="18" t="s">
        <v>34</v>
      </c>
      <c r="E979">
        <v>14.1</v>
      </c>
      <c r="F979">
        <v>14.3</v>
      </c>
      <c r="G979">
        <v>15.9</v>
      </c>
      <c r="H979">
        <v>15.8</v>
      </c>
      <c r="I979">
        <v>15.5</v>
      </c>
      <c r="J979">
        <v>14.8</v>
      </c>
      <c r="K979">
        <v>14.8</v>
      </c>
      <c r="L979">
        <f>Tableau1[[#This Row],[Final_time]]-SUM(Tableau1[[#This Row],[0_100m]:[600_700m]])</f>
        <v>15.720000000000013</v>
      </c>
      <c r="M979">
        <v>120.92</v>
      </c>
      <c r="N979">
        <f>SUM(Tableau1[[#This Row],[0_100m]:[700_800m]])</f>
        <v>120.92</v>
      </c>
      <c r="O979">
        <f>ABS(Tableau1[[#This Row],[Final_time]]-Tableau1[[#This Row],[Sum_time]])</f>
        <v>0</v>
      </c>
      <c r="P979" s="8" t="s">
        <v>142</v>
      </c>
      <c r="Q979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79" t="s">
        <v>420</v>
      </c>
      <c r="S979" s="1" t="s">
        <v>114</v>
      </c>
      <c r="T979" t="s">
        <v>147</v>
      </c>
      <c r="U979" s="1" t="s">
        <v>69</v>
      </c>
      <c r="V979" s="1">
        <v>44407</v>
      </c>
      <c r="W979" s="4">
        <f>YEAR(Tableau1[[#This Row],[Competition_date]])</f>
        <v>2021</v>
      </c>
      <c r="X979" s="4"/>
      <c r="Y979" s="6"/>
      <c r="Z979" s="4"/>
      <c r="AA979" t="s">
        <v>444</v>
      </c>
    </row>
    <row r="980" spans="1:27" x14ac:dyDescent="0.35">
      <c r="A980" t="str">
        <f>_xlfn.CONCAT(Tableau1[[#This Row],[Athletes]],"_",Tableau1[[#This Row],[Nationality]],"_",Tableau1[[#This Row],[Competition_year]])</f>
        <v>Katharina TROST_GER_2021</v>
      </c>
      <c r="B980" t="s">
        <v>373</v>
      </c>
      <c r="C980" t="s">
        <v>29</v>
      </c>
      <c r="D980" s="18" t="s">
        <v>139</v>
      </c>
      <c r="E980">
        <v>14.3</v>
      </c>
      <c r="F980">
        <v>14.4</v>
      </c>
      <c r="G980">
        <v>15.9</v>
      </c>
      <c r="H980">
        <v>15.7</v>
      </c>
      <c r="I980">
        <v>15.7</v>
      </c>
      <c r="J980">
        <v>14.8</v>
      </c>
      <c r="K980">
        <v>14.9</v>
      </c>
      <c r="L980">
        <f>Tableau1[[#This Row],[Final_time]]-SUM(Tableau1[[#This Row],[0_100m]:[600_700m]])</f>
        <v>15.289999999999992</v>
      </c>
      <c r="M980">
        <v>120.99</v>
      </c>
      <c r="N980">
        <f>SUM(Tableau1[[#This Row],[0_100m]:[700_800m]])</f>
        <v>120.99</v>
      </c>
      <c r="O980">
        <f>ABS(Tableau1[[#This Row],[Final_time]]-Tableau1[[#This Row],[Sum_time]])</f>
        <v>0</v>
      </c>
      <c r="P980" s="8" t="s">
        <v>142</v>
      </c>
      <c r="Q980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80" t="s">
        <v>420</v>
      </c>
      <c r="S980" s="1" t="s">
        <v>114</v>
      </c>
      <c r="T980" t="s">
        <v>147</v>
      </c>
      <c r="U980" s="1" t="s">
        <v>69</v>
      </c>
      <c r="V980" s="1">
        <v>44407</v>
      </c>
      <c r="W980" s="4">
        <f>YEAR(Tableau1[[#This Row],[Competition_date]])</f>
        <v>2021</v>
      </c>
      <c r="X980" s="4"/>
      <c r="Y980" s="6"/>
      <c r="Z980" s="4"/>
      <c r="AA980" t="s">
        <v>444</v>
      </c>
    </row>
    <row r="981" spans="1:27" x14ac:dyDescent="0.35">
      <c r="A981" t="str">
        <f>_xlfn.CONCAT(Tableau1[[#This Row],[Athletes]],"_",Tableau1[[#This Row],[Nationality]],"_",Tableau1[[#This Row],[Competition_year]])</f>
        <v>Eunice Jepkoech SUM_KEN_2021</v>
      </c>
      <c r="B981" t="s">
        <v>445</v>
      </c>
      <c r="C981" t="s">
        <v>29</v>
      </c>
      <c r="D981" s="18" t="s">
        <v>15</v>
      </c>
      <c r="E981">
        <v>14.2</v>
      </c>
      <c r="F981">
        <v>14.4</v>
      </c>
      <c r="G981">
        <v>15.9</v>
      </c>
      <c r="H981">
        <v>15.7</v>
      </c>
      <c r="I981">
        <v>15.6</v>
      </c>
      <c r="J981">
        <v>15</v>
      </c>
      <c r="K981">
        <v>15.5</v>
      </c>
      <c r="L981">
        <f>Tableau1[[#This Row],[Final_time]]-SUM(Tableau1[[#This Row],[0_100m]:[600_700m]])</f>
        <v>16.700000000000003</v>
      </c>
      <c r="M981">
        <v>123</v>
      </c>
      <c r="N981">
        <f>SUM(Tableau1[[#This Row],[0_100m]:[700_800m]])</f>
        <v>123</v>
      </c>
      <c r="O981">
        <f>ABS(Tableau1[[#This Row],[Final_time]]-Tableau1[[#This Row],[Sum_time]])</f>
        <v>0</v>
      </c>
      <c r="P981" s="8"/>
      <c r="Q981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81" t="s">
        <v>420</v>
      </c>
      <c r="S981" s="1" t="s">
        <v>114</v>
      </c>
      <c r="T981" t="s">
        <v>147</v>
      </c>
      <c r="U981" s="1" t="s">
        <v>69</v>
      </c>
      <c r="V981" s="1">
        <v>44407</v>
      </c>
      <c r="W981" s="4">
        <f>YEAR(Tableau1[[#This Row],[Competition_date]])</f>
        <v>2021</v>
      </c>
      <c r="X981" s="4"/>
      <c r="Y981" s="6"/>
      <c r="Z981" s="4"/>
      <c r="AA981" t="s">
        <v>444</v>
      </c>
    </row>
    <row r="982" spans="1:27" x14ac:dyDescent="0.35">
      <c r="A982" t="str">
        <f>_xlfn.CONCAT(Tableau1[[#This Row],[Athletes]],"_",Tableau1[[#This Row],[Nationality]],"_",Tableau1[[#This Row],[Competition_year]])</f>
        <v>Nadia POWER_IRL_2021</v>
      </c>
      <c r="B982" t="s">
        <v>446</v>
      </c>
      <c r="C982" t="s">
        <v>29</v>
      </c>
      <c r="D982" s="18" t="s">
        <v>66</v>
      </c>
      <c r="E982">
        <v>14.5</v>
      </c>
      <c r="F982">
        <v>14.2</v>
      </c>
      <c r="G982">
        <v>15.9</v>
      </c>
      <c r="H982">
        <v>15.7</v>
      </c>
      <c r="I982">
        <v>15.6</v>
      </c>
      <c r="J982">
        <v>15</v>
      </c>
      <c r="K982">
        <v>15.8</v>
      </c>
      <c r="L982">
        <f>Tableau1[[#This Row],[Final_time]]-SUM(Tableau1[[#This Row],[0_100m]:[600_700m]])</f>
        <v>17.040000000000006</v>
      </c>
      <c r="M982">
        <v>123.74</v>
      </c>
      <c r="N982">
        <f>SUM(Tableau1[[#This Row],[0_100m]:[700_800m]])</f>
        <v>123.74</v>
      </c>
      <c r="O982">
        <f>ABS(Tableau1[[#This Row],[Final_time]]-Tableau1[[#This Row],[Sum_time]])</f>
        <v>0</v>
      </c>
      <c r="P982" s="8"/>
      <c r="Q982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82" t="s">
        <v>420</v>
      </c>
      <c r="S982" s="1" t="s">
        <v>114</v>
      </c>
      <c r="T982" t="s">
        <v>147</v>
      </c>
      <c r="U982" s="1" t="s">
        <v>69</v>
      </c>
      <c r="V982" s="1">
        <v>44407</v>
      </c>
      <c r="W982" s="4">
        <f>YEAR(Tableau1[[#This Row],[Competition_date]])</f>
        <v>2021</v>
      </c>
      <c r="X982" s="4"/>
      <c r="Y982" s="6"/>
      <c r="Z982" s="4"/>
      <c r="AA982" t="s">
        <v>444</v>
      </c>
    </row>
    <row r="983" spans="1:27" x14ac:dyDescent="0.35">
      <c r="A983" t="str">
        <f>_xlfn.CONCAT(Tableau1[[#This Row],[Athletes]],"_",Tableau1[[#This Row],[Nationality]],"_",Tableau1[[#This Row],[Competition_year]])</f>
        <v>Lokonyen Rose NATHIKE_ART_2021</v>
      </c>
      <c r="B983" t="s">
        <v>447</v>
      </c>
      <c r="C983" t="s">
        <v>29</v>
      </c>
      <c r="D983" s="18" t="s">
        <v>427</v>
      </c>
      <c r="E983">
        <v>14.8</v>
      </c>
      <c r="F983">
        <v>14.1</v>
      </c>
      <c r="G983">
        <v>15.9</v>
      </c>
      <c r="H983">
        <v>15.8</v>
      </c>
      <c r="I983">
        <v>16.5</v>
      </c>
      <c r="J983">
        <v>17.600000000000001</v>
      </c>
      <c r="K983">
        <v>19.2</v>
      </c>
      <c r="L983">
        <f>Tableau1[[#This Row],[Final_time]]-SUM(Tableau1[[#This Row],[0_100m]:[600_700m]])</f>
        <v>17.970000000000013</v>
      </c>
      <c r="M983">
        <v>131.87</v>
      </c>
      <c r="N983">
        <f>SUM(Tableau1[[#This Row],[0_100m]:[700_800m]])</f>
        <v>131.87</v>
      </c>
      <c r="O983">
        <f>ABS(Tableau1[[#This Row],[Final_time]]-Tableau1[[#This Row],[Sum_time]])</f>
        <v>0</v>
      </c>
      <c r="P983" s="8"/>
      <c r="Q983" s="16" t="str">
        <f>_xlfn.CONCAT(Tableau1[[#This Row],[Competition]],"_",Tableau1[[#This Row],[Championship_step]],"_",Tableau1[[#This Row],[Competition_date]],"_",Tableau1[[#This Row],[Gender]])</f>
        <v>Olympic Games Tokyo 2021_Heat 2_44407_Female</v>
      </c>
      <c r="R983" t="s">
        <v>420</v>
      </c>
      <c r="S983" s="1" t="s">
        <v>114</v>
      </c>
      <c r="T983" t="s">
        <v>147</v>
      </c>
      <c r="U983" s="1" t="s">
        <v>69</v>
      </c>
      <c r="V983" s="1">
        <v>44407</v>
      </c>
      <c r="W983" s="4">
        <f>YEAR(Tableau1[[#This Row],[Competition_date]])</f>
        <v>2021</v>
      </c>
      <c r="X983" s="4"/>
      <c r="Y983" s="6"/>
      <c r="Z983" s="4"/>
      <c r="AA983" t="s">
        <v>444</v>
      </c>
    </row>
    <row r="984" spans="1:27" x14ac:dyDescent="0.35">
      <c r="A984" t="str">
        <f>_xlfn.CONCAT(Tableau1[[#This Row],[Athletes]],"_",Tableau1[[#This Row],[Nationality]],"_",Tableau1[[#This Row],[Competition_year]])</f>
        <v>Marco AROP_CAN_2021</v>
      </c>
      <c r="B984" t="s">
        <v>177</v>
      </c>
      <c r="C984" t="s">
        <v>14</v>
      </c>
      <c r="D984" s="18" t="s">
        <v>19</v>
      </c>
      <c r="E984">
        <v>12.7</v>
      </c>
      <c r="F984">
        <v>12</v>
      </c>
      <c r="G984">
        <v>13.4</v>
      </c>
      <c r="H984">
        <v>13.5</v>
      </c>
      <c r="I984">
        <v>13.9</v>
      </c>
      <c r="J984">
        <v>13.2</v>
      </c>
      <c r="K984">
        <v>13.2</v>
      </c>
      <c r="L984">
        <f>Tableau1[[#This Row],[Final_time]]-SUM(Tableau1[[#This Row],[0_100m]:[600_700m]])</f>
        <v>13.36</v>
      </c>
      <c r="M984">
        <v>105.26</v>
      </c>
      <c r="N984">
        <f>SUM(Tableau1[[#This Row],[0_100m]:[700_800m]])</f>
        <v>105.26</v>
      </c>
      <c r="O984">
        <f>ABS(Tableau1[[#This Row],[Final_time]]-Tableau1[[#This Row],[Sum_time]])</f>
        <v>0</v>
      </c>
      <c r="P984" s="8" t="s">
        <v>141</v>
      </c>
      <c r="Q984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84" t="s">
        <v>420</v>
      </c>
      <c r="S984" s="1" t="s">
        <v>114</v>
      </c>
      <c r="T984" t="s">
        <v>147</v>
      </c>
      <c r="U984" s="1" t="s">
        <v>69</v>
      </c>
      <c r="V984" s="1">
        <v>44408</v>
      </c>
      <c r="W984" s="4">
        <f>YEAR(Tableau1[[#This Row],[Competition_date]])</f>
        <v>2021</v>
      </c>
      <c r="X984" s="4"/>
      <c r="Y984" s="6"/>
      <c r="Z984" s="4"/>
      <c r="AA984" t="s">
        <v>421</v>
      </c>
    </row>
    <row r="985" spans="1:27" x14ac:dyDescent="0.35">
      <c r="A985" t="str">
        <f>_xlfn.CONCAT(Tableau1[[#This Row],[Athletes]],"_",Tableau1[[#This Row],[Nationality]],"_",Tableau1[[#This Row],[Competition_year]])</f>
        <v>Amel TUKA_BIH_2021</v>
      </c>
      <c r="B985" t="s">
        <v>196</v>
      </c>
      <c r="C985" t="s">
        <v>14</v>
      </c>
      <c r="D985" s="18" t="s">
        <v>120</v>
      </c>
      <c r="E985">
        <v>12.9</v>
      </c>
      <c r="F985">
        <v>12.1</v>
      </c>
      <c r="G985">
        <v>13.6</v>
      </c>
      <c r="H985">
        <v>13.6</v>
      </c>
      <c r="I985">
        <v>13.8</v>
      </c>
      <c r="J985">
        <v>13.3</v>
      </c>
      <c r="K985">
        <v>12.9</v>
      </c>
      <c r="L985">
        <f>Tableau1[[#This Row],[Final_time]]-SUM(Tableau1[[#This Row],[0_100m]:[600_700m]])</f>
        <v>13.280000000000001</v>
      </c>
      <c r="M985">
        <v>105.48</v>
      </c>
      <c r="N985">
        <f>SUM(Tableau1[[#This Row],[0_100m]:[700_800m]])</f>
        <v>105.48</v>
      </c>
      <c r="O985">
        <f>ABS(Tableau1[[#This Row],[Final_time]]-Tableau1[[#This Row],[Sum_time]])</f>
        <v>0</v>
      </c>
      <c r="P985" s="8" t="s">
        <v>141</v>
      </c>
      <c r="Q985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85" t="s">
        <v>420</v>
      </c>
      <c r="S985" s="1" t="s">
        <v>114</v>
      </c>
      <c r="T985" t="s">
        <v>147</v>
      </c>
      <c r="U985" s="1" t="s">
        <v>69</v>
      </c>
      <c r="V985" s="1">
        <v>44408</v>
      </c>
      <c r="W985" s="4">
        <f>YEAR(Tableau1[[#This Row],[Competition_date]])</f>
        <v>2021</v>
      </c>
      <c r="X985" s="4"/>
      <c r="Y985" s="6"/>
      <c r="Z985" s="4"/>
      <c r="AA985" t="s">
        <v>421</v>
      </c>
    </row>
    <row r="986" spans="1:27" x14ac:dyDescent="0.35">
      <c r="A986" t="str">
        <f>_xlfn.CONCAT(Tableau1[[#This Row],[Athletes]],"_",Tableau1[[#This Row],[Nationality]],"_",Tableau1[[#This Row],[Competition_year]])</f>
        <v>Gabriel TUAL_FRA_2021</v>
      </c>
      <c r="B986" t="s">
        <v>180</v>
      </c>
      <c r="C986" t="s">
        <v>14</v>
      </c>
      <c r="D986" s="18" t="s">
        <v>17</v>
      </c>
      <c r="E986">
        <v>12.7</v>
      </c>
      <c r="F986">
        <v>12.3</v>
      </c>
      <c r="G986">
        <v>13.4</v>
      </c>
      <c r="H986">
        <v>13.6</v>
      </c>
      <c r="I986">
        <v>13.8</v>
      </c>
      <c r="J986">
        <v>13.3</v>
      </c>
      <c r="K986">
        <v>13.2</v>
      </c>
      <c r="L986">
        <f>Tableau1[[#This Row],[Final_time]]-SUM(Tableau1[[#This Row],[0_100m]:[600_700m]])</f>
        <v>13.329999999999998</v>
      </c>
      <c r="M986">
        <v>105.63</v>
      </c>
      <c r="N986">
        <f>SUM(Tableau1[[#This Row],[0_100m]:[700_800m]])</f>
        <v>105.63</v>
      </c>
      <c r="O986">
        <f>ABS(Tableau1[[#This Row],[Final_time]]-Tableau1[[#This Row],[Sum_time]])</f>
        <v>0</v>
      </c>
      <c r="P986" s="8" t="s">
        <v>141</v>
      </c>
      <c r="Q986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86" t="s">
        <v>420</v>
      </c>
      <c r="S986" s="1" t="s">
        <v>114</v>
      </c>
      <c r="T986" t="s">
        <v>147</v>
      </c>
      <c r="U986" s="1" t="s">
        <v>69</v>
      </c>
      <c r="V986" s="1">
        <v>44408</v>
      </c>
      <c r="W986" s="4">
        <f>YEAR(Tableau1[[#This Row],[Competition_date]])</f>
        <v>2021</v>
      </c>
      <c r="X986" s="4"/>
      <c r="Y986" s="6"/>
      <c r="Z986" s="4"/>
      <c r="AA986" t="s">
        <v>421</v>
      </c>
    </row>
    <row r="987" spans="1:27" x14ac:dyDescent="0.35">
      <c r="A987" t="str">
        <f>_xlfn.CONCAT(Tableau1[[#This Row],[Athletes]],"_",Tableau1[[#This Row],[Nationality]],"_",Tableau1[[#This Row],[Competition_year]])</f>
        <v>Pablo SÁNCHEZ-VALLADARES_ESP_2021</v>
      </c>
      <c r="B987" t="s">
        <v>1127</v>
      </c>
      <c r="C987" t="s">
        <v>14</v>
      </c>
      <c r="D987" s="18" t="s">
        <v>37</v>
      </c>
      <c r="E987">
        <v>12.6</v>
      </c>
      <c r="F987">
        <v>12.3</v>
      </c>
      <c r="G987">
        <v>13.4</v>
      </c>
      <c r="H987">
        <v>13.6</v>
      </c>
      <c r="I987">
        <v>13.9</v>
      </c>
      <c r="J987">
        <v>13.3</v>
      </c>
      <c r="K987">
        <v>13.5</v>
      </c>
      <c r="L987">
        <f>Tableau1[[#This Row],[Final_time]]-SUM(Tableau1[[#This Row],[0_100m]:[600_700m]])</f>
        <v>13.460000000000008</v>
      </c>
      <c r="M987">
        <v>106.06</v>
      </c>
      <c r="N987">
        <f>SUM(Tableau1[[#This Row],[0_100m]:[700_800m]])</f>
        <v>106.06</v>
      </c>
      <c r="O987">
        <f>ABS(Tableau1[[#This Row],[Final_time]]-Tableau1[[#This Row],[Sum_time]])</f>
        <v>0</v>
      </c>
      <c r="P987" s="8"/>
      <c r="Q987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87" t="s">
        <v>420</v>
      </c>
      <c r="S987" s="1" t="s">
        <v>114</v>
      </c>
      <c r="T987" t="s">
        <v>147</v>
      </c>
      <c r="U987" s="1" t="s">
        <v>69</v>
      </c>
      <c r="V987" s="1">
        <v>44408</v>
      </c>
      <c r="W987" s="4">
        <f>YEAR(Tableau1[[#This Row],[Competition_date]])</f>
        <v>2021</v>
      </c>
      <c r="X987" s="4"/>
      <c r="Y987" s="6"/>
      <c r="Z987" s="4"/>
      <c r="AA987" t="s">
        <v>421</v>
      </c>
    </row>
    <row r="988" spans="1:27" x14ac:dyDescent="0.35">
      <c r="A988" t="str">
        <f>_xlfn.CONCAT(Tableau1[[#This Row],[Athletes]],"_",Tableau1[[#This Row],[Nationality]],"_",Tableau1[[#This Row],[Competition_year]])</f>
        <v>Andreas KRAMER_SWE_2021</v>
      </c>
      <c r="B988" t="s">
        <v>186</v>
      </c>
      <c r="C988" t="s">
        <v>14</v>
      </c>
      <c r="D988" s="18" t="s">
        <v>28</v>
      </c>
      <c r="E988">
        <v>13.1</v>
      </c>
      <c r="F988">
        <v>11.8</v>
      </c>
      <c r="G988">
        <v>13.3</v>
      </c>
      <c r="H988">
        <v>13.5</v>
      </c>
      <c r="I988">
        <v>13.9</v>
      </c>
      <c r="J988">
        <v>13.3</v>
      </c>
      <c r="K988">
        <v>13.3</v>
      </c>
      <c r="L988">
        <f>Tableau1[[#This Row],[Final_time]]-SUM(Tableau1[[#This Row],[0_100m]:[600_700m]])</f>
        <v>14.239999999999995</v>
      </c>
      <c r="M988">
        <v>106.44</v>
      </c>
      <c r="N988">
        <f>SUM(Tableau1[[#This Row],[0_100m]:[700_800m]])</f>
        <v>106.44</v>
      </c>
      <c r="O988">
        <f>ABS(Tableau1[[#This Row],[Final_time]]-Tableau1[[#This Row],[Sum_time]])</f>
        <v>0</v>
      </c>
      <c r="P988" s="8"/>
      <c r="Q988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88" t="s">
        <v>420</v>
      </c>
      <c r="S988" s="1" t="s">
        <v>114</v>
      </c>
      <c r="T988" t="s">
        <v>147</v>
      </c>
      <c r="U988" s="1" t="s">
        <v>69</v>
      </c>
      <c r="V988" s="1">
        <v>44408</v>
      </c>
      <c r="W988" s="4">
        <f>YEAR(Tableau1[[#This Row],[Competition_date]])</f>
        <v>2021</v>
      </c>
      <c r="X988" s="4"/>
      <c r="Y988" s="6"/>
      <c r="Z988" s="4"/>
      <c r="AA988" t="s">
        <v>421</v>
      </c>
    </row>
    <row r="989" spans="1:27" x14ac:dyDescent="0.35">
      <c r="A989" t="str">
        <f>_xlfn.CONCAT(Tableau1[[#This Row],[Athletes]],"_",Tableau1[[#This Row],[Nationality]],"_",Tableau1[[#This Row],[Competition_year]])</f>
        <v>Oliver DUSTIN_GBR_2021</v>
      </c>
      <c r="B989" t="s">
        <v>422</v>
      </c>
      <c r="C989" t="s">
        <v>14</v>
      </c>
      <c r="D989" s="18" t="s">
        <v>30</v>
      </c>
      <c r="E989">
        <v>13.1</v>
      </c>
      <c r="F989">
        <v>12.1</v>
      </c>
      <c r="G989">
        <v>13.4</v>
      </c>
      <c r="H989">
        <v>13.6</v>
      </c>
      <c r="I989">
        <v>13.8</v>
      </c>
      <c r="J989">
        <v>13.9</v>
      </c>
      <c r="K989">
        <v>13.9</v>
      </c>
      <c r="L989">
        <f>Tableau1[[#This Row],[Final_time]]-SUM(Tableau1[[#This Row],[0_100m]:[600_700m]])</f>
        <v>13.139999999999986</v>
      </c>
      <c r="M989">
        <v>106.94</v>
      </c>
      <c r="N989">
        <f>SUM(Tableau1[[#This Row],[0_100m]:[700_800m]])</f>
        <v>106.94</v>
      </c>
      <c r="O989">
        <f>ABS(Tableau1[[#This Row],[Final_time]]-Tableau1[[#This Row],[Sum_time]])</f>
        <v>0</v>
      </c>
      <c r="P989" s="8"/>
      <c r="Q989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89" t="s">
        <v>420</v>
      </c>
      <c r="S989" s="1" t="s">
        <v>114</v>
      </c>
      <c r="T989" t="s">
        <v>147</v>
      </c>
      <c r="U989" s="1" t="s">
        <v>69</v>
      </c>
      <c r="V989" s="1">
        <v>44408</v>
      </c>
      <c r="W989" s="4">
        <f>YEAR(Tableau1[[#This Row],[Competition_date]])</f>
        <v>2021</v>
      </c>
      <c r="X989" s="4"/>
      <c r="Y989" s="6"/>
      <c r="Z989" s="4"/>
      <c r="AA989" t="s">
        <v>421</v>
      </c>
    </row>
    <row r="990" spans="1:27" x14ac:dyDescent="0.35">
      <c r="A990" t="str">
        <f>_xlfn.CONCAT(Tableau1[[#This Row],[Athletes]],"_",Tableau1[[#This Row],[Nationality]],"_",Tableau1[[#This Row],[Competition_year]])</f>
        <v>Alex BEDDOES_COK_2021</v>
      </c>
      <c r="B990" t="s">
        <v>130</v>
      </c>
      <c r="C990" t="s">
        <v>14</v>
      </c>
      <c r="D990" s="18" t="s">
        <v>131</v>
      </c>
      <c r="E990">
        <v>13.6</v>
      </c>
      <c r="F990">
        <v>12.1</v>
      </c>
      <c r="G990">
        <v>13.4</v>
      </c>
      <c r="H990">
        <v>13.7</v>
      </c>
      <c r="I990">
        <v>13.8</v>
      </c>
      <c r="J990">
        <v>13.5</v>
      </c>
      <c r="K990">
        <v>13.5</v>
      </c>
      <c r="L990">
        <f>Tableau1[[#This Row],[Final_time]]-SUM(Tableau1[[#This Row],[0_100m]:[600_700m]])</f>
        <v>13.660000000000011</v>
      </c>
      <c r="M990">
        <v>107.26</v>
      </c>
      <c r="N990">
        <f>SUM(Tableau1[[#This Row],[0_100m]:[700_800m]])</f>
        <v>107.26</v>
      </c>
      <c r="O990">
        <f>ABS(Tableau1[[#This Row],[Final_time]]-Tableau1[[#This Row],[Sum_time]])</f>
        <v>0</v>
      </c>
      <c r="P990" s="8"/>
      <c r="Q990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90" t="s">
        <v>420</v>
      </c>
      <c r="S990" s="1" t="s">
        <v>114</v>
      </c>
      <c r="T990" t="s">
        <v>147</v>
      </c>
      <c r="U990" s="1" t="s">
        <v>69</v>
      </c>
      <c r="V990" s="1">
        <v>44408</v>
      </c>
      <c r="W990" s="4">
        <f>YEAR(Tableau1[[#This Row],[Competition_date]])</f>
        <v>2021</v>
      </c>
      <c r="X990" s="4"/>
      <c r="Y990" s="6"/>
      <c r="Z990" s="4"/>
      <c r="AA990" t="s">
        <v>421</v>
      </c>
    </row>
    <row r="991" spans="1:27" x14ac:dyDescent="0.35">
      <c r="A991" t="str">
        <f>_xlfn.CONCAT(Tableau1[[#This Row],[Athletes]],"_",Tableau1[[#This Row],[Nationality]],"_",Tableau1[[#This Row],[Competition_year]])</f>
        <v>Francky Edgard MBOTTO_CAF_2021</v>
      </c>
      <c r="B991" t="s">
        <v>791</v>
      </c>
      <c r="C991" t="s">
        <v>14</v>
      </c>
      <c r="D991" s="18" t="s">
        <v>423</v>
      </c>
      <c r="E991">
        <v>13.1</v>
      </c>
      <c r="F991">
        <v>12.4</v>
      </c>
      <c r="G991">
        <v>13.4</v>
      </c>
      <c r="H991">
        <v>13.7</v>
      </c>
      <c r="I991">
        <v>13.7</v>
      </c>
      <c r="J991">
        <v>13.6</v>
      </c>
      <c r="K991">
        <v>13.6</v>
      </c>
      <c r="L991">
        <f>Tableau1[[#This Row],[Final_time]]-SUM(Tableau1[[#This Row],[0_100m]:[600_700m]])</f>
        <v>14.760000000000019</v>
      </c>
      <c r="M991">
        <v>108.26</v>
      </c>
      <c r="N991">
        <f>SUM(Tableau1[[#This Row],[0_100m]:[700_800m]])</f>
        <v>108.26</v>
      </c>
      <c r="O991">
        <f>ABS(Tableau1[[#This Row],[Final_time]]-Tableau1[[#This Row],[Sum_time]])</f>
        <v>0</v>
      </c>
      <c r="P991" s="8"/>
      <c r="Q991" s="16" t="str">
        <f>_xlfn.CONCAT(Tableau1[[#This Row],[Competition]],"_",Tableau1[[#This Row],[Championship_step]],"_",Tableau1[[#This Row],[Competition_date]],"_",Tableau1[[#This Row],[Gender]])</f>
        <v>Olympic Games Tokyo 2021_Heat 2_44408_Male</v>
      </c>
      <c r="R991" t="s">
        <v>420</v>
      </c>
      <c r="S991" s="1" t="s">
        <v>114</v>
      </c>
      <c r="T991" t="s">
        <v>147</v>
      </c>
      <c r="U991" s="1" t="s">
        <v>69</v>
      </c>
      <c r="V991" s="1">
        <v>44408</v>
      </c>
      <c r="W991" s="4">
        <f>YEAR(Tableau1[[#This Row],[Competition_date]])</f>
        <v>2021</v>
      </c>
      <c r="X991" s="4"/>
      <c r="Y991" s="6"/>
      <c r="Z991" s="4"/>
      <c r="AA991" t="s">
        <v>421</v>
      </c>
    </row>
    <row r="992" spans="1:27" x14ac:dyDescent="0.35">
      <c r="A992" t="str">
        <f>_xlfn.CONCAT(Tableau1[[#This Row],[Athletes]],"_",Tableau1[[#This Row],[Nationality]],"_",Tableau1[[#This Row],[Competition_year]])</f>
        <v>Athing MU-NIKOLAYEV_USA_2021</v>
      </c>
      <c r="B992" t="s">
        <v>1376</v>
      </c>
      <c r="C992" t="s">
        <v>29</v>
      </c>
      <c r="D992" s="18" t="s">
        <v>35</v>
      </c>
      <c r="E992">
        <v>14.2</v>
      </c>
      <c r="F992">
        <v>13.9</v>
      </c>
      <c r="G992">
        <v>16.600000000000001</v>
      </c>
      <c r="H992">
        <v>17.399999999999999</v>
      </c>
      <c r="I992">
        <v>16.100000000000001</v>
      </c>
      <c r="J992">
        <v>15.1</v>
      </c>
      <c r="K992">
        <v>14.1</v>
      </c>
      <c r="L992">
        <f>Tableau1[[#This Row],[Final_time]]-SUM(Tableau1[[#This Row],[0_100m]:[600_700m]])</f>
        <v>13.700000000000003</v>
      </c>
      <c r="M992">
        <v>121.1</v>
      </c>
      <c r="N992">
        <f>SUM(Tableau1[[#This Row],[0_100m]:[700_800m]])</f>
        <v>121.1</v>
      </c>
      <c r="O992">
        <f>ABS(Tableau1[[#This Row],[Final_time]]-Tableau1[[#This Row],[Sum_time]])</f>
        <v>0</v>
      </c>
      <c r="P992" s="8" t="s">
        <v>141</v>
      </c>
      <c r="Q992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2" t="s">
        <v>420</v>
      </c>
      <c r="S992" s="1" t="s">
        <v>114</v>
      </c>
      <c r="T992" t="s">
        <v>428</v>
      </c>
      <c r="U992" s="1" t="s">
        <v>69</v>
      </c>
      <c r="V992" s="1">
        <v>44407</v>
      </c>
      <c r="W992" s="4">
        <f>YEAR(Tableau1[[#This Row],[Competition_date]])</f>
        <v>2021</v>
      </c>
      <c r="X992" s="4"/>
      <c r="Y992" s="6"/>
      <c r="Z992" s="4"/>
      <c r="AA992" t="s">
        <v>444</v>
      </c>
    </row>
    <row r="993" spans="1:27" x14ac:dyDescent="0.35">
      <c r="A993" t="str">
        <f>_xlfn.CONCAT(Tableau1[[#This Row],[Athletes]],"_",Tableau1[[#This Row],[Nationality]],"_",Tableau1[[#This Row],[Competition_year]])</f>
        <v>Habitam ALEMU_ETH_2021</v>
      </c>
      <c r="B993" t="s">
        <v>223</v>
      </c>
      <c r="C993" t="s">
        <v>29</v>
      </c>
      <c r="D993" s="18" t="s">
        <v>49</v>
      </c>
      <c r="E993">
        <v>14.3</v>
      </c>
      <c r="F993">
        <v>13.9</v>
      </c>
      <c r="G993">
        <v>16.600000000000001</v>
      </c>
      <c r="H993">
        <v>17.399999999999999</v>
      </c>
      <c r="I993">
        <v>16.100000000000001</v>
      </c>
      <c r="J993">
        <v>14.9</v>
      </c>
      <c r="K993">
        <v>14.1</v>
      </c>
      <c r="L993">
        <f>Tableau1[[#This Row],[Final_time]]-SUM(Tableau1[[#This Row],[0_100m]:[600_700m]])</f>
        <v>13.899999999999991</v>
      </c>
      <c r="M993">
        <v>121.2</v>
      </c>
      <c r="N993">
        <f>SUM(Tableau1[[#This Row],[0_100m]:[700_800m]])</f>
        <v>121.2</v>
      </c>
      <c r="O993">
        <f>ABS(Tableau1[[#This Row],[Final_time]]-Tableau1[[#This Row],[Sum_time]])</f>
        <v>0</v>
      </c>
      <c r="P993" s="8" t="s">
        <v>141</v>
      </c>
      <c r="Q993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3" t="s">
        <v>420</v>
      </c>
      <c r="S993" s="1" t="s">
        <v>114</v>
      </c>
      <c r="T993" t="s">
        <v>428</v>
      </c>
      <c r="U993" s="1" t="s">
        <v>69</v>
      </c>
      <c r="V993" s="1">
        <v>44407</v>
      </c>
      <c r="W993" s="4">
        <f>YEAR(Tableau1[[#This Row],[Competition_date]])</f>
        <v>2021</v>
      </c>
      <c r="X993" s="4"/>
      <c r="Y993" s="6"/>
      <c r="Z993" s="4"/>
      <c r="AA993" t="s">
        <v>444</v>
      </c>
    </row>
    <row r="994" spans="1:27" x14ac:dyDescent="0.35">
      <c r="A994" t="str">
        <f>_xlfn.CONCAT(Tableau1[[#This Row],[Athletes]],"_",Tableau1[[#This Row],[Nationality]],"_",Tableau1[[#This Row],[Competition_year]])</f>
        <v>Joanna JÓŹWIK_POL_2021</v>
      </c>
      <c r="B994" t="s">
        <v>448</v>
      </c>
      <c r="C994" t="s">
        <v>29</v>
      </c>
      <c r="D994" s="18" t="s">
        <v>88</v>
      </c>
      <c r="E994">
        <v>14.5</v>
      </c>
      <c r="F994">
        <v>14</v>
      </c>
      <c r="G994">
        <v>16.5</v>
      </c>
      <c r="H994">
        <v>17.600000000000001</v>
      </c>
      <c r="I994">
        <v>16.100000000000001</v>
      </c>
      <c r="J994">
        <v>14.7</v>
      </c>
      <c r="K994">
        <v>14.3</v>
      </c>
      <c r="L994">
        <f>Tableau1[[#This Row],[Final_time]]-SUM(Tableau1[[#This Row],[0_100m]:[600_700m]])</f>
        <v>14.170000000000002</v>
      </c>
      <c r="M994">
        <v>121.87</v>
      </c>
      <c r="N994">
        <f>SUM(Tableau1[[#This Row],[0_100m]:[700_800m]])</f>
        <v>121.87</v>
      </c>
      <c r="O994">
        <f>ABS(Tableau1[[#This Row],[Final_time]]-Tableau1[[#This Row],[Sum_time]])</f>
        <v>0</v>
      </c>
      <c r="P994" s="8" t="s">
        <v>141</v>
      </c>
      <c r="Q994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4" t="s">
        <v>420</v>
      </c>
      <c r="S994" s="1" t="s">
        <v>114</v>
      </c>
      <c r="T994" t="s">
        <v>428</v>
      </c>
      <c r="U994" s="1" t="s">
        <v>69</v>
      </c>
      <c r="V994" s="1">
        <v>44407</v>
      </c>
      <c r="W994" s="4">
        <f>YEAR(Tableau1[[#This Row],[Competition_date]])</f>
        <v>2021</v>
      </c>
      <c r="X994" s="4"/>
      <c r="Y994" s="6"/>
      <c r="Z994" s="4"/>
      <c r="AA994" t="s">
        <v>444</v>
      </c>
    </row>
    <row r="995" spans="1:27" x14ac:dyDescent="0.35">
      <c r="A995" t="str">
        <f>_xlfn.CONCAT(Tableau1[[#This Row],[Athletes]],"_",Tableau1[[#This Row],[Nationality]],"_",Tableau1[[#This Row],[Competition_year]])</f>
        <v>Melissa BISHOP-NRIAGU_CAN_2021</v>
      </c>
      <c r="B995" t="s">
        <v>449</v>
      </c>
      <c r="C995" t="s">
        <v>29</v>
      </c>
      <c r="D995" s="18" t="s">
        <v>19</v>
      </c>
      <c r="E995">
        <v>14.3</v>
      </c>
      <c r="F995">
        <v>13.7</v>
      </c>
      <c r="G995">
        <v>16.7</v>
      </c>
      <c r="H995">
        <v>17.5</v>
      </c>
      <c r="I995">
        <v>16.100000000000001</v>
      </c>
      <c r="J995">
        <v>15.1</v>
      </c>
      <c r="K995">
        <v>14.2</v>
      </c>
      <c r="L995">
        <f>Tableau1[[#This Row],[Final_time]]-SUM(Tableau1[[#This Row],[0_100m]:[600_700m]])</f>
        <v>14.509999999999991</v>
      </c>
      <c r="M995">
        <v>122.11</v>
      </c>
      <c r="N995">
        <f>SUM(Tableau1[[#This Row],[0_100m]:[700_800m]])</f>
        <v>122.11</v>
      </c>
      <c r="O995">
        <f>ABS(Tableau1[[#This Row],[Final_time]]-Tableau1[[#This Row],[Sum_time]])</f>
        <v>0</v>
      </c>
      <c r="P995" s="8"/>
      <c r="Q995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5" t="s">
        <v>420</v>
      </c>
      <c r="S995" s="1" t="s">
        <v>114</v>
      </c>
      <c r="T995" t="s">
        <v>428</v>
      </c>
      <c r="U995" s="1" t="s">
        <v>69</v>
      </c>
      <c r="V995" s="1">
        <v>44407</v>
      </c>
      <c r="W995" s="4">
        <f>YEAR(Tableau1[[#This Row],[Competition_date]])</f>
        <v>2021</v>
      </c>
      <c r="X995" s="4"/>
      <c r="Y995" s="6"/>
      <c r="Z995" s="4"/>
      <c r="AA995" t="s">
        <v>444</v>
      </c>
    </row>
    <row r="996" spans="1:27" x14ac:dyDescent="0.35">
      <c r="A996" t="str">
        <f>_xlfn.CONCAT(Tableau1[[#This Row],[Athletes]],"_",Tableau1[[#This Row],[Nationality]],"_",Tableau1[[#This Row],[Competition_year]])</f>
        <v>Christina HERING_GER_2021</v>
      </c>
      <c r="B996" t="s">
        <v>226</v>
      </c>
      <c r="C996" t="s">
        <v>29</v>
      </c>
      <c r="D996" s="18" t="s">
        <v>139</v>
      </c>
      <c r="E996">
        <v>14.4</v>
      </c>
      <c r="F996">
        <v>13.9</v>
      </c>
      <c r="G996">
        <v>16.600000000000001</v>
      </c>
      <c r="H996">
        <v>17.5</v>
      </c>
      <c r="I996">
        <v>16</v>
      </c>
      <c r="J996">
        <v>15</v>
      </c>
      <c r="K996">
        <v>14.5</v>
      </c>
      <c r="L996">
        <f>Tableau1[[#This Row],[Final_time]]-SUM(Tableau1[[#This Row],[0_100m]:[600_700m]])</f>
        <v>14.329999999999998</v>
      </c>
      <c r="M996">
        <v>122.23</v>
      </c>
      <c r="N996">
        <f>SUM(Tableau1[[#This Row],[0_100m]:[700_800m]])</f>
        <v>122.23</v>
      </c>
      <c r="O996">
        <f>ABS(Tableau1[[#This Row],[Final_time]]-Tableau1[[#This Row],[Sum_time]])</f>
        <v>0</v>
      </c>
      <c r="P996" s="8"/>
      <c r="Q996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6" t="s">
        <v>420</v>
      </c>
      <c r="S996" s="1" t="s">
        <v>114</v>
      </c>
      <c r="T996" t="s">
        <v>428</v>
      </c>
      <c r="U996" s="1" t="s">
        <v>69</v>
      </c>
      <c r="V996" s="1">
        <v>44407</v>
      </c>
      <c r="W996" s="4">
        <f>YEAR(Tableau1[[#This Row],[Competition_date]])</f>
        <v>2021</v>
      </c>
      <c r="X996" s="4"/>
      <c r="Y996" s="6"/>
      <c r="Z996" s="4"/>
      <c r="AA996" t="s">
        <v>444</v>
      </c>
    </row>
    <row r="997" spans="1:27" x14ac:dyDescent="0.35">
      <c r="A997" t="str">
        <f>_xlfn.CONCAT(Tableau1[[#This Row],[Athletes]],"_",Tableau1[[#This Row],[Nationality]],"_",Tableau1[[#This Row],[Competition_year]])</f>
        <v>Bianka BARTHA-KÉRI_HUN_2021</v>
      </c>
      <c r="B997" t="s">
        <v>450</v>
      </c>
      <c r="C997" t="s">
        <v>29</v>
      </c>
      <c r="D997" s="18" t="s">
        <v>117</v>
      </c>
      <c r="E997">
        <v>14.4</v>
      </c>
      <c r="F997">
        <v>14.1</v>
      </c>
      <c r="G997">
        <v>16.7</v>
      </c>
      <c r="H997">
        <v>17.600000000000001</v>
      </c>
      <c r="I997">
        <v>16</v>
      </c>
      <c r="J997">
        <v>15.2</v>
      </c>
      <c r="K997">
        <v>14.2</v>
      </c>
      <c r="L997">
        <f>Tableau1[[#This Row],[Final_time]]-SUM(Tableau1[[#This Row],[0_100m]:[600_700m]])</f>
        <v>14.619999999999976</v>
      </c>
      <c r="M997">
        <v>122.82</v>
      </c>
      <c r="N997">
        <f>SUM(Tableau1[[#This Row],[0_100m]:[700_800m]])</f>
        <v>122.82</v>
      </c>
      <c r="O997">
        <f>ABS(Tableau1[[#This Row],[Final_time]]-Tableau1[[#This Row],[Sum_time]])</f>
        <v>0</v>
      </c>
      <c r="P997" s="8"/>
      <c r="Q997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7" t="s">
        <v>420</v>
      </c>
      <c r="S997" s="1" t="s">
        <v>114</v>
      </c>
      <c r="T997" t="s">
        <v>428</v>
      </c>
      <c r="U997" s="1" t="s">
        <v>69</v>
      </c>
      <c r="V997" s="1">
        <v>44407</v>
      </c>
      <c r="W997" s="4">
        <f>YEAR(Tableau1[[#This Row],[Competition_date]])</f>
        <v>2021</v>
      </c>
      <c r="X997" s="4"/>
      <c r="Y997" s="6"/>
      <c r="Z997" s="4"/>
      <c r="AA997" t="s">
        <v>444</v>
      </c>
    </row>
    <row r="998" spans="1:27" x14ac:dyDescent="0.35">
      <c r="A998" t="str">
        <f>_xlfn.CONCAT(Tableau1[[#This Row],[Athletes]],"_",Tableau1[[#This Row],[Nationality]],"_",Tableau1[[#This Row],[Competition_year]])</f>
        <v>Louise SHANAHAN_IRL_2021</v>
      </c>
      <c r="B998" t="s">
        <v>278</v>
      </c>
      <c r="C998" t="s">
        <v>29</v>
      </c>
      <c r="D998" s="18" t="s">
        <v>66</v>
      </c>
      <c r="E998">
        <v>14.6</v>
      </c>
      <c r="F998">
        <v>14</v>
      </c>
      <c r="G998">
        <v>16.399999999999999</v>
      </c>
      <c r="H998">
        <v>17.399999999999999</v>
      </c>
      <c r="I998">
        <v>16.100000000000001</v>
      </c>
      <c r="J998">
        <v>15.3</v>
      </c>
      <c r="K998">
        <v>14.6</v>
      </c>
      <c r="L998">
        <f>Tableau1[[#This Row],[Final_time]]-SUM(Tableau1[[#This Row],[0_100m]:[600_700m]])</f>
        <v>15.170000000000002</v>
      </c>
      <c r="M998">
        <v>123.57</v>
      </c>
      <c r="N998">
        <f>SUM(Tableau1[[#This Row],[0_100m]:[700_800m]])</f>
        <v>123.57</v>
      </c>
      <c r="O998">
        <f>ABS(Tableau1[[#This Row],[Final_time]]-Tableau1[[#This Row],[Sum_time]])</f>
        <v>0</v>
      </c>
      <c r="P998" s="8"/>
      <c r="Q998" s="16" t="str">
        <f>_xlfn.CONCAT(Tableau1[[#This Row],[Competition]],"_",Tableau1[[#This Row],[Championship_step]],"_",Tableau1[[#This Row],[Competition_date]],"_",Tableau1[[#This Row],[Gender]])</f>
        <v>Olympic Games Tokyo 2021_Heat 3_44407_Female</v>
      </c>
      <c r="R998" t="s">
        <v>420</v>
      </c>
      <c r="S998" s="1" t="s">
        <v>114</v>
      </c>
      <c r="T998" t="s">
        <v>428</v>
      </c>
      <c r="U998" s="1" t="s">
        <v>69</v>
      </c>
      <c r="V998" s="1">
        <v>44407</v>
      </c>
      <c r="W998" s="4">
        <f>YEAR(Tableau1[[#This Row],[Competition_date]])</f>
        <v>2021</v>
      </c>
      <c r="X998" s="4"/>
      <c r="Y998" s="6"/>
      <c r="Z998" s="4"/>
      <c r="AA998" t="s">
        <v>444</v>
      </c>
    </row>
    <row r="999" spans="1:27" x14ac:dyDescent="0.35">
      <c r="A999" t="str">
        <f>_xlfn.CONCAT(Tableau1[[#This Row],[Athletes]],"_",Tableau1[[#This Row],[Nationality]],"_",Tableau1[[#This Row],[Competition_year]])</f>
        <v>Clayton MURPHY_USA_2021</v>
      </c>
      <c r="B999" s="9" t="s">
        <v>203</v>
      </c>
      <c r="C999" s="9" t="s">
        <v>14</v>
      </c>
      <c r="D999" s="12" t="s">
        <v>35</v>
      </c>
      <c r="E999" s="9">
        <v>12.9</v>
      </c>
      <c r="F999" s="9">
        <v>12.5</v>
      </c>
      <c r="G999" s="9">
        <v>13.6</v>
      </c>
      <c r="H999" s="9">
        <v>13.8</v>
      </c>
      <c r="I999" s="9">
        <v>13.2</v>
      </c>
      <c r="J999" s="9">
        <v>13.3</v>
      </c>
      <c r="K999" s="9">
        <v>13.4</v>
      </c>
      <c r="L999">
        <f>Tableau1[[#This Row],[Final_time]]-SUM(Tableau1[[#This Row],[0_100m]:[600_700m]])</f>
        <v>12.829999999999998</v>
      </c>
      <c r="M999" s="9">
        <v>105.53</v>
      </c>
      <c r="N999">
        <f>SUM(Tableau1[[#This Row],[0_100m]:[700_800m]])</f>
        <v>105.53</v>
      </c>
      <c r="O999">
        <f>ABS(Tableau1[[#This Row],[Final_time]]-Tableau1[[#This Row],[Sum_time]])</f>
        <v>0</v>
      </c>
      <c r="P999" s="8" t="s">
        <v>141</v>
      </c>
      <c r="Q999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999" t="s">
        <v>420</v>
      </c>
      <c r="S999" s="1" t="s">
        <v>114</v>
      </c>
      <c r="T999" t="s">
        <v>428</v>
      </c>
      <c r="U999" s="1" t="s">
        <v>69</v>
      </c>
      <c r="V999" s="1">
        <v>44408</v>
      </c>
      <c r="W999" s="4">
        <f>YEAR(Tableau1[[#This Row],[Competition_date]])</f>
        <v>2021</v>
      </c>
      <c r="X999" s="4"/>
      <c r="Y999" s="6"/>
      <c r="Z999" s="4"/>
      <c r="AA999" t="s">
        <v>421</v>
      </c>
    </row>
    <row r="1000" spans="1:27" x14ac:dyDescent="0.35">
      <c r="A1000" t="str">
        <f>_xlfn.CONCAT(Tableau1[[#This Row],[Athletes]],"_",Tableau1[[#This Row],[Nationality]],"_",Tableau1[[#This Row],[Competition_year]])</f>
        <v>Abdessalem AYOUNI_TUN_2021</v>
      </c>
      <c r="B1000" s="9" t="s">
        <v>202</v>
      </c>
      <c r="C1000" s="9" t="s">
        <v>14</v>
      </c>
      <c r="D1000" s="12" t="s">
        <v>124</v>
      </c>
      <c r="E1000" s="9">
        <v>12.8</v>
      </c>
      <c r="F1000" s="9">
        <v>12.9</v>
      </c>
      <c r="G1000" s="9">
        <v>13.7</v>
      </c>
      <c r="H1000" s="9">
        <v>13.6</v>
      </c>
      <c r="I1000" s="9">
        <v>13.6</v>
      </c>
      <c r="J1000" s="9">
        <v>12.9</v>
      </c>
      <c r="K1000" s="9">
        <v>13.4</v>
      </c>
      <c r="L1000">
        <f>Tableau1[[#This Row],[Final_time]]-SUM(Tableau1[[#This Row],[0_100m]:[600_700m]])</f>
        <v>12.829999999999984</v>
      </c>
      <c r="M1000" s="9">
        <v>105.73</v>
      </c>
      <c r="N1000">
        <f>SUM(Tableau1[[#This Row],[0_100m]:[700_800m]])</f>
        <v>105.73</v>
      </c>
      <c r="O1000">
        <f>ABS(Tableau1[[#This Row],[Final_time]]-Tableau1[[#This Row],[Sum_time]])</f>
        <v>0</v>
      </c>
      <c r="P1000" s="8" t="s">
        <v>141</v>
      </c>
      <c r="Q1000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0" t="s">
        <v>420</v>
      </c>
      <c r="S1000" s="1" t="s">
        <v>114</v>
      </c>
      <c r="T1000" t="s">
        <v>428</v>
      </c>
      <c r="U1000" s="1" t="s">
        <v>69</v>
      </c>
      <c r="V1000" s="1">
        <v>44408</v>
      </c>
      <c r="W1000" s="4">
        <f>YEAR(Tableau1[[#This Row],[Competition_date]])</f>
        <v>2021</v>
      </c>
      <c r="X1000" s="4"/>
      <c r="Y1000" s="6"/>
      <c r="Z1000" s="4"/>
      <c r="AA1000" t="s">
        <v>421</v>
      </c>
    </row>
    <row r="1001" spans="1:27" x14ac:dyDescent="0.35">
      <c r="A1001" t="str">
        <f>_xlfn.CONCAT(Tableau1[[#This Row],[Athletes]],"_",Tableau1[[#This Row],[Nationality]],"_",Tableau1[[#This Row],[Competition_year]])</f>
        <v>Daniel ROWDEN_GBR_2021</v>
      </c>
      <c r="B1001" s="9" t="s">
        <v>172</v>
      </c>
      <c r="C1001" s="9" t="s">
        <v>14</v>
      </c>
      <c r="D1001" s="12" t="s">
        <v>30</v>
      </c>
      <c r="E1001" s="9">
        <v>13.2</v>
      </c>
      <c r="F1001" s="9">
        <v>12.3</v>
      </c>
      <c r="G1001" s="9">
        <v>13.5</v>
      </c>
      <c r="H1001" s="9">
        <v>13.6</v>
      </c>
      <c r="I1001" s="9">
        <v>13.4</v>
      </c>
      <c r="J1001" s="9">
        <v>13.2</v>
      </c>
      <c r="K1001" s="9">
        <v>13.5</v>
      </c>
      <c r="L1001">
        <f>Tableau1[[#This Row],[Final_time]]-SUM(Tableau1[[#This Row],[0_100m]:[600_700m]])</f>
        <v>13.030000000000001</v>
      </c>
      <c r="M1001" s="9">
        <v>105.73</v>
      </c>
      <c r="N1001">
        <f>SUM(Tableau1[[#This Row],[0_100m]:[700_800m]])</f>
        <v>105.73</v>
      </c>
      <c r="O1001">
        <f>ABS(Tableau1[[#This Row],[Final_time]]-Tableau1[[#This Row],[Sum_time]])</f>
        <v>0</v>
      </c>
      <c r="P1001" s="8" t="s">
        <v>141</v>
      </c>
      <c r="Q1001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1" t="s">
        <v>420</v>
      </c>
      <c r="S1001" s="1" t="s">
        <v>114</v>
      </c>
      <c r="T1001" t="s">
        <v>428</v>
      </c>
      <c r="U1001" s="1" t="s">
        <v>69</v>
      </c>
      <c r="V1001" s="1">
        <v>44408</v>
      </c>
      <c r="W1001" s="4">
        <f>YEAR(Tableau1[[#This Row],[Competition_date]])</f>
        <v>2021</v>
      </c>
      <c r="X1001" s="4"/>
      <c r="Y1001" s="6"/>
      <c r="Z1001" s="4"/>
      <c r="AA1001" t="s">
        <v>421</v>
      </c>
    </row>
    <row r="1002" spans="1:27" x14ac:dyDescent="0.35">
      <c r="A1002" t="str">
        <f>_xlfn.CONCAT(Tableau1[[#This Row],[Athletes]],"_",Tableau1[[#This Row],[Nationality]],"_",Tableau1[[#This Row],[Competition_year]])</f>
        <v>Charlie HUNTER_AUS_2021</v>
      </c>
      <c r="B1002" s="9" t="s">
        <v>424</v>
      </c>
      <c r="C1002" s="9" t="s">
        <v>14</v>
      </c>
      <c r="D1002" s="12" t="s">
        <v>36</v>
      </c>
      <c r="E1002" s="9">
        <v>13.6</v>
      </c>
      <c r="F1002" s="9">
        <v>12.2</v>
      </c>
      <c r="G1002" s="9">
        <v>13.4</v>
      </c>
      <c r="H1002" s="9">
        <v>13.6</v>
      </c>
      <c r="I1002" s="9">
        <v>13.5</v>
      </c>
      <c r="J1002" s="9">
        <v>13.1</v>
      </c>
      <c r="K1002" s="9">
        <v>13.4</v>
      </c>
      <c r="L1002">
        <f>Tableau1[[#This Row],[Final_time]]-SUM(Tableau1[[#This Row],[0_100m]:[600_700m]])</f>
        <v>13.11</v>
      </c>
      <c r="M1002" s="9">
        <v>105.91</v>
      </c>
      <c r="N1002">
        <f>SUM(Tableau1[[#This Row],[0_100m]:[700_800m]])</f>
        <v>105.91</v>
      </c>
      <c r="O1002">
        <f>ABS(Tableau1[[#This Row],[Final_time]]-Tableau1[[#This Row],[Sum_time]])</f>
        <v>0</v>
      </c>
      <c r="P1002" s="8" t="s">
        <v>142</v>
      </c>
      <c r="Q1002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2" t="s">
        <v>420</v>
      </c>
      <c r="S1002" s="1" t="s">
        <v>114</v>
      </c>
      <c r="T1002" t="s">
        <v>428</v>
      </c>
      <c r="U1002" s="1" t="s">
        <v>69</v>
      </c>
      <c r="V1002" s="1">
        <v>44408</v>
      </c>
      <c r="W1002" s="4">
        <f>YEAR(Tableau1[[#This Row],[Competition_date]])</f>
        <v>2021</v>
      </c>
      <c r="X1002" s="4"/>
      <c r="Y1002" s="6"/>
      <c r="Z1002" s="4"/>
      <c r="AA1002" t="s">
        <v>421</v>
      </c>
    </row>
    <row r="1003" spans="1:27" x14ac:dyDescent="0.35">
      <c r="A1003" t="str">
        <f>_xlfn.CONCAT(Tableau1[[#This Row],[Athletes]],"_",Tableau1[[#This Row],[Nationality]],"_",Tableau1[[#This Row],[Competition_year]])</f>
        <v>Saúl ORDÓÑEZ_ESP_2021</v>
      </c>
      <c r="B1003" s="9" t="s">
        <v>178</v>
      </c>
      <c r="C1003" s="9" t="s">
        <v>14</v>
      </c>
      <c r="D1003" s="12" t="s">
        <v>37</v>
      </c>
      <c r="E1003" s="9">
        <v>12.9</v>
      </c>
      <c r="F1003" s="9">
        <v>12.7</v>
      </c>
      <c r="G1003" s="9">
        <v>13.6</v>
      </c>
      <c r="H1003" s="9">
        <v>13.7</v>
      </c>
      <c r="I1003" s="9">
        <v>13.5</v>
      </c>
      <c r="J1003" s="9">
        <v>13.1</v>
      </c>
      <c r="K1003" s="9">
        <v>13.4</v>
      </c>
      <c r="L1003">
        <f>Tableau1[[#This Row],[Final_time]]-SUM(Tableau1[[#This Row],[0_100m]:[600_700m]])</f>
        <v>13.079999999999998</v>
      </c>
      <c r="M1003" s="9">
        <v>105.98</v>
      </c>
      <c r="N1003">
        <f>SUM(Tableau1[[#This Row],[0_100m]:[700_800m]])</f>
        <v>105.98</v>
      </c>
      <c r="O1003">
        <f>ABS(Tableau1[[#This Row],[Final_time]]-Tableau1[[#This Row],[Sum_time]])</f>
        <v>0</v>
      </c>
      <c r="P1003" s="8"/>
      <c r="Q1003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3" t="s">
        <v>420</v>
      </c>
      <c r="S1003" s="1" t="s">
        <v>114</v>
      </c>
      <c r="T1003" t="s">
        <v>428</v>
      </c>
      <c r="U1003" s="1" t="s">
        <v>69</v>
      </c>
      <c r="V1003" s="1">
        <v>44408</v>
      </c>
      <c r="W1003" s="4">
        <f>YEAR(Tableau1[[#This Row],[Competition_date]])</f>
        <v>2021</v>
      </c>
      <c r="X1003" s="4"/>
      <c r="Y1003" s="6"/>
      <c r="Z1003" s="4"/>
      <c r="AA1003" t="s">
        <v>421</v>
      </c>
    </row>
    <row r="1004" spans="1:27" x14ac:dyDescent="0.35">
      <c r="A1004" t="str">
        <f>_xlfn.CONCAT(Tableau1[[#This Row],[Athletes]],"_",Tableau1[[#This Row],[Nationality]],"_",Tableau1[[#This Row],[Competition_year]])</f>
        <v>Brandon MCBRIDE_CAN_2021</v>
      </c>
      <c r="B1004" s="9" t="s">
        <v>246</v>
      </c>
      <c r="C1004" s="9" t="s">
        <v>14</v>
      </c>
      <c r="D1004" s="12" t="s">
        <v>19</v>
      </c>
      <c r="E1004" s="9">
        <v>13.3</v>
      </c>
      <c r="F1004" s="9">
        <v>12</v>
      </c>
      <c r="G1004" s="9">
        <v>13.5</v>
      </c>
      <c r="H1004" s="9">
        <v>13.8</v>
      </c>
      <c r="I1004" s="9">
        <v>13.2</v>
      </c>
      <c r="J1004" s="9">
        <v>13.3</v>
      </c>
      <c r="K1004" s="9">
        <v>13.5</v>
      </c>
      <c r="L1004">
        <f>Tableau1[[#This Row],[Final_time]]-SUM(Tableau1[[#This Row],[0_100m]:[600_700m]])</f>
        <v>13.719999999999999</v>
      </c>
      <c r="M1004" s="9">
        <v>106.32</v>
      </c>
      <c r="N1004">
        <f>SUM(Tableau1[[#This Row],[0_100m]:[700_800m]])</f>
        <v>106.32</v>
      </c>
      <c r="O1004">
        <f>ABS(Tableau1[[#This Row],[Final_time]]-Tableau1[[#This Row],[Sum_time]])</f>
        <v>0</v>
      </c>
      <c r="P1004" s="8"/>
      <c r="Q1004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4" t="s">
        <v>420</v>
      </c>
      <c r="S1004" s="1" t="s">
        <v>114</v>
      </c>
      <c r="T1004" t="s">
        <v>428</v>
      </c>
      <c r="U1004" s="1" t="s">
        <v>69</v>
      </c>
      <c r="V1004" s="1">
        <v>44408</v>
      </c>
      <c r="W1004" s="4">
        <f>YEAR(Tableau1[[#This Row],[Competition_date]])</f>
        <v>2021</v>
      </c>
      <c r="X1004" s="4"/>
      <c r="Y1004" s="6"/>
      <c r="Z1004" s="4"/>
      <c r="AA1004" t="s">
        <v>421</v>
      </c>
    </row>
    <row r="1005" spans="1:27" x14ac:dyDescent="0.35">
      <c r="A1005" t="str">
        <f>_xlfn.CONCAT(Tableau1[[#This Row],[Athletes]],"_",Tableau1[[#This Row],[Nationality]],"_",Tableau1[[#This Row],[Competition_year]])</f>
        <v>Melese NBERET_ETH_2021</v>
      </c>
      <c r="B1005" s="9" t="s">
        <v>425</v>
      </c>
      <c r="C1005" s="9" t="s">
        <v>14</v>
      </c>
      <c r="D1005" s="12" t="s">
        <v>49</v>
      </c>
      <c r="E1005" s="9">
        <v>13.2</v>
      </c>
      <c r="F1005" s="9">
        <v>12.8</v>
      </c>
      <c r="G1005" s="9">
        <v>13.4</v>
      </c>
      <c r="H1005" s="9">
        <v>13.2</v>
      </c>
      <c r="I1005" s="9">
        <v>13.6</v>
      </c>
      <c r="J1005" s="9">
        <v>13.4</v>
      </c>
      <c r="K1005" s="9">
        <v>13.8</v>
      </c>
      <c r="L1005">
        <f>Tableau1[[#This Row],[Final_time]]-SUM(Tableau1[[#This Row],[0_100m]:[600_700m]])</f>
        <v>14.400000000000006</v>
      </c>
      <c r="M1005" s="9">
        <v>107.8</v>
      </c>
      <c r="N1005">
        <f>SUM(Tableau1[[#This Row],[0_100m]:[700_800m]])</f>
        <v>107.8</v>
      </c>
      <c r="O1005">
        <f>ABS(Tableau1[[#This Row],[Final_time]]-Tableau1[[#This Row],[Sum_time]])</f>
        <v>0</v>
      </c>
      <c r="P1005" s="8"/>
      <c r="Q1005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5" t="s">
        <v>420</v>
      </c>
      <c r="S1005" s="1" t="s">
        <v>114</v>
      </c>
      <c r="T1005" t="s">
        <v>428</v>
      </c>
      <c r="U1005" s="1" t="s">
        <v>69</v>
      </c>
      <c r="V1005" s="1">
        <v>44408</v>
      </c>
      <c r="W1005" s="4">
        <f>YEAR(Tableau1[[#This Row],[Competition_date]])</f>
        <v>2021</v>
      </c>
      <c r="X1005" s="4"/>
      <c r="Y1005" s="6"/>
      <c r="Z1005" s="4"/>
      <c r="AA1005" t="s">
        <v>421</v>
      </c>
    </row>
    <row r="1006" spans="1:27" x14ac:dyDescent="0.35">
      <c r="A1006" t="str">
        <f>_xlfn.CONCAT(Tableau1[[#This Row],[Athletes]],"_",Tableau1[[#This Row],[Nationality]],"_",Tableau1[[#This Row],[Competition_year]])</f>
        <v>James Nyang CHIENGJIEK_ART_2021</v>
      </c>
      <c r="B1006" s="9" t="s">
        <v>426</v>
      </c>
      <c r="C1006" s="9" t="s">
        <v>14</v>
      </c>
      <c r="D1006" s="12" t="s">
        <v>427</v>
      </c>
      <c r="E1006" s="9">
        <v>13</v>
      </c>
      <c r="F1006" s="9">
        <v>14.9</v>
      </c>
      <c r="G1006" s="9">
        <v>14.1</v>
      </c>
      <c r="H1006" s="9">
        <v>14.4</v>
      </c>
      <c r="I1006" s="9">
        <v>15.1</v>
      </c>
      <c r="J1006" s="9">
        <v>15.8</v>
      </c>
      <c r="K1006" s="9">
        <v>16.899999999999999</v>
      </c>
      <c r="L1006">
        <f>Tableau1[[#This Row],[Final_time]]-SUM(Tableau1[[#This Row],[0_100m]:[600_700m]])</f>
        <v>17.840000000000018</v>
      </c>
      <c r="M1006" s="9">
        <v>122.04</v>
      </c>
      <c r="N1006">
        <f>SUM(Tableau1[[#This Row],[0_100m]:[700_800m]])</f>
        <v>122.04</v>
      </c>
      <c r="O1006">
        <f>ABS(Tableau1[[#This Row],[Final_time]]-Tableau1[[#This Row],[Sum_time]])</f>
        <v>0</v>
      </c>
      <c r="P1006" s="8"/>
      <c r="Q1006" s="16" t="str">
        <f>_xlfn.CONCAT(Tableau1[[#This Row],[Competition]],"_",Tableau1[[#This Row],[Championship_step]],"_",Tableau1[[#This Row],[Competition_date]],"_",Tableau1[[#This Row],[Gender]])</f>
        <v>Olympic Games Tokyo 2021_Heat 3_44408_Male</v>
      </c>
      <c r="R1006" t="s">
        <v>420</v>
      </c>
      <c r="S1006" s="1" t="s">
        <v>114</v>
      </c>
      <c r="T1006" t="s">
        <v>428</v>
      </c>
      <c r="U1006" s="1" t="s">
        <v>69</v>
      </c>
      <c r="V1006" s="1">
        <v>44408</v>
      </c>
      <c r="W1006" s="4">
        <f>YEAR(Tableau1[[#This Row],[Competition_date]])</f>
        <v>2021</v>
      </c>
      <c r="X1006" s="4"/>
      <c r="Y1006" s="6"/>
      <c r="Z1006" s="4"/>
      <c r="AA1006" t="s">
        <v>421</v>
      </c>
    </row>
    <row r="1007" spans="1:27" x14ac:dyDescent="0.35">
      <c r="A1007" t="str">
        <f>_xlfn.CONCAT(Tableau1[[#This Row],[Athletes]],"_",Tableau1[[#This Row],[Nationality]],"_",Tableau1[[#This Row],[Competition_year]])</f>
        <v>Raevyn ROGERS_USA_2021</v>
      </c>
      <c r="B1007" t="s">
        <v>221</v>
      </c>
      <c r="C1007" t="s">
        <v>29</v>
      </c>
      <c r="D1007" s="18" t="s">
        <v>35</v>
      </c>
      <c r="E1007">
        <v>14.4</v>
      </c>
      <c r="F1007">
        <v>14.9</v>
      </c>
      <c r="G1007">
        <v>16.399999999999999</v>
      </c>
      <c r="H1007">
        <v>16.399999999999999</v>
      </c>
      <c r="I1007">
        <f>77.7-SUM(Tableau1[[#This Row],[0_100m]:[300_400m]])</f>
        <v>15.600000000000001</v>
      </c>
      <c r="J1007">
        <v>15.1</v>
      </c>
      <c r="K1007">
        <v>14.8</v>
      </c>
      <c r="L1007">
        <f>Tableau1[[#This Row],[Final_time]]-SUM(Tableau1[[#This Row],[0_100m]:[600_700m]])</f>
        <v>13.820000000000007</v>
      </c>
      <c r="M1007">
        <v>121.42</v>
      </c>
      <c r="N1007">
        <f>SUM(Tableau1[[#This Row],[0_100m]:[700_800m]])</f>
        <v>121.42</v>
      </c>
      <c r="O1007">
        <f>ABS(Tableau1[[#This Row],[Final_time]]-Tableau1[[#This Row],[Sum_time]])</f>
        <v>0</v>
      </c>
      <c r="P1007" s="8" t="s">
        <v>141</v>
      </c>
      <c r="Q1007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07" t="s">
        <v>420</v>
      </c>
      <c r="S1007" s="1" t="s">
        <v>114</v>
      </c>
      <c r="T1007" t="s">
        <v>151</v>
      </c>
      <c r="U1007" s="1" t="s">
        <v>69</v>
      </c>
      <c r="V1007" s="1">
        <v>44407</v>
      </c>
      <c r="W1007" s="4">
        <f>YEAR(Tableau1[[#This Row],[Competition_date]])</f>
        <v>2021</v>
      </c>
      <c r="X1007" s="4"/>
      <c r="Y1007" s="6"/>
      <c r="Z1007" s="4"/>
      <c r="AA1007" t="s">
        <v>444</v>
      </c>
    </row>
    <row r="1008" spans="1:27" x14ac:dyDescent="0.35">
      <c r="A1008" t="str">
        <f>_xlfn.CONCAT(Tableau1[[#This Row],[Athletes]],"_",Tableau1[[#This Row],[Nationality]],"_",Tableau1[[#This Row],[Competition_year]])</f>
        <v>Keely HODGKINSON_GBR_2021</v>
      </c>
      <c r="B1008" t="s">
        <v>212</v>
      </c>
      <c r="C1008" t="s">
        <v>29</v>
      </c>
      <c r="D1008" s="18" t="s">
        <v>30</v>
      </c>
      <c r="E1008">
        <v>14.4</v>
      </c>
      <c r="F1008">
        <v>14.8</v>
      </c>
      <c r="G1008">
        <v>16.5</v>
      </c>
      <c r="H1008">
        <v>16.2</v>
      </c>
      <c r="I1008">
        <v>15.6</v>
      </c>
      <c r="J1008">
        <v>15.2</v>
      </c>
      <c r="K1008">
        <v>14.9</v>
      </c>
      <c r="L1008">
        <f>Tableau1[[#This Row],[Final_time]]-SUM(Tableau1[[#This Row],[0_100m]:[600_700m]])</f>
        <v>13.989999999999995</v>
      </c>
      <c r="M1008">
        <v>121.59</v>
      </c>
      <c r="N1008">
        <f>SUM(Tableau1[[#This Row],[0_100m]:[700_800m]])</f>
        <v>121.59</v>
      </c>
      <c r="O1008">
        <f>ABS(Tableau1[[#This Row],[Final_time]]-Tableau1[[#This Row],[Sum_time]])</f>
        <v>0</v>
      </c>
      <c r="P1008" s="8" t="s">
        <v>141</v>
      </c>
      <c r="Q1008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08" t="s">
        <v>420</v>
      </c>
      <c r="S1008" s="1" t="s">
        <v>114</v>
      </c>
      <c r="T1008" t="s">
        <v>151</v>
      </c>
      <c r="U1008" s="1" t="s">
        <v>69</v>
      </c>
      <c r="V1008" s="1">
        <v>44407</v>
      </c>
      <c r="W1008" s="4">
        <f>YEAR(Tableau1[[#This Row],[Competition_date]])</f>
        <v>2021</v>
      </c>
      <c r="X1008" s="4"/>
      <c r="Y1008" s="6"/>
      <c r="Z1008" s="4"/>
      <c r="AA1008" t="s">
        <v>444</v>
      </c>
    </row>
    <row r="1009" spans="1:27" x14ac:dyDescent="0.35">
      <c r="A1009" t="str">
        <f>_xlfn.CONCAT(Tableau1[[#This Row],[Athletes]],"_",Tableau1[[#This Row],[Nationality]],"_",Tableau1[[#This Row],[Competition_year]])</f>
        <v>Mary MORAA_KEN_2021</v>
      </c>
      <c r="B1009" t="s">
        <v>228</v>
      </c>
      <c r="C1009" t="s">
        <v>29</v>
      </c>
      <c r="D1009" s="18" t="s">
        <v>15</v>
      </c>
      <c r="E1009">
        <v>14.8</v>
      </c>
      <c r="F1009">
        <v>14.2</v>
      </c>
      <c r="G1009">
        <v>16.5</v>
      </c>
      <c r="H1009">
        <v>16.600000000000001</v>
      </c>
      <c r="I1009">
        <v>15.7</v>
      </c>
      <c r="J1009">
        <v>15.1</v>
      </c>
      <c r="K1009">
        <v>15.1</v>
      </c>
      <c r="L1009">
        <f>Tableau1[[#This Row],[Final_time]]-SUM(Tableau1[[#This Row],[0_100m]:[600_700m]])</f>
        <v>13.660000000000011</v>
      </c>
      <c r="M1009">
        <v>121.66</v>
      </c>
      <c r="N1009">
        <f>SUM(Tableau1[[#This Row],[0_100m]:[700_800m]])</f>
        <v>121.66</v>
      </c>
      <c r="O1009">
        <f>ABS(Tableau1[[#This Row],[Final_time]]-Tableau1[[#This Row],[Sum_time]])</f>
        <v>0</v>
      </c>
      <c r="P1009" s="8" t="s">
        <v>141</v>
      </c>
      <c r="Q1009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09" t="s">
        <v>420</v>
      </c>
      <c r="S1009" s="1" t="s">
        <v>114</v>
      </c>
      <c r="T1009" t="s">
        <v>151</v>
      </c>
      <c r="U1009" s="1" t="s">
        <v>69</v>
      </c>
      <c r="V1009" s="1">
        <v>44407</v>
      </c>
      <c r="W1009" s="4">
        <f>YEAR(Tableau1[[#This Row],[Competition_date]])</f>
        <v>2021</v>
      </c>
      <c r="X1009" s="4"/>
      <c r="Y1009" s="6"/>
      <c r="Z1009" s="4"/>
      <c r="AA1009" t="s">
        <v>444</v>
      </c>
    </row>
    <row r="1010" spans="1:27" x14ac:dyDescent="0.35">
      <c r="A1010" t="str">
        <f>_xlfn.CONCAT(Tableau1[[#This Row],[Athletes]],"_",Tableau1[[#This Row],[Nationality]],"_",Tableau1[[#This Row],[Competition_year]])</f>
        <v>Netsanet DESTA_ETH_2021</v>
      </c>
      <c r="B1010" t="s">
        <v>451</v>
      </c>
      <c r="C1010" t="s">
        <v>29</v>
      </c>
      <c r="D1010" s="18" t="s">
        <v>49</v>
      </c>
      <c r="E1010">
        <v>14.7</v>
      </c>
      <c r="F1010">
        <v>14.8</v>
      </c>
      <c r="G1010">
        <v>16.399999999999999</v>
      </c>
      <c r="H1010">
        <v>16.399999999999999</v>
      </c>
      <c r="I1010">
        <v>15.5</v>
      </c>
      <c r="J1010">
        <v>15.2</v>
      </c>
      <c r="K1010">
        <v>14.8</v>
      </c>
      <c r="L1010">
        <f>Tableau1[[#This Row],[Final_time]]-SUM(Tableau1[[#This Row],[0_100m]:[600_700m]])</f>
        <v>14.180000000000007</v>
      </c>
      <c r="M1010">
        <v>121.98</v>
      </c>
      <c r="N1010">
        <f>SUM(Tableau1[[#This Row],[0_100m]:[700_800m]])</f>
        <v>121.98</v>
      </c>
      <c r="O1010">
        <f>ABS(Tableau1[[#This Row],[Final_time]]-Tableau1[[#This Row],[Sum_time]])</f>
        <v>0</v>
      </c>
      <c r="P1010" s="8"/>
      <c r="Q1010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10" t="s">
        <v>420</v>
      </c>
      <c r="S1010" s="1" t="s">
        <v>114</v>
      </c>
      <c r="T1010" t="s">
        <v>151</v>
      </c>
      <c r="U1010" s="1" t="s">
        <v>69</v>
      </c>
      <c r="V1010" s="1">
        <v>44407</v>
      </c>
      <c r="W1010" s="4">
        <f>YEAR(Tableau1[[#This Row],[Competition_date]])</f>
        <v>2021</v>
      </c>
      <c r="X1010" s="4"/>
      <c r="Y1010" s="6"/>
      <c r="Z1010" s="4"/>
      <c r="AA1010" t="s">
        <v>444</v>
      </c>
    </row>
    <row r="1011" spans="1:27" x14ac:dyDescent="0.35">
      <c r="A1011" t="str">
        <f>_xlfn.CONCAT(Tableau1[[#This Row],[Athletes]],"_",Tableau1[[#This Row],[Nationality]],"_",Tableau1[[#This Row],[Competition_year]])</f>
        <v>Lindsey BUTTERWORTH_CAN_2021</v>
      </c>
      <c r="B1011" t="s">
        <v>256</v>
      </c>
      <c r="C1011" t="s">
        <v>29</v>
      </c>
      <c r="D1011" s="18" t="s">
        <v>19</v>
      </c>
      <c r="E1011">
        <v>14.8</v>
      </c>
      <c r="F1011">
        <v>14.4</v>
      </c>
      <c r="G1011">
        <v>16.399999999999999</v>
      </c>
      <c r="H1011">
        <v>16.600000000000001</v>
      </c>
      <c r="I1011">
        <v>15.7</v>
      </c>
      <c r="J1011">
        <v>15.1</v>
      </c>
      <c r="K1011">
        <v>14.9</v>
      </c>
      <c r="L1011">
        <f>Tableau1[[#This Row],[Final_time]]-SUM(Tableau1[[#This Row],[0_100m]:[600_700m]])</f>
        <v>14.549999999999997</v>
      </c>
      <c r="M1011">
        <v>122.45</v>
      </c>
      <c r="N1011">
        <f>SUM(Tableau1[[#This Row],[0_100m]:[700_800m]])</f>
        <v>122.45</v>
      </c>
      <c r="O1011">
        <f>ABS(Tableau1[[#This Row],[Final_time]]-Tableau1[[#This Row],[Sum_time]])</f>
        <v>0</v>
      </c>
      <c r="P1011" s="8"/>
      <c r="Q1011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11" t="s">
        <v>420</v>
      </c>
      <c r="S1011" s="1" t="s">
        <v>114</v>
      </c>
      <c r="T1011" t="s">
        <v>151</v>
      </c>
      <c r="U1011" s="1" t="s">
        <v>69</v>
      </c>
      <c r="V1011" s="1">
        <v>44407</v>
      </c>
      <c r="W1011" s="4">
        <f>YEAR(Tableau1[[#This Row],[Competition_date]])</f>
        <v>2021</v>
      </c>
      <c r="X1011" s="4"/>
      <c r="Y1011" s="6"/>
      <c r="Z1011" s="4"/>
      <c r="AA1011" t="s">
        <v>444</v>
      </c>
    </row>
    <row r="1012" spans="1:27" x14ac:dyDescent="0.35">
      <c r="A1012" t="str">
        <f>_xlfn.CONCAT(Tableau1[[#This Row],[Athletes]],"_",Tableau1[[#This Row],[Nationality]],"_",Tableau1[[#This Row],[Competition_year]])</f>
        <v>Anna WIELGOSZ_POL_2021</v>
      </c>
      <c r="B1012" t="s">
        <v>276</v>
      </c>
      <c r="C1012" t="s">
        <v>29</v>
      </c>
      <c r="D1012" s="18" t="s">
        <v>88</v>
      </c>
      <c r="E1012">
        <v>14.6</v>
      </c>
      <c r="F1012">
        <v>14.5</v>
      </c>
      <c r="G1012">
        <v>16.5</v>
      </c>
      <c r="H1012">
        <v>16.2</v>
      </c>
      <c r="I1012">
        <v>15.7</v>
      </c>
      <c r="J1012">
        <v>15.2</v>
      </c>
      <c r="K1012">
        <v>15.1</v>
      </c>
      <c r="L1012">
        <f>Tableau1[[#This Row],[Final_time]]-SUM(Tableau1[[#This Row],[0_100m]:[600_700m]])</f>
        <v>15.400000000000006</v>
      </c>
      <c r="M1012">
        <v>123.2</v>
      </c>
      <c r="N1012">
        <f>SUM(Tableau1[[#This Row],[0_100m]:[700_800m]])</f>
        <v>123.2</v>
      </c>
      <c r="O1012">
        <f>ABS(Tableau1[[#This Row],[Final_time]]-Tableau1[[#This Row],[Sum_time]])</f>
        <v>0</v>
      </c>
      <c r="P1012" s="8"/>
      <c r="Q1012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12" t="s">
        <v>420</v>
      </c>
      <c r="S1012" s="1" t="s">
        <v>114</v>
      </c>
      <c r="T1012" t="s">
        <v>151</v>
      </c>
      <c r="U1012" s="1" t="s">
        <v>69</v>
      </c>
      <c r="V1012" s="1">
        <v>44407</v>
      </c>
      <c r="W1012" s="4">
        <f>YEAR(Tableau1[[#This Row],[Competition_date]])</f>
        <v>2021</v>
      </c>
      <c r="X1012" s="4"/>
      <c r="Y1012" s="6"/>
      <c r="Z1012" s="4"/>
      <c r="AA1012" t="s">
        <v>444</v>
      </c>
    </row>
    <row r="1013" spans="1:27" x14ac:dyDescent="0.35">
      <c r="A1013" t="str">
        <f>_xlfn.CONCAT(Tableau1[[#This Row],[Athletes]],"_",Tableau1[[#This Row],[Nationality]],"_",Tableau1[[#This Row],[Competition_year]])</f>
        <v>Síofra CLÉIRIGH BÜTTNER_IRL_2021</v>
      </c>
      <c r="B1013" t="s">
        <v>452</v>
      </c>
      <c r="C1013" t="s">
        <v>29</v>
      </c>
      <c r="D1013" s="18" t="s">
        <v>66</v>
      </c>
      <c r="E1013">
        <v>14.5</v>
      </c>
      <c r="F1013">
        <v>14.8</v>
      </c>
      <c r="G1013">
        <v>16.5</v>
      </c>
      <c r="H1013">
        <v>16.5</v>
      </c>
      <c r="I1013">
        <v>15.9</v>
      </c>
      <c r="J1013">
        <f>93.2-SUM(Tableau1[[#This Row],[0_100m]:[400_500m]])</f>
        <v>15</v>
      </c>
      <c r="K1013">
        <v>15.4</v>
      </c>
      <c r="L1013">
        <f>Tableau1[[#This Row],[Final_time]]-SUM(Tableau1[[#This Row],[0_100m]:[600_700m]])</f>
        <v>16.019999999999996</v>
      </c>
      <c r="M1013">
        <v>124.62</v>
      </c>
      <c r="N1013">
        <f>SUM(Tableau1[[#This Row],[0_100m]:[700_800m]])</f>
        <v>124.62</v>
      </c>
      <c r="O1013">
        <f>ABS(Tableau1[[#This Row],[Final_time]]-Tableau1[[#This Row],[Sum_time]])</f>
        <v>0</v>
      </c>
      <c r="P1013" s="8"/>
      <c r="Q1013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13" t="s">
        <v>420</v>
      </c>
      <c r="S1013" s="1" t="s">
        <v>114</v>
      </c>
      <c r="T1013" t="s">
        <v>151</v>
      </c>
      <c r="U1013" s="1" t="s">
        <v>69</v>
      </c>
      <c r="V1013" s="1">
        <v>44407</v>
      </c>
      <c r="W1013" s="4">
        <f>YEAR(Tableau1[[#This Row],[Competition_date]])</f>
        <v>2021</v>
      </c>
      <c r="X1013" s="4"/>
      <c r="Y1013" s="6"/>
      <c r="Z1013" s="4"/>
      <c r="AA1013" t="s">
        <v>444</v>
      </c>
    </row>
    <row r="1014" spans="1:27" x14ac:dyDescent="0.35">
      <c r="A1014" t="str">
        <f>_xlfn.CONCAT(Tableau1[[#This Row],[Athletes]],"_",Tableau1[[#This Row],[Nationality]],"_",Tableau1[[#This Row],[Competition_year]])</f>
        <v>Nimali WALIWARSHA_SRI_2021</v>
      </c>
      <c r="B1014" t="s">
        <v>453</v>
      </c>
      <c r="C1014" t="s">
        <v>29</v>
      </c>
      <c r="D1014" s="18" t="s">
        <v>164</v>
      </c>
      <c r="E1014">
        <v>15.4</v>
      </c>
      <c r="F1014">
        <v>14.3</v>
      </c>
      <c r="G1014">
        <v>16.3</v>
      </c>
      <c r="H1014">
        <v>16.2</v>
      </c>
      <c r="I1014">
        <v>16.5</v>
      </c>
      <c r="J1014">
        <v>16</v>
      </c>
      <c r="K1014">
        <f>112.1-SUM(Tableau1[[#This Row],[0_100m]:[500_600m]])</f>
        <v>17.399999999999991</v>
      </c>
      <c r="L1014">
        <f>Tableau1[[#This Row],[Final_time]]-SUM(Tableau1[[#This Row],[0_100m]:[600_700m]])</f>
        <v>18.129999999999995</v>
      </c>
      <c r="M1014">
        <v>130.22999999999999</v>
      </c>
      <c r="N1014">
        <f>SUM(Tableau1[[#This Row],[0_100m]:[700_800m]])</f>
        <v>130.22999999999999</v>
      </c>
      <c r="O1014">
        <f>ABS(Tableau1[[#This Row],[Final_time]]-Tableau1[[#This Row],[Sum_time]])</f>
        <v>0</v>
      </c>
      <c r="P1014" s="8"/>
      <c r="Q1014" s="16" t="str">
        <f>_xlfn.CONCAT(Tableau1[[#This Row],[Competition]],"_",Tableau1[[#This Row],[Championship_step]],"_",Tableau1[[#This Row],[Competition_date]],"_",Tableau1[[#This Row],[Gender]])</f>
        <v>Olympic Games Tokyo 2021_Heat 4_44407_Female</v>
      </c>
      <c r="R1014" t="s">
        <v>420</v>
      </c>
      <c r="S1014" s="1" t="s">
        <v>114</v>
      </c>
      <c r="T1014" t="s">
        <v>151</v>
      </c>
      <c r="U1014" s="1" t="s">
        <v>69</v>
      </c>
      <c r="V1014" s="1">
        <v>44407</v>
      </c>
      <c r="W1014" s="4">
        <f>YEAR(Tableau1[[#This Row],[Competition_date]])</f>
        <v>2021</v>
      </c>
      <c r="X1014" s="4"/>
      <c r="Y1014" s="6"/>
      <c r="Z1014" s="4"/>
      <c r="AA1014" t="s">
        <v>444</v>
      </c>
    </row>
    <row r="1015" spans="1:27" x14ac:dyDescent="0.35">
      <c r="A1015" t="str">
        <f>_xlfn.CONCAT(Tableau1[[#This Row],[Athletes]],"_",Tableau1[[#This Row],[Nationality]],"_",Tableau1[[#This Row],[Competition_year]])</f>
        <v>Nijel AMOS_BOT_2021</v>
      </c>
      <c r="B1015" t="s">
        <v>384</v>
      </c>
      <c r="C1015" t="s">
        <v>14</v>
      </c>
      <c r="D1015" s="18" t="s">
        <v>44</v>
      </c>
      <c r="E1015">
        <v>13</v>
      </c>
      <c r="F1015">
        <v>12.1</v>
      </c>
      <c r="G1015">
        <v>14</v>
      </c>
      <c r="H1015">
        <v>13.6</v>
      </c>
      <c r="I1015">
        <v>13.2</v>
      </c>
      <c r="J1015">
        <v>13.1</v>
      </c>
      <c r="K1015">
        <v>13</v>
      </c>
      <c r="L1015">
        <f>Tableau1[[#This Row],[Final_time]]-SUM(Tableau1[[#This Row],[0_100m]:[600_700m]])</f>
        <v>13.040000000000006</v>
      </c>
      <c r="M1015">
        <v>105.04</v>
      </c>
      <c r="N1015">
        <f>SUM(Tableau1[[#This Row],[0_100m]:[700_800m]])</f>
        <v>105.04</v>
      </c>
      <c r="O1015">
        <f>ABS(Tableau1[[#This Row],[Final_time]]-Tableau1[[#This Row],[Sum_time]])</f>
        <v>0</v>
      </c>
      <c r="P1015" s="8" t="s">
        <v>141</v>
      </c>
      <c r="Q1015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15" t="s">
        <v>420</v>
      </c>
      <c r="S1015" s="1" t="s">
        <v>114</v>
      </c>
      <c r="T1015" t="s">
        <v>151</v>
      </c>
      <c r="U1015" s="1" t="s">
        <v>69</v>
      </c>
      <c r="V1015" s="1">
        <v>44408</v>
      </c>
      <c r="W1015" s="4">
        <f>YEAR(Tableau1[[#This Row],[Competition_date]])</f>
        <v>2021</v>
      </c>
      <c r="X1015" s="4"/>
      <c r="Y1015" s="6"/>
      <c r="Z1015" s="4"/>
      <c r="AA1015" t="s">
        <v>421</v>
      </c>
    </row>
    <row r="1016" spans="1:27" x14ac:dyDescent="0.35">
      <c r="A1016" t="str">
        <f>_xlfn.CONCAT(Tableau1[[#This Row],[Athletes]],"_",Tableau1[[#This Row],[Nationality]],"_",Tableau1[[#This Row],[Competition_year]])</f>
        <v>Michael SARUNI_KEN_2021</v>
      </c>
      <c r="B1016" t="s">
        <v>397</v>
      </c>
      <c r="C1016" t="s">
        <v>14</v>
      </c>
      <c r="D1016" s="18" t="s">
        <v>15</v>
      </c>
      <c r="E1016">
        <v>13</v>
      </c>
      <c r="F1016">
        <v>12.3</v>
      </c>
      <c r="G1016">
        <v>14</v>
      </c>
      <c r="H1016">
        <v>13.6</v>
      </c>
      <c r="I1016">
        <v>13.3</v>
      </c>
      <c r="J1016">
        <v>13</v>
      </c>
      <c r="K1016">
        <v>12.9</v>
      </c>
      <c r="L1016">
        <f>Tableau1[[#This Row],[Final_time]]-SUM(Tableau1[[#This Row],[0_100m]:[600_700m]])</f>
        <v>13.109999999999985</v>
      </c>
      <c r="M1016">
        <v>105.21</v>
      </c>
      <c r="N1016">
        <f>SUM(Tableau1[[#This Row],[0_100m]:[700_800m]])</f>
        <v>105.21</v>
      </c>
      <c r="O1016">
        <f>ABS(Tableau1[[#This Row],[Final_time]]-Tableau1[[#This Row],[Sum_time]])</f>
        <v>0</v>
      </c>
      <c r="P1016" s="8" t="s">
        <v>141</v>
      </c>
      <c r="Q1016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16" t="s">
        <v>420</v>
      </c>
      <c r="S1016" s="1" t="s">
        <v>114</v>
      </c>
      <c r="T1016" t="s">
        <v>151</v>
      </c>
      <c r="U1016" s="1" t="s">
        <v>69</v>
      </c>
      <c r="V1016" s="1">
        <v>44408</v>
      </c>
      <c r="W1016" s="4">
        <f>YEAR(Tableau1[[#This Row],[Competition_date]])</f>
        <v>2021</v>
      </c>
      <c r="X1016" s="4"/>
      <c r="Y1016" s="6"/>
      <c r="Z1016" s="4"/>
      <c r="AA1016" t="s">
        <v>421</v>
      </c>
    </row>
    <row r="1017" spans="1:27" x14ac:dyDescent="0.35">
      <c r="A1017" t="str">
        <f>_xlfn.CONCAT(Tableau1[[#This Row],[Athletes]],"_",Tableau1[[#This Row],[Nationality]],"_",Tableau1[[#This Row],[Competition_year]])</f>
        <v>Adrián BEN_ESP_2021</v>
      </c>
      <c r="B1017" t="s">
        <v>184</v>
      </c>
      <c r="C1017" t="s">
        <v>14</v>
      </c>
      <c r="D1017" s="18" t="s">
        <v>37</v>
      </c>
      <c r="E1017">
        <v>13</v>
      </c>
      <c r="F1017">
        <v>12.1</v>
      </c>
      <c r="G1017">
        <v>13.8</v>
      </c>
      <c r="H1017">
        <v>13.5</v>
      </c>
      <c r="I1017">
        <v>13.2</v>
      </c>
      <c r="J1017">
        <v>13.2</v>
      </c>
      <c r="K1017">
        <v>13</v>
      </c>
      <c r="L1017">
        <f>Tableau1[[#This Row],[Final_time]]-SUM(Tableau1[[#This Row],[0_100m]:[600_700m]])</f>
        <v>13.499999999999986</v>
      </c>
      <c r="M1017">
        <v>105.3</v>
      </c>
      <c r="N1017">
        <f>SUM(Tableau1[[#This Row],[0_100m]:[700_800m]])</f>
        <v>105.3</v>
      </c>
      <c r="O1017">
        <f>ABS(Tableau1[[#This Row],[Final_time]]-Tableau1[[#This Row],[Sum_time]])</f>
        <v>0</v>
      </c>
      <c r="P1017" s="8" t="s">
        <v>141</v>
      </c>
      <c r="Q1017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17" t="s">
        <v>420</v>
      </c>
      <c r="S1017" s="1" t="s">
        <v>114</v>
      </c>
      <c r="T1017" t="s">
        <v>151</v>
      </c>
      <c r="U1017" s="1" t="s">
        <v>69</v>
      </c>
      <c r="V1017" s="1">
        <v>44408</v>
      </c>
      <c r="W1017" s="4">
        <f>YEAR(Tableau1[[#This Row],[Competition_date]])</f>
        <v>2021</v>
      </c>
      <c r="X1017" s="4"/>
      <c r="Y1017" s="6"/>
      <c r="Z1017" s="4"/>
      <c r="AA1017" t="s">
        <v>421</v>
      </c>
    </row>
    <row r="1018" spans="1:27" x14ac:dyDescent="0.35">
      <c r="A1018" t="str">
        <f>_xlfn.CONCAT(Tableau1[[#This Row],[Athletes]],"_",Tableau1[[#This Row],[Nationality]],"_",Tableau1[[#This Row],[Competition_year]])</f>
        <v>Jeffrey RISELEY_AUS_2021</v>
      </c>
      <c r="B1018" t="s">
        <v>429</v>
      </c>
      <c r="C1018" t="s">
        <v>14</v>
      </c>
      <c r="D1018" s="18" t="s">
        <v>36</v>
      </c>
      <c r="E1018">
        <v>12.9</v>
      </c>
      <c r="F1018">
        <v>12.5</v>
      </c>
      <c r="G1018">
        <v>13.9</v>
      </c>
      <c r="H1018">
        <v>13.8</v>
      </c>
      <c r="I1018">
        <v>13.3</v>
      </c>
      <c r="J1018">
        <v>13</v>
      </c>
      <c r="K1018">
        <v>13</v>
      </c>
      <c r="L1018">
        <f>Tableau1[[#This Row],[Final_time]]-SUM(Tableau1[[#This Row],[0_100m]:[600_700m]])</f>
        <v>13.010000000000005</v>
      </c>
      <c r="M1018">
        <v>105.41</v>
      </c>
      <c r="N1018">
        <f>SUM(Tableau1[[#This Row],[0_100m]:[700_800m]])</f>
        <v>105.41</v>
      </c>
      <c r="O1018">
        <f>ABS(Tableau1[[#This Row],[Final_time]]-Tableau1[[#This Row],[Sum_time]])</f>
        <v>0</v>
      </c>
      <c r="P1018" s="8" t="s">
        <v>142</v>
      </c>
      <c r="Q1018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18" t="s">
        <v>420</v>
      </c>
      <c r="S1018" s="1" t="s">
        <v>114</v>
      </c>
      <c r="T1018" t="s">
        <v>151</v>
      </c>
      <c r="U1018" s="1" t="s">
        <v>69</v>
      </c>
      <c r="V1018" s="1">
        <v>44408</v>
      </c>
      <c r="W1018" s="4">
        <f>YEAR(Tableau1[[#This Row],[Competition_date]])</f>
        <v>2021</v>
      </c>
      <c r="X1018" s="4"/>
      <c r="Y1018" s="6"/>
      <c r="Z1018" s="4"/>
      <c r="AA1018" t="s">
        <v>421</v>
      </c>
    </row>
    <row r="1019" spans="1:27" x14ac:dyDescent="0.35">
      <c r="A1019" t="str">
        <f>_xlfn.CONCAT(Tableau1[[#This Row],[Athletes]],"_",Tableau1[[#This Row],[Nationality]],"_",Tableau1[[#This Row],[Competition_year]])</f>
        <v>Oussama NABIL_MAR_2021</v>
      </c>
      <c r="B1019" t="s">
        <v>210</v>
      </c>
      <c r="C1019" t="s">
        <v>14</v>
      </c>
      <c r="D1019" s="18" t="s">
        <v>21</v>
      </c>
      <c r="E1019">
        <v>13.4</v>
      </c>
      <c r="F1019">
        <v>12.4</v>
      </c>
      <c r="G1019">
        <v>13.9</v>
      </c>
      <c r="H1019">
        <v>13.6</v>
      </c>
      <c r="I1019">
        <v>13.6</v>
      </c>
      <c r="J1019">
        <v>12.8</v>
      </c>
      <c r="K1019">
        <v>12.8</v>
      </c>
      <c r="L1019">
        <f>Tableau1[[#This Row],[Final_time]]-SUM(Tableau1[[#This Row],[0_100m]:[600_700m]])</f>
        <v>13.14</v>
      </c>
      <c r="M1019">
        <v>105.64</v>
      </c>
      <c r="N1019">
        <f>SUM(Tableau1[[#This Row],[0_100m]:[700_800m]])</f>
        <v>105.64</v>
      </c>
      <c r="O1019">
        <f>ABS(Tableau1[[#This Row],[Final_time]]-Tableau1[[#This Row],[Sum_time]])</f>
        <v>0</v>
      </c>
      <c r="P1019" s="8" t="s">
        <v>142</v>
      </c>
      <c r="Q1019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19" t="s">
        <v>420</v>
      </c>
      <c r="S1019" s="1" t="s">
        <v>114</v>
      </c>
      <c r="T1019" t="s">
        <v>151</v>
      </c>
      <c r="U1019" s="1" t="s">
        <v>69</v>
      </c>
      <c r="V1019" s="1">
        <v>44408</v>
      </c>
      <c r="W1019" s="4">
        <f>YEAR(Tableau1[[#This Row],[Competition_date]])</f>
        <v>2021</v>
      </c>
      <c r="X1019" s="4"/>
      <c r="Y1019" s="6"/>
      <c r="Z1019" s="4"/>
      <c r="AA1019" t="s">
        <v>421</v>
      </c>
    </row>
    <row r="1020" spans="1:27" x14ac:dyDescent="0.35">
      <c r="A1020" t="str">
        <f>_xlfn.CONCAT(Tableau1[[#This Row],[Athletes]],"_",Tableau1[[#This Row],[Nationality]],"_",Tableau1[[#This Row],[Competition_year]])</f>
        <v>Pierre-Ambroise BOSSE_FRA_2021</v>
      </c>
      <c r="B1020" t="s">
        <v>382</v>
      </c>
      <c r="C1020" t="s">
        <v>14</v>
      </c>
      <c r="D1020" s="18" t="s">
        <v>17</v>
      </c>
      <c r="E1020">
        <v>12.6</v>
      </c>
      <c r="F1020">
        <v>12.4</v>
      </c>
      <c r="G1020">
        <v>13.7</v>
      </c>
      <c r="H1020">
        <v>13.5</v>
      </c>
      <c r="I1020">
        <v>13.2</v>
      </c>
      <c r="J1020">
        <v>13.2</v>
      </c>
      <c r="K1020">
        <v>13.3</v>
      </c>
      <c r="L1020">
        <f>Tableau1[[#This Row],[Final_time]]-SUM(Tableau1[[#This Row],[0_100m]:[600_700m]])</f>
        <v>14.069999999999993</v>
      </c>
      <c r="M1020">
        <v>105.97</v>
      </c>
      <c r="N1020">
        <f>SUM(Tableau1[[#This Row],[0_100m]:[700_800m]])</f>
        <v>105.97</v>
      </c>
      <c r="O1020">
        <f>ABS(Tableau1[[#This Row],[Final_time]]-Tableau1[[#This Row],[Sum_time]])</f>
        <v>0</v>
      </c>
      <c r="P1020" s="8" t="s">
        <v>142</v>
      </c>
      <c r="Q1020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20" t="s">
        <v>420</v>
      </c>
      <c r="S1020" s="1" t="s">
        <v>114</v>
      </c>
      <c r="T1020" t="s">
        <v>151</v>
      </c>
      <c r="U1020" s="1" t="s">
        <v>69</v>
      </c>
      <c r="V1020" s="1">
        <v>44408</v>
      </c>
      <c r="W1020" s="4">
        <f>YEAR(Tableau1[[#This Row],[Competition_date]])</f>
        <v>2021</v>
      </c>
      <c r="X1020" s="4"/>
      <c r="Y1020" s="6"/>
      <c r="Z1020" s="4"/>
      <c r="AA1020" t="s">
        <v>421</v>
      </c>
    </row>
    <row r="1021" spans="1:27" x14ac:dyDescent="0.35">
      <c r="A1021" t="str">
        <f>_xlfn.CONCAT(Tableau1[[#This Row],[Athletes]],"_",Tableau1[[#This Row],[Nationality]],"_",Tableau1[[#This Row],[Competition_year]])</f>
        <v>Ryan SÁNCHEZ_PUR_2021</v>
      </c>
      <c r="B1021" t="s">
        <v>431</v>
      </c>
      <c r="C1021" t="s">
        <v>14</v>
      </c>
      <c r="D1021" s="18" t="s">
        <v>119</v>
      </c>
      <c r="E1021">
        <v>12.8</v>
      </c>
      <c r="F1021">
        <v>12.6</v>
      </c>
      <c r="G1021">
        <v>14.1</v>
      </c>
      <c r="H1021">
        <v>13.8</v>
      </c>
      <c r="I1021">
        <v>13.4</v>
      </c>
      <c r="J1021">
        <v>12.7</v>
      </c>
      <c r="K1021">
        <v>13</v>
      </c>
      <c r="L1021">
        <f>Tableau1[[#This Row],[Final_time]]-SUM(Tableau1[[#This Row],[0_100m]:[600_700m]])</f>
        <v>14.669999999999987</v>
      </c>
      <c r="M1021">
        <v>107.07</v>
      </c>
      <c r="N1021">
        <f>SUM(Tableau1[[#This Row],[0_100m]:[700_800m]])</f>
        <v>107.07</v>
      </c>
      <c r="O1021">
        <f>ABS(Tableau1[[#This Row],[Final_time]]-Tableau1[[#This Row],[Sum_time]])</f>
        <v>0</v>
      </c>
      <c r="P1021" s="8"/>
      <c r="Q1021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21" t="s">
        <v>420</v>
      </c>
      <c r="S1021" s="1" t="s">
        <v>114</v>
      </c>
      <c r="T1021" t="s">
        <v>151</v>
      </c>
      <c r="U1021" s="1" t="s">
        <v>69</v>
      </c>
      <c r="V1021" s="1">
        <v>44408</v>
      </c>
      <c r="W1021" s="4">
        <f>YEAR(Tableau1[[#This Row],[Competition_date]])</f>
        <v>2021</v>
      </c>
      <c r="X1021" s="4"/>
      <c r="Y1021" s="6"/>
      <c r="Z1021" s="4"/>
      <c r="AA1021" t="s">
        <v>421</v>
      </c>
    </row>
    <row r="1022" spans="1:27" x14ac:dyDescent="0.35">
      <c r="A1022" t="str">
        <f>_xlfn.CONCAT(Tableau1[[#This Row],[Athletes]],"_",Tableau1[[#This Row],[Nationality]],"_",Tableau1[[#This Row],[Competition_year]])</f>
        <v>Thiago ANDRÉ_BRA_2021</v>
      </c>
      <c r="B1022" t="s">
        <v>430</v>
      </c>
      <c r="C1022" t="s">
        <v>14</v>
      </c>
      <c r="D1022" s="18" t="s">
        <v>134</v>
      </c>
      <c r="E1022">
        <v>13.1</v>
      </c>
      <c r="F1022">
        <v>12.5</v>
      </c>
      <c r="G1022">
        <v>14</v>
      </c>
      <c r="H1022">
        <v>13.6</v>
      </c>
      <c r="I1022">
        <v>13.3</v>
      </c>
      <c r="J1022">
        <v>13.1</v>
      </c>
      <c r="K1022">
        <v>13.4</v>
      </c>
      <c r="L1022">
        <f>Tableau1[[#This Row],[Final_time]]-SUM(Tableau1[[#This Row],[0_100m]:[600_700m]])</f>
        <v>14.75</v>
      </c>
      <c r="M1022">
        <v>107.75</v>
      </c>
      <c r="N1022">
        <f>SUM(Tableau1[[#This Row],[0_100m]:[700_800m]])</f>
        <v>107.75</v>
      </c>
      <c r="O1022">
        <f>ABS(Tableau1[[#This Row],[Final_time]]-Tableau1[[#This Row],[Sum_time]])</f>
        <v>0</v>
      </c>
      <c r="P1022" s="8"/>
      <c r="Q1022" s="16" t="str">
        <f>_xlfn.CONCAT(Tableau1[[#This Row],[Competition]],"_",Tableau1[[#This Row],[Championship_step]],"_",Tableau1[[#This Row],[Competition_date]],"_",Tableau1[[#This Row],[Gender]])</f>
        <v>Olympic Games Tokyo 2021_Heat 4_44408_Male</v>
      </c>
      <c r="R1022" t="s">
        <v>420</v>
      </c>
      <c r="S1022" s="1" t="s">
        <v>114</v>
      </c>
      <c r="T1022" t="s">
        <v>151</v>
      </c>
      <c r="U1022" s="1" t="s">
        <v>69</v>
      </c>
      <c r="V1022" s="1">
        <v>44408</v>
      </c>
      <c r="W1022" s="4">
        <f>YEAR(Tableau1[[#This Row],[Competition_date]])</f>
        <v>2021</v>
      </c>
      <c r="X1022" s="4"/>
      <c r="Y1022" s="6"/>
      <c r="Z1022" s="4"/>
      <c r="AA1022" t="s">
        <v>421</v>
      </c>
    </row>
    <row r="1023" spans="1:27" x14ac:dyDescent="0.35">
      <c r="A1023" t="str">
        <f>_xlfn.CONCAT(Tableau1[[#This Row],[Athletes]],"_",Tableau1[[#This Row],[Nationality]],"_",Tableau1[[#This Row],[Competition_year]])</f>
        <v>Rose Mary ALMANZA_CUB_2021</v>
      </c>
      <c r="B1023" t="s">
        <v>263</v>
      </c>
      <c r="C1023" t="s">
        <v>29</v>
      </c>
      <c r="D1023" s="18" t="s">
        <v>165</v>
      </c>
      <c r="E1023">
        <v>14</v>
      </c>
      <c r="F1023">
        <v>14.5</v>
      </c>
      <c r="G1023">
        <v>16.399999999999999</v>
      </c>
      <c r="H1023">
        <v>16.2</v>
      </c>
      <c r="I1023">
        <v>15.6</v>
      </c>
      <c r="J1023">
        <v>14.9</v>
      </c>
      <c r="K1023">
        <v>14.8</v>
      </c>
      <c r="L1023">
        <f>Tableau1[[#This Row],[Final_time]]-SUM(Tableau1[[#This Row],[0_100m]:[600_700m]])</f>
        <v>14.310000000000002</v>
      </c>
      <c r="M1023">
        <v>120.71</v>
      </c>
      <c r="N1023">
        <f>SUM(Tableau1[[#This Row],[0_100m]:[700_800m]])</f>
        <v>120.71</v>
      </c>
      <c r="O1023">
        <f>ABS(Tableau1[[#This Row],[Final_time]]-Tableau1[[#This Row],[Sum_time]])</f>
        <v>0</v>
      </c>
      <c r="P1023" s="8" t="s">
        <v>141</v>
      </c>
      <c r="Q1023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3" t="s">
        <v>420</v>
      </c>
      <c r="S1023" s="1" t="s">
        <v>114</v>
      </c>
      <c r="T1023" t="s">
        <v>152</v>
      </c>
      <c r="U1023" s="1" t="s">
        <v>69</v>
      </c>
      <c r="V1023" s="1">
        <v>44407</v>
      </c>
      <c r="W1023" s="4">
        <f>YEAR(Tableau1[[#This Row],[Competition_date]])</f>
        <v>2021</v>
      </c>
      <c r="X1023" s="4"/>
      <c r="Y1023" s="6"/>
      <c r="Z1023" s="4"/>
      <c r="AA1023" t="s">
        <v>444</v>
      </c>
    </row>
    <row r="1024" spans="1:27" x14ac:dyDescent="0.35">
      <c r="A1024" t="str">
        <f>_xlfn.CONCAT(Tableau1[[#This Row],[Athletes]],"_",Tableau1[[#This Row],[Nationality]],"_",Tableau1[[#This Row],[Competition_year]])</f>
        <v>Déborah RODRÍGUEZ_URU_2021</v>
      </c>
      <c r="B1024" t="s">
        <v>258</v>
      </c>
      <c r="C1024" t="s">
        <v>29</v>
      </c>
      <c r="D1024" s="18" t="s">
        <v>163</v>
      </c>
      <c r="E1024">
        <v>14</v>
      </c>
      <c r="F1024">
        <v>14.5</v>
      </c>
      <c r="G1024">
        <f>44.9-SUM(Tableau1[[#This Row],[0_100m]:[100_200m]])</f>
        <v>16.399999999999999</v>
      </c>
      <c r="H1024">
        <v>16.2</v>
      </c>
      <c r="I1024">
        <v>15.6</v>
      </c>
      <c r="J1024">
        <v>14.9</v>
      </c>
      <c r="K1024">
        <v>14.8</v>
      </c>
      <c r="L1024">
        <f>Tableau1[[#This Row],[Final_time]]-SUM(Tableau1[[#This Row],[0_100m]:[600_700m]])</f>
        <v>14.500000000000014</v>
      </c>
      <c r="M1024">
        <v>120.9</v>
      </c>
      <c r="N1024">
        <f>SUM(Tableau1[[#This Row],[0_100m]:[700_800m]])</f>
        <v>120.9</v>
      </c>
      <c r="O1024">
        <f>ABS(Tableau1[[#This Row],[Final_time]]-Tableau1[[#This Row],[Sum_time]])</f>
        <v>0</v>
      </c>
      <c r="P1024" s="8" t="s">
        <v>141</v>
      </c>
      <c r="Q1024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4" t="s">
        <v>420</v>
      </c>
      <c r="S1024" s="1" t="s">
        <v>114</v>
      </c>
      <c r="T1024" t="s">
        <v>152</v>
      </c>
      <c r="U1024" s="1" t="s">
        <v>69</v>
      </c>
      <c r="V1024" s="1">
        <v>44407</v>
      </c>
      <c r="W1024" s="4">
        <f>YEAR(Tableau1[[#This Row],[Competition_date]])</f>
        <v>2021</v>
      </c>
      <c r="X1024" s="4"/>
      <c r="Y1024" s="6"/>
      <c r="Z1024" s="4"/>
      <c r="AA1024" t="s">
        <v>444</v>
      </c>
    </row>
    <row r="1025" spans="1:27" x14ac:dyDescent="0.35">
      <c r="A1025" t="str">
        <f>_xlfn.CONCAT(Tableau1[[#This Row],[Athletes]],"_",Tableau1[[#This Row],[Nationality]],"_",Tableau1[[#This Row],[Competition_year]])</f>
        <v>Alexandra BELL_GBR_2021</v>
      </c>
      <c r="B1025" t="s">
        <v>268</v>
      </c>
      <c r="C1025" t="s">
        <v>29</v>
      </c>
      <c r="D1025" s="18" t="s">
        <v>30</v>
      </c>
      <c r="E1025">
        <v>14</v>
      </c>
      <c r="F1025">
        <v>14.8</v>
      </c>
      <c r="G1025">
        <v>16.399999999999999</v>
      </c>
      <c r="H1025">
        <v>16.100000000000001</v>
      </c>
      <c r="I1025">
        <v>15.6</v>
      </c>
      <c r="J1025">
        <v>14.9</v>
      </c>
      <c r="K1025">
        <v>14.8</v>
      </c>
      <c r="L1025">
        <f>Tableau1[[#This Row],[Final_time]]-SUM(Tableau1[[#This Row],[0_100m]:[600_700m]])</f>
        <v>14.359999999999985</v>
      </c>
      <c r="M1025">
        <v>120.96</v>
      </c>
      <c r="N1025">
        <f>SUM(Tableau1[[#This Row],[0_100m]:[700_800m]])</f>
        <v>120.96</v>
      </c>
      <c r="O1025">
        <f>ABS(Tableau1[[#This Row],[Final_time]]-Tableau1[[#This Row],[Sum_time]])</f>
        <v>0</v>
      </c>
      <c r="P1025" s="8" t="s">
        <v>142</v>
      </c>
      <c r="Q1025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5" t="s">
        <v>420</v>
      </c>
      <c r="S1025" s="1" t="s">
        <v>114</v>
      </c>
      <c r="T1025" t="s">
        <v>152</v>
      </c>
      <c r="U1025" s="1" t="s">
        <v>69</v>
      </c>
      <c r="V1025" s="1">
        <v>44407</v>
      </c>
      <c r="W1025" s="4">
        <f>YEAR(Tableau1[[#This Row],[Competition_date]])</f>
        <v>2021</v>
      </c>
      <c r="X1025" s="4"/>
      <c r="Y1025" s="6"/>
      <c r="Z1025" s="4"/>
      <c r="AA1025" t="s">
        <v>444</v>
      </c>
    </row>
    <row r="1026" spans="1:27" x14ac:dyDescent="0.35">
      <c r="A1026" t="str">
        <f>_xlfn.CONCAT(Tableau1[[#This Row],[Athletes]],"_",Tableau1[[#This Row],[Nationality]],"_",Tableau1[[#This Row],[Competition_year]])</f>
        <v>Rababe ARAFI_MAR_2021</v>
      </c>
      <c r="B1026" t="s">
        <v>455</v>
      </c>
      <c r="C1026" t="s">
        <v>29</v>
      </c>
      <c r="D1026" s="18" t="s">
        <v>21</v>
      </c>
      <c r="E1026">
        <v>15.7</v>
      </c>
      <c r="F1026">
        <v>14.9</v>
      </c>
      <c r="G1026">
        <v>15.4</v>
      </c>
      <c r="H1026">
        <f>61.4-SUM(Tableau1[[#This Row],[0_100m]:[200_300m]])</f>
        <v>15.399999999999999</v>
      </c>
      <c r="I1026">
        <v>15.6</v>
      </c>
      <c r="J1026">
        <f>91.9-SUM(Tableau1[[#This Row],[0_100m]:[400_500m]])</f>
        <v>14.900000000000006</v>
      </c>
      <c r="K1026">
        <v>14.8</v>
      </c>
      <c r="L1026">
        <f>Tableau1[[#This Row],[Final_time]]-SUM(Tableau1[[#This Row],[0_100m]:[600_700m]])</f>
        <v>14.259999999999991</v>
      </c>
      <c r="M1026">
        <v>120.96</v>
      </c>
      <c r="N1026">
        <f>SUM(Tableau1[[#This Row],[0_100m]:[700_800m]])</f>
        <v>120.96</v>
      </c>
      <c r="O1026">
        <f>ABS(Tableau1[[#This Row],[Final_time]]-Tableau1[[#This Row],[Sum_time]])</f>
        <v>0</v>
      </c>
      <c r="P1026" s="8" t="s">
        <v>141</v>
      </c>
      <c r="Q1026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6" t="s">
        <v>420</v>
      </c>
      <c r="S1026" s="1" t="s">
        <v>114</v>
      </c>
      <c r="T1026" t="s">
        <v>152</v>
      </c>
      <c r="U1026" s="1" t="s">
        <v>69</v>
      </c>
      <c r="V1026" s="1">
        <v>44407</v>
      </c>
      <c r="W1026" s="4">
        <f>YEAR(Tableau1[[#This Row],[Competition_date]])</f>
        <v>2021</v>
      </c>
      <c r="X1026" s="4"/>
      <c r="Y1026" s="6"/>
      <c r="Z1026" s="4"/>
      <c r="AA1026" t="s">
        <v>444</v>
      </c>
    </row>
    <row r="1027" spans="1:27" x14ac:dyDescent="0.35">
      <c r="A1027" t="str">
        <f>_xlfn.CONCAT(Tableau1[[#This Row],[Athletes]],"_",Tableau1[[#This Row],[Nationality]],"_",Tableau1[[#This Row],[Competition_year]])</f>
        <v>Catriona BISSET_AUS_2021</v>
      </c>
      <c r="B1027" t="s">
        <v>217</v>
      </c>
      <c r="C1027" t="s">
        <v>29</v>
      </c>
      <c r="D1027" s="18" t="s">
        <v>36</v>
      </c>
      <c r="E1027">
        <v>14.1</v>
      </c>
      <c r="F1027">
        <v>14.5</v>
      </c>
      <c r="G1027">
        <v>16.399999999999999</v>
      </c>
      <c r="H1027">
        <v>16.100000000000001</v>
      </c>
      <c r="I1027">
        <v>15.6</v>
      </c>
      <c r="J1027">
        <v>15</v>
      </c>
      <c r="K1027">
        <v>14.8</v>
      </c>
      <c r="L1027">
        <f>Tableau1[[#This Row],[Final_time]]-SUM(Tableau1[[#This Row],[0_100m]:[600_700m]])</f>
        <v>15.150000000000006</v>
      </c>
      <c r="M1027">
        <v>121.65</v>
      </c>
      <c r="N1027">
        <f>SUM(Tableau1[[#This Row],[0_100m]:[700_800m]])</f>
        <v>121.65</v>
      </c>
      <c r="O1027">
        <f>ABS(Tableau1[[#This Row],[Final_time]]-Tableau1[[#This Row],[Sum_time]])</f>
        <v>0</v>
      </c>
      <c r="P1027" s="8"/>
      <c r="Q1027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7" t="s">
        <v>420</v>
      </c>
      <c r="S1027" s="1" t="s">
        <v>114</v>
      </c>
      <c r="T1027" t="s">
        <v>152</v>
      </c>
      <c r="U1027" s="1" t="s">
        <v>69</v>
      </c>
      <c r="V1027" s="1">
        <v>44407</v>
      </c>
      <c r="W1027" s="4">
        <f>YEAR(Tableau1[[#This Row],[Competition_date]])</f>
        <v>2021</v>
      </c>
      <c r="X1027" s="4"/>
      <c r="Y1027" s="6"/>
      <c r="Z1027" s="4"/>
      <c r="AA1027" t="s">
        <v>444</v>
      </c>
    </row>
    <row r="1028" spans="1:27" x14ac:dyDescent="0.35">
      <c r="A1028" t="str">
        <f>_xlfn.CONCAT(Tableau1[[#This Row],[Athletes]],"_",Tableau1[[#This Row],[Nationality]],"_",Tableau1[[#This Row],[Competition_year]])</f>
        <v>Delia SCLABAS_SUI_2021</v>
      </c>
      <c r="B1028" t="s">
        <v>456</v>
      </c>
      <c r="C1028" t="s">
        <v>29</v>
      </c>
      <c r="D1028" s="18" t="s">
        <v>73</v>
      </c>
      <c r="E1028">
        <v>14.8</v>
      </c>
      <c r="F1028">
        <v>14.3</v>
      </c>
      <c r="G1028">
        <v>16.3</v>
      </c>
      <c r="H1028">
        <v>16.2</v>
      </c>
      <c r="I1028">
        <v>15.6</v>
      </c>
      <c r="J1028">
        <f>92.3-SUM(Tableau1[[#This Row],[0_100m]:[400_500m]])</f>
        <v>15.099999999999994</v>
      </c>
      <c r="K1028">
        <v>15.1</v>
      </c>
      <c r="L1028">
        <f>Tableau1[[#This Row],[Final_time]]-SUM(Tableau1[[#This Row],[0_100m]:[600_700m]])</f>
        <v>15.63000000000001</v>
      </c>
      <c r="M1028">
        <v>123.03</v>
      </c>
      <c r="N1028">
        <f>SUM(Tableau1[[#This Row],[0_100m]:[700_800m]])</f>
        <v>123.03</v>
      </c>
      <c r="O1028">
        <f>ABS(Tableau1[[#This Row],[Final_time]]-Tableau1[[#This Row],[Sum_time]])</f>
        <v>0</v>
      </c>
      <c r="P1028" s="8"/>
      <c r="Q1028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8" t="s">
        <v>420</v>
      </c>
      <c r="S1028" s="1" t="s">
        <v>114</v>
      </c>
      <c r="T1028" t="s">
        <v>152</v>
      </c>
      <c r="U1028" s="1" t="s">
        <v>69</v>
      </c>
      <c r="V1028" s="1">
        <v>44407</v>
      </c>
      <c r="W1028" s="4">
        <f>YEAR(Tableau1[[#This Row],[Competition_date]])</f>
        <v>2021</v>
      </c>
      <c r="X1028" s="4"/>
      <c r="Y1028" s="6"/>
      <c r="Z1028" s="4"/>
      <c r="AA1028" t="s">
        <v>444</v>
      </c>
    </row>
    <row r="1029" spans="1:27" x14ac:dyDescent="0.35">
      <c r="A1029" t="str">
        <f>_xlfn.CONCAT(Tableau1[[#This Row],[Athletes]],"_",Tableau1[[#This Row],[Nationality]],"_",Tableau1[[#This Row],[Competition_year]])</f>
        <v>Shafiqua MALONEY_VIN_2021</v>
      </c>
      <c r="B1029" t="s">
        <v>270</v>
      </c>
      <c r="C1029" t="s">
        <v>29</v>
      </c>
      <c r="D1029" s="18" t="s">
        <v>72</v>
      </c>
      <c r="E1029">
        <v>14.3</v>
      </c>
      <c r="F1029">
        <v>14.4</v>
      </c>
      <c r="G1029">
        <v>16.7</v>
      </c>
      <c r="H1029">
        <v>16.100000000000001</v>
      </c>
      <c r="I1029">
        <v>16.2</v>
      </c>
      <c r="J1029">
        <v>16</v>
      </c>
      <c r="K1029">
        <v>16.7</v>
      </c>
      <c r="L1029">
        <f>Tableau1[[#This Row],[Final_time]]-SUM(Tableau1[[#This Row],[0_100m]:[600_700m]])</f>
        <v>17.489999999999995</v>
      </c>
      <c r="M1029">
        <v>127.89</v>
      </c>
      <c r="N1029">
        <f>SUM(Tableau1[[#This Row],[0_100m]:[700_800m]])</f>
        <v>127.89</v>
      </c>
      <c r="O1029">
        <f>ABS(Tableau1[[#This Row],[Final_time]]-Tableau1[[#This Row],[Sum_time]])</f>
        <v>0</v>
      </c>
      <c r="P1029" s="8"/>
      <c r="Q1029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29" t="s">
        <v>420</v>
      </c>
      <c r="S1029" s="1" t="s">
        <v>114</v>
      </c>
      <c r="T1029" t="s">
        <v>152</v>
      </c>
      <c r="U1029" s="1" t="s">
        <v>69</v>
      </c>
      <c r="V1029" s="1">
        <v>44407</v>
      </c>
      <c r="W1029" s="4">
        <f>YEAR(Tableau1[[#This Row],[Competition_date]])</f>
        <v>2021</v>
      </c>
      <c r="X1029" s="4"/>
      <c r="Y1029" s="6"/>
      <c r="Z1029" s="4"/>
      <c r="AA1029" t="s">
        <v>444</v>
      </c>
    </row>
    <row r="1030" spans="1:27" x14ac:dyDescent="0.35">
      <c r="A1030" t="str">
        <f>_xlfn.CONCAT(Tableau1[[#This Row],[Athletes]],"_",Tableau1[[#This Row],[Nationality]],"_",Tableau1[[#This Row],[Competition_year]])</f>
        <v>D'Jamila TAVARES_STP_2021</v>
      </c>
      <c r="B1030" t="s">
        <v>713</v>
      </c>
      <c r="C1030" t="s">
        <v>29</v>
      </c>
      <c r="D1030" s="18" t="s">
        <v>454</v>
      </c>
      <c r="E1030">
        <v>15.9</v>
      </c>
      <c r="F1030">
        <v>15.5</v>
      </c>
      <c r="G1030">
        <v>16.899999999999999</v>
      </c>
      <c r="H1030">
        <v>16.899999999999999</v>
      </c>
      <c r="I1030">
        <v>17.2</v>
      </c>
      <c r="J1030">
        <v>18</v>
      </c>
      <c r="K1030">
        <v>18.7</v>
      </c>
      <c r="L1030">
        <f>Tableau1[[#This Row],[Final_time]]-SUM(Tableau1[[#This Row],[0_100m]:[600_700m]])</f>
        <v>17.620000000000005</v>
      </c>
      <c r="M1030">
        <v>136.72</v>
      </c>
      <c r="N1030">
        <f>SUM(Tableau1[[#This Row],[0_100m]:[700_800m]])</f>
        <v>136.72</v>
      </c>
      <c r="O1030">
        <f>ABS(Tableau1[[#This Row],[Final_time]]-Tableau1[[#This Row],[Sum_time]])</f>
        <v>0</v>
      </c>
      <c r="P1030" s="8"/>
      <c r="Q1030" s="16" t="str">
        <f>_xlfn.CONCAT(Tableau1[[#This Row],[Competition]],"_",Tableau1[[#This Row],[Championship_step]],"_",Tableau1[[#This Row],[Competition_date]],"_",Tableau1[[#This Row],[Gender]])</f>
        <v>Olympic Games Tokyo 2021_Heat 5_44407_Female</v>
      </c>
      <c r="R1030" t="s">
        <v>420</v>
      </c>
      <c r="S1030" s="1" t="s">
        <v>114</v>
      </c>
      <c r="T1030" t="s">
        <v>152</v>
      </c>
      <c r="U1030" s="1" t="s">
        <v>69</v>
      </c>
      <c r="V1030" s="1">
        <v>44407</v>
      </c>
      <c r="W1030" s="4">
        <f>YEAR(Tableau1[[#This Row],[Competition_date]])</f>
        <v>2021</v>
      </c>
      <c r="X1030" s="4"/>
      <c r="Y1030" s="6"/>
      <c r="Z1030" s="4"/>
      <c r="AA1030" t="s">
        <v>444</v>
      </c>
    </row>
    <row r="1031" spans="1:27" x14ac:dyDescent="0.35">
      <c r="A1031" t="str">
        <f>_xlfn.CONCAT(Tableau1[[#This Row],[Athletes]],"_",Tableau1[[#This Row],[Nationality]],"_",Tableau1[[#This Row],[Competition_year]])</f>
        <v>Jesus Tonatiu LÓPEZ_MEX_2021</v>
      </c>
      <c r="B1031" t="s">
        <v>893</v>
      </c>
      <c r="C1031" t="s">
        <v>14</v>
      </c>
      <c r="D1031" s="18" t="s">
        <v>159</v>
      </c>
      <c r="E1031">
        <v>12.5</v>
      </c>
      <c r="F1031">
        <v>12.3</v>
      </c>
      <c r="G1031">
        <v>14.2</v>
      </c>
      <c r="H1031">
        <v>14.1</v>
      </c>
      <c r="I1031">
        <v>14.1</v>
      </c>
      <c r="J1031">
        <v>13.3</v>
      </c>
      <c r="K1031">
        <v>12.9</v>
      </c>
      <c r="L1031">
        <f>Tableau1[[#This Row],[Final_time]]-SUM(Tableau1[[#This Row],[0_100m]:[600_700m]])</f>
        <v>12.739999999999995</v>
      </c>
      <c r="M1031">
        <v>106.14</v>
      </c>
      <c r="N1031">
        <f>SUM(Tableau1[[#This Row],[0_100m]:[700_800m]])</f>
        <v>106.14</v>
      </c>
      <c r="O1031">
        <f>ABS(Tableau1[[#This Row],[Final_time]]-Tableau1[[#This Row],[Sum_time]])</f>
        <v>0</v>
      </c>
      <c r="P1031" s="8" t="s">
        <v>141</v>
      </c>
      <c r="Q1031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1" t="s">
        <v>420</v>
      </c>
      <c r="S1031" s="1" t="s">
        <v>114</v>
      </c>
      <c r="T1031" t="s">
        <v>152</v>
      </c>
      <c r="U1031" s="1" t="s">
        <v>69</v>
      </c>
      <c r="V1031" s="1">
        <v>44408</v>
      </c>
      <c r="W1031" s="4">
        <f>YEAR(Tableau1[[#This Row],[Competition_date]])</f>
        <v>2021</v>
      </c>
      <c r="X1031" s="4"/>
      <c r="Y1031" s="6"/>
      <c r="Z1031" s="4"/>
      <c r="AA1031" t="s">
        <v>421</v>
      </c>
    </row>
    <row r="1032" spans="1:27" x14ac:dyDescent="0.35">
      <c r="A1032" t="str">
        <f>_xlfn.CONCAT(Tableau1[[#This Row],[Athletes]],"_",Tableau1[[#This Row],[Nationality]],"_",Tableau1[[#This Row],[Competition_year]])</f>
        <v>Eliott CRESTAN_BEL_2021</v>
      </c>
      <c r="B1032" t="s">
        <v>244</v>
      </c>
      <c r="C1032" t="s">
        <v>14</v>
      </c>
      <c r="D1032" s="18" t="s">
        <v>18</v>
      </c>
      <c r="E1032">
        <v>12.7</v>
      </c>
      <c r="F1032">
        <v>11.9</v>
      </c>
      <c r="G1032">
        <v>14.3</v>
      </c>
      <c r="H1032">
        <v>14.3</v>
      </c>
      <c r="I1032">
        <v>14</v>
      </c>
      <c r="J1032">
        <v>13.3</v>
      </c>
      <c r="K1032">
        <v>12.6</v>
      </c>
      <c r="L1032">
        <f>Tableau1[[#This Row],[Final_time]]-SUM(Tableau1[[#This Row],[0_100m]:[600_700m]])</f>
        <v>13.090000000000003</v>
      </c>
      <c r="M1032">
        <v>106.19</v>
      </c>
      <c r="N1032">
        <f>SUM(Tableau1[[#This Row],[0_100m]:[700_800m]])</f>
        <v>106.19</v>
      </c>
      <c r="O1032">
        <f>ABS(Tableau1[[#This Row],[Final_time]]-Tableau1[[#This Row],[Sum_time]])</f>
        <v>0</v>
      </c>
      <c r="P1032" s="8" t="s">
        <v>141</v>
      </c>
      <c r="Q1032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2" t="s">
        <v>420</v>
      </c>
      <c r="S1032" s="1" t="s">
        <v>114</v>
      </c>
      <c r="T1032" t="s">
        <v>152</v>
      </c>
      <c r="U1032" s="1" t="s">
        <v>69</v>
      </c>
      <c r="V1032" s="1">
        <v>44408</v>
      </c>
      <c r="W1032" s="4">
        <f>YEAR(Tableau1[[#This Row],[Competition_date]])</f>
        <v>2021</v>
      </c>
      <c r="X1032" s="4"/>
      <c r="Y1032" s="6"/>
      <c r="Z1032" s="4"/>
      <c r="AA1032" t="s">
        <v>421</v>
      </c>
    </row>
    <row r="1033" spans="1:27" x14ac:dyDescent="0.35">
      <c r="A1033" t="str">
        <f>_xlfn.CONCAT(Tableau1[[#This Row],[Athletes]],"_",Tableau1[[#This Row],[Nationality]],"_",Tableau1[[#This Row],[Competition_year]])</f>
        <v>Patryk DOBEK_POL_2021</v>
      </c>
      <c r="B1033" t="s">
        <v>253</v>
      </c>
      <c r="C1033" t="s">
        <v>14</v>
      </c>
      <c r="D1033" s="18" t="s">
        <v>88</v>
      </c>
      <c r="E1033">
        <v>12.7</v>
      </c>
      <c r="F1033">
        <v>11.7</v>
      </c>
      <c r="G1033">
        <v>14.3</v>
      </c>
      <c r="H1033">
        <v>14.3</v>
      </c>
      <c r="I1033">
        <v>14</v>
      </c>
      <c r="J1033">
        <v>13.6</v>
      </c>
      <c r="K1033">
        <v>13</v>
      </c>
      <c r="L1033">
        <f>Tableau1[[#This Row],[Final_time]]-SUM(Tableau1[[#This Row],[0_100m]:[600_700m]])</f>
        <v>12.990000000000009</v>
      </c>
      <c r="M1033">
        <v>106.59</v>
      </c>
      <c r="N1033">
        <f>SUM(Tableau1[[#This Row],[0_100m]:[700_800m]])</f>
        <v>106.59</v>
      </c>
      <c r="O1033">
        <f>ABS(Tableau1[[#This Row],[Final_time]]-Tableau1[[#This Row],[Sum_time]])</f>
        <v>0</v>
      </c>
      <c r="P1033" s="8" t="s">
        <v>141</v>
      </c>
      <c r="Q1033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3" t="s">
        <v>420</v>
      </c>
      <c r="S1033" s="1" t="s">
        <v>114</v>
      </c>
      <c r="T1033" t="s">
        <v>152</v>
      </c>
      <c r="U1033" s="1" t="s">
        <v>69</v>
      </c>
      <c r="V1033" s="1">
        <v>44408</v>
      </c>
      <c r="W1033" s="4">
        <f>YEAR(Tableau1[[#This Row],[Competition_date]])</f>
        <v>2021</v>
      </c>
      <c r="X1033" s="4"/>
      <c r="Y1033" s="6"/>
      <c r="Z1033" s="4"/>
      <c r="AA1033" t="s">
        <v>421</v>
      </c>
    </row>
    <row r="1034" spans="1:27" x14ac:dyDescent="0.35">
      <c r="A1034" t="str">
        <f>_xlfn.CONCAT(Tableau1[[#This Row],[Athletes]],"_",Tableau1[[#This Row],[Nationality]],"_",Tableau1[[#This Row],[Competition_year]])</f>
        <v>Mark ENGLISH_IRL_2021</v>
      </c>
      <c r="B1034" t="s">
        <v>187</v>
      </c>
      <c r="C1034" t="s">
        <v>14</v>
      </c>
      <c r="D1034" s="18" t="s">
        <v>66</v>
      </c>
      <c r="E1034">
        <v>12.7</v>
      </c>
      <c r="F1034">
        <v>12</v>
      </c>
      <c r="G1034">
        <v>14.4</v>
      </c>
      <c r="H1034">
        <v>14.3</v>
      </c>
      <c r="I1034">
        <v>13.9</v>
      </c>
      <c r="J1034">
        <v>13.5</v>
      </c>
      <c r="K1034">
        <v>13</v>
      </c>
      <c r="L1034">
        <f>Tableau1[[#This Row],[Final_time]]-SUM(Tableau1[[#This Row],[0_100m]:[600_700m]])</f>
        <v>12.949999999999989</v>
      </c>
      <c r="M1034">
        <v>106.75</v>
      </c>
      <c r="N1034">
        <f>SUM(Tableau1[[#This Row],[0_100m]:[700_800m]])</f>
        <v>106.75</v>
      </c>
      <c r="O1034">
        <f>ABS(Tableau1[[#This Row],[Final_time]]-Tableau1[[#This Row],[Sum_time]])</f>
        <v>0</v>
      </c>
      <c r="P1034" s="8"/>
      <c r="Q1034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4" t="s">
        <v>420</v>
      </c>
      <c r="S1034" s="1" t="s">
        <v>114</v>
      </c>
      <c r="T1034" t="s">
        <v>152</v>
      </c>
      <c r="U1034" s="1" t="s">
        <v>69</v>
      </c>
      <c r="V1034" s="1">
        <v>44408</v>
      </c>
      <c r="W1034" s="4">
        <f>YEAR(Tableau1[[#This Row],[Competition_date]])</f>
        <v>2021</v>
      </c>
      <c r="X1034" s="4"/>
      <c r="Y1034" s="6"/>
      <c r="Z1034" s="4"/>
      <c r="AA1034" t="s">
        <v>421</v>
      </c>
    </row>
    <row r="1035" spans="1:27" x14ac:dyDescent="0.35">
      <c r="A1035" t="str">
        <f>_xlfn.CONCAT(Tableau1[[#This Row],[Athletes]],"_",Tableau1[[#This Row],[Nationality]],"_",Tableau1[[#This Row],[Competition_year]])</f>
        <v>Benjamin ROBERT_FRA_2021</v>
      </c>
      <c r="B1035" t="s">
        <v>111</v>
      </c>
      <c r="C1035" t="s">
        <v>14</v>
      </c>
      <c r="D1035" s="18" t="s">
        <v>17</v>
      </c>
      <c r="E1035">
        <v>12.7</v>
      </c>
      <c r="F1035">
        <v>12</v>
      </c>
      <c r="G1035">
        <v>14.4</v>
      </c>
      <c r="H1035">
        <v>14.3</v>
      </c>
      <c r="I1035">
        <v>14</v>
      </c>
      <c r="J1035">
        <v>13.5</v>
      </c>
      <c r="K1035">
        <v>13.1</v>
      </c>
      <c r="L1035">
        <f>Tableau1[[#This Row],[Final_time]]-SUM(Tableau1[[#This Row],[0_100m]:[600_700m]])</f>
        <v>13.120000000000005</v>
      </c>
      <c r="M1035">
        <v>107.12</v>
      </c>
      <c r="N1035">
        <f>SUM(Tableau1[[#This Row],[0_100m]:[700_800m]])</f>
        <v>107.12</v>
      </c>
      <c r="O1035">
        <f>ABS(Tableau1[[#This Row],[Final_time]]-Tableau1[[#This Row],[Sum_time]])</f>
        <v>0</v>
      </c>
      <c r="P1035" s="8"/>
      <c r="Q1035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5" t="s">
        <v>420</v>
      </c>
      <c r="S1035" s="1" t="s">
        <v>114</v>
      </c>
      <c r="T1035" t="s">
        <v>152</v>
      </c>
      <c r="U1035" s="1" t="s">
        <v>69</v>
      </c>
      <c r="V1035" s="1">
        <v>44408</v>
      </c>
      <c r="W1035" s="4">
        <f>YEAR(Tableau1[[#This Row],[Competition_date]])</f>
        <v>2021</v>
      </c>
      <c r="X1035" s="4"/>
      <c r="Y1035" s="6"/>
      <c r="Z1035" s="4"/>
      <c r="AA1035" t="s">
        <v>421</v>
      </c>
    </row>
    <row r="1036" spans="1:27" x14ac:dyDescent="0.35">
      <c r="A1036" t="str">
        <f>_xlfn.CONCAT(Tableau1[[#This Row],[Athletes]],"_",Tableau1[[#This Row],[Nationality]],"_",Tableau1[[#This Row],[Competition_year]])</f>
        <v>Eric NZIKWINKUNDA_BDI_2021</v>
      </c>
      <c r="B1036" t="s">
        <v>434</v>
      </c>
      <c r="C1036" t="s">
        <v>14</v>
      </c>
      <c r="D1036" s="18" t="s">
        <v>432</v>
      </c>
      <c r="E1036">
        <v>12.5</v>
      </c>
      <c r="F1036">
        <v>11.9</v>
      </c>
      <c r="G1036">
        <v>14.4</v>
      </c>
      <c r="H1036">
        <v>14.2</v>
      </c>
      <c r="I1036">
        <v>14.1</v>
      </c>
      <c r="J1036">
        <v>13.5</v>
      </c>
      <c r="K1036">
        <v>13.3</v>
      </c>
      <c r="L1036">
        <f>Tableau1[[#This Row],[Final_time]]-SUM(Tableau1[[#This Row],[0_100m]:[600_700m]])</f>
        <v>14.070000000000007</v>
      </c>
      <c r="M1036">
        <v>107.97</v>
      </c>
      <c r="N1036">
        <f>SUM(Tableau1[[#This Row],[0_100m]:[700_800m]])</f>
        <v>107.97</v>
      </c>
      <c r="O1036">
        <f>ABS(Tableau1[[#This Row],[Final_time]]-Tableau1[[#This Row],[Sum_time]])</f>
        <v>0</v>
      </c>
      <c r="P1036" s="8"/>
      <c r="Q1036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6" t="s">
        <v>420</v>
      </c>
      <c r="S1036" s="1" t="s">
        <v>114</v>
      </c>
      <c r="T1036" t="s">
        <v>152</v>
      </c>
      <c r="U1036" s="1" t="s">
        <v>69</v>
      </c>
      <c r="V1036" s="1">
        <v>44408</v>
      </c>
      <c r="W1036" s="4">
        <f>YEAR(Tableau1[[#This Row],[Competition_date]])</f>
        <v>2021</v>
      </c>
      <c r="X1036" s="4"/>
      <c r="Y1036" s="6"/>
      <c r="Z1036" s="4"/>
      <c r="AA1036" t="s">
        <v>421</v>
      </c>
    </row>
    <row r="1037" spans="1:27" x14ac:dyDescent="0.35">
      <c r="A1037" t="str">
        <f>_xlfn.CONCAT(Tableau1[[#This Row],[Athletes]],"_",Tableau1[[#This Row],[Nationality]],"_",Tableau1[[#This Row],[Competition_year]])</f>
        <v>Andrés ARROYO_PUR_2021</v>
      </c>
      <c r="B1037" t="s">
        <v>435</v>
      </c>
      <c r="C1037" t="s">
        <v>14</v>
      </c>
      <c r="D1037" s="18" t="s">
        <v>119</v>
      </c>
      <c r="E1037">
        <v>12.9</v>
      </c>
      <c r="F1037">
        <v>11.7</v>
      </c>
      <c r="G1037">
        <v>14.4</v>
      </c>
      <c r="H1037">
        <v>14.3</v>
      </c>
      <c r="I1037">
        <v>14</v>
      </c>
      <c r="J1037">
        <v>14.1</v>
      </c>
      <c r="K1037">
        <v>15.2</v>
      </c>
      <c r="L1037">
        <f>Tableau1[[#This Row],[Final_time]]-SUM(Tableau1[[#This Row],[0_100m]:[600_700m]])</f>
        <v>16.490000000000009</v>
      </c>
      <c r="M1037">
        <v>113.09</v>
      </c>
      <c r="N1037">
        <f>SUM(Tableau1[[#This Row],[0_100m]:[700_800m]])</f>
        <v>113.09</v>
      </c>
      <c r="O1037">
        <f>ABS(Tableau1[[#This Row],[Final_time]]-Tableau1[[#This Row],[Sum_time]])</f>
        <v>0</v>
      </c>
      <c r="P1037" s="8"/>
      <c r="Q1037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7" t="s">
        <v>420</v>
      </c>
      <c r="S1037" s="1" t="s">
        <v>114</v>
      </c>
      <c r="T1037" t="s">
        <v>152</v>
      </c>
      <c r="U1037" s="1" t="s">
        <v>69</v>
      </c>
      <c r="V1037" s="1">
        <v>44408</v>
      </c>
      <c r="W1037" s="4">
        <f>YEAR(Tableau1[[#This Row],[Competition_date]])</f>
        <v>2021</v>
      </c>
      <c r="X1037" s="4"/>
      <c r="Y1037" s="6"/>
      <c r="Z1037" s="4"/>
      <c r="AA1037" t="s">
        <v>421</v>
      </c>
    </row>
    <row r="1038" spans="1:27" x14ac:dyDescent="0.35">
      <c r="A1038" t="str">
        <f>_xlfn.CONCAT(Tableau1[[#This Row],[Athletes]],"_",Tableau1[[#This Row],[Nationality]],"_",Tableau1[[#This Row],[Competition_year]])</f>
        <v>Dennick LUKE_DMA_2021</v>
      </c>
      <c r="B1038" t="s">
        <v>436</v>
      </c>
      <c r="C1038" t="s">
        <v>14</v>
      </c>
      <c r="D1038" s="18" t="s">
        <v>433</v>
      </c>
      <c r="E1038">
        <v>12.7</v>
      </c>
      <c r="F1038">
        <v>11.8</v>
      </c>
      <c r="G1038">
        <v>16.399999999999999</v>
      </c>
      <c r="H1038">
        <v>14.3</v>
      </c>
      <c r="I1038">
        <v>14.3</v>
      </c>
      <c r="J1038">
        <v>14.4</v>
      </c>
      <c r="K1038">
        <v>14.8</v>
      </c>
      <c r="L1038">
        <f>Tableau1[[#This Row],[Final_time]]-SUM(Tableau1[[#This Row],[0_100m]:[600_700m]])</f>
        <v>15.599999999999994</v>
      </c>
      <c r="M1038">
        <v>114.3</v>
      </c>
      <c r="N1038">
        <f>SUM(Tableau1[[#This Row],[0_100m]:[700_800m]])</f>
        <v>114.3</v>
      </c>
      <c r="O1038">
        <f>ABS(Tableau1[[#This Row],[Final_time]]-Tableau1[[#This Row],[Sum_time]])</f>
        <v>0</v>
      </c>
      <c r="P1038" s="8"/>
      <c r="Q1038" s="16" t="str">
        <f>_xlfn.CONCAT(Tableau1[[#This Row],[Competition]],"_",Tableau1[[#This Row],[Championship_step]],"_",Tableau1[[#This Row],[Competition_date]],"_",Tableau1[[#This Row],[Gender]])</f>
        <v>Olympic Games Tokyo 2021_Heat 5_44408_Male</v>
      </c>
      <c r="R1038" t="s">
        <v>420</v>
      </c>
      <c r="S1038" s="1" t="s">
        <v>114</v>
      </c>
      <c r="T1038" t="s">
        <v>152</v>
      </c>
      <c r="U1038" s="1" t="s">
        <v>69</v>
      </c>
      <c r="V1038" s="1">
        <v>44408</v>
      </c>
      <c r="W1038" s="4">
        <f>YEAR(Tableau1[[#This Row],[Competition_date]])</f>
        <v>2021</v>
      </c>
      <c r="X1038" s="4"/>
      <c r="Y1038" s="6"/>
      <c r="Z1038" s="4"/>
      <c r="AA1038" t="s">
        <v>421</v>
      </c>
    </row>
    <row r="1039" spans="1:27" x14ac:dyDescent="0.35">
      <c r="A1039" t="str">
        <f>_xlfn.CONCAT(Tableau1[[#This Row],[Athletes]],"_",Tableau1[[#This Row],[Nationality]],"_",Tableau1[[#This Row],[Competition_year]])</f>
        <v>Jemma REEKIE_GBR_2021</v>
      </c>
      <c r="B1039" s="9" t="s">
        <v>220</v>
      </c>
      <c r="C1039" s="9" t="s">
        <v>29</v>
      </c>
      <c r="D1039" s="12" t="s">
        <v>30</v>
      </c>
      <c r="E1039" s="11">
        <v>14.1</v>
      </c>
      <c r="F1039" s="11">
        <v>14</v>
      </c>
      <c r="G1039" s="11">
        <v>15.6</v>
      </c>
      <c r="H1039" s="11">
        <v>16</v>
      </c>
      <c r="I1039" s="11">
        <v>15.9</v>
      </c>
      <c r="J1039" s="11">
        <v>15.5</v>
      </c>
      <c r="K1039" s="11">
        <v>14.6</v>
      </c>
      <c r="L1039">
        <f>Tableau1[[#This Row],[Final_time]]-SUM(Tableau1[[#This Row],[0_100m]:[600_700m]])</f>
        <v>14.269999999999996</v>
      </c>
      <c r="M1039" s="11">
        <v>119.97</v>
      </c>
      <c r="N1039">
        <f>SUM(Tableau1[[#This Row],[0_100m]:[700_800m]])</f>
        <v>119.97</v>
      </c>
      <c r="O1039">
        <f>ABS(Tableau1[[#This Row],[Final_time]]-Tableau1[[#This Row],[Sum_time]])</f>
        <v>0</v>
      </c>
      <c r="P1039" s="8" t="s">
        <v>141</v>
      </c>
      <c r="Q1039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39" t="s">
        <v>420</v>
      </c>
      <c r="S1039" s="1" t="s">
        <v>114</v>
      </c>
      <c r="T1039" t="s">
        <v>154</v>
      </c>
      <c r="U1039" s="1" t="s">
        <v>69</v>
      </c>
      <c r="V1039" s="1">
        <v>44407</v>
      </c>
      <c r="W1039" s="4">
        <f>YEAR(Tableau1[[#This Row],[Competition_date]])</f>
        <v>2021</v>
      </c>
      <c r="X1039" s="4"/>
      <c r="Y1039" s="6"/>
      <c r="Z1039" s="4"/>
      <c r="AA1039" t="s">
        <v>444</v>
      </c>
    </row>
    <row r="1040" spans="1:27" x14ac:dyDescent="0.35">
      <c r="A1040" t="str">
        <f>_xlfn.CONCAT(Tableau1[[#This Row],[Athletes]],"_",Tableau1[[#This Row],[Nationality]],"_",Tableau1[[#This Row],[Competition_year]])</f>
        <v>Ajee' WILSON_USA_2021</v>
      </c>
      <c r="B1040" s="9" t="s">
        <v>549</v>
      </c>
      <c r="C1040" s="9" t="s">
        <v>29</v>
      </c>
      <c r="D1040" s="12" t="s">
        <v>35</v>
      </c>
      <c r="E1040" s="11">
        <v>13.9</v>
      </c>
      <c r="F1040" s="11">
        <v>14</v>
      </c>
      <c r="G1040" s="11">
        <v>15.9</v>
      </c>
      <c r="H1040" s="11">
        <v>16.100000000000001</v>
      </c>
      <c r="I1040" s="11">
        <v>15.9</v>
      </c>
      <c r="J1040" s="11">
        <v>15.6</v>
      </c>
      <c r="K1040" s="11">
        <v>14.9</v>
      </c>
      <c r="L1040">
        <f>Tableau1[[#This Row],[Final_time]]-SUM(Tableau1[[#This Row],[0_100m]:[600_700m]])</f>
        <v>13.719999999999999</v>
      </c>
      <c r="M1040" s="11">
        <v>120.02</v>
      </c>
      <c r="N1040">
        <f>SUM(Tableau1[[#This Row],[0_100m]:[700_800m]])</f>
        <v>120.02</v>
      </c>
      <c r="O1040">
        <f>ABS(Tableau1[[#This Row],[Final_time]]-Tableau1[[#This Row],[Sum_time]])</f>
        <v>0</v>
      </c>
      <c r="P1040" s="8" t="s">
        <v>141</v>
      </c>
      <c r="Q1040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0" t="s">
        <v>420</v>
      </c>
      <c r="S1040" s="1" t="s">
        <v>114</v>
      </c>
      <c r="T1040" t="s">
        <v>154</v>
      </c>
      <c r="U1040" s="1" t="s">
        <v>69</v>
      </c>
      <c r="V1040" s="1">
        <v>44407</v>
      </c>
      <c r="W1040" s="4">
        <f>YEAR(Tableau1[[#This Row],[Competition_date]])</f>
        <v>2021</v>
      </c>
      <c r="X1040" s="4"/>
      <c r="Y1040" s="6"/>
      <c r="Z1040" s="4"/>
      <c r="AA1040" t="s">
        <v>444</v>
      </c>
    </row>
    <row r="1041" spans="1:27" x14ac:dyDescent="0.35">
      <c r="A1041" t="str">
        <f>_xlfn.CONCAT(Tableau1[[#This Row],[Athletes]],"_",Tableau1[[#This Row],[Nationality]],"_",Tableau1[[#This Row],[Competition_year]])</f>
        <v>Chunyu WANG_CHN_2021</v>
      </c>
      <c r="B1041" s="9" t="s">
        <v>457</v>
      </c>
      <c r="C1041" s="9" t="s">
        <v>29</v>
      </c>
      <c r="D1041" s="12" t="s">
        <v>64</v>
      </c>
      <c r="E1041" s="11">
        <v>14.1</v>
      </c>
      <c r="F1041" s="11">
        <v>14.1</v>
      </c>
      <c r="G1041" s="11">
        <v>15.8</v>
      </c>
      <c r="H1041" s="11">
        <v>16.100000000000001</v>
      </c>
      <c r="I1041" s="11">
        <v>15.7</v>
      </c>
      <c r="J1041" s="11">
        <v>15.4</v>
      </c>
      <c r="K1041" s="11">
        <v>14.8</v>
      </c>
      <c r="L1041">
        <f>Tableau1[[#This Row],[Final_time]]-SUM(Tableau1[[#This Row],[0_100m]:[600_700m]])</f>
        <v>14.049999999999997</v>
      </c>
      <c r="M1041" s="11">
        <v>120.05</v>
      </c>
      <c r="N1041">
        <f>SUM(Tableau1[[#This Row],[0_100m]:[700_800m]])</f>
        <v>120.05</v>
      </c>
      <c r="O1041">
        <f>ABS(Tableau1[[#This Row],[Final_time]]-Tableau1[[#This Row],[Sum_time]])</f>
        <v>0</v>
      </c>
      <c r="P1041" s="8" t="s">
        <v>141</v>
      </c>
      <c r="Q1041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1" t="s">
        <v>420</v>
      </c>
      <c r="S1041" s="1" t="s">
        <v>114</v>
      </c>
      <c r="T1041" t="s">
        <v>154</v>
      </c>
      <c r="U1041" s="1" t="s">
        <v>69</v>
      </c>
      <c r="V1041" s="1">
        <v>44407</v>
      </c>
      <c r="W1041" s="4">
        <f>YEAR(Tableau1[[#This Row],[Competition_date]])</f>
        <v>2021</v>
      </c>
      <c r="X1041" s="4"/>
      <c r="Y1041" s="6"/>
      <c r="Z1041" s="4"/>
      <c r="AA1041" t="s">
        <v>444</v>
      </c>
    </row>
    <row r="1042" spans="1:27" x14ac:dyDescent="0.35">
      <c r="A1042" t="str">
        <f>_xlfn.CONCAT(Tableau1[[#This Row],[Athletes]],"_",Tableau1[[#This Row],[Nationality]],"_",Tableau1[[#This Row],[Competition_year]])</f>
        <v>Sara KUIVISTO_FIN_2021</v>
      </c>
      <c r="B1042" s="9" t="s">
        <v>458</v>
      </c>
      <c r="C1042" s="9" t="s">
        <v>29</v>
      </c>
      <c r="D1042" s="12" t="s">
        <v>85</v>
      </c>
      <c r="E1042" s="11">
        <v>14.4</v>
      </c>
      <c r="F1042" s="11">
        <v>13.8</v>
      </c>
      <c r="G1042" s="11">
        <v>15.8</v>
      </c>
      <c r="H1042" s="11">
        <v>16.100000000000001</v>
      </c>
      <c r="I1042" s="11">
        <v>16</v>
      </c>
      <c r="J1042" s="11">
        <v>15.2</v>
      </c>
      <c r="K1042" s="11">
        <v>14.5</v>
      </c>
      <c r="L1042">
        <f>Tableau1[[#This Row],[Final_time]]-SUM(Tableau1[[#This Row],[0_100m]:[600_700m]])</f>
        <v>14.350000000000009</v>
      </c>
      <c r="M1042" s="11">
        <v>120.15</v>
      </c>
      <c r="N1042">
        <f>SUM(Tableau1[[#This Row],[0_100m]:[700_800m]])</f>
        <v>120.15</v>
      </c>
      <c r="O1042">
        <f>ABS(Tableau1[[#This Row],[Final_time]]-Tableau1[[#This Row],[Sum_time]])</f>
        <v>0</v>
      </c>
      <c r="P1042" s="8" t="s">
        <v>142</v>
      </c>
      <c r="Q1042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2" t="s">
        <v>420</v>
      </c>
      <c r="S1042" s="1" t="s">
        <v>114</v>
      </c>
      <c r="T1042" t="s">
        <v>154</v>
      </c>
      <c r="U1042" s="1" t="s">
        <v>69</v>
      </c>
      <c r="V1042" s="1">
        <v>44407</v>
      </c>
      <c r="W1042" s="4">
        <f>YEAR(Tableau1[[#This Row],[Competition_date]])</f>
        <v>2021</v>
      </c>
      <c r="X1042" s="4"/>
      <c r="Y1042" s="6"/>
      <c r="Z1042" s="4"/>
      <c r="AA1042" t="s">
        <v>444</v>
      </c>
    </row>
    <row r="1043" spans="1:27" x14ac:dyDescent="0.35">
      <c r="A1043" t="str">
        <f>_xlfn.CONCAT(Tableau1[[#This Row],[Athletes]],"_",Tableau1[[#This Row],[Nationality]],"_",Tableau1[[#This Row],[Competition_year]])</f>
        <v>Elena BELLÒ_ITA_2021</v>
      </c>
      <c r="B1043" s="9" t="s">
        <v>261</v>
      </c>
      <c r="C1043" s="9" t="s">
        <v>29</v>
      </c>
      <c r="D1043" s="12" t="s">
        <v>20</v>
      </c>
      <c r="E1043" s="11">
        <v>14.2</v>
      </c>
      <c r="F1043" s="11">
        <v>13.7</v>
      </c>
      <c r="G1043" s="11">
        <v>15.5</v>
      </c>
      <c r="H1043" s="11">
        <v>16.2</v>
      </c>
      <c r="I1043" s="11">
        <v>16</v>
      </c>
      <c r="J1043" s="11">
        <v>15.6</v>
      </c>
      <c r="K1043" s="11">
        <v>14.9</v>
      </c>
      <c r="L1043">
        <f>Tableau1[[#This Row],[Final_time]]-SUM(Tableau1[[#This Row],[0_100m]:[600_700m]])</f>
        <v>14.969999999999999</v>
      </c>
      <c r="M1043" s="11">
        <v>121.07</v>
      </c>
      <c r="N1043">
        <f>SUM(Tableau1[[#This Row],[0_100m]:[700_800m]])</f>
        <v>121.07</v>
      </c>
      <c r="O1043">
        <f>ABS(Tableau1[[#This Row],[Final_time]]-Tableau1[[#This Row],[Sum_time]])</f>
        <v>0</v>
      </c>
      <c r="P1043" s="8" t="s">
        <v>142</v>
      </c>
      <c r="Q1043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3" t="s">
        <v>420</v>
      </c>
      <c r="S1043" s="1" t="s">
        <v>114</v>
      </c>
      <c r="T1043" t="s">
        <v>154</v>
      </c>
      <c r="U1043" s="1" t="s">
        <v>69</v>
      </c>
      <c r="V1043" s="1">
        <v>44407</v>
      </c>
      <c r="W1043" s="4">
        <f>YEAR(Tableau1[[#This Row],[Competition_date]])</f>
        <v>2021</v>
      </c>
      <c r="X1043" s="4"/>
      <c r="Y1043" s="6"/>
      <c r="Z1043" s="4"/>
      <c r="AA1043" t="s">
        <v>444</v>
      </c>
    </row>
    <row r="1044" spans="1:27" x14ac:dyDescent="0.35">
      <c r="A1044" t="str">
        <f>_xlfn.CONCAT(Tableau1[[#This Row],[Athletes]],"_",Tableau1[[#This Row],[Nationality]],"_",Tableau1[[#This Row],[Competition_year]])</f>
        <v>Natalia ROMERO_ESP_2021</v>
      </c>
      <c r="B1044" s="9" t="s">
        <v>459</v>
      </c>
      <c r="C1044" s="9" t="s">
        <v>29</v>
      </c>
      <c r="D1044" s="12" t="s">
        <v>37</v>
      </c>
      <c r="E1044" s="11">
        <v>14.1</v>
      </c>
      <c r="F1044" s="11">
        <v>13.8</v>
      </c>
      <c r="G1044" s="11">
        <v>15.9</v>
      </c>
      <c r="H1044" s="11">
        <v>16.100000000000001</v>
      </c>
      <c r="I1044" s="11">
        <v>16</v>
      </c>
      <c r="J1044" s="11">
        <v>15.8</v>
      </c>
      <c r="K1044" s="11">
        <v>14.9</v>
      </c>
      <c r="L1044">
        <f>Tableau1[[#This Row],[Final_time]]-SUM(Tableau1[[#This Row],[0_100m]:[600_700m]])</f>
        <v>14.559999999999988</v>
      </c>
      <c r="M1044" s="11">
        <v>121.16</v>
      </c>
      <c r="N1044">
        <f>SUM(Tableau1[[#This Row],[0_100m]:[700_800m]])</f>
        <v>121.16</v>
      </c>
      <c r="O1044">
        <f>ABS(Tableau1[[#This Row],[Final_time]]-Tableau1[[#This Row],[Sum_time]])</f>
        <v>0</v>
      </c>
      <c r="P1044" s="8" t="s">
        <v>142</v>
      </c>
      <c r="Q1044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4" t="s">
        <v>420</v>
      </c>
      <c r="S1044" s="1" t="s">
        <v>114</v>
      </c>
      <c r="T1044" t="s">
        <v>154</v>
      </c>
      <c r="U1044" s="1" t="s">
        <v>69</v>
      </c>
      <c r="V1044" s="1">
        <v>44407</v>
      </c>
      <c r="W1044" s="4">
        <f>YEAR(Tableau1[[#This Row],[Competition_date]])</f>
        <v>2021</v>
      </c>
      <c r="X1044" s="4"/>
      <c r="Y1044" s="6"/>
      <c r="Z1044" s="4"/>
      <c r="AA1044" t="s">
        <v>444</v>
      </c>
    </row>
    <row r="1045" spans="1:27" x14ac:dyDescent="0.35">
      <c r="A1045" t="str">
        <f>_xlfn.CONCAT(Tableau1[[#This Row],[Athletes]],"_",Tableau1[[#This Row],[Nationality]],"_",Tableau1[[#This Row],[Competition_year]])</f>
        <v>Gabriela GAJANOVÁ_SVK_2021</v>
      </c>
      <c r="B1045" s="9" t="s">
        <v>349</v>
      </c>
      <c r="C1045" s="9" t="s">
        <v>29</v>
      </c>
      <c r="D1045" s="12" t="s">
        <v>100</v>
      </c>
      <c r="E1045" s="11">
        <v>14.2</v>
      </c>
      <c r="F1045" s="11">
        <v>14.2</v>
      </c>
      <c r="G1045" s="11">
        <v>15.8</v>
      </c>
      <c r="H1045" s="11">
        <v>15.9</v>
      </c>
      <c r="I1045" s="11">
        <v>16.100000000000001</v>
      </c>
      <c r="J1045" s="11">
        <v>15.4</v>
      </c>
      <c r="K1045" s="11">
        <v>14.9</v>
      </c>
      <c r="L1045">
        <f>Tableau1[[#This Row],[Final_time]]-SUM(Tableau1[[#This Row],[0_100m]:[600_700m]])</f>
        <v>14.909999999999982</v>
      </c>
      <c r="M1045" s="11">
        <v>121.41</v>
      </c>
      <c r="N1045">
        <f>SUM(Tableau1[[#This Row],[0_100m]:[700_800m]])</f>
        <v>121.41</v>
      </c>
      <c r="O1045">
        <f>ABS(Tableau1[[#This Row],[Final_time]]-Tableau1[[#This Row],[Sum_time]])</f>
        <v>0</v>
      </c>
      <c r="P1045" s="8"/>
      <c r="Q1045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5" t="s">
        <v>420</v>
      </c>
      <c r="S1045" s="1" t="s">
        <v>114</v>
      </c>
      <c r="T1045" t="s">
        <v>154</v>
      </c>
      <c r="U1045" s="1" t="s">
        <v>69</v>
      </c>
      <c r="V1045" s="1">
        <v>44407</v>
      </c>
      <c r="W1045" s="4">
        <f>YEAR(Tableau1[[#This Row],[Competition_date]])</f>
        <v>2021</v>
      </c>
      <c r="X1045" s="4"/>
      <c r="Y1045" s="6"/>
      <c r="Z1045" s="4"/>
      <c r="AA1045" t="s">
        <v>444</v>
      </c>
    </row>
    <row r="1046" spans="1:27" x14ac:dyDescent="0.35">
      <c r="A1046" t="str">
        <f>_xlfn.CONCAT(Tableau1[[#This Row],[Athletes]],"_",Tableau1[[#This Row],[Nationality]],"_",Tableau1[[#This Row],[Competition_year]])</f>
        <v>Emily Cherotich TUEI_KEN_2021</v>
      </c>
      <c r="B1046" s="9" t="s">
        <v>460</v>
      </c>
      <c r="C1046" s="9" t="s">
        <v>29</v>
      </c>
      <c r="D1046" s="12" t="s">
        <v>15</v>
      </c>
      <c r="E1046" s="11">
        <v>14.9</v>
      </c>
      <c r="F1046" s="11">
        <v>14.1</v>
      </c>
      <c r="G1046" s="11">
        <v>15.4</v>
      </c>
      <c r="H1046" s="11">
        <v>16.3</v>
      </c>
      <c r="I1046" s="11">
        <v>16.3</v>
      </c>
      <c r="J1046" s="11">
        <v>16.7</v>
      </c>
      <c r="K1046" s="11">
        <v>17.3</v>
      </c>
      <c r="L1046">
        <f>Tableau1[[#This Row],[Final_time]]-SUM(Tableau1[[#This Row],[0_100m]:[600_700m]])</f>
        <v>17.080000000000013</v>
      </c>
      <c r="M1046" s="11">
        <v>128.08000000000001</v>
      </c>
      <c r="N1046">
        <f>SUM(Tableau1[[#This Row],[0_100m]:[700_800m]])</f>
        <v>128.08000000000001</v>
      </c>
      <c r="O1046">
        <f>ABS(Tableau1[[#This Row],[Final_time]]-Tableau1[[#This Row],[Sum_time]])</f>
        <v>0</v>
      </c>
      <c r="P1046" s="8"/>
      <c r="Q1046" s="16" t="str">
        <f>_xlfn.CONCAT(Tableau1[[#This Row],[Competition]],"_",Tableau1[[#This Row],[Championship_step]],"_",Tableau1[[#This Row],[Competition_date]],"_",Tableau1[[#This Row],[Gender]])</f>
        <v>Olympic Games Tokyo 2021_Heat 6_44407_Female</v>
      </c>
      <c r="R1046" t="s">
        <v>420</v>
      </c>
      <c r="S1046" s="1" t="s">
        <v>114</v>
      </c>
      <c r="T1046" t="s">
        <v>154</v>
      </c>
      <c r="U1046" s="1" t="s">
        <v>69</v>
      </c>
      <c r="V1046" s="1">
        <v>44407</v>
      </c>
      <c r="W1046" s="4">
        <f>YEAR(Tableau1[[#This Row],[Competition_date]])</f>
        <v>2021</v>
      </c>
      <c r="X1046" s="4"/>
      <c r="Y1046" s="6"/>
      <c r="Z1046" s="4"/>
      <c r="AA1046" t="s">
        <v>444</v>
      </c>
    </row>
    <row r="1047" spans="1:27" x14ac:dyDescent="0.35">
      <c r="A1047" t="str">
        <f>_xlfn.CONCAT(Tableau1[[#This Row],[Athletes]],"_",Tableau1[[#This Row],[Nationality]],"_",Tableau1[[#This Row],[Competition_year]])</f>
        <v>Emmanuel Kipkurui KORIR_KEN_2021</v>
      </c>
      <c r="B1047" s="9" t="s">
        <v>201</v>
      </c>
      <c r="C1047" t="s">
        <v>14</v>
      </c>
      <c r="D1047" s="18" t="s">
        <v>15</v>
      </c>
      <c r="E1047">
        <v>13</v>
      </c>
      <c r="F1047">
        <v>12</v>
      </c>
      <c r="G1047">
        <v>13.6</v>
      </c>
      <c r="H1047">
        <v>14</v>
      </c>
      <c r="I1047">
        <v>13.8</v>
      </c>
      <c r="J1047">
        <v>13.2</v>
      </c>
      <c r="K1047">
        <v>13.2</v>
      </c>
      <c r="L1047">
        <f>Tableau1[[#This Row],[Final_time]]-SUM(Tableau1[[#This Row],[0_100m]:[600_700m]])</f>
        <v>12.529999999999987</v>
      </c>
      <c r="M1047">
        <v>105.33</v>
      </c>
      <c r="N1047">
        <f>SUM(Tableau1[[#This Row],[0_100m]:[700_800m]])</f>
        <v>105.33</v>
      </c>
      <c r="O1047">
        <f>ABS(Tableau1[[#This Row],[Final_time]]-Tableau1[[#This Row],[Sum_time]])</f>
        <v>0</v>
      </c>
      <c r="P1047" s="8" t="s">
        <v>141</v>
      </c>
      <c r="Q1047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47" t="s">
        <v>420</v>
      </c>
      <c r="S1047" s="1" t="s">
        <v>114</v>
      </c>
      <c r="T1047" t="s">
        <v>154</v>
      </c>
      <c r="U1047" s="1" t="s">
        <v>69</v>
      </c>
      <c r="V1047" s="1">
        <v>44408</v>
      </c>
      <c r="W1047" s="4">
        <f>YEAR(Tableau1[[#This Row],[Competition_date]])</f>
        <v>2021</v>
      </c>
      <c r="X1047" s="4"/>
      <c r="Y1047" s="6"/>
      <c r="Z1047" s="4"/>
      <c r="AA1047" t="s">
        <v>421</v>
      </c>
    </row>
    <row r="1048" spans="1:27" x14ac:dyDescent="0.35">
      <c r="A1048" t="str">
        <f>_xlfn.CONCAT(Tableau1[[#This Row],[Athletes]],"_",Tableau1[[#This Row],[Nationality]],"_",Tableau1[[#This Row],[Competition_year]])</f>
        <v>Mateusz BORKOWSKI_POL_2021</v>
      </c>
      <c r="B1048" t="s">
        <v>109</v>
      </c>
      <c r="C1048" t="s">
        <v>14</v>
      </c>
      <c r="D1048" s="18" t="s">
        <v>88</v>
      </c>
      <c r="E1048">
        <v>13.1</v>
      </c>
      <c r="F1048">
        <v>12</v>
      </c>
      <c r="G1048">
        <v>13.6</v>
      </c>
      <c r="H1048">
        <v>13.9</v>
      </c>
      <c r="I1048">
        <v>13.8</v>
      </c>
      <c r="J1048">
        <v>13</v>
      </c>
      <c r="K1048">
        <v>13.1</v>
      </c>
      <c r="L1048">
        <f>Tableau1[[#This Row],[Final_time]]-SUM(Tableau1[[#This Row],[0_100m]:[600_700m]])</f>
        <v>12.840000000000003</v>
      </c>
      <c r="M1048">
        <v>105.34</v>
      </c>
      <c r="N1048">
        <f>SUM(Tableau1[[#This Row],[0_100m]:[700_800m]])</f>
        <v>105.34</v>
      </c>
      <c r="O1048">
        <f>ABS(Tableau1[[#This Row],[Final_time]]-Tableau1[[#This Row],[Sum_time]])</f>
        <v>0</v>
      </c>
      <c r="P1048" s="8" t="s">
        <v>141</v>
      </c>
      <c r="Q1048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48" t="s">
        <v>420</v>
      </c>
      <c r="S1048" s="1" t="s">
        <v>114</v>
      </c>
      <c r="T1048" t="s">
        <v>154</v>
      </c>
      <c r="U1048" s="1" t="s">
        <v>69</v>
      </c>
      <c r="V1048" s="1">
        <v>44408</v>
      </c>
      <c r="W1048" s="4">
        <f>YEAR(Tableau1[[#This Row],[Competition_date]])</f>
        <v>2021</v>
      </c>
      <c r="X1048" s="4"/>
      <c r="Y1048" s="6"/>
      <c r="Z1048" s="4"/>
      <c r="AA1048" t="s">
        <v>421</v>
      </c>
    </row>
    <row r="1049" spans="1:27" x14ac:dyDescent="0.35">
      <c r="A1049" t="str">
        <f>_xlfn.CONCAT(Tableau1[[#This Row],[Athletes]],"_",Tableau1[[#This Row],[Nationality]],"_",Tableau1[[#This Row],[Competition_year]])</f>
        <v>Bryce HOPPEL_USA_2021</v>
      </c>
      <c r="B1049" t="s">
        <v>173</v>
      </c>
      <c r="C1049" t="s">
        <v>14</v>
      </c>
      <c r="D1049" s="18" t="s">
        <v>35</v>
      </c>
      <c r="E1049">
        <v>13</v>
      </c>
      <c r="F1049">
        <v>12</v>
      </c>
      <c r="G1049">
        <v>13.5</v>
      </c>
      <c r="H1049">
        <v>13.9</v>
      </c>
      <c r="I1049">
        <v>13.8</v>
      </c>
      <c r="J1049">
        <v>13.3</v>
      </c>
      <c r="K1049">
        <v>13.2</v>
      </c>
      <c r="L1049">
        <f>Tableau1[[#This Row],[Final_time]]-SUM(Tableau1[[#This Row],[0_100m]:[600_700m]])</f>
        <v>12.939999999999998</v>
      </c>
      <c r="M1049">
        <v>105.64</v>
      </c>
      <c r="N1049">
        <f>SUM(Tableau1[[#This Row],[0_100m]:[700_800m]])</f>
        <v>105.64</v>
      </c>
      <c r="O1049">
        <f>ABS(Tableau1[[#This Row],[Final_time]]-Tableau1[[#This Row],[Sum_time]])</f>
        <v>0</v>
      </c>
      <c r="P1049" s="8" t="s">
        <v>141</v>
      </c>
      <c r="Q1049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49" t="s">
        <v>420</v>
      </c>
      <c r="S1049" s="1" t="s">
        <v>114</v>
      </c>
      <c r="T1049" t="s">
        <v>154</v>
      </c>
      <c r="U1049" s="1" t="s">
        <v>69</v>
      </c>
      <c r="V1049" s="1">
        <v>44408</v>
      </c>
      <c r="W1049" s="4">
        <f>YEAR(Tableau1[[#This Row],[Competition_date]])</f>
        <v>2021</v>
      </c>
      <c r="X1049" s="4"/>
      <c r="Y1049" s="6"/>
      <c r="Z1049" s="4"/>
      <c r="AA1049" t="s">
        <v>421</v>
      </c>
    </row>
    <row r="1050" spans="1:27" x14ac:dyDescent="0.35">
      <c r="A1050" t="str">
        <f>_xlfn.CONCAT(Tableau1[[#This Row],[Athletes]],"_",Tableau1[[#This Row],[Nationality]],"_",Tableau1[[#This Row],[Competition_year]])</f>
        <v>Mostafa SMAILI_MAR_2021</v>
      </c>
      <c r="B1050" t="s">
        <v>396</v>
      </c>
      <c r="C1050" t="s">
        <v>14</v>
      </c>
      <c r="D1050" s="18" t="s">
        <v>21</v>
      </c>
      <c r="E1050">
        <v>13.2</v>
      </c>
      <c r="F1050">
        <v>12.2</v>
      </c>
      <c r="G1050">
        <v>13.6</v>
      </c>
      <c r="H1050">
        <v>14.1</v>
      </c>
      <c r="I1050">
        <v>13.8</v>
      </c>
      <c r="J1050">
        <v>13.4</v>
      </c>
      <c r="K1050">
        <v>13</v>
      </c>
      <c r="L1050">
        <f>Tableau1[[#This Row],[Final_time]]-SUM(Tableau1[[#This Row],[0_100m]:[600_700m]])</f>
        <v>12.749999999999986</v>
      </c>
      <c r="M1050">
        <v>106.05</v>
      </c>
      <c r="N1050">
        <f>SUM(Tableau1[[#This Row],[0_100m]:[700_800m]])</f>
        <v>106.05</v>
      </c>
      <c r="O1050">
        <f>ABS(Tableau1[[#This Row],[Final_time]]-Tableau1[[#This Row],[Sum_time]])</f>
        <v>0</v>
      </c>
      <c r="P1050" s="8"/>
      <c r="Q1050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50" t="s">
        <v>420</v>
      </c>
      <c r="S1050" s="1" t="s">
        <v>114</v>
      </c>
      <c r="T1050" t="s">
        <v>154</v>
      </c>
      <c r="U1050" s="1" t="s">
        <v>69</v>
      </c>
      <c r="V1050" s="1">
        <v>44408</v>
      </c>
      <c r="W1050" s="4">
        <f>YEAR(Tableau1[[#This Row],[Competition_date]])</f>
        <v>2021</v>
      </c>
      <c r="X1050" s="4"/>
      <c r="Y1050" s="6"/>
      <c r="Z1050" s="4"/>
      <c r="AA1050" t="s">
        <v>421</v>
      </c>
    </row>
    <row r="1051" spans="1:27" x14ac:dyDescent="0.35">
      <c r="A1051" t="str">
        <f>_xlfn.CONCAT(Tableau1[[#This Row],[Athletes]],"_",Tableau1[[#This Row],[Nationality]],"_",Tableau1[[#This Row],[Competition_year]])</f>
        <v>Yassine HETHAT_ALG_2021</v>
      </c>
      <c r="B1051" t="s">
        <v>251</v>
      </c>
      <c r="C1051" t="s">
        <v>14</v>
      </c>
      <c r="D1051" s="18" t="s">
        <v>24</v>
      </c>
      <c r="E1051">
        <v>13</v>
      </c>
      <c r="F1051">
        <v>12.1</v>
      </c>
      <c r="G1051">
        <v>13.7</v>
      </c>
      <c r="H1051">
        <v>13.9</v>
      </c>
      <c r="I1051">
        <v>13.8</v>
      </c>
      <c r="J1051">
        <v>13.3</v>
      </c>
      <c r="K1051">
        <v>13.2</v>
      </c>
      <c r="L1051">
        <f>Tableau1[[#This Row],[Final_time]]-SUM(Tableau1[[#This Row],[0_100m]:[600_700m]])</f>
        <v>13.200000000000003</v>
      </c>
      <c r="M1051">
        <v>106.2</v>
      </c>
      <c r="N1051">
        <f>SUM(Tableau1[[#This Row],[0_100m]:[700_800m]])</f>
        <v>106.2</v>
      </c>
      <c r="O1051">
        <f>ABS(Tableau1[[#This Row],[Final_time]]-Tableau1[[#This Row],[Sum_time]])</f>
        <v>0</v>
      </c>
      <c r="P1051" s="8"/>
      <c r="Q1051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51" t="s">
        <v>420</v>
      </c>
      <c r="S1051" s="1" t="s">
        <v>114</v>
      </c>
      <c r="T1051" t="s">
        <v>154</v>
      </c>
      <c r="U1051" s="1" t="s">
        <v>69</v>
      </c>
      <c r="V1051" s="1">
        <v>44408</v>
      </c>
      <c r="W1051" s="4">
        <f>YEAR(Tableau1[[#This Row],[Competition_date]])</f>
        <v>2021</v>
      </c>
      <c r="X1051" s="4"/>
      <c r="Y1051" s="6"/>
      <c r="Z1051" s="4"/>
      <c r="AA1051" t="s">
        <v>421</v>
      </c>
    </row>
    <row r="1052" spans="1:27" x14ac:dyDescent="0.35">
      <c r="A1052" t="str">
        <f>_xlfn.CONCAT(Tableau1[[#This Row],[Athletes]],"_",Tableau1[[#This Row],[Nationality]],"_",Tableau1[[#This Row],[Competition_year]])</f>
        <v>Abubaker Haydar ABDALLA_QAT_2021</v>
      </c>
      <c r="B1052" t="s">
        <v>437</v>
      </c>
      <c r="C1052" t="s">
        <v>14</v>
      </c>
      <c r="D1052" s="18" t="s">
        <v>57</v>
      </c>
      <c r="E1052">
        <v>13.1</v>
      </c>
      <c r="F1052">
        <v>12.1</v>
      </c>
      <c r="G1052">
        <v>13.6</v>
      </c>
      <c r="H1052">
        <v>14.1</v>
      </c>
      <c r="I1052">
        <v>13.8</v>
      </c>
      <c r="J1052">
        <v>13.4</v>
      </c>
      <c r="K1052">
        <v>13.6</v>
      </c>
      <c r="L1052">
        <f>Tableau1[[#This Row],[Final_time]]-SUM(Tableau1[[#This Row],[0_100m]:[600_700m]])</f>
        <v>13.75</v>
      </c>
      <c r="M1052">
        <v>107.45</v>
      </c>
      <c r="N1052">
        <f>SUM(Tableau1[[#This Row],[0_100m]:[700_800m]])</f>
        <v>107.45</v>
      </c>
      <c r="O1052">
        <f>ABS(Tableau1[[#This Row],[Final_time]]-Tableau1[[#This Row],[Sum_time]])</f>
        <v>0</v>
      </c>
      <c r="P1052" s="8"/>
      <c r="Q1052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52" t="s">
        <v>420</v>
      </c>
      <c r="S1052" s="1" t="s">
        <v>114</v>
      </c>
      <c r="T1052" t="s">
        <v>154</v>
      </c>
      <c r="U1052" s="1" t="s">
        <v>69</v>
      </c>
      <c r="V1052" s="1">
        <v>44408</v>
      </c>
      <c r="W1052" s="4">
        <f>YEAR(Tableau1[[#This Row],[Competition_date]])</f>
        <v>2021</v>
      </c>
      <c r="X1052" s="4"/>
      <c r="Y1052" s="6"/>
      <c r="Z1052" s="4"/>
      <c r="AA1052" t="s">
        <v>421</v>
      </c>
    </row>
    <row r="1053" spans="1:27" x14ac:dyDescent="0.35">
      <c r="A1053" t="str">
        <f>_xlfn.CONCAT(Tableau1[[#This Row],[Athletes]],"_",Tableau1[[#This Row],[Nationality]],"_",Tableau1[[#This Row],[Competition_year]])</f>
        <v>Wesley VÁZQUEZ_PUR_2021</v>
      </c>
      <c r="B1053" t="s">
        <v>438</v>
      </c>
      <c r="C1053" t="s">
        <v>14</v>
      </c>
      <c r="D1053" s="18" t="s">
        <v>119</v>
      </c>
      <c r="E1053">
        <v>12.9</v>
      </c>
      <c r="F1053">
        <v>11.9</v>
      </c>
      <c r="G1053">
        <v>13.5</v>
      </c>
      <c r="H1053">
        <v>13.9</v>
      </c>
      <c r="I1053">
        <v>13.8</v>
      </c>
      <c r="J1053">
        <v>13.6</v>
      </c>
      <c r="K1053">
        <v>14.1</v>
      </c>
      <c r="L1053">
        <f>Tableau1[[#This Row],[Final_time]]-SUM(Tableau1[[#This Row],[0_100m]:[600_700m]])</f>
        <v>15.360000000000014</v>
      </c>
      <c r="M1053">
        <v>109.06</v>
      </c>
      <c r="N1053">
        <f>SUM(Tableau1[[#This Row],[0_100m]:[700_800m]])</f>
        <v>109.06</v>
      </c>
      <c r="O1053">
        <f>ABS(Tableau1[[#This Row],[Final_time]]-Tableau1[[#This Row],[Sum_time]])</f>
        <v>0</v>
      </c>
      <c r="P1053" s="8"/>
      <c r="Q1053" s="16" t="str">
        <f>_xlfn.CONCAT(Tableau1[[#This Row],[Competition]],"_",Tableau1[[#This Row],[Championship_step]],"_",Tableau1[[#This Row],[Competition_date]],"_",Tableau1[[#This Row],[Gender]])</f>
        <v>Olympic Games Tokyo 2021_Heat 6_44408_Male</v>
      </c>
      <c r="R1053" t="s">
        <v>420</v>
      </c>
      <c r="S1053" s="1" t="s">
        <v>114</v>
      </c>
      <c r="T1053" t="s">
        <v>154</v>
      </c>
      <c r="U1053" s="1" t="s">
        <v>69</v>
      </c>
      <c r="V1053" s="1">
        <v>44408</v>
      </c>
      <c r="W1053" s="4">
        <f>YEAR(Tableau1[[#This Row],[Competition_date]])</f>
        <v>2021</v>
      </c>
      <c r="X1053" s="4"/>
      <c r="Y1053" s="6"/>
      <c r="Z1053" s="4"/>
      <c r="AA1053" t="s">
        <v>421</v>
      </c>
    </row>
    <row r="1054" spans="1:27" x14ac:dyDescent="0.35">
      <c r="A1054" t="str">
        <f>_xlfn.CONCAT(Tableau1[[#This Row],[Athletes]],"_",Tableau1[[#This Row],[Nationality]],"_",Tableau1[[#This Row],[Competition_year]])</f>
        <v>Natoya GOULE-TOPPIN_JAM_2021</v>
      </c>
      <c r="B1054" s="9" t="s">
        <v>222</v>
      </c>
      <c r="C1054" s="9" t="s">
        <v>29</v>
      </c>
      <c r="D1054" s="12" t="s">
        <v>33</v>
      </c>
      <c r="E1054" s="11">
        <v>14</v>
      </c>
      <c r="F1054" s="11">
        <v>14.5</v>
      </c>
      <c r="G1054" s="11">
        <v>17.2</v>
      </c>
      <c r="H1054" s="11">
        <v>15.9</v>
      </c>
      <c r="I1054" s="11">
        <v>15.3</v>
      </c>
      <c r="J1054" s="11">
        <v>14.4</v>
      </c>
      <c r="K1054" s="11">
        <v>14</v>
      </c>
      <c r="L1054">
        <f>Tableau1[[#This Row],[Final_time]]-SUM(Tableau1[[#This Row],[0_100m]:[600_700m]])</f>
        <v>14.269999999999982</v>
      </c>
      <c r="M1054" s="11">
        <v>119.57</v>
      </c>
      <c r="N1054">
        <f>SUM(Tableau1[[#This Row],[0_100m]:[700_800m]])</f>
        <v>119.57</v>
      </c>
      <c r="O1054">
        <f>ABS(Tableau1[[#This Row],[Final_time]]-Tableau1[[#This Row],[Sum_time]])</f>
        <v>0</v>
      </c>
      <c r="P1054" s="8" t="s">
        <v>141</v>
      </c>
      <c r="Q1054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54" t="s">
        <v>420</v>
      </c>
      <c r="S1054" s="1" t="s">
        <v>105</v>
      </c>
      <c r="T1054" t="s">
        <v>155</v>
      </c>
      <c r="U1054" s="1" t="s">
        <v>69</v>
      </c>
      <c r="V1054" s="1">
        <v>44408</v>
      </c>
      <c r="W1054" s="4">
        <f>YEAR(Tableau1[[#This Row],[Competition_date]])</f>
        <v>2021</v>
      </c>
      <c r="X1054" s="4"/>
      <c r="Y1054" s="6"/>
      <c r="Z1054" s="4"/>
      <c r="AA1054" t="s">
        <v>461</v>
      </c>
    </row>
    <row r="1055" spans="1:27" x14ac:dyDescent="0.35">
      <c r="A1055" t="str">
        <f>_xlfn.CONCAT(Tableau1[[#This Row],[Athletes]],"_",Tableau1[[#This Row],[Nationality]],"_",Tableau1[[#This Row],[Competition_year]])</f>
        <v>Jemma REEKIE_GBR_2021</v>
      </c>
      <c r="B1055" s="9" t="s">
        <v>220</v>
      </c>
      <c r="C1055" s="9" t="s">
        <v>29</v>
      </c>
      <c r="D1055" s="12" t="s">
        <v>30</v>
      </c>
      <c r="E1055" s="11">
        <v>13.9</v>
      </c>
      <c r="F1055" s="11">
        <v>14.6</v>
      </c>
      <c r="G1055" s="11">
        <v>17.3</v>
      </c>
      <c r="H1055" s="11">
        <v>16</v>
      </c>
      <c r="I1055" s="11">
        <v>15.2</v>
      </c>
      <c r="J1055" s="11">
        <v>14.4</v>
      </c>
      <c r="K1055" s="11">
        <v>14.1</v>
      </c>
      <c r="L1055">
        <f>Tableau1[[#This Row],[Final_time]]-SUM(Tableau1[[#This Row],[0_100m]:[600_700m]])</f>
        <v>14.269999999999996</v>
      </c>
      <c r="M1055" s="11">
        <v>119.77</v>
      </c>
      <c r="N1055">
        <f>SUM(Tableau1[[#This Row],[0_100m]:[700_800m]])</f>
        <v>119.77</v>
      </c>
      <c r="O1055">
        <f>ABS(Tableau1[[#This Row],[Final_time]]-Tableau1[[#This Row],[Sum_time]])</f>
        <v>0</v>
      </c>
      <c r="P1055" s="8" t="s">
        <v>141</v>
      </c>
      <c r="Q1055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55" t="s">
        <v>420</v>
      </c>
      <c r="S1055" s="1" t="s">
        <v>105</v>
      </c>
      <c r="T1055" t="s">
        <v>155</v>
      </c>
      <c r="U1055" s="1" t="s">
        <v>69</v>
      </c>
      <c r="V1055" s="1">
        <v>44408</v>
      </c>
      <c r="W1055" s="4">
        <f>YEAR(Tableau1[[#This Row],[Competition_date]])</f>
        <v>2021</v>
      </c>
      <c r="X1055" s="4"/>
      <c r="Y1055" s="6"/>
      <c r="Z1055" s="4"/>
      <c r="AA1055" t="s">
        <v>461</v>
      </c>
    </row>
    <row r="1056" spans="1:27" x14ac:dyDescent="0.35">
      <c r="A1056" t="str">
        <f>_xlfn.CONCAT(Tableau1[[#This Row],[Athletes]],"_",Tableau1[[#This Row],[Nationality]],"_",Tableau1[[#This Row],[Competition_year]])</f>
        <v>Mary MORAA_KEN_2021</v>
      </c>
      <c r="B1056" s="9" t="s">
        <v>228</v>
      </c>
      <c r="C1056" s="9" t="s">
        <v>29</v>
      </c>
      <c r="D1056" s="12" t="s">
        <v>15</v>
      </c>
      <c r="E1056" s="11">
        <v>14.2</v>
      </c>
      <c r="F1056" s="11">
        <v>14.3</v>
      </c>
      <c r="G1056" s="11">
        <v>17.5</v>
      </c>
      <c r="H1056" s="11">
        <v>16.100000000000001</v>
      </c>
      <c r="I1056" s="11">
        <v>15.3</v>
      </c>
      <c r="J1056" s="11">
        <v>14.5</v>
      </c>
      <c r="K1056" s="11">
        <v>14.3</v>
      </c>
      <c r="L1056">
        <f>Tableau1[[#This Row],[Final_time]]-SUM(Tableau1[[#This Row],[0_100m]:[600_700m]])</f>
        <v>14.269999999999996</v>
      </c>
      <c r="M1056" s="11">
        <v>120.47</v>
      </c>
      <c r="N1056">
        <f>SUM(Tableau1[[#This Row],[0_100m]:[700_800m]])</f>
        <v>120.47</v>
      </c>
      <c r="O1056">
        <f>ABS(Tableau1[[#This Row],[Final_time]]-Tableau1[[#This Row],[Sum_time]])</f>
        <v>0</v>
      </c>
      <c r="P1056" s="8"/>
      <c r="Q1056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56" t="s">
        <v>420</v>
      </c>
      <c r="S1056" s="1" t="s">
        <v>105</v>
      </c>
      <c r="T1056" t="s">
        <v>155</v>
      </c>
      <c r="U1056" s="1" t="s">
        <v>69</v>
      </c>
      <c r="V1056" s="1">
        <v>44408</v>
      </c>
      <c r="W1056" s="4">
        <f>YEAR(Tableau1[[#This Row],[Competition_date]])</f>
        <v>2021</v>
      </c>
      <c r="X1056" s="4"/>
      <c r="Y1056" s="6"/>
      <c r="Z1056" s="4"/>
      <c r="AA1056" t="s">
        <v>461</v>
      </c>
    </row>
    <row r="1057" spans="1:27" x14ac:dyDescent="0.35">
      <c r="A1057" t="str">
        <f>_xlfn.CONCAT(Tableau1[[#This Row],[Athletes]],"_",Tableau1[[#This Row],[Nationality]],"_",Tableau1[[#This Row],[Competition_year]])</f>
        <v>Ajee' WILSON_USA_2021</v>
      </c>
      <c r="B1057" s="9" t="s">
        <v>549</v>
      </c>
      <c r="C1057" s="9" t="s">
        <v>29</v>
      </c>
      <c r="D1057" s="12" t="s">
        <v>35</v>
      </c>
      <c r="E1057" s="11">
        <v>14.1</v>
      </c>
      <c r="F1057" s="11">
        <v>14.9</v>
      </c>
      <c r="G1057" s="11">
        <v>17.100000000000001</v>
      </c>
      <c r="H1057" s="11">
        <v>15.7</v>
      </c>
      <c r="I1057" s="11">
        <v>15.3</v>
      </c>
      <c r="J1057" s="11">
        <v>14.4</v>
      </c>
      <c r="K1057" s="11">
        <v>14.3</v>
      </c>
      <c r="L1057">
        <f>Tableau1[[#This Row],[Final_time]]-SUM(Tableau1[[#This Row],[0_100m]:[600_700m]])</f>
        <v>14.990000000000009</v>
      </c>
      <c r="M1057" s="11">
        <v>120.79</v>
      </c>
      <c r="N1057">
        <f>SUM(Tableau1[[#This Row],[0_100m]:[700_800m]])</f>
        <v>120.79</v>
      </c>
      <c r="O1057">
        <f>ABS(Tableau1[[#This Row],[Final_time]]-Tableau1[[#This Row],[Sum_time]])</f>
        <v>0</v>
      </c>
      <c r="P1057" s="8"/>
      <c r="Q1057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57" t="s">
        <v>420</v>
      </c>
      <c r="S1057" s="1" t="s">
        <v>105</v>
      </c>
      <c r="T1057" t="s">
        <v>155</v>
      </c>
      <c r="U1057" s="1" t="s">
        <v>69</v>
      </c>
      <c r="V1057" s="1">
        <v>44408</v>
      </c>
      <c r="W1057" s="4">
        <f>YEAR(Tableau1[[#This Row],[Competition_date]])</f>
        <v>2021</v>
      </c>
      <c r="X1057" s="4"/>
      <c r="Y1057" s="6"/>
      <c r="Z1057" s="4"/>
      <c r="AA1057" t="s">
        <v>461</v>
      </c>
    </row>
    <row r="1058" spans="1:27" x14ac:dyDescent="0.35">
      <c r="A1058" t="str">
        <f>_xlfn.CONCAT(Tableau1[[#This Row],[Athletes]],"_",Tableau1[[#This Row],[Nationality]],"_",Tableau1[[#This Row],[Competition_year]])</f>
        <v>Joanna JÓŹWIK_POL_2021</v>
      </c>
      <c r="B1058" s="9" t="s">
        <v>448</v>
      </c>
      <c r="C1058" s="9" t="s">
        <v>29</v>
      </c>
      <c r="D1058" s="12" t="s">
        <v>88</v>
      </c>
      <c r="E1058" s="11">
        <v>14.3</v>
      </c>
      <c r="F1058" s="11">
        <v>14.6</v>
      </c>
      <c r="G1058" s="11">
        <v>17.399999999999999</v>
      </c>
      <c r="H1058" s="11">
        <v>15.8</v>
      </c>
      <c r="I1058" s="11">
        <v>15.2</v>
      </c>
      <c r="J1058" s="11">
        <v>14.3</v>
      </c>
      <c r="K1058" s="11">
        <v>14.8</v>
      </c>
      <c r="L1058">
        <f>Tableau1[[#This Row],[Final_time]]-SUM(Tableau1[[#This Row],[0_100m]:[600_700m]])</f>
        <v>15.920000000000002</v>
      </c>
      <c r="M1058" s="11">
        <v>122.32</v>
      </c>
      <c r="N1058">
        <f>SUM(Tableau1[[#This Row],[0_100m]:[700_800m]])</f>
        <v>122.32</v>
      </c>
      <c r="O1058">
        <f>ABS(Tableau1[[#This Row],[Final_time]]-Tableau1[[#This Row],[Sum_time]])</f>
        <v>0</v>
      </c>
      <c r="P1058" s="8"/>
      <c r="Q1058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58" t="s">
        <v>420</v>
      </c>
      <c r="S1058" s="1" t="s">
        <v>105</v>
      </c>
      <c r="T1058" t="s">
        <v>155</v>
      </c>
      <c r="U1058" s="1" t="s">
        <v>69</v>
      </c>
      <c r="V1058" s="1">
        <v>44408</v>
      </c>
      <c r="W1058" s="4">
        <f>YEAR(Tableau1[[#This Row],[Competition_date]])</f>
        <v>2021</v>
      </c>
      <c r="X1058" s="4"/>
      <c r="Y1058" s="6"/>
      <c r="Z1058" s="4"/>
      <c r="AA1058" t="s">
        <v>461</v>
      </c>
    </row>
    <row r="1059" spans="1:27" x14ac:dyDescent="0.35">
      <c r="A1059" t="str">
        <f>_xlfn.CONCAT(Tableau1[[#This Row],[Athletes]],"_",Tableau1[[#This Row],[Nationality]],"_",Tableau1[[#This Row],[Competition_year]])</f>
        <v>Elena BELLÒ_ITA_2021</v>
      </c>
      <c r="B1059" s="9" t="s">
        <v>261</v>
      </c>
      <c r="C1059" s="9" t="s">
        <v>29</v>
      </c>
      <c r="D1059" s="12" t="s">
        <v>20</v>
      </c>
      <c r="E1059" s="11">
        <v>14.3</v>
      </c>
      <c r="F1059" s="11">
        <v>14.4</v>
      </c>
      <c r="G1059" s="11">
        <v>17.2</v>
      </c>
      <c r="H1059" s="11">
        <v>16.100000000000001</v>
      </c>
      <c r="I1059" s="11">
        <v>15.2</v>
      </c>
      <c r="J1059" s="11">
        <v>14.9</v>
      </c>
      <c r="K1059" s="11">
        <v>14.8</v>
      </c>
      <c r="L1059">
        <f>Tableau1[[#This Row],[Final_time]]-SUM(Tableau1[[#This Row],[0_100m]:[600_700m]])</f>
        <v>15.449999999999989</v>
      </c>
      <c r="M1059" s="11">
        <v>122.35</v>
      </c>
      <c r="N1059">
        <f>SUM(Tableau1[[#This Row],[0_100m]:[700_800m]])</f>
        <v>122.35</v>
      </c>
      <c r="O1059">
        <f>ABS(Tableau1[[#This Row],[Final_time]]-Tableau1[[#This Row],[Sum_time]])</f>
        <v>0</v>
      </c>
      <c r="P1059" s="8"/>
      <c r="Q1059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59" t="s">
        <v>420</v>
      </c>
      <c r="S1059" s="1" t="s">
        <v>105</v>
      </c>
      <c r="T1059" t="s">
        <v>155</v>
      </c>
      <c r="U1059" s="1" t="s">
        <v>69</v>
      </c>
      <c r="V1059" s="1">
        <v>44408</v>
      </c>
      <c r="W1059" s="4">
        <f>YEAR(Tableau1[[#This Row],[Competition_date]])</f>
        <v>2021</v>
      </c>
      <c r="X1059" s="4"/>
      <c r="Y1059" s="6"/>
      <c r="Z1059" s="4"/>
      <c r="AA1059" t="s">
        <v>461</v>
      </c>
    </row>
    <row r="1060" spans="1:27" x14ac:dyDescent="0.35">
      <c r="A1060" t="str">
        <f>_xlfn.CONCAT(Tableau1[[#This Row],[Athletes]],"_",Tableau1[[#This Row],[Nationality]],"_",Tableau1[[#This Row],[Competition_year]])</f>
        <v>Hedda HYNNE_NOR_2021</v>
      </c>
      <c r="B1060" s="9" t="s">
        <v>281</v>
      </c>
      <c r="C1060" s="9" t="s">
        <v>29</v>
      </c>
      <c r="D1060" s="12" t="s">
        <v>123</v>
      </c>
      <c r="E1060" s="11">
        <v>14.4</v>
      </c>
      <c r="F1060" s="11">
        <v>14.4</v>
      </c>
      <c r="G1060" s="11">
        <v>17.3</v>
      </c>
      <c r="H1060" s="11">
        <v>16</v>
      </c>
      <c r="I1060" s="11">
        <v>15.2</v>
      </c>
      <c r="J1060" s="11">
        <v>14.5</v>
      </c>
      <c r="K1060" s="11">
        <v>14.8</v>
      </c>
      <c r="L1060">
        <f>Tableau1[[#This Row],[Final_time]]-SUM(Tableau1[[#This Row],[0_100m]:[600_700m]])</f>
        <v>15.780000000000001</v>
      </c>
      <c r="M1060" s="11">
        <v>122.38</v>
      </c>
      <c r="N1060">
        <f>SUM(Tableau1[[#This Row],[0_100m]:[700_800m]])</f>
        <v>122.38</v>
      </c>
      <c r="O1060">
        <f>ABS(Tableau1[[#This Row],[Final_time]]-Tableau1[[#This Row],[Sum_time]])</f>
        <v>0</v>
      </c>
      <c r="P1060" s="8"/>
      <c r="Q1060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60" t="s">
        <v>420</v>
      </c>
      <c r="S1060" s="1" t="s">
        <v>105</v>
      </c>
      <c r="T1060" t="s">
        <v>155</v>
      </c>
      <c r="U1060" s="1" t="s">
        <v>69</v>
      </c>
      <c r="V1060" s="1">
        <v>44408</v>
      </c>
      <c r="W1060" s="4">
        <f>YEAR(Tableau1[[#This Row],[Competition_date]])</f>
        <v>2021</v>
      </c>
      <c r="X1060" s="4"/>
      <c r="Y1060" s="6"/>
      <c r="Z1060" s="4"/>
      <c r="AA1060" t="s">
        <v>461</v>
      </c>
    </row>
    <row r="1061" spans="1:27" x14ac:dyDescent="0.35">
      <c r="A1061" t="str">
        <f>_xlfn.CONCAT(Tableau1[[#This Row],[Athletes]],"_",Tableau1[[#This Row],[Nationality]],"_",Tableau1[[#This Row],[Competition_year]])</f>
        <v>Halimah NAKAAYI_UGA_2021</v>
      </c>
      <c r="B1061" s="9" t="s">
        <v>230</v>
      </c>
      <c r="C1061" s="9" t="s">
        <v>29</v>
      </c>
      <c r="D1061" s="12" t="s">
        <v>34</v>
      </c>
      <c r="E1061" s="11">
        <v>14.3</v>
      </c>
      <c r="F1061" s="11">
        <v>14.4</v>
      </c>
      <c r="G1061" s="11">
        <v>17.399999999999999</v>
      </c>
      <c r="H1061" s="11">
        <v>16.2</v>
      </c>
      <c r="I1061" s="11">
        <v>15.1</v>
      </c>
      <c r="J1061" s="11">
        <v>15</v>
      </c>
      <c r="K1061" s="11">
        <v>15.5</v>
      </c>
      <c r="L1061">
        <f>Tableau1[[#This Row],[Final_time]]-SUM(Tableau1[[#This Row],[0_100m]:[600_700m]])</f>
        <v>16.540000000000006</v>
      </c>
      <c r="M1061" s="11">
        <v>124.44</v>
      </c>
      <c r="N1061">
        <f>SUM(Tableau1[[#This Row],[0_100m]:[700_800m]])</f>
        <v>124.44</v>
      </c>
      <c r="O1061">
        <f>ABS(Tableau1[[#This Row],[Final_time]]-Tableau1[[#This Row],[Sum_time]])</f>
        <v>0</v>
      </c>
      <c r="P1061" s="8"/>
      <c r="Q1061" s="16" t="str">
        <f>_xlfn.CONCAT(Tableau1[[#This Row],[Competition]],"_",Tableau1[[#This Row],[Championship_step]],"_",Tableau1[[#This Row],[Competition_date]],"_",Tableau1[[#This Row],[Gender]])</f>
        <v>Olympic Games Tokyo 2021_Semi 1_44408_Female</v>
      </c>
      <c r="R1061" t="s">
        <v>420</v>
      </c>
      <c r="S1061" s="1" t="s">
        <v>105</v>
      </c>
      <c r="T1061" t="s">
        <v>155</v>
      </c>
      <c r="U1061" s="1" t="s">
        <v>69</v>
      </c>
      <c r="V1061" s="1">
        <v>44408</v>
      </c>
      <c r="W1061" s="4">
        <f>YEAR(Tableau1[[#This Row],[Competition_date]])</f>
        <v>2021</v>
      </c>
      <c r="X1061" s="4"/>
      <c r="Y1061" s="6"/>
      <c r="Z1061" s="4"/>
      <c r="AA1061" t="s">
        <v>461</v>
      </c>
    </row>
    <row r="1062" spans="1:27" x14ac:dyDescent="0.35">
      <c r="A1062" t="str">
        <f>_xlfn.CONCAT(Tableau1[[#This Row],[Athletes]],"_",Tableau1[[#This Row],[Nationality]],"_",Tableau1[[#This Row],[Competition_year]])</f>
        <v>Patryk DOBEK_POL_2021</v>
      </c>
      <c r="B1062" t="s">
        <v>253</v>
      </c>
      <c r="C1062" t="s">
        <v>14</v>
      </c>
      <c r="D1062" s="18" t="s">
        <v>88</v>
      </c>
      <c r="E1062">
        <v>13</v>
      </c>
      <c r="F1062">
        <v>12.7</v>
      </c>
      <c r="G1062">
        <v>13.7</v>
      </c>
      <c r="H1062">
        <v>13.3</v>
      </c>
      <c r="I1062">
        <v>13.2</v>
      </c>
      <c r="J1062">
        <v>12.6</v>
      </c>
      <c r="K1062">
        <v>13</v>
      </c>
      <c r="L1062">
        <f>Tableau1[[#This Row],[Final_time]]-SUM(Tableau1[[#This Row],[0_100m]:[600_700m]])</f>
        <v>13.099999999999994</v>
      </c>
      <c r="M1062">
        <v>104.6</v>
      </c>
      <c r="N1062">
        <f>SUM(Tableau1[[#This Row],[0_100m]:[700_800m]])</f>
        <v>104.6</v>
      </c>
      <c r="O1062">
        <f>ABS(Tableau1[[#This Row],[Final_time]]-Tableau1[[#This Row],[Sum_time]])</f>
        <v>0</v>
      </c>
      <c r="P1062" s="8" t="s">
        <v>141</v>
      </c>
      <c r="Q1062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2" t="s">
        <v>420</v>
      </c>
      <c r="S1062" s="1" t="s">
        <v>105</v>
      </c>
      <c r="T1062" t="s">
        <v>155</v>
      </c>
      <c r="U1062" s="1" t="s">
        <v>69</v>
      </c>
      <c r="V1062" s="1">
        <v>44409</v>
      </c>
      <c r="W1062" s="4">
        <f>YEAR(Tableau1[[#This Row],[Competition_date]])</f>
        <v>2021</v>
      </c>
      <c r="X1062" s="4"/>
      <c r="Y1062" s="6"/>
      <c r="Z1062" s="4"/>
      <c r="AA1062" t="s">
        <v>439</v>
      </c>
    </row>
    <row r="1063" spans="1:27" x14ac:dyDescent="0.35">
      <c r="A1063" t="str">
        <f>_xlfn.CONCAT(Tableau1[[#This Row],[Athletes]],"_",Tableau1[[#This Row],[Nationality]],"_",Tableau1[[#This Row],[Competition_year]])</f>
        <v>Emmanuel Kipkurui KORIR_KEN_2021</v>
      </c>
      <c r="B1063" s="9" t="s">
        <v>201</v>
      </c>
      <c r="C1063" t="s">
        <v>14</v>
      </c>
      <c r="D1063" s="18" t="s">
        <v>15</v>
      </c>
      <c r="E1063">
        <v>12.8</v>
      </c>
      <c r="F1063">
        <v>12.5</v>
      </c>
      <c r="G1063">
        <v>13.7</v>
      </c>
      <c r="H1063">
        <v>13.5</v>
      </c>
      <c r="I1063">
        <v>13.3</v>
      </c>
      <c r="J1063">
        <v>12.7</v>
      </c>
      <c r="K1063">
        <v>12.8</v>
      </c>
      <c r="L1063">
        <f>Tableau1[[#This Row],[Final_time]]-SUM(Tableau1[[#This Row],[0_100m]:[600_700m]])</f>
        <v>13.439999999999998</v>
      </c>
      <c r="M1063">
        <v>104.74</v>
      </c>
      <c r="N1063">
        <f>SUM(Tableau1[[#This Row],[0_100m]:[700_800m]])</f>
        <v>104.74</v>
      </c>
      <c r="O1063">
        <f>ABS(Tableau1[[#This Row],[Final_time]]-Tableau1[[#This Row],[Sum_time]])</f>
        <v>0</v>
      </c>
      <c r="P1063" s="8" t="s">
        <v>141</v>
      </c>
      <c r="Q1063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3" t="s">
        <v>420</v>
      </c>
      <c r="S1063" s="1" t="s">
        <v>105</v>
      </c>
      <c r="T1063" t="s">
        <v>155</v>
      </c>
      <c r="U1063" s="1" t="s">
        <v>69</v>
      </c>
      <c r="V1063" s="1">
        <v>44409</v>
      </c>
      <c r="W1063" s="4">
        <f>YEAR(Tableau1[[#This Row],[Competition_date]])</f>
        <v>2021</v>
      </c>
      <c r="X1063" s="4"/>
      <c r="Y1063" s="6"/>
      <c r="Z1063" s="4"/>
      <c r="AA1063" t="s">
        <v>439</v>
      </c>
    </row>
    <row r="1064" spans="1:27" x14ac:dyDescent="0.35">
      <c r="A1064" t="str">
        <f>_xlfn.CONCAT(Tableau1[[#This Row],[Athletes]],"_",Tableau1[[#This Row],[Nationality]],"_",Tableau1[[#This Row],[Competition_year]])</f>
        <v>Jesus Tonatiu LÓPEZ_MEX_2021</v>
      </c>
      <c r="B1064" t="s">
        <v>893</v>
      </c>
      <c r="C1064" t="s">
        <v>14</v>
      </c>
      <c r="D1064" s="18" t="s">
        <v>159</v>
      </c>
      <c r="E1064">
        <v>12.6</v>
      </c>
      <c r="F1064">
        <v>12.7</v>
      </c>
      <c r="G1064">
        <v>13.9</v>
      </c>
      <c r="H1064">
        <v>13.4</v>
      </c>
      <c r="I1064">
        <v>13.3</v>
      </c>
      <c r="J1064">
        <v>12.9</v>
      </c>
      <c r="K1064">
        <v>12.7</v>
      </c>
      <c r="L1064">
        <f>Tableau1[[#This Row],[Final_time]]-SUM(Tableau1[[#This Row],[0_100m]:[600_700m]])</f>
        <v>13.269999999999996</v>
      </c>
      <c r="M1064">
        <v>104.77</v>
      </c>
      <c r="N1064">
        <f>SUM(Tableau1[[#This Row],[0_100m]:[700_800m]])</f>
        <v>104.77</v>
      </c>
      <c r="O1064">
        <f>ABS(Tableau1[[#This Row],[Final_time]]-Tableau1[[#This Row],[Sum_time]])</f>
        <v>0</v>
      </c>
      <c r="P1064" s="8"/>
      <c r="Q1064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4" t="s">
        <v>420</v>
      </c>
      <c r="S1064" s="1" t="s">
        <v>105</v>
      </c>
      <c r="T1064" t="s">
        <v>155</v>
      </c>
      <c r="U1064" s="1" t="s">
        <v>69</v>
      </c>
      <c r="V1064" s="1">
        <v>44409</v>
      </c>
      <c r="W1064" s="4">
        <f>YEAR(Tableau1[[#This Row],[Competition_date]])</f>
        <v>2021</v>
      </c>
      <c r="X1064" s="4"/>
      <c r="Y1064" s="6"/>
      <c r="Z1064" s="4"/>
      <c r="AA1064" t="s">
        <v>439</v>
      </c>
    </row>
    <row r="1065" spans="1:27" x14ac:dyDescent="0.35">
      <c r="A1065" t="str">
        <f>_xlfn.CONCAT(Tableau1[[#This Row],[Athletes]],"_",Tableau1[[#This Row],[Nationality]],"_",Tableau1[[#This Row],[Competition_year]])</f>
        <v>Eliott CRESTAN_BEL_2021</v>
      </c>
      <c r="B1065" t="s">
        <v>244</v>
      </c>
      <c r="C1065" t="s">
        <v>14</v>
      </c>
      <c r="D1065" s="18" t="s">
        <v>18</v>
      </c>
      <c r="E1065">
        <v>12.8</v>
      </c>
      <c r="F1065">
        <v>12.4</v>
      </c>
      <c r="G1065">
        <v>13.8</v>
      </c>
      <c r="H1065">
        <v>13.4</v>
      </c>
      <c r="I1065">
        <v>13.3</v>
      </c>
      <c r="J1065">
        <v>12.5</v>
      </c>
      <c r="K1065">
        <v>13</v>
      </c>
      <c r="L1065">
        <f>Tableau1[[#This Row],[Final_time]]-SUM(Tableau1[[#This Row],[0_100m]:[600_700m]])</f>
        <v>13.64</v>
      </c>
      <c r="M1065">
        <v>104.84</v>
      </c>
      <c r="N1065">
        <f>SUM(Tableau1[[#This Row],[0_100m]:[700_800m]])</f>
        <v>104.84</v>
      </c>
      <c r="O1065">
        <f>ABS(Tableau1[[#This Row],[Final_time]]-Tableau1[[#This Row],[Sum_time]])</f>
        <v>0</v>
      </c>
      <c r="P1065" s="8"/>
      <c r="Q1065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5" t="s">
        <v>420</v>
      </c>
      <c r="S1065" s="1" t="s">
        <v>105</v>
      </c>
      <c r="T1065" t="s">
        <v>155</v>
      </c>
      <c r="U1065" s="1" t="s">
        <v>69</v>
      </c>
      <c r="V1065" s="1">
        <v>44409</v>
      </c>
      <c r="W1065" s="4">
        <f>YEAR(Tableau1[[#This Row],[Competition_date]])</f>
        <v>2021</v>
      </c>
      <c r="X1065" s="4"/>
      <c r="Y1065" s="6"/>
      <c r="Z1065" s="4"/>
      <c r="AA1065" t="s">
        <v>439</v>
      </c>
    </row>
    <row r="1066" spans="1:27" x14ac:dyDescent="0.35">
      <c r="A1066" t="str">
        <f>_xlfn.CONCAT(Tableau1[[#This Row],[Athletes]],"_",Tableau1[[#This Row],[Nationality]],"_",Tableau1[[#This Row],[Competition_year]])</f>
        <v>Bryce HOPPEL_USA_2021</v>
      </c>
      <c r="B1066" t="s">
        <v>173</v>
      </c>
      <c r="C1066" t="s">
        <v>14</v>
      </c>
      <c r="D1066" s="18" t="s">
        <v>35</v>
      </c>
      <c r="E1066">
        <v>12.6</v>
      </c>
      <c r="F1066">
        <v>12.5</v>
      </c>
      <c r="G1066">
        <v>13.7</v>
      </c>
      <c r="H1066">
        <v>13.4</v>
      </c>
      <c r="I1066">
        <v>13.3</v>
      </c>
      <c r="J1066">
        <v>12.8</v>
      </c>
      <c r="K1066">
        <v>13</v>
      </c>
      <c r="L1066">
        <f>Tableau1[[#This Row],[Final_time]]-SUM(Tableau1[[#This Row],[0_100m]:[600_700m]])</f>
        <v>13.61</v>
      </c>
      <c r="M1066">
        <v>104.91</v>
      </c>
      <c r="N1066">
        <f>SUM(Tableau1[[#This Row],[0_100m]:[700_800m]])</f>
        <v>104.91</v>
      </c>
      <c r="O1066">
        <f>ABS(Tableau1[[#This Row],[Final_time]]-Tableau1[[#This Row],[Sum_time]])</f>
        <v>0</v>
      </c>
      <c r="P1066" s="8"/>
      <c r="Q1066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6" t="s">
        <v>420</v>
      </c>
      <c r="S1066" s="1" t="s">
        <v>105</v>
      </c>
      <c r="T1066" t="s">
        <v>155</v>
      </c>
      <c r="U1066" s="1" t="s">
        <v>69</v>
      </c>
      <c r="V1066" s="1">
        <v>44409</v>
      </c>
      <c r="W1066" s="4">
        <f>YEAR(Tableau1[[#This Row],[Competition_date]])</f>
        <v>2021</v>
      </c>
      <c r="X1066" s="4"/>
      <c r="Y1066" s="6"/>
      <c r="Z1066" s="4"/>
      <c r="AA1066" t="s">
        <v>439</v>
      </c>
    </row>
    <row r="1067" spans="1:27" x14ac:dyDescent="0.35">
      <c r="A1067" t="str">
        <f>_xlfn.CONCAT(Tableau1[[#This Row],[Athletes]],"_",Tableau1[[#This Row],[Nationality]],"_",Tableau1[[#This Row],[Competition_year]])</f>
        <v>Abdessalem AYOUNI_TUN_2021</v>
      </c>
      <c r="B1067" t="s">
        <v>202</v>
      </c>
      <c r="C1067" t="s">
        <v>14</v>
      </c>
      <c r="D1067" s="18" t="s">
        <v>124</v>
      </c>
      <c r="E1067">
        <v>12.6</v>
      </c>
      <c r="F1067">
        <v>12.9</v>
      </c>
      <c r="G1067">
        <v>13.8</v>
      </c>
      <c r="H1067">
        <v>13.5</v>
      </c>
      <c r="I1067">
        <v>13.3</v>
      </c>
      <c r="J1067">
        <v>12.8</v>
      </c>
      <c r="K1067">
        <v>12.8</v>
      </c>
      <c r="L1067">
        <f>Tableau1[[#This Row],[Final_time]]-SUM(Tableau1[[#This Row],[0_100m]:[600_700m]])</f>
        <v>13.290000000000006</v>
      </c>
      <c r="M1067">
        <v>104.99</v>
      </c>
      <c r="N1067">
        <f>SUM(Tableau1[[#This Row],[0_100m]:[700_800m]])</f>
        <v>104.99</v>
      </c>
      <c r="O1067">
        <f>ABS(Tableau1[[#This Row],[Final_time]]-Tableau1[[#This Row],[Sum_time]])</f>
        <v>0</v>
      </c>
      <c r="P1067" s="8"/>
      <c r="Q1067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7" t="s">
        <v>420</v>
      </c>
      <c r="S1067" s="1" t="s">
        <v>105</v>
      </c>
      <c r="T1067" t="s">
        <v>155</v>
      </c>
      <c r="U1067" s="1" t="s">
        <v>69</v>
      </c>
      <c r="V1067" s="1">
        <v>44409</v>
      </c>
      <c r="W1067" s="4">
        <f>YEAR(Tableau1[[#This Row],[Competition_date]])</f>
        <v>2021</v>
      </c>
      <c r="X1067" s="4"/>
      <c r="Y1067" s="6"/>
      <c r="Z1067" s="4"/>
      <c r="AA1067" t="s">
        <v>439</v>
      </c>
    </row>
    <row r="1068" spans="1:27" x14ac:dyDescent="0.35">
      <c r="A1068" t="str">
        <f>_xlfn.CONCAT(Tableau1[[#This Row],[Athletes]],"_",Tableau1[[#This Row],[Nationality]],"_",Tableau1[[#This Row],[Competition_year]])</f>
        <v>Charlie HUNTER_AUS_2021</v>
      </c>
      <c r="B1068" t="s">
        <v>424</v>
      </c>
      <c r="C1068" t="s">
        <v>14</v>
      </c>
      <c r="D1068" s="18" t="s">
        <v>36</v>
      </c>
      <c r="E1068">
        <v>13.2</v>
      </c>
      <c r="F1068">
        <v>12.3</v>
      </c>
      <c r="G1068">
        <v>13.3</v>
      </c>
      <c r="H1068">
        <v>13.5</v>
      </c>
      <c r="I1068">
        <v>13.3</v>
      </c>
      <c r="J1068">
        <v>12.9</v>
      </c>
      <c r="K1068">
        <v>13.6</v>
      </c>
      <c r="L1068">
        <f>Tableau1[[#This Row],[Final_time]]-SUM(Tableau1[[#This Row],[0_100m]:[600_700m]])</f>
        <v>14.63000000000001</v>
      </c>
      <c r="M1068">
        <v>106.73</v>
      </c>
      <c r="N1068">
        <f>SUM(Tableau1[[#This Row],[0_100m]:[700_800m]])</f>
        <v>106.73</v>
      </c>
      <c r="O1068">
        <f>ABS(Tableau1[[#This Row],[Final_time]]-Tableau1[[#This Row],[Sum_time]])</f>
        <v>0</v>
      </c>
      <c r="P1068" s="8"/>
      <c r="Q1068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8" t="s">
        <v>420</v>
      </c>
      <c r="S1068" s="1" t="s">
        <v>105</v>
      </c>
      <c r="T1068" t="s">
        <v>155</v>
      </c>
      <c r="U1068" s="1" t="s">
        <v>69</v>
      </c>
      <c r="V1068" s="1">
        <v>44409</v>
      </c>
      <c r="W1068" s="4">
        <f>YEAR(Tableau1[[#This Row],[Competition_date]])</f>
        <v>2021</v>
      </c>
      <c r="X1068" s="4"/>
      <c r="Y1068" s="6"/>
      <c r="Z1068" s="4"/>
      <c r="AA1068" t="s">
        <v>439</v>
      </c>
    </row>
    <row r="1069" spans="1:27" x14ac:dyDescent="0.35">
      <c r="A1069" t="str">
        <f>_xlfn.CONCAT(Tableau1[[#This Row],[Athletes]],"_",Tableau1[[#This Row],[Nationality]],"_",Tableau1[[#This Row],[Competition_year]])</f>
        <v>Abdelati EL GUESSE_MAR_2021</v>
      </c>
      <c r="B1069" t="s">
        <v>112</v>
      </c>
      <c r="C1069" t="s">
        <v>14</v>
      </c>
      <c r="D1069" s="18" t="s">
        <v>21</v>
      </c>
      <c r="E1069">
        <v>13.5</v>
      </c>
      <c r="F1069">
        <v>12.1</v>
      </c>
      <c r="G1069">
        <v>13.8</v>
      </c>
      <c r="H1069">
        <v>13.6</v>
      </c>
      <c r="I1069">
        <v>13.4</v>
      </c>
      <c r="J1069">
        <v>13.1</v>
      </c>
      <c r="K1069">
        <v>13.7</v>
      </c>
      <c r="L1069">
        <f>Tableau1[[#This Row],[Final_time]]-SUM(Tableau1[[#This Row],[0_100m]:[600_700m]])</f>
        <v>13.649999999999991</v>
      </c>
      <c r="M1069">
        <v>106.85</v>
      </c>
      <c r="N1069">
        <f>SUM(Tableau1[[#This Row],[0_100m]:[700_800m]])</f>
        <v>106.85</v>
      </c>
      <c r="O1069">
        <f>ABS(Tableau1[[#This Row],[Final_time]]-Tableau1[[#This Row],[Sum_time]])</f>
        <v>0</v>
      </c>
      <c r="P1069" s="8"/>
      <c r="Q1069" s="16" t="str">
        <f>_xlfn.CONCAT(Tableau1[[#This Row],[Competition]],"_",Tableau1[[#This Row],[Championship_step]],"_",Tableau1[[#This Row],[Competition_date]],"_",Tableau1[[#This Row],[Gender]])</f>
        <v>Olympic Games Tokyo 2021_Semi 1_44409_Male</v>
      </c>
      <c r="R1069" t="s">
        <v>420</v>
      </c>
      <c r="S1069" s="1" t="s">
        <v>105</v>
      </c>
      <c r="T1069" t="s">
        <v>155</v>
      </c>
      <c r="U1069" s="1" t="s">
        <v>69</v>
      </c>
      <c r="V1069" s="1">
        <v>44409</v>
      </c>
      <c r="W1069" s="4">
        <f>YEAR(Tableau1[[#This Row],[Competition_date]])</f>
        <v>2021</v>
      </c>
      <c r="X1069" s="4"/>
      <c r="Y1069" s="6"/>
      <c r="Z1069" s="4"/>
      <c r="AA1069" t="s">
        <v>439</v>
      </c>
    </row>
    <row r="1070" spans="1:27" x14ac:dyDescent="0.35">
      <c r="A1070" t="str">
        <f>_xlfn.CONCAT(Tableau1[[#This Row],[Athletes]],"_",Tableau1[[#This Row],[Nationality]],"_",Tableau1[[#This Row],[Competition_year]])</f>
        <v>Athing MU-NIKOLAYEV_USA_2021</v>
      </c>
      <c r="B1070" t="s">
        <v>1376</v>
      </c>
      <c r="C1070" t="s">
        <v>29</v>
      </c>
      <c r="D1070" s="18" t="s">
        <v>35</v>
      </c>
      <c r="E1070">
        <v>13.7</v>
      </c>
      <c r="F1070">
        <v>13.7</v>
      </c>
      <c r="G1070">
        <v>15.2</v>
      </c>
      <c r="H1070">
        <v>15.4</v>
      </c>
      <c r="I1070">
        <v>15.2</v>
      </c>
      <c r="J1070">
        <v>14.9</v>
      </c>
      <c r="K1070">
        <v>15</v>
      </c>
      <c r="L1070">
        <f>Tableau1[[#This Row],[Final_time]]-SUM(Tableau1[[#This Row],[0_100m]:[600_700m]])</f>
        <v>14.969999999999999</v>
      </c>
      <c r="M1070">
        <v>118.07</v>
      </c>
      <c r="N1070">
        <f>SUM(Tableau1[[#This Row],[0_100m]:[700_800m]])</f>
        <v>118.07</v>
      </c>
      <c r="O1070">
        <f>ABS(Tableau1[[#This Row],[Final_time]]-Tableau1[[#This Row],[Sum_time]])</f>
        <v>0</v>
      </c>
      <c r="P1070" s="8" t="s">
        <v>141</v>
      </c>
      <c r="Q1070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0" t="s">
        <v>420</v>
      </c>
      <c r="S1070" s="1" t="s">
        <v>105</v>
      </c>
      <c r="T1070" t="s">
        <v>156</v>
      </c>
      <c r="U1070" s="1" t="s">
        <v>69</v>
      </c>
      <c r="V1070" s="1">
        <v>44408</v>
      </c>
      <c r="W1070" s="4">
        <f>YEAR(Tableau1[[#This Row],[Competition_date]])</f>
        <v>2021</v>
      </c>
      <c r="X1070" s="4"/>
      <c r="Y1070" s="6"/>
      <c r="Z1070" s="4"/>
      <c r="AA1070" t="s">
        <v>461</v>
      </c>
    </row>
    <row r="1071" spans="1:27" x14ac:dyDescent="0.35">
      <c r="A1071" t="str">
        <f>_xlfn.CONCAT(Tableau1[[#This Row],[Athletes]],"_",Tableau1[[#This Row],[Nationality]],"_",Tableau1[[#This Row],[Competition_year]])</f>
        <v>Habitam ALEMU_ETH_2021</v>
      </c>
      <c r="B1071" t="s">
        <v>223</v>
      </c>
      <c r="C1071" t="s">
        <v>29</v>
      </c>
      <c r="D1071" s="18" t="s">
        <v>49</v>
      </c>
      <c r="E1071">
        <v>14.1</v>
      </c>
      <c r="F1071">
        <v>13.8</v>
      </c>
      <c r="G1071">
        <v>15.2</v>
      </c>
      <c r="H1071">
        <v>15.1</v>
      </c>
      <c r="I1071">
        <v>15.3</v>
      </c>
      <c r="J1071">
        <v>14.8</v>
      </c>
      <c r="K1071">
        <v>15</v>
      </c>
      <c r="L1071">
        <f>Tableau1[[#This Row],[Final_time]]-SUM(Tableau1[[#This Row],[0_100m]:[600_700m]])</f>
        <v>15.100000000000009</v>
      </c>
      <c r="M1071">
        <v>118.4</v>
      </c>
      <c r="N1071">
        <f>SUM(Tableau1[[#This Row],[0_100m]:[700_800m]])</f>
        <v>118.4</v>
      </c>
      <c r="O1071">
        <f>ABS(Tableau1[[#This Row],[Final_time]]-Tableau1[[#This Row],[Sum_time]])</f>
        <v>0</v>
      </c>
      <c r="P1071" s="8" t="s">
        <v>141</v>
      </c>
      <c r="Q1071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1" t="s">
        <v>420</v>
      </c>
      <c r="S1071" s="1" t="s">
        <v>105</v>
      </c>
      <c r="T1071" t="s">
        <v>156</v>
      </c>
      <c r="U1071" s="1" t="s">
        <v>69</v>
      </c>
      <c r="V1071" s="1">
        <v>44408</v>
      </c>
      <c r="W1071" s="4">
        <f>YEAR(Tableau1[[#This Row],[Competition_date]])</f>
        <v>2021</v>
      </c>
      <c r="X1071" s="4"/>
      <c r="Y1071" s="6"/>
      <c r="Z1071" s="4"/>
      <c r="AA1071" t="s">
        <v>461</v>
      </c>
    </row>
    <row r="1072" spans="1:27" x14ac:dyDescent="0.35">
      <c r="A1072" t="str">
        <f>_xlfn.CONCAT(Tableau1[[#This Row],[Athletes]],"_",Tableau1[[#This Row],[Nationality]],"_",Tableau1[[#This Row],[Competition_year]])</f>
        <v>Alexandra BELL_GBR_2021</v>
      </c>
      <c r="B1072" t="s">
        <v>268</v>
      </c>
      <c r="C1072" t="s">
        <v>29</v>
      </c>
      <c r="D1072" s="18" t="s">
        <v>30</v>
      </c>
      <c r="E1072">
        <v>14</v>
      </c>
      <c r="F1072">
        <v>13.5</v>
      </c>
      <c r="G1072">
        <v>15.3</v>
      </c>
      <c r="H1072">
        <f>58.2-SUM(Tableau1[[#This Row],[0_100m]:[200_300m]])</f>
        <v>15.400000000000006</v>
      </c>
      <c r="I1072">
        <v>15.2</v>
      </c>
      <c r="J1072">
        <v>14.9</v>
      </c>
      <c r="K1072">
        <v>15.3</v>
      </c>
      <c r="L1072">
        <f>Tableau1[[#This Row],[Final_time]]-SUM(Tableau1[[#This Row],[0_100m]:[600_700m]])</f>
        <v>15.22999999999999</v>
      </c>
      <c r="M1072">
        <v>118.83</v>
      </c>
      <c r="N1072">
        <f>SUM(Tableau1[[#This Row],[0_100m]:[700_800m]])</f>
        <v>118.83</v>
      </c>
      <c r="O1072">
        <f>ABS(Tableau1[[#This Row],[Final_time]]-Tableau1[[#This Row],[Sum_time]])</f>
        <v>0</v>
      </c>
      <c r="P1072" s="8" t="s">
        <v>142</v>
      </c>
      <c r="Q1072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2" t="s">
        <v>420</v>
      </c>
      <c r="S1072" s="1" t="s">
        <v>105</v>
      </c>
      <c r="T1072" t="s">
        <v>156</v>
      </c>
      <c r="U1072" s="1" t="s">
        <v>69</v>
      </c>
      <c r="V1072" s="1">
        <v>44408</v>
      </c>
      <c r="W1072" s="4">
        <f>YEAR(Tableau1[[#This Row],[Competition_date]])</f>
        <v>2021</v>
      </c>
      <c r="X1072" s="4"/>
      <c r="Y1072" s="6"/>
      <c r="Z1072" s="4"/>
      <c r="AA1072" t="s">
        <v>461</v>
      </c>
    </row>
    <row r="1073" spans="1:27" x14ac:dyDescent="0.35">
      <c r="A1073" t="str">
        <f>_xlfn.CONCAT(Tableau1[[#This Row],[Athletes]],"_",Tableau1[[#This Row],[Nationality]],"_",Tableau1[[#This Row],[Competition_year]])</f>
        <v>Lore HOFFMANN_SUI_2021</v>
      </c>
      <c r="B1073" t="s">
        <v>224</v>
      </c>
      <c r="C1073" t="s">
        <v>29</v>
      </c>
      <c r="D1073" s="18" t="s">
        <v>73</v>
      </c>
      <c r="E1073">
        <v>14.3</v>
      </c>
      <c r="F1073">
        <v>13.7</v>
      </c>
      <c r="G1073">
        <v>15.3</v>
      </c>
      <c r="H1073">
        <v>15</v>
      </c>
      <c r="I1073">
        <v>15.3</v>
      </c>
      <c r="J1073">
        <v>15</v>
      </c>
      <c r="K1073">
        <v>15.1</v>
      </c>
      <c r="L1073">
        <f>Tableau1[[#This Row],[Final_time]]-SUM(Tableau1[[#This Row],[0_100m]:[600_700m]])</f>
        <v>15.680000000000007</v>
      </c>
      <c r="M1073">
        <v>119.38</v>
      </c>
      <c r="N1073">
        <f>SUM(Tableau1[[#This Row],[0_100m]:[700_800m]])</f>
        <v>119.38</v>
      </c>
      <c r="O1073">
        <f>ABS(Tableau1[[#This Row],[Final_time]]-Tableau1[[#This Row],[Sum_time]])</f>
        <v>0</v>
      </c>
      <c r="P1073" s="8"/>
      <c r="Q1073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3" t="s">
        <v>420</v>
      </c>
      <c r="S1073" s="1" t="s">
        <v>105</v>
      </c>
      <c r="T1073" t="s">
        <v>156</v>
      </c>
      <c r="U1073" s="1" t="s">
        <v>69</v>
      </c>
      <c r="V1073" s="1">
        <v>44408</v>
      </c>
      <c r="W1073" s="4">
        <f>YEAR(Tableau1[[#This Row],[Competition_date]])</f>
        <v>2021</v>
      </c>
      <c r="X1073" s="4"/>
      <c r="Y1073" s="6"/>
      <c r="Z1073" s="4"/>
      <c r="AA1073" t="s">
        <v>461</v>
      </c>
    </row>
    <row r="1074" spans="1:27" x14ac:dyDescent="0.35">
      <c r="A1074" t="str">
        <f>_xlfn.CONCAT(Tableau1[[#This Row],[Athletes]],"_",Tableau1[[#This Row],[Nationality]],"_",Tableau1[[#This Row],[Competition_year]])</f>
        <v>Rénelle LAMOTE_FRA_2021</v>
      </c>
      <c r="B1074" t="s">
        <v>225</v>
      </c>
      <c r="C1074" t="s">
        <v>29</v>
      </c>
      <c r="D1074" s="18" t="s">
        <v>17</v>
      </c>
      <c r="E1074">
        <v>14.2</v>
      </c>
      <c r="F1074">
        <v>13.4</v>
      </c>
      <c r="G1074">
        <v>15.4</v>
      </c>
      <c r="H1074">
        <v>15.4</v>
      </c>
      <c r="I1074">
        <v>15.4</v>
      </c>
      <c r="J1074">
        <v>15</v>
      </c>
      <c r="K1074">
        <v>15.2</v>
      </c>
      <c r="L1074">
        <f>Tableau1[[#This Row],[Final_time]]-SUM(Tableau1[[#This Row],[0_100m]:[600_700m]])</f>
        <v>15.400000000000006</v>
      </c>
      <c r="M1074">
        <v>119.4</v>
      </c>
      <c r="N1074">
        <f>SUM(Tableau1[[#This Row],[0_100m]:[700_800m]])</f>
        <v>119.4</v>
      </c>
      <c r="O1074">
        <f>ABS(Tableau1[[#This Row],[Final_time]]-Tableau1[[#This Row],[Sum_time]])</f>
        <v>0</v>
      </c>
      <c r="P1074" s="8"/>
      <c r="Q1074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4" t="s">
        <v>420</v>
      </c>
      <c r="S1074" s="1" t="s">
        <v>105</v>
      </c>
      <c r="T1074" t="s">
        <v>156</v>
      </c>
      <c r="U1074" s="1" t="s">
        <v>69</v>
      </c>
      <c r="V1074" s="1">
        <v>44408</v>
      </c>
      <c r="W1074" s="4">
        <f>YEAR(Tableau1[[#This Row],[Competition_date]])</f>
        <v>2021</v>
      </c>
      <c r="X1074" s="4"/>
      <c r="Y1074" s="6"/>
      <c r="Z1074" s="4"/>
      <c r="AA1074" t="s">
        <v>461</v>
      </c>
    </row>
    <row r="1075" spans="1:27" x14ac:dyDescent="0.35">
      <c r="A1075" t="str">
        <f>_xlfn.CONCAT(Tableau1[[#This Row],[Athletes]],"_",Tableau1[[#This Row],[Nationality]],"_",Tableau1[[#This Row],[Competition_year]])</f>
        <v>Sara KUIVISTO_FIN_2021</v>
      </c>
      <c r="B1075" t="s">
        <v>458</v>
      </c>
      <c r="C1075" t="s">
        <v>29</v>
      </c>
      <c r="D1075" s="18" t="s">
        <v>85</v>
      </c>
      <c r="E1075">
        <v>14.5</v>
      </c>
      <c r="F1075">
        <v>13.5</v>
      </c>
      <c r="G1075">
        <v>15.3</v>
      </c>
      <c r="H1075">
        <v>15.5</v>
      </c>
      <c r="I1075">
        <v>15.4</v>
      </c>
      <c r="J1075">
        <v>14.9</v>
      </c>
      <c r="K1075">
        <v>15.1</v>
      </c>
      <c r="L1075">
        <f>Tableau1[[#This Row],[Final_time]]-SUM(Tableau1[[#This Row],[0_100m]:[600_700m]])</f>
        <v>15.209999999999994</v>
      </c>
      <c r="M1075">
        <v>119.41</v>
      </c>
      <c r="N1075">
        <f>SUM(Tableau1[[#This Row],[0_100m]:[700_800m]])</f>
        <v>119.41</v>
      </c>
      <c r="O1075">
        <f>ABS(Tableau1[[#This Row],[Final_time]]-Tableau1[[#This Row],[Sum_time]])</f>
        <v>0</v>
      </c>
      <c r="P1075" s="8"/>
      <c r="Q1075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5" t="s">
        <v>420</v>
      </c>
      <c r="S1075" s="1" t="s">
        <v>105</v>
      </c>
      <c r="T1075" t="s">
        <v>156</v>
      </c>
      <c r="U1075" s="1" t="s">
        <v>69</v>
      </c>
      <c r="V1075" s="1">
        <v>44408</v>
      </c>
      <c r="W1075" s="4">
        <f>YEAR(Tableau1[[#This Row],[Competition_date]])</f>
        <v>2021</v>
      </c>
      <c r="X1075" s="4"/>
      <c r="Y1075" s="6"/>
      <c r="Z1075" s="4"/>
      <c r="AA1075" t="s">
        <v>461</v>
      </c>
    </row>
    <row r="1076" spans="1:27" x14ac:dyDescent="0.35">
      <c r="A1076" t="str">
        <f>_xlfn.CONCAT(Tableau1[[#This Row],[Athletes]],"_",Tableau1[[#This Row],[Nationality]],"_",Tableau1[[#This Row],[Competition_year]])</f>
        <v>Noélie YARIGO_BEN_2021</v>
      </c>
      <c r="B1076" t="s">
        <v>214</v>
      </c>
      <c r="C1076" t="s">
        <v>29</v>
      </c>
      <c r="D1076" s="18" t="s">
        <v>52</v>
      </c>
      <c r="E1076">
        <v>14.2</v>
      </c>
      <c r="F1076">
        <v>13.5</v>
      </c>
      <c r="G1076">
        <v>15.4</v>
      </c>
      <c r="H1076">
        <f>58.5-SUM(Tableau1[[#This Row],[0_100m]:[200_300m]])</f>
        <v>15.399999999999999</v>
      </c>
      <c r="I1076">
        <v>15.6</v>
      </c>
      <c r="J1076">
        <v>15</v>
      </c>
      <c r="K1076">
        <f>105.1-SUM(Tableau1[[#This Row],[0_100m]:[500_600m]])</f>
        <v>16</v>
      </c>
      <c r="L1076">
        <f>Tableau1[[#This Row],[Final_time]]-SUM(Tableau1[[#This Row],[0_100m]:[600_700m]])</f>
        <v>16.310000000000002</v>
      </c>
      <c r="M1076">
        <v>121.41</v>
      </c>
      <c r="N1076">
        <f>SUM(Tableau1[[#This Row],[0_100m]:[700_800m]])</f>
        <v>121.41</v>
      </c>
      <c r="O1076">
        <f>ABS(Tableau1[[#This Row],[Final_time]]-Tableau1[[#This Row],[Sum_time]])</f>
        <v>0</v>
      </c>
      <c r="P1076" s="8"/>
      <c r="Q1076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6" t="s">
        <v>420</v>
      </c>
      <c r="S1076" s="1" t="s">
        <v>105</v>
      </c>
      <c r="T1076" t="s">
        <v>156</v>
      </c>
      <c r="U1076" s="1" t="s">
        <v>69</v>
      </c>
      <c r="V1076" s="1">
        <v>44408</v>
      </c>
      <c r="W1076" s="4">
        <f>YEAR(Tableau1[[#This Row],[Competition_date]])</f>
        <v>2021</v>
      </c>
      <c r="X1076" s="4"/>
      <c r="Y1076" s="6"/>
      <c r="Z1076" s="4"/>
      <c r="AA1076" t="s">
        <v>461</v>
      </c>
    </row>
    <row r="1077" spans="1:27" x14ac:dyDescent="0.35">
      <c r="A1077" t="str">
        <f>_xlfn.CONCAT(Tableau1[[#This Row],[Athletes]],"_",Tableau1[[#This Row],[Nationality]],"_",Tableau1[[#This Row],[Competition_year]])</f>
        <v>Natalia ROMERO_ESP_2021</v>
      </c>
      <c r="B1077" t="s">
        <v>459</v>
      </c>
      <c r="C1077" t="s">
        <v>29</v>
      </c>
      <c r="D1077" s="18" t="s">
        <v>37</v>
      </c>
      <c r="E1077">
        <v>14.1</v>
      </c>
      <c r="F1077">
        <v>13.5</v>
      </c>
      <c r="G1077">
        <f>43-SUM(Tableau1[[#This Row],[0_100m]:[100_200m]])</f>
        <v>15.399999999999999</v>
      </c>
      <c r="H1077">
        <v>15.3</v>
      </c>
      <c r="I1077">
        <v>15.7</v>
      </c>
      <c r="J1077">
        <f>89.3-SUM(Tableau1[[#This Row],[0_100m]:[400_500m]])</f>
        <v>15.299999999999997</v>
      </c>
      <c r="K1077">
        <v>15.9</v>
      </c>
      <c r="L1077">
        <f>Tableau1[[#This Row],[Final_time]]-SUM(Tableau1[[#This Row],[0_100m]:[600_700m]])</f>
        <v>16.319999999999993</v>
      </c>
      <c r="M1077">
        <v>121.52</v>
      </c>
      <c r="N1077">
        <f>SUM(Tableau1[[#This Row],[0_100m]:[700_800m]])</f>
        <v>121.52</v>
      </c>
      <c r="O1077">
        <f>ABS(Tableau1[[#This Row],[Final_time]]-Tableau1[[#This Row],[Sum_time]])</f>
        <v>0</v>
      </c>
      <c r="P1077" s="8"/>
      <c r="Q1077" s="16" t="str">
        <f>_xlfn.CONCAT(Tableau1[[#This Row],[Competition]],"_",Tableau1[[#This Row],[Championship_step]],"_",Tableau1[[#This Row],[Competition_date]],"_",Tableau1[[#This Row],[Gender]])</f>
        <v>Olympic Games Tokyo 2021_Semi 2_44408_Female</v>
      </c>
      <c r="R1077" t="s">
        <v>420</v>
      </c>
      <c r="S1077" s="1" t="s">
        <v>105</v>
      </c>
      <c r="T1077" t="s">
        <v>156</v>
      </c>
      <c r="U1077" s="1" t="s">
        <v>69</v>
      </c>
      <c r="V1077" s="1">
        <v>44408</v>
      </c>
      <c r="W1077" s="4">
        <f>YEAR(Tableau1[[#This Row],[Competition_date]])</f>
        <v>2021</v>
      </c>
      <c r="X1077" s="4"/>
      <c r="Y1077" s="6"/>
      <c r="Z1077" s="4"/>
      <c r="AA1077" t="s">
        <v>461</v>
      </c>
    </row>
    <row r="1078" spans="1:27" x14ac:dyDescent="0.35">
      <c r="A1078" t="str">
        <f>_xlfn.CONCAT(Tableau1[[#This Row],[Athletes]],"_",Tableau1[[#This Row],[Nationality]],"_",Tableau1[[#This Row],[Competition_year]])</f>
        <v>Peter BOL_AUS_2021</v>
      </c>
      <c r="B1078" t="s">
        <v>127</v>
      </c>
      <c r="C1078" t="s">
        <v>14</v>
      </c>
      <c r="D1078" s="18" t="s">
        <v>36</v>
      </c>
      <c r="E1078">
        <v>12.6</v>
      </c>
      <c r="F1078">
        <v>11.7</v>
      </c>
      <c r="G1078">
        <v>13.1</v>
      </c>
      <c r="H1078">
        <v>13.7</v>
      </c>
      <c r="I1078">
        <v>13.4</v>
      </c>
      <c r="J1078">
        <v>13</v>
      </c>
      <c r="K1078">
        <v>13.2</v>
      </c>
      <c r="L1078">
        <f>Tableau1[[#This Row],[Final_time]]-SUM(Tableau1[[#This Row],[0_100m]:[600_700m]])</f>
        <v>13.409999999999997</v>
      </c>
      <c r="M1078">
        <v>104.11</v>
      </c>
      <c r="N1078">
        <f>SUM(Tableau1[[#This Row],[0_100m]:[700_800m]])</f>
        <v>104.11</v>
      </c>
      <c r="O1078">
        <f>ABS(Tableau1[[#This Row],[Final_time]]-Tableau1[[#This Row],[Sum_time]])</f>
        <v>0</v>
      </c>
      <c r="P1078" s="8" t="s">
        <v>141</v>
      </c>
      <c r="Q1078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78" t="s">
        <v>420</v>
      </c>
      <c r="S1078" s="1" t="s">
        <v>105</v>
      </c>
      <c r="T1078" t="s">
        <v>156</v>
      </c>
      <c r="U1078" s="1" t="s">
        <v>69</v>
      </c>
      <c r="V1078" s="1">
        <v>44409</v>
      </c>
      <c r="W1078" s="4">
        <f>YEAR(Tableau1[[#This Row],[Competition_date]])</f>
        <v>2021</v>
      </c>
      <c r="X1078" s="4"/>
      <c r="Y1078" s="6"/>
      <c r="Z1078" s="4"/>
      <c r="AA1078" t="s">
        <v>439</v>
      </c>
    </row>
    <row r="1079" spans="1:27" x14ac:dyDescent="0.35">
      <c r="A1079" t="str">
        <f>_xlfn.CONCAT(Tableau1[[#This Row],[Athletes]],"_",Tableau1[[#This Row],[Nationality]],"_",Tableau1[[#This Row],[Competition_year]])</f>
        <v>Clayton MURPHY_USA_2021</v>
      </c>
      <c r="B1079" t="s">
        <v>203</v>
      </c>
      <c r="C1079" t="s">
        <v>14</v>
      </c>
      <c r="D1079" s="18" t="s">
        <v>35</v>
      </c>
      <c r="E1079">
        <v>12.8</v>
      </c>
      <c r="F1079">
        <v>12</v>
      </c>
      <c r="G1079">
        <v>13.2</v>
      </c>
      <c r="H1079">
        <v>13.6</v>
      </c>
      <c r="I1079">
        <v>13.5</v>
      </c>
      <c r="J1079">
        <f>78.1-SUM(Tableau1[[#This Row],[0_100m]:[400_500m]])</f>
        <v>13</v>
      </c>
      <c r="K1079">
        <v>13</v>
      </c>
      <c r="L1079">
        <f>Tableau1[[#This Row],[Final_time]]-SUM(Tableau1[[#This Row],[0_100m]:[600_700m]])</f>
        <v>13.080000000000013</v>
      </c>
      <c r="M1079">
        <v>104.18</v>
      </c>
      <c r="N1079">
        <f>SUM(Tableau1[[#This Row],[0_100m]:[700_800m]])</f>
        <v>104.18</v>
      </c>
      <c r="O1079">
        <f>ABS(Tableau1[[#This Row],[Final_time]]-Tableau1[[#This Row],[Sum_time]])</f>
        <v>0</v>
      </c>
      <c r="P1079" s="8" t="s">
        <v>141</v>
      </c>
      <c r="Q1079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79" t="s">
        <v>420</v>
      </c>
      <c r="S1079" s="1" t="s">
        <v>105</v>
      </c>
      <c r="T1079" t="s">
        <v>156</v>
      </c>
      <c r="U1079" s="1" t="s">
        <v>69</v>
      </c>
      <c r="V1079" s="1">
        <v>44409</v>
      </c>
      <c r="W1079" s="4">
        <f>YEAR(Tableau1[[#This Row],[Competition_date]])</f>
        <v>2021</v>
      </c>
      <c r="X1079" s="4"/>
      <c r="Y1079" s="6"/>
      <c r="Z1079" s="4"/>
      <c r="AA1079" t="s">
        <v>439</v>
      </c>
    </row>
    <row r="1080" spans="1:27" x14ac:dyDescent="0.35">
      <c r="A1080" t="str">
        <f>_xlfn.CONCAT(Tableau1[[#This Row],[Athletes]],"_",Tableau1[[#This Row],[Nationality]],"_",Tableau1[[#This Row],[Competition_year]])</f>
        <v>Gabriel TUAL_FRA_2021</v>
      </c>
      <c r="B1080" t="s">
        <v>180</v>
      </c>
      <c r="C1080" t="s">
        <v>14</v>
      </c>
      <c r="D1080" s="18" t="s">
        <v>17</v>
      </c>
      <c r="E1080">
        <v>12.6</v>
      </c>
      <c r="F1080">
        <v>11.9</v>
      </c>
      <c r="G1080">
        <v>13.1</v>
      </c>
      <c r="H1080">
        <v>13.7</v>
      </c>
      <c r="I1080">
        <v>13.4</v>
      </c>
      <c r="J1080">
        <v>13</v>
      </c>
      <c r="K1080">
        <v>13.2</v>
      </c>
      <c r="L1080">
        <f>Tableau1[[#This Row],[Final_time]]-SUM(Tableau1[[#This Row],[0_100m]:[600_700m]])</f>
        <v>13.379999999999995</v>
      </c>
      <c r="M1080">
        <v>104.28</v>
      </c>
      <c r="N1080">
        <f>SUM(Tableau1[[#This Row],[0_100m]:[700_800m]])</f>
        <v>104.28</v>
      </c>
      <c r="O1080">
        <f>ABS(Tableau1[[#This Row],[Final_time]]-Tableau1[[#This Row],[Sum_time]])</f>
        <v>0</v>
      </c>
      <c r="P1080" s="8" t="s">
        <v>142</v>
      </c>
      <c r="Q1080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80" t="s">
        <v>420</v>
      </c>
      <c r="S1080" s="1" t="s">
        <v>105</v>
      </c>
      <c r="T1080" t="s">
        <v>156</v>
      </c>
      <c r="U1080" s="1" t="s">
        <v>69</v>
      </c>
      <c r="V1080" s="1">
        <v>44409</v>
      </c>
      <c r="W1080" s="4">
        <f>YEAR(Tableau1[[#This Row],[Competition_date]])</f>
        <v>2021</v>
      </c>
      <c r="X1080" s="4"/>
      <c r="Y1080" s="6"/>
      <c r="Z1080" s="4"/>
      <c r="AA1080" t="s">
        <v>439</v>
      </c>
    </row>
    <row r="1081" spans="1:27" x14ac:dyDescent="0.35">
      <c r="A1081" t="str">
        <f>_xlfn.CONCAT(Tableau1[[#This Row],[Athletes]],"_",Tableau1[[#This Row],[Nationality]],"_",Tableau1[[#This Row],[Competition_year]])</f>
        <v>Adrián BEN_ESP_2021</v>
      </c>
      <c r="B1081" t="s">
        <v>184</v>
      </c>
      <c r="C1081" t="s">
        <v>14</v>
      </c>
      <c r="D1081" s="18" t="s">
        <v>37</v>
      </c>
      <c r="E1081">
        <v>13.3</v>
      </c>
      <c r="F1081">
        <v>12.4</v>
      </c>
      <c r="G1081">
        <v>12.9</v>
      </c>
      <c r="H1081">
        <v>13.6</v>
      </c>
      <c r="I1081">
        <v>13.4</v>
      </c>
      <c r="J1081">
        <v>13</v>
      </c>
      <c r="K1081">
        <v>12.7</v>
      </c>
      <c r="L1081">
        <f>Tableau1[[#This Row],[Final_time]]-SUM(Tableau1[[#This Row],[0_100m]:[600_700m]])</f>
        <v>12.999999999999986</v>
      </c>
      <c r="M1081">
        <v>104.3</v>
      </c>
      <c r="N1081">
        <f>SUM(Tableau1[[#This Row],[0_100m]:[700_800m]])</f>
        <v>104.3</v>
      </c>
      <c r="O1081">
        <f>ABS(Tableau1[[#This Row],[Final_time]]-Tableau1[[#This Row],[Sum_time]])</f>
        <v>0</v>
      </c>
      <c r="P1081" s="8" t="s">
        <v>142</v>
      </c>
      <c r="Q1081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81" t="s">
        <v>420</v>
      </c>
      <c r="S1081" s="1" t="s">
        <v>105</v>
      </c>
      <c r="T1081" t="s">
        <v>156</v>
      </c>
      <c r="U1081" s="1" t="s">
        <v>69</v>
      </c>
      <c r="V1081" s="1">
        <v>44409</v>
      </c>
      <c r="W1081" s="4">
        <f>YEAR(Tableau1[[#This Row],[Competition_date]])</f>
        <v>2021</v>
      </c>
      <c r="X1081" s="4"/>
      <c r="Y1081" s="6"/>
      <c r="Z1081" s="4"/>
      <c r="AA1081" t="s">
        <v>439</v>
      </c>
    </row>
    <row r="1082" spans="1:27" x14ac:dyDescent="0.35">
      <c r="A1082" t="str">
        <f>_xlfn.CONCAT(Tableau1[[#This Row],[Athletes]],"_",Tableau1[[#This Row],[Nationality]],"_",Tableau1[[#This Row],[Competition_year]])</f>
        <v>Daniel ROWDEN_GBR_2021</v>
      </c>
      <c r="B1082" t="s">
        <v>172</v>
      </c>
      <c r="C1082" t="s">
        <v>14</v>
      </c>
      <c r="D1082" s="18" t="s">
        <v>30</v>
      </c>
      <c r="E1082">
        <v>12.8</v>
      </c>
      <c r="F1082">
        <v>12.2</v>
      </c>
      <c r="G1082">
        <v>13.2</v>
      </c>
      <c r="H1082">
        <v>13.5</v>
      </c>
      <c r="I1082">
        <v>13.5</v>
      </c>
      <c r="J1082">
        <v>13</v>
      </c>
      <c r="K1082">
        <v>13.1</v>
      </c>
      <c r="L1082">
        <f>Tableau1[[#This Row],[Final_time]]-SUM(Tableau1[[#This Row],[0_100m]:[600_700m]])</f>
        <v>13.049999999999997</v>
      </c>
      <c r="M1082">
        <v>104.35</v>
      </c>
      <c r="N1082">
        <f>SUM(Tableau1[[#This Row],[0_100m]:[700_800m]])</f>
        <v>104.35</v>
      </c>
      <c r="O1082">
        <f>ABS(Tableau1[[#This Row],[Final_time]]-Tableau1[[#This Row],[Sum_time]])</f>
        <v>0</v>
      </c>
      <c r="P1082" s="8"/>
      <c r="Q1082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82" t="s">
        <v>420</v>
      </c>
      <c r="S1082" s="1" t="s">
        <v>105</v>
      </c>
      <c r="T1082" t="s">
        <v>156</v>
      </c>
      <c r="U1082" s="1" t="s">
        <v>69</v>
      </c>
      <c r="V1082" s="1">
        <v>44409</v>
      </c>
      <c r="W1082" s="4">
        <f>YEAR(Tableau1[[#This Row],[Competition_date]])</f>
        <v>2021</v>
      </c>
      <c r="X1082" s="4"/>
      <c r="Y1082" s="6"/>
      <c r="Z1082" s="4"/>
      <c r="AA1082" t="s">
        <v>439</v>
      </c>
    </row>
    <row r="1083" spans="1:27" x14ac:dyDescent="0.35">
      <c r="A1083" t="str">
        <f>_xlfn.CONCAT(Tableau1[[#This Row],[Athletes]],"_",Tableau1[[#This Row],[Nationality]],"_",Tableau1[[#This Row],[Competition_year]])</f>
        <v>Michael SARUNI_KEN_2021</v>
      </c>
      <c r="B1083" t="s">
        <v>397</v>
      </c>
      <c r="C1083" t="s">
        <v>14</v>
      </c>
      <c r="D1083" s="18" t="s">
        <v>15</v>
      </c>
      <c r="E1083">
        <v>12.8</v>
      </c>
      <c r="F1083">
        <f>24.6-E1083</f>
        <v>11.8</v>
      </c>
      <c r="G1083">
        <f>37.8-SUM(E1083:F1083)</f>
        <v>13.199999999999996</v>
      </c>
      <c r="H1083">
        <v>13.6</v>
      </c>
      <c r="I1083">
        <v>13.5</v>
      </c>
      <c r="J1083">
        <v>13</v>
      </c>
      <c r="K1083">
        <v>13.2</v>
      </c>
      <c r="L1083">
        <f>Tableau1[[#This Row],[Final_time]]-SUM(Tableau1[[#This Row],[0_100m]:[600_700m]])</f>
        <v>13.439999999999998</v>
      </c>
      <c r="M1083">
        <v>104.54</v>
      </c>
      <c r="N1083">
        <f>SUM(Tableau1[[#This Row],[0_100m]:[700_800m]])</f>
        <v>104.54</v>
      </c>
      <c r="O1083">
        <f>ABS(Tableau1[[#This Row],[Final_time]]-Tableau1[[#This Row],[Sum_time]])</f>
        <v>0</v>
      </c>
      <c r="P1083" s="8"/>
      <c r="Q1083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83" t="s">
        <v>420</v>
      </c>
      <c r="S1083" s="1" t="s">
        <v>105</v>
      </c>
      <c r="T1083" t="s">
        <v>156</v>
      </c>
      <c r="U1083" s="1" t="s">
        <v>69</v>
      </c>
      <c r="V1083" s="1">
        <v>44409</v>
      </c>
      <c r="W1083" s="4">
        <f>YEAR(Tableau1[[#This Row],[Competition_date]])</f>
        <v>2021</v>
      </c>
      <c r="X1083" s="4"/>
      <c r="Y1083" s="6"/>
      <c r="Z1083" s="4"/>
      <c r="AA1083" t="s">
        <v>439</v>
      </c>
    </row>
    <row r="1084" spans="1:27" x14ac:dyDescent="0.35">
      <c r="A1084" t="str">
        <f>_xlfn.CONCAT(Tableau1[[#This Row],[Athletes]],"_",Tableau1[[#This Row],[Nationality]],"_",Tableau1[[#This Row],[Competition_year]])</f>
        <v>Marco AROP_CAN_2021</v>
      </c>
      <c r="B1084" t="s">
        <v>177</v>
      </c>
      <c r="C1084" t="s">
        <v>14</v>
      </c>
      <c r="D1084" s="18" t="s">
        <v>19</v>
      </c>
      <c r="E1084">
        <v>12.7</v>
      </c>
      <c r="F1084">
        <v>11.4</v>
      </c>
      <c r="G1084">
        <v>13.1</v>
      </c>
      <c r="H1084">
        <v>13.8</v>
      </c>
      <c r="I1084">
        <v>13.3</v>
      </c>
      <c r="J1084">
        <v>13.1</v>
      </c>
      <c r="K1084">
        <v>13.2</v>
      </c>
      <c r="L1084">
        <f>Tableau1[[#This Row],[Final_time]]-SUM(Tableau1[[#This Row],[0_100m]:[600_700m]])</f>
        <v>14.300000000000011</v>
      </c>
      <c r="M1084">
        <v>104.9</v>
      </c>
      <c r="N1084">
        <f>SUM(Tableau1[[#This Row],[0_100m]:[700_800m]])</f>
        <v>104.9</v>
      </c>
      <c r="O1084">
        <f>ABS(Tableau1[[#This Row],[Final_time]]-Tableau1[[#This Row],[Sum_time]])</f>
        <v>0</v>
      </c>
      <c r="P1084" s="8"/>
      <c r="Q1084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84" t="s">
        <v>420</v>
      </c>
      <c r="S1084" s="1" t="s">
        <v>105</v>
      </c>
      <c r="T1084" t="s">
        <v>156</v>
      </c>
      <c r="U1084" s="1" t="s">
        <v>69</v>
      </c>
      <c r="V1084" s="1">
        <v>44409</v>
      </c>
      <c r="W1084" s="4">
        <f>YEAR(Tableau1[[#This Row],[Competition_date]])</f>
        <v>2021</v>
      </c>
      <c r="X1084" s="4"/>
      <c r="Y1084" s="6"/>
      <c r="Z1084" s="4"/>
      <c r="AA1084" t="s">
        <v>439</v>
      </c>
    </row>
    <row r="1085" spans="1:27" x14ac:dyDescent="0.35">
      <c r="A1085" t="str">
        <f>_xlfn.CONCAT(Tableau1[[#This Row],[Athletes]],"_",Tableau1[[#This Row],[Nationality]],"_",Tableau1[[#This Row],[Competition_year]])</f>
        <v>Mateusz BORKOWSKI_POL_2021</v>
      </c>
      <c r="B1085" t="s">
        <v>109</v>
      </c>
      <c r="C1085" t="s">
        <v>14</v>
      </c>
      <c r="D1085" s="18" t="s">
        <v>88</v>
      </c>
      <c r="E1085">
        <v>13.3</v>
      </c>
      <c r="F1085">
        <v>12.1</v>
      </c>
      <c r="G1085">
        <v>13</v>
      </c>
      <c r="H1085">
        <v>13.6</v>
      </c>
      <c r="I1085">
        <v>13.4</v>
      </c>
      <c r="J1085">
        <v>13.4</v>
      </c>
      <c r="K1085">
        <v>13.7</v>
      </c>
      <c r="L1085">
        <f>Tableau1[[#This Row],[Final_time]]-SUM(Tableau1[[#This Row],[0_100m]:[600_700m]])</f>
        <v>14.039999999999992</v>
      </c>
      <c r="M1085">
        <v>106.54</v>
      </c>
      <c r="N1085">
        <f>SUM(Tableau1[[#This Row],[0_100m]:[700_800m]])</f>
        <v>106.54</v>
      </c>
      <c r="O1085">
        <f>ABS(Tableau1[[#This Row],[Final_time]]-Tableau1[[#This Row],[Sum_time]])</f>
        <v>0</v>
      </c>
      <c r="P1085" s="8"/>
      <c r="Q1085" s="16" t="str">
        <f>_xlfn.CONCAT(Tableau1[[#This Row],[Competition]],"_",Tableau1[[#This Row],[Championship_step]],"_",Tableau1[[#This Row],[Competition_date]],"_",Tableau1[[#This Row],[Gender]])</f>
        <v>Olympic Games Tokyo 2021_Semi 2_44409_Male</v>
      </c>
      <c r="R1085" t="s">
        <v>420</v>
      </c>
      <c r="S1085" s="1" t="s">
        <v>105</v>
      </c>
      <c r="T1085" t="s">
        <v>156</v>
      </c>
      <c r="U1085" s="1" t="s">
        <v>69</v>
      </c>
      <c r="V1085" s="1">
        <v>44409</v>
      </c>
      <c r="W1085" s="4">
        <f>YEAR(Tableau1[[#This Row],[Competition_date]])</f>
        <v>2021</v>
      </c>
      <c r="X1085" s="4"/>
      <c r="Y1085" s="6"/>
      <c r="Z1085" s="4"/>
      <c r="AA1085" t="s">
        <v>439</v>
      </c>
    </row>
    <row r="1086" spans="1:27" x14ac:dyDescent="0.35">
      <c r="A1086" t="str">
        <f>_xlfn.CONCAT(Tableau1[[#This Row],[Athletes]],"_",Tableau1[[#This Row],[Nationality]],"_",Tableau1[[#This Row],[Competition_year]])</f>
        <v>Keely HODGKINSON_GBR_2021</v>
      </c>
      <c r="B1086" s="9" t="s">
        <v>212</v>
      </c>
      <c r="C1086" s="9" t="s">
        <v>29</v>
      </c>
      <c r="D1086" s="12" t="s">
        <v>30</v>
      </c>
      <c r="E1086" s="11">
        <v>14.2</v>
      </c>
      <c r="F1086" s="11">
        <v>14.2</v>
      </c>
      <c r="G1086" s="11">
        <v>15.7</v>
      </c>
      <c r="H1086" s="11">
        <v>15.9</v>
      </c>
      <c r="I1086" s="11">
        <v>15.5</v>
      </c>
      <c r="J1086" s="11">
        <v>14.8</v>
      </c>
      <c r="K1086" s="11">
        <v>14.6</v>
      </c>
      <c r="L1086">
        <f>Tableau1[[#This Row],[Final_time]]-SUM(Tableau1[[#This Row],[0_100m]:[600_700m]])</f>
        <v>14.220000000000013</v>
      </c>
      <c r="M1086" s="11">
        <v>119.12</v>
      </c>
      <c r="N1086">
        <f>SUM(Tableau1[[#This Row],[0_100m]:[700_800m]])</f>
        <v>119.12</v>
      </c>
      <c r="O1086">
        <f>ABS(Tableau1[[#This Row],[Final_time]]-Tableau1[[#This Row],[Sum_time]])</f>
        <v>0</v>
      </c>
      <c r="P1086" s="8" t="s">
        <v>141</v>
      </c>
      <c r="Q1086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86" t="s">
        <v>420</v>
      </c>
      <c r="S1086" s="1" t="s">
        <v>105</v>
      </c>
      <c r="T1086" t="s">
        <v>157</v>
      </c>
      <c r="U1086" s="1" t="s">
        <v>69</v>
      </c>
      <c r="V1086" s="1">
        <v>44408</v>
      </c>
      <c r="W1086" s="4">
        <f>YEAR(Tableau1[[#This Row],[Competition_date]])</f>
        <v>2021</v>
      </c>
      <c r="X1086" s="4"/>
      <c r="Y1086" s="6"/>
      <c r="Z1086" s="4"/>
      <c r="AA1086" t="s">
        <v>461</v>
      </c>
    </row>
    <row r="1087" spans="1:27" x14ac:dyDescent="0.35">
      <c r="A1087" t="str">
        <f>_xlfn.CONCAT(Tableau1[[#This Row],[Athletes]],"_",Tableau1[[#This Row],[Nationality]],"_",Tableau1[[#This Row],[Competition_year]])</f>
        <v>Chunyu WANG_CHN_2021</v>
      </c>
      <c r="B1087" s="9" t="s">
        <v>457</v>
      </c>
      <c r="C1087" s="9" t="s">
        <v>29</v>
      </c>
      <c r="D1087" s="12" t="s">
        <v>64</v>
      </c>
      <c r="E1087" s="11">
        <v>14.2</v>
      </c>
      <c r="F1087" s="11">
        <v>13.6</v>
      </c>
      <c r="G1087" s="11">
        <v>15.8</v>
      </c>
      <c r="H1087" s="11">
        <v>15.9</v>
      </c>
      <c r="I1087" s="11">
        <v>15.5</v>
      </c>
      <c r="J1087" s="11">
        <v>15</v>
      </c>
      <c r="K1087" s="11">
        <v>14.7</v>
      </c>
      <c r="L1087">
        <f>Tableau1[[#This Row],[Final_time]]-SUM(Tableau1[[#This Row],[0_100m]:[600_700m]])</f>
        <v>14.439999999999998</v>
      </c>
      <c r="M1087" s="11">
        <v>119.14</v>
      </c>
      <c r="N1087">
        <f>SUM(Tableau1[[#This Row],[0_100m]:[700_800m]])</f>
        <v>119.14</v>
      </c>
      <c r="O1087">
        <f>ABS(Tableau1[[#This Row],[Final_time]]-Tableau1[[#This Row],[Sum_time]])</f>
        <v>0</v>
      </c>
      <c r="P1087" s="8" t="s">
        <v>141</v>
      </c>
      <c r="Q1087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87" t="s">
        <v>420</v>
      </c>
      <c r="S1087" s="1" t="s">
        <v>105</v>
      </c>
      <c r="T1087" t="s">
        <v>157</v>
      </c>
      <c r="U1087" s="1" t="s">
        <v>69</v>
      </c>
      <c r="V1087" s="1">
        <v>44408</v>
      </c>
      <c r="W1087" s="4">
        <f>YEAR(Tableau1[[#This Row],[Competition_date]])</f>
        <v>2021</v>
      </c>
      <c r="X1087" s="4"/>
      <c r="Y1087" s="6"/>
      <c r="Z1087" s="4"/>
      <c r="AA1087" t="s">
        <v>461</v>
      </c>
    </row>
    <row r="1088" spans="1:27" x14ac:dyDescent="0.35">
      <c r="A1088" t="str">
        <f>_xlfn.CONCAT(Tableau1[[#This Row],[Athletes]],"_",Tableau1[[#This Row],[Nationality]],"_",Tableau1[[#This Row],[Competition_year]])</f>
        <v>Raevyn ROGERS_USA_2021</v>
      </c>
      <c r="B1088" s="9" t="s">
        <v>221</v>
      </c>
      <c r="C1088" s="9" t="s">
        <v>29</v>
      </c>
      <c r="D1088" s="12" t="s">
        <v>35</v>
      </c>
      <c r="E1088" s="11">
        <v>14.1</v>
      </c>
      <c r="F1088" s="11">
        <v>14.1</v>
      </c>
      <c r="G1088" s="11">
        <v>15.7</v>
      </c>
      <c r="H1088" s="11">
        <v>15.9</v>
      </c>
      <c r="I1088" s="11">
        <v>15.4</v>
      </c>
      <c r="J1088" s="11">
        <v>14.9</v>
      </c>
      <c r="K1088" s="11">
        <v>14.8</v>
      </c>
      <c r="L1088">
        <f>Tableau1[[#This Row],[Final_time]]-SUM(Tableau1[[#This Row],[0_100m]:[600_700m]])</f>
        <v>14.379999999999995</v>
      </c>
      <c r="M1088" s="11">
        <v>119.28</v>
      </c>
      <c r="N1088">
        <f>SUM(Tableau1[[#This Row],[0_100m]:[700_800m]])</f>
        <v>119.28</v>
      </c>
      <c r="O1088">
        <f>ABS(Tableau1[[#This Row],[Final_time]]-Tableau1[[#This Row],[Sum_time]])</f>
        <v>0</v>
      </c>
      <c r="P1088" s="8" t="s">
        <v>142</v>
      </c>
      <c r="Q1088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88" t="s">
        <v>420</v>
      </c>
      <c r="S1088" s="1" t="s">
        <v>105</v>
      </c>
      <c r="T1088" t="s">
        <v>157</v>
      </c>
      <c r="U1088" s="1" t="s">
        <v>69</v>
      </c>
      <c r="V1088" s="1">
        <v>44408</v>
      </c>
      <c r="W1088" s="4">
        <f>YEAR(Tableau1[[#This Row],[Competition_date]])</f>
        <v>2021</v>
      </c>
      <c r="X1088" s="4"/>
      <c r="Y1088" s="6"/>
      <c r="Z1088" s="4"/>
      <c r="AA1088" t="s">
        <v>461</v>
      </c>
    </row>
    <row r="1089" spans="1:27" x14ac:dyDescent="0.35">
      <c r="A1089" t="str">
        <f>_xlfn.CONCAT(Tableau1[[#This Row],[Athletes]],"_",Tableau1[[#This Row],[Nationality]],"_",Tableau1[[#This Row],[Competition_year]])</f>
        <v>Rose Mary ALMANZA_CUB_2021</v>
      </c>
      <c r="B1089" s="9" t="s">
        <v>263</v>
      </c>
      <c r="C1089" s="9" t="s">
        <v>29</v>
      </c>
      <c r="D1089" s="12" t="s">
        <v>165</v>
      </c>
      <c r="E1089" s="11">
        <v>14</v>
      </c>
      <c r="F1089" s="11">
        <v>14</v>
      </c>
      <c r="G1089" s="11">
        <v>15.7</v>
      </c>
      <c r="H1089" s="11">
        <v>15.9</v>
      </c>
      <c r="I1089" s="11">
        <v>15.3</v>
      </c>
      <c r="J1089" s="11">
        <v>15</v>
      </c>
      <c r="K1089" s="11">
        <v>14.7</v>
      </c>
      <c r="L1089">
        <f>Tableau1[[#This Row],[Final_time]]-SUM(Tableau1[[#This Row],[0_100m]:[600_700m]])</f>
        <v>15.049999999999997</v>
      </c>
      <c r="M1089" s="11">
        <v>119.65</v>
      </c>
      <c r="N1089">
        <f>SUM(Tableau1[[#This Row],[0_100m]:[700_800m]])</f>
        <v>119.65</v>
      </c>
      <c r="O1089">
        <f>ABS(Tableau1[[#This Row],[Final_time]]-Tableau1[[#This Row],[Sum_time]])</f>
        <v>0</v>
      </c>
      <c r="P1089" s="8"/>
      <c r="Q1089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89" t="s">
        <v>420</v>
      </c>
      <c r="S1089" s="1" t="s">
        <v>105</v>
      </c>
      <c r="T1089" t="s">
        <v>157</v>
      </c>
      <c r="U1089" s="1" t="s">
        <v>69</v>
      </c>
      <c r="V1089" s="1">
        <v>44408</v>
      </c>
      <c r="W1089" s="4">
        <f>YEAR(Tableau1[[#This Row],[Competition_date]])</f>
        <v>2021</v>
      </c>
      <c r="X1089" s="4"/>
      <c r="Y1089" s="6"/>
      <c r="Z1089" s="4"/>
      <c r="AA1089" t="s">
        <v>461</v>
      </c>
    </row>
    <row r="1090" spans="1:27" x14ac:dyDescent="0.35">
      <c r="A1090" t="str">
        <f>_xlfn.CONCAT(Tableau1[[#This Row],[Athletes]],"_",Tableau1[[#This Row],[Nationality]],"_",Tableau1[[#This Row],[Competition_year]])</f>
        <v>Winnie NANYONDO_UGA_2021</v>
      </c>
      <c r="B1090" s="9" t="s">
        <v>441</v>
      </c>
      <c r="C1090" s="9" t="s">
        <v>29</v>
      </c>
      <c r="D1090" s="12" t="s">
        <v>34</v>
      </c>
      <c r="E1090" s="11">
        <v>13.9</v>
      </c>
      <c r="F1090" s="11">
        <v>14.3</v>
      </c>
      <c r="G1090" s="11">
        <v>15.7</v>
      </c>
      <c r="H1090" s="11">
        <v>15.8</v>
      </c>
      <c r="I1090" s="11">
        <v>15.4</v>
      </c>
      <c r="J1090" s="11">
        <v>14.9</v>
      </c>
      <c r="K1090" s="11">
        <v>14.7</v>
      </c>
      <c r="L1090">
        <f>Tableau1[[#This Row],[Final_time]]-SUM(Tableau1[[#This Row],[0_100m]:[600_700m]])</f>
        <v>15.139999999999986</v>
      </c>
      <c r="M1090" s="11">
        <v>119.84</v>
      </c>
      <c r="N1090">
        <f>SUM(Tableau1[[#This Row],[0_100m]:[700_800m]])</f>
        <v>119.84</v>
      </c>
      <c r="O1090">
        <f>ABS(Tableau1[[#This Row],[Final_time]]-Tableau1[[#This Row],[Sum_time]])</f>
        <v>0</v>
      </c>
      <c r="P1090" s="8"/>
      <c r="Q1090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90" t="s">
        <v>420</v>
      </c>
      <c r="S1090" s="1" t="s">
        <v>105</v>
      </c>
      <c r="T1090" t="s">
        <v>157</v>
      </c>
      <c r="U1090" s="1" t="s">
        <v>69</v>
      </c>
      <c r="V1090" s="1">
        <v>44408</v>
      </c>
      <c r="W1090" s="4">
        <f>YEAR(Tableau1[[#This Row],[Competition_date]])</f>
        <v>2021</v>
      </c>
      <c r="X1090" s="4"/>
      <c r="Y1090" s="6"/>
      <c r="Z1090" s="4"/>
      <c r="AA1090" t="s">
        <v>461</v>
      </c>
    </row>
    <row r="1091" spans="1:27" x14ac:dyDescent="0.35">
      <c r="A1091" t="str">
        <f>_xlfn.CONCAT(Tableau1[[#This Row],[Athletes]],"_",Tableau1[[#This Row],[Nationality]],"_",Tableau1[[#This Row],[Competition_year]])</f>
        <v>Rababe ARAFI_MAR_2021</v>
      </c>
      <c r="B1091" s="9" t="s">
        <v>455</v>
      </c>
      <c r="C1091" s="9" t="s">
        <v>29</v>
      </c>
      <c r="D1091" s="12" t="s">
        <v>21</v>
      </c>
      <c r="E1091" s="11">
        <v>15.2</v>
      </c>
      <c r="F1091" s="11">
        <v>14.1</v>
      </c>
      <c r="G1091" s="11">
        <v>15.8</v>
      </c>
      <c r="H1091" s="11">
        <v>15.9</v>
      </c>
      <c r="I1091" s="11">
        <v>15.5</v>
      </c>
      <c r="J1091" s="11">
        <f>90.1-SUM(Tableau1[[#This Row],[0_100m]:[400_500m]])</f>
        <v>13.599999999999994</v>
      </c>
      <c r="K1091" s="11">
        <v>14.7</v>
      </c>
      <c r="L1091">
        <f>Tableau1[[#This Row],[Final_time]]-SUM(Tableau1[[#This Row],[0_100m]:[600_700m]])</f>
        <v>15.060000000000002</v>
      </c>
      <c r="M1091" s="11">
        <v>119.86</v>
      </c>
      <c r="N1091">
        <f>SUM(Tableau1[[#This Row],[0_100m]:[700_800m]])</f>
        <v>119.86</v>
      </c>
      <c r="O1091">
        <f>ABS(Tableau1[[#This Row],[Final_time]]-Tableau1[[#This Row],[Sum_time]])</f>
        <v>0</v>
      </c>
      <c r="P1091" s="8"/>
      <c r="Q1091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91" t="s">
        <v>420</v>
      </c>
      <c r="S1091" s="1" t="s">
        <v>105</v>
      </c>
      <c r="T1091" t="s">
        <v>157</v>
      </c>
      <c r="U1091" s="1" t="s">
        <v>69</v>
      </c>
      <c r="V1091" s="1">
        <v>44408</v>
      </c>
      <c r="W1091" s="4">
        <f>YEAR(Tableau1[[#This Row],[Competition_date]])</f>
        <v>2021</v>
      </c>
      <c r="X1091" s="4"/>
      <c r="Y1091" s="6"/>
      <c r="Z1091" s="4"/>
      <c r="AA1091" t="s">
        <v>461</v>
      </c>
    </row>
    <row r="1092" spans="1:27" x14ac:dyDescent="0.35">
      <c r="A1092" t="str">
        <f>_xlfn.CONCAT(Tableau1[[#This Row],[Athletes]],"_",Tableau1[[#This Row],[Nationality]],"_",Tableau1[[#This Row],[Competition_year]])</f>
        <v>Déborah RODRÍGUEZ_URU_2021</v>
      </c>
      <c r="B1092" s="9" t="s">
        <v>258</v>
      </c>
      <c r="C1092" s="9" t="s">
        <v>29</v>
      </c>
      <c r="D1092" s="12" t="s">
        <v>163</v>
      </c>
      <c r="E1092" s="11">
        <v>14.2</v>
      </c>
      <c r="F1092" s="11">
        <v>14.1</v>
      </c>
      <c r="G1092" s="11">
        <v>15.7</v>
      </c>
      <c r="H1092" s="11">
        <v>15.9</v>
      </c>
      <c r="I1092" s="11">
        <v>15.5</v>
      </c>
      <c r="J1092" s="11">
        <v>15.1</v>
      </c>
      <c r="K1092" s="11">
        <v>15.2</v>
      </c>
      <c r="L1092">
        <f>Tableau1[[#This Row],[Final_time]]-SUM(Tableau1[[#This Row],[0_100m]:[600_700m]])</f>
        <v>16.060000000000002</v>
      </c>
      <c r="M1092" s="11">
        <v>121.76</v>
      </c>
      <c r="N1092">
        <f>SUM(Tableau1[[#This Row],[0_100m]:[700_800m]])</f>
        <v>121.76</v>
      </c>
      <c r="O1092">
        <f>ABS(Tableau1[[#This Row],[Final_time]]-Tableau1[[#This Row],[Sum_time]])</f>
        <v>0</v>
      </c>
      <c r="P1092" s="8"/>
      <c r="Q1092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92" t="s">
        <v>420</v>
      </c>
      <c r="S1092" s="1" t="s">
        <v>105</v>
      </c>
      <c r="T1092" t="s">
        <v>157</v>
      </c>
      <c r="U1092" s="1" t="s">
        <v>69</v>
      </c>
      <c r="V1092" s="1">
        <v>44408</v>
      </c>
      <c r="W1092" s="4">
        <f>YEAR(Tableau1[[#This Row],[Competition_date]])</f>
        <v>2021</v>
      </c>
      <c r="X1092" s="4"/>
      <c r="Y1092" s="6"/>
      <c r="Z1092" s="4"/>
      <c r="AA1092" t="s">
        <v>461</v>
      </c>
    </row>
    <row r="1093" spans="1:27" x14ac:dyDescent="0.35">
      <c r="A1093" t="str">
        <f>_xlfn.CONCAT(Tableau1[[#This Row],[Athletes]],"_",Tableau1[[#This Row],[Nationality]],"_",Tableau1[[#This Row],[Competition_year]])</f>
        <v>Katharina TROST_GER_2021</v>
      </c>
      <c r="B1093" s="9" t="s">
        <v>373</v>
      </c>
      <c r="C1093" s="9" t="s">
        <v>29</v>
      </c>
      <c r="D1093" s="12" t="s">
        <v>139</v>
      </c>
      <c r="E1093" s="11">
        <v>14.4</v>
      </c>
      <c r="F1093" s="11">
        <v>14.2</v>
      </c>
      <c r="G1093" s="11">
        <v>15.5</v>
      </c>
      <c r="H1093" s="11">
        <v>15.8</v>
      </c>
      <c r="I1093" s="11">
        <v>15.5</v>
      </c>
      <c r="J1093" s="11">
        <v>15</v>
      </c>
      <c r="K1093" s="11">
        <v>15.1</v>
      </c>
      <c r="L1093">
        <f>Tableau1[[#This Row],[Final_time]]-SUM(Tableau1[[#This Row],[0_100m]:[600_700m]])</f>
        <v>16.64</v>
      </c>
      <c r="M1093" s="11">
        <v>122.14</v>
      </c>
      <c r="N1093">
        <f>SUM(Tableau1[[#This Row],[0_100m]:[700_800m]])</f>
        <v>122.14</v>
      </c>
      <c r="O1093">
        <f>ABS(Tableau1[[#This Row],[Final_time]]-Tableau1[[#This Row],[Sum_time]])</f>
        <v>0</v>
      </c>
      <c r="P1093" s="8"/>
      <c r="Q1093" s="16" t="str">
        <f>_xlfn.CONCAT(Tableau1[[#This Row],[Competition]],"_",Tableau1[[#This Row],[Championship_step]],"_",Tableau1[[#This Row],[Competition_date]],"_",Tableau1[[#This Row],[Gender]])</f>
        <v>Olympic Games Tokyo 2021_Semi 3_44408_Female</v>
      </c>
      <c r="R1093" t="s">
        <v>420</v>
      </c>
      <c r="S1093" s="1" t="s">
        <v>105</v>
      </c>
      <c r="T1093" t="s">
        <v>157</v>
      </c>
      <c r="U1093" s="1" t="s">
        <v>69</v>
      </c>
      <c r="V1093" s="1">
        <v>44408</v>
      </c>
      <c r="W1093" s="4">
        <f>YEAR(Tableau1[[#This Row],[Competition_date]])</f>
        <v>2021</v>
      </c>
      <c r="X1093" s="4"/>
      <c r="Y1093" s="6"/>
      <c r="Z1093" s="4"/>
      <c r="AA1093" t="s">
        <v>461</v>
      </c>
    </row>
    <row r="1094" spans="1:27" hidden="1" x14ac:dyDescent="0.35">
      <c r="A1094" t="str">
        <f>_xlfn.CONCAT(Tableau1[[#This Row],[Athletes]],"_",Tableau1[[#This Row],[Nationality]],"_",Tableau1[[#This Row],[Competition_year]])</f>
        <v>Ben PATTISON_GBR_2023</v>
      </c>
      <c r="B1094" t="s">
        <v>108</v>
      </c>
      <c r="C1094" t="s">
        <v>14</v>
      </c>
      <c r="D1094" s="18" t="s">
        <v>30</v>
      </c>
      <c r="E1094">
        <v>12.63</v>
      </c>
      <c r="F1094">
        <v>12.71</v>
      </c>
      <c r="G1094">
        <v>13.81</v>
      </c>
      <c r="H1094">
        <v>13.71</v>
      </c>
      <c r="I1094">
        <v>13.74</v>
      </c>
      <c r="J1094">
        <v>13.11</v>
      </c>
      <c r="K1094">
        <v>12.51</v>
      </c>
      <c r="L1094">
        <f>Tableau1[[#This Row],[Final_time]]-SUM(Tableau1[[#This Row],[0_100m]:[600_700m]])</f>
        <v>12.609999999999985</v>
      </c>
      <c r="M1094">
        <v>104.83</v>
      </c>
      <c r="N1094">
        <f>SUM(Tableau1[[#This Row],[0_100m]:[700_800m]])</f>
        <v>104.83</v>
      </c>
      <c r="O1094">
        <f>ABS(Tableau1[[#This Row],[Final_time]]-Tableau1[[#This Row],[Sum_time]])</f>
        <v>0</v>
      </c>
      <c r="P1094" s="8"/>
      <c r="Q1094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1094" t="s">
        <v>104</v>
      </c>
      <c r="S1094" s="1" t="s">
        <v>136</v>
      </c>
      <c r="T1094" t="s">
        <v>149</v>
      </c>
      <c r="U1094" s="1" t="s">
        <v>69</v>
      </c>
      <c r="V1094" s="1">
        <v>45164</v>
      </c>
      <c r="W1094" s="4">
        <f>YEAR(Tableau1[[#This Row],[Competition_date]])</f>
        <v>2023</v>
      </c>
      <c r="X1094" s="4">
        <v>32</v>
      </c>
      <c r="Y1094" s="6">
        <v>0.46</v>
      </c>
      <c r="Z1094" s="4"/>
      <c r="AA1094" t="s">
        <v>137</v>
      </c>
    </row>
    <row r="1095" spans="1:27" hidden="1" x14ac:dyDescent="0.35">
      <c r="A1095" t="str">
        <f>_xlfn.CONCAT(Tableau1[[#This Row],[Athletes]],"_",Tableau1[[#This Row],[Nationality]],"_",Tableau1[[#This Row],[Competition_year]])</f>
        <v>Adrián BEN_ESP_2023</v>
      </c>
      <c r="B1095" t="s">
        <v>184</v>
      </c>
      <c r="C1095" t="s">
        <v>14</v>
      </c>
      <c r="D1095" s="18" t="s">
        <v>37</v>
      </c>
      <c r="E1095">
        <v>13.07</v>
      </c>
      <c r="F1095">
        <v>12.78</v>
      </c>
      <c r="G1095">
        <v>13.73</v>
      </c>
      <c r="H1095">
        <v>13.69</v>
      </c>
      <c r="I1095">
        <v>13.79</v>
      </c>
      <c r="J1095">
        <v>13</v>
      </c>
      <c r="K1095">
        <v>12.57</v>
      </c>
      <c r="L1095">
        <f>Tableau1[[#This Row],[Final_time]]-SUM(Tableau1[[#This Row],[0_100m]:[600_700m]])</f>
        <v>12.280000000000001</v>
      </c>
      <c r="M1095">
        <v>104.91</v>
      </c>
      <c r="N1095">
        <f>SUM(Tableau1[[#This Row],[0_100m]:[700_800m]])</f>
        <v>104.91</v>
      </c>
      <c r="O1095">
        <f>ABS(Tableau1[[#This Row],[Final_time]]-Tableau1[[#This Row],[Sum_time]])</f>
        <v>0</v>
      </c>
      <c r="P1095" s="8"/>
      <c r="Q1095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1095" t="s">
        <v>104</v>
      </c>
      <c r="S1095" s="1" t="s">
        <v>136</v>
      </c>
      <c r="T1095" t="s">
        <v>149</v>
      </c>
      <c r="U1095" s="1" t="s">
        <v>69</v>
      </c>
      <c r="V1095" s="1">
        <v>45164</v>
      </c>
      <c r="W1095" s="4">
        <f>YEAR(Tableau1[[#This Row],[Competition_date]])</f>
        <v>2023</v>
      </c>
      <c r="X1095" s="4">
        <v>32</v>
      </c>
      <c r="Y1095" s="6">
        <v>0.46</v>
      </c>
      <c r="Z1095" s="4"/>
      <c r="AA1095" t="s">
        <v>137</v>
      </c>
    </row>
    <row r="1096" spans="1:27" hidden="1" x14ac:dyDescent="0.35">
      <c r="A1096" t="str">
        <f>_xlfn.CONCAT(Tableau1[[#This Row],[Athletes]],"_",Tableau1[[#This Row],[Nationality]],"_",Tableau1[[#This Row],[Competition_year]])</f>
        <v>Slimane MOULA_ALG_2023</v>
      </c>
      <c r="B1096" t="s">
        <v>103</v>
      </c>
      <c r="C1096" t="s">
        <v>14</v>
      </c>
      <c r="D1096" s="18" t="s">
        <v>24</v>
      </c>
      <c r="E1096">
        <v>13.06</v>
      </c>
      <c r="F1096">
        <v>12.53</v>
      </c>
      <c r="G1096">
        <v>14</v>
      </c>
      <c r="H1096">
        <v>13.66</v>
      </c>
      <c r="I1096">
        <v>13.81</v>
      </c>
      <c r="J1096">
        <v>12.73</v>
      </c>
      <c r="K1096">
        <v>12.78</v>
      </c>
      <c r="L1096">
        <f>Tableau1[[#This Row],[Final_time]]-SUM(Tableau1[[#This Row],[0_100m]:[600_700m]])</f>
        <v>12.379999999999995</v>
      </c>
      <c r="M1096">
        <v>104.95</v>
      </c>
      <c r="N1096">
        <f>SUM(Tableau1[[#This Row],[0_100m]:[700_800m]])</f>
        <v>104.95</v>
      </c>
      <c r="O1096">
        <f>ABS(Tableau1[[#This Row],[Final_time]]-Tableau1[[#This Row],[Sum_time]])</f>
        <v>0</v>
      </c>
      <c r="P1096" s="8"/>
      <c r="Q1096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1096" t="s">
        <v>104</v>
      </c>
      <c r="S1096" s="1" t="s">
        <v>136</v>
      </c>
      <c r="T1096" t="s">
        <v>149</v>
      </c>
      <c r="U1096" s="1" t="s">
        <v>69</v>
      </c>
      <c r="V1096" s="1">
        <v>45164</v>
      </c>
      <c r="W1096" s="4">
        <f>YEAR(Tableau1[[#This Row],[Competition_date]])</f>
        <v>2023</v>
      </c>
      <c r="X1096" s="4">
        <v>32</v>
      </c>
      <c r="Y1096" s="6">
        <v>0.46</v>
      </c>
      <c r="Z1096" s="4"/>
      <c r="AA1096" t="s">
        <v>137</v>
      </c>
    </row>
    <row r="1097" spans="1:27" hidden="1" x14ac:dyDescent="0.35">
      <c r="A1097" t="str">
        <f>_xlfn.CONCAT(Tableau1[[#This Row],[Athletes]],"_",Tableau1[[#This Row],[Nationality]],"_",Tableau1[[#This Row],[Competition_year]])</f>
        <v>Tshepiso MASALELA_BOT_2023</v>
      </c>
      <c r="B1097" t="s">
        <v>107</v>
      </c>
      <c r="C1097" t="s">
        <v>14</v>
      </c>
      <c r="D1097" s="18" t="s">
        <v>44</v>
      </c>
      <c r="E1097">
        <v>12.67</v>
      </c>
      <c r="F1097">
        <v>12.87</v>
      </c>
      <c r="G1097">
        <v>13.63</v>
      </c>
      <c r="H1097">
        <v>13.73</v>
      </c>
      <c r="I1097">
        <v>13.7</v>
      </c>
      <c r="J1097">
        <v>12.85</v>
      </c>
      <c r="K1097">
        <v>12.72</v>
      </c>
      <c r="L1097">
        <f>Tableau1[[#This Row],[Final_time]]-SUM(Tableau1[[#This Row],[0_100m]:[600_700m]])</f>
        <v>13.399999999999991</v>
      </c>
      <c r="M1097">
        <v>105.57</v>
      </c>
      <c r="N1097">
        <f>SUM(Tableau1[[#This Row],[0_100m]:[700_800m]])</f>
        <v>105.57</v>
      </c>
      <c r="O1097">
        <f>ABS(Tableau1[[#This Row],[Final_time]]-Tableau1[[#This Row],[Sum_time]])</f>
        <v>0</v>
      </c>
      <c r="P1097" s="8"/>
      <c r="Q1097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1097" t="s">
        <v>104</v>
      </c>
      <c r="S1097" s="1" t="s">
        <v>136</v>
      </c>
      <c r="T1097" t="s">
        <v>149</v>
      </c>
      <c r="U1097" s="1" t="s">
        <v>69</v>
      </c>
      <c r="V1097" s="1">
        <v>45164</v>
      </c>
      <c r="W1097" s="4">
        <f>YEAR(Tableau1[[#This Row],[Competition_date]])</f>
        <v>2023</v>
      </c>
      <c r="X1097" s="4">
        <v>32</v>
      </c>
      <c r="Y1097" s="6">
        <v>0.46</v>
      </c>
      <c r="Z1097" s="4"/>
      <c r="AA1097" t="s">
        <v>137</v>
      </c>
    </row>
    <row r="1098" spans="1:27" hidden="1" x14ac:dyDescent="0.35">
      <c r="A1098" t="str">
        <f>_xlfn.CONCAT(Tableau1[[#This Row],[Athletes]],"_",Tableau1[[#This Row],[Nationality]],"_",Tableau1[[#This Row],[Competition_year]])</f>
        <v>Bryce HOPPEL_USA_2023</v>
      </c>
      <c r="B1098" t="s">
        <v>173</v>
      </c>
      <c r="C1098" t="s">
        <v>14</v>
      </c>
      <c r="D1098" s="18" t="s">
        <v>35</v>
      </c>
      <c r="E1098">
        <v>12.78</v>
      </c>
      <c r="F1098">
        <v>12.88</v>
      </c>
      <c r="G1098">
        <v>13.64</v>
      </c>
      <c r="H1098">
        <v>13.78</v>
      </c>
      <c r="I1098">
        <v>13.86</v>
      </c>
      <c r="J1098">
        <v>12.74</v>
      </c>
      <c r="K1098">
        <v>12.9</v>
      </c>
      <c r="L1098">
        <f>Tableau1[[#This Row],[Final_time]]-SUM(Tableau1[[#This Row],[0_100m]:[600_700m]])</f>
        <v>13.439999999999998</v>
      </c>
      <c r="M1098">
        <v>106.02</v>
      </c>
      <c r="N1098">
        <f>SUM(Tableau1[[#This Row],[0_100m]:[700_800m]])</f>
        <v>106.02</v>
      </c>
      <c r="O1098">
        <f>ABS(Tableau1[[#This Row],[Final_time]]-Tableau1[[#This Row],[Sum_time]])</f>
        <v>0</v>
      </c>
      <c r="P1098" s="8"/>
      <c r="Q1098" s="16" t="str">
        <f>_xlfn.CONCAT(Tableau1[[#This Row],[Competition]],"_",Tableau1[[#This Row],[Championship_step]],"_",Tableau1[[#This Row],[Competition_date]],"_",Tableau1[[#This Row],[Gender]])</f>
        <v>World Championships Budapest 2023_Final_45164_Male</v>
      </c>
      <c r="R1098" t="s">
        <v>104</v>
      </c>
      <c r="S1098" s="1" t="s">
        <v>136</v>
      </c>
      <c r="T1098" t="s">
        <v>149</v>
      </c>
      <c r="U1098" s="1" t="s">
        <v>69</v>
      </c>
      <c r="V1098" s="1">
        <v>45164</v>
      </c>
      <c r="W1098" s="4">
        <f>YEAR(Tableau1[[#This Row],[Competition_date]])</f>
        <v>2023</v>
      </c>
      <c r="X1098" s="4">
        <v>32</v>
      </c>
      <c r="Y1098" s="6">
        <v>0.46</v>
      </c>
      <c r="Z1098" s="4"/>
      <c r="AA1098" t="s">
        <v>137</v>
      </c>
    </row>
    <row r="1099" spans="1:27" hidden="1" x14ac:dyDescent="0.35">
      <c r="A1099" t="str">
        <f>_xlfn.CONCAT(Tableau1[[#This Row],[Athletes]],"_",Tableau1[[#This Row],[Nationality]],"_",Tableau1[[#This Row],[Competition_year]])</f>
        <v>Lilian ODIRA_KEN_2025</v>
      </c>
      <c r="B1099" s="9" t="s">
        <v>1381</v>
      </c>
      <c r="C1099" s="9" t="s">
        <v>29</v>
      </c>
      <c r="D1099" s="12" t="s">
        <v>15</v>
      </c>
      <c r="E1099" s="9">
        <v>13.39</v>
      </c>
      <c r="F1099" s="9">
        <v>13.4</v>
      </c>
      <c r="G1099" s="9">
        <v>14.52</v>
      </c>
      <c r="H1099" s="9">
        <v>14.96</v>
      </c>
      <c r="I1099" s="9">
        <v>15.21</v>
      </c>
      <c r="J1099" s="9">
        <v>14.31</v>
      </c>
      <c r="K1099" s="9">
        <v>14.37</v>
      </c>
      <c r="L1099">
        <f>Tableau1[[#This Row],[Final_time]]-SUM(Tableau1[[#This Row],[0_100m]:[600_700m]])</f>
        <v>14.459999999999994</v>
      </c>
      <c r="M1099" s="9">
        <v>114.62</v>
      </c>
      <c r="N1099">
        <f>SUM(Tableau1[[#This Row],[0_100m]:[700_800m]])</f>
        <v>114.62</v>
      </c>
      <c r="O1099">
        <f>ABS(Tableau1[[#This Row],[Final_time]]-Tableau1[[#This Row],[Sum_time]])</f>
        <v>0</v>
      </c>
      <c r="P1099" s="8"/>
      <c r="Q1099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099" t="s">
        <v>1407</v>
      </c>
      <c r="S1099" s="1" t="s">
        <v>136</v>
      </c>
      <c r="T1099" t="s">
        <v>149</v>
      </c>
      <c r="U1099" s="1" t="s">
        <v>69</v>
      </c>
      <c r="V1099" s="1">
        <v>45921</v>
      </c>
      <c r="W1099" s="4">
        <f>YEAR(Tableau1[[#This Row],[Competition_date]])</f>
        <v>2025</v>
      </c>
      <c r="X1099" s="4">
        <v>24</v>
      </c>
      <c r="Y1099" s="6">
        <v>0.67</v>
      </c>
      <c r="Z1099" s="4"/>
    </row>
    <row r="1100" spans="1:27" hidden="1" x14ac:dyDescent="0.35">
      <c r="A1100" t="str">
        <f>_xlfn.CONCAT(Tableau1[[#This Row],[Athletes]],"_",Tableau1[[#This Row],[Nationality]],"_",Tableau1[[#This Row],[Competition_year]])</f>
        <v>Georgia HUNTER BELL_GBR_2025</v>
      </c>
      <c r="B1100" s="9" t="s">
        <v>1351</v>
      </c>
      <c r="C1100" s="9" t="s">
        <v>29</v>
      </c>
      <c r="D1100" s="12" t="s">
        <v>30</v>
      </c>
      <c r="E1100" s="9">
        <v>13.45</v>
      </c>
      <c r="F1100" s="9">
        <v>13.36</v>
      </c>
      <c r="G1100" s="9">
        <v>14.43</v>
      </c>
      <c r="H1100" s="9">
        <v>14.84</v>
      </c>
      <c r="I1100" s="9">
        <v>15.14</v>
      </c>
      <c r="J1100" s="9">
        <v>14.24</v>
      </c>
      <c r="K1100" s="9">
        <v>14.43</v>
      </c>
      <c r="L1100">
        <f>Tableau1[[#This Row],[Final_time]]-SUM(Tableau1[[#This Row],[0_100m]:[600_700m]])</f>
        <v>15.010000000000019</v>
      </c>
      <c r="M1100" s="9">
        <v>114.9</v>
      </c>
      <c r="N1100">
        <f>SUM(Tableau1[[#This Row],[0_100m]:[700_800m]])</f>
        <v>114.9</v>
      </c>
      <c r="O1100">
        <f>ABS(Tableau1[[#This Row],[Final_time]]-Tableau1[[#This Row],[Sum_time]])</f>
        <v>0</v>
      </c>
      <c r="P1100" s="8"/>
      <c r="Q1100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0" t="s">
        <v>1407</v>
      </c>
      <c r="S1100" s="1" t="s">
        <v>136</v>
      </c>
      <c r="T1100" t="s">
        <v>149</v>
      </c>
      <c r="U1100" s="1" t="s">
        <v>69</v>
      </c>
      <c r="V1100" s="1">
        <v>45921</v>
      </c>
      <c r="W1100" s="4">
        <f>YEAR(Tableau1[[#This Row],[Competition_date]])</f>
        <v>2025</v>
      </c>
      <c r="X1100" s="4">
        <v>24</v>
      </c>
      <c r="Y1100" s="6">
        <v>0.67</v>
      </c>
      <c r="Z1100" s="4"/>
    </row>
    <row r="1101" spans="1:27" hidden="1" x14ac:dyDescent="0.35">
      <c r="A1101" t="str">
        <f>_xlfn.CONCAT(Tableau1[[#This Row],[Athletes]],"_",Tableau1[[#This Row],[Nationality]],"_",Tableau1[[#This Row],[Competition_year]])</f>
        <v>Keely HODGKINSON_GBR_2025</v>
      </c>
      <c r="B1101" s="9" t="s">
        <v>212</v>
      </c>
      <c r="C1101" s="9" t="s">
        <v>29</v>
      </c>
      <c r="D1101" s="12" t="s">
        <v>30</v>
      </c>
      <c r="E1101" s="9">
        <v>13.19</v>
      </c>
      <c r="F1101" s="9">
        <v>13.31</v>
      </c>
      <c r="G1101" s="9">
        <v>14.34</v>
      </c>
      <c r="H1101" s="9">
        <v>15.01</v>
      </c>
      <c r="I1101" s="9">
        <v>15.11</v>
      </c>
      <c r="J1101" s="9">
        <v>14.25</v>
      </c>
      <c r="K1101" s="9">
        <v>14.53</v>
      </c>
      <c r="L1101">
        <f>Tableau1[[#This Row],[Final_time]]-SUM(Tableau1[[#This Row],[0_100m]:[600_700m]])</f>
        <v>15.169999999999987</v>
      </c>
      <c r="M1101" s="9">
        <v>114.91</v>
      </c>
      <c r="N1101">
        <f>SUM(Tableau1[[#This Row],[0_100m]:[700_800m]])</f>
        <v>114.91</v>
      </c>
      <c r="O1101">
        <f>ABS(Tableau1[[#This Row],[Final_time]]-Tableau1[[#This Row],[Sum_time]])</f>
        <v>0</v>
      </c>
      <c r="P1101" s="8"/>
      <c r="Q1101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1" t="s">
        <v>1407</v>
      </c>
      <c r="S1101" s="1" t="s">
        <v>136</v>
      </c>
      <c r="T1101" t="s">
        <v>149</v>
      </c>
      <c r="U1101" s="1" t="s">
        <v>69</v>
      </c>
      <c r="V1101" s="1">
        <v>45921</v>
      </c>
      <c r="W1101" s="4">
        <f>YEAR(Tableau1[[#This Row],[Competition_date]])</f>
        <v>2025</v>
      </c>
      <c r="X1101" s="4">
        <v>24</v>
      </c>
      <c r="Y1101" s="6">
        <v>0.67</v>
      </c>
      <c r="Z1101" s="4"/>
    </row>
    <row r="1102" spans="1:27" hidden="1" x14ac:dyDescent="0.35">
      <c r="A1102" t="str">
        <f>_xlfn.CONCAT(Tableau1[[#This Row],[Athletes]],"_",Tableau1[[#This Row],[Nationality]],"_",Tableau1[[#This Row],[Competition_year]])</f>
        <v>Sarah MORAA_KEN_2025</v>
      </c>
      <c r="B1102" s="9" t="s">
        <v>1439</v>
      </c>
      <c r="C1102" s="9" t="s">
        <v>29</v>
      </c>
      <c r="D1102" s="12" t="s">
        <v>15</v>
      </c>
      <c r="E1102" s="9">
        <v>13.49</v>
      </c>
      <c r="F1102" s="9">
        <v>13.61</v>
      </c>
      <c r="G1102" s="9">
        <v>14.48</v>
      </c>
      <c r="H1102" s="9">
        <v>14.9</v>
      </c>
      <c r="I1102" s="9">
        <v>15.2</v>
      </c>
      <c r="J1102" s="9">
        <v>14.74</v>
      </c>
      <c r="K1102" s="9">
        <v>14.84</v>
      </c>
      <c r="L1102">
        <f>Tableau1[[#This Row],[Final_time]]-SUM(Tableau1[[#This Row],[0_100m]:[600_700m]])</f>
        <v>14.480000000000004</v>
      </c>
      <c r="M1102" s="9">
        <v>115.74</v>
      </c>
      <c r="N1102">
        <f>SUM(Tableau1[[#This Row],[0_100m]:[700_800m]])</f>
        <v>115.74</v>
      </c>
      <c r="O1102">
        <f>ABS(Tableau1[[#This Row],[Final_time]]-Tableau1[[#This Row],[Sum_time]])</f>
        <v>0</v>
      </c>
      <c r="P1102" s="8"/>
      <c r="Q1102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2" t="s">
        <v>1407</v>
      </c>
      <c r="S1102" s="1" t="s">
        <v>136</v>
      </c>
      <c r="T1102" t="s">
        <v>149</v>
      </c>
      <c r="U1102" s="1" t="s">
        <v>69</v>
      </c>
      <c r="V1102" s="1">
        <v>45921</v>
      </c>
      <c r="W1102" s="4">
        <f>YEAR(Tableau1[[#This Row],[Competition_date]])</f>
        <v>2025</v>
      </c>
      <c r="X1102" s="4">
        <v>24</v>
      </c>
      <c r="Y1102" s="6">
        <v>0.67</v>
      </c>
      <c r="Z1102" s="4"/>
    </row>
    <row r="1103" spans="1:27" hidden="1" x14ac:dyDescent="0.35">
      <c r="A1103" t="str">
        <f>_xlfn.CONCAT(Tableau1[[#This Row],[Athletes]],"_",Tableau1[[#This Row],[Nationality]],"_",Tableau1[[#This Row],[Competition_year]])</f>
        <v>Sage HURTA-KLECKER_USA_2025</v>
      </c>
      <c r="B1103" s="9" t="s">
        <v>289</v>
      </c>
      <c r="C1103" s="9" t="s">
        <v>29</v>
      </c>
      <c r="D1103" s="12" t="s">
        <v>35</v>
      </c>
      <c r="E1103" s="9">
        <v>13.88</v>
      </c>
      <c r="F1103" s="9">
        <v>13.4</v>
      </c>
      <c r="G1103" s="9">
        <v>14.24</v>
      </c>
      <c r="H1103" s="9">
        <v>14.54</v>
      </c>
      <c r="I1103" s="9">
        <v>15.44</v>
      </c>
      <c r="J1103" s="9">
        <v>14.44</v>
      </c>
      <c r="K1103" s="9">
        <v>14.8</v>
      </c>
      <c r="L1103">
        <f>Tableau1[[#This Row],[Final_time]]-SUM(Tableau1[[#This Row],[0_100m]:[600_700m]])</f>
        <v>15.150000000000006</v>
      </c>
      <c r="M1103" s="9">
        <v>115.89</v>
      </c>
      <c r="N1103">
        <f>SUM(Tableau1[[#This Row],[0_100m]:[700_800m]])</f>
        <v>115.89</v>
      </c>
      <c r="O1103">
        <f>ABS(Tableau1[[#This Row],[Final_time]]-Tableau1[[#This Row],[Sum_time]])</f>
        <v>0</v>
      </c>
      <c r="P1103" s="8"/>
      <c r="Q1103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3" t="s">
        <v>1407</v>
      </c>
      <c r="S1103" s="1" t="s">
        <v>136</v>
      </c>
      <c r="T1103" t="s">
        <v>149</v>
      </c>
      <c r="U1103" s="1" t="s">
        <v>69</v>
      </c>
      <c r="V1103" s="1">
        <v>45921</v>
      </c>
      <c r="W1103" s="4">
        <f>YEAR(Tableau1[[#This Row],[Competition_date]])</f>
        <v>2025</v>
      </c>
      <c r="X1103" s="4">
        <v>24</v>
      </c>
      <c r="Y1103" s="6">
        <v>0.67</v>
      </c>
      <c r="Z1103" s="4"/>
    </row>
    <row r="1104" spans="1:27" hidden="1" x14ac:dyDescent="0.35">
      <c r="A1104" t="str">
        <f>_xlfn.CONCAT(Tableau1[[#This Row],[Athletes]],"_",Tableau1[[#This Row],[Nationality]],"_",Tableau1[[#This Row],[Competition_year]])</f>
        <v>Audrey WERRO_SUI_2025</v>
      </c>
      <c r="B1104" s="9" t="s">
        <v>329</v>
      </c>
      <c r="C1104" s="9" t="s">
        <v>29</v>
      </c>
      <c r="D1104" s="12" t="s">
        <v>73</v>
      </c>
      <c r="E1104" s="9">
        <v>13.09</v>
      </c>
      <c r="F1104" s="9">
        <v>13.52</v>
      </c>
      <c r="G1104" s="9">
        <v>14.39</v>
      </c>
      <c r="H1104" s="9">
        <v>14.86</v>
      </c>
      <c r="I1104" s="9">
        <v>15.4</v>
      </c>
      <c r="J1104" s="9">
        <v>14.44</v>
      </c>
      <c r="K1104" s="9">
        <v>14.73</v>
      </c>
      <c r="L1104">
        <f>Tableau1[[#This Row],[Final_time]]-SUM(Tableau1[[#This Row],[0_100m]:[600_700m]])</f>
        <v>15.739999999999995</v>
      </c>
      <c r="M1104" s="9">
        <v>116.17</v>
      </c>
      <c r="N1104">
        <f>SUM(Tableau1[[#This Row],[0_100m]:[700_800m]])</f>
        <v>116.17</v>
      </c>
      <c r="O1104">
        <f>ABS(Tableau1[[#This Row],[Final_time]]-Tableau1[[#This Row],[Sum_time]])</f>
        <v>0</v>
      </c>
      <c r="P1104" s="8"/>
      <c r="Q1104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4" t="s">
        <v>1407</v>
      </c>
      <c r="S1104" s="1" t="s">
        <v>136</v>
      </c>
      <c r="T1104" t="s">
        <v>149</v>
      </c>
      <c r="U1104" s="1" t="s">
        <v>69</v>
      </c>
      <c r="V1104" s="1">
        <v>45921</v>
      </c>
      <c r="W1104" s="4">
        <f>YEAR(Tableau1[[#This Row],[Competition_date]])</f>
        <v>2025</v>
      </c>
      <c r="X1104" s="4">
        <v>24</v>
      </c>
      <c r="Y1104" s="6">
        <v>0.67</v>
      </c>
      <c r="Z1104" s="4"/>
    </row>
    <row r="1105" spans="1:26" hidden="1" x14ac:dyDescent="0.35">
      <c r="A1105" t="str">
        <f>_xlfn.CONCAT(Tableau1[[#This Row],[Athletes]],"_",Tableau1[[#This Row],[Nationality]],"_",Tableau1[[#This Row],[Competition_year]])</f>
        <v>Mary MORAA_KEN_2025</v>
      </c>
      <c r="B1105" s="9" t="s">
        <v>228</v>
      </c>
      <c r="C1105" s="9" t="s">
        <v>29</v>
      </c>
      <c r="D1105" s="12" t="s">
        <v>15</v>
      </c>
      <c r="E1105" s="9">
        <v>13.18</v>
      </c>
      <c r="F1105" s="9">
        <v>13.17</v>
      </c>
      <c r="G1105" s="9">
        <v>14.47</v>
      </c>
      <c r="H1105" s="9">
        <v>14.85</v>
      </c>
      <c r="I1105" s="9">
        <v>15.32</v>
      </c>
      <c r="J1105" s="9">
        <v>14.22</v>
      </c>
      <c r="K1105" s="9">
        <v>14.93</v>
      </c>
      <c r="L1105">
        <f>Tableau1[[#This Row],[Final_time]]-SUM(Tableau1[[#This Row],[0_100m]:[600_700m]])</f>
        <v>16.95999999999998</v>
      </c>
      <c r="M1105" s="9">
        <v>117.1</v>
      </c>
      <c r="N1105">
        <f>SUM(Tableau1[[#This Row],[0_100m]:[700_800m]])</f>
        <v>117.1</v>
      </c>
      <c r="O1105">
        <f>ABS(Tableau1[[#This Row],[Final_time]]-Tableau1[[#This Row],[Sum_time]])</f>
        <v>0</v>
      </c>
      <c r="P1105" s="8"/>
      <c r="Q1105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5" t="s">
        <v>1407</v>
      </c>
      <c r="S1105" s="1" t="s">
        <v>136</v>
      </c>
      <c r="T1105" t="s">
        <v>149</v>
      </c>
      <c r="U1105" s="1" t="s">
        <v>69</v>
      </c>
      <c r="V1105" s="1">
        <v>45921</v>
      </c>
      <c r="W1105" s="4">
        <f>YEAR(Tableau1[[#This Row],[Competition_date]])</f>
        <v>2025</v>
      </c>
      <c r="X1105" s="4">
        <v>24</v>
      </c>
      <c r="Y1105" s="6">
        <v>0.67</v>
      </c>
      <c r="Z1105" s="4"/>
    </row>
    <row r="1106" spans="1:26" hidden="1" x14ac:dyDescent="0.35">
      <c r="A1106" t="str">
        <f>_xlfn.CONCAT(Tableau1[[#This Row],[Athletes]],"_",Tableau1[[#This Row],[Nationality]],"_",Tableau1[[#This Row],[Competition_year]])</f>
        <v>Jessica HULL_AUS_2025</v>
      </c>
      <c r="B1106" s="9" t="s">
        <v>891</v>
      </c>
      <c r="C1106" s="9" t="s">
        <v>29</v>
      </c>
      <c r="D1106" s="12" t="s">
        <v>36</v>
      </c>
      <c r="E1106" s="9">
        <v>14.56</v>
      </c>
      <c r="F1106" s="9">
        <v>13.78</v>
      </c>
      <c r="G1106" s="9">
        <v>14.38</v>
      </c>
      <c r="H1106" s="9">
        <v>14.57</v>
      </c>
      <c r="I1106" s="9">
        <v>14.84</v>
      </c>
      <c r="J1106" s="9">
        <v>14.69</v>
      </c>
      <c r="K1106" s="9">
        <v>15.09</v>
      </c>
      <c r="L1106">
        <f>Tableau1[[#This Row],[Final_time]]-SUM(Tableau1[[#This Row],[0_100m]:[600_700m]])</f>
        <v>15.39</v>
      </c>
      <c r="M1106" s="9">
        <v>117.3</v>
      </c>
      <c r="N1106">
        <f>SUM(Tableau1[[#This Row],[0_100m]:[700_800m]])</f>
        <v>117.3</v>
      </c>
      <c r="O1106">
        <f>ABS(Tableau1[[#This Row],[Final_time]]-Tableau1[[#This Row],[Sum_time]])</f>
        <v>0</v>
      </c>
      <c r="P1106" s="8"/>
      <c r="Q1106" s="16" t="str">
        <f>_xlfn.CONCAT(Tableau1[[#This Row],[Competition]],"_",Tableau1[[#This Row],[Championship_step]],"_",Tableau1[[#This Row],[Competition_date]],"_",Tableau1[[#This Row],[Gender]])</f>
        <v>World Championship Tokyo 2025_Final_45921_Female</v>
      </c>
      <c r="R1106" t="s">
        <v>1407</v>
      </c>
      <c r="S1106" s="1" t="s">
        <v>136</v>
      </c>
      <c r="T1106" t="s">
        <v>149</v>
      </c>
      <c r="U1106" s="1" t="s">
        <v>69</v>
      </c>
      <c r="V1106" s="1">
        <v>45921</v>
      </c>
      <c r="W1106" s="4">
        <f>YEAR(Tableau1[[#This Row],[Competition_date]])</f>
        <v>2025</v>
      </c>
      <c r="X1106" s="4">
        <v>24</v>
      </c>
      <c r="Y1106" s="6">
        <v>0.67</v>
      </c>
      <c r="Z1106" s="4"/>
    </row>
    <row r="1107" spans="1:26" hidden="1" x14ac:dyDescent="0.35">
      <c r="A1107" t="str">
        <f>_xlfn.CONCAT(Tableau1[[#This Row],[Athletes]],"_",Tableau1[[#This Row],[Nationality]],"_",Tableau1[[#This Row],[Competition_year]])</f>
        <v>Emmanuel WANYONYI_KEN_2025</v>
      </c>
      <c r="B1107" s="9" t="s">
        <v>183</v>
      </c>
      <c r="C1107" s="9" t="s">
        <v>14</v>
      </c>
      <c r="D1107" s="12" t="s">
        <v>15</v>
      </c>
      <c r="E1107" s="9">
        <v>12.09</v>
      </c>
      <c r="F1107" s="9">
        <v>11.68</v>
      </c>
      <c r="G1107" s="9">
        <v>12.39</v>
      </c>
      <c r="H1107" s="9">
        <v>13.1</v>
      </c>
      <c r="I1107" s="9">
        <v>13</v>
      </c>
      <c r="J1107" s="9">
        <v>12.98</v>
      </c>
      <c r="K1107" s="9">
        <v>13.36</v>
      </c>
      <c r="L1107">
        <f>Tableau1[[#This Row],[Final_time]]-SUM(Tableau1[[#This Row],[0_100m]:[600_700m]])</f>
        <v>13.260000000000005</v>
      </c>
      <c r="M1107" s="9">
        <v>101.86</v>
      </c>
      <c r="N1107">
        <f>SUM(Tableau1[[#This Row],[0_100m]:[700_800m]])</f>
        <v>101.86</v>
      </c>
      <c r="O1107">
        <f>ABS(Tableau1[[#This Row],[Final_time]]-Tableau1[[#This Row],[Sum_time]])</f>
        <v>0</v>
      </c>
      <c r="P1107" s="8"/>
      <c r="Q1107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107" t="s">
        <v>1407</v>
      </c>
      <c r="S1107" s="1" t="s">
        <v>136</v>
      </c>
      <c r="T1107" t="s">
        <v>149</v>
      </c>
      <c r="U1107" s="1" t="s">
        <v>69</v>
      </c>
      <c r="V1107" s="1">
        <v>45920</v>
      </c>
      <c r="W1107" s="4">
        <f>YEAR(Tableau1[[#This Row],[Competition_date]])</f>
        <v>2025</v>
      </c>
      <c r="X1107" s="4">
        <v>26</v>
      </c>
      <c r="Y1107" s="6">
        <v>0.78</v>
      </c>
      <c r="Z1107" s="4"/>
    </row>
    <row r="1108" spans="1:26" hidden="1" x14ac:dyDescent="0.35">
      <c r="A1108" t="str">
        <f>_xlfn.CONCAT(Tableau1[[#This Row],[Athletes]],"_",Tableau1[[#This Row],[Nationality]],"_",Tableau1[[#This Row],[Competition_year]])</f>
        <v>Djamel SEDJATI_ALG_2025</v>
      </c>
      <c r="B1108" s="9" t="s">
        <v>170</v>
      </c>
      <c r="C1108" s="9" t="s">
        <v>14</v>
      </c>
      <c r="D1108" s="12" t="s">
        <v>24</v>
      </c>
      <c r="E1108" s="9">
        <v>12.39</v>
      </c>
      <c r="F1108" s="9">
        <v>11.71</v>
      </c>
      <c r="G1108" s="9">
        <v>12.98</v>
      </c>
      <c r="H1108" s="9">
        <v>12.98</v>
      </c>
      <c r="I1108" s="9">
        <v>13.19</v>
      </c>
      <c r="J1108" s="9">
        <v>12.54</v>
      </c>
      <c r="K1108" s="9">
        <v>13.3</v>
      </c>
      <c r="L1108">
        <f>Tableau1[[#This Row],[Final_time]]-SUM(Tableau1[[#This Row],[0_100m]:[600_700m]])</f>
        <v>12.810000000000016</v>
      </c>
      <c r="M1108" s="9">
        <v>101.9</v>
      </c>
      <c r="N1108">
        <f>SUM(Tableau1[[#This Row],[0_100m]:[700_800m]])</f>
        <v>101.9</v>
      </c>
      <c r="O1108">
        <f>ABS(Tableau1[[#This Row],[Final_time]]-Tableau1[[#This Row],[Sum_time]])</f>
        <v>0</v>
      </c>
      <c r="P1108" s="8"/>
      <c r="Q1108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108" t="s">
        <v>1407</v>
      </c>
      <c r="S1108" s="1" t="s">
        <v>136</v>
      </c>
      <c r="T1108" t="s">
        <v>149</v>
      </c>
      <c r="U1108" s="1" t="s">
        <v>69</v>
      </c>
      <c r="V1108" s="1">
        <v>45920</v>
      </c>
      <c r="W1108" s="4">
        <f>YEAR(Tableau1[[#This Row],[Competition_date]])</f>
        <v>2025</v>
      </c>
      <c r="X1108" s="4">
        <v>26</v>
      </c>
      <c r="Y1108" s="6">
        <v>0.78</v>
      </c>
      <c r="Z1108" s="4"/>
    </row>
    <row r="1109" spans="1:26" hidden="1" x14ac:dyDescent="0.35">
      <c r="A1109" t="str">
        <f>_xlfn.CONCAT(Tableau1[[#This Row],[Athletes]],"_",Tableau1[[#This Row],[Nationality]],"_",Tableau1[[#This Row],[Competition_year]])</f>
        <v>Marco AROP_CAN_2025</v>
      </c>
      <c r="B1109" s="9" t="s">
        <v>177</v>
      </c>
      <c r="C1109" s="9" t="s">
        <v>14</v>
      </c>
      <c r="D1109" s="12" t="s">
        <v>19</v>
      </c>
      <c r="E1109" s="9">
        <v>12.37</v>
      </c>
      <c r="F1109" s="9">
        <v>11.39</v>
      </c>
      <c r="G1109" s="9">
        <v>12.61</v>
      </c>
      <c r="H1109" s="9">
        <v>13.13</v>
      </c>
      <c r="I1109" s="9">
        <v>13.06</v>
      </c>
      <c r="J1109" s="9">
        <v>12.83</v>
      </c>
      <c r="K1109" s="9">
        <v>13.28</v>
      </c>
      <c r="L1109">
        <f>Tableau1[[#This Row],[Final_time]]-SUM(Tableau1[[#This Row],[0_100m]:[600_700m]])</f>
        <v>13.280000000000001</v>
      </c>
      <c r="M1109" s="9">
        <v>101.95</v>
      </c>
      <c r="N1109">
        <f>SUM(Tableau1[[#This Row],[0_100m]:[700_800m]])</f>
        <v>101.95</v>
      </c>
      <c r="O1109">
        <f>ABS(Tableau1[[#This Row],[Final_time]]-Tableau1[[#This Row],[Sum_time]])</f>
        <v>0</v>
      </c>
      <c r="P1109" s="8"/>
      <c r="Q1109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109" t="s">
        <v>1407</v>
      </c>
      <c r="S1109" s="1" t="s">
        <v>136</v>
      </c>
      <c r="T1109" t="s">
        <v>149</v>
      </c>
      <c r="U1109" s="1" t="s">
        <v>69</v>
      </c>
      <c r="V1109" s="1">
        <v>45920</v>
      </c>
      <c r="W1109" s="4">
        <f>YEAR(Tableau1[[#This Row],[Competition_date]])</f>
        <v>2025</v>
      </c>
      <c r="X1109" s="4">
        <v>26</v>
      </c>
      <c r="Y1109" s="6">
        <v>0.78</v>
      </c>
      <c r="Z1109" s="4"/>
    </row>
    <row r="1110" spans="1:26" hidden="1" x14ac:dyDescent="0.35">
      <c r="A1110" t="str">
        <f>_xlfn.CONCAT(Tableau1[[#This Row],[Athletes]],"_",Tableau1[[#This Row],[Nationality]],"_",Tableau1[[#This Row],[Competition_year]])</f>
        <v>David BARROSO_ESP_2025</v>
      </c>
      <c r="B1110" t="s">
        <v>1400</v>
      </c>
      <c r="C1110" t="s">
        <v>14</v>
      </c>
      <c r="D1110" s="18" t="s">
        <v>37</v>
      </c>
      <c r="E1110">
        <v>12.95</v>
      </c>
      <c r="F1110">
        <v>12.42</v>
      </c>
      <c r="G1110">
        <v>13.68</v>
      </c>
      <c r="H1110">
        <v>13.31</v>
      </c>
      <c r="I1110">
        <v>13.31</v>
      </c>
      <c r="J1110">
        <v>13.05</v>
      </c>
      <c r="K1110">
        <v>13.2</v>
      </c>
      <c r="L1110">
        <f>Tableau1[[#This Row],[Final_time]]-SUM(Tableau1[[#This Row],[0_100m]:[600_700m]])</f>
        <v>13.019999999999996</v>
      </c>
      <c r="M1110">
        <v>104.94</v>
      </c>
      <c r="N1110">
        <f>SUM(Tableau1[[#This Row],[0_100m]:[700_800m]])</f>
        <v>104.94</v>
      </c>
      <c r="O1110">
        <f>ABS(Tableau1[[#This Row],[Final_time]]-Tableau1[[#This Row],[Sum_time]])</f>
        <v>0</v>
      </c>
      <c r="P1110" s="8" t="s">
        <v>141</v>
      </c>
      <c r="Q1110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0" t="s">
        <v>1407</v>
      </c>
      <c r="S1110" s="1" t="s">
        <v>114</v>
      </c>
      <c r="T1110" t="s">
        <v>148</v>
      </c>
      <c r="U1110" s="1" t="s">
        <v>69</v>
      </c>
      <c r="V1110" s="1">
        <v>45916</v>
      </c>
      <c r="W1110" s="4">
        <f>YEAR(Tableau1[[#This Row],[Competition_date]])</f>
        <v>2025</v>
      </c>
      <c r="X1110" s="4">
        <v>29</v>
      </c>
      <c r="Y1110" s="6">
        <v>0.7</v>
      </c>
      <c r="Z1110" s="4"/>
    </row>
    <row r="1111" spans="1:26" hidden="1" x14ac:dyDescent="0.35">
      <c r="A1111" t="str">
        <f>_xlfn.CONCAT(Tableau1[[#This Row],[Athletes]],"_",Tableau1[[#This Row],[Nationality]],"_",Tableau1[[#This Row],[Competition_year]])</f>
        <v>Djamel SEDJATI_ALG_2025</v>
      </c>
      <c r="B1111" t="s">
        <v>170</v>
      </c>
      <c r="C1111" t="s">
        <v>14</v>
      </c>
      <c r="D1111" s="18" t="s">
        <v>24</v>
      </c>
      <c r="E1111">
        <v>12.95</v>
      </c>
      <c r="F1111">
        <v>12.68</v>
      </c>
      <c r="G1111">
        <v>13.81</v>
      </c>
      <c r="H1111">
        <v>13.51</v>
      </c>
      <c r="I1111">
        <v>13.49</v>
      </c>
      <c r="J1111">
        <v>12.57</v>
      </c>
      <c r="K1111">
        <v>13</v>
      </c>
      <c r="L1111">
        <f>Tableau1[[#This Row],[Final_time]]-SUM(Tableau1[[#This Row],[0_100m]:[600_700m]])</f>
        <v>13.000000000000014</v>
      </c>
      <c r="M1111">
        <v>105.01</v>
      </c>
      <c r="N1111">
        <f>SUM(Tableau1[[#This Row],[0_100m]:[700_800m]])</f>
        <v>105.01</v>
      </c>
      <c r="O1111">
        <f>ABS(Tableau1[[#This Row],[Final_time]]-Tableau1[[#This Row],[Sum_time]])</f>
        <v>0</v>
      </c>
      <c r="P1111" s="8" t="s">
        <v>141</v>
      </c>
      <c r="Q1111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1" t="s">
        <v>1407</v>
      </c>
      <c r="S1111" s="1" t="s">
        <v>114</v>
      </c>
      <c r="T1111" t="s">
        <v>148</v>
      </c>
      <c r="U1111" s="1" t="s">
        <v>69</v>
      </c>
      <c r="V1111" s="1">
        <v>45916</v>
      </c>
      <c r="W1111" s="4">
        <f>YEAR(Tableau1[[#This Row],[Competition_date]])</f>
        <v>2025</v>
      </c>
      <c r="X1111" s="4">
        <v>29</v>
      </c>
      <c r="Y1111" s="6">
        <v>0.7</v>
      </c>
      <c r="Z1111" s="4"/>
    </row>
    <row r="1112" spans="1:26" hidden="1" x14ac:dyDescent="0.35">
      <c r="A1112" t="str">
        <f>_xlfn.CONCAT(Tableau1[[#This Row],[Athletes]],"_",Tableau1[[#This Row],[Nationality]],"_",Tableau1[[#This Row],[Competition_year]])</f>
        <v>Kethobogile HAINGURA_BOT_2025</v>
      </c>
      <c r="B1112" t="s">
        <v>1401</v>
      </c>
      <c r="C1112" t="s">
        <v>14</v>
      </c>
      <c r="D1112" s="18" t="s">
        <v>44</v>
      </c>
      <c r="E1112">
        <v>13.04</v>
      </c>
      <c r="F1112">
        <v>12.27</v>
      </c>
      <c r="G1112">
        <v>13.95</v>
      </c>
      <c r="H1112">
        <v>13.45</v>
      </c>
      <c r="I1112">
        <v>13.53</v>
      </c>
      <c r="J1112">
        <v>13.02</v>
      </c>
      <c r="K1112">
        <v>12.9</v>
      </c>
      <c r="L1112">
        <f>Tableau1[[#This Row],[Final_time]]-SUM(Tableau1[[#This Row],[0_100m]:[600_700m]])</f>
        <v>12.86</v>
      </c>
      <c r="M1112">
        <v>105.02</v>
      </c>
      <c r="N1112">
        <f>SUM(Tableau1[[#This Row],[0_100m]:[700_800m]])</f>
        <v>105.02</v>
      </c>
      <c r="O1112">
        <f>ABS(Tableau1[[#This Row],[Final_time]]-Tableau1[[#This Row],[Sum_time]])</f>
        <v>0</v>
      </c>
      <c r="P1112" s="8" t="s">
        <v>141</v>
      </c>
      <c r="Q1112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2" t="s">
        <v>1407</v>
      </c>
      <c r="S1112" s="1" t="s">
        <v>114</v>
      </c>
      <c r="T1112" t="s">
        <v>148</v>
      </c>
      <c r="U1112" s="1" t="s">
        <v>69</v>
      </c>
      <c r="V1112" s="1">
        <v>45916</v>
      </c>
      <c r="W1112" s="4">
        <f>YEAR(Tableau1[[#This Row],[Competition_date]])</f>
        <v>2025</v>
      </c>
      <c r="X1112" s="4">
        <v>29</v>
      </c>
      <c r="Y1112" s="6">
        <v>0.7</v>
      </c>
      <c r="Z1112" s="4"/>
    </row>
    <row r="1113" spans="1:26" hidden="1" x14ac:dyDescent="0.35">
      <c r="A1113" t="str">
        <f>_xlfn.CONCAT(Tableau1[[#This Row],[Athletes]],"_",Tableau1[[#This Row],[Nationality]],"_",Tableau1[[#This Row],[Competition_year]])</f>
        <v>Ibrahim Abass CHOUT M_QAT_2025</v>
      </c>
      <c r="B1113" t="s">
        <v>1334</v>
      </c>
      <c r="C1113" t="s">
        <v>14</v>
      </c>
      <c r="D1113" s="18" t="s">
        <v>57</v>
      </c>
      <c r="E1113">
        <v>13.05</v>
      </c>
      <c r="F1113">
        <v>12.61</v>
      </c>
      <c r="G1113">
        <v>13.95</v>
      </c>
      <c r="H1113">
        <v>13.36</v>
      </c>
      <c r="I1113">
        <v>13.56</v>
      </c>
      <c r="J1113">
        <v>13.25</v>
      </c>
      <c r="K1113">
        <v>12.85</v>
      </c>
      <c r="L1113">
        <f>Tableau1[[#This Row],[Final_time]]-SUM(Tableau1[[#This Row],[0_100m]:[600_700m]])</f>
        <v>12.530000000000001</v>
      </c>
      <c r="M1113">
        <v>105.16</v>
      </c>
      <c r="N1113">
        <f>SUM(Tableau1[[#This Row],[0_100m]:[700_800m]])</f>
        <v>105.16</v>
      </c>
      <c r="O1113">
        <f>ABS(Tableau1[[#This Row],[Final_time]]-Tableau1[[#This Row],[Sum_time]])</f>
        <v>0</v>
      </c>
      <c r="P1113" s="8"/>
      <c r="Q1113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3" t="s">
        <v>1407</v>
      </c>
      <c r="S1113" s="1" t="s">
        <v>114</v>
      </c>
      <c r="T1113" t="s">
        <v>148</v>
      </c>
      <c r="U1113" s="1" t="s">
        <v>69</v>
      </c>
      <c r="V1113" s="1">
        <v>45916</v>
      </c>
      <c r="W1113" s="4">
        <f>YEAR(Tableau1[[#This Row],[Competition_date]])</f>
        <v>2025</v>
      </c>
      <c r="X1113" s="4">
        <v>29</v>
      </c>
      <c r="Y1113" s="6">
        <v>0.7</v>
      </c>
      <c r="Z1113" s="4"/>
    </row>
    <row r="1114" spans="1:26" hidden="1" x14ac:dyDescent="0.35">
      <c r="A1114" t="str">
        <f>_xlfn.CONCAT(Tableau1[[#This Row],[Athletes]],"_",Tableau1[[#This Row],[Nationality]],"_",Tableau1[[#This Row],[Competition_year]])</f>
        <v>Handal ROBAN_VIN_2025</v>
      </c>
      <c r="B1114" t="s">
        <v>129</v>
      </c>
      <c r="C1114" t="s">
        <v>14</v>
      </c>
      <c r="D1114" s="18" t="s">
        <v>72</v>
      </c>
      <c r="E1114">
        <v>12.81</v>
      </c>
      <c r="F1114">
        <v>12.39</v>
      </c>
      <c r="G1114">
        <v>13.59</v>
      </c>
      <c r="H1114">
        <v>13.37</v>
      </c>
      <c r="I1114">
        <v>13.3</v>
      </c>
      <c r="J1114">
        <v>12.95</v>
      </c>
      <c r="K1114">
        <v>13.29</v>
      </c>
      <c r="L1114">
        <f>Tableau1[[#This Row],[Final_time]]-SUM(Tableau1[[#This Row],[0_100m]:[600_700m]])</f>
        <v>13.619999999999976</v>
      </c>
      <c r="M1114">
        <v>105.32</v>
      </c>
      <c r="N1114">
        <f>SUM(Tableau1[[#This Row],[0_100m]:[700_800m]])</f>
        <v>105.32</v>
      </c>
      <c r="O1114">
        <f>ABS(Tableau1[[#This Row],[Final_time]]-Tableau1[[#This Row],[Sum_time]])</f>
        <v>0</v>
      </c>
      <c r="P1114" s="8"/>
      <c r="Q1114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4" t="s">
        <v>1407</v>
      </c>
      <c r="S1114" s="1" t="s">
        <v>114</v>
      </c>
      <c r="T1114" t="s">
        <v>148</v>
      </c>
      <c r="U1114" s="1" t="s">
        <v>69</v>
      </c>
      <c r="V1114" s="1">
        <v>45916</v>
      </c>
      <c r="W1114" s="4">
        <f>YEAR(Tableau1[[#This Row],[Competition_date]])</f>
        <v>2025</v>
      </c>
      <c r="X1114" s="4">
        <v>29</v>
      </c>
      <c r="Y1114" s="6">
        <v>0.7</v>
      </c>
      <c r="Z1114" s="4"/>
    </row>
    <row r="1115" spans="1:26" hidden="1" x14ac:dyDescent="0.35">
      <c r="A1115" t="str">
        <f>_xlfn.CONCAT(Tableau1[[#This Row],[Athletes]],"_",Tableau1[[#This Row],[Nationality]],"_",Tableau1[[#This Row],[Competition_year]])</f>
        <v>Alex Ngeno KIPNGETICH_KEN_2025</v>
      </c>
      <c r="B1115" t="s">
        <v>182</v>
      </c>
      <c r="C1115" t="s">
        <v>14</v>
      </c>
      <c r="D1115" s="18" t="s">
        <v>15</v>
      </c>
      <c r="E1115">
        <v>12.81</v>
      </c>
      <c r="F1115">
        <v>12.77</v>
      </c>
      <c r="G1115">
        <v>14.02</v>
      </c>
      <c r="H1115">
        <v>13.5</v>
      </c>
      <c r="I1115">
        <v>13.49</v>
      </c>
      <c r="J1115">
        <v>12.73</v>
      </c>
      <c r="K1115">
        <v>12.99</v>
      </c>
      <c r="L1115">
        <f>Tableau1[[#This Row],[Final_time]]-SUM(Tableau1[[#This Row],[0_100m]:[600_700m]])</f>
        <v>13.060000000000016</v>
      </c>
      <c r="M1115">
        <v>105.37</v>
      </c>
      <c r="N1115">
        <f>SUM(Tableau1[[#This Row],[0_100m]:[700_800m]])</f>
        <v>105.37</v>
      </c>
      <c r="O1115">
        <f>ABS(Tableau1[[#This Row],[Final_time]]-Tableau1[[#This Row],[Sum_time]])</f>
        <v>0</v>
      </c>
      <c r="P1115" s="8"/>
      <c r="Q1115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5" t="s">
        <v>1407</v>
      </c>
      <c r="S1115" s="1" t="s">
        <v>114</v>
      </c>
      <c r="T1115" t="s">
        <v>148</v>
      </c>
      <c r="U1115" s="1" t="s">
        <v>69</v>
      </c>
      <c r="V1115" s="1">
        <v>45916</v>
      </c>
      <c r="W1115" s="4">
        <f>YEAR(Tableau1[[#This Row],[Competition_date]])</f>
        <v>2025</v>
      </c>
      <c r="X1115" s="4">
        <v>29</v>
      </c>
      <c r="Y1115" s="6">
        <v>0.7</v>
      </c>
      <c r="Z1115" s="4"/>
    </row>
    <row r="1116" spans="1:26" hidden="1" x14ac:dyDescent="0.35">
      <c r="A1116" t="str">
        <f>_xlfn.CONCAT(Tableau1[[#This Row],[Athletes]],"_",Tableau1[[#This Row],[Nationality]],"_",Tableau1[[#This Row],[Competition_year]])</f>
        <v>Jared MICALLEF_MLT_2025</v>
      </c>
      <c r="B1116" t="s">
        <v>1403</v>
      </c>
      <c r="C1116" t="s">
        <v>14</v>
      </c>
      <c r="D1116" s="18" t="s">
        <v>1404</v>
      </c>
      <c r="E1116">
        <v>12.97</v>
      </c>
      <c r="F1116">
        <v>12.24</v>
      </c>
      <c r="G1116">
        <v>13.82</v>
      </c>
      <c r="H1116">
        <v>13.51</v>
      </c>
      <c r="I1116">
        <v>13.32</v>
      </c>
      <c r="J1116">
        <v>13.12</v>
      </c>
      <c r="K1116">
        <v>13.65</v>
      </c>
      <c r="L1116">
        <f>Tableau1[[#This Row],[Final_time]]-SUM(Tableau1[[#This Row],[0_100m]:[600_700m]])</f>
        <v>13.989999999999995</v>
      </c>
      <c r="M1116">
        <v>106.62</v>
      </c>
      <c r="N1116">
        <f>SUM(Tableau1[[#This Row],[0_100m]:[700_800m]])</f>
        <v>106.62</v>
      </c>
      <c r="O1116">
        <f>ABS(Tableau1[[#This Row],[Final_time]]-Tableau1[[#This Row],[Sum_time]])</f>
        <v>0</v>
      </c>
      <c r="P1116" s="8"/>
      <c r="Q1116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6" t="s">
        <v>1407</v>
      </c>
      <c r="S1116" s="1" t="s">
        <v>114</v>
      </c>
      <c r="T1116" t="s">
        <v>148</v>
      </c>
      <c r="U1116" s="1" t="s">
        <v>69</v>
      </c>
      <c r="V1116" s="1">
        <v>45916</v>
      </c>
      <c r="W1116" s="4">
        <f>YEAR(Tableau1[[#This Row],[Competition_date]])</f>
        <v>2025</v>
      </c>
      <c r="X1116" s="4">
        <v>29</v>
      </c>
      <c r="Y1116" s="6">
        <v>0.7</v>
      </c>
      <c r="Z1116" s="4"/>
    </row>
    <row r="1117" spans="1:26" hidden="1" x14ac:dyDescent="0.35">
      <c r="A1117" t="str">
        <f>_xlfn.CONCAT(Tableau1[[#This Row],[Athletes]],"_",Tableau1[[#This Row],[Nationality]],"_",Tableau1[[#This Row],[Competition_year]])</f>
        <v>Giovanni LAZZARO_ITA_2025</v>
      </c>
      <c r="B1117" t="s">
        <v>1405</v>
      </c>
      <c r="C1117" t="s">
        <v>14</v>
      </c>
      <c r="D1117" s="18" t="s">
        <v>20</v>
      </c>
      <c r="E1117">
        <v>12.92</v>
      </c>
      <c r="F1117">
        <v>12.5</v>
      </c>
      <c r="G1117">
        <v>14.08</v>
      </c>
      <c r="H1117">
        <v>13.45</v>
      </c>
      <c r="I1117">
        <v>13.76</v>
      </c>
      <c r="J1117">
        <v>13.16</v>
      </c>
      <c r="K1117">
        <v>13.55</v>
      </c>
      <c r="L1117">
        <f>Tableau1[[#This Row],[Final_time]]-SUM(Tableau1[[#This Row],[0_100m]:[600_700m]])</f>
        <v>13.579999999999998</v>
      </c>
      <c r="M1117">
        <v>107</v>
      </c>
      <c r="N1117">
        <f>SUM(Tableau1[[#This Row],[0_100m]:[700_800m]])</f>
        <v>107</v>
      </c>
      <c r="O1117">
        <f>ABS(Tableau1[[#This Row],[Final_time]]-Tableau1[[#This Row],[Sum_time]])</f>
        <v>0</v>
      </c>
      <c r="P1117" s="8"/>
      <c r="Q1117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7" t="s">
        <v>1407</v>
      </c>
      <c r="S1117" s="1" t="s">
        <v>114</v>
      </c>
      <c r="T1117" t="s">
        <v>148</v>
      </c>
      <c r="U1117" s="1" t="s">
        <v>69</v>
      </c>
      <c r="V1117" s="1">
        <v>45916</v>
      </c>
      <c r="W1117" s="4">
        <f>YEAR(Tableau1[[#This Row],[Competition_date]])</f>
        <v>2025</v>
      </c>
      <c r="X1117" s="4">
        <v>29</v>
      </c>
      <c r="Y1117" s="6">
        <v>0.7</v>
      </c>
      <c r="Z1117" s="4"/>
    </row>
    <row r="1118" spans="1:26" hidden="1" x14ac:dyDescent="0.35">
      <c r="A1118" t="str">
        <f>_xlfn.CONCAT(Tableau1[[#This Row],[Athletes]],"_",Tableau1[[#This Row],[Nationality]],"_",Tableau1[[#This Row],[Competition_year]])</f>
        <v>Justin O'TOOLE_CAN_2025</v>
      </c>
      <c r="B1118" t="s">
        <v>1406</v>
      </c>
      <c r="C1118" t="s">
        <v>14</v>
      </c>
      <c r="D1118" s="18" t="s">
        <v>19</v>
      </c>
      <c r="E1118">
        <v>12.9</v>
      </c>
      <c r="F1118">
        <v>12.49</v>
      </c>
      <c r="G1118">
        <v>13.71</v>
      </c>
      <c r="H1118">
        <v>13.58</v>
      </c>
      <c r="I1118">
        <v>13.44</v>
      </c>
      <c r="J1118">
        <v>13.44</v>
      </c>
      <c r="K1118">
        <v>14.21</v>
      </c>
      <c r="L1118">
        <f>Tableau1[[#This Row],[Final_time]]-SUM(Tableau1[[#This Row],[0_100m]:[600_700m]])</f>
        <v>15.109999999999985</v>
      </c>
      <c r="M1118">
        <v>108.88</v>
      </c>
      <c r="N1118">
        <f>SUM(Tableau1[[#This Row],[0_100m]:[700_800m]])</f>
        <v>108.88</v>
      </c>
      <c r="O1118">
        <f>ABS(Tableau1[[#This Row],[Final_time]]-Tableau1[[#This Row],[Sum_time]])</f>
        <v>0</v>
      </c>
      <c r="P1118" s="8"/>
      <c r="Q1118" s="16" t="str">
        <f>_xlfn.CONCAT(Tableau1[[#This Row],[Competition]],"_",Tableau1[[#This Row],[Championship_step]],"_",Tableau1[[#This Row],[Competition_date]],"_",Tableau1[[#This Row],[Gender]])</f>
        <v>World Championship Tokyo 2025_Heat 1_45916_Male</v>
      </c>
      <c r="R1118" t="s">
        <v>1407</v>
      </c>
      <c r="S1118" s="1" t="s">
        <v>114</v>
      </c>
      <c r="T1118" t="s">
        <v>148</v>
      </c>
      <c r="U1118" s="1" t="s">
        <v>69</v>
      </c>
      <c r="V1118" s="1">
        <v>45916</v>
      </c>
      <c r="W1118" s="4">
        <f>YEAR(Tableau1[[#This Row],[Competition_date]])</f>
        <v>2025</v>
      </c>
      <c r="X1118" s="4">
        <v>29</v>
      </c>
      <c r="Y1118" s="6">
        <v>0.7</v>
      </c>
      <c r="Z1118" s="4"/>
    </row>
    <row r="1119" spans="1:26" hidden="1" x14ac:dyDescent="0.35">
      <c r="A1119" t="str">
        <f>_xlfn.CONCAT(Tableau1[[#This Row],[Athletes]],"_",Tableau1[[#This Row],[Nationality]],"_",Tableau1[[#This Row],[Competition_year]])</f>
        <v>Keely HODGKINSON_GBR_2025</v>
      </c>
      <c r="B1119" t="s">
        <v>212</v>
      </c>
      <c r="C1119" t="s">
        <v>29</v>
      </c>
      <c r="D1119" s="18" t="s">
        <v>30</v>
      </c>
      <c r="E1119">
        <v>13.59</v>
      </c>
      <c r="F1119">
        <v>13.85</v>
      </c>
      <c r="G1119">
        <v>15.84</v>
      </c>
      <c r="H1119">
        <v>15.94</v>
      </c>
      <c r="I1119">
        <v>15.45</v>
      </c>
      <c r="J1119">
        <v>15.21</v>
      </c>
      <c r="K1119">
        <v>15.21</v>
      </c>
      <c r="L1119">
        <f>Tableau1[[#This Row],[Final_time]]-SUM(Tableau1[[#This Row],[0_100m]:[600_700m]])</f>
        <v>14.700000000000003</v>
      </c>
      <c r="M1119">
        <v>119.79</v>
      </c>
      <c r="N1119">
        <f>SUM(Tableau1[[#This Row],[0_100m]:[700_800m]])</f>
        <v>119.79</v>
      </c>
      <c r="O1119">
        <f>ABS(Tableau1[[#This Row],[Final_time]]-Tableau1[[#This Row],[Sum_time]])</f>
        <v>0</v>
      </c>
      <c r="P1119" s="8" t="s">
        <v>141</v>
      </c>
      <c r="Q1119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19" t="s">
        <v>1407</v>
      </c>
      <c r="S1119" s="1" t="s">
        <v>114</v>
      </c>
      <c r="T1119" t="s">
        <v>148</v>
      </c>
      <c r="U1119" s="1" t="s">
        <v>69</v>
      </c>
      <c r="V1119" s="1">
        <v>45918</v>
      </c>
      <c r="W1119" s="4">
        <f>YEAR(Tableau1[[#This Row],[Competition_date]])</f>
        <v>2025</v>
      </c>
      <c r="X1119" s="4">
        <v>26</v>
      </c>
      <c r="Y1119" s="6">
        <v>0.75</v>
      </c>
      <c r="Z1119" s="4"/>
    </row>
    <row r="1120" spans="1:26" hidden="1" x14ac:dyDescent="0.35">
      <c r="A1120" t="str">
        <f>_xlfn.CONCAT(Tableau1[[#This Row],[Athletes]],"_",Tableau1[[#This Row],[Nationality]],"_",Tableau1[[#This Row],[Competition_year]])</f>
        <v>Assia RAZIKI_MAR_2025</v>
      </c>
      <c r="B1120" t="s">
        <v>265</v>
      </c>
      <c r="C1120" t="s">
        <v>29</v>
      </c>
      <c r="D1120" s="18" t="s">
        <v>21</v>
      </c>
      <c r="E1120">
        <v>13.65</v>
      </c>
      <c r="F1120">
        <v>13.91</v>
      </c>
      <c r="G1120">
        <v>15.97</v>
      </c>
      <c r="H1120">
        <v>15.95</v>
      </c>
      <c r="I1120">
        <v>15.65</v>
      </c>
      <c r="J1120">
        <v>15.13</v>
      </c>
      <c r="K1120">
        <v>14.94</v>
      </c>
      <c r="L1120">
        <f>Tableau1[[#This Row],[Final_time]]-SUM(Tableau1[[#This Row],[0_100m]:[600_700m]])</f>
        <v>14.61999999999999</v>
      </c>
      <c r="M1120">
        <v>119.82</v>
      </c>
      <c r="N1120">
        <f>SUM(Tableau1[[#This Row],[0_100m]:[700_800m]])</f>
        <v>119.82</v>
      </c>
      <c r="O1120">
        <f>ABS(Tableau1[[#This Row],[Final_time]]-Tableau1[[#This Row],[Sum_time]])</f>
        <v>0</v>
      </c>
      <c r="P1120" s="8" t="s">
        <v>141</v>
      </c>
      <c r="Q1120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0" t="s">
        <v>1407</v>
      </c>
      <c r="S1120" s="1" t="s">
        <v>114</v>
      </c>
      <c r="T1120" t="s">
        <v>148</v>
      </c>
      <c r="U1120" s="1" t="s">
        <v>69</v>
      </c>
      <c r="V1120" s="1">
        <v>45918</v>
      </c>
      <c r="W1120" s="4">
        <f>YEAR(Tableau1[[#This Row],[Competition_date]])</f>
        <v>2025</v>
      </c>
      <c r="X1120" s="4">
        <v>26</v>
      </c>
      <c r="Y1120" s="6">
        <v>0.75</v>
      </c>
      <c r="Z1120" s="4"/>
    </row>
    <row r="1121" spans="1:26" hidden="1" x14ac:dyDescent="0.35">
      <c r="A1121" t="str">
        <f>_xlfn.CONCAT(Tableau1[[#This Row],[Athletes]],"_",Tableau1[[#This Row],[Nationality]],"_",Tableau1[[#This Row],[Competition_year]])</f>
        <v>Clara LIBERMAN_FRA_2025</v>
      </c>
      <c r="B1121" t="s">
        <v>1382</v>
      </c>
      <c r="C1121" t="s">
        <v>29</v>
      </c>
      <c r="D1121" s="18" t="s">
        <v>17</v>
      </c>
      <c r="E1121">
        <v>14.09</v>
      </c>
      <c r="F1121">
        <v>13.7</v>
      </c>
      <c r="G1121">
        <v>16.04</v>
      </c>
      <c r="H1121">
        <v>15.73</v>
      </c>
      <c r="I1121">
        <v>15.55</v>
      </c>
      <c r="J1121">
        <v>14.97</v>
      </c>
      <c r="K1121">
        <v>15.04</v>
      </c>
      <c r="L1121">
        <f>Tableau1[[#This Row],[Final_time]]-SUM(Tableau1[[#This Row],[0_100m]:[600_700m]])</f>
        <v>15.049999999999997</v>
      </c>
      <c r="M1121">
        <v>120.17</v>
      </c>
      <c r="N1121">
        <f>SUM(Tableau1[[#This Row],[0_100m]:[700_800m]])</f>
        <v>120.17</v>
      </c>
      <c r="O1121">
        <f>ABS(Tableau1[[#This Row],[Final_time]]-Tableau1[[#This Row],[Sum_time]])</f>
        <v>0</v>
      </c>
      <c r="P1121" s="8" t="s">
        <v>141</v>
      </c>
      <c r="Q1121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1" t="s">
        <v>1407</v>
      </c>
      <c r="S1121" s="1" t="s">
        <v>114</v>
      </c>
      <c r="T1121" t="s">
        <v>148</v>
      </c>
      <c r="U1121" s="1" t="s">
        <v>69</v>
      </c>
      <c r="V1121" s="1">
        <v>45918</v>
      </c>
      <c r="W1121" s="4">
        <f>YEAR(Tableau1[[#This Row],[Competition_date]])</f>
        <v>2025</v>
      </c>
      <c r="X1121" s="4">
        <v>26</v>
      </c>
      <c r="Y1121" s="6">
        <v>0.75</v>
      </c>
      <c r="Z1121" s="4"/>
    </row>
    <row r="1122" spans="1:26" hidden="1" x14ac:dyDescent="0.35">
      <c r="A1122" t="str">
        <f>_xlfn.CONCAT(Tableau1[[#This Row],[Athletes]],"_",Tableau1[[#This Row],[Nationality]],"_",Tableau1[[#This Row],[Competition_year]])</f>
        <v>Roisin WILLIS_USA_2025</v>
      </c>
      <c r="B1122" t="s">
        <v>1429</v>
      </c>
      <c r="C1122" t="s">
        <v>29</v>
      </c>
      <c r="D1122" s="18" t="s">
        <v>35</v>
      </c>
      <c r="E1122">
        <v>13.76</v>
      </c>
      <c r="F1122">
        <v>13.79</v>
      </c>
      <c r="G1122">
        <v>16.05</v>
      </c>
      <c r="H1122">
        <v>15.77</v>
      </c>
      <c r="I1122">
        <v>15.62</v>
      </c>
      <c r="J1122">
        <v>15.51</v>
      </c>
      <c r="K1122">
        <v>15.08</v>
      </c>
      <c r="L1122">
        <f>Tableau1[[#This Row],[Final_time]]-SUM(Tableau1[[#This Row],[0_100m]:[600_700m]])</f>
        <v>14.659999999999997</v>
      </c>
      <c r="M1122">
        <v>120.24</v>
      </c>
      <c r="N1122">
        <f>SUM(Tableau1[[#This Row],[0_100m]:[700_800m]])</f>
        <v>120.24</v>
      </c>
      <c r="O1122">
        <f>ABS(Tableau1[[#This Row],[Final_time]]-Tableau1[[#This Row],[Sum_time]])</f>
        <v>0</v>
      </c>
      <c r="P1122" s="8"/>
      <c r="Q1122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2" t="s">
        <v>1407</v>
      </c>
      <c r="S1122" s="1" t="s">
        <v>114</v>
      </c>
      <c r="T1122" t="s">
        <v>148</v>
      </c>
      <c r="U1122" s="1" t="s">
        <v>69</v>
      </c>
      <c r="V1122" s="1">
        <v>45918</v>
      </c>
      <c r="W1122" s="4">
        <f>YEAR(Tableau1[[#This Row],[Competition_date]])</f>
        <v>2025</v>
      </c>
      <c r="X1122" s="4">
        <v>26</v>
      </c>
      <c r="Y1122" s="6">
        <v>0.75</v>
      </c>
      <c r="Z1122" s="4"/>
    </row>
    <row r="1123" spans="1:26" hidden="1" x14ac:dyDescent="0.35">
      <c r="A1123" t="str">
        <f>_xlfn.CONCAT(Tableau1[[#This Row],[Athletes]],"_",Tableau1[[#This Row],[Nationality]],"_",Tableau1[[#This Row],[Competition_year]])</f>
        <v>Caroline BREDLINGER_AUT_2025</v>
      </c>
      <c r="B1123" t="s">
        <v>1392</v>
      </c>
      <c r="C1123" t="s">
        <v>29</v>
      </c>
      <c r="D1123" s="18" t="s">
        <v>956</v>
      </c>
      <c r="E1123">
        <v>13.89</v>
      </c>
      <c r="F1123">
        <v>13.86</v>
      </c>
      <c r="G1123">
        <v>16.05</v>
      </c>
      <c r="H1123">
        <v>15.79</v>
      </c>
      <c r="I1123">
        <v>15.73</v>
      </c>
      <c r="J1123">
        <v>14.85</v>
      </c>
      <c r="K1123">
        <v>15.17</v>
      </c>
      <c r="L1123">
        <f>Tableau1[[#This Row],[Final_time]]-SUM(Tableau1[[#This Row],[0_100m]:[600_700m]])</f>
        <v>14.910000000000011</v>
      </c>
      <c r="M1123">
        <v>120.25</v>
      </c>
      <c r="N1123">
        <f>SUM(Tableau1[[#This Row],[0_100m]:[700_800m]])</f>
        <v>120.25</v>
      </c>
      <c r="O1123">
        <f>ABS(Tableau1[[#This Row],[Final_time]]-Tableau1[[#This Row],[Sum_time]])</f>
        <v>0</v>
      </c>
      <c r="P1123" s="8"/>
      <c r="Q1123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3" t="s">
        <v>1407</v>
      </c>
      <c r="S1123" s="1" t="s">
        <v>114</v>
      </c>
      <c r="T1123" t="s">
        <v>148</v>
      </c>
      <c r="U1123" s="1" t="s">
        <v>69</v>
      </c>
      <c r="V1123" s="1">
        <v>45918</v>
      </c>
      <c r="W1123" s="4">
        <f>YEAR(Tableau1[[#This Row],[Competition_date]])</f>
        <v>2025</v>
      </c>
      <c r="X1123" s="4">
        <v>26</v>
      </c>
      <c r="Y1123" s="6">
        <v>0.75</v>
      </c>
      <c r="Z1123" s="4"/>
    </row>
    <row r="1124" spans="1:26" hidden="1" x14ac:dyDescent="0.35">
      <c r="A1124" t="str">
        <f>_xlfn.CONCAT(Tableau1[[#This Row],[Athletes]],"_",Tableau1[[#This Row],[Nationality]],"_",Tableau1[[#This Row],[Competition_year]])</f>
        <v>Anita HORVAT_SLO_2025</v>
      </c>
      <c r="B1124" t="s">
        <v>218</v>
      </c>
      <c r="C1124" t="s">
        <v>29</v>
      </c>
      <c r="D1124" s="18" t="s">
        <v>53</v>
      </c>
      <c r="E1124">
        <v>13.49</v>
      </c>
      <c r="F1124">
        <v>13.94</v>
      </c>
      <c r="G1124">
        <v>15.92</v>
      </c>
      <c r="H1124">
        <v>15.97</v>
      </c>
      <c r="I1124">
        <v>15.67</v>
      </c>
      <c r="J1124">
        <v>15.56</v>
      </c>
      <c r="K1124">
        <v>15.2</v>
      </c>
      <c r="L1124">
        <f>Tableau1[[#This Row],[Final_time]]-SUM(Tableau1[[#This Row],[0_100m]:[600_700m]])</f>
        <v>14.909999999999997</v>
      </c>
      <c r="M1124">
        <v>120.66</v>
      </c>
      <c r="N1124">
        <f>SUM(Tableau1[[#This Row],[0_100m]:[700_800m]])</f>
        <v>120.66</v>
      </c>
      <c r="O1124">
        <f>ABS(Tableau1[[#This Row],[Final_time]]-Tableau1[[#This Row],[Sum_time]])</f>
        <v>0</v>
      </c>
      <c r="P1124" s="8"/>
      <c r="Q1124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4" t="s">
        <v>1407</v>
      </c>
      <c r="S1124" s="1" t="s">
        <v>114</v>
      </c>
      <c r="T1124" t="s">
        <v>148</v>
      </c>
      <c r="U1124" s="1" t="s">
        <v>69</v>
      </c>
      <c r="V1124" s="1">
        <v>45918</v>
      </c>
      <c r="W1124" s="4">
        <f>YEAR(Tableau1[[#This Row],[Competition_date]])</f>
        <v>2025</v>
      </c>
      <c r="X1124" s="4">
        <v>26</v>
      </c>
      <c r="Y1124" s="6">
        <v>0.75</v>
      </c>
      <c r="Z1124" s="4"/>
    </row>
    <row r="1125" spans="1:26" hidden="1" x14ac:dyDescent="0.35">
      <c r="A1125" t="str">
        <f>_xlfn.CONCAT(Tableau1[[#This Row],[Athletes]],"_",Tableau1[[#This Row],[Nationality]],"_",Tableau1[[#This Row],[Competition_year]])</f>
        <v>Marta MITJANS_ESP_2025</v>
      </c>
      <c r="B1125" t="s">
        <v>1430</v>
      </c>
      <c r="C1125" t="s">
        <v>29</v>
      </c>
      <c r="D1125" s="18" t="s">
        <v>37</v>
      </c>
      <c r="E1125">
        <v>13.87</v>
      </c>
      <c r="F1125">
        <v>14.29</v>
      </c>
      <c r="G1125">
        <v>15.86</v>
      </c>
      <c r="H1125">
        <v>15.81</v>
      </c>
      <c r="I1125">
        <v>15.47</v>
      </c>
      <c r="J1125">
        <v>15.37</v>
      </c>
      <c r="K1125">
        <v>15.22</v>
      </c>
      <c r="L1125">
        <f>Tableau1[[#This Row],[Final_time]]-SUM(Tableau1[[#This Row],[0_100m]:[600_700m]])</f>
        <v>14.780000000000001</v>
      </c>
      <c r="M1125">
        <v>120.67</v>
      </c>
      <c r="N1125">
        <f>SUM(Tableau1[[#This Row],[0_100m]:[700_800m]])</f>
        <v>120.67</v>
      </c>
      <c r="O1125">
        <f>ABS(Tableau1[[#This Row],[Final_time]]-Tableau1[[#This Row],[Sum_time]])</f>
        <v>0</v>
      </c>
      <c r="P1125" s="8"/>
      <c r="Q1125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5" t="s">
        <v>1407</v>
      </c>
      <c r="S1125" s="1" t="s">
        <v>114</v>
      </c>
      <c r="T1125" t="s">
        <v>148</v>
      </c>
      <c r="U1125" s="1" t="s">
        <v>69</v>
      </c>
      <c r="V1125" s="1">
        <v>45918</v>
      </c>
      <c r="W1125" s="4">
        <f>YEAR(Tableau1[[#This Row],[Competition_date]])</f>
        <v>2025</v>
      </c>
      <c r="X1125" s="4">
        <v>26</v>
      </c>
      <c r="Y1125" s="6">
        <v>0.75</v>
      </c>
      <c r="Z1125" s="4"/>
    </row>
    <row r="1126" spans="1:26" hidden="1" x14ac:dyDescent="0.35">
      <c r="A1126" t="str">
        <f>_xlfn.CONCAT(Tableau1[[#This Row],[Athletes]],"_",Tableau1[[#This Row],[Nationality]],"_",Tableau1[[#This Row],[Competition_year]])</f>
        <v>Déborah RODRÍGUEZ_URU_2025</v>
      </c>
      <c r="B1126" t="s">
        <v>258</v>
      </c>
      <c r="C1126" t="s">
        <v>29</v>
      </c>
      <c r="D1126" s="18" t="s">
        <v>163</v>
      </c>
      <c r="E1126">
        <v>13.56</v>
      </c>
      <c r="F1126">
        <v>14.22</v>
      </c>
      <c r="G1126">
        <v>16.16</v>
      </c>
      <c r="H1126">
        <v>16.02</v>
      </c>
      <c r="I1126">
        <v>15.58</v>
      </c>
      <c r="J1126">
        <v>15.48</v>
      </c>
      <c r="K1126">
        <v>15.84</v>
      </c>
      <c r="L1126">
        <f>Tableau1[[#This Row],[Final_time]]-SUM(Tableau1[[#This Row],[0_100m]:[600_700m]])</f>
        <v>16.320000000000007</v>
      </c>
      <c r="M1126">
        <v>123.18</v>
      </c>
      <c r="N1126">
        <f>SUM(Tableau1[[#This Row],[0_100m]:[700_800m]])</f>
        <v>123.18</v>
      </c>
      <c r="O1126">
        <f>ABS(Tableau1[[#This Row],[Final_time]]-Tableau1[[#This Row],[Sum_time]])</f>
        <v>0</v>
      </c>
      <c r="P1126" s="8"/>
      <c r="Q1126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6" t="s">
        <v>1407</v>
      </c>
      <c r="S1126" s="1" t="s">
        <v>114</v>
      </c>
      <c r="T1126" t="s">
        <v>148</v>
      </c>
      <c r="U1126" s="1" t="s">
        <v>69</v>
      </c>
      <c r="V1126" s="1">
        <v>45918</v>
      </c>
      <c r="W1126" s="4">
        <f>YEAR(Tableau1[[#This Row],[Competition_date]])</f>
        <v>2025</v>
      </c>
      <c r="X1126" s="4">
        <v>26</v>
      </c>
      <c r="Y1126" s="6">
        <v>0.75</v>
      </c>
      <c r="Z1126" s="4"/>
    </row>
    <row r="1127" spans="1:26" hidden="1" x14ac:dyDescent="0.35">
      <c r="A1127" t="str">
        <f>_xlfn.CONCAT(Tableau1[[#This Row],[Athletes]],"_",Tableau1[[#This Row],[Nationality]],"_",Tableau1[[#This Row],[Competition_year]])</f>
        <v>Perina Lokure NAKANG_ART_2025</v>
      </c>
      <c r="B1127" t="s">
        <v>1431</v>
      </c>
      <c r="C1127" t="s">
        <v>29</v>
      </c>
      <c r="D1127" s="18" t="s">
        <v>427</v>
      </c>
      <c r="E1127">
        <v>14.1</v>
      </c>
      <c r="F1127">
        <v>13.96</v>
      </c>
      <c r="G1127">
        <v>16.23</v>
      </c>
      <c r="H1127">
        <v>15.58</v>
      </c>
      <c r="I1127">
        <v>16.010000000000002</v>
      </c>
      <c r="J1127">
        <v>17.170000000000002</v>
      </c>
      <c r="K1127">
        <v>18.93</v>
      </c>
      <c r="L1127">
        <f>Tableau1[[#This Row],[Final_time]]-SUM(Tableau1[[#This Row],[0_100m]:[600_700m]])</f>
        <v>18.149999999999977</v>
      </c>
      <c r="M1127">
        <v>130.13</v>
      </c>
      <c r="N1127">
        <f>SUM(Tableau1[[#This Row],[0_100m]:[700_800m]])</f>
        <v>130.13</v>
      </c>
      <c r="O1127">
        <f>ABS(Tableau1[[#This Row],[Final_time]]-Tableau1[[#This Row],[Sum_time]])</f>
        <v>0</v>
      </c>
      <c r="P1127" s="8"/>
      <c r="Q1127" s="16" t="str">
        <f>_xlfn.CONCAT(Tableau1[[#This Row],[Competition]],"_",Tableau1[[#This Row],[Championship_step]],"_",Tableau1[[#This Row],[Competition_date]],"_",Tableau1[[#This Row],[Gender]])</f>
        <v>World Championship Tokyo 2025_Heat 1_45918_Female</v>
      </c>
      <c r="R1127" t="s">
        <v>1407</v>
      </c>
      <c r="S1127" s="1" t="s">
        <v>114</v>
      </c>
      <c r="T1127" t="s">
        <v>148</v>
      </c>
      <c r="U1127" s="1" t="s">
        <v>69</v>
      </c>
      <c r="V1127" s="1">
        <v>45918</v>
      </c>
      <c r="W1127" s="4">
        <f>YEAR(Tableau1[[#This Row],[Competition_date]])</f>
        <v>2025</v>
      </c>
      <c r="X1127" s="4">
        <v>26</v>
      </c>
      <c r="Y1127" s="6">
        <v>0.75</v>
      </c>
      <c r="Z1127" s="4"/>
    </row>
    <row r="1128" spans="1:26" hidden="1" x14ac:dyDescent="0.35">
      <c r="A1128" t="str">
        <f>_xlfn.CONCAT(Tableau1[[#This Row],[Athletes]],"_",Tableau1[[#This Row],[Nationality]],"_",Tableau1[[#This Row],[Competition_year]])</f>
        <v>Mohamed ATTAOUI_ESP_2025</v>
      </c>
      <c r="B1128" t="s">
        <v>110</v>
      </c>
      <c r="C1128" t="s">
        <v>14</v>
      </c>
      <c r="D1128" s="18" t="s">
        <v>37</v>
      </c>
      <c r="E1128">
        <v>13.38</v>
      </c>
      <c r="F1128">
        <v>13.04</v>
      </c>
      <c r="G1128">
        <v>14.01</v>
      </c>
      <c r="H1128">
        <v>13.56</v>
      </c>
      <c r="I1128">
        <v>13.4</v>
      </c>
      <c r="J1128">
        <v>12.49</v>
      </c>
      <c r="K1128">
        <v>12.99</v>
      </c>
      <c r="L1128">
        <f>Tableau1[[#This Row],[Final_time]]-SUM(Tableau1[[#This Row],[0_100m]:[600_700m]])</f>
        <v>12.360000000000014</v>
      </c>
      <c r="M1128">
        <v>105.23</v>
      </c>
      <c r="N1128">
        <f>SUM(Tableau1[[#This Row],[0_100m]:[700_800m]])</f>
        <v>105.23</v>
      </c>
      <c r="O1128">
        <f>ABS(Tableau1[[#This Row],[Final_time]]-Tableau1[[#This Row],[Sum_time]])</f>
        <v>0</v>
      </c>
      <c r="P1128" s="8" t="s">
        <v>141</v>
      </c>
      <c r="Q1128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28" t="s">
        <v>1407</v>
      </c>
      <c r="S1128" s="1" t="s">
        <v>114</v>
      </c>
      <c r="T1128" t="s">
        <v>147</v>
      </c>
      <c r="U1128" s="1" t="s">
        <v>69</v>
      </c>
      <c r="V1128" s="1">
        <v>45916</v>
      </c>
      <c r="W1128" s="4">
        <f>YEAR(Tableau1[[#This Row],[Competition_date]])</f>
        <v>2025</v>
      </c>
      <c r="X1128" s="4">
        <v>28</v>
      </c>
      <c r="Y1128" s="6">
        <v>0.73</v>
      </c>
      <c r="Z1128" s="4"/>
    </row>
    <row r="1129" spans="1:26" hidden="1" x14ac:dyDescent="0.35">
      <c r="A1129" t="str">
        <f>_xlfn.CONCAT(Tableau1[[#This Row],[Athletes]],"_",Tableau1[[#This Row],[Nationality]],"_",Tableau1[[#This Row],[Competition_year]])</f>
        <v>Kelvin Kimtai LOTI_KEN_2025</v>
      </c>
      <c r="B1129" t="s">
        <v>1408</v>
      </c>
      <c r="C1129" t="s">
        <v>14</v>
      </c>
      <c r="D1129" s="18" t="s">
        <v>15</v>
      </c>
      <c r="E1129">
        <v>12.78</v>
      </c>
      <c r="F1129">
        <v>12.44</v>
      </c>
      <c r="G1129">
        <v>14.31</v>
      </c>
      <c r="H1129">
        <v>13.78</v>
      </c>
      <c r="I1129">
        <v>13.43</v>
      </c>
      <c r="J1129">
        <v>13.01</v>
      </c>
      <c r="K1129">
        <v>12.85</v>
      </c>
      <c r="L1129">
        <f>Tableau1[[#This Row],[Final_time]]-SUM(Tableau1[[#This Row],[0_100m]:[600_700m]])</f>
        <v>12.749999999999986</v>
      </c>
      <c r="M1129">
        <v>105.35</v>
      </c>
      <c r="N1129">
        <f>SUM(Tableau1[[#This Row],[0_100m]:[700_800m]])</f>
        <v>105.35</v>
      </c>
      <c r="O1129">
        <f>ABS(Tableau1[[#This Row],[Final_time]]-Tableau1[[#This Row],[Sum_time]])</f>
        <v>0</v>
      </c>
      <c r="P1129" s="8" t="s">
        <v>141</v>
      </c>
      <c r="Q1129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29" t="s">
        <v>1407</v>
      </c>
      <c r="S1129" s="1" t="s">
        <v>114</v>
      </c>
      <c r="T1129" t="s">
        <v>147</v>
      </c>
      <c r="U1129" s="1" t="s">
        <v>69</v>
      </c>
      <c r="V1129" s="1">
        <v>45916</v>
      </c>
      <c r="W1129" s="4">
        <f>YEAR(Tableau1[[#This Row],[Competition_date]])</f>
        <v>2025</v>
      </c>
      <c r="X1129" s="4">
        <v>28</v>
      </c>
      <c r="Y1129" s="6">
        <v>0.73</v>
      </c>
      <c r="Z1129" s="4"/>
    </row>
    <row r="1130" spans="1:26" hidden="1" x14ac:dyDescent="0.35">
      <c r="A1130" t="str">
        <f>_xlfn.CONCAT(Tableau1[[#This Row],[Athletes]],"_",Tableau1[[#This Row],[Nationality]],"_",Tableau1[[#This Row],[Competition_year]])</f>
        <v>Marco AROP_CAN_2025</v>
      </c>
      <c r="B1130" t="s">
        <v>177</v>
      </c>
      <c r="C1130" t="s">
        <v>14</v>
      </c>
      <c r="D1130" s="18" t="s">
        <v>19</v>
      </c>
      <c r="E1130">
        <v>13.29</v>
      </c>
      <c r="F1130">
        <v>13</v>
      </c>
      <c r="G1130">
        <v>13.83</v>
      </c>
      <c r="H1130">
        <v>13.41</v>
      </c>
      <c r="I1130">
        <v>13.28</v>
      </c>
      <c r="J1130">
        <v>12.94</v>
      </c>
      <c r="K1130">
        <v>13.09</v>
      </c>
      <c r="L1130">
        <f>Tableau1[[#This Row],[Final_time]]-SUM(Tableau1[[#This Row],[0_100m]:[600_700m]])</f>
        <v>12.549999999999997</v>
      </c>
      <c r="M1130">
        <v>105.39</v>
      </c>
      <c r="N1130">
        <f>SUM(Tableau1[[#This Row],[0_100m]:[700_800m]])</f>
        <v>105.39</v>
      </c>
      <c r="O1130">
        <f>ABS(Tableau1[[#This Row],[Final_time]]-Tableau1[[#This Row],[Sum_time]])</f>
        <v>0</v>
      </c>
      <c r="P1130" s="8" t="s">
        <v>141</v>
      </c>
      <c r="Q1130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0" t="s">
        <v>1407</v>
      </c>
      <c r="S1130" s="1" t="s">
        <v>114</v>
      </c>
      <c r="T1130" t="s">
        <v>147</v>
      </c>
      <c r="U1130" s="1" t="s">
        <v>69</v>
      </c>
      <c r="V1130" s="1">
        <v>45916</v>
      </c>
      <c r="W1130" s="4">
        <f>YEAR(Tableau1[[#This Row],[Competition_date]])</f>
        <v>2025</v>
      </c>
      <c r="X1130" s="4">
        <v>28</v>
      </c>
      <c r="Y1130" s="6">
        <v>0.73</v>
      </c>
      <c r="Z1130" s="4"/>
    </row>
    <row r="1131" spans="1:26" hidden="1" x14ac:dyDescent="0.35">
      <c r="A1131" t="str">
        <f>_xlfn.CONCAT(Tableau1[[#This Row],[Athletes]],"_",Tableau1[[#This Row],[Nationality]],"_",Tableau1[[#This Row],[Competition_year]])</f>
        <v>Samuel CHAPPLE_NED_2025</v>
      </c>
      <c r="B1131" t="s">
        <v>1397</v>
      </c>
      <c r="C1131" t="s">
        <v>14</v>
      </c>
      <c r="D1131" s="18" t="s">
        <v>158</v>
      </c>
      <c r="E1131">
        <v>12.81</v>
      </c>
      <c r="F1131">
        <v>12.55</v>
      </c>
      <c r="G1131">
        <v>14.41</v>
      </c>
      <c r="H1131">
        <v>13.82</v>
      </c>
      <c r="I1131">
        <v>13.42</v>
      </c>
      <c r="J1131">
        <v>12.97</v>
      </c>
      <c r="K1131">
        <v>13.07</v>
      </c>
      <c r="L1131">
        <f>Tableau1[[#This Row],[Final_time]]-SUM(Tableau1[[#This Row],[0_100m]:[600_700m]])</f>
        <v>12.40000000000002</v>
      </c>
      <c r="M1131">
        <v>105.45</v>
      </c>
      <c r="N1131">
        <f>SUM(Tableau1[[#This Row],[0_100m]:[700_800m]])</f>
        <v>105.45</v>
      </c>
      <c r="O1131">
        <f>ABS(Tableau1[[#This Row],[Final_time]]-Tableau1[[#This Row],[Sum_time]])</f>
        <v>0</v>
      </c>
      <c r="P1131" s="8"/>
      <c r="Q1131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1" t="s">
        <v>1407</v>
      </c>
      <c r="S1131" s="1" t="s">
        <v>114</v>
      </c>
      <c r="T1131" t="s">
        <v>147</v>
      </c>
      <c r="U1131" s="1" t="s">
        <v>69</v>
      </c>
      <c r="V1131" s="1">
        <v>45916</v>
      </c>
      <c r="W1131" s="4">
        <f>YEAR(Tableau1[[#This Row],[Competition_date]])</f>
        <v>2025</v>
      </c>
      <c r="X1131" s="4">
        <v>28</v>
      </c>
      <c r="Y1131" s="6">
        <v>0.73</v>
      </c>
      <c r="Z1131" s="4"/>
    </row>
    <row r="1132" spans="1:26" hidden="1" x14ac:dyDescent="0.35">
      <c r="A1132" t="str">
        <f>_xlfn.CONCAT(Tableau1[[#This Row],[Athletes]],"_",Tableau1[[#This Row],[Nationality]],"_",Tableau1[[#This Row],[Competition_year]])</f>
        <v>Tiarnan CRORKEN_GBR_2025</v>
      </c>
      <c r="B1132" t="s">
        <v>1409</v>
      </c>
      <c r="C1132" t="s">
        <v>14</v>
      </c>
      <c r="D1132" s="18" t="s">
        <v>30</v>
      </c>
      <c r="E1132">
        <v>12.9</v>
      </c>
      <c r="F1132">
        <v>12.69</v>
      </c>
      <c r="G1132">
        <v>14.32</v>
      </c>
      <c r="H1132">
        <v>13.85</v>
      </c>
      <c r="I1132">
        <v>13.42</v>
      </c>
      <c r="J1132">
        <v>12.98</v>
      </c>
      <c r="K1132">
        <v>12.95</v>
      </c>
      <c r="L1132">
        <f>Tableau1[[#This Row],[Final_time]]-SUM(Tableau1[[#This Row],[0_100m]:[600_700m]])</f>
        <v>12.519999999999996</v>
      </c>
      <c r="M1132">
        <v>105.63</v>
      </c>
      <c r="N1132">
        <f>SUM(Tableau1[[#This Row],[0_100m]:[700_800m]])</f>
        <v>105.63</v>
      </c>
      <c r="O1132">
        <f>ABS(Tableau1[[#This Row],[Final_time]]-Tableau1[[#This Row],[Sum_time]])</f>
        <v>0</v>
      </c>
      <c r="P1132" s="8"/>
      <c r="Q1132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2" t="s">
        <v>1407</v>
      </c>
      <c r="S1132" s="1" t="s">
        <v>114</v>
      </c>
      <c r="T1132" t="s">
        <v>147</v>
      </c>
      <c r="U1132" s="1" t="s">
        <v>69</v>
      </c>
      <c r="V1132" s="1">
        <v>45916</v>
      </c>
      <c r="W1132" s="4">
        <f>YEAR(Tableau1[[#This Row],[Competition_date]])</f>
        <v>2025</v>
      </c>
      <c r="X1132" s="4">
        <v>28</v>
      </c>
      <c r="Y1132" s="6">
        <v>0.73</v>
      </c>
      <c r="Z1132" s="4"/>
    </row>
    <row r="1133" spans="1:26" hidden="1" x14ac:dyDescent="0.35">
      <c r="A1133" t="str">
        <f>_xlfn.CONCAT(Tableau1[[#This Row],[Athletes]],"_",Tableau1[[#This Row],[Nationality]],"_",Tableau1[[#This Row],[Competition_year]])</f>
        <v>Tom DRADRIGA_UGA_2025</v>
      </c>
      <c r="B1133" t="s">
        <v>191</v>
      </c>
      <c r="C1133" t="s">
        <v>14</v>
      </c>
      <c r="D1133" s="18" t="s">
        <v>34</v>
      </c>
      <c r="E1133">
        <v>12.76</v>
      </c>
      <c r="F1133">
        <v>12.5</v>
      </c>
      <c r="G1133">
        <v>14.29</v>
      </c>
      <c r="H1133">
        <v>13.87</v>
      </c>
      <c r="I1133">
        <v>13.41</v>
      </c>
      <c r="J1133">
        <v>13.1</v>
      </c>
      <c r="K1133">
        <v>12.9</v>
      </c>
      <c r="L1133">
        <f>Tableau1[[#This Row],[Final_time]]-SUM(Tableau1[[#This Row],[0_100m]:[600_700m]])</f>
        <v>13.350000000000009</v>
      </c>
      <c r="M1133">
        <v>106.18</v>
      </c>
      <c r="N1133">
        <f>SUM(Tableau1[[#This Row],[0_100m]:[700_800m]])</f>
        <v>106.18</v>
      </c>
      <c r="O1133">
        <f>ABS(Tableau1[[#This Row],[Final_time]]-Tableau1[[#This Row],[Sum_time]])</f>
        <v>0</v>
      </c>
      <c r="P1133" s="8"/>
      <c r="Q1133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3" t="s">
        <v>1407</v>
      </c>
      <c r="S1133" s="1" t="s">
        <v>114</v>
      </c>
      <c r="T1133" t="s">
        <v>147</v>
      </c>
      <c r="U1133" s="1" t="s">
        <v>69</v>
      </c>
      <c r="V1133" s="1">
        <v>45916</v>
      </c>
      <c r="W1133" s="4">
        <f>YEAR(Tableau1[[#This Row],[Competition_date]])</f>
        <v>2025</v>
      </c>
      <c r="X1133" s="4">
        <v>28</v>
      </c>
      <c r="Y1133" s="6">
        <v>0.73</v>
      </c>
      <c r="Z1133" s="4"/>
    </row>
    <row r="1134" spans="1:26" hidden="1" x14ac:dyDescent="0.35">
      <c r="A1134" t="str">
        <f>_xlfn.CONCAT(Tableau1[[#This Row],[Athletes]],"_",Tableau1[[#This Row],[Nationality]],"_",Tableau1[[#This Row],[Competition_year]])</f>
        <v>Pieter SISK_BEL_2025</v>
      </c>
      <c r="B1134" t="s">
        <v>466</v>
      </c>
      <c r="C1134" t="s">
        <v>14</v>
      </c>
      <c r="D1134" s="18" t="s">
        <v>18</v>
      </c>
      <c r="E1134">
        <v>12.61</v>
      </c>
      <c r="F1134">
        <v>12.84</v>
      </c>
      <c r="G1134">
        <v>14.29</v>
      </c>
      <c r="H1134">
        <v>13.95</v>
      </c>
      <c r="I1134">
        <v>13.45</v>
      </c>
      <c r="J1134">
        <v>13.04</v>
      </c>
      <c r="K1134">
        <v>13.18</v>
      </c>
      <c r="L1134">
        <f>Tableau1[[#This Row],[Final_time]]-SUM(Tableau1[[#This Row],[0_100m]:[600_700m]])</f>
        <v>13.009999999999991</v>
      </c>
      <c r="M1134">
        <v>106.37</v>
      </c>
      <c r="N1134">
        <f>SUM(Tableau1[[#This Row],[0_100m]:[700_800m]])</f>
        <v>106.37</v>
      </c>
      <c r="O1134">
        <f>ABS(Tableau1[[#This Row],[Final_time]]-Tableau1[[#This Row],[Sum_time]])</f>
        <v>0</v>
      </c>
      <c r="P1134" s="8"/>
      <c r="Q1134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4" t="s">
        <v>1407</v>
      </c>
      <c r="S1134" s="1" t="s">
        <v>114</v>
      </c>
      <c r="T1134" t="s">
        <v>147</v>
      </c>
      <c r="U1134" s="1" t="s">
        <v>69</v>
      </c>
      <c r="V1134" s="1">
        <v>45916</v>
      </c>
      <c r="W1134" s="4">
        <f>YEAR(Tableau1[[#This Row],[Competition_date]])</f>
        <v>2025</v>
      </c>
      <c r="X1134" s="4">
        <v>28</v>
      </c>
      <c r="Y1134" s="6">
        <v>0.73</v>
      </c>
      <c r="Z1134" s="4"/>
    </row>
    <row r="1135" spans="1:26" hidden="1" x14ac:dyDescent="0.35">
      <c r="A1135" t="str">
        <f>_xlfn.CONCAT(Tableau1[[#This Row],[Athletes]],"_",Tableau1[[#This Row],[Nationality]],"_",Tableau1[[#This Row],[Competition_year]])</f>
        <v>Abdelati EL GUESSE_MAR_2025</v>
      </c>
      <c r="B1135" t="s">
        <v>112</v>
      </c>
      <c r="C1135" t="s">
        <v>14</v>
      </c>
      <c r="D1135" s="18" t="s">
        <v>21</v>
      </c>
      <c r="E1135">
        <v>13.26</v>
      </c>
      <c r="F1135">
        <v>12.62</v>
      </c>
      <c r="G1135">
        <v>14.2</v>
      </c>
      <c r="H1135">
        <v>13.87</v>
      </c>
      <c r="I1135">
        <v>13.66</v>
      </c>
      <c r="J1135">
        <v>12.91</v>
      </c>
      <c r="K1135">
        <v>13.09</v>
      </c>
      <c r="L1135">
        <f>Tableau1[[#This Row],[Final_time]]-SUM(Tableau1[[#This Row],[0_100m]:[600_700m]])</f>
        <v>13.189999999999998</v>
      </c>
      <c r="M1135">
        <v>106.8</v>
      </c>
      <c r="N1135">
        <f>SUM(Tableau1[[#This Row],[0_100m]:[700_800m]])</f>
        <v>106.8</v>
      </c>
      <c r="O1135">
        <f>ABS(Tableau1[[#This Row],[Final_time]]-Tableau1[[#This Row],[Sum_time]])</f>
        <v>0</v>
      </c>
      <c r="P1135" s="8"/>
      <c r="Q1135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5" t="s">
        <v>1407</v>
      </c>
      <c r="S1135" s="1" t="s">
        <v>114</v>
      </c>
      <c r="T1135" t="s">
        <v>147</v>
      </c>
      <c r="U1135" s="1" t="s">
        <v>69</v>
      </c>
      <c r="V1135" s="1">
        <v>45916</v>
      </c>
      <c r="W1135" s="4">
        <f>YEAR(Tableau1[[#This Row],[Competition_date]])</f>
        <v>2025</v>
      </c>
      <c r="X1135" s="4">
        <v>28</v>
      </c>
      <c r="Y1135" s="6">
        <v>0.73</v>
      </c>
      <c r="Z1135" s="4"/>
    </row>
    <row r="1136" spans="1:26" hidden="1" x14ac:dyDescent="0.35">
      <c r="A1136" t="str">
        <f>_xlfn.CONCAT(Tableau1[[#This Row],[Athletes]],"_",Tableau1[[#This Row],[Nationality]],"_",Tableau1[[#This Row],[Competition_year]])</f>
        <v>Musa SULIMAN_ART_2025</v>
      </c>
      <c r="B1136" t="s">
        <v>1081</v>
      </c>
      <c r="C1136" t="s">
        <v>14</v>
      </c>
      <c r="D1136" s="18" t="s">
        <v>427</v>
      </c>
      <c r="E1136">
        <v>13.03</v>
      </c>
      <c r="F1136">
        <v>12.82</v>
      </c>
      <c r="G1136">
        <v>14.28</v>
      </c>
      <c r="H1136">
        <v>14.04</v>
      </c>
      <c r="I1136">
        <v>13.62</v>
      </c>
      <c r="J1136">
        <v>13.23</v>
      </c>
      <c r="K1136">
        <v>13.44</v>
      </c>
      <c r="L1136">
        <f>Tableau1[[#This Row],[Final_time]]-SUM(Tableau1[[#This Row],[0_100m]:[600_700m]])</f>
        <v>13.819999999999993</v>
      </c>
      <c r="M1136">
        <v>108.28</v>
      </c>
      <c r="N1136">
        <f>SUM(Tableau1[[#This Row],[0_100m]:[700_800m]])</f>
        <v>108.28</v>
      </c>
      <c r="O1136">
        <f>ABS(Tableau1[[#This Row],[Final_time]]-Tableau1[[#This Row],[Sum_time]])</f>
        <v>0</v>
      </c>
      <c r="P1136" s="8"/>
      <c r="Q1136" s="16" t="str">
        <f>_xlfn.CONCAT(Tableau1[[#This Row],[Competition]],"_",Tableau1[[#This Row],[Championship_step]],"_",Tableau1[[#This Row],[Competition_date]],"_",Tableau1[[#This Row],[Gender]])</f>
        <v>World Championship Tokyo 2025_Heat 2_45916_Male</v>
      </c>
      <c r="R1136" t="s">
        <v>1407</v>
      </c>
      <c r="S1136" s="1" t="s">
        <v>114</v>
      </c>
      <c r="T1136" t="s">
        <v>147</v>
      </c>
      <c r="U1136" s="1" t="s">
        <v>69</v>
      </c>
      <c r="V1136" s="1">
        <v>45916</v>
      </c>
      <c r="W1136" s="4">
        <f>YEAR(Tableau1[[#This Row],[Competition_date]])</f>
        <v>2025</v>
      </c>
      <c r="X1136" s="4">
        <v>28</v>
      </c>
      <c r="Y1136" s="6">
        <v>0.73</v>
      </c>
      <c r="Z1136" s="4"/>
    </row>
    <row r="1137" spans="1:26" hidden="1" x14ac:dyDescent="0.35">
      <c r="A1137" t="str">
        <f>_xlfn.CONCAT(Tableau1[[#This Row],[Athletes]],"_",Tableau1[[#This Row],[Nationality]],"_",Tableau1[[#This Row],[Competition_year]])</f>
        <v>Anaïs BOURGOIN_FRA_2025</v>
      </c>
      <c r="B1137" t="s">
        <v>1375</v>
      </c>
      <c r="C1137" t="s">
        <v>29</v>
      </c>
      <c r="D1137" s="18" t="s">
        <v>17</v>
      </c>
      <c r="E1137">
        <v>14.06</v>
      </c>
      <c r="F1137">
        <v>13.56</v>
      </c>
      <c r="G1137">
        <v>15.43</v>
      </c>
      <c r="H1137">
        <v>16.190000000000001</v>
      </c>
      <c r="I1137">
        <v>15.55</v>
      </c>
      <c r="J1137">
        <v>14.66</v>
      </c>
      <c r="K1137">
        <v>14.56</v>
      </c>
      <c r="L1137">
        <f>Tableau1[[#This Row],[Final_time]]-SUM(Tableau1[[#This Row],[0_100m]:[600_700m]])</f>
        <v>14.420000000000016</v>
      </c>
      <c r="M1137">
        <v>118.43</v>
      </c>
      <c r="N1137">
        <f>SUM(Tableau1[[#This Row],[0_100m]:[700_800m]])</f>
        <v>118.43</v>
      </c>
      <c r="O1137">
        <f>ABS(Tableau1[[#This Row],[Final_time]]-Tableau1[[#This Row],[Sum_time]])</f>
        <v>0</v>
      </c>
      <c r="P1137" s="8" t="s">
        <v>141</v>
      </c>
      <c r="Q1137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37" t="s">
        <v>1407</v>
      </c>
      <c r="S1137" s="1" t="s">
        <v>114</v>
      </c>
      <c r="T1137" t="s">
        <v>147</v>
      </c>
      <c r="U1137" s="1" t="s">
        <v>69</v>
      </c>
      <c r="V1137" s="1">
        <v>45918</v>
      </c>
      <c r="W1137" s="4">
        <f>YEAR(Tableau1[[#This Row],[Competition_date]])</f>
        <v>2025</v>
      </c>
      <c r="X1137" s="4">
        <v>26</v>
      </c>
      <c r="Y1137" s="6">
        <v>0.75</v>
      </c>
      <c r="Z1137" s="4"/>
    </row>
    <row r="1138" spans="1:26" hidden="1" x14ac:dyDescent="0.35">
      <c r="A1138" t="str">
        <f>_xlfn.CONCAT(Tableau1[[#This Row],[Athletes]],"_",Tableau1[[#This Row],[Nationality]],"_",Tableau1[[#This Row],[Competition_year]])</f>
        <v>Mary MORAA_KEN_2025</v>
      </c>
      <c r="B1138" t="s">
        <v>228</v>
      </c>
      <c r="C1138" t="s">
        <v>29</v>
      </c>
      <c r="D1138" s="18" t="s">
        <v>15</v>
      </c>
      <c r="E1138">
        <v>13.84</v>
      </c>
      <c r="F1138">
        <v>13.65</v>
      </c>
      <c r="G1138">
        <v>15.34</v>
      </c>
      <c r="H1138">
        <v>16.239999999999998</v>
      </c>
      <c r="I1138">
        <v>15.6</v>
      </c>
      <c r="J1138">
        <v>14.8</v>
      </c>
      <c r="K1138">
        <v>14.47</v>
      </c>
      <c r="L1138">
        <f>Tableau1[[#This Row],[Final_time]]-SUM(Tableau1[[#This Row],[0_100m]:[600_700m]])</f>
        <v>14.500000000000014</v>
      </c>
      <c r="M1138">
        <v>118.44</v>
      </c>
      <c r="N1138">
        <f>SUM(Tableau1[[#This Row],[0_100m]:[700_800m]])</f>
        <v>118.44</v>
      </c>
      <c r="O1138">
        <f>ABS(Tableau1[[#This Row],[Final_time]]-Tableau1[[#This Row],[Sum_time]])</f>
        <v>0</v>
      </c>
      <c r="P1138" s="8" t="s">
        <v>141</v>
      </c>
      <c r="Q1138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38" t="s">
        <v>1407</v>
      </c>
      <c r="S1138" s="1" t="s">
        <v>114</v>
      </c>
      <c r="T1138" t="s">
        <v>147</v>
      </c>
      <c r="U1138" s="1" t="s">
        <v>69</v>
      </c>
      <c r="V1138" s="1">
        <v>45918</v>
      </c>
      <c r="W1138" s="4">
        <f>YEAR(Tableau1[[#This Row],[Competition_date]])</f>
        <v>2025</v>
      </c>
      <c r="X1138" s="4">
        <v>26</v>
      </c>
      <c r="Y1138" s="6">
        <v>0.75</v>
      </c>
      <c r="Z1138" s="4"/>
    </row>
    <row r="1139" spans="1:26" hidden="1" x14ac:dyDescent="0.35">
      <c r="A1139" t="str">
        <f>_xlfn.CONCAT(Tableau1[[#This Row],[Athletes]],"_",Tableau1[[#This Row],[Nationality]],"_",Tableau1[[#This Row],[Competition_year]])</f>
        <v>Gabriela GAJANOVÁ_SVK_2025</v>
      </c>
      <c r="B1139" t="s">
        <v>349</v>
      </c>
      <c r="C1139" t="s">
        <v>29</v>
      </c>
      <c r="D1139" s="18" t="s">
        <v>100</v>
      </c>
      <c r="E1139">
        <v>13.95</v>
      </c>
      <c r="F1139">
        <v>13.89</v>
      </c>
      <c r="G1139">
        <v>15.27</v>
      </c>
      <c r="H1139">
        <v>16.32</v>
      </c>
      <c r="I1139">
        <v>15.61</v>
      </c>
      <c r="J1139">
        <v>15.44</v>
      </c>
      <c r="K1139">
        <v>15.17</v>
      </c>
      <c r="L1139">
        <f>Tableau1[[#This Row],[Final_time]]-SUM(Tableau1[[#This Row],[0_100m]:[600_700m]])</f>
        <v>14.790000000000006</v>
      </c>
      <c r="M1139">
        <v>120.44</v>
      </c>
      <c r="N1139">
        <f>SUM(Tableau1[[#This Row],[0_100m]:[700_800m]])</f>
        <v>120.44</v>
      </c>
      <c r="O1139">
        <f>ABS(Tableau1[[#This Row],[Final_time]]-Tableau1[[#This Row],[Sum_time]])</f>
        <v>0</v>
      </c>
      <c r="P1139" s="8" t="s">
        <v>141</v>
      </c>
      <c r="Q1139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39" t="s">
        <v>1407</v>
      </c>
      <c r="S1139" s="1" t="s">
        <v>114</v>
      </c>
      <c r="T1139" t="s">
        <v>147</v>
      </c>
      <c r="U1139" s="1" t="s">
        <v>69</v>
      </c>
      <c r="V1139" s="1">
        <v>45918</v>
      </c>
      <c r="W1139" s="4">
        <f>YEAR(Tableau1[[#This Row],[Competition_date]])</f>
        <v>2025</v>
      </c>
      <c r="X1139" s="4">
        <v>26</v>
      </c>
      <c r="Y1139" s="6">
        <v>0.75</v>
      </c>
      <c r="Z1139" s="4"/>
    </row>
    <row r="1140" spans="1:26" hidden="1" x14ac:dyDescent="0.35">
      <c r="A1140" t="str">
        <f>_xlfn.CONCAT(Tableau1[[#This Row],[Athletes]],"_",Tableau1[[#This Row],[Nationality]],"_",Tableau1[[#This Row],[Competition_year]])</f>
        <v>Veronica VANCARDO_SUI_2025</v>
      </c>
      <c r="B1140" t="s">
        <v>1432</v>
      </c>
      <c r="C1140" t="s">
        <v>29</v>
      </c>
      <c r="D1140" s="18" t="s">
        <v>73</v>
      </c>
      <c r="E1140">
        <v>13.95</v>
      </c>
      <c r="F1140">
        <v>13.84</v>
      </c>
      <c r="G1140">
        <v>15.35</v>
      </c>
      <c r="H1140">
        <v>15.92</v>
      </c>
      <c r="I1140">
        <v>15.63</v>
      </c>
      <c r="J1140">
        <v>15.35</v>
      </c>
      <c r="K1140">
        <v>15.19</v>
      </c>
      <c r="L1140">
        <f>Tableau1[[#This Row],[Final_time]]-SUM(Tableau1[[#This Row],[0_100m]:[600_700m]])</f>
        <v>15.900000000000006</v>
      </c>
      <c r="M1140">
        <v>121.13</v>
      </c>
      <c r="N1140">
        <f>SUM(Tableau1[[#This Row],[0_100m]:[700_800m]])</f>
        <v>121.13</v>
      </c>
      <c r="O1140">
        <f>ABS(Tableau1[[#This Row],[Final_time]]-Tableau1[[#This Row],[Sum_time]])</f>
        <v>0</v>
      </c>
      <c r="P1140" s="8"/>
      <c r="Q1140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40" t="s">
        <v>1407</v>
      </c>
      <c r="S1140" s="1" t="s">
        <v>114</v>
      </c>
      <c r="T1140" t="s">
        <v>147</v>
      </c>
      <c r="U1140" s="1" t="s">
        <v>69</v>
      </c>
      <c r="V1140" s="1">
        <v>45918</v>
      </c>
      <c r="W1140" s="4">
        <f>YEAR(Tableau1[[#This Row],[Competition_date]])</f>
        <v>2025</v>
      </c>
      <c r="X1140" s="4">
        <v>26</v>
      </c>
      <c r="Y1140" s="6">
        <v>0.75</v>
      </c>
      <c r="Z1140" s="4"/>
    </row>
    <row r="1141" spans="1:26" hidden="1" x14ac:dyDescent="0.35">
      <c r="A1141" t="str">
        <f>_xlfn.CONCAT(Tableau1[[#This Row],[Athletes]],"_",Tableau1[[#This Row],[Nationality]],"_",Tableau1[[#This Row],[Competition_year]])</f>
        <v>Rocio ARROYO_ESP_2025</v>
      </c>
      <c r="B1141" t="s">
        <v>1433</v>
      </c>
      <c r="C1141" t="s">
        <v>29</v>
      </c>
      <c r="D1141" s="18" t="s">
        <v>37</v>
      </c>
      <c r="E1141">
        <v>14.02</v>
      </c>
      <c r="F1141">
        <v>13.86</v>
      </c>
      <c r="G1141">
        <v>15.4</v>
      </c>
      <c r="H1141">
        <v>16.14</v>
      </c>
      <c r="I1141">
        <v>15.58</v>
      </c>
      <c r="J1141">
        <v>15.27</v>
      </c>
      <c r="K1141">
        <v>15.27</v>
      </c>
      <c r="L1141">
        <f>Tableau1[[#This Row],[Final_time]]-SUM(Tableau1[[#This Row],[0_100m]:[600_700m]])</f>
        <v>15.800000000000011</v>
      </c>
      <c r="M1141">
        <v>121.34</v>
      </c>
      <c r="N1141">
        <f>SUM(Tableau1[[#This Row],[0_100m]:[700_800m]])</f>
        <v>121.34</v>
      </c>
      <c r="O1141">
        <f>ABS(Tableau1[[#This Row],[Final_time]]-Tableau1[[#This Row],[Sum_time]])</f>
        <v>0</v>
      </c>
      <c r="P1141" s="8"/>
      <c r="Q1141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41" t="s">
        <v>1407</v>
      </c>
      <c r="S1141" s="1" t="s">
        <v>114</v>
      </c>
      <c r="T1141" t="s">
        <v>147</v>
      </c>
      <c r="U1141" s="1" t="s">
        <v>69</v>
      </c>
      <c r="V1141" s="1">
        <v>45918</v>
      </c>
      <c r="W1141" s="4">
        <f>YEAR(Tableau1[[#This Row],[Competition_date]])</f>
        <v>2025</v>
      </c>
      <c r="X1141" s="4">
        <v>26</v>
      </c>
      <c r="Y1141" s="6">
        <v>0.75</v>
      </c>
      <c r="Z1141" s="4"/>
    </row>
    <row r="1142" spans="1:26" hidden="1" x14ac:dyDescent="0.35">
      <c r="A1142" t="str">
        <f>_xlfn.CONCAT(Tableau1[[#This Row],[Athletes]],"_",Tableau1[[#This Row],[Nationality]],"_",Tableau1[[#This Row],[Competition_year]])</f>
        <v>Jazz SHUKLA_CAN_2025</v>
      </c>
      <c r="B1142" t="s">
        <v>234</v>
      </c>
      <c r="C1142" t="s">
        <v>29</v>
      </c>
      <c r="D1142" s="18" t="s">
        <v>19</v>
      </c>
      <c r="E1142">
        <v>14.15</v>
      </c>
      <c r="F1142">
        <v>14.1</v>
      </c>
      <c r="G1142">
        <v>15.29</v>
      </c>
      <c r="H1142">
        <v>16.07</v>
      </c>
      <c r="I1142">
        <v>15.57</v>
      </c>
      <c r="J1142">
        <v>15</v>
      </c>
      <c r="K1142">
        <v>15.31</v>
      </c>
      <c r="L1142">
        <f>Tableau1[[#This Row],[Final_time]]-SUM(Tableau1[[#This Row],[0_100m]:[600_700m]])</f>
        <v>15.929999999999993</v>
      </c>
      <c r="M1142">
        <v>121.42</v>
      </c>
      <c r="N1142">
        <f>SUM(Tableau1[[#This Row],[0_100m]:[700_800m]])</f>
        <v>121.42</v>
      </c>
      <c r="O1142">
        <f>ABS(Tableau1[[#This Row],[Final_time]]-Tableau1[[#This Row],[Sum_time]])</f>
        <v>0</v>
      </c>
      <c r="P1142" s="8"/>
      <c r="Q1142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42" t="s">
        <v>1407</v>
      </c>
      <c r="S1142" s="1" t="s">
        <v>114</v>
      </c>
      <c r="T1142" t="s">
        <v>147</v>
      </c>
      <c r="U1142" s="1" t="s">
        <v>69</v>
      </c>
      <c r="V1142" s="1">
        <v>45918</v>
      </c>
      <c r="W1142" s="4">
        <f>YEAR(Tableau1[[#This Row],[Competition_date]])</f>
        <v>2025</v>
      </c>
      <c r="X1142" s="4">
        <v>26</v>
      </c>
      <c r="Y1142" s="6">
        <v>0.75</v>
      </c>
      <c r="Z1142" s="4"/>
    </row>
    <row r="1143" spans="1:26" hidden="1" x14ac:dyDescent="0.35">
      <c r="A1143" t="str">
        <f>_xlfn.CONCAT(Tableau1[[#This Row],[Athletes]],"_",Tableau1[[#This Row],[Nationality]],"_",Tableau1[[#This Row],[Competition_year]])</f>
        <v>Adelle TRACEY_JAM_2025</v>
      </c>
      <c r="B1143" t="s">
        <v>231</v>
      </c>
      <c r="C1143" t="s">
        <v>29</v>
      </c>
      <c r="D1143" s="18" t="s">
        <v>33</v>
      </c>
      <c r="E1143">
        <v>14.03</v>
      </c>
      <c r="F1143">
        <v>13.99</v>
      </c>
      <c r="G1143">
        <v>15.42</v>
      </c>
      <c r="H1143">
        <v>16.13</v>
      </c>
      <c r="I1143">
        <v>15.59</v>
      </c>
      <c r="J1143">
        <v>15.33</v>
      </c>
      <c r="K1143">
        <v>15.48</v>
      </c>
      <c r="L1143">
        <f>Tableau1[[#This Row],[Final_time]]-SUM(Tableau1[[#This Row],[0_100m]:[600_700m]])</f>
        <v>15.730000000000004</v>
      </c>
      <c r="M1143">
        <v>121.7</v>
      </c>
      <c r="N1143">
        <f>SUM(Tableau1[[#This Row],[0_100m]:[700_800m]])</f>
        <v>121.7</v>
      </c>
      <c r="O1143">
        <f>ABS(Tableau1[[#This Row],[Final_time]]-Tableau1[[#This Row],[Sum_time]])</f>
        <v>0</v>
      </c>
      <c r="P1143" s="8"/>
      <c r="Q1143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43" t="s">
        <v>1407</v>
      </c>
      <c r="S1143" s="1" t="s">
        <v>114</v>
      </c>
      <c r="T1143" t="s">
        <v>147</v>
      </c>
      <c r="U1143" s="1" t="s">
        <v>69</v>
      </c>
      <c r="V1143" s="1">
        <v>45918</v>
      </c>
      <c r="W1143" s="4">
        <f>YEAR(Tableau1[[#This Row],[Competition_date]])</f>
        <v>2025</v>
      </c>
      <c r="X1143" s="4">
        <v>26</v>
      </c>
      <c r="Y1143" s="6">
        <v>0.75</v>
      </c>
      <c r="Z1143" s="4"/>
    </row>
    <row r="1144" spans="1:26" hidden="1" x14ac:dyDescent="0.35">
      <c r="A1144" t="str">
        <f>_xlfn.CONCAT(Tableau1[[#This Row],[Athletes]],"_",Tableau1[[#This Row],[Nationality]],"_",Tableau1[[#This Row],[Competition_year]])</f>
        <v>Nigist GETACHEW_ETH_2025</v>
      </c>
      <c r="B1144" t="s">
        <v>1105</v>
      </c>
      <c r="C1144" t="s">
        <v>29</v>
      </c>
      <c r="D1144" s="18" t="s">
        <v>49</v>
      </c>
      <c r="E1144">
        <v>13.9</v>
      </c>
      <c r="F1144">
        <v>13.64</v>
      </c>
      <c r="G1144">
        <v>15.45</v>
      </c>
      <c r="H1144">
        <v>16.25</v>
      </c>
      <c r="I1144">
        <v>15.59</v>
      </c>
      <c r="J1144">
        <v>14.91</v>
      </c>
      <c r="K1144">
        <v>15.47</v>
      </c>
      <c r="L1144">
        <f>Tableau1[[#This Row],[Final_time]]-SUM(Tableau1[[#This Row],[0_100m]:[600_700m]])</f>
        <v>17.210000000000008</v>
      </c>
      <c r="M1144">
        <v>122.42</v>
      </c>
      <c r="N1144">
        <f>SUM(Tableau1[[#This Row],[0_100m]:[700_800m]])</f>
        <v>122.42</v>
      </c>
      <c r="O1144">
        <f>ABS(Tableau1[[#This Row],[Final_time]]-Tableau1[[#This Row],[Sum_time]])</f>
        <v>0</v>
      </c>
      <c r="P1144" s="8"/>
      <c r="Q1144" s="16" t="str">
        <f>_xlfn.CONCAT(Tableau1[[#This Row],[Competition]],"_",Tableau1[[#This Row],[Championship_step]],"_",Tableau1[[#This Row],[Competition_date]],"_",Tableau1[[#This Row],[Gender]])</f>
        <v>World Championship Tokyo 2025_Heat 2_45918_Female</v>
      </c>
      <c r="R1144" t="s">
        <v>1407</v>
      </c>
      <c r="S1144" s="1" t="s">
        <v>114</v>
      </c>
      <c r="T1144" t="s">
        <v>147</v>
      </c>
      <c r="U1144" s="1" t="s">
        <v>69</v>
      </c>
      <c r="V1144" s="1">
        <v>45918</v>
      </c>
      <c r="W1144" s="4">
        <f>YEAR(Tableau1[[#This Row],[Competition_date]])</f>
        <v>2025</v>
      </c>
      <c r="X1144" s="4">
        <v>26</v>
      </c>
      <c r="Y1144" s="6">
        <v>0.75</v>
      </c>
      <c r="Z1144" s="4"/>
    </row>
    <row r="1145" spans="1:26" hidden="1" x14ac:dyDescent="0.35">
      <c r="A1145" t="str">
        <f>_xlfn.CONCAT(Tableau1[[#This Row],[Athletes]],"_",Tableau1[[#This Row],[Nationality]],"_",Tableau1[[#This Row],[Competition_year]])</f>
        <v>Maciej WYDERKA_POL_2025</v>
      </c>
      <c r="B1145" t="s">
        <v>1410</v>
      </c>
      <c r="C1145" t="s">
        <v>14</v>
      </c>
      <c r="D1145" s="18" t="s">
        <v>88</v>
      </c>
      <c r="E1145">
        <v>12.73</v>
      </c>
      <c r="F1145">
        <v>12.27</v>
      </c>
      <c r="G1145">
        <v>14.56</v>
      </c>
      <c r="H1145">
        <v>14.42</v>
      </c>
      <c r="I1145">
        <v>14.33</v>
      </c>
      <c r="J1145">
        <v>12.92</v>
      </c>
      <c r="K1145">
        <v>12.55</v>
      </c>
      <c r="L1145">
        <f>Tableau1[[#This Row],[Final_time]]-SUM(Tableau1[[#This Row],[0_100m]:[600_700m]])</f>
        <v>12.519999999999996</v>
      </c>
      <c r="M1145">
        <v>106.3</v>
      </c>
      <c r="N1145">
        <f>SUM(Tableau1[[#This Row],[0_100m]:[700_800m]])</f>
        <v>106.3</v>
      </c>
      <c r="O1145">
        <f>ABS(Tableau1[[#This Row],[Final_time]]-Tableau1[[#This Row],[Sum_time]])</f>
        <v>0</v>
      </c>
      <c r="P1145" s="8" t="s">
        <v>141</v>
      </c>
      <c r="Q1145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45" t="s">
        <v>1407</v>
      </c>
      <c r="S1145" s="1" t="s">
        <v>114</v>
      </c>
      <c r="T1145" t="s">
        <v>428</v>
      </c>
      <c r="U1145" s="1" t="s">
        <v>69</v>
      </c>
      <c r="V1145" s="1">
        <v>45916</v>
      </c>
      <c r="W1145" s="4">
        <f>YEAR(Tableau1[[#This Row],[Competition_date]])</f>
        <v>2025</v>
      </c>
      <c r="X1145" s="4">
        <v>28</v>
      </c>
      <c r="Y1145" s="6">
        <v>0.73</v>
      </c>
      <c r="Z1145" s="4"/>
    </row>
    <row r="1146" spans="1:26" hidden="1" x14ac:dyDescent="0.35">
      <c r="A1146" t="str">
        <f>_xlfn.CONCAT(Tableau1[[#This Row],[Athletes]],"_",Tableau1[[#This Row],[Nationality]],"_",Tableau1[[#This Row],[Competition_year]])</f>
        <v>Ben PATTISON_GBR_2025</v>
      </c>
      <c r="B1146" t="s">
        <v>108</v>
      </c>
      <c r="C1146" t="s">
        <v>14</v>
      </c>
      <c r="D1146" s="18" t="s">
        <v>30</v>
      </c>
      <c r="E1146">
        <v>12.72</v>
      </c>
      <c r="F1146">
        <v>12.27</v>
      </c>
      <c r="G1146">
        <v>14.46</v>
      </c>
      <c r="H1146">
        <v>14.25</v>
      </c>
      <c r="I1146">
        <v>14.21</v>
      </c>
      <c r="J1146">
        <v>13.38</v>
      </c>
      <c r="K1146">
        <v>12.72</v>
      </c>
      <c r="L1146">
        <f>Tableau1[[#This Row],[Final_time]]-SUM(Tableau1[[#This Row],[0_100m]:[600_700m]])</f>
        <v>12.500000000000014</v>
      </c>
      <c r="M1146">
        <v>106.51</v>
      </c>
      <c r="N1146">
        <f>SUM(Tableau1[[#This Row],[0_100m]:[700_800m]])</f>
        <v>106.51</v>
      </c>
      <c r="O1146">
        <f>ABS(Tableau1[[#This Row],[Final_time]]-Tableau1[[#This Row],[Sum_time]])</f>
        <v>0</v>
      </c>
      <c r="P1146" s="8" t="s">
        <v>141</v>
      </c>
      <c r="Q1146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46" t="s">
        <v>1407</v>
      </c>
      <c r="S1146" s="1" t="s">
        <v>114</v>
      </c>
      <c r="T1146" t="s">
        <v>428</v>
      </c>
      <c r="U1146" s="1" t="s">
        <v>69</v>
      </c>
      <c r="V1146" s="1">
        <v>45916</v>
      </c>
      <c r="W1146" s="4">
        <f>YEAR(Tableau1[[#This Row],[Competition_date]])</f>
        <v>2025</v>
      </c>
      <c r="X1146" s="4">
        <v>28</v>
      </c>
      <c r="Y1146" s="6">
        <v>0.73</v>
      </c>
      <c r="Z1146" s="4"/>
    </row>
    <row r="1147" spans="1:26" hidden="1" x14ac:dyDescent="0.35">
      <c r="A1147" t="str">
        <f>_xlfn.CONCAT(Tableau1[[#This Row],[Athletes]],"_",Tableau1[[#This Row],[Nationality]],"_",Tableau1[[#This Row],[Competition_year]])</f>
        <v>Gabriel TUAL_FRA_2025</v>
      </c>
      <c r="B1147" t="s">
        <v>180</v>
      </c>
      <c r="C1147" t="s">
        <v>14</v>
      </c>
      <c r="D1147" s="18" t="s">
        <v>17</v>
      </c>
      <c r="E1147">
        <v>12.78</v>
      </c>
      <c r="F1147">
        <v>12.34</v>
      </c>
      <c r="G1147">
        <v>14.52</v>
      </c>
      <c r="H1147">
        <v>14.25</v>
      </c>
      <c r="I1147">
        <v>14.26</v>
      </c>
      <c r="J1147">
        <v>13.41</v>
      </c>
      <c r="K1147">
        <v>12.67</v>
      </c>
      <c r="L1147">
        <f>Tableau1[[#This Row],[Final_time]]-SUM(Tableau1[[#This Row],[0_100m]:[600_700m]])</f>
        <v>12.310000000000002</v>
      </c>
      <c r="M1147">
        <v>106.54</v>
      </c>
      <c r="N1147">
        <f>SUM(Tableau1[[#This Row],[0_100m]:[700_800m]])</f>
        <v>106.54</v>
      </c>
      <c r="O1147">
        <f>ABS(Tableau1[[#This Row],[Final_time]]-Tableau1[[#This Row],[Sum_time]])</f>
        <v>0</v>
      </c>
      <c r="P1147" s="8" t="s">
        <v>141</v>
      </c>
      <c r="Q1147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47" t="s">
        <v>1407</v>
      </c>
      <c r="S1147" s="1" t="s">
        <v>114</v>
      </c>
      <c r="T1147" t="s">
        <v>428</v>
      </c>
      <c r="U1147" s="1" t="s">
        <v>69</v>
      </c>
      <c r="V1147" s="1">
        <v>45916</v>
      </c>
      <c r="W1147" s="4">
        <f>YEAR(Tableau1[[#This Row],[Competition_date]])</f>
        <v>2025</v>
      </c>
      <c r="X1147" s="4">
        <v>28</v>
      </c>
      <c r="Y1147" s="6">
        <v>0.73</v>
      </c>
      <c r="Z1147" s="4"/>
    </row>
    <row r="1148" spans="1:26" hidden="1" x14ac:dyDescent="0.35">
      <c r="A1148" t="str">
        <f>_xlfn.CONCAT(Tableau1[[#This Row],[Athletes]],"_",Tableau1[[#This Row],[Nationality]],"_",Tableau1[[#This Row],[Competition_year]])</f>
        <v>Mariano GARCÍA_ESP_2025</v>
      </c>
      <c r="B1148" t="s">
        <v>241</v>
      </c>
      <c r="C1148" t="s">
        <v>14</v>
      </c>
      <c r="D1148" s="18" t="s">
        <v>37</v>
      </c>
      <c r="E1148">
        <v>13.05</v>
      </c>
      <c r="F1148">
        <v>12.58</v>
      </c>
      <c r="G1148">
        <v>14.44</v>
      </c>
      <c r="H1148">
        <v>13.77</v>
      </c>
      <c r="I1148">
        <v>14.3</v>
      </c>
      <c r="J1148">
        <v>13.23</v>
      </c>
      <c r="K1148">
        <v>12.76</v>
      </c>
      <c r="L1148">
        <f>Tableau1[[#This Row],[Final_time]]-SUM(Tableau1[[#This Row],[0_100m]:[600_700m]])</f>
        <v>12.959999999999994</v>
      </c>
      <c r="M1148">
        <v>107.09</v>
      </c>
      <c r="N1148">
        <f>SUM(Tableau1[[#This Row],[0_100m]:[700_800m]])</f>
        <v>107.09</v>
      </c>
      <c r="O1148">
        <f>ABS(Tableau1[[#This Row],[Final_time]]-Tableau1[[#This Row],[Sum_time]])</f>
        <v>0</v>
      </c>
      <c r="P1148" s="8"/>
      <c r="Q1148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48" t="s">
        <v>1407</v>
      </c>
      <c r="S1148" s="1" t="s">
        <v>114</v>
      </c>
      <c r="T1148" t="s">
        <v>428</v>
      </c>
      <c r="U1148" s="1" t="s">
        <v>69</v>
      </c>
      <c r="V1148" s="1">
        <v>45916</v>
      </c>
      <c r="W1148" s="4">
        <f>YEAR(Tableau1[[#This Row],[Competition_date]])</f>
        <v>2025</v>
      </c>
      <c r="X1148" s="4">
        <v>28</v>
      </c>
      <c r="Y1148" s="6">
        <v>0.73</v>
      </c>
      <c r="Z1148" s="4"/>
    </row>
    <row r="1149" spans="1:26" hidden="1" x14ac:dyDescent="0.35">
      <c r="A1149" t="str">
        <f>_xlfn.CONCAT(Tableau1[[#This Row],[Athletes]],"_",Tableau1[[#This Row],[Nationality]],"_",Tableau1[[#This Row],[Competition_year]])</f>
        <v>Moad ZAHAFI_MAR_2025</v>
      </c>
      <c r="B1149" t="s">
        <v>282</v>
      </c>
      <c r="C1149" t="s">
        <v>14</v>
      </c>
      <c r="D1149" s="18" t="s">
        <v>21</v>
      </c>
      <c r="E1149">
        <v>12.85</v>
      </c>
      <c r="F1149">
        <v>12.27</v>
      </c>
      <c r="G1149">
        <v>14.56</v>
      </c>
      <c r="H1149">
        <v>14.03</v>
      </c>
      <c r="I1149">
        <v>14.27</v>
      </c>
      <c r="J1149">
        <v>13.57</v>
      </c>
      <c r="K1149">
        <v>12.8</v>
      </c>
      <c r="L1149">
        <f>Tableau1[[#This Row],[Final_time]]-SUM(Tableau1[[#This Row],[0_100m]:[600_700m]])</f>
        <v>12.789999999999992</v>
      </c>
      <c r="M1149">
        <v>107.14</v>
      </c>
      <c r="N1149">
        <f>SUM(Tableau1[[#This Row],[0_100m]:[700_800m]])</f>
        <v>107.14</v>
      </c>
      <c r="O1149">
        <f>ABS(Tableau1[[#This Row],[Final_time]]-Tableau1[[#This Row],[Sum_time]])</f>
        <v>0</v>
      </c>
      <c r="P1149" s="8"/>
      <c r="Q1149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49" t="s">
        <v>1407</v>
      </c>
      <c r="S1149" s="1" t="s">
        <v>114</v>
      </c>
      <c r="T1149" t="s">
        <v>428</v>
      </c>
      <c r="U1149" s="1" t="s">
        <v>69</v>
      </c>
      <c r="V1149" s="1">
        <v>45916</v>
      </c>
      <c r="W1149" s="4">
        <f>YEAR(Tableau1[[#This Row],[Competition_date]])</f>
        <v>2025</v>
      </c>
      <c r="X1149" s="4">
        <v>28</v>
      </c>
      <c r="Y1149" s="6">
        <v>0.73</v>
      </c>
      <c r="Z1149" s="4"/>
    </row>
    <row r="1150" spans="1:26" hidden="1" x14ac:dyDescent="0.35">
      <c r="A1150" t="str">
        <f>_xlfn.CONCAT(Tableau1[[#This Row],[Athletes]],"_",Tableau1[[#This Row],[Nationality]],"_",Tableau1[[#This Row],[Competition_year]])</f>
        <v>Ebrahim ALZOFAIRI_KUW_2025</v>
      </c>
      <c r="B1150" t="s">
        <v>194</v>
      </c>
      <c r="C1150" t="s">
        <v>14</v>
      </c>
      <c r="D1150" s="18" t="s">
        <v>118</v>
      </c>
      <c r="E1150">
        <v>12.92</v>
      </c>
      <c r="F1150">
        <v>12.49</v>
      </c>
      <c r="G1150">
        <v>14.49</v>
      </c>
      <c r="H1150">
        <v>14.34</v>
      </c>
      <c r="I1150">
        <v>14.12</v>
      </c>
      <c r="J1150">
        <v>13.49</v>
      </c>
      <c r="K1150">
        <v>12.76</v>
      </c>
      <c r="L1150">
        <f>Tableau1[[#This Row],[Final_time]]-SUM(Tableau1[[#This Row],[0_100m]:[600_700m]])</f>
        <v>12.650000000000006</v>
      </c>
      <c r="M1150">
        <v>107.26</v>
      </c>
      <c r="N1150">
        <f>SUM(Tableau1[[#This Row],[0_100m]:[700_800m]])</f>
        <v>107.26</v>
      </c>
      <c r="O1150">
        <f>ABS(Tableau1[[#This Row],[Final_time]]-Tableau1[[#This Row],[Sum_time]])</f>
        <v>0</v>
      </c>
      <c r="P1150" s="8"/>
      <c r="Q1150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50" t="s">
        <v>1407</v>
      </c>
      <c r="S1150" s="1" t="s">
        <v>114</v>
      </c>
      <c r="T1150" t="s">
        <v>428</v>
      </c>
      <c r="U1150" s="1" t="s">
        <v>69</v>
      </c>
      <c r="V1150" s="1">
        <v>45916</v>
      </c>
      <c r="W1150" s="4">
        <f>YEAR(Tableau1[[#This Row],[Competition_date]])</f>
        <v>2025</v>
      </c>
      <c r="X1150" s="4">
        <v>28</v>
      </c>
      <c r="Y1150" s="6">
        <v>0.73</v>
      </c>
      <c r="Z1150" s="4"/>
    </row>
    <row r="1151" spans="1:26" hidden="1" x14ac:dyDescent="0.35">
      <c r="A1151" t="str">
        <f>_xlfn.CONCAT(Tableau1[[#This Row],[Athletes]],"_",Tableau1[[#This Row],[Nationality]],"_",Tableau1[[#This Row],[Competition_year]])</f>
        <v>Cooper LUTKENHAUS_USA_2025</v>
      </c>
      <c r="B1151" t="s">
        <v>1411</v>
      </c>
      <c r="C1151" t="s">
        <v>14</v>
      </c>
      <c r="D1151" s="18" t="s">
        <v>35</v>
      </c>
      <c r="E1151">
        <v>12.81</v>
      </c>
      <c r="F1151">
        <v>12.7</v>
      </c>
      <c r="G1151">
        <v>14.31</v>
      </c>
      <c r="H1151">
        <v>14.46</v>
      </c>
      <c r="I1151">
        <v>14.26</v>
      </c>
      <c r="J1151">
        <v>13.35</v>
      </c>
      <c r="K1151">
        <v>12.7</v>
      </c>
      <c r="L1151">
        <f>Tableau1[[#This Row],[Final_time]]-SUM(Tableau1[[#This Row],[0_100m]:[600_700m]])</f>
        <v>13.090000000000003</v>
      </c>
      <c r="M1151">
        <v>107.68</v>
      </c>
      <c r="N1151">
        <f>SUM(Tableau1[[#This Row],[0_100m]:[700_800m]])</f>
        <v>107.68</v>
      </c>
      <c r="O1151">
        <f>ABS(Tableau1[[#This Row],[Final_time]]-Tableau1[[#This Row],[Sum_time]])</f>
        <v>0</v>
      </c>
      <c r="P1151" s="8"/>
      <c r="Q1151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51" t="s">
        <v>1407</v>
      </c>
      <c r="S1151" s="1" t="s">
        <v>114</v>
      </c>
      <c r="T1151" t="s">
        <v>428</v>
      </c>
      <c r="U1151" s="1" t="s">
        <v>69</v>
      </c>
      <c r="V1151" s="1">
        <v>45916</v>
      </c>
      <c r="W1151" s="4">
        <f>YEAR(Tableau1[[#This Row],[Competition_date]])</f>
        <v>2025</v>
      </c>
      <c r="X1151" s="4">
        <v>28</v>
      </c>
      <c r="Y1151" s="6">
        <v>0.73</v>
      </c>
      <c r="Z1151" s="4"/>
    </row>
    <row r="1152" spans="1:26" hidden="1" x14ac:dyDescent="0.35">
      <c r="A1152" t="str">
        <f>_xlfn.CONCAT(Tableau1[[#This Row],[Athletes]],"_",Tableau1[[#This Row],[Nationality]],"_",Tableau1[[#This Row],[Competition_year]])</f>
        <v>Matthew ERICKSON_CAN_2025</v>
      </c>
      <c r="B1152" t="s">
        <v>1412</v>
      </c>
      <c r="C1152" t="s">
        <v>14</v>
      </c>
      <c r="D1152" s="18" t="s">
        <v>19</v>
      </c>
      <c r="E1152">
        <v>12.83</v>
      </c>
      <c r="F1152">
        <v>12.46</v>
      </c>
      <c r="G1152">
        <v>14.46</v>
      </c>
      <c r="H1152">
        <v>14.2</v>
      </c>
      <c r="I1152">
        <v>14.65</v>
      </c>
      <c r="J1152">
        <v>13.24</v>
      </c>
      <c r="K1152">
        <v>13.16</v>
      </c>
      <c r="L1152">
        <f>Tableau1[[#This Row],[Final_time]]-SUM(Tableau1[[#This Row],[0_100m]:[600_700m]])</f>
        <v>13.489999999999995</v>
      </c>
      <c r="M1152">
        <v>108.49</v>
      </c>
      <c r="N1152">
        <f>SUM(Tableau1[[#This Row],[0_100m]:[700_800m]])</f>
        <v>108.49</v>
      </c>
      <c r="O1152">
        <f>ABS(Tableau1[[#This Row],[Final_time]]-Tableau1[[#This Row],[Sum_time]])</f>
        <v>0</v>
      </c>
      <c r="P1152" s="8"/>
      <c r="Q1152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52" t="s">
        <v>1407</v>
      </c>
      <c r="S1152" s="1" t="s">
        <v>114</v>
      </c>
      <c r="T1152" t="s">
        <v>428</v>
      </c>
      <c r="U1152" s="1" t="s">
        <v>69</v>
      </c>
      <c r="V1152" s="1">
        <v>45916</v>
      </c>
      <c r="W1152" s="4">
        <f>YEAR(Tableau1[[#This Row],[Competition_date]])</f>
        <v>2025</v>
      </c>
      <c r="X1152" s="4">
        <v>28</v>
      </c>
      <c r="Y1152" s="6">
        <v>0.73</v>
      </c>
      <c r="Z1152" s="4"/>
    </row>
    <row r="1153" spans="1:26" hidden="1" x14ac:dyDescent="0.35">
      <c r="A1153" t="str">
        <f>_xlfn.CONCAT(Tableau1[[#This Row],[Athletes]],"_",Tableau1[[#This Row],[Nationality]],"_",Tableau1[[#This Row],[Competition_year]])</f>
        <v>Hein Htet AUNG_MYA_2025</v>
      </c>
      <c r="B1153" t="s">
        <v>1413</v>
      </c>
      <c r="C1153" t="s">
        <v>14</v>
      </c>
      <c r="D1153" s="18" t="s">
        <v>1414</v>
      </c>
      <c r="E1153">
        <v>13.03</v>
      </c>
      <c r="F1153">
        <v>12.62</v>
      </c>
      <c r="G1153">
        <v>14.45</v>
      </c>
      <c r="H1153">
        <v>14.44</v>
      </c>
      <c r="I1153">
        <v>14.34</v>
      </c>
      <c r="J1153">
        <v>14.38</v>
      </c>
      <c r="K1153">
        <v>14.75</v>
      </c>
      <c r="L1153">
        <f>Tableau1[[#This Row],[Final_time]]-SUM(Tableau1[[#This Row],[0_100m]:[600_700m]])</f>
        <v>14.690000000000012</v>
      </c>
      <c r="M1153">
        <v>112.7</v>
      </c>
      <c r="N1153">
        <f>SUM(Tableau1[[#This Row],[0_100m]:[700_800m]])</f>
        <v>112.7</v>
      </c>
      <c r="O1153">
        <f>ABS(Tableau1[[#This Row],[Final_time]]-Tableau1[[#This Row],[Sum_time]])</f>
        <v>0</v>
      </c>
      <c r="P1153" s="8"/>
      <c r="Q1153" s="16" t="str">
        <f>_xlfn.CONCAT(Tableau1[[#This Row],[Competition]],"_",Tableau1[[#This Row],[Championship_step]],"_",Tableau1[[#This Row],[Competition_date]],"_",Tableau1[[#This Row],[Gender]])</f>
        <v>World Championship Tokyo 2025_Heat 3_45916_Male</v>
      </c>
      <c r="R1153" t="s">
        <v>1407</v>
      </c>
      <c r="S1153" s="1" t="s">
        <v>114</v>
      </c>
      <c r="T1153" t="s">
        <v>428</v>
      </c>
      <c r="U1153" s="1" t="s">
        <v>69</v>
      </c>
      <c r="V1153" s="1">
        <v>45916</v>
      </c>
      <c r="W1153" s="4">
        <f>YEAR(Tableau1[[#This Row],[Competition_date]])</f>
        <v>2025</v>
      </c>
      <c r="X1153" s="4">
        <v>28</v>
      </c>
      <c r="Y1153" s="6">
        <v>0.73</v>
      </c>
      <c r="Z1153" s="4"/>
    </row>
    <row r="1154" spans="1:26" hidden="1" x14ac:dyDescent="0.35">
      <c r="A1154" t="str">
        <f>_xlfn.CONCAT(Tableau1[[#This Row],[Athletes]],"_",Tableau1[[#This Row],[Nationality]],"_",Tableau1[[#This Row],[Competition_year]])</f>
        <v>Tsige DUGUMA_ETH_2025</v>
      </c>
      <c r="B1154" t="s">
        <v>1283</v>
      </c>
      <c r="C1154" t="s">
        <v>29</v>
      </c>
      <c r="D1154" s="18" t="s">
        <v>49</v>
      </c>
      <c r="E1154">
        <v>13.86</v>
      </c>
      <c r="F1154">
        <v>13.67</v>
      </c>
      <c r="G1154">
        <v>15.71</v>
      </c>
      <c r="H1154">
        <v>16.809999999999999</v>
      </c>
      <c r="I1154">
        <v>16.03</v>
      </c>
      <c r="J1154">
        <v>15.53</v>
      </c>
      <c r="K1154">
        <v>15.42</v>
      </c>
      <c r="L1154">
        <f>Tableau1[[#This Row],[Final_time]]-SUM(Tableau1[[#This Row],[0_100m]:[600_700m]])</f>
        <v>14.5</v>
      </c>
      <c r="M1154">
        <v>121.53</v>
      </c>
      <c r="N1154">
        <f>SUM(Tableau1[[#This Row],[0_100m]:[700_800m]])</f>
        <v>121.53</v>
      </c>
      <c r="O1154">
        <f>ABS(Tableau1[[#This Row],[Final_time]]-Tableau1[[#This Row],[Sum_time]])</f>
        <v>0</v>
      </c>
      <c r="P1154" s="8" t="s">
        <v>141</v>
      </c>
      <c r="Q1154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54" t="s">
        <v>1407</v>
      </c>
      <c r="S1154" s="1" t="s">
        <v>114</v>
      </c>
      <c r="T1154" t="s">
        <v>428</v>
      </c>
      <c r="U1154" s="1" t="s">
        <v>69</v>
      </c>
      <c r="V1154" s="1">
        <v>45918</v>
      </c>
      <c r="W1154" s="4">
        <f>YEAR(Tableau1[[#This Row],[Competition_date]])</f>
        <v>2025</v>
      </c>
      <c r="X1154" s="4">
        <v>26</v>
      </c>
      <c r="Y1154" s="6">
        <v>0.75</v>
      </c>
      <c r="Z1154" s="4"/>
    </row>
    <row r="1155" spans="1:26" hidden="1" x14ac:dyDescent="0.35">
      <c r="A1155" t="str">
        <f>_xlfn.CONCAT(Tableau1[[#This Row],[Athletes]],"_",Tableau1[[#This Row],[Nationality]],"_",Tableau1[[#This Row],[Competition_year]])</f>
        <v>Maggi CONGDON_USA_2025</v>
      </c>
      <c r="B1155" t="s">
        <v>1434</v>
      </c>
      <c r="C1155" t="s">
        <v>29</v>
      </c>
      <c r="D1155" s="18" t="s">
        <v>35</v>
      </c>
      <c r="E1155">
        <v>13.96</v>
      </c>
      <c r="F1155">
        <v>13.78</v>
      </c>
      <c r="G1155">
        <v>15.57</v>
      </c>
      <c r="H1155">
        <v>16.93</v>
      </c>
      <c r="I1155">
        <v>16.07</v>
      </c>
      <c r="J1155">
        <v>15.44</v>
      </c>
      <c r="K1155">
        <v>15.4</v>
      </c>
      <c r="L1155">
        <f>Tableau1[[#This Row],[Final_time]]-SUM(Tableau1[[#This Row],[0_100m]:[600_700m]])</f>
        <v>14.589999999999989</v>
      </c>
      <c r="M1155">
        <v>121.74</v>
      </c>
      <c r="N1155">
        <f>SUM(Tableau1[[#This Row],[0_100m]:[700_800m]])</f>
        <v>121.74</v>
      </c>
      <c r="O1155">
        <f>ABS(Tableau1[[#This Row],[Final_time]]-Tableau1[[#This Row],[Sum_time]])</f>
        <v>0</v>
      </c>
      <c r="P1155" s="8" t="s">
        <v>141</v>
      </c>
      <c r="Q1155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55" t="s">
        <v>1407</v>
      </c>
      <c r="S1155" s="1" t="s">
        <v>114</v>
      </c>
      <c r="T1155" t="s">
        <v>428</v>
      </c>
      <c r="U1155" s="1" t="s">
        <v>69</v>
      </c>
      <c r="V1155" s="1">
        <v>45918</v>
      </c>
      <c r="W1155" s="4">
        <f>YEAR(Tableau1[[#This Row],[Competition_date]])</f>
        <v>2025</v>
      </c>
      <c r="X1155" s="4">
        <v>26</v>
      </c>
      <c r="Y1155" s="6">
        <v>0.75</v>
      </c>
      <c r="Z1155" s="4"/>
    </row>
    <row r="1156" spans="1:26" hidden="1" x14ac:dyDescent="0.35">
      <c r="A1156" t="str">
        <f>_xlfn.CONCAT(Tableau1[[#This Row],[Athletes]],"_",Tableau1[[#This Row],[Nationality]],"_",Tableau1[[#This Row],[Competition_year]])</f>
        <v>Eloisa COIRO_ITA_2025</v>
      </c>
      <c r="B1156" t="s">
        <v>233</v>
      </c>
      <c r="C1156" t="s">
        <v>29</v>
      </c>
      <c r="D1156" s="18" t="s">
        <v>20</v>
      </c>
      <c r="E1156">
        <v>13.97</v>
      </c>
      <c r="F1156">
        <v>13.79</v>
      </c>
      <c r="G1156">
        <v>15.83</v>
      </c>
      <c r="H1156">
        <v>16.96</v>
      </c>
      <c r="I1156">
        <v>16.02</v>
      </c>
      <c r="J1156">
        <v>15.44</v>
      </c>
      <c r="K1156">
        <v>15.33</v>
      </c>
      <c r="L1156">
        <f>Tableau1[[#This Row],[Final_time]]-SUM(Tableau1[[#This Row],[0_100m]:[600_700m]])</f>
        <v>14.52000000000001</v>
      </c>
      <c r="M1156">
        <v>121.86</v>
      </c>
      <c r="N1156">
        <f>SUM(Tableau1[[#This Row],[0_100m]:[700_800m]])</f>
        <v>121.86</v>
      </c>
      <c r="O1156">
        <f>ABS(Tableau1[[#This Row],[Final_time]]-Tableau1[[#This Row],[Sum_time]])</f>
        <v>0</v>
      </c>
      <c r="P1156" s="8" t="s">
        <v>141</v>
      </c>
      <c r="Q1156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56" t="s">
        <v>1407</v>
      </c>
      <c r="S1156" s="1" t="s">
        <v>114</v>
      </c>
      <c r="T1156" t="s">
        <v>428</v>
      </c>
      <c r="U1156" s="1" t="s">
        <v>69</v>
      </c>
      <c r="V1156" s="1">
        <v>45918</v>
      </c>
      <c r="W1156" s="4">
        <f>YEAR(Tableau1[[#This Row],[Competition_date]])</f>
        <v>2025</v>
      </c>
      <c r="X1156" s="4">
        <v>26</v>
      </c>
      <c r="Y1156" s="6">
        <v>0.75</v>
      </c>
      <c r="Z1156" s="4"/>
    </row>
    <row r="1157" spans="1:26" hidden="1" x14ac:dyDescent="0.35">
      <c r="A1157" t="str">
        <f>_xlfn.CONCAT(Tableau1[[#This Row],[Athletes]],"_",Tableau1[[#This Row],[Nationality]],"_",Tableau1[[#This Row],[Competition_year]])</f>
        <v>Kelly-Ann BECKFORD_JAM_2025</v>
      </c>
      <c r="B1157" t="s">
        <v>1435</v>
      </c>
      <c r="C1157" t="s">
        <v>29</v>
      </c>
      <c r="D1157" s="18" t="s">
        <v>33</v>
      </c>
      <c r="E1157">
        <v>14.08</v>
      </c>
      <c r="F1157">
        <v>13.49</v>
      </c>
      <c r="G1157">
        <v>15.83</v>
      </c>
      <c r="H1157">
        <v>16.89</v>
      </c>
      <c r="I1157">
        <v>16.2</v>
      </c>
      <c r="J1157">
        <v>15.52</v>
      </c>
      <c r="K1157">
        <v>15.39</v>
      </c>
      <c r="L1157">
        <f>Tableau1[[#This Row],[Final_time]]-SUM(Tableau1[[#This Row],[0_100m]:[600_700m]])</f>
        <v>15.230000000000004</v>
      </c>
      <c r="M1157">
        <v>122.63</v>
      </c>
      <c r="N1157">
        <f>SUM(Tableau1[[#This Row],[0_100m]:[700_800m]])</f>
        <v>122.63</v>
      </c>
      <c r="O1157">
        <f>ABS(Tableau1[[#This Row],[Final_time]]-Tableau1[[#This Row],[Sum_time]])</f>
        <v>0</v>
      </c>
      <c r="P1157" s="8"/>
      <c r="Q1157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57" t="s">
        <v>1407</v>
      </c>
      <c r="S1157" s="1" t="s">
        <v>114</v>
      </c>
      <c r="T1157" t="s">
        <v>428</v>
      </c>
      <c r="U1157" s="1" t="s">
        <v>69</v>
      </c>
      <c r="V1157" s="1">
        <v>45918</v>
      </c>
      <c r="W1157" s="4">
        <f>YEAR(Tableau1[[#This Row],[Competition_date]])</f>
        <v>2025</v>
      </c>
      <c r="X1157" s="4">
        <v>26</v>
      </c>
      <c r="Y1157" s="6">
        <v>0.75</v>
      </c>
      <c r="Z1157" s="4"/>
    </row>
    <row r="1158" spans="1:26" hidden="1" x14ac:dyDescent="0.35">
      <c r="A1158" t="str">
        <f>_xlfn.CONCAT(Tableau1[[#This Row],[Athletes]],"_",Tableau1[[#This Row],[Nationality]],"_",Tableau1[[#This Row],[Competition_year]])</f>
        <v>Nelly JEPKOSGEI_BRN_2025</v>
      </c>
      <c r="B1158" t="s">
        <v>1436</v>
      </c>
      <c r="C1158" t="s">
        <v>29</v>
      </c>
      <c r="D1158" s="18" t="s">
        <v>1437</v>
      </c>
      <c r="E1158">
        <v>14.22</v>
      </c>
      <c r="F1158">
        <v>13.33</v>
      </c>
      <c r="G1158">
        <v>15.76</v>
      </c>
      <c r="H1158">
        <v>16.79</v>
      </c>
      <c r="I1158">
        <v>16.02</v>
      </c>
      <c r="J1158">
        <v>15.63</v>
      </c>
      <c r="K1158">
        <v>15.43</v>
      </c>
      <c r="L1158">
        <f>Tableau1[[#This Row],[Final_time]]-SUM(Tableau1[[#This Row],[0_100m]:[600_700m]])</f>
        <v>15.61</v>
      </c>
      <c r="M1158">
        <v>122.79</v>
      </c>
      <c r="N1158">
        <f>SUM(Tableau1[[#This Row],[0_100m]:[700_800m]])</f>
        <v>122.79</v>
      </c>
      <c r="O1158">
        <f>ABS(Tableau1[[#This Row],[Final_time]]-Tableau1[[#This Row],[Sum_time]])</f>
        <v>0</v>
      </c>
      <c r="P1158" s="8"/>
      <c r="Q1158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58" t="s">
        <v>1407</v>
      </c>
      <c r="S1158" s="1" t="s">
        <v>114</v>
      </c>
      <c r="T1158" t="s">
        <v>428</v>
      </c>
      <c r="U1158" s="1" t="s">
        <v>69</v>
      </c>
      <c r="V1158" s="1">
        <v>45918</v>
      </c>
      <c r="W1158" s="4">
        <f>YEAR(Tableau1[[#This Row],[Competition_date]])</f>
        <v>2025</v>
      </c>
      <c r="X1158" s="4">
        <v>26</v>
      </c>
      <c r="Y1158" s="6">
        <v>0.75</v>
      </c>
      <c r="Z1158" s="4"/>
    </row>
    <row r="1159" spans="1:26" hidden="1" x14ac:dyDescent="0.35">
      <c r="A1159" t="str">
        <f>_xlfn.CONCAT(Tableau1[[#This Row],[Athletes]],"_",Tableau1[[#This Row],[Nationality]],"_",Tableau1[[#This Row],[Competition_year]])</f>
        <v>Angelika SARNA_POL_2025</v>
      </c>
      <c r="B1159" t="s">
        <v>442</v>
      </c>
      <c r="C1159" t="s">
        <v>29</v>
      </c>
      <c r="D1159" s="18" t="s">
        <v>88</v>
      </c>
      <c r="E1159">
        <v>13.94</v>
      </c>
      <c r="F1159">
        <v>13.85</v>
      </c>
      <c r="G1159">
        <v>15.65</v>
      </c>
      <c r="H1159">
        <v>16.88</v>
      </c>
      <c r="I1159">
        <v>16.079999999999998</v>
      </c>
      <c r="J1159">
        <v>15.51</v>
      </c>
      <c r="K1159">
        <v>15.6</v>
      </c>
      <c r="L1159">
        <f>Tableau1[[#This Row],[Final_time]]-SUM(Tableau1[[#This Row],[0_100m]:[600_700m]])</f>
        <v>15.300000000000011</v>
      </c>
      <c r="M1159">
        <v>122.81</v>
      </c>
      <c r="N1159">
        <f>SUM(Tableau1[[#This Row],[0_100m]:[700_800m]])</f>
        <v>122.81</v>
      </c>
      <c r="O1159">
        <f>ABS(Tableau1[[#This Row],[Final_time]]-Tableau1[[#This Row],[Sum_time]])</f>
        <v>0</v>
      </c>
      <c r="P1159" s="8"/>
      <c r="Q1159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59" t="s">
        <v>1407</v>
      </c>
      <c r="S1159" s="1" t="s">
        <v>114</v>
      </c>
      <c r="T1159" t="s">
        <v>428</v>
      </c>
      <c r="U1159" s="1" t="s">
        <v>69</v>
      </c>
      <c r="V1159" s="1">
        <v>45918</v>
      </c>
      <c r="W1159" s="4">
        <f>YEAR(Tableau1[[#This Row],[Competition_date]])</f>
        <v>2025</v>
      </c>
      <c r="X1159" s="4">
        <v>26</v>
      </c>
      <c r="Y1159" s="6">
        <v>0.75</v>
      </c>
      <c r="Z1159" s="4"/>
    </row>
    <row r="1160" spans="1:26" hidden="1" x14ac:dyDescent="0.35">
      <c r="A1160" t="str">
        <f>_xlfn.CONCAT(Tableau1[[#This Row],[Athletes]],"_",Tableau1[[#This Row],[Nationality]],"_",Tableau1[[#This Row],[Competition_year]])</f>
        <v>Rin KUBO_JPN_2025</v>
      </c>
      <c r="B1160" t="s">
        <v>1438</v>
      </c>
      <c r="C1160" t="s">
        <v>29</v>
      </c>
      <c r="D1160" s="18" t="s">
        <v>167</v>
      </c>
      <c r="E1160">
        <v>14.06</v>
      </c>
      <c r="F1160">
        <v>14</v>
      </c>
      <c r="G1160">
        <v>15.71</v>
      </c>
      <c r="H1160">
        <v>16.760000000000002</v>
      </c>
      <c r="I1160">
        <v>16.03</v>
      </c>
      <c r="J1160">
        <v>15.66</v>
      </c>
      <c r="K1160">
        <v>15.5</v>
      </c>
      <c r="L1160">
        <f>Tableau1[[#This Row],[Final_time]]-SUM(Tableau1[[#This Row],[0_100m]:[600_700m]])</f>
        <v>15.120000000000005</v>
      </c>
      <c r="M1160">
        <v>122.84</v>
      </c>
      <c r="N1160">
        <f>SUM(Tableau1[[#This Row],[0_100m]:[700_800m]])</f>
        <v>122.84</v>
      </c>
      <c r="O1160">
        <f>ABS(Tableau1[[#This Row],[Final_time]]-Tableau1[[#This Row],[Sum_time]])</f>
        <v>0</v>
      </c>
      <c r="P1160" s="8"/>
      <c r="Q1160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60" t="s">
        <v>1407</v>
      </c>
      <c r="S1160" s="1" t="s">
        <v>114</v>
      </c>
      <c r="T1160" t="s">
        <v>428</v>
      </c>
      <c r="U1160" s="1" t="s">
        <v>69</v>
      </c>
      <c r="V1160" s="1">
        <v>45918</v>
      </c>
      <c r="W1160" s="4">
        <f>YEAR(Tableau1[[#This Row],[Competition_date]])</f>
        <v>2025</v>
      </c>
      <c r="X1160" s="4">
        <v>26</v>
      </c>
      <c r="Y1160" s="6">
        <v>0.75</v>
      </c>
      <c r="Z1160" s="4"/>
    </row>
    <row r="1161" spans="1:26" hidden="1" x14ac:dyDescent="0.35">
      <c r="A1161" t="str">
        <f>_xlfn.CONCAT(Tableau1[[#This Row],[Athletes]],"_",Tableau1[[#This Row],[Nationality]],"_",Tableau1[[#This Row],[Competition_year]])</f>
        <v>Shafiqua MALONEY_VIN_2025</v>
      </c>
      <c r="B1161" t="s">
        <v>270</v>
      </c>
      <c r="C1161" t="s">
        <v>29</v>
      </c>
      <c r="D1161" s="18" t="s">
        <v>72</v>
      </c>
      <c r="E1161">
        <v>14.02</v>
      </c>
      <c r="F1161">
        <v>13.55</v>
      </c>
      <c r="G1161">
        <v>16.02</v>
      </c>
      <c r="H1161">
        <v>16.850000000000001</v>
      </c>
      <c r="I1161">
        <v>16.41</v>
      </c>
      <c r="J1161">
        <v>14.93</v>
      </c>
      <c r="K1161">
        <v>15.48</v>
      </c>
      <c r="L1161">
        <f>Tableau1[[#This Row],[Final_time]]-SUM(Tableau1[[#This Row],[0_100m]:[600_700m]])</f>
        <v>15.86</v>
      </c>
      <c r="M1161">
        <v>123.12</v>
      </c>
      <c r="N1161">
        <f>SUM(Tableau1[[#This Row],[0_100m]:[700_800m]])</f>
        <v>123.12</v>
      </c>
      <c r="O1161">
        <f>ABS(Tableau1[[#This Row],[Final_time]]-Tableau1[[#This Row],[Sum_time]])</f>
        <v>0</v>
      </c>
      <c r="P1161" s="8"/>
      <c r="Q1161" s="16" t="str">
        <f>_xlfn.CONCAT(Tableau1[[#This Row],[Competition]],"_",Tableau1[[#This Row],[Championship_step]],"_",Tableau1[[#This Row],[Competition_date]],"_",Tableau1[[#This Row],[Gender]])</f>
        <v>World Championship Tokyo 2025_Heat 3_45918_Female</v>
      </c>
      <c r="R1161" t="s">
        <v>1407</v>
      </c>
      <c r="S1161" s="1" t="s">
        <v>114</v>
      </c>
      <c r="T1161" t="s">
        <v>428</v>
      </c>
      <c r="U1161" s="1" t="s">
        <v>69</v>
      </c>
      <c r="V1161" s="1">
        <v>45918</v>
      </c>
      <c r="W1161" s="4">
        <f>YEAR(Tableau1[[#This Row],[Competition_date]])</f>
        <v>2025</v>
      </c>
      <c r="X1161" s="4">
        <v>26</v>
      </c>
      <c r="Y1161" s="6">
        <v>0.75</v>
      </c>
      <c r="Z1161" s="4"/>
    </row>
    <row r="1162" spans="1:26" hidden="1" x14ac:dyDescent="0.35">
      <c r="A1162" t="str">
        <f>_xlfn.CONCAT(Tableau1[[#This Row],[Athletes]],"_",Tableau1[[#This Row],[Nationality]],"_",Tableau1[[#This Row],[Competition_year]])</f>
        <v>Cian MCPHILLIPS_IRL_2025</v>
      </c>
      <c r="B1162" t="s">
        <v>1415</v>
      </c>
      <c r="C1162" t="s">
        <v>14</v>
      </c>
      <c r="D1162" s="18" t="s">
        <v>66</v>
      </c>
      <c r="E1162">
        <v>12.92</v>
      </c>
      <c r="F1162">
        <v>12.29</v>
      </c>
      <c r="G1162">
        <v>13.71</v>
      </c>
      <c r="H1162">
        <v>13.77</v>
      </c>
      <c r="I1162">
        <v>13.66</v>
      </c>
      <c r="J1162">
        <v>12.82</v>
      </c>
      <c r="K1162">
        <v>13.23</v>
      </c>
      <c r="L1162">
        <f>Tableau1[[#This Row],[Final_time]]-SUM(Tableau1[[#This Row],[0_100m]:[600_700m]])</f>
        <v>12.510000000000005</v>
      </c>
      <c r="M1162">
        <v>104.91</v>
      </c>
      <c r="N1162">
        <f>SUM(Tableau1[[#This Row],[0_100m]:[700_800m]])</f>
        <v>104.91</v>
      </c>
      <c r="O1162">
        <f>ABS(Tableau1[[#This Row],[Final_time]]-Tableau1[[#This Row],[Sum_time]])</f>
        <v>0</v>
      </c>
      <c r="P1162" s="8" t="s">
        <v>141</v>
      </c>
      <c r="Q1162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2" t="s">
        <v>1407</v>
      </c>
      <c r="S1162" s="1" t="s">
        <v>114</v>
      </c>
      <c r="T1162" t="s">
        <v>151</v>
      </c>
      <c r="U1162" s="1" t="s">
        <v>69</v>
      </c>
      <c r="V1162" s="1">
        <v>45916</v>
      </c>
      <c r="W1162" s="4">
        <f>YEAR(Tableau1[[#This Row],[Competition_date]])</f>
        <v>2025</v>
      </c>
      <c r="X1162" s="4">
        <v>28</v>
      </c>
      <c r="Y1162" s="6">
        <v>0.73</v>
      </c>
      <c r="Z1162" s="4"/>
    </row>
    <row r="1163" spans="1:26" hidden="1" x14ac:dyDescent="0.35">
      <c r="A1163" t="str">
        <f>_xlfn.CONCAT(Tableau1[[#This Row],[Athletes]],"_",Tableau1[[#This Row],[Nationality]],"_",Tableau1[[#This Row],[Competition_year]])</f>
        <v>Bryce HOPPEL_USA_2025</v>
      </c>
      <c r="B1163" t="s">
        <v>173</v>
      </c>
      <c r="C1163" t="s">
        <v>14</v>
      </c>
      <c r="D1163" s="18" t="s">
        <v>35</v>
      </c>
      <c r="E1163">
        <v>12.88</v>
      </c>
      <c r="F1163">
        <v>12.07</v>
      </c>
      <c r="G1163">
        <v>13.69</v>
      </c>
      <c r="H1163">
        <v>13.65</v>
      </c>
      <c r="I1163">
        <v>13.58</v>
      </c>
      <c r="J1163">
        <v>13.09</v>
      </c>
      <c r="K1163">
        <v>13.34</v>
      </c>
      <c r="L1163">
        <f>Tableau1[[#This Row],[Final_time]]-SUM(Tableau1[[#This Row],[0_100m]:[600_700m]])</f>
        <v>12.789999999999992</v>
      </c>
      <c r="M1163">
        <v>105.09</v>
      </c>
      <c r="N1163">
        <f>SUM(Tableau1[[#This Row],[0_100m]:[700_800m]])</f>
        <v>105.09</v>
      </c>
      <c r="O1163">
        <f>ABS(Tableau1[[#This Row],[Final_time]]-Tableau1[[#This Row],[Sum_time]])</f>
        <v>0</v>
      </c>
      <c r="P1163" s="8" t="s">
        <v>141</v>
      </c>
      <c r="Q1163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3" t="s">
        <v>1407</v>
      </c>
      <c r="S1163" s="1" t="s">
        <v>114</v>
      </c>
      <c r="T1163" t="s">
        <v>151</v>
      </c>
      <c r="U1163" s="1" t="s">
        <v>69</v>
      </c>
      <c r="V1163" s="1">
        <v>45916</v>
      </c>
      <c r="W1163" s="4">
        <f>YEAR(Tableau1[[#This Row],[Competition_date]])</f>
        <v>2025</v>
      </c>
      <c r="X1163" s="4">
        <v>28</v>
      </c>
      <c r="Y1163" s="6">
        <v>0.73</v>
      </c>
      <c r="Z1163" s="4"/>
    </row>
    <row r="1164" spans="1:26" hidden="1" x14ac:dyDescent="0.35">
      <c r="A1164" t="str">
        <f>_xlfn.CONCAT(Tableau1[[#This Row],[Athletes]],"_",Tableau1[[#This Row],[Nationality]],"_",Tableau1[[#This Row],[Competition_year]])</f>
        <v>Tyrice TAYLOR_JAM_2025</v>
      </c>
      <c r="B1164" t="s">
        <v>1416</v>
      </c>
      <c r="C1164" t="s">
        <v>14</v>
      </c>
      <c r="D1164" s="18" t="s">
        <v>33</v>
      </c>
      <c r="E1164">
        <v>12.62</v>
      </c>
      <c r="F1164">
        <v>12.47</v>
      </c>
      <c r="G1164">
        <v>13.8</v>
      </c>
      <c r="H1164">
        <v>13.66</v>
      </c>
      <c r="I1164">
        <v>13.55</v>
      </c>
      <c r="J1164">
        <v>13.1</v>
      </c>
      <c r="K1164">
        <v>13.31</v>
      </c>
      <c r="L1164">
        <f>Tableau1[[#This Row],[Final_time]]-SUM(Tableau1[[#This Row],[0_100m]:[600_700m]])</f>
        <v>12.620000000000005</v>
      </c>
      <c r="M1164">
        <v>105.13</v>
      </c>
      <c r="N1164">
        <f>SUM(Tableau1[[#This Row],[0_100m]:[700_800m]])</f>
        <v>105.13</v>
      </c>
      <c r="O1164">
        <f>ABS(Tableau1[[#This Row],[Final_time]]-Tableau1[[#This Row],[Sum_time]])</f>
        <v>0</v>
      </c>
      <c r="P1164" s="8" t="s">
        <v>141</v>
      </c>
      <c r="Q1164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4" t="s">
        <v>1407</v>
      </c>
      <c r="S1164" s="1" t="s">
        <v>114</v>
      </c>
      <c r="T1164" t="s">
        <v>151</v>
      </c>
      <c r="U1164" s="1" t="s">
        <v>69</v>
      </c>
      <c r="V1164" s="1">
        <v>45916</v>
      </c>
      <c r="W1164" s="4">
        <f>YEAR(Tableau1[[#This Row],[Competition_date]])</f>
        <v>2025</v>
      </c>
      <c r="X1164" s="4">
        <v>28</v>
      </c>
      <c r="Y1164" s="6">
        <v>0.73</v>
      </c>
      <c r="Z1164" s="4"/>
    </row>
    <row r="1165" spans="1:26" hidden="1" x14ac:dyDescent="0.35">
      <c r="A1165" t="str">
        <f>_xlfn.CONCAT(Tableau1[[#This Row],[Athletes]],"_",Tableau1[[#This Row],[Nationality]],"_",Tableau1[[#This Row],[Competition_year]])</f>
        <v>Peter BOL_AUS_2025</v>
      </c>
      <c r="B1165" t="s">
        <v>127</v>
      </c>
      <c r="C1165" t="s">
        <v>14</v>
      </c>
      <c r="D1165" s="18" t="s">
        <v>36</v>
      </c>
      <c r="E1165">
        <v>12.92</v>
      </c>
      <c r="F1165">
        <v>12.06</v>
      </c>
      <c r="G1165">
        <v>13.73</v>
      </c>
      <c r="H1165">
        <v>13.67</v>
      </c>
      <c r="I1165">
        <v>13.53</v>
      </c>
      <c r="J1165">
        <v>13.13</v>
      </c>
      <c r="K1165">
        <v>13.28</v>
      </c>
      <c r="L1165">
        <f>Tableau1[[#This Row],[Final_time]]-SUM(Tableau1[[#This Row],[0_100m]:[600_700m]])</f>
        <v>12.830000000000013</v>
      </c>
      <c r="M1165">
        <v>105.15</v>
      </c>
      <c r="N1165">
        <f>SUM(Tableau1[[#This Row],[0_100m]:[700_800m]])</f>
        <v>105.15</v>
      </c>
      <c r="O1165">
        <f>ABS(Tableau1[[#This Row],[Final_time]]-Tableau1[[#This Row],[Sum_time]])</f>
        <v>0</v>
      </c>
      <c r="P1165" s="8"/>
      <c r="Q1165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5" t="s">
        <v>1407</v>
      </c>
      <c r="S1165" s="1" t="s">
        <v>114</v>
      </c>
      <c r="T1165" t="s">
        <v>151</v>
      </c>
      <c r="U1165" s="1" t="s">
        <v>69</v>
      </c>
      <c r="V1165" s="1">
        <v>45916</v>
      </c>
      <c r="W1165" s="4">
        <f>YEAR(Tableau1[[#This Row],[Competition_date]])</f>
        <v>2025</v>
      </c>
      <c r="X1165" s="4">
        <v>28</v>
      </c>
      <c r="Y1165" s="6">
        <v>0.73</v>
      </c>
      <c r="Z1165" s="4"/>
    </row>
    <row r="1166" spans="1:26" hidden="1" x14ac:dyDescent="0.35">
      <c r="A1166" t="str">
        <f>_xlfn.CONCAT(Tableau1[[#This Row],[Athletes]],"_",Tableau1[[#This Row],[Nationality]],"_",Tableau1[[#This Row],[Competition_year]])</f>
        <v>Ivan PELIZZA_SUI_2025</v>
      </c>
      <c r="B1166" t="s">
        <v>354</v>
      </c>
      <c r="C1166" t="s">
        <v>14</v>
      </c>
      <c r="D1166" s="18" t="s">
        <v>73</v>
      </c>
      <c r="E1166">
        <v>12.83</v>
      </c>
      <c r="F1166">
        <v>12.37</v>
      </c>
      <c r="G1166">
        <v>13.88</v>
      </c>
      <c r="H1166">
        <v>13.62</v>
      </c>
      <c r="I1166">
        <v>13.65</v>
      </c>
      <c r="J1166">
        <v>13.1</v>
      </c>
      <c r="K1166">
        <v>13.28</v>
      </c>
      <c r="L1166">
        <f>Tableau1[[#This Row],[Final_time]]-SUM(Tableau1[[#This Row],[0_100m]:[600_700m]])</f>
        <v>12.920000000000016</v>
      </c>
      <c r="M1166">
        <v>105.65</v>
      </c>
      <c r="N1166">
        <f>SUM(Tableau1[[#This Row],[0_100m]:[700_800m]])</f>
        <v>105.65</v>
      </c>
      <c r="O1166">
        <f>ABS(Tableau1[[#This Row],[Final_time]]-Tableau1[[#This Row],[Sum_time]])</f>
        <v>0</v>
      </c>
      <c r="P1166" s="8"/>
      <c r="Q1166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6" t="s">
        <v>1407</v>
      </c>
      <c r="S1166" s="1" t="s">
        <v>114</v>
      </c>
      <c r="T1166" t="s">
        <v>151</v>
      </c>
      <c r="U1166" s="1" t="s">
        <v>69</v>
      </c>
      <c r="V1166" s="1">
        <v>45916</v>
      </c>
      <c r="W1166" s="4">
        <f>YEAR(Tableau1[[#This Row],[Competition_date]])</f>
        <v>2025</v>
      </c>
      <c r="X1166" s="4">
        <v>28</v>
      </c>
      <c r="Y1166" s="6">
        <v>0.73</v>
      </c>
      <c r="Z1166" s="4"/>
    </row>
    <row r="1167" spans="1:26" hidden="1" x14ac:dyDescent="0.35">
      <c r="A1167" t="str">
        <f>_xlfn.CONCAT(Tableau1[[#This Row],[Athletes]],"_",Tableau1[[#This Row],[Nationality]],"_",Tableau1[[#This Row],[Competition_year]])</f>
        <v>Catalin TECUCEANU_ITA_2025</v>
      </c>
      <c r="B1167" t="s">
        <v>179</v>
      </c>
      <c r="C1167" t="s">
        <v>14</v>
      </c>
      <c r="D1167" s="18" t="s">
        <v>20</v>
      </c>
      <c r="E1167">
        <v>13.11</v>
      </c>
      <c r="F1167">
        <v>12.83</v>
      </c>
      <c r="G1167">
        <v>13.39</v>
      </c>
      <c r="H1167">
        <v>13.62</v>
      </c>
      <c r="I1167">
        <v>13.58</v>
      </c>
      <c r="J1167">
        <v>13.1</v>
      </c>
      <c r="K1167">
        <v>13.48</v>
      </c>
      <c r="L1167">
        <f>Tableau1[[#This Row],[Final_time]]-SUM(Tableau1[[#This Row],[0_100m]:[600_700m]])</f>
        <v>13.11</v>
      </c>
      <c r="M1167">
        <v>106.22</v>
      </c>
      <c r="N1167">
        <f>SUM(Tableau1[[#This Row],[0_100m]:[700_800m]])</f>
        <v>106.22</v>
      </c>
      <c r="O1167">
        <f>ABS(Tableau1[[#This Row],[Final_time]]-Tableau1[[#This Row],[Sum_time]])</f>
        <v>0</v>
      </c>
      <c r="P1167" s="8"/>
      <c r="Q1167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7" t="s">
        <v>1407</v>
      </c>
      <c r="S1167" s="1" t="s">
        <v>114</v>
      </c>
      <c r="T1167" t="s">
        <v>151</v>
      </c>
      <c r="U1167" s="1" t="s">
        <v>69</v>
      </c>
      <c r="V1167" s="1">
        <v>45916</v>
      </c>
      <c r="W1167" s="4">
        <f>YEAR(Tableau1[[#This Row],[Competition_date]])</f>
        <v>2025</v>
      </c>
      <c r="X1167" s="4">
        <v>28</v>
      </c>
      <c r="Y1167" s="6">
        <v>0.73</v>
      </c>
      <c r="Z1167" s="4"/>
    </row>
    <row r="1168" spans="1:26" hidden="1" x14ac:dyDescent="0.35">
      <c r="A1168" t="str">
        <f>_xlfn.CONCAT(Tableau1[[#This Row],[Athletes]],"_",Tableau1[[#This Row],[Nationality]],"_",Tableau1[[#This Row],[Competition_year]])</f>
        <v>Alexander STEPANOV_GER_2025</v>
      </c>
      <c r="B1168" t="s">
        <v>1417</v>
      </c>
      <c r="C1168" t="s">
        <v>14</v>
      </c>
      <c r="D1168" s="18" t="s">
        <v>139</v>
      </c>
      <c r="E1168">
        <v>13.02</v>
      </c>
      <c r="F1168">
        <v>12.55</v>
      </c>
      <c r="G1168">
        <v>13.57</v>
      </c>
      <c r="H1168">
        <v>13.71</v>
      </c>
      <c r="I1168">
        <v>13.68</v>
      </c>
      <c r="J1168">
        <v>12.85</v>
      </c>
      <c r="K1168">
        <v>13.4</v>
      </c>
      <c r="L1168">
        <f>Tableau1[[#This Row],[Final_time]]-SUM(Tableau1[[#This Row],[0_100m]:[600_700m]])</f>
        <v>13.539999999999992</v>
      </c>
      <c r="M1168">
        <v>106.32</v>
      </c>
      <c r="N1168">
        <f>SUM(Tableau1[[#This Row],[0_100m]:[700_800m]])</f>
        <v>106.32</v>
      </c>
      <c r="O1168">
        <f>ABS(Tableau1[[#This Row],[Final_time]]-Tableau1[[#This Row],[Sum_time]])</f>
        <v>0</v>
      </c>
      <c r="P1168" s="8"/>
      <c r="Q1168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8" t="s">
        <v>1407</v>
      </c>
      <c r="S1168" s="1" t="s">
        <v>114</v>
      </c>
      <c r="T1168" t="s">
        <v>151</v>
      </c>
      <c r="U1168" s="1" t="s">
        <v>69</v>
      </c>
      <c r="V1168" s="1">
        <v>45916</v>
      </c>
      <c r="W1168" s="4">
        <f>YEAR(Tableau1[[#This Row],[Competition_date]])</f>
        <v>2025</v>
      </c>
      <c r="X1168" s="4">
        <v>28</v>
      </c>
      <c r="Y1168" s="6">
        <v>0.73</v>
      </c>
      <c r="Z1168" s="4"/>
    </row>
    <row r="1169" spans="1:26" hidden="1" x14ac:dyDescent="0.35">
      <c r="A1169" t="str">
        <f>_xlfn.CONCAT(Tableau1[[#This Row],[Athletes]],"_",Tableau1[[#This Row],[Nationality]],"_",Tableau1[[#This Row],[Competition_year]])</f>
        <v>Andreas KRAMER_SWE_2025</v>
      </c>
      <c r="B1169" t="s">
        <v>186</v>
      </c>
      <c r="C1169" t="s">
        <v>14</v>
      </c>
      <c r="D1169" s="18" t="s">
        <v>28</v>
      </c>
      <c r="E1169">
        <v>12.99</v>
      </c>
      <c r="F1169">
        <v>12.47</v>
      </c>
      <c r="G1169">
        <v>13.53</v>
      </c>
      <c r="H1169">
        <v>13.56</v>
      </c>
      <c r="I1169">
        <v>13.58</v>
      </c>
      <c r="J1169">
        <v>13.06</v>
      </c>
      <c r="K1169">
        <v>13.59</v>
      </c>
      <c r="L1169">
        <f>Tableau1[[#This Row],[Final_time]]-SUM(Tableau1[[#This Row],[0_100m]:[600_700m]])</f>
        <v>14.059999999999988</v>
      </c>
      <c r="M1169">
        <v>106.84</v>
      </c>
      <c r="N1169">
        <f>SUM(Tableau1[[#This Row],[0_100m]:[700_800m]])</f>
        <v>106.84</v>
      </c>
      <c r="O1169">
        <f>ABS(Tableau1[[#This Row],[Final_time]]-Tableau1[[#This Row],[Sum_time]])</f>
        <v>0</v>
      </c>
      <c r="P1169" s="8"/>
      <c r="Q1169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69" t="s">
        <v>1407</v>
      </c>
      <c r="S1169" s="1" t="s">
        <v>114</v>
      </c>
      <c r="T1169" t="s">
        <v>151</v>
      </c>
      <c r="U1169" s="1" t="s">
        <v>69</v>
      </c>
      <c r="V1169" s="1">
        <v>45916</v>
      </c>
      <c r="W1169" s="4">
        <f>YEAR(Tableau1[[#This Row],[Competition_date]])</f>
        <v>2025</v>
      </c>
      <c r="X1169" s="4">
        <v>28</v>
      </c>
      <c r="Y1169" s="6">
        <v>0.73</v>
      </c>
      <c r="Z1169" s="4"/>
    </row>
    <row r="1170" spans="1:26" hidden="1" x14ac:dyDescent="0.35">
      <c r="A1170" t="str">
        <f>_xlfn.CONCAT(Tableau1[[#This Row],[Athletes]],"_",Tableau1[[#This Row],[Nationality]],"_",Tableau1[[#This Row],[Competition_year]])</f>
        <v>Stephen RAHUASI_SOL_2025</v>
      </c>
      <c r="B1170" t="s">
        <v>1418</v>
      </c>
      <c r="C1170" t="s">
        <v>14</v>
      </c>
      <c r="D1170" s="18" t="s">
        <v>1419</v>
      </c>
      <c r="E1170">
        <v>13.13</v>
      </c>
      <c r="F1170">
        <v>12.61</v>
      </c>
      <c r="G1170">
        <v>13.65</v>
      </c>
      <c r="H1170">
        <v>13.98</v>
      </c>
      <c r="I1170">
        <v>14.55</v>
      </c>
      <c r="J1170">
        <v>14.93</v>
      </c>
      <c r="K1170">
        <v>16.11</v>
      </c>
      <c r="L1170">
        <f>Tableau1[[#This Row],[Final_time]]-SUM(Tableau1[[#This Row],[0_100m]:[600_700m]])</f>
        <v>16.25</v>
      </c>
      <c r="M1170">
        <v>115.21</v>
      </c>
      <c r="N1170">
        <f>SUM(Tableau1[[#This Row],[0_100m]:[700_800m]])</f>
        <v>115.21</v>
      </c>
      <c r="O1170">
        <f>ABS(Tableau1[[#This Row],[Final_time]]-Tableau1[[#This Row],[Sum_time]])</f>
        <v>0</v>
      </c>
      <c r="P1170" s="8"/>
      <c r="Q1170" s="16" t="str">
        <f>_xlfn.CONCAT(Tableau1[[#This Row],[Competition]],"_",Tableau1[[#This Row],[Championship_step]],"_",Tableau1[[#This Row],[Competition_date]],"_",Tableau1[[#This Row],[Gender]])</f>
        <v>World Championship Tokyo 2025_Heat 4_45916_Male</v>
      </c>
      <c r="R1170" t="s">
        <v>1407</v>
      </c>
      <c r="S1170" s="1" t="s">
        <v>114</v>
      </c>
      <c r="T1170" t="s">
        <v>151</v>
      </c>
      <c r="U1170" s="1" t="s">
        <v>69</v>
      </c>
      <c r="V1170" s="1">
        <v>45916</v>
      </c>
      <c r="W1170" s="4">
        <f>YEAR(Tableau1[[#This Row],[Competition_date]])</f>
        <v>2025</v>
      </c>
      <c r="X1170" s="4">
        <v>28</v>
      </c>
      <c r="Y1170" s="6">
        <v>0.73</v>
      </c>
      <c r="Z1170" s="4"/>
    </row>
    <row r="1171" spans="1:26" hidden="1" x14ac:dyDescent="0.35">
      <c r="A1171" t="str">
        <f>_xlfn.CONCAT(Tableau1[[#This Row],[Athletes]],"_",Tableau1[[#This Row],[Nationality]],"_",Tableau1[[#This Row],[Competition_year]])</f>
        <v>Sage HURTA-KLECKER_USA_2025</v>
      </c>
      <c r="B1171" t="s">
        <v>289</v>
      </c>
      <c r="C1171" t="s">
        <v>29</v>
      </c>
      <c r="D1171" s="18" t="s">
        <v>35</v>
      </c>
      <c r="E1171">
        <v>13.76</v>
      </c>
      <c r="F1171">
        <v>13.6</v>
      </c>
      <c r="G1171">
        <v>15.36</v>
      </c>
      <c r="H1171">
        <v>15.42</v>
      </c>
      <c r="I1171">
        <v>15.15</v>
      </c>
      <c r="J1171">
        <v>15.08</v>
      </c>
      <c r="K1171">
        <v>15.14</v>
      </c>
      <c r="L1171">
        <f>Tableau1[[#This Row],[Final_time]]-SUM(Tableau1[[#This Row],[0_100m]:[600_700m]])</f>
        <v>14.920000000000002</v>
      </c>
      <c r="M1171">
        <v>118.43</v>
      </c>
      <c r="N1171">
        <f>SUM(Tableau1[[#This Row],[0_100m]:[700_800m]])</f>
        <v>118.43</v>
      </c>
      <c r="O1171">
        <f>ABS(Tableau1[[#This Row],[Final_time]]-Tableau1[[#This Row],[Sum_time]])</f>
        <v>0</v>
      </c>
      <c r="P1171" s="8" t="s">
        <v>141</v>
      </c>
      <c r="Q1171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1" t="s">
        <v>1407</v>
      </c>
      <c r="S1171" s="1" t="s">
        <v>114</v>
      </c>
      <c r="T1171" t="s">
        <v>151</v>
      </c>
      <c r="U1171" s="1" t="s">
        <v>69</v>
      </c>
      <c r="V1171" s="1">
        <v>45918</v>
      </c>
      <c r="W1171" s="4">
        <f>YEAR(Tableau1[[#This Row],[Competition_date]])</f>
        <v>2025</v>
      </c>
      <c r="X1171" s="4">
        <v>26</v>
      </c>
      <c r="Y1171" s="6">
        <v>0.75</v>
      </c>
      <c r="Z1171" s="4"/>
    </row>
    <row r="1172" spans="1:26" hidden="1" x14ac:dyDescent="0.35">
      <c r="A1172" t="str">
        <f>_xlfn.CONCAT(Tableau1[[#This Row],[Athletes]],"_",Tableau1[[#This Row],[Nationality]],"_",Tableau1[[#This Row],[Competition_year]])</f>
        <v>Audrey WERRO_SUI_2025</v>
      </c>
      <c r="B1172" t="s">
        <v>329</v>
      </c>
      <c r="C1172" t="s">
        <v>29</v>
      </c>
      <c r="D1172" s="18" t="s">
        <v>73</v>
      </c>
      <c r="E1172">
        <v>13.45</v>
      </c>
      <c r="F1172">
        <v>13.8</v>
      </c>
      <c r="G1172">
        <v>15.36</v>
      </c>
      <c r="H1172">
        <v>15.38</v>
      </c>
      <c r="I1172">
        <v>15.15</v>
      </c>
      <c r="J1172">
        <v>15.11</v>
      </c>
      <c r="K1172">
        <v>15.17</v>
      </c>
      <c r="L1172">
        <f>Tableau1[[#This Row],[Final_time]]-SUM(Tableau1[[#This Row],[0_100m]:[600_700m]])</f>
        <v>15.010000000000005</v>
      </c>
      <c r="M1172">
        <v>118.43</v>
      </c>
      <c r="N1172">
        <f>SUM(Tableau1[[#This Row],[0_100m]:[700_800m]])</f>
        <v>118.43</v>
      </c>
      <c r="O1172">
        <f>ABS(Tableau1[[#This Row],[Final_time]]-Tableau1[[#This Row],[Sum_time]])</f>
        <v>0</v>
      </c>
      <c r="P1172" s="8" t="s">
        <v>141</v>
      </c>
      <c r="Q1172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2" t="s">
        <v>1407</v>
      </c>
      <c r="S1172" s="1" t="s">
        <v>114</v>
      </c>
      <c r="T1172" t="s">
        <v>151</v>
      </c>
      <c r="U1172" s="1" t="s">
        <v>69</v>
      </c>
      <c r="V1172" s="1">
        <v>45918</v>
      </c>
      <c r="W1172" s="4">
        <f>YEAR(Tableau1[[#This Row],[Competition_date]])</f>
        <v>2025</v>
      </c>
      <c r="X1172" s="4">
        <v>26</v>
      </c>
      <c r="Y1172" s="6">
        <v>0.75</v>
      </c>
      <c r="Z1172" s="4"/>
    </row>
    <row r="1173" spans="1:26" hidden="1" x14ac:dyDescent="0.35">
      <c r="A1173" t="str">
        <f>_xlfn.CONCAT(Tableau1[[#This Row],[Athletes]],"_",Tableau1[[#This Row],[Nationality]],"_",Tableau1[[#This Row],[Competition_year]])</f>
        <v>Anna WIELGOSZ_POL_2025</v>
      </c>
      <c r="B1173" t="s">
        <v>276</v>
      </c>
      <c r="C1173" t="s">
        <v>29</v>
      </c>
      <c r="D1173" s="18" t="s">
        <v>88</v>
      </c>
      <c r="E1173">
        <v>13.88</v>
      </c>
      <c r="F1173">
        <v>13.64</v>
      </c>
      <c r="G1173">
        <v>15.49</v>
      </c>
      <c r="H1173">
        <v>15.67</v>
      </c>
      <c r="I1173">
        <v>15.13</v>
      </c>
      <c r="J1173">
        <v>15.1</v>
      </c>
      <c r="K1173">
        <v>15.3</v>
      </c>
      <c r="L1173">
        <f>Tableau1[[#This Row],[Final_time]]-SUM(Tableau1[[#This Row],[0_100m]:[600_700m]])</f>
        <v>14.420000000000002</v>
      </c>
      <c r="M1173">
        <v>118.63</v>
      </c>
      <c r="N1173">
        <f>SUM(Tableau1[[#This Row],[0_100m]:[700_800m]])</f>
        <v>118.63</v>
      </c>
      <c r="O1173">
        <f>ABS(Tableau1[[#This Row],[Final_time]]-Tableau1[[#This Row],[Sum_time]])</f>
        <v>0</v>
      </c>
      <c r="P1173" s="8" t="s">
        <v>141</v>
      </c>
      <c r="Q1173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3" t="s">
        <v>1407</v>
      </c>
      <c r="S1173" s="1" t="s">
        <v>114</v>
      </c>
      <c r="T1173" t="s">
        <v>151</v>
      </c>
      <c r="U1173" s="1" t="s">
        <v>69</v>
      </c>
      <c r="V1173" s="1">
        <v>45918</v>
      </c>
      <c r="W1173" s="4">
        <f>YEAR(Tableau1[[#This Row],[Competition_date]])</f>
        <v>2025</v>
      </c>
      <c r="X1173" s="4">
        <v>26</v>
      </c>
      <c r="Y1173" s="6">
        <v>0.75</v>
      </c>
      <c r="Z1173" s="4"/>
    </row>
    <row r="1174" spans="1:26" hidden="1" x14ac:dyDescent="0.35">
      <c r="A1174" t="str">
        <f>_xlfn.CONCAT(Tableau1[[#This Row],[Athletes]],"_",Tableau1[[#This Row],[Nationality]],"_",Tableau1[[#This Row],[Competition_year]])</f>
        <v>Abbey CALDWELL_AUS_2025</v>
      </c>
      <c r="B1174" t="s">
        <v>232</v>
      </c>
      <c r="C1174" t="s">
        <v>29</v>
      </c>
      <c r="D1174" s="18" t="s">
        <v>36</v>
      </c>
      <c r="E1174">
        <v>13.56</v>
      </c>
      <c r="F1174">
        <v>13.99</v>
      </c>
      <c r="G1174">
        <v>15.41</v>
      </c>
      <c r="H1174">
        <v>15.37</v>
      </c>
      <c r="I1174">
        <v>15.15</v>
      </c>
      <c r="J1174">
        <v>15.08</v>
      </c>
      <c r="K1174">
        <v>15.25</v>
      </c>
      <c r="L1174">
        <f>Tableau1[[#This Row],[Final_time]]-SUM(Tableau1[[#This Row],[0_100m]:[600_700m]])</f>
        <v>14.899999999999991</v>
      </c>
      <c r="M1174">
        <v>118.71</v>
      </c>
      <c r="N1174">
        <f>SUM(Tableau1[[#This Row],[0_100m]:[700_800m]])</f>
        <v>118.71</v>
      </c>
      <c r="O1174">
        <f>ABS(Tableau1[[#This Row],[Final_time]]-Tableau1[[#This Row],[Sum_time]])</f>
        <v>0</v>
      </c>
      <c r="P1174" s="8" t="s">
        <v>142</v>
      </c>
      <c r="Q1174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4" t="s">
        <v>1407</v>
      </c>
      <c r="S1174" s="1" t="s">
        <v>114</v>
      </c>
      <c r="T1174" t="s">
        <v>151</v>
      </c>
      <c r="U1174" s="1" t="s">
        <v>69</v>
      </c>
      <c r="V1174" s="1">
        <v>45918</v>
      </c>
      <c r="W1174" s="4">
        <f>YEAR(Tableau1[[#This Row],[Competition_date]])</f>
        <v>2025</v>
      </c>
      <c r="X1174" s="4">
        <v>26</v>
      </c>
      <c r="Y1174" s="6">
        <v>0.75</v>
      </c>
      <c r="Z1174" s="4"/>
    </row>
    <row r="1175" spans="1:26" hidden="1" x14ac:dyDescent="0.35">
      <c r="A1175" t="str">
        <f>_xlfn.CONCAT(Tableau1[[#This Row],[Athletes]],"_",Tableau1[[#This Row],[Nationality]],"_",Tableau1[[#This Row],[Competition_year]])</f>
        <v>Lorea IBARZABAL_ESP_2025</v>
      </c>
      <c r="B1175" t="s">
        <v>1001</v>
      </c>
      <c r="C1175" t="s">
        <v>29</v>
      </c>
      <c r="D1175" s="18" t="s">
        <v>37</v>
      </c>
      <c r="E1175">
        <v>13.9</v>
      </c>
      <c r="F1175">
        <v>13.65</v>
      </c>
      <c r="G1175">
        <v>15.49</v>
      </c>
      <c r="H1175">
        <v>15.5</v>
      </c>
      <c r="I1175">
        <v>15.13</v>
      </c>
      <c r="J1175">
        <v>15.11</v>
      </c>
      <c r="K1175">
        <v>15.34</v>
      </c>
      <c r="L1175">
        <f>Tableau1[[#This Row],[Final_time]]-SUM(Tableau1[[#This Row],[0_100m]:[600_700m]])</f>
        <v>16.47999999999999</v>
      </c>
      <c r="M1175">
        <v>120.6</v>
      </c>
      <c r="N1175">
        <f>SUM(Tableau1[[#This Row],[0_100m]:[700_800m]])</f>
        <v>120.6</v>
      </c>
      <c r="O1175">
        <f>ABS(Tableau1[[#This Row],[Final_time]]-Tableau1[[#This Row],[Sum_time]])</f>
        <v>0</v>
      </c>
      <c r="P1175" s="8"/>
      <c r="Q1175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5" t="s">
        <v>1407</v>
      </c>
      <c r="S1175" s="1" t="s">
        <v>114</v>
      </c>
      <c r="T1175" t="s">
        <v>151</v>
      </c>
      <c r="U1175" s="1" t="s">
        <v>69</v>
      </c>
      <c r="V1175" s="1">
        <v>45918</v>
      </c>
      <c r="W1175" s="4">
        <f>YEAR(Tableau1[[#This Row],[Competition_date]])</f>
        <v>2025</v>
      </c>
      <c r="X1175" s="4">
        <v>26</v>
      </c>
      <c r="Y1175" s="6">
        <v>0.75</v>
      </c>
      <c r="Z1175" s="4"/>
    </row>
    <row r="1176" spans="1:26" hidden="1" x14ac:dyDescent="0.35">
      <c r="A1176" t="str">
        <f>_xlfn.CONCAT(Tableau1[[#This Row],[Athletes]],"_",Tableau1[[#This Row],[Nationality]],"_",Tableau1[[#This Row],[Competition_year]])</f>
        <v>Sarah MORAA_KEN_2025</v>
      </c>
      <c r="B1176" t="s">
        <v>1439</v>
      </c>
      <c r="C1176" t="s">
        <v>29</v>
      </c>
      <c r="D1176" s="18" t="s">
        <v>15</v>
      </c>
      <c r="E1176">
        <v>13.36</v>
      </c>
      <c r="F1176">
        <v>13.92</v>
      </c>
      <c r="G1176">
        <v>15.48</v>
      </c>
      <c r="H1176">
        <v>16.07</v>
      </c>
      <c r="I1176">
        <v>14.99</v>
      </c>
      <c r="J1176">
        <v>15.21</v>
      </c>
      <c r="K1176">
        <v>16.059999999999999</v>
      </c>
      <c r="L1176">
        <f>Tableau1[[#This Row],[Final_time]]-SUM(Tableau1[[#This Row],[0_100m]:[600_700m]])</f>
        <v>16.53</v>
      </c>
      <c r="M1176">
        <v>121.62</v>
      </c>
      <c r="N1176">
        <f>SUM(Tableau1[[#This Row],[0_100m]:[700_800m]])</f>
        <v>121.62</v>
      </c>
      <c r="O1176">
        <f>ABS(Tableau1[[#This Row],[Final_time]]-Tableau1[[#This Row],[Sum_time]])</f>
        <v>0</v>
      </c>
      <c r="P1176" s="8" t="s">
        <v>1447</v>
      </c>
      <c r="Q1176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6" t="s">
        <v>1407</v>
      </c>
      <c r="S1176" s="1" t="s">
        <v>114</v>
      </c>
      <c r="T1176" t="s">
        <v>151</v>
      </c>
      <c r="U1176" s="1" t="s">
        <v>69</v>
      </c>
      <c r="V1176" s="1">
        <v>45918</v>
      </c>
      <c r="W1176" s="4">
        <f>YEAR(Tableau1[[#This Row],[Competition_date]])</f>
        <v>2025</v>
      </c>
      <c r="X1176" s="4">
        <v>26</v>
      </c>
      <c r="Y1176" s="6">
        <v>0.75</v>
      </c>
      <c r="Z1176" s="4"/>
    </row>
    <row r="1177" spans="1:26" hidden="1" x14ac:dyDescent="0.35">
      <c r="A1177" t="str">
        <f>_xlfn.CONCAT(Tableau1[[#This Row],[Athletes]],"_",Tableau1[[#This Row],[Nationality]],"_",Tableau1[[#This Row],[Competition_year]])</f>
        <v>Noélie YARIGO_BEN_2025</v>
      </c>
      <c r="B1177" t="s">
        <v>214</v>
      </c>
      <c r="C1177" t="s">
        <v>29</v>
      </c>
      <c r="D1177" s="18" t="s">
        <v>52</v>
      </c>
      <c r="E1177">
        <v>13.56</v>
      </c>
      <c r="F1177">
        <v>13.84</v>
      </c>
      <c r="G1177">
        <v>15.5</v>
      </c>
      <c r="H1177">
        <v>15.37</v>
      </c>
      <c r="I1177">
        <v>15.18</v>
      </c>
      <c r="J1177">
        <v>15.23</v>
      </c>
      <c r="K1177">
        <v>16.059999999999999</v>
      </c>
      <c r="L1177">
        <f>Tableau1[[#This Row],[Final_time]]-SUM(Tableau1[[#This Row],[0_100m]:[600_700m]])</f>
        <v>18.690000000000012</v>
      </c>
      <c r="M1177">
        <v>123.43</v>
      </c>
      <c r="N1177">
        <f>SUM(Tableau1[[#This Row],[0_100m]:[700_800m]])</f>
        <v>123.43</v>
      </c>
      <c r="O1177">
        <f>ABS(Tableau1[[#This Row],[Final_time]]-Tableau1[[#This Row],[Sum_time]])</f>
        <v>0</v>
      </c>
      <c r="P1177" s="8"/>
      <c r="Q1177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7" t="s">
        <v>1407</v>
      </c>
      <c r="S1177" s="1" t="s">
        <v>114</v>
      </c>
      <c r="T1177" t="s">
        <v>151</v>
      </c>
      <c r="U1177" s="1" t="s">
        <v>69</v>
      </c>
      <c r="V1177" s="1">
        <v>45918</v>
      </c>
      <c r="W1177" s="4">
        <f>YEAR(Tableau1[[#This Row],[Competition_date]])</f>
        <v>2025</v>
      </c>
      <c r="X1177" s="4">
        <v>26</v>
      </c>
      <c r="Y1177" s="6">
        <v>0.75</v>
      </c>
      <c r="Z1177" s="4"/>
    </row>
    <row r="1178" spans="1:26" hidden="1" x14ac:dyDescent="0.35">
      <c r="A1178" t="str">
        <f>_xlfn.CONCAT(Tableau1[[#This Row],[Athletes]],"_",Tableau1[[#This Row],[Nationality]],"_",Tableau1[[#This Row],[Competition_year]])</f>
        <v>Soukaina HAJJI_MAR_2025</v>
      </c>
      <c r="B1178" t="s">
        <v>398</v>
      </c>
      <c r="C1178" t="s">
        <v>29</v>
      </c>
      <c r="D1178" s="18" t="s">
        <v>21</v>
      </c>
      <c r="E1178">
        <v>14.19</v>
      </c>
      <c r="F1178">
        <v>13.56</v>
      </c>
      <c r="G1178">
        <v>15.39</v>
      </c>
      <c r="H1178">
        <v>15.88</v>
      </c>
      <c r="I1178">
        <v>15.76</v>
      </c>
      <c r="J1178">
        <v>16.350000000000001</v>
      </c>
      <c r="K1178">
        <v>17.45</v>
      </c>
      <c r="L1178">
        <f>Tableau1[[#This Row],[Final_time]]-SUM(Tableau1[[#This Row],[0_100m]:[600_700m]])</f>
        <v>18.22</v>
      </c>
      <c r="M1178">
        <v>126.8</v>
      </c>
      <c r="N1178">
        <f>SUM(Tableau1[[#This Row],[0_100m]:[700_800m]])</f>
        <v>126.8</v>
      </c>
      <c r="O1178">
        <f>ABS(Tableau1[[#This Row],[Final_time]]-Tableau1[[#This Row],[Sum_time]])</f>
        <v>0</v>
      </c>
      <c r="P1178" s="8"/>
      <c r="Q1178" s="16" t="str">
        <f>_xlfn.CONCAT(Tableau1[[#This Row],[Competition]],"_",Tableau1[[#This Row],[Championship_step]],"_",Tableau1[[#This Row],[Competition_date]],"_",Tableau1[[#This Row],[Gender]])</f>
        <v>World Championship Tokyo 2025_Heat 4_45918_Female</v>
      </c>
      <c r="R1178" t="s">
        <v>1407</v>
      </c>
      <c r="S1178" s="1" t="s">
        <v>114</v>
      </c>
      <c r="T1178" t="s">
        <v>151</v>
      </c>
      <c r="U1178" s="1" t="s">
        <v>69</v>
      </c>
      <c r="V1178" s="1">
        <v>45918</v>
      </c>
      <c r="W1178" s="4">
        <f>YEAR(Tableau1[[#This Row],[Competition_date]])</f>
        <v>2025</v>
      </c>
      <c r="X1178" s="4">
        <v>26</v>
      </c>
      <c r="Y1178" s="6">
        <v>0.75</v>
      </c>
      <c r="Z1178" s="4"/>
    </row>
    <row r="1179" spans="1:26" hidden="1" x14ac:dyDescent="0.35">
      <c r="A1179" t="str">
        <f>_xlfn.CONCAT(Tableau1[[#This Row],[Athletes]],"_",Tableau1[[#This Row],[Nationality]],"_",Tableau1[[#This Row],[Competition_year]])</f>
        <v>Emmanuel WANYONYI_KEN_2025</v>
      </c>
      <c r="B1179" t="s">
        <v>183</v>
      </c>
      <c r="C1179" t="s">
        <v>14</v>
      </c>
      <c r="D1179" s="18" t="s">
        <v>15</v>
      </c>
      <c r="E1179">
        <v>12.48</v>
      </c>
      <c r="F1179">
        <v>11.93</v>
      </c>
      <c r="G1179">
        <v>13.47</v>
      </c>
      <c r="H1179">
        <v>13.86</v>
      </c>
      <c r="I1179">
        <v>13.95</v>
      </c>
      <c r="J1179">
        <v>13.01</v>
      </c>
      <c r="K1179">
        <v>13.26</v>
      </c>
      <c r="L1179">
        <f>Tableau1[[#This Row],[Final_time]]-SUM(Tableau1[[#This Row],[0_100m]:[600_700m]])</f>
        <v>13.089999999999989</v>
      </c>
      <c r="M1179">
        <v>105.05</v>
      </c>
      <c r="N1179">
        <f>SUM(Tableau1[[#This Row],[0_100m]:[700_800m]])</f>
        <v>105.05</v>
      </c>
      <c r="O1179">
        <f>ABS(Tableau1[[#This Row],[Final_time]]-Tableau1[[#This Row],[Sum_time]])</f>
        <v>0</v>
      </c>
      <c r="P1179" s="8" t="s">
        <v>141</v>
      </c>
      <c r="Q1179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79" t="s">
        <v>1407</v>
      </c>
      <c r="S1179" s="1" t="s">
        <v>114</v>
      </c>
      <c r="T1179" t="s">
        <v>152</v>
      </c>
      <c r="U1179" s="1" t="s">
        <v>69</v>
      </c>
      <c r="V1179" s="1">
        <v>45916</v>
      </c>
      <c r="W1179" s="4">
        <f>YEAR(Tableau1[[#This Row],[Competition_date]])</f>
        <v>2025</v>
      </c>
      <c r="X1179" s="4">
        <v>28</v>
      </c>
      <c r="Y1179" s="6">
        <v>0.73</v>
      </c>
      <c r="Z1179" s="4"/>
    </row>
    <row r="1180" spans="1:26" hidden="1" x14ac:dyDescent="0.35">
      <c r="A1180" t="str">
        <f>_xlfn.CONCAT(Tableau1[[#This Row],[Athletes]],"_",Tableau1[[#This Row],[Nationality]],"_",Tableau1[[#This Row],[Competition_year]])</f>
        <v>Francesco PERNICI_ITA_2025</v>
      </c>
      <c r="B1180" t="s">
        <v>126</v>
      </c>
      <c r="C1180" t="s">
        <v>14</v>
      </c>
      <c r="D1180" s="18" t="s">
        <v>20</v>
      </c>
      <c r="E1180">
        <v>12.58</v>
      </c>
      <c r="F1180">
        <v>11.85</v>
      </c>
      <c r="G1180">
        <v>13.76</v>
      </c>
      <c r="H1180">
        <v>13.52</v>
      </c>
      <c r="I1180">
        <v>14.57</v>
      </c>
      <c r="J1180">
        <v>13.05</v>
      </c>
      <c r="K1180">
        <v>13.34</v>
      </c>
      <c r="L1180">
        <f>Tableau1[[#This Row],[Final_time]]-SUM(Tableau1[[#This Row],[0_100m]:[600_700m]])</f>
        <v>12.439999999999998</v>
      </c>
      <c r="M1180">
        <v>105.11</v>
      </c>
      <c r="N1180">
        <f>SUM(Tableau1[[#This Row],[0_100m]:[700_800m]])</f>
        <v>105.11</v>
      </c>
      <c r="O1180">
        <f>ABS(Tableau1[[#This Row],[Final_time]]-Tableau1[[#This Row],[Sum_time]])</f>
        <v>0</v>
      </c>
      <c r="P1180" s="8" t="s">
        <v>141</v>
      </c>
      <c r="Q1180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0" t="s">
        <v>1407</v>
      </c>
      <c r="S1180" s="1" t="s">
        <v>114</v>
      </c>
      <c r="T1180" t="s">
        <v>152</v>
      </c>
      <c r="U1180" s="1" t="s">
        <v>69</v>
      </c>
      <c r="V1180" s="1">
        <v>45916</v>
      </c>
      <c r="W1180" s="4">
        <f>YEAR(Tableau1[[#This Row],[Competition_date]])</f>
        <v>2025</v>
      </c>
      <c r="X1180" s="4">
        <v>28</v>
      </c>
      <c r="Y1180" s="6">
        <v>0.73</v>
      </c>
      <c r="Z1180" s="4"/>
    </row>
    <row r="1181" spans="1:26" hidden="1" x14ac:dyDescent="0.35">
      <c r="A1181" t="str">
        <f>_xlfn.CONCAT(Tableau1[[#This Row],[Athletes]],"_",Tableau1[[#This Row],[Nationality]],"_",Tableau1[[#This Row],[Competition_year]])</f>
        <v>Mark ENGLISH_IRL_2025</v>
      </c>
      <c r="B1181" t="s">
        <v>187</v>
      </c>
      <c r="C1181" t="s">
        <v>14</v>
      </c>
      <c r="D1181" s="18" t="s">
        <v>66</v>
      </c>
      <c r="E1181">
        <v>12.53</v>
      </c>
      <c r="F1181">
        <v>11.98</v>
      </c>
      <c r="G1181">
        <v>13.63</v>
      </c>
      <c r="H1181">
        <v>13.89</v>
      </c>
      <c r="I1181">
        <v>13.81</v>
      </c>
      <c r="J1181">
        <v>13.06</v>
      </c>
      <c r="K1181">
        <v>13.15</v>
      </c>
      <c r="L1181">
        <f>Tableau1[[#This Row],[Final_time]]-SUM(Tableau1[[#This Row],[0_100m]:[600_700m]])</f>
        <v>13.079999999999984</v>
      </c>
      <c r="M1181">
        <v>105.13</v>
      </c>
      <c r="N1181">
        <f>SUM(Tableau1[[#This Row],[0_100m]:[700_800m]])</f>
        <v>105.13</v>
      </c>
      <c r="O1181">
        <f>ABS(Tableau1[[#This Row],[Final_time]]-Tableau1[[#This Row],[Sum_time]])</f>
        <v>0</v>
      </c>
      <c r="P1181" s="8" t="s">
        <v>141</v>
      </c>
      <c r="Q1181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1" t="s">
        <v>1407</v>
      </c>
      <c r="S1181" s="1" t="s">
        <v>114</v>
      </c>
      <c r="T1181" t="s">
        <v>152</v>
      </c>
      <c r="U1181" s="1" t="s">
        <v>69</v>
      </c>
      <c r="V1181" s="1">
        <v>45916</v>
      </c>
      <c r="W1181" s="4">
        <f>YEAR(Tableau1[[#This Row],[Competition_date]])</f>
        <v>2025</v>
      </c>
      <c r="X1181" s="4">
        <v>28</v>
      </c>
      <c r="Y1181" s="6">
        <v>0.73</v>
      </c>
      <c r="Z1181" s="4"/>
    </row>
    <row r="1182" spans="1:26" hidden="1" x14ac:dyDescent="0.35">
      <c r="A1182" t="str">
        <f>_xlfn.CONCAT(Tableau1[[#This Row],[Athletes]],"_",Tableau1[[#This Row],[Nationality]],"_",Tableau1[[#This Row],[Competition_year]])</f>
        <v>Peyton CRAIG_AUS_2025</v>
      </c>
      <c r="B1182" t="s">
        <v>1420</v>
      </c>
      <c r="C1182" t="s">
        <v>14</v>
      </c>
      <c r="D1182" s="18" t="s">
        <v>36</v>
      </c>
      <c r="E1182">
        <v>12.62</v>
      </c>
      <c r="F1182">
        <v>12.14</v>
      </c>
      <c r="G1182">
        <v>13.59</v>
      </c>
      <c r="H1182">
        <v>13.86</v>
      </c>
      <c r="I1182">
        <v>13.94</v>
      </c>
      <c r="J1182">
        <v>13.2</v>
      </c>
      <c r="K1182">
        <v>13.18</v>
      </c>
      <c r="L1182">
        <f>Tableau1[[#This Row],[Final_time]]-SUM(Tableau1[[#This Row],[0_100m]:[600_700m]])</f>
        <v>12.909999999999997</v>
      </c>
      <c r="M1182">
        <v>105.44</v>
      </c>
      <c r="N1182">
        <f>SUM(Tableau1[[#This Row],[0_100m]:[700_800m]])</f>
        <v>105.44</v>
      </c>
      <c r="O1182">
        <f>ABS(Tableau1[[#This Row],[Final_time]]-Tableau1[[#This Row],[Sum_time]])</f>
        <v>0</v>
      </c>
      <c r="P1182" s="8"/>
      <c r="Q1182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2" t="s">
        <v>1407</v>
      </c>
      <c r="S1182" s="1" t="s">
        <v>114</v>
      </c>
      <c r="T1182" t="s">
        <v>152</v>
      </c>
      <c r="U1182" s="1" t="s">
        <v>69</v>
      </c>
      <c r="V1182" s="1">
        <v>45916</v>
      </c>
      <c r="W1182" s="4">
        <f>YEAR(Tableau1[[#This Row],[Competition_date]])</f>
        <v>2025</v>
      </c>
      <c r="X1182" s="4">
        <v>28</v>
      </c>
      <c r="Y1182" s="6">
        <v>0.73</v>
      </c>
      <c r="Z1182" s="4"/>
    </row>
    <row r="1183" spans="1:26" hidden="1" x14ac:dyDescent="0.35">
      <c r="A1183" t="str">
        <f>_xlfn.CONCAT(Tableau1[[#This Row],[Athletes]],"_",Tableau1[[#This Row],[Nationality]],"_",Tableau1[[#This Row],[Competition_year]])</f>
        <v>Mohamed Ali GOUANED_ALG_2025</v>
      </c>
      <c r="B1183" t="s">
        <v>381</v>
      </c>
      <c r="C1183" t="s">
        <v>14</v>
      </c>
      <c r="D1183" s="18" t="s">
        <v>24</v>
      </c>
      <c r="E1183">
        <v>12.69</v>
      </c>
      <c r="F1183">
        <v>11.93</v>
      </c>
      <c r="G1183">
        <v>13.69</v>
      </c>
      <c r="H1183">
        <v>13.61</v>
      </c>
      <c r="I1183">
        <v>13.69</v>
      </c>
      <c r="J1183">
        <v>12.99</v>
      </c>
      <c r="K1183">
        <v>13.07</v>
      </c>
      <c r="L1183">
        <f>Tableau1[[#This Row],[Final_time]]-SUM(Tableau1[[#This Row],[0_100m]:[600_700m]])</f>
        <v>13.820000000000007</v>
      </c>
      <c r="M1183">
        <v>105.49</v>
      </c>
      <c r="N1183">
        <f>SUM(Tableau1[[#This Row],[0_100m]:[700_800m]])</f>
        <v>105.49</v>
      </c>
      <c r="O1183">
        <f>ABS(Tableau1[[#This Row],[Final_time]]-Tableau1[[#This Row],[Sum_time]])</f>
        <v>0</v>
      </c>
      <c r="P1183" s="8"/>
      <c r="Q1183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3" t="s">
        <v>1407</v>
      </c>
      <c r="S1183" s="1" t="s">
        <v>114</v>
      </c>
      <c r="T1183" t="s">
        <v>152</v>
      </c>
      <c r="U1183" s="1" t="s">
        <v>69</v>
      </c>
      <c r="V1183" s="1">
        <v>45916</v>
      </c>
      <c r="W1183" s="4">
        <f>YEAR(Tableau1[[#This Row],[Competition_date]])</f>
        <v>2025</v>
      </c>
      <c r="X1183" s="4">
        <v>28</v>
      </c>
      <c r="Y1183" s="6">
        <v>0.73</v>
      </c>
      <c r="Z1183" s="4"/>
    </row>
    <row r="1184" spans="1:26" hidden="1" x14ac:dyDescent="0.35">
      <c r="A1184" t="str">
        <f>_xlfn.CONCAT(Tableau1[[#This Row],[Athletes]],"_",Tableau1[[#This Row],[Nationality]],"_",Tableau1[[#This Row],[Competition_year]])</f>
        <v>Tobias GRØNSTAD_NOR_2025</v>
      </c>
      <c r="B1184" t="s">
        <v>1421</v>
      </c>
      <c r="C1184" t="s">
        <v>14</v>
      </c>
      <c r="D1184" s="18" t="s">
        <v>123</v>
      </c>
      <c r="E1184">
        <v>12.85</v>
      </c>
      <c r="F1184">
        <v>12.23</v>
      </c>
      <c r="G1184">
        <v>13.64</v>
      </c>
      <c r="H1184">
        <v>13</v>
      </c>
      <c r="I1184">
        <v>13.74</v>
      </c>
      <c r="J1184">
        <v>13.64</v>
      </c>
      <c r="K1184">
        <v>13.64</v>
      </c>
      <c r="L1184">
        <f>Tableau1[[#This Row],[Final_time]]-SUM(Tableau1[[#This Row],[0_100m]:[600_700m]])</f>
        <v>13.190000000000012</v>
      </c>
      <c r="M1184">
        <v>105.93</v>
      </c>
      <c r="N1184">
        <f>SUM(Tableau1[[#This Row],[0_100m]:[700_800m]])</f>
        <v>105.93</v>
      </c>
      <c r="O1184">
        <f>ABS(Tableau1[[#This Row],[Final_time]]-Tableau1[[#This Row],[Sum_time]])</f>
        <v>0</v>
      </c>
      <c r="P1184" s="8"/>
      <c r="Q1184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4" t="s">
        <v>1407</v>
      </c>
      <c r="S1184" s="1" t="s">
        <v>114</v>
      </c>
      <c r="T1184" t="s">
        <v>152</v>
      </c>
      <c r="U1184" s="1" t="s">
        <v>69</v>
      </c>
      <c r="V1184" s="1">
        <v>45916</v>
      </c>
      <c r="W1184" s="4">
        <f>YEAR(Tableau1[[#This Row],[Competition_date]])</f>
        <v>2025</v>
      </c>
      <c r="X1184" s="4">
        <v>28</v>
      </c>
      <c r="Y1184" s="6">
        <v>0.73</v>
      </c>
      <c r="Z1184" s="4"/>
    </row>
    <row r="1185" spans="1:26" hidden="1" x14ac:dyDescent="0.35">
      <c r="A1185" t="str">
        <f>_xlfn.CONCAT(Tableau1[[#This Row],[Athletes]],"_",Tableau1[[#This Row],[Nationality]],"_",Tableau1[[#This Row],[Competition_year]])</f>
        <v>Ko OCHIAI_JPN_2025</v>
      </c>
      <c r="B1185" t="s">
        <v>1422</v>
      </c>
      <c r="C1185" t="s">
        <v>14</v>
      </c>
      <c r="D1185" s="18" t="s">
        <v>167</v>
      </c>
      <c r="E1185">
        <v>12.56</v>
      </c>
      <c r="F1185">
        <v>12.33</v>
      </c>
      <c r="G1185">
        <v>13.57</v>
      </c>
      <c r="H1185">
        <v>13.78</v>
      </c>
      <c r="I1185">
        <v>13.58</v>
      </c>
      <c r="J1185">
        <v>13.77</v>
      </c>
      <c r="K1185">
        <v>13.39</v>
      </c>
      <c r="L1185">
        <f>Tableau1[[#This Row],[Final_time]]-SUM(Tableau1[[#This Row],[0_100m]:[600_700m]])</f>
        <v>13.799999999999997</v>
      </c>
      <c r="M1185">
        <v>106.78</v>
      </c>
      <c r="N1185">
        <f>SUM(Tableau1[[#This Row],[0_100m]:[700_800m]])</f>
        <v>106.78</v>
      </c>
      <c r="O1185">
        <f>ABS(Tableau1[[#This Row],[Final_time]]-Tableau1[[#This Row],[Sum_time]])</f>
        <v>0</v>
      </c>
      <c r="P1185" s="8"/>
      <c r="Q1185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5" t="s">
        <v>1407</v>
      </c>
      <c r="S1185" s="1" t="s">
        <v>114</v>
      </c>
      <c r="T1185" t="s">
        <v>152</v>
      </c>
      <c r="U1185" s="1" t="s">
        <v>69</v>
      </c>
      <c r="V1185" s="1">
        <v>45916</v>
      </c>
      <c r="W1185" s="4">
        <f>YEAR(Tableau1[[#This Row],[Competition_date]])</f>
        <v>2025</v>
      </c>
      <c r="X1185" s="4">
        <v>28</v>
      </c>
      <c r="Y1185" s="6">
        <v>0.73</v>
      </c>
      <c r="Z1185" s="4"/>
    </row>
    <row r="1186" spans="1:26" hidden="1" x14ac:dyDescent="0.35">
      <c r="A1186" t="str">
        <f>_xlfn.CONCAT(Tableau1[[#This Row],[Athletes]],"_",Tableau1[[#This Row],[Nationality]],"_",Tableau1[[#This Row],[Competition_year]])</f>
        <v>Abdullahi HASSAN_CAN_2025</v>
      </c>
      <c r="B1186" t="s">
        <v>198</v>
      </c>
      <c r="C1186" t="s">
        <v>14</v>
      </c>
      <c r="D1186" s="18" t="s">
        <v>19</v>
      </c>
      <c r="E1186">
        <v>12.56</v>
      </c>
      <c r="F1186">
        <v>12.08</v>
      </c>
      <c r="G1186">
        <v>13.81</v>
      </c>
      <c r="H1186">
        <v>13.59</v>
      </c>
      <c r="I1186">
        <v>13.45</v>
      </c>
      <c r="J1186">
        <v>13.62</v>
      </c>
      <c r="K1186">
        <v>13.36</v>
      </c>
      <c r="L1186">
        <f>Tableau1[[#This Row],[Final_time]]-SUM(Tableau1[[#This Row],[0_100m]:[600_700m]])</f>
        <v>15.029999999999987</v>
      </c>
      <c r="M1186">
        <v>107.5</v>
      </c>
      <c r="N1186">
        <f>SUM(Tableau1[[#This Row],[0_100m]:[700_800m]])</f>
        <v>107.5</v>
      </c>
      <c r="O1186">
        <f>ABS(Tableau1[[#This Row],[Final_time]]-Tableau1[[#This Row],[Sum_time]])</f>
        <v>0</v>
      </c>
      <c r="P1186" s="8"/>
      <c r="Q1186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6" t="s">
        <v>1407</v>
      </c>
      <c r="S1186" s="1" t="s">
        <v>114</v>
      </c>
      <c r="T1186" t="s">
        <v>152</v>
      </c>
      <c r="U1186" s="1" t="s">
        <v>69</v>
      </c>
      <c r="V1186" s="1">
        <v>45916</v>
      </c>
      <c r="W1186" s="4">
        <f>YEAR(Tableau1[[#This Row],[Competition_date]])</f>
        <v>2025</v>
      </c>
      <c r="X1186" s="4">
        <v>28</v>
      </c>
      <c r="Y1186" s="6">
        <v>0.73</v>
      </c>
      <c r="Z1186" s="4"/>
    </row>
    <row r="1187" spans="1:26" hidden="1" x14ac:dyDescent="0.35">
      <c r="A1187" t="str">
        <f>_xlfn.CONCAT(Tableau1[[#This Row],[Athletes]],"_",Tableau1[[#This Row],[Nationality]],"_",Tableau1[[#This Row],[Competition_year]])</f>
        <v>Ryan CLARKE_NED_2025</v>
      </c>
      <c r="B1187" t="s">
        <v>302</v>
      </c>
      <c r="C1187" t="s">
        <v>14</v>
      </c>
      <c r="D1187" s="18" t="s">
        <v>158</v>
      </c>
      <c r="E1187">
        <v>12.55</v>
      </c>
      <c r="F1187">
        <v>11.92</v>
      </c>
      <c r="G1187">
        <v>13.47</v>
      </c>
      <c r="H1187">
        <v>13.86</v>
      </c>
      <c r="I1187">
        <v>14</v>
      </c>
      <c r="J1187">
        <v>13.96</v>
      </c>
      <c r="K1187">
        <v>14.01</v>
      </c>
      <c r="L1187">
        <f>Tableau1[[#This Row],[Final_time]]-SUM(Tableau1[[#This Row],[0_100m]:[600_700m]])</f>
        <v>15.310000000000002</v>
      </c>
      <c r="M1187">
        <v>109.08</v>
      </c>
      <c r="N1187">
        <f>SUM(Tableau1[[#This Row],[0_100m]:[700_800m]])</f>
        <v>109.08</v>
      </c>
      <c r="O1187">
        <f>ABS(Tableau1[[#This Row],[Final_time]]-Tableau1[[#This Row],[Sum_time]])</f>
        <v>0</v>
      </c>
      <c r="P1187" s="8"/>
      <c r="Q1187" s="16" t="str">
        <f>_xlfn.CONCAT(Tableau1[[#This Row],[Competition]],"_",Tableau1[[#This Row],[Championship_step]],"_",Tableau1[[#This Row],[Competition_date]],"_",Tableau1[[#This Row],[Gender]])</f>
        <v>World Championship Tokyo 2025_Heat 5_45916_Male</v>
      </c>
      <c r="R1187" t="s">
        <v>1407</v>
      </c>
      <c r="S1187" s="1" t="s">
        <v>114</v>
      </c>
      <c r="T1187" t="s">
        <v>152</v>
      </c>
      <c r="U1187" s="1" t="s">
        <v>69</v>
      </c>
      <c r="V1187" s="1">
        <v>45916</v>
      </c>
      <c r="W1187" s="4">
        <f>YEAR(Tableau1[[#This Row],[Competition_date]])</f>
        <v>2025</v>
      </c>
      <c r="X1187" s="4">
        <v>28</v>
      </c>
      <c r="Y1187" s="6">
        <v>0.73</v>
      </c>
      <c r="Z1187" s="4"/>
    </row>
    <row r="1188" spans="1:26" hidden="1" x14ac:dyDescent="0.35">
      <c r="A1188" t="str">
        <f>_xlfn.CONCAT(Tableau1[[#This Row],[Athletes]],"_",Tableau1[[#This Row],[Nationality]],"_",Tableau1[[#This Row],[Competition_year]])</f>
        <v>Lilian ODIRA_KEN_2025</v>
      </c>
      <c r="B1188" t="s">
        <v>1381</v>
      </c>
      <c r="C1188" t="s">
        <v>29</v>
      </c>
      <c r="D1188" s="18" t="s">
        <v>15</v>
      </c>
      <c r="E1188">
        <v>13.93</v>
      </c>
      <c r="F1188">
        <v>14.08</v>
      </c>
      <c r="G1188">
        <v>15.26</v>
      </c>
      <c r="H1188">
        <v>15.21</v>
      </c>
      <c r="I1188">
        <v>15.06</v>
      </c>
      <c r="J1188">
        <v>14.68</v>
      </c>
      <c r="K1188">
        <v>14.98</v>
      </c>
      <c r="L1188">
        <f>Tableau1[[#This Row],[Final_time]]-SUM(Tableau1[[#This Row],[0_100m]:[600_700m]])</f>
        <v>14.659999999999997</v>
      </c>
      <c r="M1188">
        <v>117.86</v>
      </c>
      <c r="N1188">
        <f>SUM(Tableau1[[#This Row],[0_100m]:[700_800m]])</f>
        <v>117.86</v>
      </c>
      <c r="O1188">
        <f>ABS(Tableau1[[#This Row],[Final_time]]-Tableau1[[#This Row],[Sum_time]])</f>
        <v>0</v>
      </c>
      <c r="P1188" s="8" t="s">
        <v>141</v>
      </c>
      <c r="Q1188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88" t="s">
        <v>1407</v>
      </c>
      <c r="S1188" s="1" t="s">
        <v>114</v>
      </c>
      <c r="T1188" t="s">
        <v>152</v>
      </c>
      <c r="U1188" s="1" t="s">
        <v>69</v>
      </c>
      <c r="V1188" s="1">
        <v>45918</v>
      </c>
      <c r="W1188" s="4">
        <f>YEAR(Tableau1[[#This Row],[Competition_date]])</f>
        <v>2025</v>
      </c>
      <c r="X1188" s="4">
        <v>26</v>
      </c>
      <c r="Y1188" s="6">
        <v>0.75</v>
      </c>
      <c r="Z1188" s="4"/>
    </row>
    <row r="1189" spans="1:26" hidden="1" x14ac:dyDescent="0.35">
      <c r="A1189" t="str">
        <f>_xlfn.CONCAT(Tableau1[[#This Row],[Athletes]],"_",Tableau1[[#This Row],[Nationality]],"_",Tableau1[[#This Row],[Competition_year]])</f>
        <v>Daily COOPER GASPAR_CUB_2025</v>
      </c>
      <c r="B1189" t="s">
        <v>1440</v>
      </c>
      <c r="C1189" t="s">
        <v>29</v>
      </c>
      <c r="D1189" s="18" t="s">
        <v>165</v>
      </c>
      <c r="E1189">
        <v>13.83</v>
      </c>
      <c r="F1189">
        <v>14.16</v>
      </c>
      <c r="G1189">
        <v>15.29</v>
      </c>
      <c r="H1189">
        <v>15.39</v>
      </c>
      <c r="I1189">
        <v>15.1</v>
      </c>
      <c r="J1189">
        <v>14.74</v>
      </c>
      <c r="K1189">
        <v>14.92</v>
      </c>
      <c r="L1189">
        <f>Tableau1[[#This Row],[Final_time]]-SUM(Tableau1[[#This Row],[0_100m]:[600_700m]])</f>
        <v>14.730000000000004</v>
      </c>
      <c r="M1189">
        <v>118.16</v>
      </c>
      <c r="N1189">
        <f>SUM(Tableau1[[#This Row],[0_100m]:[700_800m]])</f>
        <v>118.16</v>
      </c>
      <c r="O1189">
        <f>ABS(Tableau1[[#This Row],[Final_time]]-Tableau1[[#This Row],[Sum_time]])</f>
        <v>0</v>
      </c>
      <c r="P1189" s="8" t="s">
        <v>141</v>
      </c>
      <c r="Q1189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89" t="s">
        <v>1407</v>
      </c>
      <c r="S1189" s="1" t="s">
        <v>114</v>
      </c>
      <c r="T1189" t="s">
        <v>152</v>
      </c>
      <c r="U1189" s="1" t="s">
        <v>69</v>
      </c>
      <c r="V1189" s="1">
        <v>45918</v>
      </c>
      <c r="W1189" s="4">
        <f>YEAR(Tableau1[[#This Row],[Competition_date]])</f>
        <v>2025</v>
      </c>
      <c r="X1189" s="4">
        <v>26</v>
      </c>
      <c r="Y1189" s="6">
        <v>0.75</v>
      </c>
      <c r="Z1189" s="4"/>
    </row>
    <row r="1190" spans="1:26" hidden="1" x14ac:dyDescent="0.35">
      <c r="A1190" t="str">
        <f>_xlfn.CONCAT(Tableau1[[#This Row],[Athletes]],"_",Tableau1[[#This Row],[Nationality]],"_",Tableau1[[#This Row],[Competition_year]])</f>
        <v>Worknesh MESELE_ETH_2025</v>
      </c>
      <c r="B1190" t="s">
        <v>215</v>
      </c>
      <c r="C1190" t="s">
        <v>29</v>
      </c>
      <c r="D1190" s="18" t="s">
        <v>49</v>
      </c>
      <c r="E1190">
        <v>13.81</v>
      </c>
      <c r="F1190">
        <v>14.07</v>
      </c>
      <c r="G1190">
        <v>15.23</v>
      </c>
      <c r="H1190">
        <v>15.31</v>
      </c>
      <c r="I1190">
        <v>15.1</v>
      </c>
      <c r="J1190">
        <v>14.69</v>
      </c>
      <c r="K1190">
        <v>15.07</v>
      </c>
      <c r="L1190">
        <f>Tableau1[[#This Row],[Final_time]]-SUM(Tableau1[[#This Row],[0_100m]:[600_700m]])</f>
        <v>15.179999999999993</v>
      </c>
      <c r="M1190">
        <v>118.46</v>
      </c>
      <c r="N1190">
        <f>SUM(Tableau1[[#This Row],[0_100m]:[700_800m]])</f>
        <v>118.46</v>
      </c>
      <c r="O1190">
        <f>ABS(Tableau1[[#This Row],[Final_time]]-Tableau1[[#This Row],[Sum_time]])</f>
        <v>0</v>
      </c>
      <c r="P1190" s="8" t="s">
        <v>141</v>
      </c>
      <c r="Q1190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90" t="s">
        <v>1407</v>
      </c>
      <c r="S1190" s="1" t="s">
        <v>114</v>
      </c>
      <c r="T1190" t="s">
        <v>152</v>
      </c>
      <c r="U1190" s="1" t="s">
        <v>69</v>
      </c>
      <c r="V1190" s="1">
        <v>45918</v>
      </c>
      <c r="W1190" s="4">
        <f>YEAR(Tableau1[[#This Row],[Competition_date]])</f>
        <v>2025</v>
      </c>
      <c r="X1190" s="4">
        <v>26</v>
      </c>
      <c r="Y1190" s="6">
        <v>0.75</v>
      </c>
      <c r="Z1190" s="4"/>
    </row>
    <row r="1191" spans="1:26" hidden="1" x14ac:dyDescent="0.35">
      <c r="A1191" t="str">
        <f>_xlfn.CONCAT(Tableau1[[#This Row],[Athletes]],"_",Tableau1[[#This Row],[Nationality]],"_",Tableau1[[#This Row],[Competition_year]])</f>
        <v>Halimah NAKAAYI_UGA_2025</v>
      </c>
      <c r="B1191" t="s">
        <v>230</v>
      </c>
      <c r="C1191" t="s">
        <v>29</v>
      </c>
      <c r="D1191" s="18" t="s">
        <v>34</v>
      </c>
      <c r="E1191">
        <v>13.72</v>
      </c>
      <c r="F1191">
        <v>13.95</v>
      </c>
      <c r="G1191">
        <v>15.25</v>
      </c>
      <c r="H1191">
        <v>15.31</v>
      </c>
      <c r="I1191">
        <v>15.05</v>
      </c>
      <c r="J1191">
        <v>14.76</v>
      </c>
      <c r="K1191">
        <v>15.08</v>
      </c>
      <c r="L1191">
        <f>Tableau1[[#This Row],[Final_time]]-SUM(Tableau1[[#This Row],[0_100m]:[600_700m]])</f>
        <v>15.449999999999989</v>
      </c>
      <c r="M1191">
        <v>118.57</v>
      </c>
      <c r="N1191">
        <f>SUM(Tableau1[[#This Row],[0_100m]:[700_800m]])</f>
        <v>118.57</v>
      </c>
      <c r="O1191">
        <f>ABS(Tableau1[[#This Row],[Final_time]]-Tableau1[[#This Row],[Sum_time]])</f>
        <v>0</v>
      </c>
      <c r="P1191" s="8" t="s">
        <v>142</v>
      </c>
      <c r="Q1191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91" t="s">
        <v>1407</v>
      </c>
      <c r="S1191" s="1" t="s">
        <v>114</v>
      </c>
      <c r="T1191" t="s">
        <v>152</v>
      </c>
      <c r="U1191" s="1" t="s">
        <v>69</v>
      </c>
      <c r="V1191" s="1">
        <v>45918</v>
      </c>
      <c r="W1191" s="4">
        <f>YEAR(Tableau1[[#This Row],[Competition_date]])</f>
        <v>2025</v>
      </c>
      <c r="X1191" s="4">
        <v>26</v>
      </c>
      <c r="Y1191" s="6">
        <v>0.75</v>
      </c>
      <c r="Z1191" s="4"/>
    </row>
    <row r="1192" spans="1:26" hidden="1" x14ac:dyDescent="0.35">
      <c r="A1192" t="str">
        <f>_xlfn.CONCAT(Tableau1[[#This Row],[Athletes]],"_",Tableau1[[#This Row],[Nationality]],"_",Tableau1[[#This Row],[Competition_year]])</f>
        <v>Jemma REEKIE_GBR_2025</v>
      </c>
      <c r="B1192" t="s">
        <v>220</v>
      </c>
      <c r="C1192" t="s">
        <v>29</v>
      </c>
      <c r="D1192" s="18" t="s">
        <v>30</v>
      </c>
      <c r="E1192">
        <v>13.87</v>
      </c>
      <c r="F1192">
        <v>13.8</v>
      </c>
      <c r="G1192">
        <v>15.33</v>
      </c>
      <c r="H1192">
        <v>15.25</v>
      </c>
      <c r="I1192">
        <v>15.08</v>
      </c>
      <c r="J1192">
        <v>14.74</v>
      </c>
      <c r="K1192">
        <v>15.28</v>
      </c>
      <c r="L1192">
        <f>Tableau1[[#This Row],[Final_time]]-SUM(Tableau1[[#This Row],[0_100m]:[600_700m]])</f>
        <v>16</v>
      </c>
      <c r="M1192">
        <v>119.35</v>
      </c>
      <c r="N1192">
        <f>SUM(Tableau1[[#This Row],[0_100m]:[700_800m]])</f>
        <v>119.35</v>
      </c>
      <c r="O1192">
        <f>ABS(Tableau1[[#This Row],[Final_time]]-Tableau1[[#This Row],[Sum_time]])</f>
        <v>0</v>
      </c>
      <c r="P1192" s="8"/>
      <c r="Q1192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92" t="s">
        <v>1407</v>
      </c>
      <c r="S1192" s="1" t="s">
        <v>114</v>
      </c>
      <c r="T1192" t="s">
        <v>152</v>
      </c>
      <c r="U1192" s="1" t="s">
        <v>69</v>
      </c>
      <c r="V1192" s="1">
        <v>45918</v>
      </c>
      <c r="W1192" s="4">
        <f>YEAR(Tableau1[[#This Row],[Competition_date]])</f>
        <v>2025</v>
      </c>
      <c r="X1192" s="4">
        <v>26</v>
      </c>
      <c r="Y1192" s="6">
        <v>0.75</v>
      </c>
      <c r="Z1192" s="4"/>
    </row>
    <row r="1193" spans="1:26" hidden="1" x14ac:dyDescent="0.35">
      <c r="A1193" t="str">
        <f>_xlfn.CONCAT(Tableau1[[#This Row],[Athletes]],"_",Tableau1[[#This Row],[Nationality]],"_",Tableau1[[#This Row],[Competition_year]])</f>
        <v>Hongjiao WU_CHN_2025</v>
      </c>
      <c r="B1193" t="s">
        <v>1441</v>
      </c>
      <c r="C1193" t="s">
        <v>29</v>
      </c>
      <c r="D1193" s="18" t="s">
        <v>64</v>
      </c>
      <c r="E1193">
        <v>14.02</v>
      </c>
      <c r="F1193">
        <v>14.29</v>
      </c>
      <c r="G1193">
        <v>15.21</v>
      </c>
      <c r="H1193">
        <v>15.33</v>
      </c>
      <c r="I1193">
        <v>15.15</v>
      </c>
      <c r="J1193">
        <v>15.19</v>
      </c>
      <c r="K1193">
        <v>16.04</v>
      </c>
      <c r="L1193">
        <f>Tableau1[[#This Row],[Final_time]]-SUM(Tableau1[[#This Row],[0_100m]:[600_700m]])</f>
        <v>16.150000000000006</v>
      </c>
      <c r="M1193">
        <v>121.38</v>
      </c>
      <c r="N1193">
        <f>SUM(Tableau1[[#This Row],[0_100m]:[700_800m]])</f>
        <v>121.38</v>
      </c>
      <c r="O1193">
        <f>ABS(Tableau1[[#This Row],[Final_time]]-Tableau1[[#This Row],[Sum_time]])</f>
        <v>0</v>
      </c>
      <c r="P1193" s="8"/>
      <c r="Q1193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93" t="s">
        <v>1407</v>
      </c>
      <c r="S1193" s="1" t="s">
        <v>114</v>
      </c>
      <c r="T1193" t="s">
        <v>152</v>
      </c>
      <c r="U1193" s="1" t="s">
        <v>69</v>
      </c>
      <c r="V1193" s="1">
        <v>45918</v>
      </c>
      <c r="W1193" s="4">
        <f>YEAR(Tableau1[[#This Row],[Competition_date]])</f>
        <v>2025</v>
      </c>
      <c r="X1193" s="4">
        <v>26</v>
      </c>
      <c r="Y1193" s="6">
        <v>0.75</v>
      </c>
      <c r="Z1193" s="4"/>
    </row>
    <row r="1194" spans="1:26" hidden="1" x14ac:dyDescent="0.35">
      <c r="A1194" t="str">
        <f>_xlfn.CONCAT(Tableau1[[#This Row],[Athletes]],"_",Tableau1[[#This Row],[Nationality]],"_",Tableau1[[#This Row],[Competition_year]])</f>
        <v>Smilla KOLBE_GER_2025</v>
      </c>
      <c r="B1194" t="s">
        <v>1442</v>
      </c>
      <c r="C1194" t="s">
        <v>29</v>
      </c>
      <c r="D1194" s="18" t="s">
        <v>139</v>
      </c>
      <c r="E1194">
        <v>14.29</v>
      </c>
      <c r="F1194">
        <v>13.5</v>
      </c>
      <c r="G1194">
        <v>15.28</v>
      </c>
      <c r="H1194">
        <v>15.38</v>
      </c>
      <c r="I1194">
        <v>15.34</v>
      </c>
      <c r="J1194">
        <v>15.33</v>
      </c>
      <c r="K1194">
        <v>15.86</v>
      </c>
      <c r="L1194">
        <f>Tableau1[[#This Row],[Final_time]]-SUM(Tableau1[[#This Row],[0_100m]:[600_700m]])</f>
        <v>16.759999999999991</v>
      </c>
      <c r="M1194">
        <v>121.74</v>
      </c>
      <c r="N1194">
        <f>SUM(Tableau1[[#This Row],[0_100m]:[700_800m]])</f>
        <v>121.74</v>
      </c>
      <c r="O1194">
        <f>ABS(Tableau1[[#This Row],[Final_time]]-Tableau1[[#This Row],[Sum_time]])</f>
        <v>0</v>
      </c>
      <c r="P1194" s="8"/>
      <c r="Q1194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94" t="s">
        <v>1407</v>
      </c>
      <c r="S1194" s="1" t="s">
        <v>114</v>
      </c>
      <c r="T1194" t="s">
        <v>152</v>
      </c>
      <c r="U1194" s="1" t="s">
        <v>69</v>
      </c>
      <c r="V1194" s="1">
        <v>45918</v>
      </c>
      <c r="W1194" s="4">
        <f>YEAR(Tableau1[[#This Row],[Competition_date]])</f>
        <v>2025</v>
      </c>
      <c r="X1194" s="4">
        <v>26</v>
      </c>
      <c r="Y1194" s="6">
        <v>0.75</v>
      </c>
      <c r="Z1194" s="4"/>
    </row>
    <row r="1195" spans="1:26" hidden="1" x14ac:dyDescent="0.35">
      <c r="A1195" t="str">
        <f>_xlfn.CONCAT(Tableau1[[#This Row],[Athletes]],"_",Tableau1[[#This Row],[Nationality]],"_",Tableau1[[#This Row],[Competition_year]])</f>
        <v>Eveliina MÄÄTTÄNEN_FIN_2025</v>
      </c>
      <c r="B1195" t="s">
        <v>216</v>
      </c>
      <c r="C1195" t="s">
        <v>29</v>
      </c>
      <c r="D1195" s="18" t="s">
        <v>85</v>
      </c>
      <c r="E1195">
        <v>14.23</v>
      </c>
      <c r="F1195">
        <v>13.77</v>
      </c>
      <c r="G1195">
        <v>15.29</v>
      </c>
      <c r="H1195">
        <v>15.49</v>
      </c>
      <c r="I1195">
        <v>15.35</v>
      </c>
      <c r="J1195">
        <v>15.03</v>
      </c>
      <c r="K1195">
        <v>15.78</v>
      </c>
      <c r="L1195">
        <f>Tableau1[[#This Row],[Final_time]]-SUM(Tableau1[[#This Row],[0_100m]:[600_700m]])</f>
        <v>17.61</v>
      </c>
      <c r="M1195">
        <v>122.55</v>
      </c>
      <c r="N1195">
        <f>SUM(Tableau1[[#This Row],[0_100m]:[700_800m]])</f>
        <v>122.55</v>
      </c>
      <c r="O1195">
        <f>ABS(Tableau1[[#This Row],[Final_time]]-Tableau1[[#This Row],[Sum_time]])</f>
        <v>0</v>
      </c>
      <c r="P1195" s="8"/>
      <c r="Q1195" s="16" t="str">
        <f>_xlfn.CONCAT(Tableau1[[#This Row],[Competition]],"_",Tableau1[[#This Row],[Championship_step]],"_",Tableau1[[#This Row],[Competition_date]],"_",Tableau1[[#This Row],[Gender]])</f>
        <v>World Championship Tokyo 2025_Heat 5_45918_Female</v>
      </c>
      <c r="R1195" t="s">
        <v>1407</v>
      </c>
      <c r="S1195" s="1" t="s">
        <v>114</v>
      </c>
      <c r="T1195" t="s">
        <v>152</v>
      </c>
      <c r="U1195" s="1" t="s">
        <v>69</v>
      </c>
      <c r="V1195" s="1">
        <v>45918</v>
      </c>
      <c r="W1195" s="4">
        <f>YEAR(Tableau1[[#This Row],[Competition_date]])</f>
        <v>2025</v>
      </c>
      <c r="X1195" s="4">
        <v>26</v>
      </c>
      <c r="Y1195" s="6">
        <v>0.75</v>
      </c>
      <c r="Z1195" s="4"/>
    </row>
    <row r="1196" spans="1:26" hidden="1" x14ac:dyDescent="0.35">
      <c r="A1196" t="str">
        <f>_xlfn.CONCAT(Tableau1[[#This Row],[Athletes]],"_",Tableau1[[#This Row],[Nationality]],"_",Tableau1[[#This Row],[Competition_year]])</f>
        <v>Max BURGIN_GBR_2025</v>
      </c>
      <c r="B1196" t="s">
        <v>188</v>
      </c>
      <c r="C1196" t="s">
        <v>14</v>
      </c>
      <c r="D1196" s="18" t="s">
        <v>30</v>
      </c>
      <c r="E1196">
        <v>12.63</v>
      </c>
      <c r="F1196">
        <v>11.61</v>
      </c>
      <c r="G1196">
        <v>13.54</v>
      </c>
      <c r="H1196">
        <v>13.69</v>
      </c>
      <c r="I1196">
        <v>13.65</v>
      </c>
      <c r="J1196">
        <v>13.22</v>
      </c>
      <c r="K1196">
        <v>13.2</v>
      </c>
      <c r="L1196">
        <f>Tableau1[[#This Row],[Final_time]]-SUM(Tableau1[[#This Row],[0_100m]:[600_700m]])</f>
        <v>13.189999999999998</v>
      </c>
      <c r="M1196">
        <v>104.73</v>
      </c>
      <c r="N1196">
        <f>SUM(Tableau1[[#This Row],[0_100m]:[700_800m]])</f>
        <v>104.73</v>
      </c>
      <c r="O1196">
        <f>ABS(Tableau1[[#This Row],[Final_time]]-Tableau1[[#This Row],[Sum_time]])</f>
        <v>0</v>
      </c>
      <c r="P1196" s="8" t="s">
        <v>141</v>
      </c>
      <c r="Q1196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196" t="s">
        <v>1407</v>
      </c>
      <c r="S1196" s="1" t="s">
        <v>114</v>
      </c>
      <c r="T1196" t="s">
        <v>154</v>
      </c>
      <c r="U1196" s="1" t="s">
        <v>69</v>
      </c>
      <c r="V1196" s="1">
        <v>45916</v>
      </c>
      <c r="W1196" s="4">
        <f>YEAR(Tableau1[[#This Row],[Competition_date]])</f>
        <v>2025</v>
      </c>
      <c r="X1196" s="4">
        <v>28</v>
      </c>
      <c r="Y1196" s="6">
        <v>0.73</v>
      </c>
      <c r="Z1196" s="4"/>
    </row>
    <row r="1197" spans="1:26" hidden="1" x14ac:dyDescent="0.35">
      <c r="A1197" t="str">
        <f>_xlfn.CONCAT(Tableau1[[#This Row],[Athletes]],"_",Tableau1[[#This Row],[Nationality]],"_",Tableau1[[#This Row],[Competition_year]])</f>
        <v>Tshepiso MASALELA_BOT_2025</v>
      </c>
      <c r="B1197" t="s">
        <v>107</v>
      </c>
      <c r="C1197" t="s">
        <v>14</v>
      </c>
      <c r="D1197" s="18" t="s">
        <v>44</v>
      </c>
      <c r="E1197">
        <v>12.5</v>
      </c>
      <c r="F1197">
        <v>11.7</v>
      </c>
      <c r="G1197">
        <v>13.5</v>
      </c>
      <c r="H1197">
        <v>13.64</v>
      </c>
      <c r="I1197">
        <v>13.7</v>
      </c>
      <c r="J1197">
        <v>13.28</v>
      </c>
      <c r="K1197">
        <v>13.32</v>
      </c>
      <c r="L1197">
        <f>Tableau1[[#This Row],[Final_time]]-SUM(Tableau1[[#This Row],[0_100m]:[600_700m]])</f>
        <v>13.09999999999998</v>
      </c>
      <c r="M1197">
        <v>104.74</v>
      </c>
      <c r="N1197">
        <f>SUM(Tableau1[[#This Row],[0_100m]:[700_800m]])</f>
        <v>104.74</v>
      </c>
      <c r="O1197">
        <f>ABS(Tableau1[[#This Row],[Final_time]]-Tableau1[[#This Row],[Sum_time]])</f>
        <v>0</v>
      </c>
      <c r="P1197" s="8" t="s">
        <v>141</v>
      </c>
      <c r="Q1197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197" t="s">
        <v>1407</v>
      </c>
      <c r="S1197" s="1" t="s">
        <v>114</v>
      </c>
      <c r="T1197" t="s">
        <v>154</v>
      </c>
      <c r="U1197" s="1" t="s">
        <v>69</v>
      </c>
      <c r="V1197" s="1">
        <v>45916</v>
      </c>
      <c r="W1197" s="4">
        <f>YEAR(Tableau1[[#This Row],[Competition_date]])</f>
        <v>2025</v>
      </c>
      <c r="X1197" s="4">
        <v>28</v>
      </c>
      <c r="Y1197" s="6">
        <v>0.73</v>
      </c>
      <c r="Z1197" s="4"/>
    </row>
    <row r="1198" spans="1:26" hidden="1" x14ac:dyDescent="0.35">
      <c r="A1198" t="str">
        <f>_xlfn.CONCAT(Tableau1[[#This Row],[Athletes]],"_",Tableau1[[#This Row],[Nationality]],"_",Tableau1[[#This Row],[Competition_year]])</f>
        <v>Navasky ANDERSON_JAM_2025</v>
      </c>
      <c r="B1198" t="s">
        <v>245</v>
      </c>
      <c r="C1198" t="s">
        <v>14</v>
      </c>
      <c r="D1198" s="18" t="s">
        <v>33</v>
      </c>
      <c r="E1198">
        <v>12.71</v>
      </c>
      <c r="F1198">
        <v>11.71</v>
      </c>
      <c r="G1198">
        <v>13.59</v>
      </c>
      <c r="H1198">
        <v>13.7</v>
      </c>
      <c r="I1198">
        <v>13.8</v>
      </c>
      <c r="J1198">
        <v>13.02</v>
      </c>
      <c r="K1198">
        <v>13.23</v>
      </c>
      <c r="L1198">
        <f>Tableau1[[#This Row],[Final_time]]-SUM(Tableau1[[#This Row],[0_100m]:[600_700m]])</f>
        <v>13.11</v>
      </c>
      <c r="M1198">
        <v>104.87</v>
      </c>
      <c r="N1198">
        <f>SUM(Tableau1[[#This Row],[0_100m]:[700_800m]])</f>
        <v>104.87</v>
      </c>
      <c r="O1198">
        <f>ABS(Tableau1[[#This Row],[Final_time]]-Tableau1[[#This Row],[Sum_time]])</f>
        <v>0</v>
      </c>
      <c r="P1198" s="8" t="s">
        <v>141</v>
      </c>
      <c r="Q1198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198" t="s">
        <v>1407</v>
      </c>
      <c r="S1198" s="1" t="s">
        <v>114</v>
      </c>
      <c r="T1198" t="s">
        <v>154</v>
      </c>
      <c r="U1198" s="1" t="s">
        <v>69</v>
      </c>
      <c r="V1198" s="1">
        <v>45916</v>
      </c>
      <c r="W1198" s="4">
        <f>YEAR(Tableau1[[#This Row],[Competition_date]])</f>
        <v>2025</v>
      </c>
      <c r="X1198" s="4">
        <v>28</v>
      </c>
      <c r="Y1198" s="6">
        <v>0.73</v>
      </c>
      <c r="Z1198" s="4"/>
    </row>
    <row r="1199" spans="1:26" hidden="1" x14ac:dyDescent="0.35">
      <c r="A1199" t="str">
        <f>_xlfn.CONCAT(Tableau1[[#This Row],[Athletes]],"_",Tableau1[[#This Row],[Nationality]],"_",Tableau1[[#This Row],[Competition_year]])</f>
        <v>Yanis MEZIANE_FRA_2025</v>
      </c>
      <c r="B1199" t="s">
        <v>171</v>
      </c>
      <c r="C1199" t="s">
        <v>14</v>
      </c>
      <c r="D1199" s="18" t="s">
        <v>17</v>
      </c>
      <c r="E1199">
        <v>12.39</v>
      </c>
      <c r="F1199">
        <v>12.07</v>
      </c>
      <c r="G1199">
        <v>13.66</v>
      </c>
      <c r="H1199">
        <v>13.52</v>
      </c>
      <c r="I1199">
        <v>13.67</v>
      </c>
      <c r="J1199">
        <v>13.45</v>
      </c>
      <c r="K1199">
        <v>13.21</v>
      </c>
      <c r="L1199">
        <f>Tableau1[[#This Row],[Final_time]]-SUM(Tableau1[[#This Row],[0_100m]:[600_700m]])</f>
        <v>13.049999999999997</v>
      </c>
      <c r="M1199">
        <v>105.02</v>
      </c>
      <c r="N1199">
        <f>SUM(Tableau1[[#This Row],[0_100m]:[700_800m]])</f>
        <v>105.02</v>
      </c>
      <c r="O1199">
        <f>ABS(Tableau1[[#This Row],[Final_time]]-Tableau1[[#This Row],[Sum_time]])</f>
        <v>0</v>
      </c>
      <c r="P1199" s="8" t="s">
        <v>142</v>
      </c>
      <c r="Q1199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199" t="s">
        <v>1407</v>
      </c>
      <c r="S1199" s="1" t="s">
        <v>114</v>
      </c>
      <c r="T1199" t="s">
        <v>154</v>
      </c>
      <c r="U1199" s="1" t="s">
        <v>69</v>
      </c>
      <c r="V1199" s="1">
        <v>45916</v>
      </c>
      <c r="W1199" s="4">
        <f>YEAR(Tableau1[[#This Row],[Competition_date]])</f>
        <v>2025</v>
      </c>
      <c r="X1199" s="4">
        <v>28</v>
      </c>
      <c r="Y1199" s="6">
        <v>0.73</v>
      </c>
      <c r="Z1199" s="4"/>
    </row>
    <row r="1200" spans="1:26" hidden="1" x14ac:dyDescent="0.35">
      <c r="A1200" t="str">
        <f>_xlfn.CONCAT(Tableau1[[#This Row],[Athletes]],"_",Tableau1[[#This Row],[Nationality]],"_",Tableau1[[#This Row],[Competition_year]])</f>
        <v>Eliott CRESTAN_BEL_2025</v>
      </c>
      <c r="B1200" t="s">
        <v>244</v>
      </c>
      <c r="C1200" t="s">
        <v>14</v>
      </c>
      <c r="D1200" s="18" t="s">
        <v>18</v>
      </c>
      <c r="E1200">
        <v>12.59</v>
      </c>
      <c r="F1200">
        <v>11.82</v>
      </c>
      <c r="G1200">
        <v>13.43</v>
      </c>
      <c r="H1200">
        <v>13.72</v>
      </c>
      <c r="I1200">
        <v>13.72</v>
      </c>
      <c r="J1200">
        <v>13.25</v>
      </c>
      <c r="K1200">
        <v>13.22</v>
      </c>
      <c r="L1200">
        <f>Tableau1[[#This Row],[Final_time]]-SUM(Tableau1[[#This Row],[0_100m]:[600_700m]])</f>
        <v>13.299999999999997</v>
      </c>
      <c r="M1200">
        <v>105.05</v>
      </c>
      <c r="N1200">
        <f>SUM(Tableau1[[#This Row],[0_100m]:[700_800m]])</f>
        <v>105.05</v>
      </c>
      <c r="O1200">
        <f>ABS(Tableau1[[#This Row],[Final_time]]-Tableau1[[#This Row],[Sum_time]])</f>
        <v>0</v>
      </c>
      <c r="P1200" s="8" t="s">
        <v>142</v>
      </c>
      <c r="Q1200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200" t="s">
        <v>1407</v>
      </c>
      <c r="S1200" s="1" t="s">
        <v>114</v>
      </c>
      <c r="T1200" t="s">
        <v>154</v>
      </c>
      <c r="U1200" s="1" t="s">
        <v>69</v>
      </c>
      <c r="V1200" s="1">
        <v>45916</v>
      </c>
      <c r="W1200" s="4">
        <f>YEAR(Tableau1[[#This Row],[Competition_date]])</f>
        <v>2025</v>
      </c>
      <c r="X1200" s="4">
        <v>28</v>
      </c>
      <c r="Y1200" s="6">
        <v>0.73</v>
      </c>
      <c r="Z1200" s="4"/>
    </row>
    <row r="1201" spans="1:26" hidden="1" x14ac:dyDescent="0.35">
      <c r="A1201" t="str">
        <f>_xlfn.CONCAT(Tableau1[[#This Row],[Athletes]],"_",Tableau1[[#This Row],[Nationality]],"_",Tableau1[[#This Row],[Competition_year]])</f>
        <v>Luke BOYES_AUS_2025</v>
      </c>
      <c r="B1201" t="s">
        <v>1423</v>
      </c>
      <c r="C1201" t="s">
        <v>14</v>
      </c>
      <c r="D1201" s="18" t="s">
        <v>36</v>
      </c>
      <c r="E1201">
        <v>12.55</v>
      </c>
      <c r="F1201">
        <v>11.99</v>
      </c>
      <c r="G1201">
        <v>13.92</v>
      </c>
      <c r="H1201">
        <v>13.61</v>
      </c>
      <c r="I1201">
        <v>13.57</v>
      </c>
      <c r="J1201">
        <v>13.32</v>
      </c>
      <c r="K1201">
        <v>13.31</v>
      </c>
      <c r="L1201">
        <f>Tableau1[[#This Row],[Final_time]]-SUM(Tableau1[[#This Row],[0_100m]:[600_700m]])</f>
        <v>13.269999999999996</v>
      </c>
      <c r="M1201">
        <v>105.54</v>
      </c>
      <c r="N1201">
        <f>SUM(Tableau1[[#This Row],[0_100m]:[700_800m]])</f>
        <v>105.54</v>
      </c>
      <c r="O1201">
        <f>ABS(Tableau1[[#This Row],[Final_time]]-Tableau1[[#This Row],[Sum_time]])</f>
        <v>0</v>
      </c>
      <c r="P1201" s="8"/>
      <c r="Q1201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201" t="s">
        <v>1407</v>
      </c>
      <c r="S1201" s="1" t="s">
        <v>114</v>
      </c>
      <c r="T1201" t="s">
        <v>154</v>
      </c>
      <c r="U1201" s="1" t="s">
        <v>69</v>
      </c>
      <c r="V1201" s="1">
        <v>45916</v>
      </c>
      <c r="W1201" s="4">
        <f>YEAR(Tableau1[[#This Row],[Competition_date]])</f>
        <v>2025</v>
      </c>
      <c r="X1201" s="4">
        <v>28</v>
      </c>
      <c r="Y1201" s="6">
        <v>0.73</v>
      </c>
      <c r="Z1201" s="4"/>
    </row>
    <row r="1202" spans="1:26" hidden="1" x14ac:dyDescent="0.35">
      <c r="A1202" t="str">
        <f>_xlfn.CONCAT(Tableau1[[#This Row],[Athletes]],"_",Tableau1[[#This Row],[Nationality]],"_",Tableau1[[#This Row],[Competition_year]])</f>
        <v>Patryk SIERADZKI_POL_2025</v>
      </c>
      <c r="B1202" t="s">
        <v>243</v>
      </c>
      <c r="C1202" t="s">
        <v>14</v>
      </c>
      <c r="D1202" s="18" t="s">
        <v>88</v>
      </c>
      <c r="E1202">
        <v>12.95</v>
      </c>
      <c r="F1202">
        <v>11.63</v>
      </c>
      <c r="G1202">
        <v>13.58</v>
      </c>
      <c r="H1202">
        <v>13.72</v>
      </c>
      <c r="I1202">
        <v>13.65</v>
      </c>
      <c r="J1202">
        <v>13.34</v>
      </c>
      <c r="K1202">
        <v>13.39</v>
      </c>
      <c r="L1202">
        <f>Tableau1[[#This Row],[Final_time]]-SUM(Tableau1[[#This Row],[0_100m]:[600_700m]])</f>
        <v>13.64</v>
      </c>
      <c r="M1202">
        <v>105.9</v>
      </c>
      <c r="N1202">
        <f>SUM(Tableau1[[#This Row],[0_100m]:[700_800m]])</f>
        <v>105.9</v>
      </c>
      <c r="O1202">
        <f>ABS(Tableau1[[#This Row],[Final_time]]-Tableau1[[#This Row],[Sum_time]])</f>
        <v>0</v>
      </c>
      <c r="P1202" s="8"/>
      <c r="Q1202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202" t="s">
        <v>1407</v>
      </c>
      <c r="S1202" s="1" t="s">
        <v>114</v>
      </c>
      <c r="T1202" t="s">
        <v>154</v>
      </c>
      <c r="U1202" s="1" t="s">
        <v>69</v>
      </c>
      <c r="V1202" s="1">
        <v>45916</v>
      </c>
      <c r="W1202" s="4">
        <f>YEAR(Tableau1[[#This Row],[Competition_date]])</f>
        <v>2025</v>
      </c>
      <c r="X1202" s="4">
        <v>28</v>
      </c>
      <c r="Y1202" s="6">
        <v>0.73</v>
      </c>
      <c r="Z1202" s="4"/>
    </row>
    <row r="1203" spans="1:26" hidden="1" x14ac:dyDescent="0.35">
      <c r="A1203" t="str">
        <f>_xlfn.CONCAT(Tableau1[[#This Row],[Athletes]],"_",Tableau1[[#This Row],[Nationality]],"_",Tableau1[[#This Row],[Competition_year]])</f>
        <v>Yohannes TEFERA_ETH_2025</v>
      </c>
      <c r="B1203" t="s">
        <v>1424</v>
      </c>
      <c r="C1203" t="s">
        <v>14</v>
      </c>
      <c r="D1203" s="18" t="s">
        <v>49</v>
      </c>
      <c r="E1203">
        <v>12.82</v>
      </c>
      <c r="F1203">
        <v>11.94</v>
      </c>
      <c r="G1203">
        <v>13.92</v>
      </c>
      <c r="H1203">
        <v>13.65</v>
      </c>
      <c r="I1203">
        <v>13.68</v>
      </c>
      <c r="J1203">
        <v>13.4</v>
      </c>
      <c r="K1203">
        <v>15.26</v>
      </c>
      <c r="L1203">
        <f>Tableau1[[#This Row],[Final_time]]-SUM(Tableau1[[#This Row],[0_100m]:[600_700m]])</f>
        <v>16.260000000000005</v>
      </c>
      <c r="M1203">
        <v>110.93</v>
      </c>
      <c r="N1203">
        <f>SUM(Tableau1[[#This Row],[0_100m]:[700_800m]])</f>
        <v>110.93</v>
      </c>
      <c r="O1203">
        <f>ABS(Tableau1[[#This Row],[Final_time]]-Tableau1[[#This Row],[Sum_time]])</f>
        <v>0</v>
      </c>
      <c r="P1203" s="8"/>
      <c r="Q1203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203" t="s">
        <v>1407</v>
      </c>
      <c r="S1203" s="1" t="s">
        <v>114</v>
      </c>
      <c r="T1203" t="s">
        <v>154</v>
      </c>
      <c r="U1203" s="1" t="s">
        <v>69</v>
      </c>
      <c r="V1203" s="1">
        <v>45916</v>
      </c>
      <c r="W1203" s="4">
        <f>YEAR(Tableau1[[#This Row],[Competition_date]])</f>
        <v>2025</v>
      </c>
      <c r="X1203" s="4">
        <v>28</v>
      </c>
      <c r="Y1203" s="6">
        <v>0.73</v>
      </c>
      <c r="Z1203" s="4"/>
    </row>
    <row r="1204" spans="1:26" hidden="1" x14ac:dyDescent="0.35">
      <c r="A1204" t="str">
        <f>_xlfn.CONCAT(Tableau1[[#This Row],[Athletes]],"_",Tableau1[[#This Row],[Nationality]],"_",Tableau1[[#This Row],[Competition_year]])</f>
        <v>Mohammed DWEDAR_PLE_2025</v>
      </c>
      <c r="B1204" t="s">
        <v>211</v>
      </c>
      <c r="C1204" t="s">
        <v>14</v>
      </c>
      <c r="D1204" s="18" t="s">
        <v>135</v>
      </c>
      <c r="E1204">
        <v>13.72</v>
      </c>
      <c r="F1204">
        <v>12.81</v>
      </c>
      <c r="G1204">
        <v>13.75</v>
      </c>
      <c r="H1204">
        <v>14.32</v>
      </c>
      <c r="I1204">
        <v>14.5</v>
      </c>
      <c r="J1204">
        <v>14.64</v>
      </c>
      <c r="K1204">
        <v>14.95</v>
      </c>
      <c r="L1204">
        <f>Tableau1[[#This Row],[Final_time]]-SUM(Tableau1[[#This Row],[0_100m]:[600_700m]])</f>
        <v>14.939999999999998</v>
      </c>
      <c r="M1204">
        <v>113.63</v>
      </c>
      <c r="N1204">
        <f>SUM(Tableau1[[#This Row],[0_100m]:[700_800m]])</f>
        <v>113.63</v>
      </c>
      <c r="O1204">
        <f>ABS(Tableau1[[#This Row],[Final_time]]-Tableau1[[#This Row],[Sum_time]])</f>
        <v>0</v>
      </c>
      <c r="P1204" s="8"/>
      <c r="Q1204" s="16" t="str">
        <f>_xlfn.CONCAT(Tableau1[[#This Row],[Competition]],"_",Tableau1[[#This Row],[Championship_step]],"_",Tableau1[[#This Row],[Competition_date]],"_",Tableau1[[#This Row],[Gender]])</f>
        <v>World Championship Tokyo 2025_Heat 6_45916_Male</v>
      </c>
      <c r="R1204" t="s">
        <v>1407</v>
      </c>
      <c r="S1204" s="1" t="s">
        <v>114</v>
      </c>
      <c r="T1204" t="s">
        <v>154</v>
      </c>
      <c r="U1204" s="1" t="s">
        <v>69</v>
      </c>
      <c r="V1204" s="1">
        <v>45916</v>
      </c>
      <c r="W1204" s="4">
        <f>YEAR(Tableau1[[#This Row],[Competition_date]])</f>
        <v>2025</v>
      </c>
      <c r="X1204" s="4">
        <v>28</v>
      </c>
      <c r="Y1204" s="6">
        <v>0.73</v>
      </c>
      <c r="Z1204" s="4"/>
    </row>
    <row r="1205" spans="1:26" hidden="1" x14ac:dyDescent="0.35">
      <c r="A1205" t="str">
        <f>_xlfn.CONCAT(Tableau1[[#This Row],[Athletes]],"_",Tableau1[[#This Row],[Nationality]],"_",Tableau1[[#This Row],[Competition_year]])</f>
        <v>Georgia HUNTER BELL_GBR_2025</v>
      </c>
      <c r="B1205" t="s">
        <v>1351</v>
      </c>
      <c r="C1205" t="s">
        <v>29</v>
      </c>
      <c r="D1205" s="18" t="s">
        <v>30</v>
      </c>
      <c r="E1205">
        <v>13.95</v>
      </c>
      <c r="F1205">
        <v>13.77</v>
      </c>
      <c r="G1205">
        <v>14.74</v>
      </c>
      <c r="H1205">
        <v>15.22</v>
      </c>
      <c r="I1205">
        <v>15.39</v>
      </c>
      <c r="J1205">
        <v>15.65</v>
      </c>
      <c r="K1205">
        <v>15.12</v>
      </c>
      <c r="L1205">
        <f>Tableau1[[#This Row],[Final_time]]-SUM(Tableau1[[#This Row],[0_100m]:[600_700m]])</f>
        <v>14.97999999999999</v>
      </c>
      <c r="M1205">
        <v>118.82</v>
      </c>
      <c r="N1205">
        <f>SUM(Tableau1[[#This Row],[0_100m]:[700_800m]])</f>
        <v>118.82</v>
      </c>
      <c r="O1205">
        <f>ABS(Tableau1[[#This Row],[Final_time]]-Tableau1[[#This Row],[Sum_time]])</f>
        <v>0</v>
      </c>
      <c r="P1205" s="8" t="s">
        <v>141</v>
      </c>
      <c r="Q1205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05" t="s">
        <v>1407</v>
      </c>
      <c r="S1205" s="1" t="s">
        <v>114</v>
      </c>
      <c r="T1205" t="s">
        <v>154</v>
      </c>
      <c r="U1205" s="1" t="s">
        <v>69</v>
      </c>
      <c r="V1205" s="1">
        <v>45918</v>
      </c>
      <c r="W1205" s="4">
        <f>YEAR(Tableau1[[#This Row],[Competition_date]])</f>
        <v>2025</v>
      </c>
      <c r="X1205" s="4">
        <v>25</v>
      </c>
      <c r="Y1205" s="6">
        <v>0.74</v>
      </c>
      <c r="Z1205" s="4"/>
    </row>
    <row r="1206" spans="1:26" hidden="1" x14ac:dyDescent="0.35">
      <c r="A1206" t="str">
        <f>_xlfn.CONCAT(Tableau1[[#This Row],[Athletes]],"_",Tableau1[[#This Row],[Nationality]],"_",Tableau1[[#This Row],[Competition_year]])</f>
        <v>Gabija GALVYDYTĖ_LTU_2025</v>
      </c>
      <c r="B1206" t="s">
        <v>1443</v>
      </c>
      <c r="C1206" t="s">
        <v>29</v>
      </c>
      <c r="D1206" s="18" t="s">
        <v>1444</v>
      </c>
      <c r="E1206">
        <v>14.44</v>
      </c>
      <c r="F1206">
        <v>13.85</v>
      </c>
      <c r="G1206">
        <v>14.83</v>
      </c>
      <c r="H1206">
        <v>14.99</v>
      </c>
      <c r="I1206">
        <v>15.41</v>
      </c>
      <c r="J1206">
        <v>15.4</v>
      </c>
      <c r="K1206">
        <v>15.4</v>
      </c>
      <c r="L1206">
        <f>Tableau1[[#This Row],[Final_time]]-SUM(Tableau1[[#This Row],[0_100m]:[600_700m]])</f>
        <v>14.539999999999992</v>
      </c>
      <c r="M1206">
        <v>118.86</v>
      </c>
      <c r="N1206">
        <f>SUM(Tableau1[[#This Row],[0_100m]:[700_800m]])</f>
        <v>118.86</v>
      </c>
      <c r="O1206">
        <f>ABS(Tableau1[[#This Row],[Final_time]]-Tableau1[[#This Row],[Sum_time]])</f>
        <v>0</v>
      </c>
      <c r="P1206" s="8" t="s">
        <v>141</v>
      </c>
      <c r="Q1206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06" t="s">
        <v>1407</v>
      </c>
      <c r="S1206" s="1" t="s">
        <v>114</v>
      </c>
      <c r="T1206" t="s">
        <v>154</v>
      </c>
      <c r="U1206" s="1" t="s">
        <v>69</v>
      </c>
      <c r="V1206" s="1">
        <v>45918</v>
      </c>
      <c r="W1206" s="4">
        <f>YEAR(Tableau1[[#This Row],[Competition_date]])</f>
        <v>2025</v>
      </c>
      <c r="X1206" s="4">
        <v>25</v>
      </c>
      <c r="Y1206" s="6">
        <v>0.74</v>
      </c>
      <c r="Z1206" s="4"/>
    </row>
    <row r="1207" spans="1:26" hidden="1" x14ac:dyDescent="0.35">
      <c r="A1207" t="str">
        <f>_xlfn.CONCAT(Tableau1[[#This Row],[Athletes]],"_",Tableau1[[#This Row],[Nationality]],"_",Tableau1[[#This Row],[Competition_year]])</f>
        <v>Claudia HOLLINGSWORTH_AUS_2025</v>
      </c>
      <c r="B1207" t="s">
        <v>275</v>
      </c>
      <c r="C1207" t="s">
        <v>29</v>
      </c>
      <c r="D1207" s="18" t="s">
        <v>36</v>
      </c>
      <c r="E1207">
        <v>13.56</v>
      </c>
      <c r="F1207">
        <v>13.93</v>
      </c>
      <c r="G1207">
        <v>14.85</v>
      </c>
      <c r="H1207">
        <v>15.22</v>
      </c>
      <c r="I1207">
        <v>15.43</v>
      </c>
      <c r="J1207">
        <v>15.74</v>
      </c>
      <c r="K1207">
        <v>15.36</v>
      </c>
      <c r="L1207">
        <f>Tableau1[[#This Row],[Final_time]]-SUM(Tableau1[[#This Row],[0_100m]:[600_700m]])</f>
        <v>14.969999999999999</v>
      </c>
      <c r="M1207">
        <v>119.06</v>
      </c>
      <c r="N1207">
        <f>SUM(Tableau1[[#This Row],[0_100m]:[700_800m]])</f>
        <v>119.06</v>
      </c>
      <c r="O1207">
        <f>ABS(Tableau1[[#This Row],[Final_time]]-Tableau1[[#This Row],[Sum_time]])</f>
        <v>0</v>
      </c>
      <c r="P1207" s="8" t="s">
        <v>141</v>
      </c>
      <c r="Q1207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07" t="s">
        <v>1407</v>
      </c>
      <c r="S1207" s="1" t="s">
        <v>114</v>
      </c>
      <c r="T1207" t="s">
        <v>154</v>
      </c>
      <c r="U1207" s="1" t="s">
        <v>69</v>
      </c>
      <c r="V1207" s="1">
        <v>45918</v>
      </c>
      <c r="W1207" s="4">
        <f>YEAR(Tableau1[[#This Row],[Competition_date]])</f>
        <v>2025</v>
      </c>
      <c r="X1207" s="4">
        <v>25</v>
      </c>
      <c r="Y1207" s="6">
        <v>0.74</v>
      </c>
      <c r="Z1207" s="4"/>
    </row>
    <row r="1208" spans="1:26" hidden="1" x14ac:dyDescent="0.35">
      <c r="A1208" t="str">
        <f>_xlfn.CONCAT(Tableau1[[#This Row],[Athletes]],"_",Tableau1[[#This Row],[Nationality]],"_",Tableau1[[#This Row],[Competition_year]])</f>
        <v>Rénelle LAMOTE_FRA_2025</v>
      </c>
      <c r="B1208" t="s">
        <v>225</v>
      </c>
      <c r="C1208" t="s">
        <v>29</v>
      </c>
      <c r="D1208" s="18" t="s">
        <v>17</v>
      </c>
      <c r="E1208">
        <v>13.89</v>
      </c>
      <c r="F1208">
        <v>13.83</v>
      </c>
      <c r="G1208">
        <v>14.91</v>
      </c>
      <c r="H1208">
        <v>15.1</v>
      </c>
      <c r="I1208">
        <v>15.49</v>
      </c>
      <c r="J1208">
        <v>15.75</v>
      </c>
      <c r="K1208">
        <v>15.45</v>
      </c>
      <c r="L1208">
        <f>Tableau1[[#This Row],[Final_time]]-SUM(Tableau1[[#This Row],[0_100m]:[600_700m]])</f>
        <v>14.899999999999991</v>
      </c>
      <c r="M1208">
        <v>119.32</v>
      </c>
      <c r="N1208">
        <f>SUM(Tableau1[[#This Row],[0_100m]:[700_800m]])</f>
        <v>119.32</v>
      </c>
      <c r="O1208">
        <f>ABS(Tableau1[[#This Row],[Final_time]]-Tableau1[[#This Row],[Sum_time]])</f>
        <v>0</v>
      </c>
      <c r="P1208" s="8" t="s">
        <v>142</v>
      </c>
      <c r="Q1208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08" t="s">
        <v>1407</v>
      </c>
      <c r="S1208" s="1" t="s">
        <v>114</v>
      </c>
      <c r="T1208" t="s">
        <v>154</v>
      </c>
      <c r="U1208" s="1" t="s">
        <v>69</v>
      </c>
      <c r="V1208" s="1">
        <v>45918</v>
      </c>
      <c r="W1208" s="4">
        <f>YEAR(Tableau1[[#This Row],[Competition_date]])</f>
        <v>2025</v>
      </c>
      <c r="X1208" s="4">
        <v>25</v>
      </c>
      <c r="Y1208" s="6">
        <v>0.74</v>
      </c>
      <c r="Z1208" s="4"/>
    </row>
    <row r="1209" spans="1:26" hidden="1" x14ac:dyDescent="0.35">
      <c r="A1209" t="str">
        <f>_xlfn.CONCAT(Tableau1[[#This Row],[Athletes]],"_",Tableau1[[#This Row],[Nationality]],"_",Tableau1[[#This Row],[Competition_year]])</f>
        <v>Margarita KOCZANOWA_POL_2025</v>
      </c>
      <c r="B1209" t="s">
        <v>1026</v>
      </c>
      <c r="C1209" t="s">
        <v>29</v>
      </c>
      <c r="D1209" s="18" t="s">
        <v>88</v>
      </c>
      <c r="E1209">
        <v>14.11</v>
      </c>
      <c r="F1209">
        <v>14.28</v>
      </c>
      <c r="G1209">
        <v>14.95</v>
      </c>
      <c r="H1209">
        <v>14.81</v>
      </c>
      <c r="I1209">
        <v>15.5</v>
      </c>
      <c r="J1209">
        <v>15.42</v>
      </c>
      <c r="K1209">
        <v>15.52</v>
      </c>
      <c r="L1209">
        <f>Tableau1[[#This Row],[Final_time]]-SUM(Tableau1[[#This Row],[0_100m]:[600_700m]])</f>
        <v>14.780000000000001</v>
      </c>
      <c r="M1209">
        <v>119.37</v>
      </c>
      <c r="N1209">
        <f>SUM(Tableau1[[#This Row],[0_100m]:[700_800m]])</f>
        <v>119.37</v>
      </c>
      <c r="O1209">
        <f>ABS(Tableau1[[#This Row],[Final_time]]-Tableau1[[#This Row],[Sum_time]])</f>
        <v>0</v>
      </c>
      <c r="P1209" s="8"/>
      <c r="Q1209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09" t="s">
        <v>1407</v>
      </c>
      <c r="S1209" s="1" t="s">
        <v>114</v>
      </c>
      <c r="T1209" t="s">
        <v>154</v>
      </c>
      <c r="U1209" s="1" t="s">
        <v>69</v>
      </c>
      <c r="V1209" s="1">
        <v>45918</v>
      </c>
      <c r="W1209" s="4">
        <f>YEAR(Tableau1[[#This Row],[Competition_date]])</f>
        <v>2025</v>
      </c>
      <c r="X1209" s="4">
        <v>25</v>
      </c>
      <c r="Y1209" s="6">
        <v>0.74</v>
      </c>
      <c r="Z1209" s="4"/>
    </row>
    <row r="1210" spans="1:26" hidden="1" x14ac:dyDescent="0.35">
      <c r="A1210" t="str">
        <f>_xlfn.CONCAT(Tableau1[[#This Row],[Athletes]],"_",Tableau1[[#This Row],[Nationality]],"_",Tableau1[[#This Row],[Competition_year]])</f>
        <v>Lore HOFFMANN_SUI_2025</v>
      </c>
      <c r="B1210" t="s">
        <v>224</v>
      </c>
      <c r="C1210" t="s">
        <v>29</v>
      </c>
      <c r="D1210" s="18" t="s">
        <v>73</v>
      </c>
      <c r="E1210">
        <v>14.27</v>
      </c>
      <c r="F1210">
        <v>14.27</v>
      </c>
      <c r="G1210">
        <v>14.86</v>
      </c>
      <c r="H1210">
        <v>14.95</v>
      </c>
      <c r="I1210">
        <v>15.49</v>
      </c>
      <c r="J1210">
        <v>14.89</v>
      </c>
      <c r="K1210">
        <v>15.43</v>
      </c>
      <c r="L1210">
        <f>Tableau1[[#This Row],[Final_time]]-SUM(Tableau1[[#This Row],[0_100m]:[600_700m]])</f>
        <v>15.600000000000009</v>
      </c>
      <c r="M1210">
        <v>119.76</v>
      </c>
      <c r="N1210">
        <f>SUM(Tableau1[[#This Row],[0_100m]:[700_800m]])</f>
        <v>119.76</v>
      </c>
      <c r="O1210">
        <f>ABS(Tableau1[[#This Row],[Final_time]]-Tableau1[[#This Row],[Sum_time]])</f>
        <v>0</v>
      </c>
      <c r="P1210" s="8"/>
      <c r="Q1210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10" t="s">
        <v>1407</v>
      </c>
      <c r="S1210" s="1" t="s">
        <v>114</v>
      </c>
      <c r="T1210" t="s">
        <v>154</v>
      </c>
      <c r="U1210" s="1" t="s">
        <v>69</v>
      </c>
      <c r="V1210" s="1">
        <v>45918</v>
      </c>
      <c r="W1210" s="4">
        <f>YEAR(Tableau1[[#This Row],[Competition_date]])</f>
        <v>2025</v>
      </c>
      <c r="X1210" s="4">
        <v>25</v>
      </c>
      <c r="Y1210" s="6">
        <v>0.74</v>
      </c>
      <c r="Z1210" s="4"/>
    </row>
    <row r="1211" spans="1:26" hidden="1" x14ac:dyDescent="0.35">
      <c r="A1211" t="str">
        <f>_xlfn.CONCAT(Tableau1[[#This Row],[Athletes]],"_",Tableau1[[#This Row],[Nationality]],"_",Tableau1[[#This Row],[Competition_year]])</f>
        <v>POOJA_IND_2025</v>
      </c>
      <c r="B1211" t="s">
        <v>1445</v>
      </c>
      <c r="C1211" t="s">
        <v>29</v>
      </c>
      <c r="D1211" s="18" t="s">
        <v>547</v>
      </c>
      <c r="E1211">
        <v>14.27</v>
      </c>
      <c r="F1211">
        <v>13.83</v>
      </c>
      <c r="G1211">
        <v>14.74</v>
      </c>
      <c r="H1211">
        <v>15.13</v>
      </c>
      <c r="I1211">
        <v>15.36</v>
      </c>
      <c r="J1211">
        <v>15.88</v>
      </c>
      <c r="K1211">
        <v>15.83</v>
      </c>
      <c r="L1211">
        <f>Tableau1[[#This Row],[Final_time]]-SUM(Tableau1[[#This Row],[0_100m]:[600_700m]])</f>
        <v>15.989999999999995</v>
      </c>
      <c r="M1211">
        <v>121.03</v>
      </c>
      <c r="N1211">
        <f>SUM(Tableau1[[#This Row],[0_100m]:[700_800m]])</f>
        <v>121.03</v>
      </c>
      <c r="O1211">
        <f>ABS(Tableau1[[#This Row],[Final_time]]-Tableau1[[#This Row],[Sum_time]])</f>
        <v>0</v>
      </c>
      <c r="P1211" s="8"/>
      <c r="Q1211" s="16" t="str">
        <f>_xlfn.CONCAT(Tableau1[[#This Row],[Competition]],"_",Tableau1[[#This Row],[Championship_step]],"_",Tableau1[[#This Row],[Competition_date]],"_",Tableau1[[#This Row],[Gender]])</f>
        <v>World Championship Tokyo 2025_Heat 6_45918_Female</v>
      </c>
      <c r="R1211" t="s">
        <v>1407</v>
      </c>
      <c r="S1211" s="1" t="s">
        <v>114</v>
      </c>
      <c r="T1211" t="s">
        <v>154</v>
      </c>
      <c r="U1211" s="1" t="s">
        <v>69</v>
      </c>
      <c r="V1211" s="1">
        <v>45918</v>
      </c>
      <c r="W1211" s="4">
        <f>YEAR(Tableau1[[#This Row],[Competition_date]])</f>
        <v>2025</v>
      </c>
      <c r="X1211" s="4">
        <v>25</v>
      </c>
      <c r="Y1211" s="6">
        <v>0.74</v>
      </c>
      <c r="Z1211" s="4"/>
    </row>
    <row r="1212" spans="1:26" hidden="1" x14ac:dyDescent="0.35">
      <c r="A1212" t="str">
        <f>_xlfn.CONCAT(Tableau1[[#This Row],[Athletes]],"_",Tableau1[[#This Row],[Nationality]],"_",Tableau1[[#This Row],[Competition_year]])</f>
        <v>Donavan BRAZIER_USA_2025</v>
      </c>
      <c r="B1212" t="s">
        <v>242</v>
      </c>
      <c r="C1212" t="s">
        <v>14</v>
      </c>
      <c r="D1212" s="18" t="s">
        <v>35</v>
      </c>
      <c r="E1212">
        <v>12.69</v>
      </c>
      <c r="F1212">
        <v>12.43</v>
      </c>
      <c r="G1212">
        <v>13.64</v>
      </c>
      <c r="H1212">
        <v>13.74</v>
      </c>
      <c r="I1212">
        <v>13.76</v>
      </c>
      <c r="J1212">
        <v>12.59</v>
      </c>
      <c r="K1212">
        <v>13.05</v>
      </c>
      <c r="L1212">
        <f>Tableau1[[#This Row],[Final_time]]-SUM(Tableau1[[#This Row],[0_100m]:[600_700m]])</f>
        <v>12.759999999999991</v>
      </c>
      <c r="M1212">
        <v>104.66</v>
      </c>
      <c r="N1212">
        <f>SUM(Tableau1[[#This Row],[0_100m]:[700_800m]])</f>
        <v>104.66</v>
      </c>
      <c r="O1212">
        <f>ABS(Tableau1[[#This Row],[Final_time]]-Tableau1[[#This Row],[Sum_time]])</f>
        <v>0</v>
      </c>
      <c r="P1212" s="8" t="s">
        <v>141</v>
      </c>
      <c r="Q1212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2" t="s">
        <v>1407</v>
      </c>
      <c r="S1212" s="1" t="s">
        <v>114</v>
      </c>
      <c r="T1212" t="s">
        <v>153</v>
      </c>
      <c r="U1212" s="1" t="s">
        <v>69</v>
      </c>
      <c r="V1212" s="1">
        <v>45916</v>
      </c>
      <c r="W1212" s="4">
        <f>YEAR(Tableau1[[#This Row],[Competition_date]])</f>
        <v>2025</v>
      </c>
      <c r="X1212" s="4">
        <v>28</v>
      </c>
      <c r="Y1212" s="6">
        <v>0.73</v>
      </c>
      <c r="Z1212" s="4"/>
    </row>
    <row r="1213" spans="1:26" hidden="1" x14ac:dyDescent="0.35">
      <c r="A1213" t="str">
        <f>_xlfn.CONCAT(Tableau1[[#This Row],[Athletes]],"_",Tableau1[[#This Row],[Nationality]],"_",Tableau1[[#This Row],[Competition_year]])</f>
        <v>Slimane MOULA_ALG_2025</v>
      </c>
      <c r="B1213" t="s">
        <v>103</v>
      </c>
      <c r="C1213" t="s">
        <v>14</v>
      </c>
      <c r="D1213" s="18" t="s">
        <v>24</v>
      </c>
      <c r="E1213">
        <v>12.91</v>
      </c>
      <c r="F1213">
        <v>12.41</v>
      </c>
      <c r="G1213">
        <v>13.89</v>
      </c>
      <c r="H1213">
        <v>13.76</v>
      </c>
      <c r="I1213">
        <v>13.79</v>
      </c>
      <c r="J1213">
        <v>12.65</v>
      </c>
      <c r="K1213">
        <v>12.77</v>
      </c>
      <c r="L1213">
        <f>Tableau1[[#This Row],[Final_time]]-SUM(Tableau1[[#This Row],[0_100m]:[600_700m]])</f>
        <v>12.590000000000003</v>
      </c>
      <c r="M1213">
        <v>104.77</v>
      </c>
      <c r="N1213">
        <f>SUM(Tableau1[[#This Row],[0_100m]:[700_800m]])</f>
        <v>104.77</v>
      </c>
      <c r="O1213">
        <f>ABS(Tableau1[[#This Row],[Final_time]]-Tableau1[[#This Row],[Sum_time]])</f>
        <v>0</v>
      </c>
      <c r="P1213" s="8" t="s">
        <v>141</v>
      </c>
      <c r="Q1213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3" t="s">
        <v>1407</v>
      </c>
      <c r="S1213" s="1" t="s">
        <v>114</v>
      </c>
      <c r="T1213" t="s">
        <v>153</v>
      </c>
      <c r="U1213" s="1" t="s">
        <v>69</v>
      </c>
      <c r="V1213" s="1">
        <v>45916</v>
      </c>
      <c r="W1213" s="4">
        <f>YEAR(Tableau1[[#This Row],[Competition_date]])</f>
        <v>2025</v>
      </c>
      <c r="X1213" s="4">
        <v>28</v>
      </c>
      <c r="Y1213" s="6">
        <v>0.73</v>
      </c>
      <c r="Z1213" s="4"/>
    </row>
    <row r="1214" spans="1:26" hidden="1" x14ac:dyDescent="0.35">
      <c r="A1214" t="str">
        <f>_xlfn.CONCAT(Tableau1[[#This Row],[Athletes]],"_",Tableau1[[#This Row],[Nationality]],"_",Tableau1[[#This Row],[Competition_year]])</f>
        <v>Marino BLOUDEK_CRO_2025</v>
      </c>
      <c r="B1214" t="s">
        <v>200</v>
      </c>
      <c r="C1214" t="s">
        <v>14</v>
      </c>
      <c r="D1214" s="18" t="s">
        <v>122</v>
      </c>
      <c r="E1214">
        <v>12.81</v>
      </c>
      <c r="F1214">
        <v>12.1</v>
      </c>
      <c r="G1214">
        <v>13.72</v>
      </c>
      <c r="H1214">
        <v>13.69</v>
      </c>
      <c r="I1214">
        <v>13.69</v>
      </c>
      <c r="J1214">
        <v>12.81</v>
      </c>
      <c r="K1214">
        <v>13.08</v>
      </c>
      <c r="L1214">
        <f>Tableau1[[#This Row],[Final_time]]-SUM(Tableau1[[#This Row],[0_100m]:[600_700m]])</f>
        <v>12.879999999999995</v>
      </c>
      <c r="M1214">
        <v>104.78</v>
      </c>
      <c r="N1214">
        <f>SUM(Tableau1[[#This Row],[0_100m]:[700_800m]])</f>
        <v>104.78</v>
      </c>
      <c r="O1214">
        <f>ABS(Tableau1[[#This Row],[Final_time]]-Tableau1[[#This Row],[Sum_time]])</f>
        <v>0</v>
      </c>
      <c r="P1214" s="8" t="s">
        <v>141</v>
      </c>
      <c r="Q1214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4" t="s">
        <v>1407</v>
      </c>
      <c r="S1214" s="1" t="s">
        <v>114</v>
      </c>
      <c r="T1214" t="s">
        <v>153</v>
      </c>
      <c r="U1214" s="1" t="s">
        <v>69</v>
      </c>
      <c r="V1214" s="1">
        <v>45916</v>
      </c>
      <c r="W1214" s="4">
        <f>YEAR(Tableau1[[#This Row],[Competition_date]])</f>
        <v>2025</v>
      </c>
      <c r="X1214" s="4">
        <v>28</v>
      </c>
      <c r="Y1214" s="6">
        <v>0.73</v>
      </c>
      <c r="Z1214" s="4"/>
    </row>
    <row r="1215" spans="1:26" hidden="1" x14ac:dyDescent="0.35">
      <c r="A1215" t="str">
        <f>_xlfn.CONCAT(Tableau1[[#This Row],[Athletes]],"_",Tableau1[[#This Row],[Nationality]],"_",Tableau1[[#This Row],[Competition_year]])</f>
        <v>Nicholas Kiplangat KEBENEI_KEN_2025</v>
      </c>
      <c r="B1215" t="s">
        <v>1398</v>
      </c>
      <c r="C1215" t="s">
        <v>14</v>
      </c>
      <c r="D1215" s="18" t="s">
        <v>15</v>
      </c>
      <c r="E1215">
        <v>12.65</v>
      </c>
      <c r="F1215">
        <v>12.14</v>
      </c>
      <c r="G1215">
        <v>13.7</v>
      </c>
      <c r="H1215">
        <v>13.61</v>
      </c>
      <c r="I1215">
        <v>13.67</v>
      </c>
      <c r="J1215">
        <v>12.92</v>
      </c>
      <c r="K1215">
        <v>13</v>
      </c>
      <c r="L1215">
        <f>Tableau1[[#This Row],[Final_time]]-SUM(Tableau1[[#This Row],[0_100m]:[600_700m]])</f>
        <v>13.219999999999999</v>
      </c>
      <c r="M1215">
        <v>104.91</v>
      </c>
      <c r="N1215">
        <f>SUM(Tableau1[[#This Row],[0_100m]:[700_800m]])</f>
        <v>104.91</v>
      </c>
      <c r="O1215">
        <f>ABS(Tableau1[[#This Row],[Final_time]]-Tableau1[[#This Row],[Sum_time]])</f>
        <v>0</v>
      </c>
      <c r="P1215" s="8" t="s">
        <v>142</v>
      </c>
      <c r="Q1215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5" t="s">
        <v>1407</v>
      </c>
      <c r="S1215" s="1" t="s">
        <v>114</v>
      </c>
      <c r="T1215" t="s">
        <v>153</v>
      </c>
      <c r="U1215" s="1" t="s">
        <v>69</v>
      </c>
      <c r="V1215" s="1">
        <v>45916</v>
      </c>
      <c r="W1215" s="4">
        <f>YEAR(Tableau1[[#This Row],[Competition_date]])</f>
        <v>2025</v>
      </c>
      <c r="X1215" s="4">
        <v>28</v>
      </c>
      <c r="Y1215" s="6">
        <v>0.73</v>
      </c>
      <c r="Z1215" s="4"/>
    </row>
    <row r="1216" spans="1:26" hidden="1" x14ac:dyDescent="0.35">
      <c r="A1216" t="str">
        <f>_xlfn.CONCAT(Tableau1[[#This Row],[Athletes]],"_",Tableau1[[#This Row],[Nationality]],"_",Tableau1[[#This Row],[Competition_year]])</f>
        <v>Filip OSTROWSKI_POL_2025</v>
      </c>
      <c r="B1216" t="s">
        <v>181</v>
      </c>
      <c r="C1216" t="s">
        <v>14</v>
      </c>
      <c r="D1216" s="18" t="s">
        <v>88</v>
      </c>
      <c r="E1216">
        <v>12.84</v>
      </c>
      <c r="F1216">
        <v>12.49</v>
      </c>
      <c r="G1216">
        <v>13.84</v>
      </c>
      <c r="H1216">
        <v>13.59</v>
      </c>
      <c r="I1216">
        <v>14.04</v>
      </c>
      <c r="J1216">
        <v>12.79</v>
      </c>
      <c r="K1216">
        <v>12.73</v>
      </c>
      <c r="L1216">
        <f>Tableau1[[#This Row],[Final_time]]-SUM(Tableau1[[#This Row],[0_100m]:[600_700m]])</f>
        <v>13.149999999999991</v>
      </c>
      <c r="M1216">
        <v>105.47</v>
      </c>
      <c r="N1216">
        <f>SUM(Tableau1[[#This Row],[0_100m]:[700_800m]])</f>
        <v>105.47</v>
      </c>
      <c r="O1216">
        <f>ABS(Tableau1[[#This Row],[Final_time]]-Tableau1[[#This Row],[Sum_time]])</f>
        <v>0</v>
      </c>
      <c r="P1216" s="8"/>
      <c r="Q1216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6" t="s">
        <v>1407</v>
      </c>
      <c r="S1216" s="1" t="s">
        <v>114</v>
      </c>
      <c r="T1216" t="s">
        <v>153</v>
      </c>
      <c r="U1216" s="1" t="s">
        <v>69</v>
      </c>
      <c r="V1216" s="1">
        <v>45916</v>
      </c>
      <c r="W1216" s="4">
        <f>YEAR(Tableau1[[#This Row],[Competition_date]])</f>
        <v>2025</v>
      </c>
      <c r="X1216" s="4">
        <v>28</v>
      </c>
      <c r="Y1216" s="6">
        <v>0.73</v>
      </c>
      <c r="Z1216" s="4"/>
    </row>
    <row r="1217" spans="1:26" hidden="1" x14ac:dyDescent="0.35">
      <c r="A1217" t="str">
        <f>_xlfn.CONCAT(Tableau1[[#This Row],[Athletes]],"_",Tableau1[[#This Row],[Nationality]],"_",Tableau1[[#This Row],[Competition_year]])</f>
        <v>Jakub DUDYCHA_CZE_2025</v>
      </c>
      <c r="B1217" t="s">
        <v>1425</v>
      </c>
      <c r="C1217" t="s">
        <v>14</v>
      </c>
      <c r="D1217" s="18" t="s">
        <v>303</v>
      </c>
      <c r="E1217">
        <v>12.73</v>
      </c>
      <c r="F1217">
        <v>12.79</v>
      </c>
      <c r="G1217">
        <v>13.91</v>
      </c>
      <c r="H1217">
        <v>13.56</v>
      </c>
      <c r="I1217">
        <v>14.01</v>
      </c>
      <c r="J1217">
        <v>12.64</v>
      </c>
      <c r="K1217">
        <v>12.92</v>
      </c>
      <c r="L1217">
        <f>Tableau1[[#This Row],[Final_time]]-SUM(Tableau1[[#This Row],[0_100m]:[600_700m]])</f>
        <v>13.200000000000003</v>
      </c>
      <c r="M1217">
        <v>105.76</v>
      </c>
      <c r="N1217">
        <f>SUM(Tableau1[[#This Row],[0_100m]:[700_800m]])</f>
        <v>105.76</v>
      </c>
      <c r="O1217">
        <f>ABS(Tableau1[[#This Row],[Final_time]]-Tableau1[[#This Row],[Sum_time]])</f>
        <v>0</v>
      </c>
      <c r="P1217" s="8"/>
      <c r="Q1217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7" t="s">
        <v>1407</v>
      </c>
      <c r="S1217" s="1" t="s">
        <v>114</v>
      </c>
      <c r="T1217" t="s">
        <v>153</v>
      </c>
      <c r="U1217" s="1" t="s">
        <v>69</v>
      </c>
      <c r="V1217" s="1">
        <v>45916</v>
      </c>
      <c r="W1217" s="4">
        <f>YEAR(Tableau1[[#This Row],[Competition_date]])</f>
        <v>2025</v>
      </c>
      <c r="X1217" s="4">
        <v>28</v>
      </c>
      <c r="Y1217" s="6">
        <v>0.73</v>
      </c>
      <c r="Z1217" s="4"/>
    </row>
    <row r="1218" spans="1:26" hidden="1" x14ac:dyDescent="0.35">
      <c r="A1218" t="str">
        <f>_xlfn.CONCAT(Tableau1[[#This Row],[Athletes]],"_",Tableau1[[#This Row],[Nationality]],"_",Tableau1[[#This Row],[Competition_year]])</f>
        <v>Abderrahman EL ASSAL_MAR_2025</v>
      </c>
      <c r="B1218" t="s">
        <v>1426</v>
      </c>
      <c r="C1218" t="s">
        <v>14</v>
      </c>
      <c r="D1218" s="18" t="s">
        <v>21</v>
      </c>
      <c r="E1218">
        <v>12.51</v>
      </c>
      <c r="F1218">
        <v>12.51</v>
      </c>
      <c r="G1218">
        <v>13.75</v>
      </c>
      <c r="H1218">
        <v>13.58</v>
      </c>
      <c r="I1218">
        <v>13.61</v>
      </c>
      <c r="J1218">
        <v>12.87</v>
      </c>
      <c r="K1218">
        <v>13.29</v>
      </c>
      <c r="L1218">
        <f>Tableau1[[#This Row],[Final_time]]-SUM(Tableau1[[#This Row],[0_100m]:[600_700m]])</f>
        <v>14</v>
      </c>
      <c r="M1218">
        <v>106.12</v>
      </c>
      <c r="N1218">
        <f>SUM(Tableau1[[#This Row],[0_100m]:[700_800m]])</f>
        <v>106.12</v>
      </c>
      <c r="O1218">
        <f>ABS(Tableau1[[#This Row],[Final_time]]-Tableau1[[#This Row],[Sum_time]])</f>
        <v>0</v>
      </c>
      <c r="P1218" s="8"/>
      <c r="Q1218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8" t="s">
        <v>1407</v>
      </c>
      <c r="S1218" s="1" t="s">
        <v>114</v>
      </c>
      <c r="T1218" t="s">
        <v>153</v>
      </c>
      <c r="U1218" s="1" t="s">
        <v>69</v>
      </c>
      <c r="V1218" s="1">
        <v>45916</v>
      </c>
      <c r="W1218" s="4">
        <f>YEAR(Tableau1[[#This Row],[Competition_date]])</f>
        <v>2025</v>
      </c>
      <c r="X1218" s="4">
        <v>28</v>
      </c>
      <c r="Y1218" s="6">
        <v>0.73</v>
      </c>
      <c r="Z1218" s="4"/>
    </row>
    <row r="1219" spans="1:26" hidden="1" x14ac:dyDescent="0.35">
      <c r="A1219" t="str">
        <f>_xlfn.CONCAT(Tableau1[[#This Row],[Athletes]],"_",Tableau1[[#This Row],[Nationality]],"_",Tableau1[[#This Row],[Competition_year]])</f>
        <v>Alex AMANKWA_GHA_2025</v>
      </c>
      <c r="B1219" t="s">
        <v>1427</v>
      </c>
      <c r="C1219" t="s">
        <v>14</v>
      </c>
      <c r="D1219" s="18" t="s">
        <v>1428</v>
      </c>
      <c r="E1219">
        <v>12.92</v>
      </c>
      <c r="F1219">
        <v>12.25</v>
      </c>
      <c r="G1219">
        <v>13.87</v>
      </c>
      <c r="H1219">
        <v>13.74</v>
      </c>
      <c r="I1219">
        <v>13.86</v>
      </c>
      <c r="J1219">
        <v>13.27</v>
      </c>
      <c r="K1219">
        <v>12.96</v>
      </c>
      <c r="L1219">
        <f>Tableau1[[#This Row],[Final_time]]-SUM(Tableau1[[#This Row],[0_100m]:[600_700m]])</f>
        <v>14.25</v>
      </c>
      <c r="M1219">
        <v>107.12</v>
      </c>
      <c r="N1219">
        <f>SUM(Tableau1[[#This Row],[0_100m]:[700_800m]])</f>
        <v>107.12</v>
      </c>
      <c r="O1219">
        <f>ABS(Tableau1[[#This Row],[Final_time]]-Tableau1[[#This Row],[Sum_time]])</f>
        <v>0</v>
      </c>
      <c r="P1219" s="8"/>
      <c r="Q1219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19" t="s">
        <v>1407</v>
      </c>
      <c r="S1219" s="1" t="s">
        <v>114</v>
      </c>
      <c r="T1219" t="s">
        <v>153</v>
      </c>
      <c r="U1219" s="1" t="s">
        <v>69</v>
      </c>
      <c r="V1219" s="1">
        <v>45916</v>
      </c>
      <c r="W1219" s="4">
        <f>YEAR(Tableau1[[#This Row],[Competition_date]])</f>
        <v>2025</v>
      </c>
      <c r="X1219" s="4">
        <v>28</v>
      </c>
      <c r="Y1219" s="6">
        <v>0.73</v>
      </c>
      <c r="Z1219" s="4"/>
    </row>
    <row r="1220" spans="1:26" hidden="1" x14ac:dyDescent="0.35">
      <c r="A1220" t="str">
        <f>_xlfn.CONCAT(Tableau1[[#This Row],[Athletes]],"_",Tableau1[[#This Row],[Nationality]],"_",Tableau1[[#This Row],[Competition_year]])</f>
        <v>Eduardo RIBEIRO_BRA_2025</v>
      </c>
      <c r="B1220" t="s">
        <v>209</v>
      </c>
      <c r="C1220" t="s">
        <v>14</v>
      </c>
      <c r="D1220" s="18" t="s">
        <v>134</v>
      </c>
      <c r="E1220">
        <v>12.58</v>
      </c>
      <c r="F1220">
        <v>12.7</v>
      </c>
      <c r="G1220">
        <v>13.78</v>
      </c>
      <c r="H1220">
        <v>13.6</v>
      </c>
      <c r="I1220">
        <v>13.83</v>
      </c>
      <c r="J1220">
        <v>13.98</v>
      </c>
      <c r="K1220">
        <v>14.56</v>
      </c>
      <c r="L1220">
        <f>Tableau1[[#This Row],[Final_time]]-SUM(Tableau1[[#This Row],[0_100m]:[600_700m]])</f>
        <v>15.36999999999999</v>
      </c>
      <c r="M1220">
        <v>110.4</v>
      </c>
      <c r="N1220">
        <f>SUM(Tableau1[[#This Row],[0_100m]:[700_800m]])</f>
        <v>110.4</v>
      </c>
      <c r="O1220">
        <f>ABS(Tableau1[[#This Row],[Final_time]]-Tableau1[[#This Row],[Sum_time]])</f>
        <v>0</v>
      </c>
      <c r="P1220" s="8"/>
      <c r="Q1220" s="16" t="str">
        <f>_xlfn.CONCAT(Tableau1[[#This Row],[Competition]],"_",Tableau1[[#This Row],[Championship_step]],"_",Tableau1[[#This Row],[Competition_date]],"_",Tableau1[[#This Row],[Gender]])</f>
        <v>World Championship Tokyo 2025_Heat 7_45916_Male</v>
      </c>
      <c r="R1220" t="s">
        <v>1407</v>
      </c>
      <c r="S1220" s="1" t="s">
        <v>114</v>
      </c>
      <c r="T1220" t="s">
        <v>153</v>
      </c>
      <c r="U1220" s="1" t="s">
        <v>69</v>
      </c>
      <c r="V1220" s="1">
        <v>45916</v>
      </c>
      <c r="W1220" s="4">
        <f>YEAR(Tableau1[[#This Row],[Competition_date]])</f>
        <v>2025</v>
      </c>
      <c r="X1220" s="4">
        <v>28</v>
      </c>
      <c r="Y1220" s="6">
        <v>0.73</v>
      </c>
      <c r="Z1220" s="4"/>
    </row>
    <row r="1221" spans="1:26" hidden="1" x14ac:dyDescent="0.35">
      <c r="A1221" t="str">
        <f>_xlfn.CONCAT(Tableau1[[#This Row],[Athletes]],"_",Tableau1[[#This Row],[Nationality]],"_",Tableau1[[#This Row],[Competition_year]])</f>
        <v>Natoya GOULE-TOPPIN_JAM_2025</v>
      </c>
      <c r="B1221" t="s">
        <v>222</v>
      </c>
      <c r="C1221" t="s">
        <v>29</v>
      </c>
      <c r="D1221" s="18" t="s">
        <v>33</v>
      </c>
      <c r="E1221">
        <v>13.9</v>
      </c>
      <c r="F1221">
        <v>14.28</v>
      </c>
      <c r="G1221">
        <v>15.83</v>
      </c>
      <c r="H1221">
        <v>15.67</v>
      </c>
      <c r="I1221">
        <v>15.08</v>
      </c>
      <c r="J1221">
        <v>15.1</v>
      </c>
      <c r="K1221">
        <v>14.99</v>
      </c>
      <c r="L1221">
        <f>Tableau1[[#This Row],[Final_time]]-SUM(Tableau1[[#This Row],[0_100m]:[600_700m]])</f>
        <v>14.810000000000002</v>
      </c>
      <c r="M1221">
        <v>119.66</v>
      </c>
      <c r="N1221">
        <f>SUM(Tableau1[[#This Row],[0_100m]:[700_800m]])</f>
        <v>119.66</v>
      </c>
      <c r="O1221">
        <f>ABS(Tableau1[[#This Row],[Final_time]]-Tableau1[[#This Row],[Sum_time]])</f>
        <v>0</v>
      </c>
      <c r="P1221" s="8" t="s">
        <v>141</v>
      </c>
      <c r="Q1221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1" t="s">
        <v>1407</v>
      </c>
      <c r="S1221" s="1" t="s">
        <v>114</v>
      </c>
      <c r="T1221" t="s">
        <v>153</v>
      </c>
      <c r="U1221" s="1" t="s">
        <v>69</v>
      </c>
      <c r="V1221" s="1">
        <v>45918</v>
      </c>
      <c r="W1221" s="4">
        <f>YEAR(Tableau1[[#This Row],[Competition_date]])</f>
        <v>2025</v>
      </c>
      <c r="X1221" s="4">
        <v>25</v>
      </c>
      <c r="Y1221" s="6">
        <v>0.74</v>
      </c>
      <c r="Z1221" s="4"/>
    </row>
    <row r="1222" spans="1:26" hidden="1" x14ac:dyDescent="0.35">
      <c r="A1222" t="str">
        <f>_xlfn.CONCAT(Tableau1[[#This Row],[Athletes]],"_",Tableau1[[#This Row],[Nationality]],"_",Tableau1[[#This Row],[Competition_year]])</f>
        <v>Oratile NOWE_BOT_2025</v>
      </c>
      <c r="B1222" t="s">
        <v>1352</v>
      </c>
      <c r="C1222" t="s">
        <v>29</v>
      </c>
      <c r="D1222" s="18" t="s">
        <v>44</v>
      </c>
      <c r="E1222">
        <v>13.95</v>
      </c>
      <c r="F1222">
        <v>14.1</v>
      </c>
      <c r="G1222">
        <v>16.170000000000002</v>
      </c>
      <c r="H1222">
        <v>15.67</v>
      </c>
      <c r="I1222">
        <v>15.09</v>
      </c>
      <c r="J1222">
        <v>15.04</v>
      </c>
      <c r="K1222">
        <v>15.01</v>
      </c>
      <c r="L1222">
        <f>Tableau1[[#This Row],[Final_time]]-SUM(Tableau1[[#This Row],[0_100m]:[600_700m]])</f>
        <v>15.059999999999988</v>
      </c>
      <c r="M1222">
        <v>120.09</v>
      </c>
      <c r="N1222">
        <f>SUM(Tableau1[[#This Row],[0_100m]:[700_800m]])</f>
        <v>120.09</v>
      </c>
      <c r="O1222">
        <f>ABS(Tableau1[[#This Row],[Final_time]]-Tableau1[[#This Row],[Sum_time]])</f>
        <v>0</v>
      </c>
      <c r="P1222" s="8" t="s">
        <v>141</v>
      </c>
      <c r="Q1222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2" t="s">
        <v>1407</v>
      </c>
      <c r="S1222" s="1" t="s">
        <v>114</v>
      </c>
      <c r="T1222" t="s">
        <v>153</v>
      </c>
      <c r="U1222" s="1" t="s">
        <v>69</v>
      </c>
      <c r="V1222" s="1">
        <v>45918</v>
      </c>
      <c r="W1222" s="4">
        <f>YEAR(Tableau1[[#This Row],[Competition_date]])</f>
        <v>2025</v>
      </c>
      <c r="X1222" s="4">
        <v>25</v>
      </c>
      <c r="Y1222" s="6">
        <v>0.74</v>
      </c>
      <c r="Z1222" s="4"/>
    </row>
    <row r="1223" spans="1:26" hidden="1" x14ac:dyDescent="0.35">
      <c r="A1223" t="str">
        <f>_xlfn.CONCAT(Tableau1[[#This Row],[Athletes]],"_",Tableau1[[#This Row],[Nationality]],"_",Tableau1[[#This Row],[Competition_year]])</f>
        <v>Maeliss TRAPEAU_CAN_2025</v>
      </c>
      <c r="B1223" t="s">
        <v>1446</v>
      </c>
      <c r="C1223" t="s">
        <v>29</v>
      </c>
      <c r="D1223" s="18" t="s">
        <v>19</v>
      </c>
      <c r="E1223">
        <v>14.13</v>
      </c>
      <c r="F1223">
        <v>14.05</v>
      </c>
      <c r="G1223">
        <v>16.170000000000002</v>
      </c>
      <c r="H1223">
        <v>15.73</v>
      </c>
      <c r="I1223">
        <v>15.09</v>
      </c>
      <c r="J1223">
        <v>14.98</v>
      </c>
      <c r="K1223">
        <v>15</v>
      </c>
      <c r="L1223">
        <f>Tableau1[[#This Row],[Final_time]]-SUM(Tableau1[[#This Row],[0_100m]:[600_700m]])</f>
        <v>15.22999999999999</v>
      </c>
      <c r="M1223">
        <v>120.38</v>
      </c>
      <c r="N1223">
        <f>SUM(Tableau1[[#This Row],[0_100m]:[700_800m]])</f>
        <v>120.38</v>
      </c>
      <c r="O1223">
        <f>ABS(Tableau1[[#This Row],[Final_time]]-Tableau1[[#This Row],[Sum_time]])</f>
        <v>0</v>
      </c>
      <c r="P1223" s="8" t="s">
        <v>141</v>
      </c>
      <c r="Q1223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3" t="s">
        <v>1407</v>
      </c>
      <c r="S1223" s="1" t="s">
        <v>114</v>
      </c>
      <c r="T1223" t="s">
        <v>153</v>
      </c>
      <c r="U1223" s="1" t="s">
        <v>69</v>
      </c>
      <c r="V1223" s="1">
        <v>45918</v>
      </c>
      <c r="W1223" s="4">
        <f>YEAR(Tableau1[[#This Row],[Competition_date]])</f>
        <v>2025</v>
      </c>
      <c r="X1223" s="4">
        <v>25</v>
      </c>
      <c r="Y1223" s="6">
        <v>0.74</v>
      </c>
      <c r="Z1223" s="4"/>
    </row>
    <row r="1224" spans="1:26" hidden="1" x14ac:dyDescent="0.35">
      <c r="A1224" t="str">
        <f>_xlfn.CONCAT(Tableau1[[#This Row],[Athletes]],"_",Tableau1[[#This Row],[Nationality]],"_",Tableau1[[#This Row],[Competition_year]])</f>
        <v>Majtie KOLBERG_GER_2025</v>
      </c>
      <c r="B1224" t="s">
        <v>277</v>
      </c>
      <c r="C1224" t="s">
        <v>29</v>
      </c>
      <c r="D1224" s="18" t="s">
        <v>139</v>
      </c>
      <c r="E1224">
        <v>14.1</v>
      </c>
      <c r="F1224">
        <v>13.93</v>
      </c>
      <c r="G1224">
        <v>16.21</v>
      </c>
      <c r="H1224">
        <v>15.67</v>
      </c>
      <c r="I1224">
        <v>15.03</v>
      </c>
      <c r="J1224">
        <v>15.05</v>
      </c>
      <c r="K1224">
        <v>15.05</v>
      </c>
      <c r="L1224">
        <f>Tableau1[[#This Row],[Final_time]]-SUM(Tableau1[[#This Row],[0_100m]:[600_700m]])</f>
        <v>15.600000000000009</v>
      </c>
      <c r="M1224">
        <v>120.64</v>
      </c>
      <c r="N1224">
        <f>SUM(Tableau1[[#This Row],[0_100m]:[700_800m]])</f>
        <v>120.64</v>
      </c>
      <c r="O1224">
        <f>ABS(Tableau1[[#This Row],[Final_time]]-Tableau1[[#This Row],[Sum_time]])</f>
        <v>0</v>
      </c>
      <c r="P1224" s="8"/>
      <c r="Q1224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4" t="s">
        <v>1407</v>
      </c>
      <c r="S1224" s="1" t="s">
        <v>114</v>
      </c>
      <c r="T1224" t="s">
        <v>153</v>
      </c>
      <c r="U1224" s="1" t="s">
        <v>69</v>
      </c>
      <c r="V1224" s="1">
        <v>45918</v>
      </c>
      <c r="W1224" s="4">
        <f>YEAR(Tableau1[[#This Row],[Competition_date]])</f>
        <v>2025</v>
      </c>
      <c r="X1224" s="4">
        <v>25</v>
      </c>
      <c r="Y1224" s="6">
        <v>0.74</v>
      </c>
      <c r="Z1224" s="4"/>
    </row>
    <row r="1225" spans="1:26" hidden="1" x14ac:dyDescent="0.35">
      <c r="A1225" t="str">
        <f>_xlfn.CONCAT(Tableau1[[#This Row],[Athletes]],"_",Tableau1[[#This Row],[Nationality]],"_",Tableau1[[#This Row],[Competition_year]])</f>
        <v>Vivian Chebet KIPROTICH_KEN_2025</v>
      </c>
      <c r="B1225" t="s">
        <v>1298</v>
      </c>
      <c r="C1225" t="s">
        <v>29</v>
      </c>
      <c r="D1225" s="18" t="s">
        <v>15</v>
      </c>
      <c r="E1225">
        <v>14.17</v>
      </c>
      <c r="F1225">
        <v>13.98</v>
      </c>
      <c r="G1225">
        <v>16.29</v>
      </c>
      <c r="H1225">
        <v>15.69</v>
      </c>
      <c r="I1225">
        <v>15.09</v>
      </c>
      <c r="J1225">
        <v>15.04</v>
      </c>
      <c r="K1225">
        <v>14.99</v>
      </c>
      <c r="L1225">
        <f>Tableau1[[#This Row],[Final_time]]-SUM(Tableau1[[#This Row],[0_100m]:[600_700m]])</f>
        <v>15.430000000000021</v>
      </c>
      <c r="M1225">
        <v>120.68</v>
      </c>
      <c r="N1225">
        <f>SUM(Tableau1[[#This Row],[0_100m]:[700_800m]])</f>
        <v>120.68</v>
      </c>
      <c r="O1225">
        <f>ABS(Tableau1[[#This Row],[Final_time]]-Tableau1[[#This Row],[Sum_time]])</f>
        <v>0</v>
      </c>
      <c r="P1225" s="8"/>
      <c r="Q1225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5" t="s">
        <v>1407</v>
      </c>
      <c r="S1225" s="1" t="s">
        <v>114</v>
      </c>
      <c r="T1225" t="s">
        <v>153</v>
      </c>
      <c r="U1225" s="1" t="s">
        <v>69</v>
      </c>
      <c r="V1225" s="1">
        <v>45918</v>
      </c>
      <c r="W1225" s="4">
        <f>YEAR(Tableau1[[#This Row],[Competition_date]])</f>
        <v>2025</v>
      </c>
      <c r="X1225" s="4">
        <v>25</v>
      </c>
      <c r="Y1225" s="6">
        <v>0.74</v>
      </c>
      <c r="Z1225" s="4"/>
    </row>
    <row r="1226" spans="1:26" hidden="1" x14ac:dyDescent="0.35">
      <c r="A1226" t="str">
        <f>_xlfn.CONCAT(Tableau1[[#This Row],[Athletes]],"_",Tableau1[[#This Row],[Nationality]],"_",Tableau1[[#This Row],[Competition_year]])</f>
        <v>Elena BELLÒ_ITA_2025</v>
      </c>
      <c r="B1226" t="s">
        <v>261</v>
      </c>
      <c r="C1226" t="s">
        <v>29</v>
      </c>
      <c r="D1226" s="18" t="s">
        <v>20</v>
      </c>
      <c r="E1226">
        <v>14.21</v>
      </c>
      <c r="F1226">
        <v>14.12</v>
      </c>
      <c r="G1226">
        <v>16.27</v>
      </c>
      <c r="H1226">
        <v>15.7</v>
      </c>
      <c r="I1226">
        <v>15.09</v>
      </c>
      <c r="J1226">
        <v>15.06</v>
      </c>
      <c r="K1226">
        <v>15.55</v>
      </c>
      <c r="L1226">
        <f>Tableau1[[#This Row],[Final_time]]-SUM(Tableau1[[#This Row],[0_100m]:[600_700m]])</f>
        <v>16.14</v>
      </c>
      <c r="M1226">
        <v>122.14</v>
      </c>
      <c r="N1226">
        <f>SUM(Tableau1[[#This Row],[0_100m]:[700_800m]])</f>
        <v>122.14</v>
      </c>
      <c r="O1226">
        <f>ABS(Tableau1[[#This Row],[Final_time]]-Tableau1[[#This Row],[Sum_time]])</f>
        <v>0</v>
      </c>
      <c r="P1226" s="8"/>
      <c r="Q1226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6" t="s">
        <v>1407</v>
      </c>
      <c r="S1226" s="1" t="s">
        <v>114</v>
      </c>
      <c r="T1226" t="s">
        <v>153</v>
      </c>
      <c r="U1226" s="1" t="s">
        <v>69</v>
      </c>
      <c r="V1226" s="1">
        <v>45918</v>
      </c>
      <c r="W1226" s="4">
        <f>YEAR(Tableau1[[#This Row],[Competition_date]])</f>
        <v>2025</v>
      </c>
      <c r="X1226" s="4">
        <v>25</v>
      </c>
      <c r="Y1226" s="6">
        <v>0.74</v>
      </c>
      <c r="Z1226" s="4"/>
    </row>
    <row r="1227" spans="1:26" hidden="1" x14ac:dyDescent="0.35">
      <c r="A1227" t="str">
        <f>_xlfn.CONCAT(Tableau1[[#This Row],[Athletes]],"_",Tableau1[[#This Row],[Nationality]],"_",Tableau1[[#This Row],[Competition_year]])</f>
        <v>Jessica HULL_AUS_2025</v>
      </c>
      <c r="B1227" t="s">
        <v>891</v>
      </c>
      <c r="C1227" t="s">
        <v>29</v>
      </c>
      <c r="D1227" s="18" t="s">
        <v>36</v>
      </c>
      <c r="E1227">
        <v>14.29</v>
      </c>
      <c r="F1227">
        <v>13.75</v>
      </c>
      <c r="G1227">
        <v>19</v>
      </c>
      <c r="H1227">
        <v>16.48</v>
      </c>
      <c r="I1227">
        <v>16.77</v>
      </c>
      <c r="J1227">
        <v>17.600000000000001</v>
      </c>
      <c r="K1227">
        <v>18.04</v>
      </c>
      <c r="L1227">
        <f>Tableau1[[#This Row],[Final_time]]-SUM(Tableau1[[#This Row],[0_100m]:[600_700m]])</f>
        <v>17.490000000000009</v>
      </c>
      <c r="M1227">
        <v>133.41999999999999</v>
      </c>
      <c r="N1227">
        <f>SUM(Tableau1[[#This Row],[0_100m]:[700_800m]])</f>
        <v>133.41999999999999</v>
      </c>
      <c r="O1227">
        <f>ABS(Tableau1[[#This Row],[Final_time]]-Tableau1[[#This Row],[Sum_time]])</f>
        <v>0</v>
      </c>
      <c r="P1227" s="8" t="s">
        <v>1448</v>
      </c>
      <c r="Q1227" s="16" t="str">
        <f>_xlfn.CONCAT(Tableau1[[#This Row],[Competition]],"_",Tableau1[[#This Row],[Championship_step]],"_",Tableau1[[#This Row],[Competition_date]],"_",Tableau1[[#This Row],[Gender]])</f>
        <v>World Championship Tokyo 2025_Heat 7_45918_Female</v>
      </c>
      <c r="R1227" t="s">
        <v>1407</v>
      </c>
      <c r="S1227" s="1" t="s">
        <v>114</v>
      </c>
      <c r="T1227" t="s">
        <v>153</v>
      </c>
      <c r="U1227" s="1" t="s">
        <v>69</v>
      </c>
      <c r="V1227" s="1">
        <v>45918</v>
      </c>
      <c r="W1227" s="4">
        <f>YEAR(Tableau1[[#This Row],[Competition_date]])</f>
        <v>2025</v>
      </c>
      <c r="X1227" s="4">
        <v>25</v>
      </c>
      <c r="Y1227" s="6">
        <v>0.74</v>
      </c>
      <c r="Z1227" s="4"/>
    </row>
    <row r="1228" spans="1:26" hidden="1" x14ac:dyDescent="0.35">
      <c r="A1228" t="str">
        <f>_xlfn.CONCAT(Tableau1[[#This Row],[Athletes]],"_",Tableau1[[#This Row],[Nationality]],"_",Tableau1[[#This Row],[Competition_year]])</f>
        <v>Marco AROP_CAN_2025</v>
      </c>
      <c r="B1228" t="s">
        <v>177</v>
      </c>
      <c r="C1228" t="s">
        <v>14</v>
      </c>
      <c r="D1228" s="18" t="s">
        <v>19</v>
      </c>
      <c r="E1228">
        <v>12.56</v>
      </c>
      <c r="F1228">
        <v>11.7</v>
      </c>
      <c r="G1228">
        <v>13.7</v>
      </c>
      <c r="H1228">
        <v>14.07</v>
      </c>
      <c r="I1228">
        <v>13.93</v>
      </c>
      <c r="J1228">
        <v>13.55</v>
      </c>
      <c r="K1228">
        <v>12.92</v>
      </c>
      <c r="L1228">
        <f>Tableau1[[#This Row],[Final_time]]-SUM(Tableau1[[#This Row],[0_100m]:[600_700m]])</f>
        <v>12.660000000000011</v>
      </c>
      <c r="M1228">
        <v>105.09</v>
      </c>
      <c r="N1228">
        <f>SUM(Tableau1[[#This Row],[0_100m]:[700_800m]])</f>
        <v>105.09</v>
      </c>
      <c r="O1228">
        <f>ABS(Tableau1[[#This Row],[Final_time]]-Tableau1[[#This Row],[Sum_time]])</f>
        <v>0</v>
      </c>
      <c r="P1228" s="8" t="s">
        <v>141</v>
      </c>
      <c r="Q1228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28" t="s">
        <v>1407</v>
      </c>
      <c r="S1228" s="1" t="s">
        <v>105</v>
      </c>
      <c r="T1228" t="s">
        <v>155</v>
      </c>
      <c r="U1228" s="1" t="s">
        <v>69</v>
      </c>
      <c r="V1228" s="1">
        <v>45918</v>
      </c>
      <c r="W1228" s="4">
        <f>YEAR(Tableau1[[#This Row],[Competition_date]])</f>
        <v>2025</v>
      </c>
      <c r="X1228" s="4">
        <v>25</v>
      </c>
      <c r="Y1228" s="6">
        <v>0.74</v>
      </c>
      <c r="Z1228" s="4"/>
    </row>
    <row r="1229" spans="1:26" hidden="1" x14ac:dyDescent="0.35">
      <c r="A1229" t="str">
        <f>_xlfn.CONCAT(Tableau1[[#This Row],[Athletes]],"_",Tableau1[[#This Row],[Nationality]],"_",Tableau1[[#This Row],[Competition_year]])</f>
        <v>Djamel SEDJATI_ALG_2025</v>
      </c>
      <c r="B1229" t="s">
        <v>170</v>
      </c>
      <c r="C1229" t="s">
        <v>14</v>
      </c>
      <c r="D1229" s="18" t="s">
        <v>24</v>
      </c>
      <c r="E1229">
        <v>12.66</v>
      </c>
      <c r="F1229">
        <v>11.76</v>
      </c>
      <c r="G1229">
        <v>13.72</v>
      </c>
      <c r="H1229">
        <v>14.17</v>
      </c>
      <c r="I1229">
        <v>13.97</v>
      </c>
      <c r="J1229">
        <v>13.34</v>
      </c>
      <c r="K1229">
        <v>13.05</v>
      </c>
      <c r="L1229">
        <f>Tableau1[[#This Row],[Final_time]]-SUM(Tableau1[[#This Row],[0_100m]:[600_700m]])</f>
        <v>12.420000000000002</v>
      </c>
      <c r="M1229">
        <v>105.09</v>
      </c>
      <c r="N1229">
        <f>SUM(Tableau1[[#This Row],[0_100m]:[700_800m]])</f>
        <v>105.09</v>
      </c>
      <c r="O1229">
        <f>ABS(Tableau1[[#This Row],[Final_time]]-Tableau1[[#This Row],[Sum_time]])</f>
        <v>0</v>
      </c>
      <c r="P1229" s="8" t="s">
        <v>141</v>
      </c>
      <c r="Q1229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29" t="s">
        <v>1407</v>
      </c>
      <c r="S1229" s="1" t="s">
        <v>105</v>
      </c>
      <c r="T1229" t="s">
        <v>155</v>
      </c>
      <c r="U1229" s="1" t="s">
        <v>69</v>
      </c>
      <c r="V1229" s="1">
        <v>45918</v>
      </c>
      <c r="W1229" s="4">
        <f>YEAR(Tableau1[[#This Row],[Competition_date]])</f>
        <v>2025</v>
      </c>
      <c r="X1229" s="4">
        <v>25</v>
      </c>
      <c r="Y1229" s="6">
        <v>0.74</v>
      </c>
      <c r="Z1229" s="4"/>
    </row>
    <row r="1230" spans="1:26" hidden="1" x14ac:dyDescent="0.35">
      <c r="A1230" t="str">
        <f>_xlfn.CONCAT(Tableau1[[#This Row],[Athletes]],"_",Tableau1[[#This Row],[Nationality]],"_",Tableau1[[#This Row],[Competition_year]])</f>
        <v>Mark ENGLISH_IRL_2025</v>
      </c>
      <c r="B1230" t="s">
        <v>187</v>
      </c>
      <c r="C1230" t="s">
        <v>14</v>
      </c>
      <c r="D1230" s="18" t="s">
        <v>66</v>
      </c>
      <c r="E1230">
        <v>12.65</v>
      </c>
      <c r="F1230">
        <v>11.98</v>
      </c>
      <c r="G1230">
        <v>13.71</v>
      </c>
      <c r="H1230">
        <v>14.12</v>
      </c>
      <c r="I1230">
        <v>14</v>
      </c>
      <c r="J1230">
        <v>12.84</v>
      </c>
      <c r="K1230">
        <v>13.07</v>
      </c>
      <c r="L1230">
        <f>Tableau1[[#This Row],[Final_time]]-SUM(Tableau1[[#This Row],[0_100m]:[600_700m]])</f>
        <v>13.099999999999994</v>
      </c>
      <c r="M1230">
        <v>105.47</v>
      </c>
      <c r="N1230">
        <f>SUM(Tableau1[[#This Row],[0_100m]:[700_800m]])</f>
        <v>105.47</v>
      </c>
      <c r="O1230">
        <f>ABS(Tableau1[[#This Row],[Final_time]]-Tableau1[[#This Row],[Sum_time]])</f>
        <v>0</v>
      </c>
      <c r="P1230" s="8"/>
      <c r="Q1230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30" t="s">
        <v>1407</v>
      </c>
      <c r="S1230" s="1" t="s">
        <v>105</v>
      </c>
      <c r="T1230" t="s">
        <v>155</v>
      </c>
      <c r="U1230" s="1" t="s">
        <v>69</v>
      </c>
      <c r="V1230" s="1">
        <v>45918</v>
      </c>
      <c r="W1230" s="4">
        <f>YEAR(Tableau1[[#This Row],[Competition_date]])</f>
        <v>2025</v>
      </c>
      <c r="X1230" s="4">
        <v>25</v>
      </c>
      <c r="Y1230" s="6">
        <v>0.74</v>
      </c>
      <c r="Z1230" s="4"/>
    </row>
    <row r="1231" spans="1:26" hidden="1" x14ac:dyDescent="0.35">
      <c r="A1231" t="str">
        <f>_xlfn.CONCAT(Tableau1[[#This Row],[Athletes]],"_",Tableau1[[#This Row],[Nationality]],"_",Tableau1[[#This Row],[Competition_year]])</f>
        <v>Maciej WYDERKA_POL_2025</v>
      </c>
      <c r="B1231" t="s">
        <v>1410</v>
      </c>
      <c r="C1231" t="s">
        <v>14</v>
      </c>
      <c r="D1231" s="18" t="s">
        <v>88</v>
      </c>
      <c r="E1231">
        <v>12.44</v>
      </c>
      <c r="F1231">
        <v>12.21</v>
      </c>
      <c r="G1231">
        <v>13.95</v>
      </c>
      <c r="H1231">
        <v>14.09</v>
      </c>
      <c r="I1231">
        <v>13.97</v>
      </c>
      <c r="J1231">
        <v>12.99</v>
      </c>
      <c r="K1231">
        <v>13.1</v>
      </c>
      <c r="L1231">
        <f>Tableau1[[#This Row],[Final_time]]-SUM(Tableau1[[#This Row],[0_100m]:[600_700m]])</f>
        <v>12.800000000000011</v>
      </c>
      <c r="M1231">
        <v>105.55</v>
      </c>
      <c r="N1231">
        <f>SUM(Tableau1[[#This Row],[0_100m]:[700_800m]])</f>
        <v>105.55</v>
      </c>
      <c r="O1231">
        <f>ABS(Tableau1[[#This Row],[Final_time]]-Tableau1[[#This Row],[Sum_time]])</f>
        <v>0</v>
      </c>
      <c r="P1231" s="8"/>
      <c r="Q1231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31" t="s">
        <v>1407</v>
      </c>
      <c r="S1231" s="1" t="s">
        <v>105</v>
      </c>
      <c r="T1231" t="s">
        <v>155</v>
      </c>
      <c r="U1231" s="1" t="s">
        <v>69</v>
      </c>
      <c r="V1231" s="1">
        <v>45918</v>
      </c>
      <c r="W1231" s="4">
        <f>YEAR(Tableau1[[#This Row],[Competition_date]])</f>
        <v>2025</v>
      </c>
      <c r="X1231" s="4">
        <v>25</v>
      </c>
      <c r="Y1231" s="6">
        <v>0.74</v>
      </c>
      <c r="Z1231" s="4"/>
    </row>
    <row r="1232" spans="1:26" hidden="1" x14ac:dyDescent="0.35">
      <c r="A1232" t="str">
        <f>_xlfn.CONCAT(Tableau1[[#This Row],[Athletes]],"_",Tableau1[[#This Row],[Nationality]],"_",Tableau1[[#This Row],[Competition_year]])</f>
        <v>Ben PATTISON_GBR_2025</v>
      </c>
      <c r="B1232" t="s">
        <v>108</v>
      </c>
      <c r="C1232" t="s">
        <v>14</v>
      </c>
      <c r="D1232" s="18" t="s">
        <v>30</v>
      </c>
      <c r="E1232">
        <v>12.61</v>
      </c>
      <c r="F1232">
        <v>12.23</v>
      </c>
      <c r="G1232">
        <v>13.94</v>
      </c>
      <c r="H1232">
        <v>13.87</v>
      </c>
      <c r="I1232">
        <v>13.98</v>
      </c>
      <c r="J1232">
        <v>13.19</v>
      </c>
      <c r="K1232">
        <v>13.07</v>
      </c>
      <c r="L1232">
        <f>Tableau1[[#This Row],[Final_time]]-SUM(Tableau1[[#This Row],[0_100m]:[600_700m]])</f>
        <v>12.950000000000017</v>
      </c>
      <c r="M1232">
        <v>105.84</v>
      </c>
      <c r="N1232">
        <f>SUM(Tableau1[[#This Row],[0_100m]:[700_800m]])</f>
        <v>105.84</v>
      </c>
      <c r="O1232">
        <f>ABS(Tableau1[[#This Row],[Final_time]]-Tableau1[[#This Row],[Sum_time]])</f>
        <v>0</v>
      </c>
      <c r="P1232" s="8"/>
      <c r="Q1232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32" t="s">
        <v>1407</v>
      </c>
      <c r="S1232" s="1" t="s">
        <v>105</v>
      </c>
      <c r="T1232" t="s">
        <v>155</v>
      </c>
      <c r="U1232" s="1" t="s">
        <v>69</v>
      </c>
      <c r="V1232" s="1">
        <v>45918</v>
      </c>
      <c r="W1232" s="4">
        <f>YEAR(Tableau1[[#This Row],[Competition_date]])</f>
        <v>2025</v>
      </c>
      <c r="X1232" s="4">
        <v>25</v>
      </c>
      <c r="Y1232" s="6">
        <v>0.74</v>
      </c>
      <c r="Z1232" s="4"/>
    </row>
    <row r="1233" spans="1:26" hidden="1" x14ac:dyDescent="0.35">
      <c r="A1233" t="str">
        <f>_xlfn.CONCAT(Tableau1[[#This Row],[Athletes]],"_",Tableau1[[#This Row],[Nationality]],"_",Tableau1[[#This Row],[Competition_year]])</f>
        <v>Kethobogile HAINGURA_BOT_2025</v>
      </c>
      <c r="B1233" t="s">
        <v>1401</v>
      </c>
      <c r="C1233" t="s">
        <v>14</v>
      </c>
      <c r="D1233" s="18" t="s">
        <v>44</v>
      </c>
      <c r="E1233">
        <v>12.67</v>
      </c>
      <c r="F1233">
        <v>11.93</v>
      </c>
      <c r="G1233">
        <v>13.78</v>
      </c>
      <c r="H1233">
        <v>14.09</v>
      </c>
      <c r="I1233">
        <v>14.01</v>
      </c>
      <c r="J1233">
        <v>13.39</v>
      </c>
      <c r="K1233">
        <v>12.99</v>
      </c>
      <c r="L1233">
        <f>Tableau1[[#This Row],[Final_time]]-SUM(Tableau1[[#This Row],[0_100m]:[600_700m]])</f>
        <v>13.189999999999998</v>
      </c>
      <c r="M1233">
        <v>106.05</v>
      </c>
      <c r="N1233">
        <f>SUM(Tableau1[[#This Row],[0_100m]:[700_800m]])</f>
        <v>106.05</v>
      </c>
      <c r="O1233">
        <f>ABS(Tableau1[[#This Row],[Final_time]]-Tableau1[[#This Row],[Sum_time]])</f>
        <v>0</v>
      </c>
      <c r="P1233" s="8"/>
      <c r="Q1233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33" t="s">
        <v>1407</v>
      </c>
      <c r="S1233" s="1" t="s">
        <v>105</v>
      </c>
      <c r="T1233" t="s">
        <v>155</v>
      </c>
      <c r="U1233" s="1" t="s">
        <v>69</v>
      </c>
      <c r="V1233" s="1">
        <v>45918</v>
      </c>
      <c r="W1233" s="4">
        <f>YEAR(Tableau1[[#This Row],[Competition_date]])</f>
        <v>2025</v>
      </c>
      <c r="X1233" s="4">
        <v>25</v>
      </c>
      <c r="Y1233" s="6">
        <v>0.74</v>
      </c>
      <c r="Z1233" s="4"/>
    </row>
    <row r="1234" spans="1:26" hidden="1" x14ac:dyDescent="0.35">
      <c r="A1234" t="str">
        <f>_xlfn.CONCAT(Tableau1[[#This Row],[Athletes]],"_",Tableau1[[#This Row],[Nationality]],"_",Tableau1[[#This Row],[Competition_year]])</f>
        <v>Tyrice TAYLOR_JAM_2025</v>
      </c>
      <c r="B1234" t="s">
        <v>1416</v>
      </c>
      <c r="C1234" t="s">
        <v>14</v>
      </c>
      <c r="D1234" s="18" t="s">
        <v>33</v>
      </c>
      <c r="E1234">
        <v>12.28</v>
      </c>
      <c r="F1234">
        <v>12.01</v>
      </c>
      <c r="G1234">
        <v>13.77</v>
      </c>
      <c r="H1234">
        <v>14.08</v>
      </c>
      <c r="I1234">
        <v>13.98</v>
      </c>
      <c r="J1234">
        <v>13.5</v>
      </c>
      <c r="K1234">
        <v>13.3</v>
      </c>
      <c r="L1234">
        <f>Tableau1[[#This Row],[Final_time]]-SUM(Tableau1[[#This Row],[0_100m]:[600_700m]])</f>
        <v>13.64</v>
      </c>
      <c r="M1234">
        <v>106.56</v>
      </c>
      <c r="N1234">
        <f>SUM(Tableau1[[#This Row],[0_100m]:[700_800m]])</f>
        <v>106.56</v>
      </c>
      <c r="O1234">
        <f>ABS(Tableau1[[#This Row],[Final_time]]-Tableau1[[#This Row],[Sum_time]])</f>
        <v>0</v>
      </c>
      <c r="P1234" s="8"/>
      <c r="Q1234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34" t="s">
        <v>1407</v>
      </c>
      <c r="S1234" s="1" t="s">
        <v>105</v>
      </c>
      <c r="T1234" t="s">
        <v>155</v>
      </c>
      <c r="U1234" s="1" t="s">
        <v>69</v>
      </c>
      <c r="V1234" s="1">
        <v>45918</v>
      </c>
      <c r="W1234" s="4">
        <f>YEAR(Tableau1[[#This Row],[Competition_date]])</f>
        <v>2025</v>
      </c>
      <c r="X1234" s="4">
        <v>25</v>
      </c>
      <c r="Y1234" s="6">
        <v>0.74</v>
      </c>
      <c r="Z1234" s="4"/>
    </row>
    <row r="1235" spans="1:26" hidden="1" x14ac:dyDescent="0.35">
      <c r="A1235" t="str">
        <f>_xlfn.CONCAT(Tableau1[[#This Row],[Athletes]],"_",Tableau1[[#This Row],[Nationality]],"_",Tableau1[[#This Row],[Competition_year]])</f>
        <v>Nicholas Kiplangat KEBENEI_KEN_2025</v>
      </c>
      <c r="B1235" t="s">
        <v>1398</v>
      </c>
      <c r="C1235" t="s">
        <v>14</v>
      </c>
      <c r="D1235" s="18" t="s">
        <v>15</v>
      </c>
      <c r="E1235">
        <v>12.51</v>
      </c>
      <c r="F1235">
        <v>11.94</v>
      </c>
      <c r="G1235">
        <v>13.71</v>
      </c>
      <c r="H1235">
        <v>14.09</v>
      </c>
      <c r="I1235">
        <v>13.97</v>
      </c>
      <c r="J1235">
        <v>13.83</v>
      </c>
      <c r="K1235">
        <v>14.24</v>
      </c>
      <c r="L1235">
        <f>Tableau1[[#This Row],[Final_time]]-SUM(Tableau1[[#This Row],[0_100m]:[600_700m]])</f>
        <v>15.250000000000014</v>
      </c>
      <c r="M1235">
        <v>109.54</v>
      </c>
      <c r="N1235">
        <f>SUM(Tableau1[[#This Row],[0_100m]:[700_800m]])</f>
        <v>109.54</v>
      </c>
      <c r="O1235">
        <f>ABS(Tableau1[[#This Row],[Final_time]]-Tableau1[[#This Row],[Sum_time]])</f>
        <v>0</v>
      </c>
      <c r="P1235" s="8"/>
      <c r="Q1235" s="16" t="str">
        <f>_xlfn.CONCAT(Tableau1[[#This Row],[Competition]],"_",Tableau1[[#This Row],[Championship_step]],"_",Tableau1[[#This Row],[Competition_date]],"_",Tableau1[[#This Row],[Gender]])</f>
        <v>World Championship Tokyo 2025_Semi 1_45918_Male</v>
      </c>
      <c r="R1235" t="s">
        <v>1407</v>
      </c>
      <c r="S1235" s="1" t="s">
        <v>105</v>
      </c>
      <c r="T1235" t="s">
        <v>155</v>
      </c>
      <c r="U1235" s="1" t="s">
        <v>69</v>
      </c>
      <c r="V1235" s="1">
        <v>45918</v>
      </c>
      <c r="W1235" s="4">
        <f>YEAR(Tableau1[[#This Row],[Competition_date]])</f>
        <v>2025</v>
      </c>
      <c r="X1235" s="4">
        <v>25</v>
      </c>
      <c r="Y1235" s="6">
        <v>0.74</v>
      </c>
      <c r="Z1235" s="4"/>
    </row>
    <row r="1236" spans="1:26" hidden="1" x14ac:dyDescent="0.35">
      <c r="A1236" t="str">
        <f>_xlfn.CONCAT(Tableau1[[#This Row],[Athletes]],"_",Tableau1[[#This Row],[Nationality]],"_",Tableau1[[#This Row],[Competition_year]])</f>
        <v>Mary MORAA_KEN_2025</v>
      </c>
      <c r="B1236" s="9" t="s">
        <v>228</v>
      </c>
      <c r="C1236" s="9" t="s">
        <v>29</v>
      </c>
      <c r="D1236" s="12" t="s">
        <v>15</v>
      </c>
      <c r="E1236" s="9">
        <v>13.86</v>
      </c>
      <c r="F1236" s="9">
        <v>13.82</v>
      </c>
      <c r="G1236" s="9">
        <v>15.47</v>
      </c>
      <c r="H1236" s="9">
        <v>15.72</v>
      </c>
      <c r="I1236" s="9">
        <v>15.46</v>
      </c>
      <c r="J1236" s="9">
        <v>15.13</v>
      </c>
      <c r="K1236" s="9">
        <v>14.8</v>
      </c>
      <c r="L1236">
        <f>Tableau1[[#This Row],[Final_time]]-SUM(Tableau1[[#This Row],[0_100m]:[600_700m]])</f>
        <v>14.140000000000015</v>
      </c>
      <c r="M1236" s="9">
        <v>118.4</v>
      </c>
      <c r="N1236">
        <f>SUM(Tableau1[[#This Row],[0_100m]:[700_800m]])</f>
        <v>118.4</v>
      </c>
      <c r="O1236">
        <f>ABS(Tableau1[[#This Row],[Final_time]]-Tableau1[[#This Row],[Sum_time]])</f>
        <v>0</v>
      </c>
      <c r="P1236" s="8" t="s">
        <v>141</v>
      </c>
      <c r="Q1236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36" t="s">
        <v>1407</v>
      </c>
      <c r="S1236" s="1" t="s">
        <v>105</v>
      </c>
      <c r="T1236" t="s">
        <v>155</v>
      </c>
      <c r="U1236" s="1" t="s">
        <v>69</v>
      </c>
      <c r="V1236" s="1">
        <v>45919</v>
      </c>
      <c r="W1236" s="4">
        <f>YEAR(Tableau1[[#This Row],[Competition_date]])</f>
        <v>2025</v>
      </c>
      <c r="X1236" s="4">
        <v>23</v>
      </c>
      <c r="Y1236" s="6">
        <v>0.68</v>
      </c>
      <c r="Z1236" s="4"/>
    </row>
    <row r="1237" spans="1:26" hidden="1" x14ac:dyDescent="0.35">
      <c r="A1237" t="str">
        <f>_xlfn.CONCAT(Tableau1[[#This Row],[Athletes]],"_",Tableau1[[#This Row],[Nationality]],"_",Tableau1[[#This Row],[Competition_year]])</f>
        <v>Georgia HUNTER BELL_GBR_2025</v>
      </c>
      <c r="B1237" s="9" t="s">
        <v>1351</v>
      </c>
      <c r="C1237" s="9" t="s">
        <v>29</v>
      </c>
      <c r="D1237" s="12" t="s">
        <v>30</v>
      </c>
      <c r="E1237" s="9">
        <v>13.93</v>
      </c>
      <c r="F1237" s="9">
        <v>13.87</v>
      </c>
      <c r="G1237" s="9">
        <v>15.42</v>
      </c>
      <c r="H1237" s="9">
        <v>15.81</v>
      </c>
      <c r="I1237" s="9">
        <v>15.5</v>
      </c>
      <c r="J1237" s="9">
        <v>15.11</v>
      </c>
      <c r="K1237" s="9">
        <v>14.79</v>
      </c>
      <c r="L1237">
        <f>Tableau1[[#This Row],[Final_time]]-SUM(Tableau1[[#This Row],[0_100m]:[600_700m]])</f>
        <v>14.189999999999998</v>
      </c>
      <c r="M1237" s="9">
        <v>118.62</v>
      </c>
      <c r="N1237">
        <f>SUM(Tableau1[[#This Row],[0_100m]:[700_800m]])</f>
        <v>118.62</v>
      </c>
      <c r="O1237">
        <f>ABS(Tableau1[[#This Row],[Final_time]]-Tableau1[[#This Row],[Sum_time]])</f>
        <v>0</v>
      </c>
      <c r="P1237" s="8"/>
      <c r="Q1237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37" t="s">
        <v>1407</v>
      </c>
      <c r="S1237" s="1" t="s">
        <v>105</v>
      </c>
      <c r="T1237" t="s">
        <v>155</v>
      </c>
      <c r="U1237" s="1" t="s">
        <v>69</v>
      </c>
      <c r="V1237" s="1">
        <v>45919</v>
      </c>
      <c r="W1237" s="4">
        <f>YEAR(Tableau1[[#This Row],[Competition_date]])</f>
        <v>2025</v>
      </c>
      <c r="X1237" s="4">
        <v>23</v>
      </c>
      <c r="Y1237" s="6">
        <v>0.68</v>
      </c>
      <c r="Z1237" s="4"/>
    </row>
    <row r="1238" spans="1:26" hidden="1" x14ac:dyDescent="0.35">
      <c r="A1238" t="str">
        <f>_xlfn.CONCAT(Tableau1[[#This Row],[Athletes]],"_",Tableau1[[#This Row],[Nationality]],"_",Tableau1[[#This Row],[Competition_year]])</f>
        <v>Eloisa COIRO_ITA_2025</v>
      </c>
      <c r="B1238" s="9" t="s">
        <v>233</v>
      </c>
      <c r="C1238" s="9" t="s">
        <v>29</v>
      </c>
      <c r="D1238" s="12" t="s">
        <v>20</v>
      </c>
      <c r="E1238" s="9">
        <v>13.83</v>
      </c>
      <c r="F1238" s="9">
        <v>14</v>
      </c>
      <c r="G1238" s="9">
        <v>15.6</v>
      </c>
      <c r="H1238" s="9">
        <v>15.67</v>
      </c>
      <c r="I1238" s="9">
        <v>15.59</v>
      </c>
      <c r="J1238" s="9">
        <v>15.14</v>
      </c>
      <c r="K1238" s="9">
        <v>14.84</v>
      </c>
      <c r="L1238">
        <f>Tableau1[[#This Row],[Final_time]]-SUM(Tableau1[[#This Row],[0_100m]:[600_700m]])</f>
        <v>14.519999999999996</v>
      </c>
      <c r="M1238" s="9">
        <v>119.19</v>
      </c>
      <c r="N1238">
        <f>SUM(Tableau1[[#This Row],[0_100m]:[700_800m]])</f>
        <v>119.19</v>
      </c>
      <c r="O1238">
        <f>ABS(Tableau1[[#This Row],[Final_time]]-Tableau1[[#This Row],[Sum_time]])</f>
        <v>0</v>
      </c>
      <c r="P1238" s="8"/>
      <c r="Q1238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38" t="s">
        <v>1407</v>
      </c>
      <c r="S1238" s="1" t="s">
        <v>105</v>
      </c>
      <c r="T1238" t="s">
        <v>155</v>
      </c>
      <c r="U1238" s="1" t="s">
        <v>69</v>
      </c>
      <c r="V1238" s="1">
        <v>45919</v>
      </c>
      <c r="W1238" s="4">
        <f>YEAR(Tableau1[[#This Row],[Competition_date]])</f>
        <v>2025</v>
      </c>
      <c r="X1238" s="4">
        <v>23</v>
      </c>
      <c r="Y1238" s="6">
        <v>0.68</v>
      </c>
      <c r="Z1238" s="4"/>
    </row>
    <row r="1239" spans="1:26" hidden="1" x14ac:dyDescent="0.35">
      <c r="A1239" t="str">
        <f>_xlfn.CONCAT(Tableau1[[#This Row],[Athletes]],"_",Tableau1[[#This Row],[Nationality]],"_",Tableau1[[#This Row],[Competition_year]])</f>
        <v>Claudia HOLLINGSWORTH_AUS_2025</v>
      </c>
      <c r="B1239" s="9" t="s">
        <v>275</v>
      </c>
      <c r="C1239" s="9" t="s">
        <v>29</v>
      </c>
      <c r="D1239" s="12" t="s">
        <v>36</v>
      </c>
      <c r="E1239" s="9">
        <v>13.84</v>
      </c>
      <c r="F1239" s="9">
        <v>14.18</v>
      </c>
      <c r="G1239" s="9">
        <v>15.75</v>
      </c>
      <c r="H1239" s="9">
        <v>15.45</v>
      </c>
      <c r="I1239" s="9">
        <v>15.65</v>
      </c>
      <c r="J1239" s="9">
        <v>15.01</v>
      </c>
      <c r="K1239" s="9">
        <v>15.09</v>
      </c>
      <c r="L1239">
        <f>Tableau1[[#This Row],[Final_time]]-SUM(Tableau1[[#This Row],[0_100m]:[600_700m]])</f>
        <v>14.529999999999987</v>
      </c>
      <c r="M1239" s="9">
        <v>119.5</v>
      </c>
      <c r="N1239">
        <f>SUM(Tableau1[[#This Row],[0_100m]:[700_800m]])</f>
        <v>119.5</v>
      </c>
      <c r="O1239">
        <f>ABS(Tableau1[[#This Row],[Final_time]]-Tableau1[[#This Row],[Sum_time]])</f>
        <v>0</v>
      </c>
      <c r="P1239" s="8"/>
      <c r="Q1239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39" t="s">
        <v>1407</v>
      </c>
      <c r="S1239" s="1" t="s">
        <v>105</v>
      </c>
      <c r="T1239" t="s">
        <v>155</v>
      </c>
      <c r="U1239" s="1" t="s">
        <v>69</v>
      </c>
      <c r="V1239" s="1">
        <v>45919</v>
      </c>
      <c r="W1239" s="4">
        <f>YEAR(Tableau1[[#This Row],[Competition_date]])</f>
        <v>2025</v>
      </c>
      <c r="X1239" s="4">
        <v>23</v>
      </c>
      <c r="Y1239" s="6">
        <v>0.68</v>
      </c>
      <c r="Z1239" s="4"/>
    </row>
    <row r="1240" spans="1:26" hidden="1" x14ac:dyDescent="0.35">
      <c r="A1240" t="str">
        <f>_xlfn.CONCAT(Tableau1[[#This Row],[Athletes]],"_",Tableau1[[#This Row],[Nationality]],"_",Tableau1[[#This Row],[Competition_year]])</f>
        <v>Natoya GOULE-TOPPIN_JAM_2025</v>
      </c>
      <c r="B1240" s="9" t="s">
        <v>222</v>
      </c>
      <c r="C1240" s="9" t="s">
        <v>29</v>
      </c>
      <c r="D1240" s="12" t="s">
        <v>33</v>
      </c>
      <c r="E1240" s="9">
        <v>13.87</v>
      </c>
      <c r="F1240" s="9">
        <v>13.98</v>
      </c>
      <c r="G1240" s="9">
        <v>15.51</v>
      </c>
      <c r="H1240" s="9">
        <v>15.67</v>
      </c>
      <c r="I1240" s="9">
        <v>15.3</v>
      </c>
      <c r="J1240" s="9">
        <v>15.12</v>
      </c>
      <c r="K1240" s="9">
        <v>14.87</v>
      </c>
      <c r="L1240">
        <f>Tableau1[[#This Row],[Final_time]]-SUM(Tableau1[[#This Row],[0_100m]:[600_700m]])</f>
        <v>15.259999999999991</v>
      </c>
      <c r="M1240" s="9">
        <v>119.58</v>
      </c>
      <c r="N1240">
        <f>SUM(Tableau1[[#This Row],[0_100m]:[700_800m]])</f>
        <v>119.58</v>
      </c>
      <c r="O1240">
        <f>ABS(Tableau1[[#This Row],[Final_time]]-Tableau1[[#This Row],[Sum_time]])</f>
        <v>0</v>
      </c>
      <c r="P1240" s="8"/>
      <c r="Q1240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40" t="s">
        <v>1407</v>
      </c>
      <c r="S1240" s="1" t="s">
        <v>105</v>
      </c>
      <c r="T1240" t="s">
        <v>155</v>
      </c>
      <c r="U1240" s="1" t="s">
        <v>69</v>
      </c>
      <c r="V1240" s="1">
        <v>45919</v>
      </c>
      <c r="W1240" s="4">
        <f>YEAR(Tableau1[[#This Row],[Competition_date]])</f>
        <v>2025</v>
      </c>
      <c r="X1240" s="4">
        <v>23</v>
      </c>
      <c r="Y1240" s="6">
        <v>0.68</v>
      </c>
      <c r="Z1240" s="4"/>
    </row>
    <row r="1241" spans="1:26" hidden="1" x14ac:dyDescent="0.35">
      <c r="A1241" t="str">
        <f>_xlfn.CONCAT(Tableau1[[#This Row],[Athletes]],"_",Tableau1[[#This Row],[Nationality]],"_",Tableau1[[#This Row],[Competition_year]])</f>
        <v>Rénelle LAMOTE_FRA_2025</v>
      </c>
      <c r="B1241" s="9" t="s">
        <v>225</v>
      </c>
      <c r="C1241" s="9" t="s">
        <v>29</v>
      </c>
      <c r="D1241" s="12" t="s">
        <v>17</v>
      </c>
      <c r="E1241" s="9">
        <v>13.79</v>
      </c>
      <c r="F1241" s="9">
        <v>14.07</v>
      </c>
      <c r="G1241" s="9">
        <v>15.7</v>
      </c>
      <c r="H1241" s="9">
        <v>15.71</v>
      </c>
      <c r="I1241" s="9">
        <v>15.46</v>
      </c>
      <c r="J1241" s="9">
        <v>15.01</v>
      </c>
      <c r="K1241" s="9">
        <v>14.99</v>
      </c>
      <c r="L1241">
        <f>Tableau1[[#This Row],[Final_time]]-SUM(Tableau1[[#This Row],[0_100m]:[600_700m]])</f>
        <v>15.209999999999994</v>
      </c>
      <c r="M1241" s="9">
        <v>119.94</v>
      </c>
      <c r="N1241">
        <f>SUM(Tableau1[[#This Row],[0_100m]:[700_800m]])</f>
        <v>119.94</v>
      </c>
      <c r="O1241">
        <f>ABS(Tableau1[[#This Row],[Final_time]]-Tableau1[[#This Row],[Sum_time]])</f>
        <v>0</v>
      </c>
      <c r="P1241" s="8"/>
      <c r="Q1241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41" t="s">
        <v>1407</v>
      </c>
      <c r="S1241" s="1" t="s">
        <v>105</v>
      </c>
      <c r="T1241" t="s">
        <v>155</v>
      </c>
      <c r="U1241" s="1" t="s">
        <v>69</v>
      </c>
      <c r="V1241" s="1">
        <v>45919</v>
      </c>
      <c r="W1241" s="4">
        <f>YEAR(Tableau1[[#This Row],[Competition_date]])</f>
        <v>2025</v>
      </c>
      <c r="X1241" s="4">
        <v>23</v>
      </c>
      <c r="Y1241" s="6">
        <v>0.68</v>
      </c>
      <c r="Z1241" s="4"/>
    </row>
    <row r="1242" spans="1:26" hidden="1" x14ac:dyDescent="0.35">
      <c r="A1242" t="str">
        <f>_xlfn.CONCAT(Tableau1[[#This Row],[Athletes]],"_",Tableau1[[#This Row],[Nationality]],"_",Tableau1[[#This Row],[Competition_year]])</f>
        <v>Maggi CONGDON_USA_2025</v>
      </c>
      <c r="B1242" s="9" t="s">
        <v>1434</v>
      </c>
      <c r="C1242" s="9" t="s">
        <v>29</v>
      </c>
      <c r="D1242" s="12" t="s">
        <v>35</v>
      </c>
      <c r="E1242" s="9">
        <v>14.01</v>
      </c>
      <c r="F1242" s="9">
        <v>14.13</v>
      </c>
      <c r="G1242" s="9">
        <v>15.5</v>
      </c>
      <c r="H1242" s="9">
        <v>15.73</v>
      </c>
      <c r="I1242" s="9">
        <v>15.51</v>
      </c>
      <c r="J1242" s="9">
        <v>15.02</v>
      </c>
      <c r="K1242" s="9">
        <v>15.14</v>
      </c>
      <c r="L1242">
        <f>Tableau1[[#This Row],[Final_time]]-SUM(Tableau1[[#This Row],[0_100m]:[600_700m]])</f>
        <v>14.909999999999997</v>
      </c>
      <c r="M1242" s="9">
        <v>119.95</v>
      </c>
      <c r="N1242">
        <f>SUM(Tableau1[[#This Row],[0_100m]:[700_800m]])</f>
        <v>119.95</v>
      </c>
      <c r="O1242">
        <f>ABS(Tableau1[[#This Row],[Final_time]]-Tableau1[[#This Row],[Sum_time]])</f>
        <v>0</v>
      </c>
      <c r="P1242" s="8"/>
      <c r="Q1242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42" t="s">
        <v>1407</v>
      </c>
      <c r="S1242" s="1" t="s">
        <v>105</v>
      </c>
      <c r="T1242" t="s">
        <v>155</v>
      </c>
      <c r="U1242" s="1" t="s">
        <v>69</v>
      </c>
      <c r="V1242" s="1">
        <v>45919</v>
      </c>
      <c r="W1242" s="4">
        <f>YEAR(Tableau1[[#This Row],[Competition_date]])</f>
        <v>2025</v>
      </c>
      <c r="X1242" s="4">
        <v>23</v>
      </c>
      <c r="Y1242" s="6">
        <v>0.68</v>
      </c>
      <c r="Z1242" s="4"/>
    </row>
    <row r="1243" spans="1:26" hidden="1" x14ac:dyDescent="0.35">
      <c r="A1243" t="str">
        <f>_xlfn.CONCAT(Tableau1[[#This Row],[Athletes]],"_",Tableau1[[#This Row],[Nationality]],"_",Tableau1[[#This Row],[Competition_year]])</f>
        <v>Daily COOPER GASPAR_CUB_2025</v>
      </c>
      <c r="B1243" s="9" t="s">
        <v>1440</v>
      </c>
      <c r="C1243" s="9" t="s">
        <v>29</v>
      </c>
      <c r="D1243" s="12" t="s">
        <v>165</v>
      </c>
      <c r="E1243" s="9">
        <v>14.08</v>
      </c>
      <c r="F1243" s="9">
        <v>14.04</v>
      </c>
      <c r="G1243" s="9">
        <v>15.41</v>
      </c>
      <c r="H1243" s="9">
        <v>15.73</v>
      </c>
      <c r="I1243" s="9">
        <v>15.28</v>
      </c>
      <c r="J1243" s="9">
        <v>15.13</v>
      </c>
      <c r="K1243" s="9">
        <v>16.5</v>
      </c>
      <c r="L1243">
        <f>Tableau1[[#This Row],[Final_time]]-SUM(Tableau1[[#This Row],[0_100m]:[600_700m]])</f>
        <v>16.829999999999998</v>
      </c>
      <c r="M1243" s="9">
        <v>123</v>
      </c>
      <c r="N1243">
        <f>SUM(Tableau1[[#This Row],[0_100m]:[700_800m]])</f>
        <v>123</v>
      </c>
      <c r="O1243">
        <f>ABS(Tableau1[[#This Row],[Final_time]]-Tableau1[[#This Row],[Sum_time]])</f>
        <v>0</v>
      </c>
      <c r="P1243" s="8"/>
      <c r="Q1243" s="16" t="str">
        <f>_xlfn.CONCAT(Tableau1[[#This Row],[Competition]],"_",Tableau1[[#This Row],[Championship_step]],"_",Tableau1[[#This Row],[Competition_date]],"_",Tableau1[[#This Row],[Gender]])</f>
        <v>World Championship Tokyo 2025_Semi 1_45919_Female</v>
      </c>
      <c r="R1243" t="s">
        <v>1407</v>
      </c>
      <c r="S1243" s="1" t="s">
        <v>105</v>
      </c>
      <c r="T1243" t="s">
        <v>155</v>
      </c>
      <c r="U1243" s="1" t="s">
        <v>69</v>
      </c>
      <c r="V1243" s="1">
        <v>45919</v>
      </c>
      <c r="W1243" s="4">
        <f>YEAR(Tableau1[[#This Row],[Competition_date]])</f>
        <v>2025</v>
      </c>
      <c r="X1243" s="4">
        <v>23</v>
      </c>
      <c r="Y1243" s="6">
        <v>0.68</v>
      </c>
      <c r="Z1243" s="4"/>
    </row>
    <row r="1244" spans="1:26" hidden="1" x14ac:dyDescent="0.35">
      <c r="A1244" t="str">
        <f>_xlfn.CONCAT(Tableau1[[#This Row],[Athletes]],"_",Tableau1[[#This Row],[Nationality]],"_",Tableau1[[#This Row],[Competition_year]])</f>
        <v>Cian MCPHILLIPS_IRL_2025</v>
      </c>
      <c r="B1244" t="s">
        <v>1415</v>
      </c>
      <c r="C1244" t="s">
        <v>14</v>
      </c>
      <c r="D1244" s="18" t="s">
        <v>66</v>
      </c>
      <c r="E1244">
        <v>12.42</v>
      </c>
      <c r="F1244">
        <v>11.95</v>
      </c>
      <c r="G1244">
        <v>13.94</v>
      </c>
      <c r="H1244">
        <v>13.61</v>
      </c>
      <c r="I1244">
        <v>13.5</v>
      </c>
      <c r="J1244">
        <v>12.61</v>
      </c>
      <c r="K1244">
        <v>12.56</v>
      </c>
      <c r="L1244">
        <f>Tableau1[[#This Row],[Final_time]]-SUM(Tableau1[[#This Row],[0_100m]:[600_700m]])</f>
        <v>12.590000000000018</v>
      </c>
      <c r="M1244">
        <v>103.18</v>
      </c>
      <c r="N1244">
        <f>SUM(Tableau1[[#This Row],[0_100m]:[700_800m]])</f>
        <v>103.18</v>
      </c>
      <c r="O1244">
        <f>ABS(Tableau1[[#This Row],[Final_time]]-Tableau1[[#This Row],[Sum_time]])</f>
        <v>0</v>
      </c>
      <c r="P1244" s="8" t="s">
        <v>141</v>
      </c>
      <c r="Q1244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44" t="s">
        <v>1407</v>
      </c>
      <c r="S1244" s="1" t="s">
        <v>105</v>
      </c>
      <c r="T1244" t="s">
        <v>156</v>
      </c>
      <c r="U1244" s="1" t="s">
        <v>69</v>
      </c>
      <c r="V1244" s="1">
        <v>45918</v>
      </c>
      <c r="W1244" s="4">
        <f>YEAR(Tableau1[[#This Row],[Competition_date]])</f>
        <v>2025</v>
      </c>
      <c r="X1244" s="4">
        <v>25</v>
      </c>
      <c r="Y1244" s="6">
        <v>0.74</v>
      </c>
      <c r="Z1244" s="4"/>
    </row>
    <row r="1245" spans="1:26" hidden="1" x14ac:dyDescent="0.35">
      <c r="A1245" t="str">
        <f>_xlfn.CONCAT(Tableau1[[#This Row],[Athletes]],"_",Tableau1[[#This Row],[Nationality]],"_",Tableau1[[#This Row],[Competition_year]])</f>
        <v>Max BURGIN_GBR_2025</v>
      </c>
      <c r="B1245" t="s">
        <v>188</v>
      </c>
      <c r="C1245" t="s">
        <v>14</v>
      </c>
      <c r="D1245" s="18" t="s">
        <v>30</v>
      </c>
      <c r="E1245">
        <v>12.32</v>
      </c>
      <c r="F1245">
        <v>11.82</v>
      </c>
      <c r="G1245">
        <v>13.78</v>
      </c>
      <c r="H1245">
        <v>13.63</v>
      </c>
      <c r="I1245">
        <v>13.32</v>
      </c>
      <c r="J1245">
        <v>13.01</v>
      </c>
      <c r="K1245">
        <v>12.63</v>
      </c>
      <c r="L1245">
        <f>Tableau1[[#This Row],[Final_time]]-SUM(Tableau1[[#This Row],[0_100m]:[600_700m]])</f>
        <v>12.86</v>
      </c>
      <c r="M1245">
        <v>103.37</v>
      </c>
      <c r="N1245">
        <f>SUM(Tableau1[[#This Row],[0_100m]:[700_800m]])</f>
        <v>103.37</v>
      </c>
      <c r="O1245">
        <f>ABS(Tableau1[[#This Row],[Final_time]]-Tableau1[[#This Row],[Sum_time]])</f>
        <v>0</v>
      </c>
      <c r="P1245" s="8" t="s">
        <v>141</v>
      </c>
      <c r="Q1245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45" t="s">
        <v>1407</v>
      </c>
      <c r="S1245" s="1" t="s">
        <v>105</v>
      </c>
      <c r="T1245" t="s">
        <v>156</v>
      </c>
      <c r="U1245" s="1" t="s">
        <v>69</v>
      </c>
      <c r="V1245" s="1">
        <v>45918</v>
      </c>
      <c r="W1245" s="4">
        <f>YEAR(Tableau1[[#This Row],[Competition_date]])</f>
        <v>2025</v>
      </c>
      <c r="X1245" s="4">
        <v>25</v>
      </c>
      <c r="Y1245" s="6">
        <v>0.74</v>
      </c>
      <c r="Z1245" s="4"/>
    </row>
    <row r="1246" spans="1:26" hidden="1" x14ac:dyDescent="0.35">
      <c r="A1246" t="str">
        <f>_xlfn.CONCAT(Tableau1[[#This Row],[Athletes]],"_",Tableau1[[#This Row],[Nationality]],"_",Tableau1[[#This Row],[Competition_year]])</f>
        <v>Donavan BRAZIER_USA_2025</v>
      </c>
      <c r="B1246" t="s">
        <v>242</v>
      </c>
      <c r="C1246" t="s">
        <v>14</v>
      </c>
      <c r="D1246" s="18" t="s">
        <v>35</v>
      </c>
      <c r="M1246">
        <v>103.82</v>
      </c>
      <c r="N1246">
        <f>SUM(Tableau1[[#This Row],[0_100m]:[700_800m]])</f>
        <v>0</v>
      </c>
      <c r="O1246">
        <f>ABS(Tableau1[[#This Row],[Final_time]]-Tableau1[[#This Row],[Sum_time]])</f>
        <v>103.82</v>
      </c>
      <c r="P1246" s="8"/>
      <c r="Q1246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46" t="s">
        <v>1407</v>
      </c>
      <c r="S1246" s="1" t="s">
        <v>105</v>
      </c>
      <c r="T1246" t="s">
        <v>156</v>
      </c>
      <c r="U1246" s="1" t="s">
        <v>69</v>
      </c>
      <c r="V1246" s="1">
        <v>45918</v>
      </c>
      <c r="W1246" s="4">
        <f>YEAR(Tableau1[[#This Row],[Competition_date]])</f>
        <v>2025</v>
      </c>
      <c r="X1246" s="4">
        <v>25</v>
      </c>
      <c r="Y1246" s="6">
        <v>0.74</v>
      </c>
      <c r="Z1246" s="4"/>
    </row>
    <row r="1247" spans="1:26" hidden="1" x14ac:dyDescent="0.35">
      <c r="A1247" t="str">
        <f>_xlfn.CONCAT(Tableau1[[#This Row],[Athletes]],"_",Tableau1[[#This Row],[Nationality]],"_",Tableau1[[#This Row],[Competition_year]])</f>
        <v>Francesco PERNICI_ITA_2025</v>
      </c>
      <c r="B1247" t="s">
        <v>126</v>
      </c>
      <c r="C1247" t="s">
        <v>14</v>
      </c>
      <c r="D1247" s="18" t="s">
        <v>20</v>
      </c>
      <c r="E1247">
        <v>12.36</v>
      </c>
      <c r="F1247">
        <v>11.76</v>
      </c>
      <c r="G1247">
        <v>13.74</v>
      </c>
      <c r="H1247">
        <v>13.73</v>
      </c>
      <c r="I1247">
        <v>13.51</v>
      </c>
      <c r="J1247">
        <v>12.92</v>
      </c>
      <c r="K1247">
        <v>12.84</v>
      </c>
      <c r="L1247">
        <f>Tableau1[[#This Row],[Final_time]]-SUM(Tableau1[[#This Row],[0_100m]:[600_700m]])</f>
        <v>12.97999999999999</v>
      </c>
      <c r="M1247">
        <v>103.84</v>
      </c>
      <c r="N1247">
        <f>SUM(Tableau1[[#This Row],[0_100m]:[700_800m]])</f>
        <v>103.84</v>
      </c>
      <c r="O1247">
        <f>ABS(Tableau1[[#This Row],[Final_time]]-Tableau1[[#This Row],[Sum_time]])</f>
        <v>0</v>
      </c>
      <c r="P1247" s="8"/>
      <c r="Q1247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47" t="s">
        <v>1407</v>
      </c>
      <c r="S1247" s="1" t="s">
        <v>105</v>
      </c>
      <c r="T1247" t="s">
        <v>156</v>
      </c>
      <c r="U1247" s="1" t="s">
        <v>69</v>
      </c>
      <c r="V1247" s="1">
        <v>45918</v>
      </c>
      <c r="W1247" s="4">
        <f>YEAR(Tableau1[[#This Row],[Competition_date]])</f>
        <v>2025</v>
      </c>
      <c r="X1247" s="4">
        <v>25</v>
      </c>
      <c r="Y1247" s="6">
        <v>0.74</v>
      </c>
      <c r="Z1247" s="4"/>
    </row>
    <row r="1248" spans="1:26" hidden="1" x14ac:dyDescent="0.35">
      <c r="A1248" t="str">
        <f>_xlfn.CONCAT(Tableau1[[#This Row],[Athletes]],"_",Tableau1[[#This Row],[Nationality]],"_",Tableau1[[#This Row],[Competition_year]])</f>
        <v>Gabriel TUAL_FRA_2025</v>
      </c>
      <c r="B1248" t="s">
        <v>180</v>
      </c>
      <c r="C1248" t="s">
        <v>14</v>
      </c>
      <c r="D1248" s="18" t="s">
        <v>17</v>
      </c>
      <c r="E1248">
        <v>12.37</v>
      </c>
      <c r="F1248">
        <v>11.88</v>
      </c>
      <c r="G1248">
        <v>13.89</v>
      </c>
      <c r="H1248">
        <v>13.86</v>
      </c>
      <c r="I1248">
        <v>13.66</v>
      </c>
      <c r="J1248">
        <v>12.62</v>
      </c>
      <c r="K1248">
        <v>12.89</v>
      </c>
      <c r="L1248">
        <f>Tableau1[[#This Row],[Final_time]]-SUM(Tableau1[[#This Row],[0_100m]:[600_700m]])</f>
        <v>12.920000000000002</v>
      </c>
      <c r="M1248">
        <v>104.09</v>
      </c>
      <c r="N1248">
        <f>SUM(Tableau1[[#This Row],[0_100m]:[700_800m]])</f>
        <v>104.09</v>
      </c>
      <c r="O1248">
        <f>ABS(Tableau1[[#This Row],[Final_time]]-Tableau1[[#This Row],[Sum_time]])</f>
        <v>0</v>
      </c>
      <c r="P1248" s="8"/>
      <c r="Q1248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48" t="s">
        <v>1407</v>
      </c>
      <c r="S1248" s="1" t="s">
        <v>105</v>
      </c>
      <c r="T1248" t="s">
        <v>156</v>
      </c>
      <c r="U1248" s="1" t="s">
        <v>69</v>
      </c>
      <c r="V1248" s="1">
        <v>45918</v>
      </c>
      <c r="W1248" s="4">
        <f>YEAR(Tableau1[[#This Row],[Competition_date]])</f>
        <v>2025</v>
      </c>
      <c r="X1248" s="4">
        <v>25</v>
      </c>
      <c r="Y1248" s="6">
        <v>0.74</v>
      </c>
      <c r="Z1248" s="4"/>
    </row>
    <row r="1249" spans="1:26" hidden="1" x14ac:dyDescent="0.35">
      <c r="A1249" t="str">
        <f>_xlfn.CONCAT(Tableau1[[#This Row],[Athletes]],"_",Tableau1[[#This Row],[Nationality]],"_",Tableau1[[#This Row],[Competition_year]])</f>
        <v>David BARROSO_ESP_2025</v>
      </c>
      <c r="B1249" t="s">
        <v>1400</v>
      </c>
      <c r="C1249" t="s">
        <v>14</v>
      </c>
      <c r="D1249" s="18" t="s">
        <v>37</v>
      </c>
      <c r="E1249">
        <v>12.6</v>
      </c>
      <c r="F1249">
        <v>11.93</v>
      </c>
      <c r="G1249">
        <v>13.8</v>
      </c>
      <c r="H1249">
        <v>13.79</v>
      </c>
      <c r="I1249">
        <v>13.36</v>
      </c>
      <c r="J1249">
        <v>12.89</v>
      </c>
      <c r="K1249">
        <v>12.91</v>
      </c>
      <c r="L1249">
        <f>Tableau1[[#This Row],[Final_time]]-SUM(Tableau1[[#This Row],[0_100m]:[600_700m]])</f>
        <v>12.990000000000009</v>
      </c>
      <c r="M1249">
        <v>104.27</v>
      </c>
      <c r="N1249">
        <f>SUM(Tableau1[[#This Row],[0_100m]:[700_800m]])</f>
        <v>104.27</v>
      </c>
      <c r="O1249">
        <f>ABS(Tableau1[[#This Row],[Final_time]]-Tableau1[[#This Row],[Sum_time]])</f>
        <v>0</v>
      </c>
      <c r="P1249" s="8"/>
      <c r="Q1249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49" t="s">
        <v>1407</v>
      </c>
      <c r="S1249" s="1" t="s">
        <v>105</v>
      </c>
      <c r="T1249" t="s">
        <v>156</v>
      </c>
      <c r="U1249" s="1" t="s">
        <v>69</v>
      </c>
      <c r="V1249" s="1">
        <v>45918</v>
      </c>
      <c r="W1249" s="4">
        <f>YEAR(Tableau1[[#This Row],[Competition_date]])</f>
        <v>2025</v>
      </c>
      <c r="X1249" s="4">
        <v>25</v>
      </c>
      <c r="Y1249" s="6">
        <v>0.74</v>
      </c>
      <c r="Z1249" s="4"/>
    </row>
    <row r="1250" spans="1:26" hidden="1" x14ac:dyDescent="0.35">
      <c r="A1250" t="str">
        <f>_xlfn.CONCAT(Tableau1[[#This Row],[Athletes]],"_",Tableau1[[#This Row],[Nationality]],"_",Tableau1[[#This Row],[Competition_year]])</f>
        <v>Kelvin Kimtai LOTI_KEN_2025</v>
      </c>
      <c r="B1250" t="s">
        <v>1408</v>
      </c>
      <c r="C1250" t="s">
        <v>14</v>
      </c>
      <c r="D1250" s="18" t="s">
        <v>15</v>
      </c>
      <c r="E1250">
        <v>12.54</v>
      </c>
      <c r="F1250">
        <v>11.81</v>
      </c>
      <c r="G1250">
        <v>13.73</v>
      </c>
      <c r="H1250">
        <v>13.75</v>
      </c>
      <c r="I1250">
        <v>13.48</v>
      </c>
      <c r="J1250">
        <v>12.76</v>
      </c>
      <c r="K1250">
        <v>13</v>
      </c>
      <c r="L1250">
        <f>Tableau1[[#This Row],[Final_time]]-SUM(Tableau1[[#This Row],[0_100m]:[600_700m]])</f>
        <v>13.749999999999986</v>
      </c>
      <c r="M1250">
        <v>104.82</v>
      </c>
      <c r="N1250">
        <f>SUM(Tableau1[[#This Row],[0_100m]:[700_800m]])</f>
        <v>104.82</v>
      </c>
      <c r="O1250">
        <f>ABS(Tableau1[[#This Row],[Final_time]]-Tableau1[[#This Row],[Sum_time]])</f>
        <v>0</v>
      </c>
      <c r="P1250" s="8"/>
      <c r="Q1250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50" t="s">
        <v>1407</v>
      </c>
      <c r="S1250" s="1" t="s">
        <v>105</v>
      </c>
      <c r="T1250" t="s">
        <v>156</v>
      </c>
      <c r="U1250" s="1" t="s">
        <v>69</v>
      </c>
      <c r="V1250" s="1">
        <v>45918</v>
      </c>
      <c r="W1250" s="4">
        <f>YEAR(Tableau1[[#This Row],[Competition_date]])</f>
        <v>2025</v>
      </c>
      <c r="X1250" s="4">
        <v>25</v>
      </c>
      <c r="Y1250" s="6">
        <v>0.74</v>
      </c>
      <c r="Z1250" s="4"/>
    </row>
    <row r="1251" spans="1:26" hidden="1" x14ac:dyDescent="0.35">
      <c r="A1251" t="str">
        <f>_xlfn.CONCAT(Tableau1[[#This Row],[Athletes]],"_",Tableau1[[#This Row],[Nationality]],"_",Tableau1[[#This Row],[Competition_year]])</f>
        <v>Slimane MOULA_ALG_2025</v>
      </c>
      <c r="B1251" t="s">
        <v>103</v>
      </c>
      <c r="C1251" t="s">
        <v>14</v>
      </c>
      <c r="D1251" s="18" t="s">
        <v>24</v>
      </c>
      <c r="E1251">
        <v>12.37</v>
      </c>
      <c r="F1251">
        <v>12.06</v>
      </c>
      <c r="G1251">
        <v>14.14</v>
      </c>
      <c r="H1251">
        <v>13.71</v>
      </c>
      <c r="I1251">
        <v>13.69</v>
      </c>
      <c r="J1251">
        <v>13.24</v>
      </c>
      <c r="K1251">
        <v>13.41</v>
      </c>
      <c r="L1251">
        <f>Tableau1[[#This Row],[Final_time]]-SUM(Tableau1[[#This Row],[0_100m]:[600_700m]])</f>
        <v>14.200000000000003</v>
      </c>
      <c r="M1251">
        <v>106.82</v>
      </c>
      <c r="N1251">
        <f>SUM(Tableau1[[#This Row],[0_100m]:[700_800m]])</f>
        <v>106.82</v>
      </c>
      <c r="O1251">
        <f>ABS(Tableau1[[#This Row],[Final_time]]-Tableau1[[#This Row],[Sum_time]])</f>
        <v>0</v>
      </c>
      <c r="P1251" s="8"/>
      <c r="Q1251" s="16" t="str">
        <f>_xlfn.CONCAT(Tableau1[[#This Row],[Competition]],"_",Tableau1[[#This Row],[Championship_step]],"_",Tableau1[[#This Row],[Competition_date]],"_",Tableau1[[#This Row],[Gender]])</f>
        <v>World Championship Tokyo 2025_Semi 2_45918_Male</v>
      </c>
      <c r="R1251" t="s">
        <v>1407</v>
      </c>
      <c r="S1251" s="1" t="s">
        <v>105</v>
      </c>
      <c r="T1251" t="s">
        <v>156</v>
      </c>
      <c r="U1251" s="1" t="s">
        <v>69</v>
      </c>
      <c r="V1251" s="1">
        <v>45918</v>
      </c>
      <c r="W1251" s="4">
        <f>YEAR(Tableau1[[#This Row],[Competition_date]])</f>
        <v>2025</v>
      </c>
      <c r="X1251" s="4">
        <v>25</v>
      </c>
      <c r="Y1251" s="6">
        <v>0.74</v>
      </c>
      <c r="Z1251" s="4"/>
    </row>
    <row r="1252" spans="1:26" hidden="1" x14ac:dyDescent="0.35">
      <c r="A1252" t="str">
        <f>_xlfn.CONCAT(Tableau1[[#This Row],[Athletes]],"_",Tableau1[[#This Row],[Nationality]],"_",Tableau1[[#This Row],[Competition_year]])</f>
        <v>Lilian ODIRA_KEN_2025</v>
      </c>
      <c r="B1252" s="9" t="s">
        <v>1381</v>
      </c>
      <c r="C1252" s="9" t="s">
        <v>29</v>
      </c>
      <c r="D1252" s="12" t="s">
        <v>15</v>
      </c>
      <c r="E1252" s="9">
        <v>13.49</v>
      </c>
      <c r="F1252" s="9">
        <v>14.33</v>
      </c>
      <c r="G1252" s="9">
        <v>15.64</v>
      </c>
      <c r="H1252" s="9">
        <v>15.64</v>
      </c>
      <c r="I1252" s="9">
        <v>14.64</v>
      </c>
      <c r="J1252" s="9">
        <v>14.07</v>
      </c>
      <c r="K1252" s="9">
        <v>14.44</v>
      </c>
      <c r="L1252">
        <f>Tableau1[[#This Row],[Final_time]]-SUM(Tableau1[[#This Row],[0_100m]:[600_700m]])</f>
        <v>14.599999999999994</v>
      </c>
      <c r="M1252" s="9">
        <v>116.85</v>
      </c>
      <c r="N1252">
        <f>SUM(Tableau1[[#This Row],[0_100m]:[700_800m]])</f>
        <v>116.85</v>
      </c>
      <c r="O1252">
        <f>ABS(Tableau1[[#This Row],[Final_time]]-Tableau1[[#This Row],[Sum_time]])</f>
        <v>0</v>
      </c>
      <c r="P1252" s="8" t="s">
        <v>141</v>
      </c>
      <c r="Q1252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2" t="s">
        <v>1407</v>
      </c>
      <c r="S1252" s="1" t="s">
        <v>105</v>
      </c>
      <c r="T1252" t="s">
        <v>156</v>
      </c>
      <c r="U1252" s="1" t="s">
        <v>69</v>
      </c>
      <c r="V1252" s="1">
        <v>45919</v>
      </c>
      <c r="W1252" s="4">
        <f>YEAR(Tableau1[[#This Row],[Competition_date]])</f>
        <v>2025</v>
      </c>
      <c r="X1252" s="4">
        <v>23</v>
      </c>
      <c r="Y1252" s="6">
        <v>0.68</v>
      </c>
      <c r="Z1252" s="4"/>
    </row>
    <row r="1253" spans="1:26" hidden="1" x14ac:dyDescent="0.35">
      <c r="A1253" t="str">
        <f>_xlfn.CONCAT(Tableau1[[#This Row],[Athletes]],"_",Tableau1[[#This Row],[Nationality]],"_",Tableau1[[#This Row],[Competition_year]])</f>
        <v>Audrey WERRO_SUI_2025</v>
      </c>
      <c r="B1253" s="9" t="s">
        <v>329</v>
      </c>
      <c r="C1253" s="9" t="s">
        <v>29</v>
      </c>
      <c r="D1253" s="12" t="s">
        <v>73</v>
      </c>
      <c r="E1253" s="9">
        <v>13.46</v>
      </c>
      <c r="F1253" s="9">
        <v>13.95</v>
      </c>
      <c r="G1253" s="9">
        <v>15.74</v>
      </c>
      <c r="H1253" s="9">
        <v>15.33</v>
      </c>
      <c r="I1253" s="9">
        <v>14.59</v>
      </c>
      <c r="J1253" s="9">
        <v>14.35</v>
      </c>
      <c r="K1253" s="9">
        <v>14.5</v>
      </c>
      <c r="L1253">
        <f>Tableau1[[#This Row],[Final_time]]-SUM(Tableau1[[#This Row],[0_100m]:[600_700m]])</f>
        <v>15.070000000000007</v>
      </c>
      <c r="M1253" s="9">
        <v>116.99</v>
      </c>
      <c r="N1253">
        <f>SUM(Tableau1[[#This Row],[0_100m]:[700_800m]])</f>
        <v>116.99</v>
      </c>
      <c r="O1253">
        <f>ABS(Tableau1[[#This Row],[Final_time]]-Tableau1[[#This Row],[Sum_time]])</f>
        <v>0</v>
      </c>
      <c r="P1253" s="8" t="s">
        <v>141</v>
      </c>
      <c r="Q1253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3" t="s">
        <v>1407</v>
      </c>
      <c r="S1253" s="1" t="s">
        <v>105</v>
      </c>
      <c r="T1253" t="s">
        <v>156</v>
      </c>
      <c r="U1253" s="1" t="s">
        <v>69</v>
      </c>
      <c r="V1253" s="1">
        <v>45919</v>
      </c>
      <c r="W1253" s="4">
        <f>YEAR(Tableau1[[#This Row],[Competition_date]])</f>
        <v>2025</v>
      </c>
      <c r="X1253" s="4">
        <v>23</v>
      </c>
      <c r="Y1253" s="6">
        <v>0.68</v>
      </c>
      <c r="Z1253" s="4"/>
    </row>
    <row r="1254" spans="1:26" hidden="1" x14ac:dyDescent="0.35">
      <c r="A1254" t="str">
        <f>_xlfn.CONCAT(Tableau1[[#This Row],[Athletes]],"_",Tableau1[[#This Row],[Nationality]],"_",Tableau1[[#This Row],[Competition_year]])</f>
        <v>Jessica HULL_AUS_2025</v>
      </c>
      <c r="B1254" s="9" t="s">
        <v>891</v>
      </c>
      <c r="C1254" s="9" t="s">
        <v>29</v>
      </c>
      <c r="D1254" s="12" t="s">
        <v>36</v>
      </c>
      <c r="E1254" s="9">
        <v>14.57</v>
      </c>
      <c r="F1254" s="9">
        <v>13.89</v>
      </c>
      <c r="G1254" s="9">
        <v>15.38</v>
      </c>
      <c r="H1254" s="9">
        <v>14.82</v>
      </c>
      <c r="I1254" s="9">
        <v>14.63</v>
      </c>
      <c r="J1254" s="9">
        <v>14.33</v>
      </c>
      <c r="K1254" s="9">
        <v>14.56</v>
      </c>
      <c r="L1254">
        <f>Tableau1[[#This Row],[Final_time]]-SUM(Tableau1[[#This Row],[0_100m]:[600_700m]])</f>
        <v>14.969999999999999</v>
      </c>
      <c r="M1254" s="9">
        <v>117.15</v>
      </c>
      <c r="N1254">
        <f>SUM(Tableau1[[#This Row],[0_100m]:[700_800m]])</f>
        <v>117.15</v>
      </c>
      <c r="O1254">
        <f>ABS(Tableau1[[#This Row],[Final_time]]-Tableau1[[#This Row],[Sum_time]])</f>
        <v>0</v>
      </c>
      <c r="P1254" s="8" t="s">
        <v>142</v>
      </c>
      <c r="Q1254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4" t="s">
        <v>1407</v>
      </c>
      <c r="S1254" s="1" t="s">
        <v>105</v>
      </c>
      <c r="T1254" t="s">
        <v>156</v>
      </c>
      <c r="U1254" s="1" t="s">
        <v>69</v>
      </c>
      <c r="V1254" s="1">
        <v>45919</v>
      </c>
      <c r="W1254" s="4">
        <f>YEAR(Tableau1[[#This Row],[Competition_date]])</f>
        <v>2025</v>
      </c>
      <c r="X1254" s="4">
        <v>23</v>
      </c>
      <c r="Y1254" s="6">
        <v>0.68</v>
      </c>
      <c r="Z1254" s="4"/>
    </row>
    <row r="1255" spans="1:26" hidden="1" x14ac:dyDescent="0.35">
      <c r="A1255" t="str">
        <f>_xlfn.CONCAT(Tableau1[[#This Row],[Athletes]],"_",Tableau1[[#This Row],[Nationality]],"_",Tableau1[[#This Row],[Competition_year]])</f>
        <v>Sage HURTA-KLECKER_USA_2025</v>
      </c>
      <c r="B1255" s="9" t="s">
        <v>289</v>
      </c>
      <c r="C1255" s="9" t="s">
        <v>29</v>
      </c>
      <c r="D1255" s="12" t="s">
        <v>35</v>
      </c>
      <c r="E1255" s="9">
        <v>13.99</v>
      </c>
      <c r="F1255" s="9">
        <v>13.99</v>
      </c>
      <c r="G1255" s="9">
        <v>15.6</v>
      </c>
      <c r="H1255" s="9">
        <v>15.29</v>
      </c>
      <c r="I1255" s="9">
        <v>14.64</v>
      </c>
      <c r="J1255" s="9">
        <v>14.33</v>
      </c>
      <c r="K1255" s="9">
        <v>14.94</v>
      </c>
      <c r="L1255">
        <f>Tableau1[[#This Row],[Final_time]]-SUM(Tableau1[[#This Row],[0_100m]:[600_700m]])</f>
        <v>14.840000000000018</v>
      </c>
      <c r="M1255" s="9">
        <v>117.62</v>
      </c>
      <c r="N1255">
        <f>SUM(Tableau1[[#This Row],[0_100m]:[700_800m]])</f>
        <v>117.62</v>
      </c>
      <c r="O1255">
        <f>ABS(Tableau1[[#This Row],[Final_time]]-Tableau1[[#This Row],[Sum_time]])</f>
        <v>0</v>
      </c>
      <c r="P1255" s="8" t="s">
        <v>142</v>
      </c>
      <c r="Q1255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5" t="s">
        <v>1407</v>
      </c>
      <c r="S1255" s="1" t="s">
        <v>105</v>
      </c>
      <c r="T1255" t="s">
        <v>156</v>
      </c>
      <c r="U1255" s="1" t="s">
        <v>69</v>
      </c>
      <c r="V1255" s="1">
        <v>45919</v>
      </c>
      <c r="W1255" s="4">
        <f>YEAR(Tableau1[[#This Row],[Competition_date]])</f>
        <v>2025</v>
      </c>
      <c r="X1255" s="4">
        <v>23</v>
      </c>
      <c r="Y1255" s="6">
        <v>0.68</v>
      </c>
      <c r="Z1255" s="4"/>
    </row>
    <row r="1256" spans="1:26" hidden="1" x14ac:dyDescent="0.35">
      <c r="A1256" t="str">
        <f>_xlfn.CONCAT(Tableau1[[#This Row],[Athletes]],"_",Tableau1[[#This Row],[Nationality]],"_",Tableau1[[#This Row],[Competition_year]])</f>
        <v>Tsige DUGUMA_ETH_2025</v>
      </c>
      <c r="B1256" s="9" t="s">
        <v>1283</v>
      </c>
      <c r="C1256" s="9" t="s">
        <v>29</v>
      </c>
      <c r="D1256" s="12" t="s">
        <v>49</v>
      </c>
      <c r="E1256" s="9">
        <v>13.26</v>
      </c>
      <c r="F1256" s="9">
        <v>14.09</v>
      </c>
      <c r="G1256" s="9">
        <v>15.83</v>
      </c>
      <c r="H1256" s="9">
        <v>15.29</v>
      </c>
      <c r="I1256" s="9">
        <v>14.61</v>
      </c>
      <c r="J1256" s="9">
        <v>14.33</v>
      </c>
      <c r="K1256" s="9">
        <v>14.65</v>
      </c>
      <c r="L1256">
        <f>Tableau1[[#This Row],[Final_time]]-SUM(Tableau1[[#This Row],[0_100m]:[600_700m]])</f>
        <v>15.64</v>
      </c>
      <c r="M1256" s="9">
        <v>117.7</v>
      </c>
      <c r="N1256">
        <f>SUM(Tableau1[[#This Row],[0_100m]:[700_800m]])</f>
        <v>117.7</v>
      </c>
      <c r="O1256">
        <f>ABS(Tableau1[[#This Row],[Final_time]]-Tableau1[[#This Row],[Sum_time]])</f>
        <v>0</v>
      </c>
      <c r="P1256" s="8"/>
      <c r="Q1256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6" t="s">
        <v>1407</v>
      </c>
      <c r="S1256" s="1" t="s">
        <v>105</v>
      </c>
      <c r="T1256" t="s">
        <v>156</v>
      </c>
      <c r="U1256" s="1" t="s">
        <v>69</v>
      </c>
      <c r="V1256" s="1">
        <v>45919</v>
      </c>
      <c r="W1256" s="4">
        <f>YEAR(Tableau1[[#This Row],[Competition_date]])</f>
        <v>2025</v>
      </c>
      <c r="X1256" s="4">
        <v>23</v>
      </c>
      <c r="Y1256" s="6">
        <v>0.68</v>
      </c>
      <c r="Z1256" s="4"/>
    </row>
    <row r="1257" spans="1:26" hidden="1" x14ac:dyDescent="0.35">
      <c r="A1257" t="str">
        <f>_xlfn.CONCAT(Tableau1[[#This Row],[Athletes]],"_",Tableau1[[#This Row],[Nationality]],"_",Tableau1[[#This Row],[Competition_year]])</f>
        <v>Halimah NAKAAYI_UGA_2025</v>
      </c>
      <c r="B1257" s="9" t="s">
        <v>230</v>
      </c>
      <c r="C1257" s="9" t="s">
        <v>29</v>
      </c>
      <c r="D1257" s="12" t="s">
        <v>34</v>
      </c>
      <c r="E1257" s="9">
        <v>13.55</v>
      </c>
      <c r="F1257" s="9">
        <v>13.99</v>
      </c>
      <c r="G1257" s="9">
        <v>15.78</v>
      </c>
      <c r="H1257" s="9">
        <v>15.41</v>
      </c>
      <c r="I1257" s="9">
        <v>14.61</v>
      </c>
      <c r="J1257" s="9">
        <v>14.37</v>
      </c>
      <c r="K1257" s="9">
        <v>14.7</v>
      </c>
      <c r="L1257">
        <f>Tableau1[[#This Row],[Final_time]]-SUM(Tableau1[[#This Row],[0_100m]:[600_700m]])</f>
        <v>15.379999999999995</v>
      </c>
      <c r="M1257" s="9">
        <v>117.79</v>
      </c>
      <c r="N1257">
        <f>SUM(Tableau1[[#This Row],[0_100m]:[700_800m]])</f>
        <v>117.79</v>
      </c>
      <c r="O1257">
        <f>ABS(Tableau1[[#This Row],[Final_time]]-Tableau1[[#This Row],[Sum_time]])</f>
        <v>0</v>
      </c>
      <c r="P1257" s="8"/>
      <c r="Q1257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7" t="s">
        <v>1407</v>
      </c>
      <c r="S1257" s="1" t="s">
        <v>105</v>
      </c>
      <c r="T1257" t="s">
        <v>156</v>
      </c>
      <c r="U1257" s="1" t="s">
        <v>69</v>
      </c>
      <c r="V1257" s="1">
        <v>45919</v>
      </c>
      <c r="W1257" s="4">
        <f>YEAR(Tableau1[[#This Row],[Competition_date]])</f>
        <v>2025</v>
      </c>
      <c r="X1257" s="4">
        <v>23</v>
      </c>
      <c r="Y1257" s="6">
        <v>0.68</v>
      </c>
      <c r="Z1257" s="4"/>
    </row>
    <row r="1258" spans="1:26" hidden="1" x14ac:dyDescent="0.35">
      <c r="A1258" t="str">
        <f>_xlfn.CONCAT(Tableau1[[#This Row],[Athletes]],"_",Tableau1[[#This Row],[Nationality]],"_",Tableau1[[#This Row],[Competition_year]])</f>
        <v>Assia RAZIKI_MAR_2025</v>
      </c>
      <c r="B1258" s="9" t="s">
        <v>265</v>
      </c>
      <c r="C1258" s="9" t="s">
        <v>29</v>
      </c>
      <c r="D1258" s="12" t="s">
        <v>21</v>
      </c>
      <c r="E1258" s="9">
        <v>13.57</v>
      </c>
      <c r="F1258" s="9">
        <v>14.05</v>
      </c>
      <c r="G1258" s="9">
        <v>15.85</v>
      </c>
      <c r="H1258" s="9">
        <v>15.47</v>
      </c>
      <c r="I1258" s="9">
        <v>14.69</v>
      </c>
      <c r="J1258" s="9">
        <v>14.43</v>
      </c>
      <c r="K1258" s="9">
        <v>14.65</v>
      </c>
      <c r="L1258">
        <f>Tableau1[[#This Row],[Final_time]]-SUM(Tableau1[[#This Row],[0_100m]:[600_700m]])</f>
        <v>15.159999999999997</v>
      </c>
      <c r="M1258" s="9">
        <v>117.87</v>
      </c>
      <c r="N1258">
        <f>SUM(Tableau1[[#This Row],[0_100m]:[700_800m]])</f>
        <v>117.87</v>
      </c>
      <c r="O1258">
        <f>ABS(Tableau1[[#This Row],[Final_time]]-Tableau1[[#This Row],[Sum_time]])</f>
        <v>0</v>
      </c>
      <c r="P1258" s="8"/>
      <c r="Q1258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8" t="s">
        <v>1407</v>
      </c>
      <c r="S1258" s="1" t="s">
        <v>105</v>
      </c>
      <c r="T1258" t="s">
        <v>156</v>
      </c>
      <c r="U1258" s="1" t="s">
        <v>69</v>
      </c>
      <c r="V1258" s="1">
        <v>45919</v>
      </c>
      <c r="W1258" s="4">
        <f>YEAR(Tableau1[[#This Row],[Competition_date]])</f>
        <v>2025</v>
      </c>
      <c r="X1258" s="4">
        <v>23</v>
      </c>
      <c r="Y1258" s="6">
        <v>0.68</v>
      </c>
      <c r="Z1258" s="4"/>
    </row>
    <row r="1259" spans="1:26" hidden="1" x14ac:dyDescent="0.35">
      <c r="A1259" t="str">
        <f>_xlfn.CONCAT(Tableau1[[#This Row],[Athletes]],"_",Tableau1[[#This Row],[Nationality]],"_",Tableau1[[#This Row],[Competition_year]])</f>
        <v>Gabija GALVYDYTĖ_LTU_2025</v>
      </c>
      <c r="B1259" s="9" t="s">
        <v>1443</v>
      </c>
      <c r="C1259" s="9" t="s">
        <v>29</v>
      </c>
      <c r="D1259" s="12" t="s">
        <v>1444</v>
      </c>
      <c r="E1259" s="9">
        <v>14.03</v>
      </c>
      <c r="F1259" s="9">
        <v>13.83</v>
      </c>
      <c r="G1259" s="9">
        <v>15.84</v>
      </c>
      <c r="H1259" s="9">
        <v>15.63</v>
      </c>
      <c r="I1259" s="9">
        <v>14.69</v>
      </c>
      <c r="J1259" s="9">
        <v>14.47</v>
      </c>
      <c r="K1259" s="9">
        <v>14.7</v>
      </c>
      <c r="L1259">
        <f>Tableau1[[#This Row],[Final_time]]-SUM(Tableau1[[#This Row],[0_100m]:[600_700m]])</f>
        <v>14.769999999999982</v>
      </c>
      <c r="M1259" s="9">
        <v>117.96</v>
      </c>
      <c r="N1259">
        <f>SUM(Tableau1[[#This Row],[0_100m]:[700_800m]])</f>
        <v>117.96</v>
      </c>
      <c r="O1259">
        <f>ABS(Tableau1[[#This Row],[Final_time]]-Tableau1[[#This Row],[Sum_time]])</f>
        <v>0</v>
      </c>
      <c r="P1259" s="8"/>
      <c r="Q1259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59" t="s">
        <v>1407</v>
      </c>
      <c r="S1259" s="1" t="s">
        <v>105</v>
      </c>
      <c r="T1259" t="s">
        <v>156</v>
      </c>
      <c r="U1259" s="1" t="s">
        <v>69</v>
      </c>
      <c r="V1259" s="1">
        <v>45919</v>
      </c>
      <c r="W1259" s="4">
        <f>YEAR(Tableau1[[#This Row],[Competition_date]])</f>
        <v>2025</v>
      </c>
      <c r="X1259" s="4">
        <v>23</v>
      </c>
      <c r="Y1259" s="6">
        <v>0.68</v>
      </c>
      <c r="Z1259" s="4"/>
    </row>
    <row r="1260" spans="1:26" hidden="1" x14ac:dyDescent="0.35">
      <c r="A1260" t="str">
        <f>_xlfn.CONCAT(Tableau1[[#This Row],[Athletes]],"_",Tableau1[[#This Row],[Nationality]],"_",Tableau1[[#This Row],[Competition_year]])</f>
        <v>Clara LIBERMAN_FRA_2025</v>
      </c>
      <c r="B1260" s="9" t="s">
        <v>1382</v>
      </c>
      <c r="C1260" s="9" t="s">
        <v>29</v>
      </c>
      <c r="D1260" s="12" t="s">
        <v>17</v>
      </c>
      <c r="E1260" s="9">
        <v>14.02</v>
      </c>
      <c r="F1260" s="9">
        <v>13.93</v>
      </c>
      <c r="G1260" s="9">
        <v>16.05</v>
      </c>
      <c r="H1260" s="9">
        <v>15.53</v>
      </c>
      <c r="I1260" s="9">
        <v>15.09</v>
      </c>
      <c r="J1260" s="9">
        <v>15.67</v>
      </c>
      <c r="K1260" s="9">
        <v>16.940000000000001</v>
      </c>
      <c r="L1260">
        <f>Tableau1[[#This Row],[Final_time]]-SUM(Tableau1[[#This Row],[0_100m]:[600_700m]])</f>
        <v>16.89</v>
      </c>
      <c r="M1260" s="9">
        <v>124.12</v>
      </c>
      <c r="N1260">
        <f>SUM(Tableau1[[#This Row],[0_100m]:[700_800m]])</f>
        <v>124.12</v>
      </c>
      <c r="O1260">
        <f>ABS(Tableau1[[#This Row],[Final_time]]-Tableau1[[#This Row],[Sum_time]])</f>
        <v>0</v>
      </c>
      <c r="P1260" s="8"/>
      <c r="Q1260" s="16" t="str">
        <f>_xlfn.CONCAT(Tableau1[[#This Row],[Competition]],"_",Tableau1[[#This Row],[Championship_step]],"_",Tableau1[[#This Row],[Competition_date]],"_",Tableau1[[#This Row],[Gender]])</f>
        <v>World Championship Tokyo 2025_Semi 2_45919_Female</v>
      </c>
      <c r="R1260" t="s">
        <v>1407</v>
      </c>
      <c r="S1260" s="1" t="s">
        <v>105</v>
      </c>
      <c r="T1260" t="s">
        <v>156</v>
      </c>
      <c r="U1260" s="1" t="s">
        <v>69</v>
      </c>
      <c r="V1260" s="1">
        <v>45919</v>
      </c>
      <c r="W1260" s="4">
        <f>YEAR(Tableau1[[#This Row],[Competition_date]])</f>
        <v>2025</v>
      </c>
      <c r="X1260" s="4">
        <v>23</v>
      </c>
      <c r="Y1260" s="6">
        <v>0.68</v>
      </c>
      <c r="Z1260" s="4"/>
    </row>
    <row r="1261" spans="1:26" hidden="1" x14ac:dyDescent="0.35">
      <c r="A1261" t="str">
        <f>_xlfn.CONCAT(Tableau1[[#This Row],[Athletes]],"_",Tableau1[[#This Row],[Nationality]],"_",Tableau1[[#This Row],[Competition_year]])</f>
        <v>Mohamed ATTAOUI_ESP_2025</v>
      </c>
      <c r="B1261" t="s">
        <v>110</v>
      </c>
      <c r="C1261" t="s">
        <v>14</v>
      </c>
      <c r="D1261" s="18" t="s">
        <v>37</v>
      </c>
      <c r="E1261">
        <v>13.15</v>
      </c>
      <c r="F1261">
        <v>12.31</v>
      </c>
      <c r="G1261">
        <v>12.99</v>
      </c>
      <c r="H1261">
        <v>12.91</v>
      </c>
      <c r="I1261">
        <v>13.26</v>
      </c>
      <c r="J1261">
        <v>12.91</v>
      </c>
      <c r="K1261">
        <v>12.5</v>
      </c>
      <c r="L1261">
        <f>Tableau1[[#This Row],[Final_time]]-SUM(Tableau1[[#This Row],[0_100m]:[600_700m]])</f>
        <v>13.150000000000006</v>
      </c>
      <c r="M1261">
        <v>103.18</v>
      </c>
      <c r="N1261">
        <f>SUM(Tableau1[[#This Row],[0_100m]:[700_800m]])</f>
        <v>103.18</v>
      </c>
      <c r="O1261">
        <f>ABS(Tableau1[[#This Row],[Final_time]]-Tableau1[[#This Row],[Sum_time]])</f>
        <v>0</v>
      </c>
      <c r="P1261" s="8" t="s">
        <v>141</v>
      </c>
      <c r="Q1261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1" t="s">
        <v>1407</v>
      </c>
      <c r="S1261" s="1" t="s">
        <v>105</v>
      </c>
      <c r="T1261" t="s">
        <v>157</v>
      </c>
      <c r="U1261" s="1" t="s">
        <v>69</v>
      </c>
      <c r="V1261" s="1">
        <v>45918</v>
      </c>
      <c r="W1261" s="4">
        <f>YEAR(Tableau1[[#This Row],[Competition_date]])</f>
        <v>2025</v>
      </c>
      <c r="X1261" s="4">
        <v>25</v>
      </c>
      <c r="Y1261" s="6">
        <v>0.74</v>
      </c>
      <c r="Z1261" s="4"/>
    </row>
    <row r="1262" spans="1:26" hidden="1" x14ac:dyDescent="0.35">
      <c r="A1262" t="str">
        <f>_xlfn.CONCAT(Tableau1[[#This Row],[Athletes]],"_",Tableau1[[#This Row],[Nationality]],"_",Tableau1[[#This Row],[Competition_year]])</f>
        <v>Emmanuel WANYONYI_KEN_2025</v>
      </c>
      <c r="B1262" t="s">
        <v>183</v>
      </c>
      <c r="C1262" t="s">
        <v>14</v>
      </c>
      <c r="D1262" s="18" t="s">
        <v>15</v>
      </c>
      <c r="E1262">
        <v>12.4</v>
      </c>
      <c r="F1262">
        <v>11.99</v>
      </c>
      <c r="G1262">
        <v>13.02</v>
      </c>
      <c r="H1262">
        <v>13.23</v>
      </c>
      <c r="I1262">
        <v>13.42</v>
      </c>
      <c r="J1262">
        <v>12.96</v>
      </c>
      <c r="K1262">
        <v>13.39</v>
      </c>
      <c r="L1262">
        <f>Tableau1[[#This Row],[Final_time]]-SUM(Tableau1[[#This Row],[0_100m]:[600_700m]])</f>
        <v>13.059999999999988</v>
      </c>
      <c r="M1262">
        <v>103.47</v>
      </c>
      <c r="N1262">
        <f>SUM(Tableau1[[#This Row],[0_100m]:[700_800m]])</f>
        <v>103.47</v>
      </c>
      <c r="O1262">
        <f>ABS(Tableau1[[#This Row],[Final_time]]-Tableau1[[#This Row],[Sum_time]])</f>
        <v>0</v>
      </c>
      <c r="P1262" s="8" t="s">
        <v>141</v>
      </c>
      <c r="Q1262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2" t="s">
        <v>1407</v>
      </c>
      <c r="S1262" s="1" t="s">
        <v>105</v>
      </c>
      <c r="T1262" t="s">
        <v>157</v>
      </c>
      <c r="U1262" s="1" t="s">
        <v>69</v>
      </c>
      <c r="V1262" s="1">
        <v>45918</v>
      </c>
      <c r="W1262" s="4">
        <f>YEAR(Tableau1[[#This Row],[Competition_date]])</f>
        <v>2025</v>
      </c>
      <c r="X1262" s="4">
        <v>25</v>
      </c>
      <c r="Y1262" s="6">
        <v>0.74</v>
      </c>
      <c r="Z1262" s="4"/>
    </row>
    <row r="1263" spans="1:26" hidden="1" x14ac:dyDescent="0.35">
      <c r="A1263" t="str">
        <f>_xlfn.CONCAT(Tableau1[[#This Row],[Athletes]],"_",Tableau1[[#This Row],[Nationality]],"_",Tableau1[[#This Row],[Competition_year]])</f>
        <v>Navasky ANDERSON_JAM_2025</v>
      </c>
      <c r="B1263" t="s">
        <v>245</v>
      </c>
      <c r="C1263" t="s">
        <v>14</v>
      </c>
      <c r="D1263" s="18" t="s">
        <v>33</v>
      </c>
      <c r="E1263">
        <v>12.33</v>
      </c>
      <c r="F1263">
        <v>12.45</v>
      </c>
      <c r="G1263">
        <v>13.14</v>
      </c>
      <c r="H1263">
        <v>12.83</v>
      </c>
      <c r="I1263">
        <v>13.31</v>
      </c>
      <c r="J1263">
        <v>13.22</v>
      </c>
      <c r="K1263">
        <v>13.3</v>
      </c>
      <c r="L1263">
        <f>Tableau1[[#This Row],[Final_time]]-SUM(Tableau1[[#This Row],[0_100m]:[600_700m]])</f>
        <v>13.14</v>
      </c>
      <c r="M1263">
        <v>103.72</v>
      </c>
      <c r="N1263">
        <f>SUM(Tableau1[[#This Row],[0_100m]:[700_800m]])</f>
        <v>103.72</v>
      </c>
      <c r="O1263">
        <f>ABS(Tableau1[[#This Row],[Final_time]]-Tableau1[[#This Row],[Sum_time]])</f>
        <v>0</v>
      </c>
      <c r="P1263" s="8" t="s">
        <v>142</v>
      </c>
      <c r="Q1263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3" t="s">
        <v>1407</v>
      </c>
      <c r="S1263" s="1" t="s">
        <v>105</v>
      </c>
      <c r="T1263" t="s">
        <v>157</v>
      </c>
      <c r="U1263" s="1" t="s">
        <v>69</v>
      </c>
      <c r="V1263" s="1">
        <v>45918</v>
      </c>
      <c r="W1263" s="4">
        <f>YEAR(Tableau1[[#This Row],[Competition_date]])</f>
        <v>2025</v>
      </c>
      <c r="X1263" s="4">
        <v>25</v>
      </c>
      <c r="Y1263" s="6">
        <v>0.74</v>
      </c>
      <c r="Z1263" s="4"/>
    </row>
    <row r="1264" spans="1:26" hidden="1" x14ac:dyDescent="0.35">
      <c r="A1264" t="str">
        <f>_xlfn.CONCAT(Tableau1[[#This Row],[Athletes]],"_",Tableau1[[#This Row],[Nationality]],"_",Tableau1[[#This Row],[Competition_year]])</f>
        <v>Tshepiso MASALELA_BOT_2025</v>
      </c>
      <c r="B1264" t="s">
        <v>107</v>
      </c>
      <c r="C1264" t="s">
        <v>14</v>
      </c>
      <c r="D1264" s="18" t="s">
        <v>44</v>
      </c>
      <c r="E1264">
        <v>12.48</v>
      </c>
      <c r="F1264">
        <v>11.76</v>
      </c>
      <c r="G1264">
        <v>13</v>
      </c>
      <c r="H1264">
        <v>13.28</v>
      </c>
      <c r="I1264">
        <v>13.34</v>
      </c>
      <c r="J1264">
        <v>13.12</v>
      </c>
      <c r="K1264">
        <v>13.45</v>
      </c>
      <c r="L1264">
        <f>Tableau1[[#This Row],[Final_time]]-SUM(Tableau1[[#This Row],[0_100m]:[600_700m]])</f>
        <v>13.36999999999999</v>
      </c>
      <c r="M1264">
        <v>103.8</v>
      </c>
      <c r="N1264">
        <f>SUM(Tableau1[[#This Row],[0_100m]:[700_800m]])</f>
        <v>103.8</v>
      </c>
      <c r="O1264">
        <f>ABS(Tableau1[[#This Row],[Final_time]]-Tableau1[[#This Row],[Sum_time]])</f>
        <v>0</v>
      </c>
      <c r="P1264" s="8" t="s">
        <v>142</v>
      </c>
      <c r="Q1264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4" t="s">
        <v>1407</v>
      </c>
      <c r="S1264" s="1" t="s">
        <v>105</v>
      </c>
      <c r="T1264" t="s">
        <v>157</v>
      </c>
      <c r="U1264" s="1" t="s">
        <v>69</v>
      </c>
      <c r="V1264" s="1">
        <v>45918</v>
      </c>
      <c r="W1264" s="4">
        <f>YEAR(Tableau1[[#This Row],[Competition_date]])</f>
        <v>2025</v>
      </c>
      <c r="X1264" s="4">
        <v>25</v>
      </c>
      <c r="Y1264" s="6">
        <v>0.74</v>
      </c>
      <c r="Z1264" s="4"/>
    </row>
    <row r="1265" spans="1:26" hidden="1" x14ac:dyDescent="0.35">
      <c r="A1265" t="str">
        <f>_xlfn.CONCAT(Tableau1[[#This Row],[Athletes]],"_",Tableau1[[#This Row],[Nationality]],"_",Tableau1[[#This Row],[Competition_year]])</f>
        <v>Bryce HOPPEL_USA_2025</v>
      </c>
      <c r="B1265" t="s">
        <v>173</v>
      </c>
      <c r="C1265" t="s">
        <v>14</v>
      </c>
      <c r="D1265" s="18" t="s">
        <v>35</v>
      </c>
      <c r="E1265">
        <v>12.65</v>
      </c>
      <c r="F1265">
        <v>11.92</v>
      </c>
      <c r="G1265">
        <v>13.24</v>
      </c>
      <c r="H1265">
        <v>13.04</v>
      </c>
      <c r="I1265">
        <v>13.39</v>
      </c>
      <c r="J1265">
        <v>13.24</v>
      </c>
      <c r="K1265">
        <v>13.41</v>
      </c>
      <c r="L1265">
        <f>Tableau1[[#This Row],[Final_time]]-SUM(Tableau1[[#This Row],[0_100m]:[600_700m]])</f>
        <v>13.030000000000001</v>
      </c>
      <c r="M1265">
        <v>103.92</v>
      </c>
      <c r="N1265">
        <f>SUM(Tableau1[[#This Row],[0_100m]:[700_800m]])</f>
        <v>103.92</v>
      </c>
      <c r="O1265">
        <f>ABS(Tableau1[[#This Row],[Final_time]]-Tableau1[[#This Row],[Sum_time]])</f>
        <v>0</v>
      </c>
      <c r="P1265" s="8"/>
      <c r="Q1265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5" t="s">
        <v>1407</v>
      </c>
      <c r="S1265" s="1" t="s">
        <v>105</v>
      </c>
      <c r="T1265" t="s">
        <v>157</v>
      </c>
      <c r="U1265" s="1" t="s">
        <v>69</v>
      </c>
      <c r="V1265" s="1">
        <v>45918</v>
      </c>
      <c r="W1265" s="4">
        <f>YEAR(Tableau1[[#This Row],[Competition_date]])</f>
        <v>2025</v>
      </c>
      <c r="X1265" s="4">
        <v>25</v>
      </c>
      <c r="Y1265" s="6">
        <v>0.74</v>
      </c>
      <c r="Z1265" s="4"/>
    </row>
    <row r="1266" spans="1:26" hidden="1" x14ac:dyDescent="0.35">
      <c r="A1266" t="str">
        <f>_xlfn.CONCAT(Tableau1[[#This Row],[Athletes]],"_",Tableau1[[#This Row],[Nationality]],"_",Tableau1[[#This Row],[Competition_year]])</f>
        <v>Yanis MEZIANE_FRA_2025</v>
      </c>
      <c r="B1266" t="s">
        <v>171</v>
      </c>
      <c r="C1266" t="s">
        <v>14</v>
      </c>
      <c r="D1266" s="18" t="s">
        <v>17</v>
      </c>
      <c r="E1266">
        <v>12.37</v>
      </c>
      <c r="F1266">
        <v>11.75</v>
      </c>
      <c r="G1266">
        <v>13.01</v>
      </c>
      <c r="H1266">
        <v>13.23</v>
      </c>
      <c r="I1266">
        <v>13.39</v>
      </c>
      <c r="J1266">
        <v>13.49</v>
      </c>
      <c r="K1266">
        <v>13.62</v>
      </c>
      <c r="L1266">
        <f>Tableau1[[#This Row],[Final_time]]-SUM(Tableau1[[#This Row],[0_100m]:[600_700m]])</f>
        <v>13.260000000000005</v>
      </c>
      <c r="M1266">
        <v>104.12</v>
      </c>
      <c r="N1266">
        <f>SUM(Tableau1[[#This Row],[0_100m]:[700_800m]])</f>
        <v>104.12</v>
      </c>
      <c r="O1266">
        <f>ABS(Tableau1[[#This Row],[Final_time]]-Tableau1[[#This Row],[Sum_time]])</f>
        <v>0</v>
      </c>
      <c r="P1266" s="8"/>
      <c r="Q1266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6" t="s">
        <v>1407</v>
      </c>
      <c r="S1266" s="1" t="s">
        <v>105</v>
      </c>
      <c r="T1266" t="s">
        <v>157</v>
      </c>
      <c r="U1266" s="1" t="s">
        <v>69</v>
      </c>
      <c r="V1266" s="1">
        <v>45918</v>
      </c>
      <c r="W1266" s="4">
        <f>YEAR(Tableau1[[#This Row],[Competition_date]])</f>
        <v>2025</v>
      </c>
      <c r="X1266" s="4">
        <v>25</v>
      </c>
      <c r="Y1266" s="6">
        <v>0.74</v>
      </c>
      <c r="Z1266" s="4"/>
    </row>
    <row r="1267" spans="1:26" hidden="1" x14ac:dyDescent="0.35">
      <c r="A1267" t="str">
        <f>_xlfn.CONCAT(Tableau1[[#This Row],[Athletes]],"_",Tableau1[[#This Row],[Nationality]],"_",Tableau1[[#This Row],[Competition_year]])</f>
        <v>Marino BLOUDEK_CRO_2025</v>
      </c>
      <c r="B1267" t="s">
        <v>200</v>
      </c>
      <c r="C1267" t="s">
        <v>14</v>
      </c>
      <c r="D1267" s="18" t="s">
        <v>122</v>
      </c>
      <c r="E1267">
        <v>12.45</v>
      </c>
      <c r="F1267">
        <v>12.07</v>
      </c>
      <c r="G1267">
        <v>13.1</v>
      </c>
      <c r="H1267">
        <v>13.34</v>
      </c>
      <c r="I1267">
        <v>13.63</v>
      </c>
      <c r="J1267">
        <v>13.28</v>
      </c>
      <c r="K1267">
        <v>13.39</v>
      </c>
      <c r="L1267">
        <f>Tableau1[[#This Row],[Final_time]]-SUM(Tableau1[[#This Row],[0_100m]:[600_700m]])</f>
        <v>13.070000000000007</v>
      </c>
      <c r="M1267">
        <v>104.33</v>
      </c>
      <c r="N1267">
        <f>SUM(Tableau1[[#This Row],[0_100m]:[700_800m]])</f>
        <v>104.33</v>
      </c>
      <c r="O1267">
        <f>ABS(Tableau1[[#This Row],[Final_time]]-Tableau1[[#This Row],[Sum_time]])</f>
        <v>0</v>
      </c>
      <c r="P1267" s="8"/>
      <c r="Q1267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7" t="s">
        <v>1407</v>
      </c>
      <c r="S1267" s="1" t="s">
        <v>105</v>
      </c>
      <c r="T1267" t="s">
        <v>157</v>
      </c>
      <c r="U1267" s="1" t="s">
        <v>69</v>
      </c>
      <c r="V1267" s="1">
        <v>45918</v>
      </c>
      <c r="W1267" s="4">
        <f>YEAR(Tableau1[[#This Row],[Competition_date]])</f>
        <v>2025</v>
      </c>
      <c r="X1267" s="4">
        <v>25</v>
      </c>
      <c r="Y1267" s="6">
        <v>0.74</v>
      </c>
      <c r="Z1267" s="4"/>
    </row>
    <row r="1268" spans="1:26" hidden="1" x14ac:dyDescent="0.35">
      <c r="A1268" t="str">
        <f>_xlfn.CONCAT(Tableau1[[#This Row],[Athletes]],"_",Tableau1[[#This Row],[Nationality]],"_",Tableau1[[#This Row],[Competition_year]])</f>
        <v>Eliott CRESTAN_BEL_2025</v>
      </c>
      <c r="B1268" t="s">
        <v>244</v>
      </c>
      <c r="C1268" t="s">
        <v>14</v>
      </c>
      <c r="D1268" s="18" t="s">
        <v>18</v>
      </c>
      <c r="E1268">
        <v>12.56</v>
      </c>
      <c r="F1268">
        <v>12.38</v>
      </c>
      <c r="G1268">
        <v>13.23</v>
      </c>
      <c r="H1268">
        <v>12.9</v>
      </c>
      <c r="I1268">
        <v>13.34</v>
      </c>
      <c r="J1268">
        <v>13.15</v>
      </c>
      <c r="K1268">
        <v>13.43</v>
      </c>
      <c r="L1268">
        <f>Tableau1[[#This Row],[Final_time]]-SUM(Tableau1[[#This Row],[0_100m]:[600_700m]])</f>
        <v>13.569999999999993</v>
      </c>
      <c r="M1268">
        <v>104.56</v>
      </c>
      <c r="N1268">
        <f>SUM(Tableau1[[#This Row],[0_100m]:[700_800m]])</f>
        <v>104.56</v>
      </c>
      <c r="O1268">
        <f>ABS(Tableau1[[#This Row],[Final_time]]-Tableau1[[#This Row],[Sum_time]])</f>
        <v>0</v>
      </c>
      <c r="P1268" s="8"/>
      <c r="Q1268" s="16" t="str">
        <f>_xlfn.CONCAT(Tableau1[[#This Row],[Competition]],"_",Tableau1[[#This Row],[Championship_step]],"_",Tableau1[[#This Row],[Competition_date]],"_",Tableau1[[#This Row],[Gender]])</f>
        <v>World Championship Tokyo 2025_Semi 3_45918_Male</v>
      </c>
      <c r="R1268" t="s">
        <v>1407</v>
      </c>
      <c r="S1268" s="1" t="s">
        <v>105</v>
      </c>
      <c r="T1268" t="s">
        <v>157</v>
      </c>
      <c r="U1268" s="1" t="s">
        <v>69</v>
      </c>
      <c r="V1268" s="1">
        <v>45918</v>
      </c>
      <c r="W1268" s="4">
        <f>YEAR(Tableau1[[#This Row],[Competition_date]])</f>
        <v>2025</v>
      </c>
      <c r="X1268" s="4">
        <v>25</v>
      </c>
      <c r="Y1268" s="6">
        <v>0.74</v>
      </c>
      <c r="Z1268" s="4"/>
    </row>
    <row r="1269" spans="1:26" hidden="1" x14ac:dyDescent="0.35">
      <c r="A1269" t="str">
        <f>_xlfn.CONCAT(Tableau1[[#This Row],[Athletes]],"_",Tableau1[[#This Row],[Nationality]],"_",Tableau1[[#This Row],[Competition_year]])</f>
        <v>Sarah MORAA_KEN_2025</v>
      </c>
      <c r="B1269" s="9" t="s">
        <v>1439</v>
      </c>
      <c r="C1269" s="9" t="s">
        <v>29</v>
      </c>
      <c r="D1269" s="12" t="s">
        <v>15</v>
      </c>
      <c r="E1269" s="9">
        <v>14.22</v>
      </c>
      <c r="F1269" s="9">
        <v>14.23</v>
      </c>
      <c r="G1269" s="9">
        <v>15.42</v>
      </c>
      <c r="H1269" s="9">
        <v>14.74</v>
      </c>
      <c r="I1269" s="9">
        <v>14.82</v>
      </c>
      <c r="J1269" s="9">
        <v>14.7</v>
      </c>
      <c r="K1269" s="9">
        <v>14.73</v>
      </c>
      <c r="L1269">
        <f>Tableau1[[#This Row],[Final_time]]-SUM(Tableau1[[#This Row],[0_100m]:[600_700m]])</f>
        <v>14.669999999999987</v>
      </c>
      <c r="M1269" s="9">
        <v>117.53</v>
      </c>
      <c r="N1269">
        <f>SUM(Tableau1[[#This Row],[0_100m]:[700_800m]])</f>
        <v>117.53</v>
      </c>
      <c r="O1269">
        <f>ABS(Tableau1[[#This Row],[Final_time]]-Tableau1[[#This Row],[Sum_time]])</f>
        <v>0</v>
      </c>
      <c r="P1269" s="8"/>
      <c r="Q1269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69" t="s">
        <v>1407</v>
      </c>
      <c r="S1269" s="1" t="s">
        <v>105</v>
      </c>
      <c r="T1269" t="s">
        <v>157</v>
      </c>
      <c r="U1269" s="1" t="s">
        <v>69</v>
      </c>
      <c r="V1269" s="1">
        <v>45919</v>
      </c>
      <c r="W1269" s="4">
        <f>YEAR(Tableau1[[#This Row],[Competition_date]])</f>
        <v>2025</v>
      </c>
      <c r="X1269" s="4">
        <v>23</v>
      </c>
      <c r="Y1269" s="6">
        <v>0.68</v>
      </c>
      <c r="Z1269" s="4"/>
    </row>
    <row r="1270" spans="1:26" hidden="1" x14ac:dyDescent="0.35">
      <c r="A1270" t="str">
        <f>_xlfn.CONCAT(Tableau1[[#This Row],[Athletes]],"_",Tableau1[[#This Row],[Nationality]],"_",Tableau1[[#This Row],[Competition_year]])</f>
        <v>Keely HODGKINSON_GBR_2025</v>
      </c>
      <c r="B1270" s="9" t="s">
        <v>212</v>
      </c>
      <c r="C1270" s="9" t="s">
        <v>29</v>
      </c>
      <c r="D1270" s="12" t="s">
        <v>30</v>
      </c>
      <c r="E1270" s="9">
        <v>13.69</v>
      </c>
      <c r="F1270" s="9">
        <v>14.19</v>
      </c>
      <c r="G1270" s="9">
        <v>14.84</v>
      </c>
      <c r="H1270" s="9">
        <v>15.25</v>
      </c>
      <c r="I1270" s="9">
        <v>14.73</v>
      </c>
      <c r="J1270" s="9">
        <v>14.87</v>
      </c>
      <c r="K1270" s="9">
        <v>14.82</v>
      </c>
      <c r="L1270">
        <f>Tableau1[[#This Row],[Final_time]]-SUM(Tableau1[[#This Row],[0_100m]:[600_700m]])</f>
        <v>15.139999999999986</v>
      </c>
      <c r="M1270" s="9">
        <v>117.53</v>
      </c>
      <c r="N1270">
        <f>SUM(Tableau1[[#This Row],[0_100m]:[700_800m]])</f>
        <v>117.53</v>
      </c>
      <c r="O1270">
        <f>ABS(Tableau1[[#This Row],[Final_time]]-Tableau1[[#This Row],[Sum_time]])</f>
        <v>0</v>
      </c>
      <c r="P1270" s="8"/>
      <c r="Q1270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0" t="s">
        <v>1407</v>
      </c>
      <c r="S1270" s="1" t="s">
        <v>105</v>
      </c>
      <c r="T1270" t="s">
        <v>157</v>
      </c>
      <c r="U1270" s="1" t="s">
        <v>69</v>
      </c>
      <c r="V1270" s="1">
        <v>45919</v>
      </c>
      <c r="W1270" s="4">
        <f>YEAR(Tableau1[[#This Row],[Competition_date]])</f>
        <v>2025</v>
      </c>
      <c r="X1270" s="4">
        <v>23</v>
      </c>
      <c r="Y1270" s="6">
        <v>0.68</v>
      </c>
      <c r="Z1270" s="4"/>
    </row>
    <row r="1271" spans="1:26" hidden="1" x14ac:dyDescent="0.35">
      <c r="A1271" t="str">
        <f>_xlfn.CONCAT(Tableau1[[#This Row],[Athletes]],"_",Tableau1[[#This Row],[Nationality]],"_",Tableau1[[#This Row],[Competition_year]])</f>
        <v>Anaïs BOURGOIN_FRA_2025</v>
      </c>
      <c r="B1271" s="9" t="s">
        <v>1375</v>
      </c>
      <c r="C1271" s="9" t="s">
        <v>29</v>
      </c>
      <c r="D1271" s="12" t="s">
        <v>17</v>
      </c>
      <c r="E1271" s="9">
        <v>13.85</v>
      </c>
      <c r="F1271" s="9">
        <v>14.21</v>
      </c>
      <c r="G1271" s="9">
        <v>15.03</v>
      </c>
      <c r="H1271" s="9">
        <v>15.09</v>
      </c>
      <c r="I1271" s="9">
        <v>14.8</v>
      </c>
      <c r="J1271" s="9">
        <v>14.68</v>
      </c>
      <c r="K1271" s="9">
        <v>14.93</v>
      </c>
      <c r="L1271">
        <f>Tableau1[[#This Row],[Final_time]]-SUM(Tableau1[[#This Row],[0_100m]:[600_700m]])</f>
        <v>15.409999999999997</v>
      </c>
      <c r="M1271" s="9">
        <v>118</v>
      </c>
      <c r="N1271">
        <f>SUM(Tableau1[[#This Row],[0_100m]:[700_800m]])</f>
        <v>118</v>
      </c>
      <c r="O1271">
        <f>ABS(Tableau1[[#This Row],[Final_time]]-Tableau1[[#This Row],[Sum_time]])</f>
        <v>0</v>
      </c>
      <c r="P1271" s="8"/>
      <c r="Q1271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1" t="s">
        <v>1407</v>
      </c>
      <c r="S1271" s="1" t="s">
        <v>105</v>
      </c>
      <c r="T1271" t="s">
        <v>157</v>
      </c>
      <c r="U1271" s="1" t="s">
        <v>69</v>
      </c>
      <c r="V1271" s="1">
        <v>45919</v>
      </c>
      <c r="W1271" s="4">
        <f>YEAR(Tableau1[[#This Row],[Competition_date]])</f>
        <v>2025</v>
      </c>
      <c r="X1271" s="4">
        <v>23</v>
      </c>
      <c r="Y1271" s="6">
        <v>0.68</v>
      </c>
      <c r="Z1271" s="4"/>
    </row>
    <row r="1272" spans="1:26" hidden="1" x14ac:dyDescent="0.35">
      <c r="A1272" t="str">
        <f>_xlfn.CONCAT(Tableau1[[#This Row],[Athletes]],"_",Tableau1[[#This Row],[Nationality]],"_",Tableau1[[#This Row],[Competition_year]])</f>
        <v>Oratile NOWE_BOT_2025</v>
      </c>
      <c r="B1272" s="9" t="s">
        <v>1352</v>
      </c>
      <c r="C1272" s="9" t="s">
        <v>29</v>
      </c>
      <c r="D1272" s="12" t="s">
        <v>44</v>
      </c>
      <c r="E1272" s="9">
        <v>13.69</v>
      </c>
      <c r="F1272" s="9">
        <v>14.33</v>
      </c>
      <c r="G1272" s="9">
        <v>15.06</v>
      </c>
      <c r="H1272" s="9">
        <v>15.17</v>
      </c>
      <c r="I1272" s="9">
        <v>15.01</v>
      </c>
      <c r="J1272" s="9">
        <v>14.56</v>
      </c>
      <c r="K1272" s="9">
        <v>14.92</v>
      </c>
      <c r="L1272">
        <f>Tableau1[[#This Row],[Final_time]]-SUM(Tableau1[[#This Row],[0_100m]:[600_700m]])</f>
        <v>15.689999999999998</v>
      </c>
      <c r="M1272" s="9">
        <v>118.43</v>
      </c>
      <c r="N1272">
        <f>SUM(Tableau1[[#This Row],[0_100m]:[700_800m]])</f>
        <v>118.43</v>
      </c>
      <c r="O1272">
        <f>ABS(Tableau1[[#This Row],[Final_time]]-Tableau1[[#This Row],[Sum_time]])</f>
        <v>0</v>
      </c>
      <c r="P1272" s="8"/>
      <c r="Q1272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2" t="s">
        <v>1407</v>
      </c>
      <c r="S1272" s="1" t="s">
        <v>105</v>
      </c>
      <c r="T1272" t="s">
        <v>157</v>
      </c>
      <c r="U1272" s="1" t="s">
        <v>69</v>
      </c>
      <c r="V1272" s="1">
        <v>45919</v>
      </c>
      <c r="W1272" s="4">
        <f>YEAR(Tableau1[[#This Row],[Competition_date]])</f>
        <v>2025</v>
      </c>
      <c r="X1272" s="4">
        <v>23</v>
      </c>
      <c r="Y1272" s="6">
        <v>0.68</v>
      </c>
      <c r="Z1272" s="4"/>
    </row>
    <row r="1273" spans="1:26" hidden="1" x14ac:dyDescent="0.35">
      <c r="A1273" t="str">
        <f>_xlfn.CONCAT(Tableau1[[#This Row],[Athletes]],"_",Tableau1[[#This Row],[Nationality]],"_",Tableau1[[#This Row],[Competition_year]])</f>
        <v>Abbey CALDWELL_AUS_2025</v>
      </c>
      <c r="B1273" s="9" t="s">
        <v>232</v>
      </c>
      <c r="C1273" s="9" t="s">
        <v>29</v>
      </c>
      <c r="D1273" s="12" t="s">
        <v>36</v>
      </c>
      <c r="E1273" s="9">
        <v>13.59</v>
      </c>
      <c r="F1273" s="9">
        <v>14.27</v>
      </c>
      <c r="G1273" s="9">
        <v>14.96</v>
      </c>
      <c r="H1273" s="9">
        <v>15.26</v>
      </c>
      <c r="I1273" s="9">
        <v>14.85</v>
      </c>
      <c r="J1273" s="9">
        <v>15</v>
      </c>
      <c r="K1273" s="9">
        <v>15.08</v>
      </c>
      <c r="L1273">
        <f>Tableau1[[#This Row],[Final_time]]-SUM(Tableau1[[#This Row],[0_100m]:[600_700m]])</f>
        <v>15.430000000000007</v>
      </c>
      <c r="M1273" s="9">
        <v>118.44</v>
      </c>
      <c r="N1273">
        <f>SUM(Tableau1[[#This Row],[0_100m]:[700_800m]])</f>
        <v>118.44</v>
      </c>
      <c r="O1273">
        <f>ABS(Tableau1[[#This Row],[Final_time]]-Tableau1[[#This Row],[Sum_time]])</f>
        <v>0</v>
      </c>
      <c r="P1273" s="8"/>
      <c r="Q1273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3" t="s">
        <v>1407</v>
      </c>
      <c r="S1273" s="1" t="s">
        <v>105</v>
      </c>
      <c r="T1273" t="s">
        <v>157</v>
      </c>
      <c r="U1273" s="1" t="s">
        <v>69</v>
      </c>
      <c r="V1273" s="1">
        <v>45919</v>
      </c>
      <c r="W1273" s="4">
        <f>YEAR(Tableau1[[#This Row],[Competition_date]])</f>
        <v>2025</v>
      </c>
      <c r="X1273" s="4">
        <v>23</v>
      </c>
      <c r="Y1273" s="6">
        <v>0.68</v>
      </c>
      <c r="Z1273" s="4"/>
    </row>
    <row r="1274" spans="1:26" hidden="1" x14ac:dyDescent="0.35">
      <c r="A1274" t="str">
        <f>_xlfn.CONCAT(Tableau1[[#This Row],[Athletes]],"_",Tableau1[[#This Row],[Nationality]],"_",Tableau1[[#This Row],[Competition_year]])</f>
        <v>Maeliss TRAPEAU_CAN_2025</v>
      </c>
      <c r="B1274" s="9" t="s">
        <v>1446</v>
      </c>
      <c r="C1274" s="9" t="s">
        <v>29</v>
      </c>
      <c r="D1274" s="12" t="s">
        <v>19</v>
      </c>
      <c r="E1274" s="9">
        <v>14.34</v>
      </c>
      <c r="F1274" s="9">
        <v>14.11</v>
      </c>
      <c r="G1274" s="9">
        <v>15.2</v>
      </c>
      <c r="H1274" s="9">
        <v>15.18</v>
      </c>
      <c r="I1274" s="9">
        <v>14.82</v>
      </c>
      <c r="J1274" s="9">
        <v>14.77</v>
      </c>
      <c r="K1274" s="9">
        <v>14.98</v>
      </c>
      <c r="L1274">
        <f>Tableau1[[#This Row],[Final_time]]-SUM(Tableau1[[#This Row],[0_100m]:[600_700m]])</f>
        <v>15.5</v>
      </c>
      <c r="M1274" s="9">
        <v>118.9</v>
      </c>
      <c r="N1274">
        <f>SUM(Tableau1[[#This Row],[0_100m]:[700_800m]])</f>
        <v>118.9</v>
      </c>
      <c r="O1274">
        <f>ABS(Tableau1[[#This Row],[Final_time]]-Tableau1[[#This Row],[Sum_time]])</f>
        <v>0</v>
      </c>
      <c r="P1274" s="8"/>
      <c r="Q1274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4" t="s">
        <v>1407</v>
      </c>
      <c r="S1274" s="1" t="s">
        <v>105</v>
      </c>
      <c r="T1274" t="s">
        <v>157</v>
      </c>
      <c r="U1274" s="1" t="s">
        <v>69</v>
      </c>
      <c r="V1274" s="1">
        <v>45919</v>
      </c>
      <c r="W1274" s="4">
        <f>YEAR(Tableau1[[#This Row],[Competition_date]])</f>
        <v>2025</v>
      </c>
      <c r="X1274" s="4">
        <v>23</v>
      </c>
      <c r="Y1274" s="6">
        <v>0.68</v>
      </c>
      <c r="Z1274" s="4"/>
    </row>
    <row r="1275" spans="1:26" hidden="1" x14ac:dyDescent="0.35">
      <c r="A1275" t="str">
        <f>_xlfn.CONCAT(Tableau1[[#This Row],[Athletes]],"_",Tableau1[[#This Row],[Nationality]],"_",Tableau1[[#This Row],[Competition_year]])</f>
        <v>Gabriela GAJANOVÁ_SVK_2025</v>
      </c>
      <c r="B1275" s="9" t="s">
        <v>349</v>
      </c>
      <c r="C1275" s="9" t="s">
        <v>29</v>
      </c>
      <c r="D1275" s="12" t="s">
        <v>100</v>
      </c>
      <c r="E1275" s="9">
        <v>14.18</v>
      </c>
      <c r="F1275" s="9">
        <v>13.89</v>
      </c>
      <c r="G1275" s="9">
        <v>15.17</v>
      </c>
      <c r="H1275" s="9">
        <v>14.97</v>
      </c>
      <c r="I1275" s="9">
        <v>14.82</v>
      </c>
      <c r="J1275" s="9">
        <v>14.8</v>
      </c>
      <c r="K1275" s="9">
        <v>15.18</v>
      </c>
      <c r="L1275">
        <f>Tableau1[[#This Row],[Final_time]]-SUM(Tableau1[[#This Row],[0_100m]:[600_700m]])</f>
        <v>16.150000000000006</v>
      </c>
      <c r="M1275" s="9">
        <v>119.16</v>
      </c>
      <c r="N1275">
        <f>SUM(Tableau1[[#This Row],[0_100m]:[700_800m]])</f>
        <v>119.16</v>
      </c>
      <c r="O1275">
        <f>ABS(Tableau1[[#This Row],[Final_time]]-Tableau1[[#This Row],[Sum_time]])</f>
        <v>0</v>
      </c>
      <c r="P1275" s="8"/>
      <c r="Q1275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5" t="s">
        <v>1407</v>
      </c>
      <c r="S1275" s="1" t="s">
        <v>105</v>
      </c>
      <c r="T1275" t="s">
        <v>157</v>
      </c>
      <c r="U1275" s="1" t="s">
        <v>69</v>
      </c>
      <c r="V1275" s="1">
        <v>45919</v>
      </c>
      <c r="W1275" s="4">
        <f>YEAR(Tableau1[[#This Row],[Competition_date]])</f>
        <v>2025</v>
      </c>
      <c r="X1275" s="4">
        <v>23</v>
      </c>
      <c r="Y1275" s="6">
        <v>0.68</v>
      </c>
      <c r="Z1275" s="4"/>
    </row>
    <row r="1276" spans="1:26" hidden="1" x14ac:dyDescent="0.35">
      <c r="A1276" t="str">
        <f>_xlfn.CONCAT(Tableau1[[#This Row],[Athletes]],"_",Tableau1[[#This Row],[Nationality]],"_",Tableau1[[#This Row],[Competition_year]])</f>
        <v>Anna WIELGOSZ_POL_2025</v>
      </c>
      <c r="B1276" s="9" t="s">
        <v>276</v>
      </c>
      <c r="C1276" s="9" t="s">
        <v>29</v>
      </c>
      <c r="D1276" s="12" t="s">
        <v>88</v>
      </c>
      <c r="E1276" s="9">
        <v>14.5</v>
      </c>
      <c r="F1276" s="9">
        <v>14.08</v>
      </c>
      <c r="G1276" s="9">
        <v>15.42</v>
      </c>
      <c r="H1276" s="9">
        <v>15.15</v>
      </c>
      <c r="I1276" s="9">
        <v>15.02</v>
      </c>
      <c r="J1276" s="9">
        <v>14.99</v>
      </c>
      <c r="K1276" s="9">
        <v>15.35</v>
      </c>
      <c r="L1276">
        <f>Tableau1[[#This Row],[Final_time]]-SUM(Tableau1[[#This Row],[0_100m]:[600_700m]])</f>
        <v>15.210000000000008</v>
      </c>
      <c r="M1276" s="9">
        <v>119.72</v>
      </c>
      <c r="N1276">
        <f>SUM(Tableau1[[#This Row],[0_100m]:[700_800m]])</f>
        <v>119.72</v>
      </c>
      <c r="O1276">
        <f>ABS(Tableau1[[#This Row],[Final_time]]-Tableau1[[#This Row],[Sum_time]])</f>
        <v>0</v>
      </c>
      <c r="P1276" s="8"/>
      <c r="Q1276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6" t="s">
        <v>1407</v>
      </c>
      <c r="S1276" s="1" t="s">
        <v>105</v>
      </c>
      <c r="T1276" t="s">
        <v>157</v>
      </c>
      <c r="U1276" s="1" t="s">
        <v>69</v>
      </c>
      <c r="V1276" s="1">
        <v>45919</v>
      </c>
      <c r="W1276" s="4">
        <f>YEAR(Tableau1[[#This Row],[Competition_date]])</f>
        <v>2025</v>
      </c>
      <c r="X1276" s="4">
        <v>23</v>
      </c>
      <c r="Y1276" s="6">
        <v>0.68</v>
      </c>
      <c r="Z1276" s="4"/>
    </row>
    <row r="1277" spans="1:26" hidden="1" x14ac:dyDescent="0.35">
      <c r="A1277" t="str">
        <f>_xlfn.CONCAT(Tableau1[[#This Row],[Athletes]],"_",Tableau1[[#This Row],[Nationality]],"_",Tableau1[[#This Row],[Competition_year]])</f>
        <v>Worknesh MESELE_ETH_2025</v>
      </c>
      <c r="B1277" s="9" t="s">
        <v>215</v>
      </c>
      <c r="C1277" s="9" t="s">
        <v>29</v>
      </c>
      <c r="D1277" s="12" t="s">
        <v>49</v>
      </c>
      <c r="E1277" s="9">
        <v>13.86</v>
      </c>
      <c r="F1277" s="9">
        <v>14.39</v>
      </c>
      <c r="G1277" s="9">
        <v>15.16</v>
      </c>
      <c r="H1277" s="9">
        <v>15.17</v>
      </c>
      <c r="I1277" s="9">
        <v>15.1</v>
      </c>
      <c r="J1277" s="9">
        <v>15.32</v>
      </c>
      <c r="K1277" s="9">
        <v>15.36</v>
      </c>
      <c r="L1277">
        <f>Tableau1[[#This Row],[Final_time]]-SUM(Tableau1[[#This Row],[0_100m]:[600_700m]])</f>
        <v>16.549999999999997</v>
      </c>
      <c r="M1277" s="9">
        <v>120.91</v>
      </c>
      <c r="N1277">
        <f>SUM(Tableau1[[#This Row],[0_100m]:[700_800m]])</f>
        <v>120.91</v>
      </c>
      <c r="O1277">
        <f>ABS(Tableau1[[#This Row],[Final_time]]-Tableau1[[#This Row],[Sum_time]])</f>
        <v>0</v>
      </c>
      <c r="P1277" s="8"/>
      <c r="Q1277" s="16" t="str">
        <f>_xlfn.CONCAT(Tableau1[[#This Row],[Competition]],"_",Tableau1[[#This Row],[Championship_step]],"_",Tableau1[[#This Row],[Competition_date]],"_",Tableau1[[#This Row],[Gender]])</f>
        <v>World Championship Tokyo 2025_Semi 3_45919_Female</v>
      </c>
      <c r="R1277" t="s">
        <v>1407</v>
      </c>
      <c r="S1277" s="1" t="s">
        <v>105</v>
      </c>
      <c r="T1277" t="s">
        <v>157</v>
      </c>
      <c r="U1277" s="1" t="s">
        <v>69</v>
      </c>
      <c r="V1277" s="1">
        <v>45919</v>
      </c>
      <c r="W1277" s="4">
        <f>YEAR(Tableau1[[#This Row],[Competition_date]])</f>
        <v>2025</v>
      </c>
      <c r="X1277" s="4">
        <v>23</v>
      </c>
      <c r="Y1277" s="6">
        <v>0.68</v>
      </c>
      <c r="Z1277" s="4"/>
    </row>
    <row r="1278" spans="1:26" hidden="1" x14ac:dyDescent="0.35">
      <c r="A1278" t="str">
        <f>_xlfn.CONCAT(Tableau1[[#This Row],[Athletes]],"_",Tableau1[[#This Row],[Nationality]],"_",Tableau1[[#This Row],[Competition_year]])</f>
        <v>Cian MCPHILLIPS_IRL_2025</v>
      </c>
      <c r="B1278" s="9" t="s">
        <v>1415</v>
      </c>
      <c r="C1278" s="9" t="s">
        <v>14</v>
      </c>
      <c r="D1278" s="12" t="s">
        <v>66</v>
      </c>
      <c r="E1278" s="9">
        <v>12.66</v>
      </c>
      <c r="F1278" s="9">
        <v>12.03</v>
      </c>
      <c r="G1278" s="9">
        <v>12.71</v>
      </c>
      <c r="H1278" s="9">
        <v>12.84</v>
      </c>
      <c r="I1278" s="9">
        <v>13.24</v>
      </c>
      <c r="J1278" s="9">
        <v>12.68</v>
      </c>
      <c r="K1278" s="9">
        <v>13.26</v>
      </c>
      <c r="L1278">
        <f>Tableau1[[#This Row],[Final_time]]-SUM(Tableau1[[#This Row],[0_100m]:[600_700m]])</f>
        <v>12.730000000000004</v>
      </c>
      <c r="M1278" s="9">
        <v>102.15</v>
      </c>
      <c r="N1278">
        <f>SUM(Tableau1[[#This Row],[0_100m]:[700_800m]])</f>
        <v>102.15</v>
      </c>
      <c r="O1278">
        <f>ABS(Tableau1[[#This Row],[Final_time]]-Tableau1[[#This Row],[Sum_time]])</f>
        <v>0</v>
      </c>
      <c r="P1278" s="8"/>
      <c r="Q1278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278" t="s">
        <v>1407</v>
      </c>
      <c r="S1278" s="1" t="s">
        <v>136</v>
      </c>
      <c r="T1278" t="s">
        <v>149</v>
      </c>
      <c r="U1278" s="1" t="s">
        <v>69</v>
      </c>
      <c r="V1278" s="1">
        <v>45920</v>
      </c>
      <c r="W1278" s="4">
        <f>YEAR(Tableau1[[#This Row],[Competition_date]])</f>
        <v>2025</v>
      </c>
      <c r="X1278" s="4">
        <v>26</v>
      </c>
      <c r="Y1278" s="6">
        <v>0.78</v>
      </c>
      <c r="Z1278" s="4"/>
    </row>
    <row r="1279" spans="1:26" hidden="1" x14ac:dyDescent="0.35">
      <c r="A1279" t="str">
        <f>_xlfn.CONCAT(Tableau1[[#This Row],[Athletes]],"_",Tableau1[[#This Row],[Nationality]],"_",Tableau1[[#This Row],[Competition_year]])</f>
        <v>Mohamed ATTAOUI_ESP_2025</v>
      </c>
      <c r="B1279" s="9" t="s">
        <v>110</v>
      </c>
      <c r="C1279" s="9" t="s">
        <v>14</v>
      </c>
      <c r="D1279" s="12" t="s">
        <v>37</v>
      </c>
      <c r="E1279" s="9">
        <v>12.89</v>
      </c>
      <c r="F1279" s="9">
        <v>12.11</v>
      </c>
      <c r="G1279" s="9">
        <v>12.59</v>
      </c>
      <c r="H1279" s="9">
        <v>12.67</v>
      </c>
      <c r="I1279" s="9">
        <v>13.16</v>
      </c>
      <c r="J1279" s="9">
        <v>12.54</v>
      </c>
      <c r="K1279" s="9">
        <v>12.96</v>
      </c>
      <c r="L1279">
        <f>Tableau1[[#This Row],[Final_time]]-SUM(Tableau1[[#This Row],[0_100m]:[600_700m]])</f>
        <v>13.289999999999978</v>
      </c>
      <c r="M1279" s="9">
        <v>102.21</v>
      </c>
      <c r="N1279">
        <f>SUM(Tableau1[[#This Row],[0_100m]:[700_800m]])</f>
        <v>102.21</v>
      </c>
      <c r="O1279">
        <f>ABS(Tableau1[[#This Row],[Final_time]]-Tableau1[[#This Row],[Sum_time]])</f>
        <v>0</v>
      </c>
      <c r="P1279" s="8"/>
      <c r="Q1279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279" t="s">
        <v>1407</v>
      </c>
      <c r="S1279" s="1" t="s">
        <v>136</v>
      </c>
      <c r="T1279" t="s">
        <v>149</v>
      </c>
      <c r="U1279" s="1" t="s">
        <v>69</v>
      </c>
      <c r="V1279" s="1">
        <v>45920</v>
      </c>
      <c r="W1279" s="4">
        <f>YEAR(Tableau1[[#This Row],[Competition_date]])</f>
        <v>2025</v>
      </c>
      <c r="X1279" s="4">
        <v>26</v>
      </c>
      <c r="Y1279" s="6">
        <v>0.78</v>
      </c>
      <c r="Z1279" s="4"/>
    </row>
    <row r="1280" spans="1:26" hidden="1" x14ac:dyDescent="0.35">
      <c r="A1280" t="str">
        <f>_xlfn.CONCAT(Tableau1[[#This Row],[Athletes]],"_",Tableau1[[#This Row],[Nationality]],"_",Tableau1[[#This Row],[Competition_year]])</f>
        <v>Max BURGIN_GBR_2025</v>
      </c>
      <c r="B1280" s="9" t="s">
        <v>188</v>
      </c>
      <c r="C1280" s="9" t="s">
        <v>14</v>
      </c>
      <c r="D1280" s="12" t="s">
        <v>30</v>
      </c>
      <c r="E1280" s="9">
        <v>12.25</v>
      </c>
      <c r="F1280" s="9">
        <v>11.75</v>
      </c>
      <c r="G1280" s="9">
        <v>12.56</v>
      </c>
      <c r="H1280" s="9">
        <v>13.03</v>
      </c>
      <c r="I1280" s="9">
        <v>13.2</v>
      </c>
      <c r="J1280" s="9">
        <v>12.78</v>
      </c>
      <c r="K1280" s="9">
        <v>13.22</v>
      </c>
      <c r="L1280">
        <f>Tableau1[[#This Row],[Final_time]]-SUM(Tableau1[[#This Row],[0_100m]:[600_700m]])</f>
        <v>13.5</v>
      </c>
      <c r="M1280" s="9">
        <v>102.29</v>
      </c>
      <c r="N1280">
        <f>SUM(Tableau1[[#This Row],[0_100m]:[700_800m]])</f>
        <v>102.29</v>
      </c>
      <c r="O1280">
        <f>ABS(Tableau1[[#This Row],[Final_time]]-Tableau1[[#This Row],[Sum_time]])</f>
        <v>0</v>
      </c>
      <c r="P1280" s="8"/>
      <c r="Q1280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280" t="s">
        <v>1407</v>
      </c>
      <c r="S1280" s="1" t="s">
        <v>136</v>
      </c>
      <c r="T1280" t="s">
        <v>149</v>
      </c>
      <c r="U1280" s="1" t="s">
        <v>69</v>
      </c>
      <c r="V1280" s="1">
        <v>45920</v>
      </c>
      <c r="W1280" s="4">
        <f>YEAR(Tableau1[[#This Row],[Competition_date]])</f>
        <v>2025</v>
      </c>
      <c r="X1280" s="4">
        <v>26</v>
      </c>
      <c r="Y1280" s="6">
        <v>0.78</v>
      </c>
      <c r="Z1280" s="4"/>
    </row>
    <row r="1281" spans="1:27" hidden="1" x14ac:dyDescent="0.35">
      <c r="A1281" t="str">
        <f>_xlfn.CONCAT(Tableau1[[#This Row],[Athletes]],"_",Tableau1[[#This Row],[Nationality]],"_",Tableau1[[#This Row],[Competition_year]])</f>
        <v>Navasky ANDERSON_JAM_2025</v>
      </c>
      <c r="B1281" s="9" t="s">
        <v>245</v>
      </c>
      <c r="C1281" s="9" t="s">
        <v>14</v>
      </c>
      <c r="D1281" s="12" t="s">
        <v>33</v>
      </c>
      <c r="E1281" s="9">
        <v>12.41</v>
      </c>
      <c r="F1281" s="9">
        <v>11.8</v>
      </c>
      <c r="G1281" s="9">
        <v>12.62</v>
      </c>
      <c r="H1281" s="9">
        <v>12.96</v>
      </c>
      <c r="I1281" s="9">
        <v>13.17</v>
      </c>
      <c r="J1281" s="9">
        <v>12.61</v>
      </c>
      <c r="K1281" s="9">
        <v>13.35</v>
      </c>
      <c r="L1281">
        <f>Tableau1[[#This Row],[Final_time]]-SUM(Tableau1[[#This Row],[0_100m]:[600_700m]])</f>
        <v>13.840000000000018</v>
      </c>
      <c r="M1281" s="9">
        <v>102.76</v>
      </c>
      <c r="N1281">
        <f>SUM(Tableau1[[#This Row],[0_100m]:[700_800m]])</f>
        <v>102.76</v>
      </c>
      <c r="O1281">
        <f>ABS(Tableau1[[#This Row],[Final_time]]-Tableau1[[#This Row],[Sum_time]])</f>
        <v>0</v>
      </c>
      <c r="P1281" s="8"/>
      <c r="Q1281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281" t="s">
        <v>1407</v>
      </c>
      <c r="S1281" s="1" t="s">
        <v>136</v>
      </c>
      <c r="T1281" t="s">
        <v>149</v>
      </c>
      <c r="U1281" s="1" t="s">
        <v>69</v>
      </c>
      <c r="V1281" s="1">
        <v>45920</v>
      </c>
      <c r="W1281" s="4">
        <f>YEAR(Tableau1[[#This Row],[Competition_date]])</f>
        <v>2025</v>
      </c>
      <c r="X1281" s="4">
        <v>26</v>
      </c>
      <c r="Y1281" s="6">
        <v>0.78</v>
      </c>
      <c r="Z1281" s="4"/>
    </row>
    <row r="1282" spans="1:27" hidden="1" x14ac:dyDescent="0.35">
      <c r="A1282" t="str">
        <f>_xlfn.CONCAT(Tableau1[[#This Row],[Athletes]],"_",Tableau1[[#This Row],[Nationality]],"_",Tableau1[[#This Row],[Competition_year]])</f>
        <v>Tshepiso MASALELA_BOT_2025</v>
      </c>
      <c r="B1282" s="9" t="s">
        <v>107</v>
      </c>
      <c r="C1282" s="9" t="s">
        <v>14</v>
      </c>
      <c r="D1282" s="12" t="s">
        <v>44</v>
      </c>
      <c r="E1282" s="9">
        <v>12.38</v>
      </c>
      <c r="F1282" s="9">
        <v>11.73</v>
      </c>
      <c r="G1282" s="9">
        <v>12.71</v>
      </c>
      <c r="H1282" s="9">
        <v>13.12</v>
      </c>
      <c r="I1282" s="9">
        <v>13.18</v>
      </c>
      <c r="J1282" s="9">
        <v>12.8</v>
      </c>
      <c r="K1282" s="9">
        <v>13.29</v>
      </c>
      <c r="L1282">
        <f>Tableau1[[#This Row],[Final_time]]-SUM(Tableau1[[#This Row],[0_100m]:[600_700m]])</f>
        <v>13.559999999999988</v>
      </c>
      <c r="M1282" s="9">
        <v>102.77</v>
      </c>
      <c r="N1282">
        <f>SUM(Tableau1[[#This Row],[0_100m]:[700_800m]])</f>
        <v>102.77</v>
      </c>
      <c r="O1282">
        <f>ABS(Tableau1[[#This Row],[Final_time]]-Tableau1[[#This Row],[Sum_time]])</f>
        <v>0</v>
      </c>
      <c r="P1282" s="8"/>
      <c r="Q1282" s="16" t="str">
        <f>_xlfn.CONCAT(Tableau1[[#This Row],[Competition]],"_",Tableau1[[#This Row],[Championship_step]],"_",Tableau1[[#This Row],[Competition_date]],"_",Tableau1[[#This Row],[Gender]])</f>
        <v>World Championship Tokyo 2025_Final_45920_Male</v>
      </c>
      <c r="R1282" t="s">
        <v>1407</v>
      </c>
      <c r="S1282" s="1" t="s">
        <v>136</v>
      </c>
      <c r="T1282" t="s">
        <v>149</v>
      </c>
      <c r="U1282" s="1" t="s">
        <v>69</v>
      </c>
      <c r="V1282" s="1">
        <v>45920</v>
      </c>
      <c r="W1282" s="4">
        <f>YEAR(Tableau1[[#This Row],[Competition_date]])</f>
        <v>2025</v>
      </c>
      <c r="X1282" s="4">
        <v>26</v>
      </c>
      <c r="Y1282" s="6">
        <v>0.78</v>
      </c>
      <c r="Z1282" s="4"/>
    </row>
    <row r="1283" spans="1:27" x14ac:dyDescent="0.35">
      <c r="A1283" t="str">
        <f>_xlfn.CONCAT(Tableau1[[#This Row],[Athletes]],"_",Tableau1[[#This Row],[Nationality]],"_",Tableau1[[#This Row],[Competition_year]])</f>
        <v>Emmanuel Kipkurui KORIR_KEN_2021</v>
      </c>
      <c r="B1283" s="9" t="s">
        <v>201</v>
      </c>
      <c r="C1283" t="s">
        <v>14</v>
      </c>
      <c r="D1283" s="18" t="s">
        <v>15</v>
      </c>
      <c r="E1283">
        <v>12.8</v>
      </c>
      <c r="F1283">
        <v>12.099999999999998</v>
      </c>
      <c r="G1283">
        <v>14.700000000000003</v>
      </c>
      <c r="H1283">
        <v>14.399999999999999</v>
      </c>
      <c r="I1283">
        <v>13.299999999999997</v>
      </c>
      <c r="J1283">
        <v>12.5</v>
      </c>
      <c r="K1283">
        <v>12.5</v>
      </c>
      <c r="L1283">
        <f>Tableau1[[#This Row],[Final_time]]-SUM(Tableau1[[#This Row],[0_100m]:[600_700m]])</f>
        <v>12.760000000000005</v>
      </c>
      <c r="M1283">
        <v>105.06</v>
      </c>
      <c r="N1283">
        <f>SUM(Tableau1[[#This Row],[0_100m]:[700_800m]])</f>
        <v>105.06</v>
      </c>
      <c r="O1283">
        <f>ABS(Tableau1[[#This Row],[Final_time]]-Tableau1[[#This Row],[Sum_time]])</f>
        <v>0</v>
      </c>
      <c r="P1283" s="8"/>
      <c r="Q1283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3" t="s">
        <v>420</v>
      </c>
      <c r="S1283" s="1" t="s">
        <v>136</v>
      </c>
      <c r="T1283" t="s">
        <v>149</v>
      </c>
      <c r="U1283" s="1" t="s">
        <v>69</v>
      </c>
      <c r="V1283" s="1">
        <v>44412</v>
      </c>
      <c r="W1283" s="4">
        <f>YEAR(Tableau1[[#This Row],[Competition_date]])</f>
        <v>2021</v>
      </c>
      <c r="X1283" s="4"/>
      <c r="Y1283" s="6"/>
      <c r="Z1283" s="4"/>
      <c r="AA1283" t="s">
        <v>440</v>
      </c>
    </row>
    <row r="1284" spans="1:27" x14ac:dyDescent="0.35">
      <c r="A1284" t="str">
        <f>_xlfn.CONCAT(Tableau1[[#This Row],[Athletes]],"_",Tableau1[[#This Row],[Nationality]],"_",Tableau1[[#This Row],[Competition_year]])</f>
        <v>Ferguson Cheruiyot ROTICH_KEN_2021</v>
      </c>
      <c r="B1284" t="s">
        <v>199</v>
      </c>
      <c r="C1284" t="s">
        <v>14</v>
      </c>
      <c r="D1284" s="18" t="s">
        <v>15</v>
      </c>
      <c r="E1284">
        <v>12.9</v>
      </c>
      <c r="F1284">
        <v>12.200000000000001</v>
      </c>
      <c r="G1284">
        <v>14.699999999999996</v>
      </c>
      <c r="H1284">
        <v>14.400000000000006</v>
      </c>
      <c r="I1284">
        <v>13.5</v>
      </c>
      <c r="J1284">
        <v>12.5</v>
      </c>
      <c r="K1284">
        <v>12.700000000000003</v>
      </c>
      <c r="L1284">
        <f>Tableau1[[#This Row],[Final_time]]-SUM(Tableau1[[#This Row],[0_100m]:[600_700m]])</f>
        <v>12.329999999999998</v>
      </c>
      <c r="M1284">
        <v>105.23</v>
      </c>
      <c r="N1284">
        <f>SUM(Tableau1[[#This Row],[0_100m]:[700_800m]])</f>
        <v>105.23</v>
      </c>
      <c r="O1284">
        <f>ABS(Tableau1[[#This Row],[Final_time]]-Tableau1[[#This Row],[Sum_time]])</f>
        <v>0</v>
      </c>
      <c r="P1284" s="8"/>
      <c r="Q1284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4" t="s">
        <v>420</v>
      </c>
      <c r="S1284" s="1" t="s">
        <v>136</v>
      </c>
      <c r="T1284" t="s">
        <v>149</v>
      </c>
      <c r="U1284" s="1" t="s">
        <v>69</v>
      </c>
      <c r="V1284" s="1">
        <v>44412</v>
      </c>
      <c r="W1284" s="4">
        <f>YEAR(Tableau1[[#This Row],[Competition_date]])</f>
        <v>2021</v>
      </c>
      <c r="X1284" s="4"/>
      <c r="Y1284" s="6"/>
      <c r="Z1284" s="4"/>
      <c r="AA1284" t="s">
        <v>440</v>
      </c>
    </row>
    <row r="1285" spans="1:27" x14ac:dyDescent="0.35">
      <c r="A1285" t="str">
        <f>_xlfn.CONCAT(Tableau1[[#This Row],[Athletes]],"_",Tableau1[[#This Row],[Nationality]],"_",Tableau1[[#This Row],[Competition_year]])</f>
        <v>Patryk DOBEK_POL_2021</v>
      </c>
      <c r="B1285" t="s">
        <v>253</v>
      </c>
      <c r="C1285" t="s">
        <v>14</v>
      </c>
      <c r="D1285" s="18" t="s">
        <v>88</v>
      </c>
      <c r="E1285">
        <v>13.1</v>
      </c>
      <c r="F1285">
        <v>12.299999999999999</v>
      </c>
      <c r="G1285">
        <v>14.600000000000001</v>
      </c>
      <c r="H1285">
        <v>14.200000000000003</v>
      </c>
      <c r="I1285">
        <v>13.299999999999997</v>
      </c>
      <c r="J1285">
        <v>12.5</v>
      </c>
      <c r="K1285">
        <v>12.599999999999994</v>
      </c>
      <c r="L1285">
        <f>Tableau1[[#This Row],[Final_time]]-SUM(Tableau1[[#This Row],[0_100m]:[600_700m]])</f>
        <v>12.790000000000006</v>
      </c>
      <c r="M1285">
        <v>105.39</v>
      </c>
      <c r="N1285">
        <f>SUM(Tableau1[[#This Row],[0_100m]:[700_800m]])</f>
        <v>105.39</v>
      </c>
      <c r="O1285">
        <f>ABS(Tableau1[[#This Row],[Final_time]]-Tableau1[[#This Row],[Sum_time]])</f>
        <v>0</v>
      </c>
      <c r="P1285" s="8"/>
      <c r="Q1285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5" t="s">
        <v>420</v>
      </c>
      <c r="S1285" s="1" t="s">
        <v>136</v>
      </c>
      <c r="T1285" t="s">
        <v>149</v>
      </c>
      <c r="U1285" s="1" t="s">
        <v>69</v>
      </c>
      <c r="V1285" s="1">
        <v>44412</v>
      </c>
      <c r="W1285" s="4">
        <f>YEAR(Tableau1[[#This Row],[Competition_date]])</f>
        <v>2021</v>
      </c>
      <c r="X1285" s="4"/>
      <c r="Y1285" s="6"/>
      <c r="Z1285" s="4"/>
      <c r="AA1285" t="s">
        <v>440</v>
      </c>
    </row>
    <row r="1286" spans="1:27" x14ac:dyDescent="0.35">
      <c r="A1286" t="str">
        <f>_xlfn.CONCAT(Tableau1[[#This Row],[Athletes]],"_",Tableau1[[#This Row],[Nationality]],"_",Tableau1[[#This Row],[Competition_year]])</f>
        <v>Peter BOL_AUS_2021</v>
      </c>
      <c r="B1286" t="s">
        <v>127</v>
      </c>
      <c r="C1286" t="s">
        <v>14</v>
      </c>
      <c r="D1286" s="18" t="s">
        <v>36</v>
      </c>
      <c r="E1286">
        <v>12.8</v>
      </c>
      <c r="F1286">
        <v>12.099999999999998</v>
      </c>
      <c r="G1286">
        <v>14.600000000000001</v>
      </c>
      <c r="H1286">
        <v>14.299999999999997</v>
      </c>
      <c r="I1286">
        <v>13.299999999999997</v>
      </c>
      <c r="J1286">
        <v>12.600000000000009</v>
      </c>
      <c r="K1286">
        <v>12.700000000000003</v>
      </c>
      <c r="L1286">
        <f>Tableau1[[#This Row],[Final_time]]-SUM(Tableau1[[#This Row],[0_100m]:[600_700m]])</f>
        <v>13.519999999999996</v>
      </c>
      <c r="M1286">
        <v>105.92</v>
      </c>
      <c r="N1286">
        <f>SUM(Tableau1[[#This Row],[0_100m]:[700_800m]])</f>
        <v>105.92</v>
      </c>
      <c r="O1286">
        <f>ABS(Tableau1[[#This Row],[Final_time]]-Tableau1[[#This Row],[Sum_time]])</f>
        <v>0</v>
      </c>
      <c r="P1286" s="8"/>
      <c r="Q1286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6" t="s">
        <v>420</v>
      </c>
      <c r="S1286" s="1" t="s">
        <v>136</v>
      </c>
      <c r="T1286" t="s">
        <v>149</v>
      </c>
      <c r="U1286" s="1" t="s">
        <v>69</v>
      </c>
      <c r="V1286" s="1">
        <v>44412</v>
      </c>
      <c r="W1286" s="4">
        <f>YEAR(Tableau1[[#This Row],[Competition_date]])</f>
        <v>2021</v>
      </c>
      <c r="X1286" s="4"/>
      <c r="Y1286" s="6"/>
      <c r="Z1286" s="4"/>
      <c r="AA1286" t="s">
        <v>440</v>
      </c>
    </row>
    <row r="1287" spans="1:27" x14ac:dyDescent="0.35">
      <c r="A1287" t="str">
        <f>_xlfn.CONCAT(Tableau1[[#This Row],[Athletes]],"_",Tableau1[[#This Row],[Nationality]],"_",Tableau1[[#This Row],[Competition_year]])</f>
        <v>Adrián BEN_ESP_2021</v>
      </c>
      <c r="B1287" t="s">
        <v>184</v>
      </c>
      <c r="C1287" t="s">
        <v>14</v>
      </c>
      <c r="D1287" s="18" t="s">
        <v>37</v>
      </c>
      <c r="E1287">
        <v>13</v>
      </c>
      <c r="F1287">
        <v>12.399999999999999</v>
      </c>
      <c r="G1287">
        <v>14.700000000000003</v>
      </c>
      <c r="H1287">
        <v>14.199999999999996</v>
      </c>
      <c r="I1287">
        <v>13.600000000000009</v>
      </c>
      <c r="J1287">
        <v>12.299999999999997</v>
      </c>
      <c r="K1287">
        <v>12.700000000000003</v>
      </c>
      <c r="L1287">
        <f>Tableau1[[#This Row],[Final_time]]-SUM(Tableau1[[#This Row],[0_100m]:[600_700m]])</f>
        <v>13.059999999999988</v>
      </c>
      <c r="M1287">
        <v>105.96</v>
      </c>
      <c r="N1287">
        <f>SUM(Tableau1[[#This Row],[0_100m]:[700_800m]])</f>
        <v>105.96</v>
      </c>
      <c r="O1287">
        <f>ABS(Tableau1[[#This Row],[Final_time]]-Tableau1[[#This Row],[Sum_time]])</f>
        <v>0</v>
      </c>
      <c r="P1287" s="8"/>
      <c r="Q1287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7" t="s">
        <v>420</v>
      </c>
      <c r="S1287" s="1" t="s">
        <v>136</v>
      </c>
      <c r="T1287" t="s">
        <v>149</v>
      </c>
      <c r="U1287" s="1" t="s">
        <v>69</v>
      </c>
      <c r="V1287" s="1">
        <v>44412</v>
      </c>
      <c r="W1287" s="4">
        <f>YEAR(Tableau1[[#This Row],[Competition_date]])</f>
        <v>2021</v>
      </c>
      <c r="X1287" s="4"/>
      <c r="Y1287" s="6"/>
      <c r="Z1287" s="4"/>
      <c r="AA1287" t="s">
        <v>440</v>
      </c>
    </row>
    <row r="1288" spans="1:27" x14ac:dyDescent="0.35">
      <c r="A1288" t="str">
        <f>_xlfn.CONCAT(Tableau1[[#This Row],[Athletes]],"_",Tableau1[[#This Row],[Nationality]],"_",Tableau1[[#This Row],[Competition_year]])</f>
        <v>Amel TUKA_BIH_2021</v>
      </c>
      <c r="B1288" t="s">
        <v>196</v>
      </c>
      <c r="C1288" t="s">
        <v>14</v>
      </c>
      <c r="D1288" s="18" t="s">
        <v>120</v>
      </c>
      <c r="E1288">
        <v>12.7</v>
      </c>
      <c r="F1288">
        <v>12.5</v>
      </c>
      <c r="G1288">
        <v>14.599999999999998</v>
      </c>
      <c r="H1288">
        <v>14.600000000000001</v>
      </c>
      <c r="I1288">
        <v>13.699999999999996</v>
      </c>
      <c r="J1288">
        <v>12.300000000000011</v>
      </c>
      <c r="K1288">
        <v>12.599999999999994</v>
      </c>
      <c r="L1288">
        <f>Tableau1[[#This Row],[Final_time]]-SUM(Tableau1[[#This Row],[0_100m]:[600_700m]])</f>
        <v>12.980000000000004</v>
      </c>
      <c r="M1288">
        <v>105.98</v>
      </c>
      <c r="N1288">
        <f>SUM(Tableau1[[#This Row],[0_100m]:[700_800m]])</f>
        <v>105.98</v>
      </c>
      <c r="O1288">
        <f>ABS(Tableau1[[#This Row],[Final_time]]-Tableau1[[#This Row],[Sum_time]])</f>
        <v>0</v>
      </c>
      <c r="P1288" s="8"/>
      <c r="Q1288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8" t="s">
        <v>420</v>
      </c>
      <c r="S1288" s="1" t="s">
        <v>136</v>
      </c>
      <c r="T1288" t="s">
        <v>149</v>
      </c>
      <c r="U1288" s="1" t="s">
        <v>69</v>
      </c>
      <c r="V1288" s="1">
        <v>44412</v>
      </c>
      <c r="W1288" s="4">
        <f>YEAR(Tableau1[[#This Row],[Competition_date]])</f>
        <v>2021</v>
      </c>
      <c r="X1288" s="4"/>
      <c r="Y1288" s="6"/>
      <c r="Z1288" s="4"/>
      <c r="AA1288" t="s">
        <v>440</v>
      </c>
    </row>
    <row r="1289" spans="1:27" x14ac:dyDescent="0.35">
      <c r="A1289" t="str">
        <f>_xlfn.CONCAT(Tableau1[[#This Row],[Athletes]],"_",Tableau1[[#This Row],[Nationality]],"_",Tableau1[[#This Row],[Competition_year]])</f>
        <v>Gabriel TUAL_FRA_2021</v>
      </c>
      <c r="B1289" t="s">
        <v>180</v>
      </c>
      <c r="C1289" t="s">
        <v>14</v>
      </c>
      <c r="D1289" s="18" t="s">
        <v>17</v>
      </c>
      <c r="E1289">
        <v>12.6</v>
      </c>
      <c r="F1289">
        <v>12.500000000000002</v>
      </c>
      <c r="G1289">
        <v>14.699999999999996</v>
      </c>
      <c r="H1289">
        <v>14.5</v>
      </c>
      <c r="I1289">
        <v>13.5</v>
      </c>
      <c r="J1289">
        <v>12.600000000000009</v>
      </c>
      <c r="K1289">
        <v>12.699999999999989</v>
      </c>
      <c r="L1289">
        <f>Tableau1[[#This Row],[Final_time]]-SUM(Tableau1[[#This Row],[0_100m]:[600_700m]])</f>
        <v>12.930000000000007</v>
      </c>
      <c r="M1289">
        <v>106.03</v>
      </c>
      <c r="N1289">
        <f>SUM(Tableau1[[#This Row],[0_100m]:[700_800m]])</f>
        <v>106.03</v>
      </c>
      <c r="O1289">
        <f>ABS(Tableau1[[#This Row],[Final_time]]-Tableau1[[#This Row],[Sum_time]])</f>
        <v>0</v>
      </c>
      <c r="P1289" s="8"/>
      <c r="Q1289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89" t="s">
        <v>420</v>
      </c>
      <c r="S1289" s="1" t="s">
        <v>136</v>
      </c>
      <c r="T1289" t="s">
        <v>149</v>
      </c>
      <c r="U1289" s="1" t="s">
        <v>69</v>
      </c>
      <c r="V1289" s="1">
        <v>44412</v>
      </c>
      <c r="W1289" s="4">
        <f>YEAR(Tableau1[[#This Row],[Competition_date]])</f>
        <v>2021</v>
      </c>
      <c r="X1289" s="4"/>
      <c r="Y1289" s="6"/>
      <c r="Z1289" s="4"/>
      <c r="AA1289" t="s">
        <v>440</v>
      </c>
    </row>
    <row r="1290" spans="1:27" x14ac:dyDescent="0.35">
      <c r="A1290" t="str">
        <f>_xlfn.CONCAT(Tableau1[[#This Row],[Athletes]],"_",Tableau1[[#This Row],[Nationality]],"_",Tableau1[[#This Row],[Competition_year]])</f>
        <v>Nijel AMOS_BOT_2021</v>
      </c>
      <c r="B1290" t="s">
        <v>384</v>
      </c>
      <c r="C1290" t="s">
        <v>14</v>
      </c>
      <c r="D1290" s="18" t="s">
        <v>44</v>
      </c>
      <c r="E1290">
        <v>12.9</v>
      </c>
      <c r="F1290">
        <v>12.1</v>
      </c>
      <c r="G1290">
        <v>14.700000000000003</v>
      </c>
      <c r="H1290">
        <v>14.299999999999997</v>
      </c>
      <c r="I1290">
        <v>13.400000000000006</v>
      </c>
      <c r="J1290">
        <v>12.599999999999994</v>
      </c>
      <c r="K1290">
        <v>12.700000000000003</v>
      </c>
      <c r="L1290">
        <f>Tableau1[[#This Row],[Final_time]]-SUM(Tableau1[[#This Row],[0_100m]:[600_700m]])</f>
        <v>13.709999999999994</v>
      </c>
      <c r="M1290">
        <v>106.41</v>
      </c>
      <c r="N1290">
        <f>SUM(Tableau1[[#This Row],[0_100m]:[700_800m]])</f>
        <v>106.41</v>
      </c>
      <c r="O1290">
        <f>ABS(Tableau1[[#This Row],[Final_time]]-Tableau1[[#This Row],[Sum_time]])</f>
        <v>0</v>
      </c>
      <c r="P1290" s="8"/>
      <c r="Q1290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90" t="s">
        <v>420</v>
      </c>
      <c r="S1290" s="1" t="s">
        <v>136</v>
      </c>
      <c r="T1290" t="s">
        <v>149</v>
      </c>
      <c r="U1290" s="1" t="s">
        <v>69</v>
      </c>
      <c r="V1290" s="1">
        <v>44412</v>
      </c>
      <c r="W1290" s="4">
        <f>YEAR(Tableau1[[#This Row],[Competition_date]])</f>
        <v>2021</v>
      </c>
      <c r="X1290" s="4"/>
      <c r="Y1290" s="6"/>
      <c r="Z1290" s="4"/>
      <c r="AA1290" t="s">
        <v>440</v>
      </c>
    </row>
    <row r="1291" spans="1:27" x14ac:dyDescent="0.35">
      <c r="A1291" t="str">
        <f>_xlfn.CONCAT(Tableau1[[#This Row],[Athletes]],"_",Tableau1[[#This Row],[Nationality]],"_",Tableau1[[#This Row],[Competition_year]])</f>
        <v>Clayton MURPHY_USA_2021</v>
      </c>
      <c r="B1291" t="s">
        <v>203</v>
      </c>
      <c r="C1291" t="s">
        <v>14</v>
      </c>
      <c r="D1291" s="18" t="s">
        <v>35</v>
      </c>
      <c r="E1291">
        <v>12.8</v>
      </c>
      <c r="F1291">
        <v>12.3</v>
      </c>
      <c r="G1291">
        <v>14.799999999999997</v>
      </c>
      <c r="H1291">
        <v>14.600000000000001</v>
      </c>
      <c r="I1291">
        <v>13.5</v>
      </c>
      <c r="J1291">
        <v>12.5</v>
      </c>
      <c r="K1291">
        <v>12.700000000000003</v>
      </c>
      <c r="L1291">
        <f>Tableau1[[#This Row],[Final_time]]-SUM(Tableau1[[#This Row],[0_100m]:[600_700m]])</f>
        <v>13.329999999999998</v>
      </c>
      <c r="M1291">
        <v>106.53</v>
      </c>
      <c r="N1291">
        <f>SUM(Tableau1[[#This Row],[0_100m]:[700_800m]])</f>
        <v>106.53</v>
      </c>
      <c r="O1291">
        <f>ABS(Tableau1[[#This Row],[Final_time]]-Tableau1[[#This Row],[Sum_time]])</f>
        <v>0</v>
      </c>
      <c r="P1291" s="8"/>
      <c r="Q1291" s="16" t="str">
        <f>_xlfn.CONCAT(Tableau1[[#This Row],[Competition]],"_",Tableau1[[#This Row],[Championship_step]],"_",Tableau1[[#This Row],[Competition_date]],"_",Tableau1[[#This Row],[Gender]])</f>
        <v>Olympic Games Tokyo 2021_Final_44412_Male</v>
      </c>
      <c r="R1291" t="s">
        <v>420</v>
      </c>
      <c r="S1291" s="1" t="s">
        <v>136</v>
      </c>
      <c r="T1291" t="s">
        <v>149</v>
      </c>
      <c r="U1291" s="1" t="s">
        <v>69</v>
      </c>
      <c r="V1291" s="1">
        <v>44412</v>
      </c>
      <c r="W1291" s="4">
        <f>YEAR(Tableau1[[#This Row],[Competition_date]])</f>
        <v>2021</v>
      </c>
      <c r="X1291" s="4"/>
      <c r="Y1291" s="6"/>
      <c r="Z1291" s="4"/>
      <c r="AA1291" t="s">
        <v>440</v>
      </c>
    </row>
    <row r="1292" spans="1:27" x14ac:dyDescent="0.35">
      <c r="A1292" t="str">
        <f>_xlfn.CONCAT(Tableau1[[#This Row],[Athletes]],"_",Tableau1[[#This Row],[Nationality]],"_",Tableau1[[#This Row],[Competition_year]])</f>
        <v>Athing MU-NIKOLAYEV_USA_2021</v>
      </c>
      <c r="B1292" t="s">
        <v>1376</v>
      </c>
      <c r="C1292" s="9" t="s">
        <v>29</v>
      </c>
      <c r="D1292" s="18" t="s">
        <v>35</v>
      </c>
      <c r="E1292">
        <v>13.5</v>
      </c>
      <c r="F1292">
        <v>13.899999999999999</v>
      </c>
      <c r="G1292">
        <v>15.300000000000004</v>
      </c>
      <c r="H1292">
        <v>15.199999999999996</v>
      </c>
      <c r="I1292">
        <v>14.899999999999999</v>
      </c>
      <c r="J1292">
        <v>14.400000000000006</v>
      </c>
      <c r="K1292">
        <v>14</v>
      </c>
      <c r="L1292">
        <f>Tableau1[[#This Row],[Final_time]]-SUM(Tableau1[[#This Row],[0_100m]:[600_700m]])</f>
        <v>14.009999999999991</v>
      </c>
      <c r="M1292">
        <v>115.21</v>
      </c>
      <c r="N1292">
        <f>SUM(Tableau1[[#This Row],[0_100m]:[700_800m]])</f>
        <v>115.21</v>
      </c>
      <c r="O1292">
        <f>ABS(Tableau1[[#This Row],[Final_time]]-Tableau1[[#This Row],[Sum_time]])</f>
        <v>0</v>
      </c>
      <c r="P1292" s="8"/>
      <c r="Q1292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292" t="s">
        <v>420</v>
      </c>
      <c r="S1292" s="1" t="s">
        <v>136</v>
      </c>
      <c r="T1292" t="s">
        <v>149</v>
      </c>
      <c r="U1292" s="1" t="s">
        <v>69</v>
      </c>
      <c r="V1292" s="1">
        <v>44411</v>
      </c>
      <c r="W1292" s="4">
        <f>YEAR(Tableau1[[#This Row],[Competition_date]])</f>
        <v>2021</v>
      </c>
      <c r="X1292" s="4"/>
      <c r="Y1292" s="6"/>
      <c r="Z1292" s="4"/>
      <c r="AA1292" t="s">
        <v>462</v>
      </c>
    </row>
    <row r="1293" spans="1:27" hidden="1" x14ac:dyDescent="0.35">
      <c r="A1293" t="str">
        <f>_xlfn.CONCAT(Tableau1[[#This Row],[Athletes]],"_",Tableau1[[#This Row],[Nationality]],"_",Tableau1[[#This Row],[Competition_year]])</f>
        <v>Mateusz BORKOWSKI_POL_2023</v>
      </c>
      <c r="B1293" t="s">
        <v>109</v>
      </c>
      <c r="C1293" t="s">
        <v>14</v>
      </c>
      <c r="D1293" s="18" t="s">
        <v>88</v>
      </c>
      <c r="E1293">
        <v>12.78</v>
      </c>
      <c r="F1293">
        <v>11.85</v>
      </c>
      <c r="G1293">
        <v>13.69</v>
      </c>
      <c r="H1293">
        <v>14.74</v>
      </c>
      <c r="I1293">
        <v>11.97</v>
      </c>
      <c r="J1293">
        <v>13.22</v>
      </c>
      <c r="K1293">
        <v>13.6</v>
      </c>
      <c r="L1293">
        <f>Tableau1[[#This Row],[Final_time]]-SUM(Tableau1[[#This Row],[0_100m]:[600_700m]])</f>
        <v>13.550000000000011</v>
      </c>
      <c r="M1293">
        <v>105.4</v>
      </c>
      <c r="N1293">
        <f>SUM(Tableau1[[#This Row],[0_100m]:[700_800m]])</f>
        <v>105.4</v>
      </c>
      <c r="O1293">
        <f>ABS(Tableau1[[#This Row],[Final_time]]-Tableau1[[#This Row],[Sum_time]])</f>
        <v>0</v>
      </c>
      <c r="P1293" s="8" t="s">
        <v>141</v>
      </c>
      <c r="Q1293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3" t="s">
        <v>104</v>
      </c>
      <c r="S1293" s="1" t="s">
        <v>114</v>
      </c>
      <c r="T1293" t="s">
        <v>147</v>
      </c>
      <c r="U1293" s="1" t="s">
        <v>69</v>
      </c>
      <c r="V1293" s="1">
        <v>45160</v>
      </c>
      <c r="W1293" s="4">
        <f>YEAR(Tableau1[[#This Row],[Competition_date]])</f>
        <v>2023</v>
      </c>
      <c r="X1293" s="4">
        <v>35</v>
      </c>
      <c r="Y1293" s="6">
        <v>0.37</v>
      </c>
      <c r="Z1293" s="4"/>
      <c r="AA1293" t="s">
        <v>115</v>
      </c>
    </row>
    <row r="1294" spans="1:27" hidden="1" x14ac:dyDescent="0.35">
      <c r="A1294" t="str">
        <f>_xlfn.CONCAT(Tableau1[[#This Row],[Athletes]],"_",Tableau1[[#This Row],[Nationality]],"_",Tableau1[[#This Row],[Competition_year]])</f>
        <v>Max BURGIN_GBR_2023</v>
      </c>
      <c r="B1294" t="s">
        <v>188</v>
      </c>
      <c r="C1294" t="s">
        <v>14</v>
      </c>
      <c r="D1294" s="18" t="s">
        <v>30</v>
      </c>
      <c r="E1294">
        <v>12.49</v>
      </c>
      <c r="F1294">
        <v>11.84</v>
      </c>
      <c r="G1294">
        <v>13.14</v>
      </c>
      <c r="H1294">
        <v>13.34</v>
      </c>
      <c r="I1294">
        <v>13.52</v>
      </c>
      <c r="J1294">
        <v>13.6</v>
      </c>
      <c r="K1294">
        <v>13.68</v>
      </c>
      <c r="L1294">
        <f>Tableau1[[#This Row],[Final_time]]-SUM(Tableau1[[#This Row],[0_100m]:[600_700m]])</f>
        <v>13.820000000000022</v>
      </c>
      <c r="M1294">
        <v>105.43</v>
      </c>
      <c r="N1294">
        <f>SUM(Tableau1[[#This Row],[0_100m]:[700_800m]])</f>
        <v>105.43</v>
      </c>
      <c r="O1294">
        <f>ABS(Tableau1[[#This Row],[Final_time]]-Tableau1[[#This Row],[Sum_time]])</f>
        <v>0</v>
      </c>
      <c r="P1294" s="8" t="s">
        <v>141</v>
      </c>
      <c r="Q1294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4" t="s">
        <v>104</v>
      </c>
      <c r="S1294" s="1" t="s">
        <v>114</v>
      </c>
      <c r="T1294" t="s">
        <v>147</v>
      </c>
      <c r="U1294" s="1" t="s">
        <v>69</v>
      </c>
      <c r="V1294" s="1">
        <v>45160</v>
      </c>
      <c r="W1294" s="4">
        <f>YEAR(Tableau1[[#This Row],[Competition_date]])</f>
        <v>2023</v>
      </c>
      <c r="X1294" s="4">
        <v>35</v>
      </c>
      <c r="Y1294" s="6">
        <v>0.37</v>
      </c>
      <c r="Z1294" s="4"/>
      <c r="AA1294" t="s">
        <v>115</v>
      </c>
    </row>
    <row r="1295" spans="1:27" hidden="1" x14ac:dyDescent="0.35">
      <c r="A1295" t="str">
        <f>_xlfn.CONCAT(Tableau1[[#This Row],[Athletes]],"_",Tableau1[[#This Row],[Nationality]],"_",Tableau1[[#This Row],[Competition_year]])</f>
        <v>Joseph DENG_AUS_2023</v>
      </c>
      <c r="B1295" t="s">
        <v>113</v>
      </c>
      <c r="C1295" t="s">
        <v>14</v>
      </c>
      <c r="D1295" s="18" t="s">
        <v>36</v>
      </c>
      <c r="E1295">
        <v>12.46</v>
      </c>
      <c r="F1295">
        <v>11.88</v>
      </c>
      <c r="G1295">
        <v>13.25</v>
      </c>
      <c r="H1295">
        <v>14.27</v>
      </c>
      <c r="I1295">
        <v>12.57</v>
      </c>
      <c r="J1295">
        <v>13.56</v>
      </c>
      <c r="K1295">
        <v>13.75</v>
      </c>
      <c r="L1295">
        <f>Tableau1[[#This Row],[Final_time]]-SUM(Tableau1[[#This Row],[0_100m]:[600_700m]])</f>
        <v>13.739999999999995</v>
      </c>
      <c r="M1295">
        <v>105.48</v>
      </c>
      <c r="N1295">
        <f>SUM(Tableau1[[#This Row],[0_100m]:[700_800m]])</f>
        <v>105.48</v>
      </c>
      <c r="O1295">
        <f>ABS(Tableau1[[#This Row],[Final_time]]-Tableau1[[#This Row],[Sum_time]])</f>
        <v>0</v>
      </c>
      <c r="P1295" s="8" t="s">
        <v>141</v>
      </c>
      <c r="Q1295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5" t="s">
        <v>104</v>
      </c>
      <c r="S1295" s="1" t="s">
        <v>114</v>
      </c>
      <c r="T1295" t="s">
        <v>147</v>
      </c>
      <c r="U1295" s="1" t="s">
        <v>69</v>
      </c>
      <c r="V1295" s="1">
        <v>45160</v>
      </c>
      <c r="W1295" s="4">
        <f>YEAR(Tableau1[[#This Row],[Competition_date]])</f>
        <v>2023</v>
      </c>
      <c r="X1295" s="4">
        <v>35</v>
      </c>
      <c r="Y1295" s="6">
        <v>0.37</v>
      </c>
      <c r="Z1295" s="4"/>
      <c r="AA1295" t="s">
        <v>115</v>
      </c>
    </row>
    <row r="1296" spans="1:27" hidden="1" x14ac:dyDescent="0.35">
      <c r="A1296" t="str">
        <f>_xlfn.CONCAT(Tableau1[[#This Row],[Athletes]],"_",Tableau1[[#This Row],[Nationality]],"_",Tableau1[[#This Row],[Competition_year]])</f>
        <v>Mark ENGLISH_IRL_2023</v>
      </c>
      <c r="B1296" t="s">
        <v>187</v>
      </c>
      <c r="C1296" t="s">
        <v>14</v>
      </c>
      <c r="D1296" s="18" t="s">
        <v>66</v>
      </c>
      <c r="E1296">
        <v>12.69</v>
      </c>
      <c r="F1296">
        <v>11.93</v>
      </c>
      <c r="G1296">
        <v>13.58</v>
      </c>
      <c r="H1296">
        <v>13.48</v>
      </c>
      <c r="I1296">
        <v>13.71</v>
      </c>
      <c r="J1296">
        <v>13.39</v>
      </c>
      <c r="K1296">
        <v>13.55</v>
      </c>
      <c r="L1296">
        <f>Tableau1[[#This Row],[Final_time]]-SUM(Tableau1[[#This Row],[0_100m]:[600_700m]])</f>
        <v>13.38000000000001</v>
      </c>
      <c r="M1296">
        <v>105.71</v>
      </c>
      <c r="N1296">
        <f>SUM(Tableau1[[#This Row],[0_100m]:[700_800m]])</f>
        <v>105.71</v>
      </c>
      <c r="O1296">
        <f>ABS(Tableau1[[#This Row],[Final_time]]-Tableau1[[#This Row],[Sum_time]])</f>
        <v>0</v>
      </c>
      <c r="P1296" s="8" t="s">
        <v>142</v>
      </c>
      <c r="Q1296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6" t="s">
        <v>104</v>
      </c>
      <c r="S1296" s="1" t="s">
        <v>114</v>
      </c>
      <c r="T1296" t="s">
        <v>147</v>
      </c>
      <c r="U1296" s="1" t="s">
        <v>69</v>
      </c>
      <c r="V1296" s="1">
        <v>45160</v>
      </c>
      <c r="W1296" s="4">
        <f>YEAR(Tableau1[[#This Row],[Competition_date]])</f>
        <v>2023</v>
      </c>
      <c r="X1296" s="4">
        <v>35</v>
      </c>
      <c r="Y1296" s="6">
        <v>0.37</v>
      </c>
      <c r="Z1296" s="4"/>
      <c r="AA1296" t="s">
        <v>115</v>
      </c>
    </row>
    <row r="1297" spans="1:27" hidden="1" x14ac:dyDescent="0.35">
      <c r="A1297" t="str">
        <f>_xlfn.CONCAT(Tableau1[[#This Row],[Athletes]],"_",Tableau1[[#This Row],[Nationality]],"_",Tableau1[[#This Row],[Competition_year]])</f>
        <v>Brad MATHAS_NZL_2023</v>
      </c>
      <c r="B1297" t="s">
        <v>189</v>
      </c>
      <c r="C1297" t="s">
        <v>14</v>
      </c>
      <c r="D1297" s="18" t="s">
        <v>116</v>
      </c>
      <c r="E1297">
        <v>13.22</v>
      </c>
      <c r="F1297">
        <v>12.52</v>
      </c>
      <c r="G1297">
        <v>13.33</v>
      </c>
      <c r="H1297">
        <v>13.13</v>
      </c>
      <c r="I1297">
        <v>13.32</v>
      </c>
      <c r="J1297">
        <v>13.37</v>
      </c>
      <c r="K1297">
        <v>13.48</v>
      </c>
      <c r="L1297">
        <f>Tableau1[[#This Row],[Final_time]]-SUM(Tableau1[[#This Row],[0_100m]:[600_700m]])</f>
        <v>13.579999999999984</v>
      </c>
      <c r="M1297">
        <v>105.95</v>
      </c>
      <c r="N1297">
        <f>SUM(Tableau1[[#This Row],[0_100m]:[700_800m]])</f>
        <v>105.95</v>
      </c>
      <c r="O1297">
        <f>ABS(Tableau1[[#This Row],[Final_time]]-Tableau1[[#This Row],[Sum_time]])</f>
        <v>0</v>
      </c>
      <c r="P1297" s="8"/>
      <c r="Q1297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7" t="s">
        <v>104</v>
      </c>
      <c r="S1297" s="1" t="s">
        <v>114</v>
      </c>
      <c r="T1297" t="s">
        <v>147</v>
      </c>
      <c r="U1297" s="1" t="s">
        <v>69</v>
      </c>
      <c r="V1297" s="1">
        <v>45160</v>
      </c>
      <c r="W1297" s="4">
        <f>YEAR(Tableau1[[#This Row],[Competition_date]])</f>
        <v>2023</v>
      </c>
      <c r="X1297" s="4">
        <v>35</v>
      </c>
      <c r="Y1297" s="6">
        <v>0.37</v>
      </c>
      <c r="Z1297" s="4"/>
      <c r="AA1297" t="s">
        <v>115</v>
      </c>
    </row>
    <row r="1298" spans="1:27" hidden="1" x14ac:dyDescent="0.35">
      <c r="A1298" t="str">
        <f>_xlfn.CONCAT(Tableau1[[#This Row],[Athletes]],"_",Tableau1[[#This Row],[Nationality]],"_",Tableau1[[#This Row],[Competition_year]])</f>
        <v>Dániel HULLER_HUN_2023</v>
      </c>
      <c r="B1298" t="s">
        <v>190</v>
      </c>
      <c r="C1298" t="s">
        <v>14</v>
      </c>
      <c r="D1298" s="18" t="s">
        <v>117</v>
      </c>
      <c r="E1298">
        <v>12.6</v>
      </c>
      <c r="F1298">
        <v>11.77</v>
      </c>
      <c r="G1298">
        <v>13.35</v>
      </c>
      <c r="H1298">
        <v>13.21</v>
      </c>
      <c r="I1298">
        <v>13.51</v>
      </c>
      <c r="J1298">
        <v>13.58</v>
      </c>
      <c r="K1298">
        <v>14.24</v>
      </c>
      <c r="L1298">
        <f>Tableau1[[#This Row],[Final_time]]-SUM(Tableau1[[#This Row],[0_100m]:[600_700m]])</f>
        <v>15.150000000000006</v>
      </c>
      <c r="M1298">
        <v>107.41</v>
      </c>
      <c r="N1298">
        <f>SUM(Tableau1[[#This Row],[0_100m]:[700_800m]])</f>
        <v>107.41</v>
      </c>
      <c r="O1298">
        <f>ABS(Tableau1[[#This Row],[Final_time]]-Tableau1[[#This Row],[Sum_time]])</f>
        <v>0</v>
      </c>
      <c r="P1298" s="8"/>
      <c r="Q1298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8" t="s">
        <v>104</v>
      </c>
      <c r="S1298" s="1" t="s">
        <v>114</v>
      </c>
      <c r="T1298" t="s">
        <v>147</v>
      </c>
      <c r="U1298" s="1" t="s">
        <v>69</v>
      </c>
      <c r="V1298" s="1">
        <v>45160</v>
      </c>
      <c r="W1298" s="4">
        <f>YEAR(Tableau1[[#This Row],[Competition_date]])</f>
        <v>2023</v>
      </c>
      <c r="X1298" s="4">
        <v>35</v>
      </c>
      <c r="Y1298" s="6">
        <v>0.37</v>
      </c>
      <c r="Z1298" s="4"/>
      <c r="AA1298" t="s">
        <v>115</v>
      </c>
    </row>
    <row r="1299" spans="1:27" hidden="1" x14ac:dyDescent="0.35">
      <c r="A1299" t="str">
        <f>_xlfn.CONCAT(Tableau1[[#This Row],[Athletes]],"_",Tableau1[[#This Row],[Nationality]],"_",Tableau1[[#This Row],[Competition_year]])</f>
        <v>Tom DRADRIGA_UGA_2023</v>
      </c>
      <c r="B1299" t="s">
        <v>191</v>
      </c>
      <c r="C1299" t="s">
        <v>14</v>
      </c>
      <c r="D1299" s="18" t="s">
        <v>34</v>
      </c>
      <c r="E1299">
        <v>12.64</v>
      </c>
      <c r="F1299">
        <v>11.8</v>
      </c>
      <c r="G1299">
        <v>13.25</v>
      </c>
      <c r="H1299">
        <v>13.47</v>
      </c>
      <c r="I1299">
        <v>13.72</v>
      </c>
      <c r="J1299">
        <v>13.51</v>
      </c>
      <c r="K1299">
        <v>14.44</v>
      </c>
      <c r="L1299">
        <f>Tableau1[[#This Row],[Final_time]]-SUM(Tableau1[[#This Row],[0_100m]:[600_700m]])</f>
        <v>15.769999999999996</v>
      </c>
      <c r="M1299">
        <v>108.6</v>
      </c>
      <c r="N1299">
        <f>SUM(Tableau1[[#This Row],[0_100m]:[700_800m]])</f>
        <v>108.6</v>
      </c>
      <c r="O1299">
        <f>ABS(Tableau1[[#This Row],[Final_time]]-Tableau1[[#This Row],[Sum_time]])</f>
        <v>0</v>
      </c>
      <c r="P1299" s="8"/>
      <c r="Q1299" s="16" t="str">
        <f>_xlfn.CONCAT(Tableau1[[#This Row],[Competition]],"_",Tableau1[[#This Row],[Championship_step]],"_",Tableau1[[#This Row],[Competition_date]],"_",Tableau1[[#This Row],[Gender]])</f>
        <v>World Championships Budapest 2023_Heat 2_45160_Male</v>
      </c>
      <c r="R1299" t="s">
        <v>104</v>
      </c>
      <c r="S1299" s="1" t="s">
        <v>114</v>
      </c>
      <c r="T1299" t="s">
        <v>147</v>
      </c>
      <c r="U1299" s="1" t="s">
        <v>69</v>
      </c>
      <c r="V1299" s="1">
        <v>45160</v>
      </c>
      <c r="W1299" s="4">
        <f>YEAR(Tableau1[[#This Row],[Competition_date]])</f>
        <v>2023</v>
      </c>
      <c r="X1299" s="4">
        <v>35</v>
      </c>
      <c r="Y1299" s="6">
        <v>0.37</v>
      </c>
      <c r="Z1299" s="4"/>
      <c r="AA1299" t="s">
        <v>115</v>
      </c>
    </row>
    <row r="1300" spans="1:27" hidden="1" x14ac:dyDescent="0.35">
      <c r="A1300" t="str">
        <f>_xlfn.CONCAT(Tableau1[[#This Row],[Athletes]],"_",Tableau1[[#This Row],[Nationality]],"_",Tableau1[[#This Row],[Competition_year]])</f>
        <v>Alex Ngeno KIPNGETICH_KEN_2023</v>
      </c>
      <c r="B1300" t="s">
        <v>182</v>
      </c>
      <c r="C1300" t="s">
        <v>14</v>
      </c>
      <c r="D1300" s="18" t="s">
        <v>15</v>
      </c>
      <c r="E1300">
        <v>12.63</v>
      </c>
      <c r="F1300">
        <v>13.05</v>
      </c>
      <c r="G1300">
        <v>15.29</v>
      </c>
      <c r="H1300">
        <v>16.64</v>
      </c>
      <c r="I1300">
        <v>12.08</v>
      </c>
      <c r="J1300">
        <v>12.68</v>
      </c>
      <c r="K1300">
        <v>12.64</v>
      </c>
      <c r="L1300">
        <f>Tableau1[[#This Row],[Final_time]]-SUM(Tableau1[[#This Row],[0_100m]:[600_700m]])</f>
        <v>12.61999999999999</v>
      </c>
      <c r="M1300">
        <v>107.63</v>
      </c>
      <c r="N1300">
        <f>SUM(Tableau1[[#This Row],[0_100m]:[700_800m]])</f>
        <v>107.63</v>
      </c>
      <c r="O1300">
        <f>ABS(Tableau1[[#This Row],[Final_time]]-Tableau1[[#This Row],[Sum_time]])</f>
        <v>0</v>
      </c>
      <c r="P1300" s="8" t="s">
        <v>141</v>
      </c>
      <c r="Q1300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0" t="s">
        <v>104</v>
      </c>
      <c r="S1300" s="1" t="s">
        <v>114</v>
      </c>
      <c r="T1300" t="s">
        <v>150</v>
      </c>
      <c r="U1300" s="1" t="s">
        <v>69</v>
      </c>
      <c r="V1300" s="1">
        <v>45160</v>
      </c>
      <c r="W1300" s="4">
        <f>YEAR(Tableau1[[#This Row],[Competition_date]])</f>
        <v>2023</v>
      </c>
      <c r="X1300" s="4">
        <v>35</v>
      </c>
      <c r="Y1300" s="6">
        <v>0.37</v>
      </c>
      <c r="Z1300" s="4"/>
      <c r="AA1300" t="s">
        <v>115</v>
      </c>
    </row>
    <row r="1301" spans="1:27" hidden="1" x14ac:dyDescent="0.35">
      <c r="A1301" t="str">
        <f>_xlfn.CONCAT(Tableau1[[#This Row],[Athletes]],"_",Tableau1[[#This Row],[Nationality]],"_",Tableau1[[#This Row],[Competition_year]])</f>
        <v>Djamel SEDJATI_ALG_2023</v>
      </c>
      <c r="B1301" t="s">
        <v>170</v>
      </c>
      <c r="C1301" t="s">
        <v>14</v>
      </c>
      <c r="D1301" s="18" t="s">
        <v>24</v>
      </c>
      <c r="E1301">
        <v>13.03</v>
      </c>
      <c r="F1301">
        <v>12.75</v>
      </c>
      <c r="G1301">
        <v>15</v>
      </c>
      <c r="H1301">
        <v>15.15</v>
      </c>
      <c r="I1301">
        <v>14.01</v>
      </c>
      <c r="J1301">
        <v>12.92</v>
      </c>
      <c r="K1301">
        <v>12.49</v>
      </c>
      <c r="L1301">
        <f>Tableau1[[#This Row],[Final_time]]-SUM(Tableau1[[#This Row],[0_100m]:[600_700m]])</f>
        <v>12.52000000000001</v>
      </c>
      <c r="M1301">
        <v>107.87</v>
      </c>
      <c r="N1301">
        <f>SUM(Tableau1[[#This Row],[0_100m]:[700_800m]])</f>
        <v>107.87</v>
      </c>
      <c r="O1301">
        <f>ABS(Tableau1[[#This Row],[Final_time]]-Tableau1[[#This Row],[Sum_time]])</f>
        <v>0</v>
      </c>
      <c r="P1301" s="8" t="s">
        <v>141</v>
      </c>
      <c r="Q1301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1" t="s">
        <v>104</v>
      </c>
      <c r="S1301" s="1" t="s">
        <v>114</v>
      </c>
      <c r="T1301" t="s">
        <v>150</v>
      </c>
      <c r="U1301" s="1" t="s">
        <v>69</v>
      </c>
      <c r="V1301" s="1">
        <v>45160</v>
      </c>
      <c r="W1301" s="4">
        <f>YEAR(Tableau1[[#This Row],[Competition_date]])</f>
        <v>2023</v>
      </c>
      <c r="X1301" s="4">
        <v>35</v>
      </c>
      <c r="Y1301" s="6">
        <v>0.37</v>
      </c>
      <c r="Z1301" s="4"/>
      <c r="AA1301" t="s">
        <v>115</v>
      </c>
    </row>
    <row r="1302" spans="1:27" hidden="1" x14ac:dyDescent="0.35">
      <c r="A1302" t="str">
        <f>_xlfn.CONCAT(Tableau1[[#This Row],[Athletes]],"_",Tableau1[[#This Row],[Nationality]],"_",Tableau1[[#This Row],[Competition_year]])</f>
        <v>Saúl ORDÓÑEZ_ESP_2023</v>
      </c>
      <c r="B1302" t="s">
        <v>178</v>
      </c>
      <c r="C1302" t="s">
        <v>14</v>
      </c>
      <c r="D1302" s="18" t="s">
        <v>37</v>
      </c>
      <c r="E1302">
        <v>12.69</v>
      </c>
      <c r="F1302">
        <v>12.76</v>
      </c>
      <c r="G1302">
        <v>15.17</v>
      </c>
      <c r="H1302">
        <v>14.66</v>
      </c>
      <c r="I1302">
        <v>14.03</v>
      </c>
      <c r="J1302">
        <v>13.3</v>
      </c>
      <c r="K1302">
        <v>12.58</v>
      </c>
      <c r="L1302">
        <f>Tableau1[[#This Row],[Final_time]]-SUM(Tableau1[[#This Row],[0_100m]:[600_700m]])</f>
        <v>12.780000000000001</v>
      </c>
      <c r="M1302">
        <v>107.97</v>
      </c>
      <c r="N1302">
        <f>SUM(Tableau1[[#This Row],[0_100m]:[700_800m]])</f>
        <v>107.97</v>
      </c>
      <c r="O1302">
        <f>ABS(Tableau1[[#This Row],[Final_time]]-Tableau1[[#This Row],[Sum_time]])</f>
        <v>0</v>
      </c>
      <c r="P1302" s="8" t="s">
        <v>141</v>
      </c>
      <c r="Q1302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2" t="s">
        <v>104</v>
      </c>
      <c r="S1302" s="1" t="s">
        <v>114</v>
      </c>
      <c r="T1302" t="s">
        <v>150</v>
      </c>
      <c r="U1302" s="1" t="s">
        <v>69</v>
      </c>
      <c r="V1302" s="1">
        <v>45160</v>
      </c>
      <c r="W1302" s="4">
        <f>YEAR(Tableau1[[#This Row],[Competition_date]])</f>
        <v>2023</v>
      </c>
      <c r="X1302" s="4">
        <v>35</v>
      </c>
      <c r="Y1302" s="6">
        <v>0.37</v>
      </c>
      <c r="Z1302" s="4"/>
      <c r="AA1302" t="s">
        <v>115</v>
      </c>
    </row>
    <row r="1303" spans="1:27" hidden="1" x14ac:dyDescent="0.35">
      <c r="A1303" t="str">
        <f>_xlfn.CONCAT(Tableau1[[#This Row],[Athletes]],"_",Tableau1[[#This Row],[Nationality]],"_",Tableau1[[#This Row],[Competition_year]])</f>
        <v>Isaiah HARRIS_USA_2023</v>
      </c>
      <c r="B1303" t="s">
        <v>192</v>
      </c>
      <c r="C1303" t="s">
        <v>14</v>
      </c>
      <c r="D1303" s="18" t="s">
        <v>35</v>
      </c>
      <c r="E1303">
        <v>12.63</v>
      </c>
      <c r="F1303">
        <v>12.89</v>
      </c>
      <c r="G1303">
        <v>14.92</v>
      </c>
      <c r="H1303">
        <v>15.64</v>
      </c>
      <c r="I1303">
        <v>13.68</v>
      </c>
      <c r="J1303">
        <v>12.88</v>
      </c>
      <c r="K1303">
        <v>12.61</v>
      </c>
      <c r="L1303">
        <f>Tableau1[[#This Row],[Final_time]]-SUM(Tableau1[[#This Row],[0_100m]:[600_700m]])</f>
        <v>12.75</v>
      </c>
      <c r="M1303">
        <v>108</v>
      </c>
      <c r="N1303">
        <f>SUM(Tableau1[[#This Row],[0_100m]:[700_800m]])</f>
        <v>108</v>
      </c>
      <c r="O1303">
        <f>ABS(Tableau1[[#This Row],[Final_time]]-Tableau1[[#This Row],[Sum_time]])</f>
        <v>0</v>
      </c>
      <c r="P1303" s="8"/>
      <c r="Q1303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3" t="s">
        <v>104</v>
      </c>
      <c r="S1303" s="1" t="s">
        <v>114</v>
      </c>
      <c r="T1303" t="s">
        <v>150</v>
      </c>
      <c r="U1303" s="1" t="s">
        <v>69</v>
      </c>
      <c r="V1303" s="1">
        <v>45160</v>
      </c>
      <c r="W1303" s="4">
        <f>YEAR(Tableau1[[#This Row],[Competition_date]])</f>
        <v>2023</v>
      </c>
      <c r="X1303" s="4">
        <v>35</v>
      </c>
      <c r="Y1303" s="6">
        <v>0.37</v>
      </c>
      <c r="Z1303" s="4"/>
      <c r="AA1303" t="s">
        <v>115</v>
      </c>
    </row>
    <row r="1304" spans="1:27" hidden="1" x14ac:dyDescent="0.35">
      <c r="A1304" t="str">
        <f>_xlfn.CONCAT(Tableau1[[#This Row],[Athletes]],"_",Tableau1[[#This Row],[Nationality]],"_",Tableau1[[#This Row],[Competition_year]])</f>
        <v>John FITZSIMONS_IRL_2023</v>
      </c>
      <c r="B1304" t="s">
        <v>193</v>
      </c>
      <c r="C1304" t="s">
        <v>14</v>
      </c>
      <c r="D1304" s="18" t="s">
        <v>66</v>
      </c>
      <c r="E1304">
        <v>12.8</v>
      </c>
      <c r="F1304">
        <v>12.62</v>
      </c>
      <c r="G1304">
        <v>14.94</v>
      </c>
      <c r="H1304">
        <v>15.03</v>
      </c>
      <c r="I1304">
        <v>13.98</v>
      </c>
      <c r="J1304">
        <v>13.33</v>
      </c>
      <c r="K1304">
        <v>12.75</v>
      </c>
      <c r="L1304">
        <f>Tableau1[[#This Row],[Final_time]]-SUM(Tableau1[[#This Row],[0_100m]:[600_700m]])</f>
        <v>12.75</v>
      </c>
      <c r="M1304">
        <v>108.2</v>
      </c>
      <c r="N1304">
        <f>SUM(Tableau1[[#This Row],[0_100m]:[700_800m]])</f>
        <v>108.2</v>
      </c>
      <c r="O1304">
        <f>ABS(Tableau1[[#This Row],[Final_time]]-Tableau1[[#This Row],[Sum_time]])</f>
        <v>0</v>
      </c>
      <c r="P1304" s="8"/>
      <c r="Q1304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4" t="s">
        <v>104</v>
      </c>
      <c r="S1304" s="1" t="s">
        <v>114</v>
      </c>
      <c r="T1304" t="s">
        <v>150</v>
      </c>
      <c r="U1304" s="1" t="s">
        <v>69</v>
      </c>
      <c r="V1304" s="1">
        <v>45160</v>
      </c>
      <c r="W1304" s="4">
        <f>YEAR(Tableau1[[#This Row],[Competition_date]])</f>
        <v>2023</v>
      </c>
      <c r="X1304" s="4">
        <v>35</v>
      </c>
      <c r="Y1304" s="6">
        <v>0.37</v>
      </c>
      <c r="Z1304" s="4"/>
      <c r="AA1304" t="s">
        <v>115</v>
      </c>
    </row>
    <row r="1305" spans="1:27" hidden="1" x14ac:dyDescent="0.35">
      <c r="A1305" t="str">
        <f>_xlfn.CONCAT(Tableau1[[#This Row],[Athletes]],"_",Tableau1[[#This Row],[Nationality]],"_",Tableau1[[#This Row],[Competition_year]])</f>
        <v>Ebrahim ALZOFAIRI_KUW_2023</v>
      </c>
      <c r="B1305" t="s">
        <v>194</v>
      </c>
      <c r="C1305" t="s">
        <v>14</v>
      </c>
      <c r="D1305" s="18" t="s">
        <v>118</v>
      </c>
      <c r="E1305">
        <v>12.85</v>
      </c>
      <c r="F1305">
        <v>13.06</v>
      </c>
      <c r="G1305">
        <v>15.26</v>
      </c>
      <c r="H1305">
        <v>17.13</v>
      </c>
      <c r="I1305">
        <v>11.71</v>
      </c>
      <c r="J1305">
        <v>12.99</v>
      </c>
      <c r="K1305">
        <v>13.01</v>
      </c>
      <c r="L1305">
        <f>Tableau1[[#This Row],[Final_time]]-SUM(Tableau1[[#This Row],[0_100m]:[600_700m]])</f>
        <v>12.400000000000006</v>
      </c>
      <c r="M1305">
        <v>108.41</v>
      </c>
      <c r="N1305">
        <f>SUM(Tableau1[[#This Row],[0_100m]:[700_800m]])</f>
        <v>108.41</v>
      </c>
      <c r="O1305">
        <f>ABS(Tableau1[[#This Row],[Final_time]]-Tableau1[[#This Row],[Sum_time]])</f>
        <v>0</v>
      </c>
      <c r="P1305" s="8"/>
      <c r="Q1305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5" t="s">
        <v>104</v>
      </c>
      <c r="S1305" s="1" t="s">
        <v>114</v>
      </c>
      <c r="T1305" t="s">
        <v>150</v>
      </c>
      <c r="U1305" s="1" t="s">
        <v>69</v>
      </c>
      <c r="V1305" s="1">
        <v>45160</v>
      </c>
      <c r="W1305" s="4">
        <f>YEAR(Tableau1[[#This Row],[Competition_date]])</f>
        <v>2023</v>
      </c>
      <c r="X1305" s="4">
        <v>35</v>
      </c>
      <c r="Y1305" s="6">
        <v>0.37</v>
      </c>
      <c r="Z1305" s="4"/>
      <c r="AA1305" t="s">
        <v>115</v>
      </c>
    </row>
    <row r="1306" spans="1:27" hidden="1" x14ac:dyDescent="0.35">
      <c r="A1306" t="str">
        <f>_xlfn.CONCAT(Tableau1[[#This Row],[Athletes]],"_",Tableau1[[#This Row],[Nationality]],"_",Tableau1[[#This Row],[Competition_year]])</f>
        <v>John RIVERA_PUR_2023</v>
      </c>
      <c r="B1306" t="s">
        <v>195</v>
      </c>
      <c r="C1306" t="s">
        <v>14</v>
      </c>
      <c r="D1306" s="18" t="s">
        <v>119</v>
      </c>
      <c r="E1306">
        <v>12.77</v>
      </c>
      <c r="F1306">
        <v>12.81</v>
      </c>
      <c r="G1306">
        <v>15.14</v>
      </c>
      <c r="H1306">
        <v>14.89</v>
      </c>
      <c r="I1306">
        <v>13.81</v>
      </c>
      <c r="J1306">
        <v>13.14</v>
      </c>
      <c r="K1306">
        <v>12.73</v>
      </c>
      <c r="L1306">
        <f>Tableau1[[#This Row],[Final_time]]-SUM(Tableau1[[#This Row],[0_100m]:[600_700m]])</f>
        <v>13.539999999999992</v>
      </c>
      <c r="M1306">
        <v>108.83</v>
      </c>
      <c r="N1306">
        <f>SUM(Tableau1[[#This Row],[0_100m]:[700_800m]])</f>
        <v>108.83</v>
      </c>
      <c r="O1306">
        <f>ABS(Tableau1[[#This Row],[Final_time]]-Tableau1[[#This Row],[Sum_time]])</f>
        <v>0</v>
      </c>
      <c r="P1306" s="8"/>
      <c r="Q1306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6" t="s">
        <v>104</v>
      </c>
      <c r="S1306" s="1" t="s">
        <v>114</v>
      </c>
      <c r="T1306" t="s">
        <v>150</v>
      </c>
      <c r="U1306" s="1" t="s">
        <v>69</v>
      </c>
      <c r="V1306" s="1">
        <v>45160</v>
      </c>
      <c r="W1306" s="4">
        <f>YEAR(Tableau1[[#This Row],[Competition_date]])</f>
        <v>2023</v>
      </c>
      <c r="X1306" s="4">
        <v>35</v>
      </c>
      <c r="Y1306" s="6">
        <v>0.37</v>
      </c>
      <c r="Z1306" s="4"/>
      <c r="AA1306" t="s">
        <v>115</v>
      </c>
    </row>
    <row r="1307" spans="1:27" hidden="1" x14ac:dyDescent="0.35">
      <c r="A1307" t="str">
        <f>_xlfn.CONCAT(Tableau1[[#This Row],[Athletes]],"_",Tableau1[[#This Row],[Nationality]],"_",Tableau1[[#This Row],[Competition_year]])</f>
        <v>Amel TUKA_BIH_2023</v>
      </c>
      <c r="B1307" t="s">
        <v>196</v>
      </c>
      <c r="C1307" t="s">
        <v>14</v>
      </c>
      <c r="D1307" s="18" t="s">
        <v>120</v>
      </c>
      <c r="E1307">
        <v>12.87</v>
      </c>
      <c r="F1307">
        <v>12.81</v>
      </c>
      <c r="G1307">
        <v>15.12</v>
      </c>
      <c r="H1307">
        <v>14.89</v>
      </c>
      <c r="I1307">
        <v>13.98</v>
      </c>
      <c r="J1307">
        <v>13.34</v>
      </c>
      <c r="K1307">
        <v>12.8</v>
      </c>
      <c r="L1307">
        <f>Tableau1[[#This Row],[Final_time]]-SUM(Tableau1[[#This Row],[0_100m]:[600_700m]])</f>
        <v>13.200000000000003</v>
      </c>
      <c r="M1307">
        <v>109.01</v>
      </c>
      <c r="N1307">
        <f>SUM(Tableau1[[#This Row],[0_100m]:[700_800m]])</f>
        <v>109.01</v>
      </c>
      <c r="O1307">
        <f>ABS(Tableau1[[#This Row],[Final_time]]-Tableau1[[#This Row],[Sum_time]])</f>
        <v>0</v>
      </c>
      <c r="P1307" s="8"/>
      <c r="Q1307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7" t="s">
        <v>104</v>
      </c>
      <c r="S1307" s="1" t="s">
        <v>114</v>
      </c>
      <c r="T1307" t="s">
        <v>150</v>
      </c>
      <c r="U1307" s="1" t="s">
        <v>69</v>
      </c>
      <c r="V1307" s="1">
        <v>45160</v>
      </c>
      <c r="W1307" s="4">
        <f>YEAR(Tableau1[[#This Row],[Competition_date]])</f>
        <v>2023</v>
      </c>
      <c r="X1307" s="4">
        <v>35</v>
      </c>
      <c r="Y1307" s="6">
        <v>0.37</v>
      </c>
      <c r="Z1307" s="4"/>
      <c r="AA1307" t="s">
        <v>115</v>
      </c>
    </row>
    <row r="1308" spans="1:27" hidden="1" x14ac:dyDescent="0.35">
      <c r="A1308" t="str">
        <f>_xlfn.CONCAT(Tableau1[[#This Row],[Athletes]],"_",Tableau1[[#This Row],[Nationality]],"_",Tableau1[[#This Row],[Competition_year]])</f>
        <v>Allan Ngitsi CHIRWA_MAW_2023</v>
      </c>
      <c r="B1308" t="s">
        <v>197</v>
      </c>
      <c r="C1308" t="s">
        <v>14</v>
      </c>
      <c r="D1308" s="18" t="s">
        <v>121</v>
      </c>
      <c r="E1308">
        <v>13.07</v>
      </c>
      <c r="F1308">
        <v>13.04</v>
      </c>
      <c r="G1308">
        <v>15.07</v>
      </c>
      <c r="H1308">
        <v>14.85</v>
      </c>
      <c r="I1308">
        <v>14.05</v>
      </c>
      <c r="J1308">
        <v>13.54</v>
      </c>
      <c r="K1308">
        <v>13.79</v>
      </c>
      <c r="L1308">
        <f>Tableau1[[#This Row],[Final_time]]-SUM(Tableau1[[#This Row],[0_100m]:[600_700m]])</f>
        <v>14.210000000000008</v>
      </c>
      <c r="M1308">
        <v>111.62</v>
      </c>
      <c r="N1308">
        <f>SUM(Tableau1[[#This Row],[0_100m]:[700_800m]])</f>
        <v>111.62</v>
      </c>
      <c r="O1308">
        <f>ABS(Tableau1[[#This Row],[Final_time]]-Tableau1[[#This Row],[Sum_time]])</f>
        <v>0</v>
      </c>
      <c r="P1308" s="8"/>
      <c r="Q1308" s="16" t="str">
        <f>_xlfn.CONCAT(Tableau1[[#This Row],[Competition]],"_",Tableau1[[#This Row],[Championship_step]],"_",Tableau1[[#This Row],[Competition_date]],"_",Tableau1[[#This Row],[Gender]])</f>
        <v>World Championships Budapest 2023_Heat 3 _45160_Male</v>
      </c>
      <c r="R1308" t="s">
        <v>104</v>
      </c>
      <c r="S1308" s="1" t="s">
        <v>114</v>
      </c>
      <c r="T1308" t="s">
        <v>150</v>
      </c>
      <c r="U1308" s="1" t="s">
        <v>69</v>
      </c>
      <c r="V1308" s="1">
        <v>45160</v>
      </c>
      <c r="W1308" s="4">
        <f>YEAR(Tableau1[[#This Row],[Competition_date]])</f>
        <v>2023</v>
      </c>
      <c r="X1308" s="4">
        <v>35</v>
      </c>
      <c r="Y1308" s="6">
        <v>0.37</v>
      </c>
      <c r="Z1308" s="4"/>
      <c r="AA1308" t="s">
        <v>115</v>
      </c>
    </row>
    <row r="1309" spans="1:27" hidden="1" x14ac:dyDescent="0.35">
      <c r="A1309" t="str">
        <f>_xlfn.CONCAT(Tableau1[[#This Row],[Athletes]],"_",Tableau1[[#This Row],[Nationality]],"_",Tableau1[[#This Row],[Competition_year]])</f>
        <v>Adrián BEN_ESP_2023</v>
      </c>
      <c r="B1309" t="s">
        <v>184</v>
      </c>
      <c r="C1309" t="s">
        <v>14</v>
      </c>
      <c r="D1309" s="18" t="s">
        <v>37</v>
      </c>
      <c r="E1309">
        <v>13.3</v>
      </c>
      <c r="F1309">
        <v>12.71</v>
      </c>
      <c r="G1309">
        <v>13.14</v>
      </c>
      <c r="H1309">
        <v>13.04</v>
      </c>
      <c r="I1309">
        <v>13.45</v>
      </c>
      <c r="J1309">
        <v>13.31</v>
      </c>
      <c r="K1309">
        <v>13.44</v>
      </c>
      <c r="L1309">
        <f>Tableau1[[#This Row],[Final_time]]-SUM(Tableau1[[#This Row],[0_100m]:[600_700m]])</f>
        <v>12.980000000000004</v>
      </c>
      <c r="M1309">
        <v>105.37</v>
      </c>
      <c r="N1309">
        <f>SUM(Tableau1[[#This Row],[0_100m]:[700_800m]])</f>
        <v>105.37</v>
      </c>
      <c r="O1309">
        <f>ABS(Tableau1[[#This Row],[Final_time]]-Tableau1[[#This Row],[Sum_time]])</f>
        <v>0</v>
      </c>
      <c r="P1309" s="8" t="s">
        <v>141</v>
      </c>
      <c r="Q1309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09" t="s">
        <v>104</v>
      </c>
      <c r="S1309" s="1" t="s">
        <v>114</v>
      </c>
      <c r="T1309" t="s">
        <v>151</v>
      </c>
      <c r="U1309" s="1" t="s">
        <v>69</v>
      </c>
      <c r="V1309" s="1">
        <v>45160</v>
      </c>
      <c r="W1309" s="4">
        <f>YEAR(Tableau1[[#This Row],[Competition_date]])</f>
        <v>2023</v>
      </c>
      <c r="X1309" s="4">
        <v>35</v>
      </c>
      <c r="Y1309" s="6">
        <v>0.37</v>
      </c>
      <c r="Z1309" s="4"/>
      <c r="AA1309" t="s">
        <v>115</v>
      </c>
    </row>
    <row r="1310" spans="1:27" hidden="1" x14ac:dyDescent="0.35">
      <c r="A1310" t="str">
        <f>_xlfn.CONCAT(Tableau1[[#This Row],[Athletes]],"_",Tableau1[[#This Row],[Nationality]],"_",Tableau1[[#This Row],[Competition_year]])</f>
        <v>Bryce HOPPEL_USA_2023</v>
      </c>
      <c r="B1310" t="s">
        <v>173</v>
      </c>
      <c r="C1310" t="s">
        <v>14</v>
      </c>
      <c r="D1310" s="18" t="s">
        <v>35</v>
      </c>
      <c r="E1310">
        <v>12.71</v>
      </c>
      <c r="F1310">
        <v>12.14</v>
      </c>
      <c r="G1310">
        <v>13.03</v>
      </c>
      <c r="H1310">
        <v>13.32</v>
      </c>
      <c r="I1310">
        <v>13.99</v>
      </c>
      <c r="J1310">
        <v>13.83</v>
      </c>
      <c r="K1310">
        <v>13.27</v>
      </c>
      <c r="L1310">
        <f>Tableau1[[#This Row],[Final_time]]-SUM(Tableau1[[#This Row],[0_100m]:[600_700m]])</f>
        <v>13.27000000000001</v>
      </c>
      <c r="M1310">
        <v>105.56</v>
      </c>
      <c r="N1310">
        <f>SUM(Tableau1[[#This Row],[0_100m]:[700_800m]])</f>
        <v>105.56</v>
      </c>
      <c r="O1310">
        <f>ABS(Tableau1[[#This Row],[Final_time]]-Tableau1[[#This Row],[Sum_time]])</f>
        <v>0</v>
      </c>
      <c r="P1310" s="8" t="s">
        <v>141</v>
      </c>
      <c r="Q1310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0" t="s">
        <v>104</v>
      </c>
      <c r="S1310" s="1" t="s">
        <v>114</v>
      </c>
      <c r="T1310" t="s">
        <v>151</v>
      </c>
      <c r="U1310" s="1" t="s">
        <v>69</v>
      </c>
      <c r="V1310" s="1">
        <v>45160</v>
      </c>
      <c r="W1310" s="4">
        <f>YEAR(Tableau1[[#This Row],[Competition_date]])</f>
        <v>2023</v>
      </c>
      <c r="X1310" s="4">
        <v>35</v>
      </c>
      <c r="Y1310" s="6">
        <v>0.37</v>
      </c>
      <c r="Z1310" s="4"/>
      <c r="AA1310" t="s">
        <v>115</v>
      </c>
    </row>
    <row r="1311" spans="1:27" hidden="1" x14ac:dyDescent="0.35">
      <c r="A1311" t="str">
        <f>_xlfn.CONCAT(Tableau1[[#This Row],[Athletes]],"_",Tableau1[[#This Row],[Nationality]],"_",Tableau1[[#This Row],[Competition_year]])</f>
        <v>Daniel ROWDEN_GBR_2023</v>
      </c>
      <c r="B1311" t="s">
        <v>172</v>
      </c>
      <c r="C1311" t="s">
        <v>14</v>
      </c>
      <c r="D1311" s="18" t="s">
        <v>30</v>
      </c>
      <c r="E1311">
        <v>12.64</v>
      </c>
      <c r="F1311">
        <v>12.09</v>
      </c>
      <c r="G1311">
        <v>15.1</v>
      </c>
      <c r="H1311">
        <v>11.39</v>
      </c>
      <c r="I1311">
        <v>14.17</v>
      </c>
      <c r="J1311">
        <v>13.65</v>
      </c>
      <c r="K1311">
        <v>13.34</v>
      </c>
      <c r="L1311">
        <f>Tableau1[[#This Row],[Final_time]]-SUM(Tableau1[[#This Row],[0_100m]:[600_700m]])</f>
        <v>13.289999999999992</v>
      </c>
      <c r="M1311">
        <v>105.67</v>
      </c>
      <c r="N1311">
        <f>SUM(Tableau1[[#This Row],[0_100m]:[700_800m]])</f>
        <v>105.67</v>
      </c>
      <c r="O1311">
        <f>ABS(Tableau1[[#This Row],[Final_time]]-Tableau1[[#This Row],[Sum_time]])</f>
        <v>0</v>
      </c>
      <c r="P1311" s="8" t="s">
        <v>141</v>
      </c>
      <c r="Q1311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1" t="s">
        <v>104</v>
      </c>
      <c r="S1311" s="1" t="s">
        <v>114</v>
      </c>
      <c r="T1311" t="s">
        <v>151</v>
      </c>
      <c r="U1311" s="1" t="s">
        <v>69</v>
      </c>
      <c r="V1311" s="1">
        <v>45160</v>
      </c>
      <c r="W1311" s="4">
        <f>YEAR(Tableau1[[#This Row],[Competition_date]])</f>
        <v>2023</v>
      </c>
      <c r="X1311" s="4">
        <v>35</v>
      </c>
      <c r="Y1311" s="6">
        <v>0.37</v>
      </c>
      <c r="Z1311" s="4"/>
      <c r="AA1311" t="s">
        <v>115</v>
      </c>
    </row>
    <row r="1312" spans="1:27" hidden="1" x14ac:dyDescent="0.35">
      <c r="A1312" t="str">
        <f>_xlfn.CONCAT(Tableau1[[#This Row],[Athletes]],"_",Tableau1[[#This Row],[Nationality]],"_",Tableau1[[#This Row],[Competition_year]])</f>
        <v>Filip OSTROWSKI_POL_2023</v>
      </c>
      <c r="B1312" t="s">
        <v>181</v>
      </c>
      <c r="C1312" t="s">
        <v>14</v>
      </c>
      <c r="D1312" s="18" t="s">
        <v>88</v>
      </c>
      <c r="E1312">
        <v>13.06</v>
      </c>
      <c r="F1312">
        <v>12.35</v>
      </c>
      <c r="G1312">
        <v>12.93</v>
      </c>
      <c r="H1312">
        <v>14.97</v>
      </c>
      <c r="I1312">
        <v>12.13</v>
      </c>
      <c r="J1312">
        <v>13.79</v>
      </c>
      <c r="K1312">
        <v>13.36</v>
      </c>
      <c r="L1312">
        <f>Tableau1[[#This Row],[Final_time]]-SUM(Tableau1[[#This Row],[0_100m]:[600_700m]])</f>
        <v>13.170000000000016</v>
      </c>
      <c r="M1312">
        <v>105.76</v>
      </c>
      <c r="N1312">
        <f>SUM(Tableau1[[#This Row],[0_100m]:[700_800m]])</f>
        <v>105.76</v>
      </c>
      <c r="O1312">
        <f>ABS(Tableau1[[#This Row],[Final_time]]-Tableau1[[#This Row],[Sum_time]])</f>
        <v>0</v>
      </c>
      <c r="P1312" s="8" t="s">
        <v>142</v>
      </c>
      <c r="Q1312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2" t="s">
        <v>104</v>
      </c>
      <c r="S1312" s="1" t="s">
        <v>114</v>
      </c>
      <c r="T1312" t="s">
        <v>151</v>
      </c>
      <c r="U1312" s="1" t="s">
        <v>69</v>
      </c>
      <c r="V1312" s="1">
        <v>45160</v>
      </c>
      <c r="W1312" s="4">
        <f>YEAR(Tableau1[[#This Row],[Competition_date]])</f>
        <v>2023</v>
      </c>
      <c r="X1312" s="4">
        <v>35</v>
      </c>
      <c r="Y1312" s="6">
        <v>0.37</v>
      </c>
      <c r="Z1312" s="4"/>
      <c r="AA1312" t="s">
        <v>115</v>
      </c>
    </row>
    <row r="1313" spans="1:27" hidden="1" x14ac:dyDescent="0.35">
      <c r="A1313" t="str">
        <f>_xlfn.CONCAT(Tableau1[[#This Row],[Athletes]],"_",Tableau1[[#This Row],[Nationality]],"_",Tableau1[[#This Row],[Competition_year]])</f>
        <v>Abdullahi HASSAN_CAN_2023</v>
      </c>
      <c r="B1313" t="s">
        <v>198</v>
      </c>
      <c r="C1313" t="s">
        <v>14</v>
      </c>
      <c r="D1313" s="18" t="s">
        <v>19</v>
      </c>
      <c r="E1313">
        <v>12.68</v>
      </c>
      <c r="F1313">
        <v>12.49</v>
      </c>
      <c r="G1313">
        <v>13.11</v>
      </c>
      <c r="H1313">
        <v>13.24</v>
      </c>
      <c r="I1313">
        <v>14.05</v>
      </c>
      <c r="J1313">
        <v>13.9</v>
      </c>
      <c r="K1313">
        <v>13.84</v>
      </c>
      <c r="L1313">
        <f>Tableau1[[#This Row],[Final_time]]-SUM(Tableau1[[#This Row],[0_100m]:[600_700m]])</f>
        <v>13.019999999999982</v>
      </c>
      <c r="M1313">
        <v>106.33</v>
      </c>
      <c r="N1313">
        <f>SUM(Tableau1[[#This Row],[0_100m]:[700_800m]])</f>
        <v>106.33</v>
      </c>
      <c r="O1313">
        <f>ABS(Tableau1[[#This Row],[Final_time]]-Tableau1[[#This Row],[Sum_time]])</f>
        <v>0</v>
      </c>
      <c r="P1313" s="8"/>
      <c r="Q1313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3" t="s">
        <v>104</v>
      </c>
      <c r="S1313" s="1" t="s">
        <v>114</v>
      </c>
      <c r="T1313" t="s">
        <v>151</v>
      </c>
      <c r="U1313" s="1" t="s">
        <v>69</v>
      </c>
      <c r="V1313" s="1">
        <v>45160</v>
      </c>
      <c r="W1313" s="4">
        <f>YEAR(Tableau1[[#This Row],[Competition_date]])</f>
        <v>2023</v>
      </c>
      <c r="X1313" s="4">
        <v>35</v>
      </c>
      <c r="Y1313" s="6">
        <v>0.37</v>
      </c>
      <c r="Z1313" s="4"/>
      <c r="AA1313" t="s">
        <v>115</v>
      </c>
    </row>
    <row r="1314" spans="1:27" hidden="1" x14ac:dyDescent="0.35">
      <c r="A1314" t="str">
        <f>_xlfn.CONCAT(Tableau1[[#This Row],[Athletes]],"_",Tableau1[[#This Row],[Nationality]],"_",Tableau1[[#This Row],[Competition_year]])</f>
        <v>Ferguson Cheruiyot ROTICH_KEN_2023</v>
      </c>
      <c r="B1314" t="s">
        <v>199</v>
      </c>
      <c r="C1314" t="s">
        <v>14</v>
      </c>
      <c r="D1314" s="18" t="s">
        <v>15</v>
      </c>
      <c r="E1314">
        <v>13.53</v>
      </c>
      <c r="F1314">
        <v>12.74</v>
      </c>
      <c r="G1314">
        <v>13.04</v>
      </c>
      <c r="H1314">
        <v>13.13</v>
      </c>
      <c r="I1314">
        <v>13.58</v>
      </c>
      <c r="J1314">
        <v>13.57</v>
      </c>
      <c r="K1314">
        <v>13.74</v>
      </c>
      <c r="L1314">
        <f>Tableau1[[#This Row],[Final_time]]-SUM(Tableau1[[#This Row],[0_100m]:[600_700m]])</f>
        <v>13.200000000000003</v>
      </c>
      <c r="M1314">
        <v>106.53</v>
      </c>
      <c r="N1314">
        <f>SUM(Tableau1[[#This Row],[0_100m]:[700_800m]])</f>
        <v>106.53</v>
      </c>
      <c r="O1314">
        <f>ABS(Tableau1[[#This Row],[Final_time]]-Tableau1[[#This Row],[Sum_time]])</f>
        <v>0</v>
      </c>
      <c r="P1314" s="8"/>
      <c r="Q1314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4" t="s">
        <v>104</v>
      </c>
      <c r="S1314" s="1" t="s">
        <v>114</v>
      </c>
      <c r="T1314" t="s">
        <v>151</v>
      </c>
      <c r="U1314" s="1" t="s">
        <v>69</v>
      </c>
      <c r="V1314" s="1">
        <v>45160</v>
      </c>
      <c r="W1314" s="4">
        <f>YEAR(Tableau1[[#This Row],[Competition_date]])</f>
        <v>2023</v>
      </c>
      <c r="X1314" s="4">
        <v>35</v>
      </c>
      <c r="Y1314" s="6">
        <v>0.37</v>
      </c>
      <c r="Z1314" s="4"/>
      <c r="AA1314" t="s">
        <v>115</v>
      </c>
    </row>
    <row r="1315" spans="1:27" hidden="1" x14ac:dyDescent="0.35">
      <c r="A1315" t="str">
        <f>_xlfn.CONCAT(Tableau1[[#This Row],[Athletes]],"_",Tableau1[[#This Row],[Nationality]],"_",Tableau1[[#This Row],[Competition_year]])</f>
        <v>Marino BLOUDEK_CRO_2023</v>
      </c>
      <c r="B1315" t="s">
        <v>200</v>
      </c>
      <c r="C1315" t="s">
        <v>14</v>
      </c>
      <c r="D1315" s="18" t="s">
        <v>122</v>
      </c>
      <c r="E1315">
        <v>12.89</v>
      </c>
      <c r="F1315">
        <v>11.97</v>
      </c>
      <c r="G1315">
        <v>13.25</v>
      </c>
      <c r="H1315">
        <v>13.15</v>
      </c>
      <c r="I1315">
        <v>13.94</v>
      </c>
      <c r="J1315">
        <v>13.57</v>
      </c>
      <c r="K1315">
        <v>13.65</v>
      </c>
      <c r="L1315">
        <f>Tableau1[[#This Row],[Final_time]]-SUM(Tableau1[[#This Row],[0_100m]:[600_700m]])</f>
        <v>14.20999999999998</v>
      </c>
      <c r="M1315">
        <v>106.63</v>
      </c>
      <c r="N1315">
        <f>SUM(Tableau1[[#This Row],[0_100m]:[700_800m]])</f>
        <v>106.63</v>
      </c>
      <c r="O1315">
        <f>ABS(Tableau1[[#This Row],[Final_time]]-Tableau1[[#This Row],[Sum_time]])</f>
        <v>0</v>
      </c>
      <c r="P1315" s="8"/>
      <c r="Q1315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5" t="s">
        <v>104</v>
      </c>
      <c r="S1315" s="1" t="s">
        <v>114</v>
      </c>
      <c r="T1315" t="s">
        <v>151</v>
      </c>
      <c r="U1315" s="1" t="s">
        <v>69</v>
      </c>
      <c r="V1315" s="1">
        <v>45160</v>
      </c>
      <c r="W1315" s="4">
        <f>YEAR(Tableau1[[#This Row],[Competition_date]])</f>
        <v>2023</v>
      </c>
      <c r="X1315" s="4">
        <v>35</v>
      </c>
      <c r="Y1315" s="6">
        <v>0.37</v>
      </c>
      <c r="Z1315" s="4"/>
      <c r="AA1315" t="s">
        <v>115</v>
      </c>
    </row>
    <row r="1316" spans="1:27" hidden="1" x14ac:dyDescent="0.35">
      <c r="A1316" t="str">
        <f>_xlfn.CONCAT(Tableau1[[#This Row],[Athletes]],"_",Tableau1[[#This Row],[Nationality]],"_",Tableau1[[#This Row],[Competition_year]])</f>
        <v>Ole Jakob HØSTELAND SOLBU_NOR_2023</v>
      </c>
      <c r="B1316" t="s">
        <v>1115</v>
      </c>
      <c r="C1316" t="s">
        <v>14</v>
      </c>
      <c r="D1316" s="18" t="s">
        <v>123</v>
      </c>
      <c r="E1316">
        <v>12.76</v>
      </c>
      <c r="F1316">
        <v>11.99</v>
      </c>
      <c r="G1316">
        <v>12.81</v>
      </c>
      <c r="H1316">
        <v>13.58</v>
      </c>
      <c r="I1316">
        <v>14.18</v>
      </c>
      <c r="J1316">
        <v>14.17</v>
      </c>
      <c r="K1316">
        <v>15.01</v>
      </c>
      <c r="L1316">
        <f>Tableau1[[#This Row],[Final_time]]-SUM(Tableau1[[#This Row],[0_100m]:[600_700m]])</f>
        <v>17.159999999999997</v>
      </c>
      <c r="M1316">
        <v>111.66</v>
      </c>
      <c r="N1316">
        <f>SUM(Tableau1[[#This Row],[0_100m]:[700_800m]])</f>
        <v>111.66</v>
      </c>
      <c r="O1316">
        <f>ABS(Tableau1[[#This Row],[Final_time]]-Tableau1[[#This Row],[Sum_time]])</f>
        <v>0</v>
      </c>
      <c r="P1316" s="8"/>
      <c r="Q1316" s="16" t="str">
        <f>_xlfn.CONCAT(Tableau1[[#This Row],[Competition]],"_",Tableau1[[#This Row],[Championship_step]],"_",Tableau1[[#This Row],[Competition_date]],"_",Tableau1[[#This Row],[Gender]])</f>
        <v>World Championships Budapest 2023_Heat 4_45160_Male</v>
      </c>
      <c r="R1316" t="s">
        <v>104</v>
      </c>
      <c r="S1316" s="1" t="s">
        <v>114</v>
      </c>
      <c r="T1316" t="s">
        <v>151</v>
      </c>
      <c r="U1316" s="1" t="s">
        <v>69</v>
      </c>
      <c r="V1316" s="1">
        <v>45160</v>
      </c>
      <c r="W1316" s="4">
        <f>YEAR(Tableau1[[#This Row],[Competition_date]])</f>
        <v>2023</v>
      </c>
      <c r="X1316" s="4">
        <v>35</v>
      </c>
      <c r="Y1316" s="6">
        <v>0.37</v>
      </c>
      <c r="Z1316" s="4"/>
      <c r="AA1316" t="s">
        <v>115</v>
      </c>
    </row>
    <row r="1317" spans="1:27" hidden="1" x14ac:dyDescent="0.35">
      <c r="A1317" t="str">
        <f>_xlfn.CONCAT(Tableau1[[#This Row],[Athletes]],"_",Tableau1[[#This Row],[Nationality]],"_",Tableau1[[#This Row],[Competition_year]])</f>
        <v>Benjamin ROBERT_FRA_2023</v>
      </c>
      <c r="B1317" t="s">
        <v>111</v>
      </c>
      <c r="C1317" t="s">
        <v>14</v>
      </c>
      <c r="D1317" s="18" t="s">
        <v>17</v>
      </c>
      <c r="E1317">
        <v>12.9</v>
      </c>
      <c r="F1317">
        <v>12.54</v>
      </c>
      <c r="G1317">
        <v>14.7</v>
      </c>
      <c r="H1317">
        <v>13.9</v>
      </c>
      <c r="I1317">
        <v>13.7</v>
      </c>
      <c r="J1317">
        <v>13.21</v>
      </c>
      <c r="K1317">
        <v>13.16</v>
      </c>
      <c r="L1317">
        <f>Tableau1[[#This Row],[Final_time]]-SUM(Tableau1[[#This Row],[0_100m]:[600_700m]])</f>
        <v>12.340000000000018</v>
      </c>
      <c r="M1317">
        <v>106.45</v>
      </c>
      <c r="N1317">
        <f>SUM(Tableau1[[#This Row],[0_100m]:[700_800m]])</f>
        <v>106.45</v>
      </c>
      <c r="O1317">
        <f>ABS(Tableau1[[#This Row],[Final_time]]-Tableau1[[#This Row],[Sum_time]])</f>
        <v>0</v>
      </c>
      <c r="P1317" s="8" t="s">
        <v>141</v>
      </c>
      <c r="Q1317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17" t="s">
        <v>104</v>
      </c>
      <c r="S1317" s="1" t="s">
        <v>114</v>
      </c>
      <c r="T1317" t="s">
        <v>152</v>
      </c>
      <c r="U1317" s="1" t="s">
        <v>69</v>
      </c>
      <c r="V1317" s="1">
        <v>45160</v>
      </c>
      <c r="W1317" s="4">
        <f>YEAR(Tableau1[[#This Row],[Competition_date]])</f>
        <v>2023</v>
      </c>
      <c r="X1317" s="4">
        <v>35</v>
      </c>
      <c r="Y1317" s="6">
        <v>0.37</v>
      </c>
      <c r="Z1317" s="4"/>
      <c r="AA1317" t="s">
        <v>115</v>
      </c>
    </row>
    <row r="1318" spans="1:27" hidden="1" x14ac:dyDescent="0.35">
      <c r="A1318" t="str">
        <f>_xlfn.CONCAT(Tableau1[[#This Row],[Athletes]],"_",Tableau1[[#This Row],[Nationality]],"_",Tableau1[[#This Row],[Competition_year]])</f>
        <v>Ben PATTISON_GBR_2023</v>
      </c>
      <c r="B1318" t="s">
        <v>108</v>
      </c>
      <c r="C1318" t="s">
        <v>14</v>
      </c>
      <c r="D1318" s="18" t="s">
        <v>30</v>
      </c>
      <c r="E1318">
        <v>12.79</v>
      </c>
      <c r="F1318">
        <v>12.72</v>
      </c>
      <c r="G1318">
        <v>14.73</v>
      </c>
      <c r="H1318">
        <v>13.94</v>
      </c>
      <c r="I1318">
        <v>13.75</v>
      </c>
      <c r="J1318">
        <v>13.28</v>
      </c>
      <c r="K1318">
        <v>12.89</v>
      </c>
      <c r="L1318">
        <f>Tableau1[[#This Row],[Final_time]]-SUM(Tableau1[[#This Row],[0_100m]:[600_700m]])</f>
        <v>12.469999999999999</v>
      </c>
      <c r="M1318">
        <v>106.57</v>
      </c>
      <c r="N1318">
        <f>SUM(Tableau1[[#This Row],[0_100m]:[700_800m]])</f>
        <v>106.57</v>
      </c>
      <c r="O1318">
        <f>ABS(Tableau1[[#This Row],[Final_time]]-Tableau1[[#This Row],[Sum_time]])</f>
        <v>0</v>
      </c>
      <c r="P1318" s="8" t="s">
        <v>141</v>
      </c>
      <c r="Q1318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18" t="s">
        <v>104</v>
      </c>
      <c r="S1318" s="1" t="s">
        <v>114</v>
      </c>
      <c r="T1318" t="s">
        <v>152</v>
      </c>
      <c r="U1318" s="1" t="s">
        <v>69</v>
      </c>
      <c r="V1318" s="1">
        <v>45160</v>
      </c>
      <c r="W1318" s="4">
        <f>YEAR(Tableau1[[#This Row],[Competition_date]])</f>
        <v>2023</v>
      </c>
      <c r="X1318" s="4">
        <v>35</v>
      </c>
      <c r="Y1318" s="6">
        <v>0.37</v>
      </c>
      <c r="Z1318" s="4"/>
      <c r="AA1318" t="s">
        <v>115</v>
      </c>
    </row>
    <row r="1319" spans="1:27" hidden="1" x14ac:dyDescent="0.35">
      <c r="A1319" t="str">
        <f>_xlfn.CONCAT(Tableau1[[#This Row],[Athletes]],"_",Tableau1[[#This Row],[Nationality]],"_",Tableau1[[#This Row],[Competition_year]])</f>
        <v>Mohamed ATTAOUI_ESP_2023</v>
      </c>
      <c r="B1319" t="s">
        <v>110</v>
      </c>
      <c r="C1319" t="s">
        <v>14</v>
      </c>
      <c r="D1319" s="18" t="s">
        <v>37</v>
      </c>
      <c r="E1319">
        <v>13.04</v>
      </c>
      <c r="F1319">
        <v>12.72</v>
      </c>
      <c r="G1319">
        <v>14.63</v>
      </c>
      <c r="H1319">
        <v>13.78</v>
      </c>
      <c r="I1319">
        <v>13.69</v>
      </c>
      <c r="J1319">
        <v>13.07</v>
      </c>
      <c r="K1319">
        <v>13.1</v>
      </c>
      <c r="L1319">
        <f>Tableau1[[#This Row],[Final_time]]-SUM(Tableau1[[#This Row],[0_100m]:[600_700m]])</f>
        <v>12.620000000000005</v>
      </c>
      <c r="M1319">
        <v>106.65</v>
      </c>
      <c r="N1319">
        <f>SUM(Tableau1[[#This Row],[0_100m]:[700_800m]])</f>
        <v>106.65</v>
      </c>
      <c r="O1319">
        <f>ABS(Tableau1[[#This Row],[Final_time]]-Tableau1[[#This Row],[Sum_time]])</f>
        <v>0</v>
      </c>
      <c r="P1319" s="8" t="s">
        <v>141</v>
      </c>
      <c r="Q1319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19" t="s">
        <v>104</v>
      </c>
      <c r="S1319" s="1" t="s">
        <v>114</v>
      </c>
      <c r="T1319" t="s">
        <v>152</v>
      </c>
      <c r="U1319" s="1" t="s">
        <v>69</v>
      </c>
      <c r="V1319" s="1">
        <v>45160</v>
      </c>
      <c r="W1319" s="4">
        <f>YEAR(Tableau1[[#This Row],[Competition_date]])</f>
        <v>2023</v>
      </c>
      <c r="X1319" s="4">
        <v>35</v>
      </c>
      <c r="Y1319" s="6">
        <v>0.37</v>
      </c>
      <c r="Z1319" s="4"/>
      <c r="AA1319" t="s">
        <v>115</v>
      </c>
    </row>
    <row r="1320" spans="1:27" hidden="1" x14ac:dyDescent="0.35">
      <c r="A1320" t="str">
        <f>_xlfn.CONCAT(Tableau1[[#This Row],[Athletes]],"_",Tableau1[[#This Row],[Nationality]],"_",Tableau1[[#This Row],[Competition_year]])</f>
        <v>Emmanuel Kipkurui KORIR_KEN_2023</v>
      </c>
      <c r="B1320" s="9" t="s">
        <v>201</v>
      </c>
      <c r="C1320" t="s">
        <v>14</v>
      </c>
      <c r="D1320" s="18" t="s">
        <v>15</v>
      </c>
      <c r="E1320">
        <v>12.96</v>
      </c>
      <c r="F1320">
        <v>12.68</v>
      </c>
      <c r="G1320">
        <v>15.03</v>
      </c>
      <c r="H1320">
        <v>14.04</v>
      </c>
      <c r="I1320">
        <v>13.53</v>
      </c>
      <c r="J1320">
        <v>12.77</v>
      </c>
      <c r="K1320">
        <v>12.95</v>
      </c>
      <c r="L1320">
        <f>Tableau1[[#This Row],[Final_time]]-SUM(Tableau1[[#This Row],[0_100m]:[600_700m]])</f>
        <v>12.820000000000007</v>
      </c>
      <c r="M1320">
        <v>106.78</v>
      </c>
      <c r="N1320">
        <f>SUM(Tableau1[[#This Row],[0_100m]:[700_800m]])</f>
        <v>106.78</v>
      </c>
      <c r="O1320">
        <f>ABS(Tableau1[[#This Row],[Final_time]]-Tableau1[[#This Row],[Sum_time]])</f>
        <v>0</v>
      </c>
      <c r="P1320" s="8"/>
      <c r="Q1320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20" t="s">
        <v>104</v>
      </c>
      <c r="S1320" s="1" t="s">
        <v>114</v>
      </c>
      <c r="T1320" t="s">
        <v>152</v>
      </c>
      <c r="U1320" s="1" t="s">
        <v>69</v>
      </c>
      <c r="V1320" s="1">
        <v>45160</v>
      </c>
      <c r="W1320" s="4">
        <f>YEAR(Tableau1[[#This Row],[Competition_date]])</f>
        <v>2023</v>
      </c>
      <c r="X1320" s="4">
        <v>35</v>
      </c>
      <c r="Y1320" s="6">
        <v>0.37</v>
      </c>
      <c r="Z1320" s="4"/>
      <c r="AA1320" t="s">
        <v>115</v>
      </c>
    </row>
    <row r="1321" spans="1:27" hidden="1" x14ac:dyDescent="0.35">
      <c r="A1321" t="str">
        <f>_xlfn.CONCAT(Tableau1[[#This Row],[Athletes]],"_",Tableau1[[#This Row],[Nationality]],"_",Tableau1[[#This Row],[Competition_year]])</f>
        <v>Abdessalem AYOUNI_TUN_2023</v>
      </c>
      <c r="B1321" t="s">
        <v>202</v>
      </c>
      <c r="C1321" t="s">
        <v>14</v>
      </c>
      <c r="D1321" s="18" t="s">
        <v>124</v>
      </c>
      <c r="E1321">
        <v>12.97</v>
      </c>
      <c r="F1321">
        <v>12.86</v>
      </c>
      <c r="G1321">
        <v>14.68</v>
      </c>
      <c r="H1321">
        <v>14.06</v>
      </c>
      <c r="I1321">
        <v>13.82</v>
      </c>
      <c r="J1321">
        <v>13</v>
      </c>
      <c r="K1321">
        <v>12.87</v>
      </c>
      <c r="L1321">
        <f>Tableau1[[#This Row],[Final_time]]-SUM(Tableau1[[#This Row],[0_100m]:[600_700m]])</f>
        <v>12.589999999999989</v>
      </c>
      <c r="M1321">
        <v>106.85</v>
      </c>
      <c r="N1321">
        <f>SUM(Tableau1[[#This Row],[0_100m]:[700_800m]])</f>
        <v>106.85</v>
      </c>
      <c r="O1321">
        <f>ABS(Tableau1[[#This Row],[Final_time]]-Tableau1[[#This Row],[Sum_time]])</f>
        <v>0</v>
      </c>
      <c r="P1321" s="8"/>
      <c r="Q1321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21" t="s">
        <v>104</v>
      </c>
      <c r="S1321" s="1" t="s">
        <v>114</v>
      </c>
      <c r="T1321" t="s">
        <v>152</v>
      </c>
      <c r="U1321" s="1" t="s">
        <v>69</v>
      </c>
      <c r="V1321" s="1">
        <v>45160</v>
      </c>
      <c r="W1321" s="4">
        <f>YEAR(Tableau1[[#This Row],[Competition_date]])</f>
        <v>2023</v>
      </c>
      <c r="X1321" s="4">
        <v>35</v>
      </c>
      <c r="Y1321" s="6">
        <v>0.37</v>
      </c>
      <c r="Z1321" s="4"/>
      <c r="AA1321" t="s">
        <v>115</v>
      </c>
    </row>
    <row r="1322" spans="1:27" hidden="1" x14ac:dyDescent="0.35">
      <c r="A1322" t="str">
        <f>_xlfn.CONCAT(Tableau1[[#This Row],[Athletes]],"_",Tableau1[[#This Row],[Nationality]],"_",Tableau1[[#This Row],[Competition_year]])</f>
        <v>Clayton MURPHY_USA_2023</v>
      </c>
      <c r="B1322" t="s">
        <v>203</v>
      </c>
      <c r="C1322" t="s">
        <v>14</v>
      </c>
      <c r="D1322" s="18" t="s">
        <v>35</v>
      </c>
      <c r="E1322">
        <v>12.73</v>
      </c>
      <c r="F1322">
        <v>12.67</v>
      </c>
      <c r="G1322">
        <v>14.72</v>
      </c>
      <c r="H1322">
        <v>13.95</v>
      </c>
      <c r="I1322">
        <v>13.7</v>
      </c>
      <c r="J1322">
        <v>12.95</v>
      </c>
      <c r="K1322">
        <v>13</v>
      </c>
      <c r="L1322">
        <f>Tableau1[[#This Row],[Final_time]]-SUM(Tableau1[[#This Row],[0_100m]:[600_700m]])</f>
        <v>13.340000000000003</v>
      </c>
      <c r="M1322">
        <v>107.06</v>
      </c>
      <c r="N1322">
        <f>SUM(Tableau1[[#This Row],[0_100m]:[700_800m]])</f>
        <v>107.06</v>
      </c>
      <c r="O1322">
        <f>ABS(Tableau1[[#This Row],[Final_time]]-Tableau1[[#This Row],[Sum_time]])</f>
        <v>0</v>
      </c>
      <c r="P1322" s="8"/>
      <c r="Q1322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22" t="s">
        <v>104</v>
      </c>
      <c r="S1322" s="1" t="s">
        <v>114</v>
      </c>
      <c r="T1322" t="s">
        <v>152</v>
      </c>
      <c r="U1322" s="1" t="s">
        <v>69</v>
      </c>
      <c r="V1322" s="1">
        <v>45160</v>
      </c>
      <c r="W1322" s="4">
        <f>YEAR(Tableau1[[#This Row],[Competition_date]])</f>
        <v>2023</v>
      </c>
      <c r="X1322" s="4">
        <v>35</v>
      </c>
      <c r="Y1322" s="6">
        <v>0.37</v>
      </c>
      <c r="Z1322" s="4"/>
      <c r="AA1322" t="s">
        <v>115</v>
      </c>
    </row>
    <row r="1323" spans="1:27" hidden="1" x14ac:dyDescent="0.35">
      <c r="A1323" t="str">
        <f>_xlfn.CONCAT(Tableau1[[#This Row],[Athletes]],"_",Tableau1[[#This Row],[Nationality]],"_",Tableau1[[#This Row],[Competition_year]])</f>
        <v>Abedin MUJEZINOVIĆ_BIH_2023</v>
      </c>
      <c r="B1323" t="s">
        <v>204</v>
      </c>
      <c r="C1323" t="s">
        <v>14</v>
      </c>
      <c r="D1323" s="18" t="s">
        <v>120</v>
      </c>
      <c r="E1323">
        <v>12.86</v>
      </c>
      <c r="F1323">
        <v>12.66</v>
      </c>
      <c r="G1323">
        <v>14.36</v>
      </c>
      <c r="H1323">
        <v>14.27</v>
      </c>
      <c r="I1323">
        <v>13.9</v>
      </c>
      <c r="J1323">
        <v>12.77</v>
      </c>
      <c r="K1323">
        <v>13.22</v>
      </c>
      <c r="L1323">
        <f>Tableau1[[#This Row],[Final_time]]-SUM(Tableau1[[#This Row],[0_100m]:[600_700m]])</f>
        <v>13.720000000000013</v>
      </c>
      <c r="M1323">
        <v>107.76</v>
      </c>
      <c r="N1323">
        <f>SUM(Tableau1[[#This Row],[0_100m]:[700_800m]])</f>
        <v>107.76</v>
      </c>
      <c r="O1323">
        <f>ABS(Tableau1[[#This Row],[Final_time]]-Tableau1[[#This Row],[Sum_time]])</f>
        <v>0</v>
      </c>
      <c r="P1323" s="8"/>
      <c r="Q1323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23" t="s">
        <v>104</v>
      </c>
      <c r="S1323" s="1" t="s">
        <v>114</v>
      </c>
      <c r="T1323" t="s">
        <v>152</v>
      </c>
      <c r="U1323" s="1" t="s">
        <v>69</v>
      </c>
      <c r="V1323" s="1">
        <v>45160</v>
      </c>
      <c r="W1323" s="4">
        <f>YEAR(Tableau1[[#This Row],[Competition_date]])</f>
        <v>2023</v>
      </c>
      <c r="X1323" s="4">
        <v>35</v>
      </c>
      <c r="Y1323" s="6">
        <v>0.37</v>
      </c>
      <c r="Z1323" s="4"/>
      <c r="AA1323" t="s">
        <v>115</v>
      </c>
    </row>
    <row r="1324" spans="1:27" hidden="1" x14ac:dyDescent="0.35">
      <c r="A1324" t="str">
        <f>_xlfn.CONCAT(Tableau1[[#This Row],[Athletes]],"_",Tableau1[[#This Row],[Nationality]],"_",Tableau1[[#This Row],[Competition_year]])</f>
        <v>Riley MCGOWN_AUS_2023</v>
      </c>
      <c r="B1324" t="s">
        <v>205</v>
      </c>
      <c r="C1324" t="s">
        <v>14</v>
      </c>
      <c r="D1324" s="18" t="s">
        <v>36</v>
      </c>
      <c r="E1324">
        <v>12.86</v>
      </c>
      <c r="F1324">
        <v>12.67</v>
      </c>
      <c r="G1324">
        <v>14.56</v>
      </c>
      <c r="H1324">
        <v>14.38</v>
      </c>
      <c r="I1324">
        <v>13.53</v>
      </c>
      <c r="J1324">
        <v>13.33</v>
      </c>
      <c r="K1324">
        <v>13.02</v>
      </c>
      <c r="L1324">
        <f>Tableau1[[#This Row],[Final_time]]-SUM(Tableau1[[#This Row],[0_100m]:[600_700m]])</f>
        <v>14.030000000000001</v>
      </c>
      <c r="M1324">
        <v>108.38</v>
      </c>
      <c r="N1324">
        <f>SUM(Tableau1[[#This Row],[0_100m]:[700_800m]])</f>
        <v>108.38</v>
      </c>
      <c r="O1324">
        <f>ABS(Tableau1[[#This Row],[Final_time]]-Tableau1[[#This Row],[Sum_time]])</f>
        <v>0</v>
      </c>
      <c r="P1324" s="8"/>
      <c r="Q1324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24" t="s">
        <v>104</v>
      </c>
      <c r="S1324" s="1" t="s">
        <v>114</v>
      </c>
      <c r="T1324" t="s">
        <v>152</v>
      </c>
      <c r="U1324" s="1" t="s">
        <v>69</v>
      </c>
      <c r="V1324" s="1">
        <v>45160</v>
      </c>
      <c r="W1324" s="4">
        <f>YEAR(Tableau1[[#This Row],[Competition_date]])</f>
        <v>2023</v>
      </c>
      <c r="X1324" s="4">
        <v>35</v>
      </c>
      <c r="Y1324" s="6">
        <v>0.37</v>
      </c>
      <c r="Z1324" s="4"/>
      <c r="AA1324" t="s">
        <v>115</v>
      </c>
    </row>
    <row r="1325" spans="1:27" hidden="1" x14ac:dyDescent="0.35">
      <c r="A1325" t="str">
        <f>_xlfn.CONCAT(Tableau1[[#This Row],[Athletes]],"_",Tableau1[[#This Row],[Nationality]],"_",Tableau1[[#This Row],[Competition_year]])</f>
        <v>Faustino PRIETO ALFARO_GEQ_2023</v>
      </c>
      <c r="B1325" t="s">
        <v>206</v>
      </c>
      <c r="C1325" t="s">
        <v>14</v>
      </c>
      <c r="D1325" s="18" t="s">
        <v>125</v>
      </c>
      <c r="E1325">
        <v>14.14</v>
      </c>
      <c r="F1325">
        <v>13.15</v>
      </c>
      <c r="G1325">
        <v>14.61</v>
      </c>
      <c r="H1325">
        <v>15.06</v>
      </c>
      <c r="I1325">
        <v>16</v>
      </c>
      <c r="J1325">
        <v>16.77</v>
      </c>
      <c r="K1325">
        <v>17.190000000000001</v>
      </c>
      <c r="L1325">
        <f>Tableau1[[#This Row],[Final_time]]-SUM(Tableau1[[#This Row],[0_100m]:[600_700m]])</f>
        <v>17.28</v>
      </c>
      <c r="M1325">
        <v>124.2</v>
      </c>
      <c r="N1325">
        <f>SUM(Tableau1[[#This Row],[0_100m]:[700_800m]])</f>
        <v>124.2</v>
      </c>
      <c r="O1325">
        <f>ABS(Tableau1[[#This Row],[Final_time]]-Tableau1[[#This Row],[Sum_time]])</f>
        <v>0</v>
      </c>
      <c r="P1325" s="8"/>
      <c r="Q1325" s="16" t="str">
        <f>_xlfn.CONCAT(Tableau1[[#This Row],[Competition]],"_",Tableau1[[#This Row],[Championship_step]],"_",Tableau1[[#This Row],[Competition_date]],"_",Tableau1[[#This Row],[Gender]])</f>
        <v>World Championships Budapest 2023_Heat 5_45160_Male</v>
      </c>
      <c r="R1325" t="s">
        <v>104</v>
      </c>
      <c r="S1325" s="1" t="s">
        <v>114</v>
      </c>
      <c r="T1325" t="s">
        <v>152</v>
      </c>
      <c r="U1325" s="1" t="s">
        <v>69</v>
      </c>
      <c r="V1325" s="1">
        <v>45160</v>
      </c>
      <c r="W1325" s="4">
        <f>YEAR(Tableau1[[#This Row],[Competition_date]])</f>
        <v>2023</v>
      </c>
      <c r="X1325" s="4">
        <v>35</v>
      </c>
      <c r="Y1325" s="6">
        <v>0.37</v>
      </c>
      <c r="Z1325" s="4"/>
      <c r="AA1325" t="s">
        <v>115</v>
      </c>
    </row>
    <row r="1326" spans="1:27" hidden="1" x14ac:dyDescent="0.35">
      <c r="A1326" t="str">
        <f>_xlfn.CONCAT(Tableau1[[#This Row],[Athletes]],"_",Tableau1[[#This Row],[Nationality]],"_",Tableau1[[#This Row],[Competition_year]])</f>
        <v>Abdelati EL GUESSE_MAR_2023</v>
      </c>
      <c r="B1326" t="s">
        <v>112</v>
      </c>
      <c r="C1326" t="s">
        <v>14</v>
      </c>
      <c r="D1326" s="18" t="s">
        <v>21</v>
      </c>
      <c r="E1326">
        <v>13.35</v>
      </c>
      <c r="F1326">
        <v>12.41</v>
      </c>
      <c r="G1326">
        <v>14.18</v>
      </c>
      <c r="H1326">
        <v>13.92</v>
      </c>
      <c r="I1326">
        <v>13.13</v>
      </c>
      <c r="J1326">
        <v>12.79</v>
      </c>
      <c r="K1326">
        <v>13.03</v>
      </c>
      <c r="L1326">
        <f>Tableau1[[#This Row],[Final_time]]-SUM(Tableau1[[#This Row],[0_100m]:[600_700m]])</f>
        <v>12.429999999999993</v>
      </c>
      <c r="M1326">
        <v>105.24</v>
      </c>
      <c r="N1326">
        <f>SUM(Tableau1[[#This Row],[0_100m]:[700_800m]])</f>
        <v>105.24</v>
      </c>
      <c r="O1326">
        <f>ABS(Tableau1[[#This Row],[Final_time]]-Tableau1[[#This Row],[Sum_time]])</f>
        <v>0</v>
      </c>
      <c r="P1326" s="8" t="s">
        <v>141</v>
      </c>
      <c r="Q1326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26" t="s">
        <v>104</v>
      </c>
      <c r="S1326" s="1" t="s">
        <v>114</v>
      </c>
      <c r="T1326" t="s">
        <v>154</v>
      </c>
      <c r="U1326" s="1" t="s">
        <v>69</v>
      </c>
      <c r="V1326" s="1">
        <v>45160</v>
      </c>
      <c r="W1326" s="4">
        <f>YEAR(Tableau1[[#This Row],[Competition_date]])</f>
        <v>2023</v>
      </c>
      <c r="X1326" s="4">
        <v>32</v>
      </c>
      <c r="Y1326" s="6">
        <v>0.44</v>
      </c>
      <c r="Z1326" s="4"/>
      <c r="AA1326" t="s">
        <v>115</v>
      </c>
    </row>
    <row r="1327" spans="1:27" hidden="1" x14ac:dyDescent="0.35">
      <c r="A1327" t="str">
        <f>_xlfn.CONCAT(Tableau1[[#This Row],[Athletes]],"_",Tableau1[[#This Row],[Nationality]],"_",Tableau1[[#This Row],[Competition_year]])</f>
        <v>Andreas KRAMER_SWE_2023</v>
      </c>
      <c r="B1327" t="s">
        <v>186</v>
      </c>
      <c r="C1327" t="s">
        <v>14</v>
      </c>
      <c r="D1327" s="18" t="s">
        <v>28</v>
      </c>
      <c r="E1327">
        <v>13.07</v>
      </c>
      <c r="F1327">
        <v>12.93</v>
      </c>
      <c r="G1327">
        <v>13.99</v>
      </c>
      <c r="H1327">
        <v>14.49</v>
      </c>
      <c r="I1327">
        <v>12.77</v>
      </c>
      <c r="J1327">
        <v>12.8</v>
      </c>
      <c r="K1327">
        <v>12.9</v>
      </c>
      <c r="L1327">
        <f>Tableau1[[#This Row],[Final_time]]-SUM(Tableau1[[#This Row],[0_100m]:[600_700m]])</f>
        <v>12.469999999999999</v>
      </c>
      <c r="M1327">
        <v>105.42</v>
      </c>
      <c r="N1327">
        <f>SUM(Tableau1[[#This Row],[0_100m]:[700_800m]])</f>
        <v>105.42</v>
      </c>
      <c r="O1327">
        <f>ABS(Tableau1[[#This Row],[Final_time]]-Tableau1[[#This Row],[Sum_time]])</f>
        <v>0</v>
      </c>
      <c r="P1327" s="8" t="s">
        <v>141</v>
      </c>
      <c r="Q1327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27" t="s">
        <v>104</v>
      </c>
      <c r="S1327" s="1" t="s">
        <v>114</v>
      </c>
      <c r="T1327" t="s">
        <v>154</v>
      </c>
      <c r="U1327" s="1" t="s">
        <v>69</v>
      </c>
      <c r="V1327" s="1">
        <v>45160</v>
      </c>
      <c r="W1327" s="4">
        <f>YEAR(Tableau1[[#This Row],[Competition_date]])</f>
        <v>2023</v>
      </c>
      <c r="X1327" s="4">
        <v>32</v>
      </c>
      <c r="Y1327" s="6">
        <v>0.44</v>
      </c>
      <c r="Z1327" s="4"/>
      <c r="AA1327" t="s">
        <v>115</v>
      </c>
    </row>
    <row r="1328" spans="1:27" hidden="1" x14ac:dyDescent="0.35">
      <c r="A1328" t="str">
        <f>_xlfn.CONCAT(Tableau1[[#This Row],[Athletes]],"_",Tableau1[[#This Row],[Nationality]],"_",Tableau1[[#This Row],[Competition_year]])</f>
        <v>Slimane MOULA_ALG_2023</v>
      </c>
      <c r="B1328" t="s">
        <v>103</v>
      </c>
      <c r="C1328" t="s">
        <v>14</v>
      </c>
      <c r="D1328" s="18" t="s">
        <v>24</v>
      </c>
      <c r="E1328">
        <v>13.45</v>
      </c>
      <c r="F1328">
        <v>12.59</v>
      </c>
      <c r="G1328">
        <v>14.11</v>
      </c>
      <c r="H1328">
        <v>13.98</v>
      </c>
      <c r="I1328">
        <v>13.39</v>
      </c>
      <c r="J1328">
        <v>12.75</v>
      </c>
      <c r="K1328">
        <v>13.27</v>
      </c>
      <c r="L1328">
        <f>Tableau1[[#This Row],[Final_time]]-SUM(Tableau1[[#This Row],[0_100m]:[600_700m]])</f>
        <v>12.220000000000013</v>
      </c>
      <c r="M1328">
        <v>105.76</v>
      </c>
      <c r="N1328">
        <f>SUM(Tableau1[[#This Row],[0_100m]:[700_800m]])</f>
        <v>105.76</v>
      </c>
      <c r="O1328">
        <f>ABS(Tableau1[[#This Row],[Final_time]]-Tableau1[[#This Row],[Sum_time]])</f>
        <v>0</v>
      </c>
      <c r="P1328" s="8" t="s">
        <v>141</v>
      </c>
      <c r="Q1328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28" t="s">
        <v>104</v>
      </c>
      <c r="S1328" s="1" t="s">
        <v>114</v>
      </c>
      <c r="T1328" t="s">
        <v>154</v>
      </c>
      <c r="U1328" s="1" t="s">
        <v>69</v>
      </c>
      <c r="V1328" s="1">
        <v>45160</v>
      </c>
      <c r="W1328" s="4">
        <f>YEAR(Tableau1[[#This Row],[Competition_date]])</f>
        <v>2023</v>
      </c>
      <c r="X1328" s="4">
        <v>32</v>
      </c>
      <c r="Y1328" s="6">
        <v>0.44</v>
      </c>
      <c r="Z1328" s="4"/>
      <c r="AA1328" t="s">
        <v>115</v>
      </c>
    </row>
    <row r="1329" spans="1:27" hidden="1" x14ac:dyDescent="0.35">
      <c r="A1329" t="str">
        <f>_xlfn.CONCAT(Tableau1[[#This Row],[Athletes]],"_",Tableau1[[#This Row],[Nationality]],"_",Tableau1[[#This Row],[Competition_year]])</f>
        <v>Francesco PERNICI_ITA_2023</v>
      </c>
      <c r="B1329" t="s">
        <v>126</v>
      </c>
      <c r="C1329" t="s">
        <v>14</v>
      </c>
      <c r="D1329" s="18" t="s">
        <v>20</v>
      </c>
      <c r="E1329">
        <v>13.25</v>
      </c>
      <c r="F1329">
        <v>12.77</v>
      </c>
      <c r="G1329">
        <v>13.96</v>
      </c>
      <c r="H1329">
        <v>13.69</v>
      </c>
      <c r="I1329">
        <v>13.21</v>
      </c>
      <c r="J1329">
        <v>12.91</v>
      </c>
      <c r="K1329">
        <v>13.63</v>
      </c>
      <c r="L1329">
        <f>Tableau1[[#This Row],[Final_time]]-SUM(Tableau1[[#This Row],[0_100m]:[600_700m]])</f>
        <v>12.470000000000013</v>
      </c>
      <c r="M1329">
        <v>105.89</v>
      </c>
      <c r="N1329">
        <f>SUM(Tableau1[[#This Row],[0_100m]:[700_800m]])</f>
        <v>105.89</v>
      </c>
      <c r="O1329">
        <f>ABS(Tableau1[[#This Row],[Final_time]]-Tableau1[[#This Row],[Sum_time]])</f>
        <v>0</v>
      </c>
      <c r="P1329" s="8"/>
      <c r="Q1329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29" t="s">
        <v>104</v>
      </c>
      <c r="S1329" s="1" t="s">
        <v>114</v>
      </c>
      <c r="T1329" t="s">
        <v>154</v>
      </c>
      <c r="U1329" s="1" t="s">
        <v>69</v>
      </c>
      <c r="V1329" s="1">
        <v>45160</v>
      </c>
      <c r="W1329" s="4">
        <f>YEAR(Tableau1[[#This Row],[Competition_date]])</f>
        <v>2023</v>
      </c>
      <c r="X1329" s="4">
        <v>32</v>
      </c>
      <c r="Y1329" s="6">
        <v>0.44</v>
      </c>
      <c r="Z1329" s="4"/>
      <c r="AA1329" t="s">
        <v>115</v>
      </c>
    </row>
    <row r="1330" spans="1:27" hidden="1" x14ac:dyDescent="0.35">
      <c r="A1330" t="str">
        <f>_xlfn.CONCAT(Tableau1[[#This Row],[Athletes]],"_",Tableau1[[#This Row],[Nationality]],"_",Tableau1[[#This Row],[Competition_year]])</f>
        <v>Peter BOL_AUS_2023</v>
      </c>
      <c r="B1330" t="s">
        <v>127</v>
      </c>
      <c r="C1330" t="s">
        <v>14</v>
      </c>
      <c r="D1330" s="18" t="s">
        <v>36</v>
      </c>
      <c r="E1330">
        <v>13.05</v>
      </c>
      <c r="F1330">
        <v>13.07</v>
      </c>
      <c r="G1330">
        <v>14.08</v>
      </c>
      <c r="H1330">
        <v>14.12</v>
      </c>
      <c r="I1330">
        <v>13.38</v>
      </c>
      <c r="J1330">
        <v>12.66</v>
      </c>
      <c r="K1330">
        <v>12.93</v>
      </c>
      <c r="L1330">
        <f>Tableau1[[#This Row],[Final_time]]-SUM(Tableau1[[#This Row],[0_100m]:[600_700m]])</f>
        <v>13.460000000000008</v>
      </c>
      <c r="M1330">
        <v>106.75</v>
      </c>
      <c r="N1330">
        <f>SUM(Tableau1[[#This Row],[0_100m]:[700_800m]])</f>
        <v>106.75</v>
      </c>
      <c r="O1330">
        <f>ABS(Tableau1[[#This Row],[Final_time]]-Tableau1[[#This Row],[Sum_time]])</f>
        <v>0</v>
      </c>
      <c r="P1330" s="8"/>
      <c r="Q1330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30" t="s">
        <v>104</v>
      </c>
      <c r="S1330" s="1" t="s">
        <v>114</v>
      </c>
      <c r="T1330" t="s">
        <v>154</v>
      </c>
      <c r="U1330" s="1" t="s">
        <v>69</v>
      </c>
      <c r="V1330" s="1">
        <v>45160</v>
      </c>
      <c r="W1330" s="4">
        <f>YEAR(Tableau1[[#This Row],[Competition_date]])</f>
        <v>2023</v>
      </c>
      <c r="X1330" s="4">
        <v>32</v>
      </c>
      <c r="Y1330" s="6">
        <v>0.44</v>
      </c>
      <c r="Z1330" s="4"/>
      <c r="AA1330" t="s">
        <v>115</v>
      </c>
    </row>
    <row r="1331" spans="1:27" hidden="1" x14ac:dyDescent="0.35">
      <c r="A1331" t="str">
        <f>_xlfn.CONCAT(Tableau1[[#This Row],[Athletes]],"_",Tableau1[[#This Row],[Nationality]],"_",Tableau1[[#This Row],[Competition_year]])</f>
        <v>James PRESTON_NZL_2023</v>
      </c>
      <c r="B1331" t="s">
        <v>128</v>
      </c>
      <c r="C1331" t="s">
        <v>14</v>
      </c>
      <c r="D1331" s="18" t="s">
        <v>116</v>
      </c>
      <c r="E1331">
        <v>12.98</v>
      </c>
      <c r="F1331">
        <v>12.78</v>
      </c>
      <c r="G1331">
        <v>14.07</v>
      </c>
      <c r="H1331">
        <v>14</v>
      </c>
      <c r="I1331">
        <v>13.41</v>
      </c>
      <c r="J1331">
        <v>12.78</v>
      </c>
      <c r="K1331">
        <v>13.23</v>
      </c>
      <c r="L1331">
        <f>Tableau1[[#This Row],[Final_time]]-SUM(Tableau1[[#This Row],[0_100m]:[600_700m]])</f>
        <v>13.590000000000003</v>
      </c>
      <c r="M1331">
        <v>106.84</v>
      </c>
      <c r="N1331">
        <f>SUM(Tableau1[[#This Row],[0_100m]:[700_800m]])</f>
        <v>106.84</v>
      </c>
      <c r="O1331">
        <f>ABS(Tableau1[[#This Row],[Final_time]]-Tableau1[[#This Row],[Sum_time]])</f>
        <v>0</v>
      </c>
      <c r="P1331" s="8"/>
      <c r="Q1331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31" t="s">
        <v>104</v>
      </c>
      <c r="S1331" s="1" t="s">
        <v>114</v>
      </c>
      <c r="T1331" t="s">
        <v>154</v>
      </c>
      <c r="U1331" s="1" t="s">
        <v>69</v>
      </c>
      <c r="V1331" s="1">
        <v>45160</v>
      </c>
      <c r="W1331" s="4">
        <f>YEAR(Tableau1[[#This Row],[Competition_date]])</f>
        <v>2023</v>
      </c>
      <c r="X1331" s="4">
        <v>32</v>
      </c>
      <c r="Y1331" s="6">
        <v>0.44</v>
      </c>
      <c r="Z1331" s="4"/>
      <c r="AA1331" t="s">
        <v>115</v>
      </c>
    </row>
    <row r="1332" spans="1:27" hidden="1" x14ac:dyDescent="0.35">
      <c r="A1332" t="str">
        <f>_xlfn.CONCAT(Tableau1[[#This Row],[Athletes]],"_",Tableau1[[#This Row],[Nationality]],"_",Tableau1[[#This Row],[Competition_year]])</f>
        <v>Handal ROBAN_VIN_2023</v>
      </c>
      <c r="B1332" t="s">
        <v>129</v>
      </c>
      <c r="C1332" t="s">
        <v>14</v>
      </c>
      <c r="D1332" s="18" t="s">
        <v>72</v>
      </c>
      <c r="E1332">
        <v>13.27</v>
      </c>
      <c r="F1332">
        <v>13.04</v>
      </c>
      <c r="G1332">
        <v>13.99</v>
      </c>
      <c r="H1332">
        <v>14.01</v>
      </c>
      <c r="I1332">
        <v>13.51</v>
      </c>
      <c r="J1332">
        <v>12.72</v>
      </c>
      <c r="K1332">
        <v>12.98</v>
      </c>
      <c r="L1332">
        <f>Tableau1[[#This Row],[Final_time]]-SUM(Tableau1[[#This Row],[0_100m]:[600_700m]])</f>
        <v>13.340000000000003</v>
      </c>
      <c r="M1332">
        <v>106.86</v>
      </c>
      <c r="N1332">
        <f>SUM(Tableau1[[#This Row],[0_100m]:[700_800m]])</f>
        <v>106.86</v>
      </c>
      <c r="O1332">
        <f>ABS(Tableau1[[#This Row],[Final_time]]-Tableau1[[#This Row],[Sum_time]])</f>
        <v>0</v>
      </c>
      <c r="P1332" s="8"/>
      <c r="Q1332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32" t="s">
        <v>104</v>
      </c>
      <c r="S1332" s="1" t="s">
        <v>114</v>
      </c>
      <c r="T1332" t="s">
        <v>154</v>
      </c>
      <c r="U1332" s="1" t="s">
        <v>69</v>
      </c>
      <c r="V1332" s="1">
        <v>45160</v>
      </c>
      <c r="W1332" s="4">
        <f>YEAR(Tableau1[[#This Row],[Competition_date]])</f>
        <v>2023</v>
      </c>
      <c r="X1332" s="4">
        <v>32</v>
      </c>
      <c r="Y1332" s="6">
        <v>0.44</v>
      </c>
      <c r="Z1332" s="4"/>
      <c r="AA1332" t="s">
        <v>115</v>
      </c>
    </row>
    <row r="1333" spans="1:27" hidden="1" x14ac:dyDescent="0.35">
      <c r="A1333" t="str">
        <f>_xlfn.CONCAT(Tableau1[[#This Row],[Athletes]],"_",Tableau1[[#This Row],[Nationality]],"_",Tableau1[[#This Row],[Competition_year]])</f>
        <v>Alex BEDDOES_COK_2023</v>
      </c>
      <c r="B1333" t="s">
        <v>130</v>
      </c>
      <c r="C1333" t="s">
        <v>14</v>
      </c>
      <c r="D1333" s="18" t="s">
        <v>131</v>
      </c>
      <c r="E1333">
        <v>13.39</v>
      </c>
      <c r="F1333">
        <v>13.14</v>
      </c>
      <c r="G1333">
        <v>14.16</v>
      </c>
      <c r="H1333">
        <v>14.62</v>
      </c>
      <c r="I1333">
        <v>12.53</v>
      </c>
      <c r="J1333">
        <v>12.76</v>
      </c>
      <c r="K1333">
        <v>13.3</v>
      </c>
      <c r="L1333">
        <f>Tableau1[[#This Row],[Final_time]]-SUM(Tableau1[[#This Row],[0_100m]:[600_700m]])</f>
        <v>14.410000000000011</v>
      </c>
      <c r="M1333">
        <v>108.31</v>
      </c>
      <c r="N1333">
        <f>SUM(Tableau1[[#This Row],[0_100m]:[700_800m]])</f>
        <v>108.31</v>
      </c>
      <c r="O1333">
        <f>ABS(Tableau1[[#This Row],[Final_time]]-Tableau1[[#This Row],[Sum_time]])</f>
        <v>0</v>
      </c>
      <c r="P1333" s="8"/>
      <c r="Q1333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33" t="s">
        <v>104</v>
      </c>
      <c r="S1333" s="1" t="s">
        <v>114</v>
      </c>
      <c r="T1333" t="s">
        <v>154</v>
      </c>
      <c r="U1333" s="1" t="s">
        <v>69</v>
      </c>
      <c r="V1333" s="1">
        <v>45160</v>
      </c>
      <c r="W1333" s="4">
        <f>YEAR(Tableau1[[#This Row],[Competition_date]])</f>
        <v>2023</v>
      </c>
      <c r="X1333" s="4">
        <v>32</v>
      </c>
      <c r="Y1333" s="6">
        <v>0.44</v>
      </c>
      <c r="Z1333" s="4"/>
      <c r="AA1333" t="s">
        <v>115</v>
      </c>
    </row>
    <row r="1334" spans="1:27" hidden="1" x14ac:dyDescent="0.35">
      <c r="A1334" t="str">
        <f>_xlfn.CONCAT(Tableau1[[#This Row],[Athletes]],"_",Tableau1[[#This Row],[Nationality]],"_",Tableau1[[#This Row],[Competition_year]])</f>
        <v>Justice DREISCHOR_ARU_2023</v>
      </c>
      <c r="B1334" t="s">
        <v>132</v>
      </c>
      <c r="C1334" t="s">
        <v>14</v>
      </c>
      <c r="D1334" s="18" t="s">
        <v>133</v>
      </c>
      <c r="E1334">
        <v>14.07</v>
      </c>
      <c r="F1334">
        <v>13.06</v>
      </c>
      <c r="G1334">
        <v>14.02</v>
      </c>
      <c r="H1334">
        <v>13.91</v>
      </c>
      <c r="I1334">
        <v>14.84</v>
      </c>
      <c r="J1334">
        <v>16.46</v>
      </c>
      <c r="K1334">
        <v>17.149999999999999</v>
      </c>
      <c r="L1334">
        <f>Tableau1[[#This Row],[Final_time]]-SUM(Tableau1[[#This Row],[0_100m]:[600_700m]])</f>
        <v>16.049999999999983</v>
      </c>
      <c r="M1334">
        <v>119.56</v>
      </c>
      <c r="N1334">
        <f>SUM(Tableau1[[#This Row],[0_100m]:[700_800m]])</f>
        <v>119.56</v>
      </c>
      <c r="O1334">
        <f>ABS(Tableau1[[#This Row],[Final_time]]-Tableau1[[#This Row],[Sum_time]])</f>
        <v>0</v>
      </c>
      <c r="P1334" s="8"/>
      <c r="Q1334" s="16" t="str">
        <f>_xlfn.CONCAT(Tableau1[[#This Row],[Competition]],"_",Tableau1[[#This Row],[Championship_step]],"_",Tableau1[[#This Row],[Competition_date]],"_",Tableau1[[#This Row],[Gender]])</f>
        <v>World Championships Budapest 2023_Heat 6_45160_Male</v>
      </c>
      <c r="R1334" t="s">
        <v>104</v>
      </c>
      <c r="S1334" s="1" t="s">
        <v>114</v>
      </c>
      <c r="T1334" t="s">
        <v>154</v>
      </c>
      <c r="U1334" s="1" t="s">
        <v>69</v>
      </c>
      <c r="V1334" s="1">
        <v>45160</v>
      </c>
      <c r="W1334" s="4">
        <f>YEAR(Tableau1[[#This Row],[Competition_date]])</f>
        <v>2023</v>
      </c>
      <c r="X1334" s="4">
        <v>32</v>
      </c>
      <c r="Y1334" s="6">
        <v>0.44</v>
      </c>
      <c r="Z1334" s="4"/>
      <c r="AA1334" t="s">
        <v>115</v>
      </c>
    </row>
    <row r="1335" spans="1:27" hidden="1" x14ac:dyDescent="0.35">
      <c r="A1335" t="str">
        <f>_xlfn.CONCAT(Tableau1[[#This Row],[Athletes]],"_",Tableau1[[#This Row],[Nationality]],"_",Tableau1[[#This Row],[Competition_year]])</f>
        <v>Marco AROP_CAN_2023</v>
      </c>
      <c r="B1335" t="s">
        <v>177</v>
      </c>
      <c r="C1335" t="s">
        <v>14</v>
      </c>
      <c r="D1335" s="18" t="s">
        <v>19</v>
      </c>
      <c r="E1335">
        <v>13</v>
      </c>
      <c r="F1335">
        <v>12.44</v>
      </c>
      <c r="G1335">
        <v>13.56</v>
      </c>
      <c r="H1335">
        <v>12.77</v>
      </c>
      <c r="I1335">
        <v>13.69</v>
      </c>
      <c r="J1335">
        <v>12.83</v>
      </c>
      <c r="K1335">
        <v>13.2</v>
      </c>
      <c r="L1335">
        <f>Tableau1[[#This Row],[Final_time]]-SUM(Tableau1[[#This Row],[0_100m]:[600_700m]])</f>
        <v>13.560000000000002</v>
      </c>
      <c r="M1335">
        <v>105.05</v>
      </c>
      <c r="N1335">
        <f>SUM(Tableau1[[#This Row],[0_100m]:[700_800m]])</f>
        <v>105.05</v>
      </c>
      <c r="O1335">
        <f>ABS(Tableau1[[#This Row],[Final_time]]-Tableau1[[#This Row],[Sum_time]])</f>
        <v>0</v>
      </c>
      <c r="P1335" s="8" t="s">
        <v>141</v>
      </c>
      <c r="Q1335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35" t="s">
        <v>104</v>
      </c>
      <c r="S1335" s="1" t="s">
        <v>114</v>
      </c>
      <c r="T1335" t="s">
        <v>153</v>
      </c>
      <c r="U1335" s="1" t="s">
        <v>69</v>
      </c>
      <c r="V1335" s="1">
        <v>45160</v>
      </c>
      <c r="W1335" s="4">
        <f>YEAR(Tableau1[[#This Row],[Competition_date]])</f>
        <v>2023</v>
      </c>
      <c r="X1335" s="4">
        <v>32</v>
      </c>
      <c r="Y1335" s="6">
        <v>0.44</v>
      </c>
      <c r="Z1335" s="4"/>
      <c r="AA1335" t="s">
        <v>115</v>
      </c>
    </row>
    <row r="1336" spans="1:27" hidden="1" x14ac:dyDescent="0.35">
      <c r="A1336" t="str">
        <f>_xlfn.CONCAT(Tableau1[[#This Row],[Athletes]],"_",Tableau1[[#This Row],[Nationality]],"_",Tableau1[[#This Row],[Competition_year]])</f>
        <v>Simone BARONTINI_ITA_2023</v>
      </c>
      <c r="B1336" t="s">
        <v>185</v>
      </c>
      <c r="C1336" t="s">
        <v>14</v>
      </c>
      <c r="D1336" s="18" t="s">
        <v>20</v>
      </c>
      <c r="E1336">
        <v>12.72</v>
      </c>
      <c r="F1336">
        <v>12.47</v>
      </c>
      <c r="G1336">
        <v>13.38</v>
      </c>
      <c r="H1336">
        <v>13.79</v>
      </c>
      <c r="I1336">
        <v>13.19</v>
      </c>
      <c r="J1336">
        <v>13.35</v>
      </c>
      <c r="K1336">
        <v>13.22</v>
      </c>
      <c r="L1336">
        <f>Tableau1[[#This Row],[Final_time]]-SUM(Tableau1[[#This Row],[0_100m]:[600_700m]])</f>
        <v>13.090000000000003</v>
      </c>
      <c r="M1336">
        <v>105.21</v>
      </c>
      <c r="N1336">
        <f>SUM(Tableau1[[#This Row],[0_100m]:[700_800m]])</f>
        <v>105.21</v>
      </c>
      <c r="O1336">
        <f>ABS(Tableau1[[#This Row],[Final_time]]-Tableau1[[#This Row],[Sum_time]])</f>
        <v>0</v>
      </c>
      <c r="P1336" s="8" t="s">
        <v>141</v>
      </c>
      <c r="Q1336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36" t="s">
        <v>104</v>
      </c>
      <c r="S1336" s="1" t="s">
        <v>114</v>
      </c>
      <c r="T1336" t="s">
        <v>153</v>
      </c>
      <c r="U1336" s="1" t="s">
        <v>69</v>
      </c>
      <c r="V1336" s="1">
        <v>45160</v>
      </c>
      <c r="W1336" s="4">
        <f>YEAR(Tableau1[[#This Row],[Competition_date]])</f>
        <v>2023</v>
      </c>
      <c r="X1336" s="4">
        <v>32</v>
      </c>
      <c r="Y1336" s="6">
        <v>0.44</v>
      </c>
      <c r="Z1336" s="4"/>
      <c r="AA1336" t="s">
        <v>115</v>
      </c>
    </row>
    <row r="1337" spans="1:27" hidden="1" x14ac:dyDescent="0.35">
      <c r="A1337" t="str">
        <f>_xlfn.CONCAT(Tableau1[[#This Row],[Athletes]],"_",Tableau1[[#This Row],[Nationality]],"_",Tableau1[[#This Row],[Competition_year]])</f>
        <v>Yanis MEZIANE_FRA_2023</v>
      </c>
      <c r="B1337" t="s">
        <v>171</v>
      </c>
      <c r="C1337" t="s">
        <v>14</v>
      </c>
      <c r="D1337" s="18" t="s">
        <v>17</v>
      </c>
      <c r="E1337">
        <v>12.69</v>
      </c>
      <c r="F1337">
        <v>12.23</v>
      </c>
      <c r="G1337">
        <v>14.65</v>
      </c>
      <c r="H1337">
        <v>11.93</v>
      </c>
      <c r="I1337">
        <v>13.88</v>
      </c>
      <c r="J1337">
        <v>12.99</v>
      </c>
      <c r="K1337">
        <v>13.66</v>
      </c>
      <c r="L1337">
        <f>Tableau1[[#This Row],[Final_time]]-SUM(Tableau1[[#This Row],[0_100m]:[600_700m]])</f>
        <v>13.27000000000001</v>
      </c>
      <c r="M1337">
        <v>105.3</v>
      </c>
      <c r="N1337">
        <f>SUM(Tableau1[[#This Row],[0_100m]:[700_800m]])</f>
        <v>105.3</v>
      </c>
      <c r="O1337">
        <f>ABS(Tableau1[[#This Row],[Final_time]]-Tableau1[[#This Row],[Sum_time]])</f>
        <v>0</v>
      </c>
      <c r="P1337" s="8" t="s">
        <v>141</v>
      </c>
      <c r="Q1337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37" t="s">
        <v>104</v>
      </c>
      <c r="S1337" s="1" t="s">
        <v>114</v>
      </c>
      <c r="T1337" t="s">
        <v>153</v>
      </c>
      <c r="U1337" s="1" t="s">
        <v>69</v>
      </c>
      <c r="V1337" s="1">
        <v>45160</v>
      </c>
      <c r="W1337" s="4">
        <f>YEAR(Tableau1[[#This Row],[Competition_date]])</f>
        <v>2023</v>
      </c>
      <c r="X1337" s="4">
        <v>32</v>
      </c>
      <c r="Y1337" s="6">
        <v>0.44</v>
      </c>
      <c r="Z1337" s="4"/>
      <c r="AA1337" t="s">
        <v>115</v>
      </c>
    </row>
    <row r="1338" spans="1:27" hidden="1" x14ac:dyDescent="0.35">
      <c r="A1338" t="str">
        <f>_xlfn.CONCAT(Tableau1[[#This Row],[Athletes]],"_",Tableau1[[#This Row],[Nationality]],"_",Tableau1[[#This Row],[Competition_year]])</f>
        <v>Joonas RINNE_FIN_2023</v>
      </c>
      <c r="B1338" t="s">
        <v>207</v>
      </c>
      <c r="C1338" t="s">
        <v>14</v>
      </c>
      <c r="D1338" s="18" t="s">
        <v>85</v>
      </c>
      <c r="E1338">
        <v>12.8</v>
      </c>
      <c r="F1338">
        <v>12.5</v>
      </c>
      <c r="G1338">
        <v>13.15</v>
      </c>
      <c r="H1338">
        <v>15.08</v>
      </c>
      <c r="I1338">
        <v>12.18</v>
      </c>
      <c r="J1338">
        <v>13.17</v>
      </c>
      <c r="K1338">
        <v>13.38</v>
      </c>
      <c r="L1338">
        <f>Tableau1[[#This Row],[Final_time]]-SUM(Tableau1[[#This Row],[0_100m]:[600_700m]])</f>
        <v>13.670000000000002</v>
      </c>
      <c r="M1338">
        <v>105.93</v>
      </c>
      <c r="N1338">
        <f>SUM(Tableau1[[#This Row],[0_100m]:[700_800m]])</f>
        <v>105.93</v>
      </c>
      <c r="O1338">
        <f>ABS(Tableau1[[#This Row],[Final_time]]-Tableau1[[#This Row],[Sum_time]])</f>
        <v>0</v>
      </c>
      <c r="P1338" s="8"/>
      <c r="Q1338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38" t="s">
        <v>104</v>
      </c>
      <c r="S1338" s="1" t="s">
        <v>114</v>
      </c>
      <c r="T1338" t="s">
        <v>153</v>
      </c>
      <c r="U1338" s="1" t="s">
        <v>69</v>
      </c>
      <c r="V1338" s="1">
        <v>45160</v>
      </c>
      <c r="W1338" s="4">
        <f>YEAR(Tableau1[[#This Row],[Competition_date]])</f>
        <v>2023</v>
      </c>
      <c r="X1338" s="4">
        <v>32</v>
      </c>
      <c r="Y1338" s="6">
        <v>0.44</v>
      </c>
      <c r="Z1338" s="4"/>
      <c r="AA1338" t="s">
        <v>115</v>
      </c>
    </row>
    <row r="1339" spans="1:27" hidden="1" x14ac:dyDescent="0.35">
      <c r="A1339" t="str">
        <f>_xlfn.CONCAT(Tableau1[[#This Row],[Athletes]],"_",Tableau1[[#This Row],[Nationality]],"_",Tableau1[[#This Row],[Competition_year]])</f>
        <v>Balázs VINDICS_HUN_2023</v>
      </c>
      <c r="B1339" t="s">
        <v>208</v>
      </c>
      <c r="C1339" t="s">
        <v>14</v>
      </c>
      <c r="D1339" s="18" t="s">
        <v>117</v>
      </c>
      <c r="E1339">
        <v>13.34</v>
      </c>
      <c r="F1339">
        <v>12.71</v>
      </c>
      <c r="G1339">
        <v>13.34</v>
      </c>
      <c r="H1339">
        <v>12.86</v>
      </c>
      <c r="I1339">
        <v>13.55</v>
      </c>
      <c r="J1339">
        <v>12.83</v>
      </c>
      <c r="K1339">
        <v>13.42</v>
      </c>
      <c r="L1339">
        <f>Tableau1[[#This Row],[Final_time]]-SUM(Tableau1[[#This Row],[0_100m]:[600_700m]])</f>
        <v>15.13000000000001</v>
      </c>
      <c r="M1339">
        <v>107.18</v>
      </c>
      <c r="N1339">
        <f>SUM(Tableau1[[#This Row],[0_100m]:[700_800m]])</f>
        <v>107.18</v>
      </c>
      <c r="O1339">
        <f>ABS(Tableau1[[#This Row],[Final_time]]-Tableau1[[#This Row],[Sum_time]])</f>
        <v>0</v>
      </c>
      <c r="P1339" s="8"/>
      <c r="Q1339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39" t="s">
        <v>104</v>
      </c>
      <c r="S1339" s="1" t="s">
        <v>114</v>
      </c>
      <c r="T1339" t="s">
        <v>153</v>
      </c>
      <c r="U1339" s="1" t="s">
        <v>69</v>
      </c>
      <c r="V1339" s="1">
        <v>45160</v>
      </c>
      <c r="W1339" s="4">
        <f>YEAR(Tableau1[[#This Row],[Competition_date]])</f>
        <v>2023</v>
      </c>
      <c r="X1339" s="4">
        <v>32</v>
      </c>
      <c r="Y1339" s="6">
        <v>0.44</v>
      </c>
      <c r="Z1339" s="4"/>
      <c r="AA1339" t="s">
        <v>115</v>
      </c>
    </row>
    <row r="1340" spans="1:27" hidden="1" x14ac:dyDescent="0.35">
      <c r="A1340" t="str">
        <f>_xlfn.CONCAT(Tableau1[[#This Row],[Athletes]],"_",Tableau1[[#This Row],[Nationality]],"_",Tableau1[[#This Row],[Competition_year]])</f>
        <v>Eduardo RIBEIRO_BRA_2023</v>
      </c>
      <c r="B1340" t="s">
        <v>209</v>
      </c>
      <c r="C1340" t="s">
        <v>14</v>
      </c>
      <c r="D1340" s="18" t="s">
        <v>134</v>
      </c>
      <c r="E1340">
        <v>12.47</v>
      </c>
      <c r="F1340">
        <v>12.25</v>
      </c>
      <c r="G1340">
        <v>13.2</v>
      </c>
      <c r="H1340">
        <v>13.48</v>
      </c>
      <c r="I1340">
        <v>13.96</v>
      </c>
      <c r="J1340">
        <v>13.95</v>
      </c>
      <c r="K1340">
        <v>13.8</v>
      </c>
      <c r="L1340">
        <f>Tableau1[[#This Row],[Final_time]]-SUM(Tableau1[[#This Row],[0_100m]:[600_700m]])</f>
        <v>14.639999999999986</v>
      </c>
      <c r="M1340">
        <v>107.75</v>
      </c>
      <c r="N1340">
        <f>SUM(Tableau1[[#This Row],[0_100m]:[700_800m]])</f>
        <v>107.75</v>
      </c>
      <c r="O1340">
        <f>ABS(Tableau1[[#This Row],[Final_time]]-Tableau1[[#This Row],[Sum_time]])</f>
        <v>0</v>
      </c>
      <c r="P1340" s="8"/>
      <c r="Q1340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40" t="s">
        <v>104</v>
      </c>
      <c r="S1340" s="1" t="s">
        <v>114</v>
      </c>
      <c r="T1340" t="s">
        <v>153</v>
      </c>
      <c r="U1340" s="1" t="s">
        <v>69</v>
      </c>
      <c r="V1340" s="1">
        <v>45160</v>
      </c>
      <c r="W1340" s="4">
        <f>YEAR(Tableau1[[#This Row],[Competition_date]])</f>
        <v>2023</v>
      </c>
      <c r="X1340" s="4">
        <v>32</v>
      </c>
      <c r="Y1340" s="6">
        <v>0.44</v>
      </c>
      <c r="Z1340" s="4"/>
      <c r="AA1340" t="s">
        <v>115</v>
      </c>
    </row>
    <row r="1341" spans="1:27" hidden="1" x14ac:dyDescent="0.35">
      <c r="A1341" t="str">
        <f>_xlfn.CONCAT(Tableau1[[#This Row],[Athletes]],"_",Tableau1[[#This Row],[Nationality]],"_",Tableau1[[#This Row],[Competition_year]])</f>
        <v>Oussama NABIL_MAR_2023</v>
      </c>
      <c r="B1341" t="s">
        <v>210</v>
      </c>
      <c r="C1341" t="s">
        <v>14</v>
      </c>
      <c r="D1341" s="18" t="s">
        <v>21</v>
      </c>
      <c r="E1341">
        <v>13.09</v>
      </c>
      <c r="F1341">
        <v>12.17</v>
      </c>
      <c r="G1341">
        <v>13.51</v>
      </c>
      <c r="H1341">
        <v>13.02</v>
      </c>
      <c r="I1341">
        <v>13.86</v>
      </c>
      <c r="J1341">
        <v>13.08</v>
      </c>
      <c r="K1341">
        <v>14</v>
      </c>
      <c r="L1341">
        <f>Tableau1[[#This Row],[Final_time]]-SUM(Tableau1[[#This Row],[0_100m]:[600_700m]])</f>
        <v>15.060000000000016</v>
      </c>
      <c r="M1341">
        <v>107.79</v>
      </c>
      <c r="N1341">
        <f>SUM(Tableau1[[#This Row],[0_100m]:[700_800m]])</f>
        <v>107.79</v>
      </c>
      <c r="O1341">
        <f>ABS(Tableau1[[#This Row],[Final_time]]-Tableau1[[#This Row],[Sum_time]])</f>
        <v>0</v>
      </c>
      <c r="P1341" s="8"/>
      <c r="Q1341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41" t="s">
        <v>104</v>
      </c>
      <c r="S1341" s="1" t="s">
        <v>114</v>
      </c>
      <c r="T1341" t="s">
        <v>153</v>
      </c>
      <c r="U1341" s="1" t="s">
        <v>69</v>
      </c>
      <c r="V1341" s="1">
        <v>45160</v>
      </c>
      <c r="W1341" s="4">
        <f>YEAR(Tableau1[[#This Row],[Competition_date]])</f>
        <v>2023</v>
      </c>
      <c r="X1341" s="4">
        <v>32</v>
      </c>
      <c r="Y1341" s="6">
        <v>0.44</v>
      </c>
      <c r="Z1341" s="4"/>
      <c r="AA1341" t="s">
        <v>115</v>
      </c>
    </row>
    <row r="1342" spans="1:27" hidden="1" x14ac:dyDescent="0.35">
      <c r="A1342" t="str">
        <f>_xlfn.CONCAT(Tableau1[[#This Row],[Athletes]],"_",Tableau1[[#This Row],[Nationality]],"_",Tableau1[[#This Row],[Competition_year]])</f>
        <v>Abdullah ALYAARI_YEM_2023</v>
      </c>
      <c r="B1342" t="s">
        <v>518</v>
      </c>
      <c r="C1342" t="s">
        <v>14</v>
      </c>
      <c r="D1342" s="18" t="s">
        <v>60</v>
      </c>
      <c r="E1342">
        <v>13.23</v>
      </c>
      <c r="F1342">
        <v>13.04</v>
      </c>
      <c r="G1342">
        <v>13.96</v>
      </c>
      <c r="H1342">
        <v>13.53</v>
      </c>
      <c r="I1342">
        <v>13.87</v>
      </c>
      <c r="J1342">
        <v>13.23</v>
      </c>
      <c r="K1342">
        <v>13.59</v>
      </c>
      <c r="L1342">
        <f>Tableau1[[#This Row],[Final_time]]-SUM(Tableau1[[#This Row],[0_100m]:[600_700m]])</f>
        <v>13.529999999999987</v>
      </c>
      <c r="M1342">
        <v>107.98</v>
      </c>
      <c r="N1342">
        <f>SUM(Tableau1[[#This Row],[0_100m]:[700_800m]])</f>
        <v>107.98</v>
      </c>
      <c r="O1342">
        <f>ABS(Tableau1[[#This Row],[Final_time]]-Tableau1[[#This Row],[Sum_time]])</f>
        <v>0</v>
      </c>
      <c r="P1342" s="8"/>
      <c r="Q1342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42" t="s">
        <v>104</v>
      </c>
      <c r="S1342" s="1" t="s">
        <v>114</v>
      </c>
      <c r="T1342" t="s">
        <v>153</v>
      </c>
      <c r="U1342" s="1" t="s">
        <v>69</v>
      </c>
      <c r="V1342" s="1">
        <v>45160</v>
      </c>
      <c r="W1342" s="4">
        <f>YEAR(Tableau1[[#This Row],[Competition_date]])</f>
        <v>2023</v>
      </c>
      <c r="X1342" s="4">
        <v>32</v>
      </c>
      <c r="Y1342" s="6">
        <v>0.44</v>
      </c>
      <c r="Z1342" s="4"/>
      <c r="AA1342" t="s">
        <v>115</v>
      </c>
    </row>
    <row r="1343" spans="1:27" hidden="1" x14ac:dyDescent="0.35">
      <c r="A1343" t="str">
        <f>_xlfn.CONCAT(Tableau1[[#This Row],[Athletes]],"_",Tableau1[[#This Row],[Nationality]],"_",Tableau1[[#This Row],[Competition_year]])</f>
        <v>Mohammed DWEDAR_PLE_2023</v>
      </c>
      <c r="B1343" t="s">
        <v>211</v>
      </c>
      <c r="C1343" t="s">
        <v>14</v>
      </c>
      <c r="D1343" s="18" t="s">
        <v>135</v>
      </c>
      <c r="E1343">
        <v>14.53</v>
      </c>
      <c r="F1343">
        <v>13.85</v>
      </c>
      <c r="G1343">
        <v>14.35</v>
      </c>
      <c r="H1343">
        <v>14.45</v>
      </c>
      <c r="I1343">
        <v>14.43</v>
      </c>
      <c r="J1343">
        <v>14.1</v>
      </c>
      <c r="K1343">
        <v>14.65</v>
      </c>
      <c r="L1343">
        <f>Tableau1[[#This Row],[Final_time]]-SUM(Tableau1[[#This Row],[0_100m]:[600_700m]])</f>
        <v>15.090000000000018</v>
      </c>
      <c r="M1343">
        <v>115.45</v>
      </c>
      <c r="N1343">
        <f>SUM(Tableau1[[#This Row],[0_100m]:[700_800m]])</f>
        <v>115.45</v>
      </c>
      <c r="O1343">
        <f>ABS(Tableau1[[#This Row],[Final_time]]-Tableau1[[#This Row],[Sum_time]])</f>
        <v>0</v>
      </c>
      <c r="P1343" s="8"/>
      <c r="Q1343" s="16" t="str">
        <f>_xlfn.CONCAT(Tableau1[[#This Row],[Competition]],"_",Tableau1[[#This Row],[Championship_step]],"_",Tableau1[[#This Row],[Competition_date]],"_",Tableau1[[#This Row],[Gender]])</f>
        <v>World Championships Budapest 2023_Heat 7_45160_Male</v>
      </c>
      <c r="R1343" t="s">
        <v>104</v>
      </c>
      <c r="S1343" s="1" t="s">
        <v>114</v>
      </c>
      <c r="T1343" t="s">
        <v>153</v>
      </c>
      <c r="U1343" s="1" t="s">
        <v>69</v>
      </c>
      <c r="V1343" s="1">
        <v>45160</v>
      </c>
      <c r="W1343" s="4">
        <f>YEAR(Tableau1[[#This Row],[Competition_date]])</f>
        <v>2023</v>
      </c>
      <c r="X1343" s="4">
        <v>32</v>
      </c>
      <c r="Y1343" s="6">
        <v>0.44</v>
      </c>
      <c r="Z1343" s="4"/>
      <c r="AA1343" t="s">
        <v>115</v>
      </c>
    </row>
    <row r="1344" spans="1:27" hidden="1" x14ac:dyDescent="0.35">
      <c r="A1344" t="str">
        <f>_xlfn.CONCAT(Tableau1[[#This Row],[Athletes]],"_",Tableau1[[#This Row],[Nationality]],"_",Tableau1[[#This Row],[Competition_year]])</f>
        <v>Slimane MOULA_ALG_2023</v>
      </c>
      <c r="B1344" t="s">
        <v>103</v>
      </c>
      <c r="C1344" t="s">
        <v>14</v>
      </c>
      <c r="D1344" s="18" t="s">
        <v>24</v>
      </c>
      <c r="E1344">
        <v>12.71</v>
      </c>
      <c r="F1344">
        <v>11.87</v>
      </c>
      <c r="G1344">
        <v>14.9</v>
      </c>
      <c r="H1344">
        <v>11.06</v>
      </c>
      <c r="I1344">
        <v>13.69</v>
      </c>
      <c r="J1344">
        <v>12.87</v>
      </c>
      <c r="K1344">
        <v>13.61</v>
      </c>
      <c r="L1344">
        <f>Tableau1[[#This Row],[Final_time]]-SUM(Tableau1[[#This Row],[0_100m]:[600_700m]])</f>
        <v>13.219999999999999</v>
      </c>
      <c r="M1344">
        <v>103.93</v>
      </c>
      <c r="N1344">
        <f>SUM(Tableau1[[#This Row],[0_100m]:[700_800m]])</f>
        <v>103.93</v>
      </c>
      <c r="O1344">
        <f>ABS(Tableau1[[#This Row],[Final_time]]-Tableau1[[#This Row],[Sum_time]])</f>
        <v>0</v>
      </c>
      <c r="P1344" s="8" t="s">
        <v>141</v>
      </c>
      <c r="Q1344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44" t="s">
        <v>104</v>
      </c>
      <c r="S1344" s="1" t="s">
        <v>105</v>
      </c>
      <c r="T1344" t="s">
        <v>155</v>
      </c>
      <c r="U1344" s="1" t="s">
        <v>69</v>
      </c>
      <c r="V1344" s="1">
        <v>45162</v>
      </c>
      <c r="W1344" s="4">
        <f>YEAR(Tableau1[[#This Row],[Competition_date]])</f>
        <v>2023</v>
      </c>
      <c r="X1344" s="4">
        <v>28</v>
      </c>
      <c r="Y1344" s="6">
        <v>0.47</v>
      </c>
      <c r="Z1344" s="4"/>
      <c r="AA1344" t="s">
        <v>106</v>
      </c>
    </row>
    <row r="1345" spans="1:27" hidden="1" x14ac:dyDescent="0.35">
      <c r="A1345" t="str">
        <f>_xlfn.CONCAT(Tableau1[[#This Row],[Athletes]],"_",Tableau1[[#This Row],[Nationality]],"_",Tableau1[[#This Row],[Competition_year]])</f>
        <v>Tshepiso MASALELA_BOT_2023</v>
      </c>
      <c r="B1345" t="s">
        <v>107</v>
      </c>
      <c r="C1345" t="s">
        <v>14</v>
      </c>
      <c r="D1345" s="18" t="s">
        <v>44</v>
      </c>
      <c r="E1345">
        <v>12.57</v>
      </c>
      <c r="F1345">
        <v>12.39</v>
      </c>
      <c r="G1345">
        <v>12.64</v>
      </c>
      <c r="H1345">
        <v>13.48</v>
      </c>
      <c r="I1345">
        <v>13.63</v>
      </c>
      <c r="J1345">
        <v>12.81</v>
      </c>
      <c r="K1345">
        <v>13.45</v>
      </c>
      <c r="L1345">
        <f>Tableau1[[#This Row],[Final_time]]-SUM(Tableau1[[#This Row],[0_100m]:[600_700m]])</f>
        <v>13.170000000000002</v>
      </c>
      <c r="M1345">
        <v>104.14</v>
      </c>
      <c r="N1345">
        <f>SUM(Tableau1[[#This Row],[0_100m]:[700_800m]])</f>
        <v>104.14</v>
      </c>
      <c r="O1345">
        <f>ABS(Tableau1[[#This Row],[Final_time]]-Tableau1[[#This Row],[Sum_time]])</f>
        <v>0</v>
      </c>
      <c r="P1345" s="8" t="s">
        <v>141</v>
      </c>
      <c r="Q1345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45" t="s">
        <v>104</v>
      </c>
      <c r="S1345" s="1" t="s">
        <v>105</v>
      </c>
      <c r="T1345" t="s">
        <v>155</v>
      </c>
      <c r="U1345" s="1" t="s">
        <v>69</v>
      </c>
      <c r="V1345" s="1">
        <v>45162</v>
      </c>
      <c r="W1345" s="4">
        <f>YEAR(Tableau1[[#This Row],[Competition_date]])</f>
        <v>2023</v>
      </c>
      <c r="X1345" s="4">
        <v>28</v>
      </c>
      <c r="Y1345" s="6">
        <v>0.47</v>
      </c>
      <c r="Z1345" s="4"/>
      <c r="AA1345" t="s">
        <v>106</v>
      </c>
    </row>
    <row r="1346" spans="1:27" hidden="1" x14ac:dyDescent="0.35">
      <c r="A1346" t="str">
        <f>_xlfn.CONCAT(Tableau1[[#This Row],[Athletes]],"_",Tableau1[[#This Row],[Nationality]],"_",Tableau1[[#This Row],[Competition_year]])</f>
        <v>Ben PATTISON_GBR_2023</v>
      </c>
      <c r="B1346" t="s">
        <v>108</v>
      </c>
      <c r="C1346" t="s">
        <v>14</v>
      </c>
      <c r="D1346" s="18" t="s">
        <v>30</v>
      </c>
      <c r="E1346">
        <v>12.72</v>
      </c>
      <c r="F1346">
        <v>11.45</v>
      </c>
      <c r="G1346">
        <v>13.14</v>
      </c>
      <c r="H1346">
        <v>13.55</v>
      </c>
      <c r="I1346">
        <v>13.76</v>
      </c>
      <c r="J1346">
        <v>12.65</v>
      </c>
      <c r="K1346">
        <v>13.62</v>
      </c>
      <c r="L1346">
        <f>Tableau1[[#This Row],[Final_time]]-SUM(Tableau1[[#This Row],[0_100m]:[600_700m]])</f>
        <v>13.339999999999989</v>
      </c>
      <c r="M1346">
        <v>104.23</v>
      </c>
      <c r="N1346">
        <f>SUM(Tableau1[[#This Row],[0_100m]:[700_800m]])</f>
        <v>104.23</v>
      </c>
      <c r="O1346">
        <f>ABS(Tableau1[[#This Row],[Final_time]]-Tableau1[[#This Row],[Sum_time]])</f>
        <v>0</v>
      </c>
      <c r="P1346" s="8" t="s">
        <v>142</v>
      </c>
      <c r="Q1346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46" t="s">
        <v>104</v>
      </c>
      <c r="S1346" s="1" t="s">
        <v>105</v>
      </c>
      <c r="T1346" t="s">
        <v>155</v>
      </c>
      <c r="U1346" s="1" t="s">
        <v>69</v>
      </c>
      <c r="V1346" s="1">
        <v>45162</v>
      </c>
      <c r="W1346" s="4">
        <f>YEAR(Tableau1[[#This Row],[Competition_date]])</f>
        <v>2023</v>
      </c>
      <c r="X1346" s="4">
        <v>28</v>
      </c>
      <c r="Y1346" s="6">
        <v>0.47</v>
      </c>
      <c r="Z1346" s="4"/>
      <c r="AA1346" t="s">
        <v>106</v>
      </c>
    </row>
    <row r="1347" spans="1:27" hidden="1" x14ac:dyDescent="0.35">
      <c r="A1347" t="str">
        <f>_xlfn.CONCAT(Tableau1[[#This Row],[Athletes]],"_",Tableau1[[#This Row],[Nationality]],"_",Tableau1[[#This Row],[Competition_year]])</f>
        <v>Mateusz BORKOWSKI_POL_2023</v>
      </c>
      <c r="B1347" t="s">
        <v>109</v>
      </c>
      <c r="C1347" t="s">
        <v>14</v>
      </c>
      <c r="D1347" s="18" t="s">
        <v>88</v>
      </c>
      <c r="E1347">
        <v>13.03</v>
      </c>
      <c r="F1347">
        <v>12.44</v>
      </c>
      <c r="G1347">
        <v>12.66</v>
      </c>
      <c r="H1347">
        <v>13.24</v>
      </c>
      <c r="I1347">
        <v>13.63</v>
      </c>
      <c r="J1347">
        <v>12.93</v>
      </c>
      <c r="K1347">
        <v>13.35</v>
      </c>
      <c r="L1347">
        <f>Tableau1[[#This Row],[Final_time]]-SUM(Tableau1[[#This Row],[0_100m]:[600_700m]])</f>
        <v>13.019999999999996</v>
      </c>
      <c r="M1347">
        <v>104.3</v>
      </c>
      <c r="N1347">
        <f>SUM(Tableau1[[#This Row],[0_100m]:[700_800m]])</f>
        <v>104.3</v>
      </c>
      <c r="O1347">
        <f>ABS(Tableau1[[#This Row],[Final_time]]-Tableau1[[#This Row],[Sum_time]])</f>
        <v>0</v>
      </c>
      <c r="P1347" s="8"/>
      <c r="Q1347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47" t="s">
        <v>104</v>
      </c>
      <c r="S1347" s="1" t="s">
        <v>105</v>
      </c>
      <c r="T1347" t="s">
        <v>155</v>
      </c>
      <c r="U1347" s="1" t="s">
        <v>69</v>
      </c>
      <c r="V1347" s="1">
        <v>45162</v>
      </c>
      <c r="W1347" s="4">
        <f>YEAR(Tableau1[[#This Row],[Competition_date]])</f>
        <v>2023</v>
      </c>
      <c r="X1347" s="4">
        <v>28</v>
      </c>
      <c r="Y1347" s="6">
        <v>0.47</v>
      </c>
      <c r="Z1347" s="4"/>
      <c r="AA1347" t="s">
        <v>106</v>
      </c>
    </row>
    <row r="1348" spans="1:27" hidden="1" x14ac:dyDescent="0.35">
      <c r="A1348" t="str">
        <f>_xlfn.CONCAT(Tableau1[[#This Row],[Athletes]],"_",Tableau1[[#This Row],[Nationality]],"_",Tableau1[[#This Row],[Competition_year]])</f>
        <v>Mohamed ATTAOUI_ESP_2023</v>
      </c>
      <c r="B1348" t="s">
        <v>110</v>
      </c>
      <c r="C1348" t="s">
        <v>14</v>
      </c>
      <c r="D1348" s="18" t="s">
        <v>37</v>
      </c>
      <c r="E1348">
        <v>12.59</v>
      </c>
      <c r="F1348">
        <v>12.1</v>
      </c>
      <c r="G1348">
        <v>12.65</v>
      </c>
      <c r="H1348">
        <v>13.34</v>
      </c>
      <c r="I1348">
        <v>13.63</v>
      </c>
      <c r="J1348">
        <v>12.95</v>
      </c>
      <c r="K1348">
        <v>13.42</v>
      </c>
      <c r="L1348">
        <f>Tableau1[[#This Row],[Final_time]]-SUM(Tableau1[[#This Row],[0_100m]:[600_700m]])</f>
        <v>13.670000000000002</v>
      </c>
      <c r="M1348">
        <v>104.35</v>
      </c>
      <c r="N1348">
        <f>SUM(Tableau1[[#This Row],[0_100m]:[700_800m]])</f>
        <v>104.35</v>
      </c>
      <c r="O1348">
        <f>ABS(Tableau1[[#This Row],[Final_time]]-Tableau1[[#This Row],[Sum_time]])</f>
        <v>0</v>
      </c>
      <c r="P1348" s="8"/>
      <c r="Q1348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48" t="s">
        <v>104</v>
      </c>
      <c r="S1348" s="1" t="s">
        <v>105</v>
      </c>
      <c r="T1348" t="s">
        <v>155</v>
      </c>
      <c r="U1348" s="1" t="s">
        <v>69</v>
      </c>
      <c r="V1348" s="1">
        <v>45162</v>
      </c>
      <c r="W1348" s="4">
        <f>YEAR(Tableau1[[#This Row],[Competition_date]])</f>
        <v>2023</v>
      </c>
      <c r="X1348" s="4">
        <v>28</v>
      </c>
      <c r="Y1348" s="6">
        <v>0.47</v>
      </c>
      <c r="Z1348" s="4"/>
      <c r="AA1348" t="s">
        <v>106</v>
      </c>
    </row>
    <row r="1349" spans="1:27" hidden="1" x14ac:dyDescent="0.35">
      <c r="A1349" t="str">
        <f>_xlfn.CONCAT(Tableau1[[#This Row],[Athletes]],"_",Tableau1[[#This Row],[Nationality]],"_",Tableau1[[#This Row],[Competition_year]])</f>
        <v>Benjamin ROBERT_FRA_2023</v>
      </c>
      <c r="B1349" t="s">
        <v>111</v>
      </c>
      <c r="C1349" t="s">
        <v>14</v>
      </c>
      <c r="D1349" s="18" t="s">
        <v>17</v>
      </c>
      <c r="E1349">
        <v>12.67</v>
      </c>
      <c r="F1349">
        <v>12.29</v>
      </c>
      <c r="G1349">
        <v>12.66</v>
      </c>
      <c r="H1349">
        <v>13.4</v>
      </c>
      <c r="I1349">
        <v>13.69</v>
      </c>
      <c r="J1349">
        <v>12.98</v>
      </c>
      <c r="K1349">
        <v>13.24</v>
      </c>
      <c r="L1349">
        <f>Tableau1[[#This Row],[Final_time]]-SUM(Tableau1[[#This Row],[0_100m]:[600_700m]])</f>
        <v>13.449999999999989</v>
      </c>
      <c r="M1349">
        <v>104.38</v>
      </c>
      <c r="N1349">
        <f>SUM(Tableau1[[#This Row],[0_100m]:[700_800m]])</f>
        <v>104.38</v>
      </c>
      <c r="O1349">
        <f>ABS(Tableau1[[#This Row],[Final_time]]-Tableau1[[#This Row],[Sum_time]])</f>
        <v>0</v>
      </c>
      <c r="P1349" s="8"/>
      <c r="Q1349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49" t="s">
        <v>104</v>
      </c>
      <c r="S1349" s="1" t="s">
        <v>105</v>
      </c>
      <c r="T1349" t="s">
        <v>155</v>
      </c>
      <c r="U1349" s="1" t="s">
        <v>69</v>
      </c>
      <c r="V1349" s="1">
        <v>45162</v>
      </c>
      <c r="W1349" s="4">
        <f>YEAR(Tableau1[[#This Row],[Competition_date]])</f>
        <v>2023</v>
      </c>
      <c r="X1349" s="4">
        <v>28</v>
      </c>
      <c r="Y1349" s="6">
        <v>0.47</v>
      </c>
      <c r="Z1349" s="4"/>
      <c r="AA1349" t="s">
        <v>106</v>
      </c>
    </row>
    <row r="1350" spans="1:27" hidden="1" x14ac:dyDescent="0.35">
      <c r="A1350" t="str">
        <f>_xlfn.CONCAT(Tableau1[[#This Row],[Athletes]],"_",Tableau1[[#This Row],[Nationality]],"_",Tableau1[[#This Row],[Competition_year]])</f>
        <v>Abdelati EL GUESSE_MAR_2023</v>
      </c>
      <c r="B1350" t="s">
        <v>112</v>
      </c>
      <c r="C1350" t="s">
        <v>14</v>
      </c>
      <c r="D1350" s="18" t="s">
        <v>21</v>
      </c>
      <c r="E1350">
        <v>12.95</v>
      </c>
      <c r="F1350">
        <v>11.69</v>
      </c>
      <c r="G1350">
        <v>15.45</v>
      </c>
      <c r="H1350">
        <v>10.64</v>
      </c>
      <c r="I1350">
        <v>13.57</v>
      </c>
      <c r="J1350">
        <v>12.87</v>
      </c>
      <c r="K1350">
        <v>13.58</v>
      </c>
      <c r="L1350">
        <f>Tableau1[[#This Row],[Final_time]]-SUM(Tableau1[[#This Row],[0_100m]:[600_700m]])</f>
        <v>13.799999999999983</v>
      </c>
      <c r="M1350">
        <v>104.55</v>
      </c>
      <c r="N1350">
        <f>SUM(Tableau1[[#This Row],[0_100m]:[700_800m]])</f>
        <v>104.55</v>
      </c>
      <c r="O1350">
        <f>ABS(Tableau1[[#This Row],[Final_time]]-Tableau1[[#This Row],[Sum_time]])</f>
        <v>0</v>
      </c>
      <c r="P1350" s="8"/>
      <c r="Q1350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50" t="s">
        <v>104</v>
      </c>
      <c r="S1350" s="1" t="s">
        <v>105</v>
      </c>
      <c r="T1350" t="s">
        <v>155</v>
      </c>
      <c r="U1350" s="1" t="s">
        <v>69</v>
      </c>
      <c r="V1350" s="1">
        <v>45162</v>
      </c>
      <c r="W1350" s="4">
        <f>YEAR(Tableau1[[#This Row],[Competition_date]])</f>
        <v>2023</v>
      </c>
      <c r="X1350" s="4">
        <v>28</v>
      </c>
      <c r="Y1350" s="6">
        <v>0.47</v>
      </c>
      <c r="Z1350" s="4"/>
      <c r="AA1350" t="s">
        <v>106</v>
      </c>
    </row>
    <row r="1351" spans="1:27" hidden="1" x14ac:dyDescent="0.35">
      <c r="A1351" t="str">
        <f>_xlfn.CONCAT(Tableau1[[#This Row],[Athletes]],"_",Tableau1[[#This Row],[Nationality]],"_",Tableau1[[#This Row],[Competition_year]])</f>
        <v>Joseph DENG_AUS_2023</v>
      </c>
      <c r="B1351" t="s">
        <v>113</v>
      </c>
      <c r="C1351" t="s">
        <v>14</v>
      </c>
      <c r="D1351" s="18" t="s">
        <v>36</v>
      </c>
      <c r="E1351">
        <v>12.33</v>
      </c>
      <c r="F1351">
        <v>12.14</v>
      </c>
      <c r="G1351">
        <v>12.61</v>
      </c>
      <c r="H1351">
        <v>13.47</v>
      </c>
      <c r="I1351">
        <v>13.54</v>
      </c>
      <c r="J1351">
        <v>13.43</v>
      </c>
      <c r="K1351">
        <v>14.54</v>
      </c>
      <c r="L1351">
        <f>Tableau1[[#This Row],[Final_time]]-SUM(Tableau1[[#This Row],[0_100m]:[600_700m]])</f>
        <v>16.060000000000002</v>
      </c>
      <c r="M1351">
        <v>108.12</v>
      </c>
      <c r="N1351">
        <f>SUM(Tableau1[[#This Row],[0_100m]:[700_800m]])</f>
        <v>108.12</v>
      </c>
      <c r="O1351">
        <f>ABS(Tableau1[[#This Row],[Final_time]]-Tableau1[[#This Row],[Sum_time]])</f>
        <v>0</v>
      </c>
      <c r="P1351" s="8"/>
      <c r="Q1351" s="16" t="str">
        <f>_xlfn.CONCAT(Tableau1[[#This Row],[Competition]],"_",Tableau1[[#This Row],[Championship_step]],"_",Tableau1[[#This Row],[Competition_date]],"_",Tableau1[[#This Row],[Gender]])</f>
        <v>World Championships Budapest 2023_Semi 1_45162_Male</v>
      </c>
      <c r="R1351" t="s">
        <v>104</v>
      </c>
      <c r="S1351" s="1" t="s">
        <v>105</v>
      </c>
      <c r="T1351" t="s">
        <v>155</v>
      </c>
      <c r="U1351" s="1" t="s">
        <v>69</v>
      </c>
      <c r="V1351" s="1">
        <v>45162</v>
      </c>
      <c r="W1351" s="4">
        <f>YEAR(Tableau1[[#This Row],[Competition_date]])</f>
        <v>2023</v>
      </c>
      <c r="X1351" s="4">
        <v>28</v>
      </c>
      <c r="Y1351" s="6">
        <v>0.47</v>
      </c>
      <c r="Z1351" s="4"/>
      <c r="AA1351" t="s">
        <v>106</v>
      </c>
    </row>
    <row r="1352" spans="1:27" hidden="1" x14ac:dyDescent="0.35">
      <c r="A1352" t="str">
        <f>_xlfn.CONCAT(Tableau1[[#This Row],[Athletes]],"_",Tableau1[[#This Row],[Nationality]],"_",Tableau1[[#This Row],[Competition_year]])</f>
        <v>Keely HODGKINSON_GBR_2023</v>
      </c>
      <c r="B1352" t="s">
        <v>212</v>
      </c>
      <c r="C1352" t="s">
        <v>29</v>
      </c>
      <c r="D1352" s="18" t="s">
        <v>30</v>
      </c>
      <c r="E1352">
        <v>13.38</v>
      </c>
      <c r="F1352">
        <v>13.47</v>
      </c>
      <c r="G1352">
        <v>15.65</v>
      </c>
      <c r="H1352">
        <v>15.86</v>
      </c>
      <c r="I1352">
        <v>15.62</v>
      </c>
      <c r="J1352">
        <v>15.14</v>
      </c>
      <c r="K1352">
        <v>14.71</v>
      </c>
      <c r="L1352">
        <f>Tableau1[[#This Row],[Final_time]]-SUM(Tableau1[[#This Row],[0_100m]:[600_700m]])</f>
        <v>14.649999999999991</v>
      </c>
      <c r="M1352">
        <v>118.48</v>
      </c>
      <c r="N1352">
        <f>SUM(Tableau1[[#This Row],[0_100m]:[700_800m]])</f>
        <v>118.48</v>
      </c>
      <c r="O1352">
        <f>ABS(Tableau1[[#This Row],[Final_time]]-Tableau1[[#This Row],[Sum_time]])</f>
        <v>0</v>
      </c>
      <c r="P1352" s="8" t="s">
        <v>141</v>
      </c>
      <c r="Q1352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2" t="s">
        <v>104</v>
      </c>
      <c r="S1352" s="1" t="s">
        <v>105</v>
      </c>
      <c r="T1352" t="s">
        <v>155</v>
      </c>
      <c r="U1352" s="1" t="s">
        <v>69</v>
      </c>
      <c r="V1352" s="1">
        <v>45163</v>
      </c>
      <c r="W1352" s="4">
        <f>YEAR(Tableau1[[#This Row],[Competition_date]])</f>
        <v>2023</v>
      </c>
      <c r="X1352" s="4">
        <v>29</v>
      </c>
      <c r="Y1352" s="6">
        <v>0.54</v>
      </c>
      <c r="Z1352" s="4"/>
      <c r="AA1352" t="s">
        <v>138</v>
      </c>
    </row>
    <row r="1353" spans="1:27" hidden="1" x14ac:dyDescent="0.35">
      <c r="A1353" t="str">
        <f>_xlfn.CONCAT(Tableau1[[#This Row],[Athletes]],"_",Tableau1[[#This Row],[Nationality]],"_",Tableau1[[#This Row],[Competition_year]])</f>
        <v>Nia AKINS_USA_2023</v>
      </c>
      <c r="B1353" t="s">
        <v>213</v>
      </c>
      <c r="C1353" t="s">
        <v>29</v>
      </c>
      <c r="D1353" s="18" t="s">
        <v>35</v>
      </c>
      <c r="E1353">
        <v>13.49</v>
      </c>
      <c r="F1353">
        <v>13.38</v>
      </c>
      <c r="G1353">
        <v>15.66</v>
      </c>
      <c r="H1353">
        <v>15.95</v>
      </c>
      <c r="I1353">
        <v>15.7</v>
      </c>
      <c r="J1353">
        <v>15.17</v>
      </c>
      <c r="K1353">
        <v>14.81</v>
      </c>
      <c r="L1353">
        <f>Tableau1[[#This Row],[Final_time]]-SUM(Tableau1[[#This Row],[0_100m]:[600_700m]])</f>
        <v>14.449999999999989</v>
      </c>
      <c r="M1353">
        <v>118.61</v>
      </c>
      <c r="N1353">
        <f>SUM(Tableau1[[#This Row],[0_100m]:[700_800m]])</f>
        <v>118.61</v>
      </c>
      <c r="O1353">
        <f>ABS(Tableau1[[#This Row],[Final_time]]-Tableau1[[#This Row],[Sum_time]])</f>
        <v>0</v>
      </c>
      <c r="P1353" s="8" t="s">
        <v>141</v>
      </c>
      <c r="Q1353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3" t="s">
        <v>104</v>
      </c>
      <c r="S1353" s="1" t="s">
        <v>105</v>
      </c>
      <c r="T1353" t="s">
        <v>155</v>
      </c>
      <c r="U1353" s="1" t="s">
        <v>69</v>
      </c>
      <c r="V1353" s="1">
        <v>45163</v>
      </c>
      <c r="W1353" s="4">
        <f>YEAR(Tableau1[[#This Row],[Competition_date]])</f>
        <v>2023</v>
      </c>
      <c r="X1353" s="4">
        <v>29</v>
      </c>
      <c r="Y1353" s="6">
        <v>0.54</v>
      </c>
      <c r="Z1353" s="4"/>
      <c r="AA1353" t="s">
        <v>138</v>
      </c>
    </row>
    <row r="1354" spans="1:27" hidden="1" x14ac:dyDescent="0.35">
      <c r="A1354" t="str">
        <f>_xlfn.CONCAT(Tableau1[[#This Row],[Athletes]],"_",Tableau1[[#This Row],[Nationality]],"_",Tableau1[[#This Row],[Competition_year]])</f>
        <v>Noélie YARIGO_BEN_2023</v>
      </c>
      <c r="B1354" t="s">
        <v>214</v>
      </c>
      <c r="C1354" t="s">
        <v>29</v>
      </c>
      <c r="D1354" s="18" t="s">
        <v>52</v>
      </c>
      <c r="E1354">
        <v>13.59</v>
      </c>
      <c r="F1354">
        <v>13.43</v>
      </c>
      <c r="G1354">
        <v>15.63</v>
      </c>
      <c r="H1354">
        <v>15.84</v>
      </c>
      <c r="I1354">
        <v>15.57</v>
      </c>
      <c r="J1354">
        <v>15.19</v>
      </c>
      <c r="K1354">
        <v>14.8</v>
      </c>
      <c r="L1354">
        <f>Tableau1[[#This Row],[Final_time]]-SUM(Tableau1[[#This Row],[0_100m]:[600_700m]])</f>
        <v>15.38000000000001</v>
      </c>
      <c r="M1354">
        <v>119.43</v>
      </c>
      <c r="N1354">
        <f>SUM(Tableau1[[#This Row],[0_100m]:[700_800m]])</f>
        <v>119.43</v>
      </c>
      <c r="O1354">
        <f>ABS(Tableau1[[#This Row],[Final_time]]-Tableau1[[#This Row],[Sum_time]])</f>
        <v>0</v>
      </c>
      <c r="P1354" s="8"/>
      <c r="Q1354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4" t="s">
        <v>104</v>
      </c>
      <c r="S1354" s="1" t="s">
        <v>105</v>
      </c>
      <c r="T1354" t="s">
        <v>155</v>
      </c>
      <c r="U1354" s="1" t="s">
        <v>69</v>
      </c>
      <c r="V1354" s="1">
        <v>45163</v>
      </c>
      <c r="W1354" s="4">
        <f>YEAR(Tableau1[[#This Row],[Competition_date]])</f>
        <v>2023</v>
      </c>
      <c r="X1354" s="4">
        <v>29</v>
      </c>
      <c r="Y1354" s="6">
        <v>0.54</v>
      </c>
      <c r="Z1354" s="4"/>
      <c r="AA1354" t="s">
        <v>138</v>
      </c>
    </row>
    <row r="1355" spans="1:27" hidden="1" x14ac:dyDescent="0.35">
      <c r="A1355" t="str">
        <f>_xlfn.CONCAT(Tableau1[[#This Row],[Athletes]],"_",Tableau1[[#This Row],[Nationality]],"_",Tableau1[[#This Row],[Competition_year]])</f>
        <v>Worknesh MESELE_ETH_2023</v>
      </c>
      <c r="B1355" t="s">
        <v>215</v>
      </c>
      <c r="C1355" t="s">
        <v>29</v>
      </c>
      <c r="D1355" s="18" t="s">
        <v>49</v>
      </c>
      <c r="E1355">
        <v>14.04</v>
      </c>
      <c r="F1355">
        <v>13.32</v>
      </c>
      <c r="G1355">
        <v>15.67</v>
      </c>
      <c r="H1355">
        <v>15.83</v>
      </c>
      <c r="I1355">
        <v>15.87</v>
      </c>
      <c r="J1355">
        <v>15.07</v>
      </c>
      <c r="K1355">
        <v>15.13</v>
      </c>
      <c r="L1355">
        <f>Tableau1[[#This Row],[Final_time]]-SUM(Tableau1[[#This Row],[0_100m]:[600_700m]])</f>
        <v>14.61</v>
      </c>
      <c r="M1355">
        <v>119.54</v>
      </c>
      <c r="N1355">
        <f>SUM(Tableau1[[#This Row],[0_100m]:[700_800m]])</f>
        <v>119.54</v>
      </c>
      <c r="O1355">
        <f>ABS(Tableau1[[#This Row],[Final_time]]-Tableau1[[#This Row],[Sum_time]])</f>
        <v>0</v>
      </c>
      <c r="P1355" s="8"/>
      <c r="Q1355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5" t="s">
        <v>104</v>
      </c>
      <c r="S1355" s="1" t="s">
        <v>105</v>
      </c>
      <c r="T1355" t="s">
        <v>155</v>
      </c>
      <c r="U1355" s="1" t="s">
        <v>69</v>
      </c>
      <c r="V1355" s="1">
        <v>45163</v>
      </c>
      <c r="W1355" s="4">
        <f>YEAR(Tableau1[[#This Row],[Competition_date]])</f>
        <v>2023</v>
      </c>
      <c r="X1355" s="4">
        <v>29</v>
      </c>
      <c r="Y1355" s="6">
        <v>0.54</v>
      </c>
      <c r="Z1355" s="4"/>
      <c r="AA1355" t="s">
        <v>138</v>
      </c>
    </row>
    <row r="1356" spans="1:27" hidden="1" x14ac:dyDescent="0.35">
      <c r="A1356" t="str">
        <f>_xlfn.CONCAT(Tableau1[[#This Row],[Athletes]],"_",Tableau1[[#This Row],[Nationality]],"_",Tableau1[[#This Row],[Competition_year]])</f>
        <v>Eveliina MÄÄTTÄNEN_FIN_2023</v>
      </c>
      <c r="B1356" t="s">
        <v>216</v>
      </c>
      <c r="C1356" t="s">
        <v>29</v>
      </c>
      <c r="D1356" s="18" t="s">
        <v>85</v>
      </c>
      <c r="E1356">
        <v>13.93</v>
      </c>
      <c r="F1356">
        <v>13.33</v>
      </c>
      <c r="G1356">
        <v>15.47</v>
      </c>
      <c r="H1356">
        <v>15.9</v>
      </c>
      <c r="I1356">
        <v>15.79</v>
      </c>
      <c r="J1356">
        <v>15.07</v>
      </c>
      <c r="K1356">
        <v>14.89</v>
      </c>
      <c r="L1356">
        <f>Tableau1[[#This Row],[Final_time]]-SUM(Tableau1[[#This Row],[0_100m]:[600_700m]])</f>
        <v>15.430000000000021</v>
      </c>
      <c r="M1356">
        <v>119.81</v>
      </c>
      <c r="N1356">
        <f>SUM(Tableau1[[#This Row],[0_100m]:[700_800m]])</f>
        <v>119.81</v>
      </c>
      <c r="O1356">
        <f>ABS(Tableau1[[#This Row],[Final_time]]-Tableau1[[#This Row],[Sum_time]])</f>
        <v>0</v>
      </c>
      <c r="P1356" s="8"/>
      <c r="Q1356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6" t="s">
        <v>104</v>
      </c>
      <c r="S1356" s="1" t="s">
        <v>105</v>
      </c>
      <c r="T1356" t="s">
        <v>155</v>
      </c>
      <c r="U1356" s="1" t="s">
        <v>69</v>
      </c>
      <c r="V1356" s="1">
        <v>45163</v>
      </c>
      <c r="W1356" s="4">
        <f>YEAR(Tableau1[[#This Row],[Competition_date]])</f>
        <v>2023</v>
      </c>
      <c r="X1356" s="4">
        <v>29</v>
      </c>
      <c r="Y1356" s="6">
        <v>0.54</v>
      </c>
      <c r="Z1356" s="4"/>
      <c r="AA1356" t="s">
        <v>138</v>
      </c>
    </row>
    <row r="1357" spans="1:27" hidden="1" x14ac:dyDescent="0.35">
      <c r="A1357" t="str">
        <f>_xlfn.CONCAT(Tableau1[[#This Row],[Athletes]],"_",Tableau1[[#This Row],[Nationality]],"_",Tableau1[[#This Row],[Competition_year]])</f>
        <v>Catriona BISSET_AUS_2023</v>
      </c>
      <c r="B1357" t="s">
        <v>217</v>
      </c>
      <c r="C1357" t="s">
        <v>29</v>
      </c>
      <c r="D1357" s="18" t="s">
        <v>36</v>
      </c>
      <c r="E1357">
        <v>13.56</v>
      </c>
      <c r="F1357">
        <v>13.48</v>
      </c>
      <c r="G1357">
        <v>15.65</v>
      </c>
      <c r="H1357">
        <v>15.98</v>
      </c>
      <c r="I1357">
        <v>15.91</v>
      </c>
      <c r="J1357">
        <v>14.91</v>
      </c>
      <c r="K1357">
        <v>15.16</v>
      </c>
      <c r="L1357">
        <f>Tableau1[[#This Row],[Final_time]]-SUM(Tableau1[[#This Row],[0_100m]:[600_700m]])</f>
        <v>15.290000000000006</v>
      </c>
      <c r="M1357">
        <v>119.94</v>
      </c>
      <c r="N1357">
        <f>SUM(Tableau1[[#This Row],[0_100m]:[700_800m]])</f>
        <v>119.94</v>
      </c>
      <c r="O1357">
        <f>ABS(Tableau1[[#This Row],[Final_time]]-Tableau1[[#This Row],[Sum_time]])</f>
        <v>0</v>
      </c>
      <c r="P1357" s="8"/>
      <c r="Q1357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7" t="s">
        <v>104</v>
      </c>
      <c r="S1357" s="1" t="s">
        <v>105</v>
      </c>
      <c r="T1357" t="s">
        <v>155</v>
      </c>
      <c r="U1357" s="1" t="s">
        <v>69</v>
      </c>
      <c r="V1357" s="1">
        <v>45163</v>
      </c>
      <c r="W1357" s="4">
        <f>YEAR(Tableau1[[#This Row],[Competition_date]])</f>
        <v>2023</v>
      </c>
      <c r="X1357" s="4">
        <v>29</v>
      </c>
      <c r="Y1357" s="6">
        <v>0.54</v>
      </c>
      <c r="Z1357" s="4"/>
      <c r="AA1357" t="s">
        <v>138</v>
      </c>
    </row>
    <row r="1358" spans="1:27" hidden="1" x14ac:dyDescent="0.35">
      <c r="A1358" t="str">
        <f>_xlfn.CONCAT(Tableau1[[#This Row],[Athletes]],"_",Tableau1[[#This Row],[Nationality]],"_",Tableau1[[#This Row],[Competition_year]])</f>
        <v>Anita HORVAT_SLO_2023</v>
      </c>
      <c r="B1358" t="s">
        <v>218</v>
      </c>
      <c r="C1358" t="s">
        <v>29</v>
      </c>
      <c r="D1358" s="18" t="s">
        <v>53</v>
      </c>
      <c r="E1358">
        <v>13.54</v>
      </c>
      <c r="F1358">
        <v>13.36</v>
      </c>
      <c r="G1358">
        <v>15.73</v>
      </c>
      <c r="H1358">
        <v>15.84</v>
      </c>
      <c r="I1358">
        <v>15.88</v>
      </c>
      <c r="J1358">
        <v>15.06</v>
      </c>
      <c r="K1358">
        <v>15.12</v>
      </c>
      <c r="L1358">
        <f>Tableau1[[#This Row],[Final_time]]-SUM(Tableau1[[#This Row],[0_100m]:[600_700m]])</f>
        <v>16.010000000000005</v>
      </c>
      <c r="M1358">
        <v>120.54</v>
      </c>
      <c r="N1358">
        <f>SUM(Tableau1[[#This Row],[0_100m]:[700_800m]])</f>
        <v>120.54</v>
      </c>
      <c r="O1358">
        <f>ABS(Tableau1[[#This Row],[Final_time]]-Tableau1[[#This Row],[Sum_time]])</f>
        <v>0</v>
      </c>
      <c r="P1358" s="8"/>
      <c r="Q1358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8" t="s">
        <v>104</v>
      </c>
      <c r="S1358" s="1" t="s">
        <v>105</v>
      </c>
      <c r="T1358" t="s">
        <v>155</v>
      </c>
      <c r="U1358" s="1" t="s">
        <v>69</v>
      </c>
      <c r="V1358" s="1">
        <v>45163</v>
      </c>
      <c r="W1358" s="4">
        <f>YEAR(Tableau1[[#This Row],[Competition_date]])</f>
        <v>2023</v>
      </c>
      <c r="X1358" s="4">
        <v>29</v>
      </c>
      <c r="Y1358" s="6">
        <v>0.54</v>
      </c>
      <c r="Z1358" s="4"/>
      <c r="AA1358" t="s">
        <v>138</v>
      </c>
    </row>
    <row r="1359" spans="1:27" hidden="1" x14ac:dyDescent="0.35">
      <c r="A1359" t="str">
        <f>_xlfn.CONCAT(Tableau1[[#This Row],[Athletes]],"_",Tableau1[[#This Row],[Nationality]],"_",Tableau1[[#This Row],[Competition_year]])</f>
        <v>Flavia Maria DE LIMA_BRA_2023</v>
      </c>
      <c r="B1359" t="s">
        <v>219</v>
      </c>
      <c r="C1359" t="s">
        <v>29</v>
      </c>
      <c r="D1359" s="18" t="s">
        <v>134</v>
      </c>
      <c r="E1359">
        <v>14.6</v>
      </c>
      <c r="F1359">
        <v>13.69</v>
      </c>
      <c r="G1359">
        <v>15.01</v>
      </c>
      <c r="H1359">
        <v>15.74</v>
      </c>
      <c r="I1359">
        <v>15.77</v>
      </c>
      <c r="J1359">
        <v>14.97</v>
      </c>
      <c r="K1359">
        <v>15.15</v>
      </c>
      <c r="L1359">
        <f>Tableau1[[#This Row],[Final_time]]-SUM(Tableau1[[#This Row],[0_100m]:[600_700m]])</f>
        <v>15.839999999999989</v>
      </c>
      <c r="M1359">
        <v>120.77</v>
      </c>
      <c r="N1359">
        <f>SUM(Tableau1[[#This Row],[0_100m]:[700_800m]])</f>
        <v>120.77</v>
      </c>
      <c r="O1359">
        <f>ABS(Tableau1[[#This Row],[Final_time]]-Tableau1[[#This Row],[Sum_time]])</f>
        <v>0</v>
      </c>
      <c r="P1359" s="8"/>
      <c r="Q1359" s="16" t="str">
        <f>_xlfn.CONCAT(Tableau1[[#This Row],[Competition]],"_",Tableau1[[#This Row],[Championship_step]],"_",Tableau1[[#This Row],[Competition_date]],"_",Tableau1[[#This Row],[Gender]])</f>
        <v>World Championships Budapest 2023_Semi 1_45163_Female</v>
      </c>
      <c r="R1359" t="s">
        <v>104</v>
      </c>
      <c r="S1359" s="1" t="s">
        <v>105</v>
      </c>
      <c r="T1359" t="s">
        <v>155</v>
      </c>
      <c r="U1359" s="1" t="s">
        <v>69</v>
      </c>
      <c r="V1359" s="1">
        <v>45163</v>
      </c>
      <c r="W1359" s="4">
        <f>YEAR(Tableau1[[#This Row],[Competition_date]])</f>
        <v>2023</v>
      </c>
      <c r="X1359" s="4">
        <v>29</v>
      </c>
      <c r="Y1359" s="6">
        <v>0.54</v>
      </c>
      <c r="Z1359" s="4"/>
      <c r="AA1359" t="s">
        <v>138</v>
      </c>
    </row>
    <row r="1360" spans="1:27" hidden="1" x14ac:dyDescent="0.35">
      <c r="A1360" t="str">
        <f>_xlfn.CONCAT(Tableau1[[#This Row],[Athletes]],"_",Tableau1[[#This Row],[Nationality]],"_",Tableau1[[#This Row],[Competition_year]])</f>
        <v>Marco AROP_CAN_2023</v>
      </c>
      <c r="B1360" t="s">
        <v>177</v>
      </c>
      <c r="C1360" t="s">
        <v>14</v>
      </c>
      <c r="D1360" s="18" t="s">
        <v>19</v>
      </c>
      <c r="E1360">
        <v>12.66</v>
      </c>
      <c r="F1360">
        <v>11.63</v>
      </c>
      <c r="G1360">
        <v>13.27</v>
      </c>
      <c r="H1360">
        <v>11.6</v>
      </c>
      <c r="I1360">
        <v>15.72</v>
      </c>
      <c r="J1360">
        <v>13.37</v>
      </c>
      <c r="K1360">
        <v>12.43</v>
      </c>
      <c r="L1360">
        <f>Tableau1[[#This Row],[Final_time]]-SUM(Tableau1[[#This Row],[0_100m]:[600_700m]])</f>
        <v>13.339999999999989</v>
      </c>
      <c r="M1360">
        <v>104.02</v>
      </c>
      <c r="N1360">
        <f>SUM(Tableau1[[#This Row],[0_100m]:[700_800m]])</f>
        <v>104.02</v>
      </c>
      <c r="O1360">
        <f>ABS(Tableau1[[#This Row],[Final_time]]-Tableau1[[#This Row],[Sum_time]])</f>
        <v>0</v>
      </c>
      <c r="P1360" s="8" t="s">
        <v>141</v>
      </c>
      <c r="Q1360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0" t="s">
        <v>104</v>
      </c>
      <c r="S1360" s="1" t="s">
        <v>105</v>
      </c>
      <c r="T1360" t="s">
        <v>156</v>
      </c>
      <c r="U1360" s="1" t="s">
        <v>69</v>
      </c>
      <c r="V1360" s="1">
        <v>45162</v>
      </c>
      <c r="W1360" s="4">
        <f>YEAR(Tableau1[[#This Row],[Competition_date]])</f>
        <v>2023</v>
      </c>
      <c r="X1360" s="4">
        <v>28</v>
      </c>
      <c r="Y1360" s="6">
        <v>0.48</v>
      </c>
      <c r="Z1360" s="4"/>
      <c r="AA1360" t="s">
        <v>106</v>
      </c>
    </row>
    <row r="1361" spans="1:27" hidden="1" x14ac:dyDescent="0.35">
      <c r="A1361" t="str">
        <f>_xlfn.CONCAT(Tableau1[[#This Row],[Athletes]],"_",Tableau1[[#This Row],[Nationality]],"_",Tableau1[[#This Row],[Competition_year]])</f>
        <v>Djamel SEDJATI_ALG_2023</v>
      </c>
      <c r="B1361" t="s">
        <v>170</v>
      </c>
      <c r="C1361" t="s">
        <v>14</v>
      </c>
      <c r="D1361" s="18" t="s">
        <v>24</v>
      </c>
      <c r="E1361">
        <v>12.59</v>
      </c>
      <c r="F1361">
        <v>11.92</v>
      </c>
      <c r="G1361">
        <v>13.25</v>
      </c>
      <c r="H1361">
        <v>13.87</v>
      </c>
      <c r="I1361">
        <v>13.61</v>
      </c>
      <c r="J1361">
        <v>13.21</v>
      </c>
      <c r="K1361">
        <v>12.47</v>
      </c>
      <c r="L1361">
        <f>Tableau1[[#This Row],[Final_time]]-SUM(Tableau1[[#This Row],[0_100m]:[600_700m]])</f>
        <v>13.570000000000007</v>
      </c>
      <c r="M1361">
        <v>104.49</v>
      </c>
      <c r="N1361">
        <f>SUM(Tableau1[[#This Row],[0_100m]:[700_800m]])</f>
        <v>104.49</v>
      </c>
      <c r="O1361">
        <f>ABS(Tableau1[[#This Row],[Final_time]]-Tableau1[[#This Row],[Sum_time]])</f>
        <v>0</v>
      </c>
      <c r="P1361" s="8" t="s">
        <v>141</v>
      </c>
      <c r="Q1361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1" t="s">
        <v>104</v>
      </c>
      <c r="S1361" s="1" t="s">
        <v>105</v>
      </c>
      <c r="T1361" t="s">
        <v>156</v>
      </c>
      <c r="U1361" s="1" t="s">
        <v>69</v>
      </c>
      <c r="V1361" s="1">
        <v>45162</v>
      </c>
      <c r="W1361" s="4">
        <f>YEAR(Tableau1[[#This Row],[Competition_date]])</f>
        <v>2023</v>
      </c>
      <c r="X1361" s="4">
        <v>28</v>
      </c>
      <c r="Y1361" s="6">
        <v>0.48</v>
      </c>
      <c r="Z1361" s="4"/>
      <c r="AA1361" t="s">
        <v>106</v>
      </c>
    </row>
    <row r="1362" spans="1:27" hidden="1" x14ac:dyDescent="0.35">
      <c r="A1362" t="str">
        <f>_xlfn.CONCAT(Tableau1[[#This Row],[Athletes]],"_",Tableau1[[#This Row],[Nationality]],"_",Tableau1[[#This Row],[Competition_year]])</f>
        <v>Saúl ORDÓÑEZ_ESP_2023</v>
      </c>
      <c r="B1362" t="s">
        <v>178</v>
      </c>
      <c r="C1362" t="s">
        <v>14</v>
      </c>
      <c r="D1362" s="18" t="s">
        <v>37</v>
      </c>
      <c r="E1362">
        <v>12.86</v>
      </c>
      <c r="F1362">
        <v>11.84</v>
      </c>
      <c r="G1362">
        <v>13.06</v>
      </c>
      <c r="H1362">
        <v>13.27</v>
      </c>
      <c r="I1362">
        <v>14.46</v>
      </c>
      <c r="J1362">
        <v>13.23</v>
      </c>
      <c r="K1362">
        <v>12.56</v>
      </c>
      <c r="L1362">
        <f>Tableau1[[#This Row],[Final_time]]-SUM(Tableau1[[#This Row],[0_100m]:[600_700m]])</f>
        <v>13.45999999999998</v>
      </c>
      <c r="M1362">
        <v>104.74</v>
      </c>
      <c r="N1362">
        <f>SUM(Tableau1[[#This Row],[0_100m]:[700_800m]])</f>
        <v>104.74</v>
      </c>
      <c r="O1362">
        <f>ABS(Tableau1[[#This Row],[Final_time]]-Tableau1[[#This Row],[Sum_time]])</f>
        <v>0</v>
      </c>
      <c r="P1362" s="8"/>
      <c r="Q1362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2" t="s">
        <v>104</v>
      </c>
      <c r="S1362" s="1" t="s">
        <v>105</v>
      </c>
      <c r="T1362" t="s">
        <v>156</v>
      </c>
      <c r="U1362" s="1" t="s">
        <v>69</v>
      </c>
      <c r="V1362" s="1">
        <v>45162</v>
      </c>
      <c r="W1362" s="4">
        <f>YEAR(Tableau1[[#This Row],[Competition_date]])</f>
        <v>2023</v>
      </c>
      <c r="X1362" s="4">
        <v>28</v>
      </c>
      <c r="Y1362" s="6">
        <v>0.48</v>
      </c>
      <c r="Z1362" s="4"/>
      <c r="AA1362" t="s">
        <v>106</v>
      </c>
    </row>
    <row r="1363" spans="1:27" hidden="1" x14ac:dyDescent="0.35">
      <c r="A1363" t="str">
        <f>_xlfn.CONCAT(Tableau1[[#This Row],[Athletes]],"_",Tableau1[[#This Row],[Nationality]],"_",Tableau1[[#This Row],[Competition_year]])</f>
        <v>Catalin TECUCEANU_ITA_2023</v>
      </c>
      <c r="B1363" t="s">
        <v>179</v>
      </c>
      <c r="C1363" t="s">
        <v>14</v>
      </c>
      <c r="D1363" s="18" t="s">
        <v>20</v>
      </c>
      <c r="E1363">
        <v>12.97</v>
      </c>
      <c r="F1363">
        <v>11.51</v>
      </c>
      <c r="G1363">
        <v>13.61</v>
      </c>
      <c r="H1363">
        <v>13.68</v>
      </c>
      <c r="I1363">
        <v>13.89</v>
      </c>
      <c r="J1363">
        <v>13.35</v>
      </c>
      <c r="K1363">
        <v>12.55</v>
      </c>
      <c r="L1363">
        <f>Tableau1[[#This Row],[Final_time]]-SUM(Tableau1[[#This Row],[0_100m]:[600_700m]])</f>
        <v>13.230000000000018</v>
      </c>
      <c r="M1363">
        <v>104.79</v>
      </c>
      <c r="N1363">
        <f>SUM(Tableau1[[#This Row],[0_100m]:[700_800m]])</f>
        <v>104.79</v>
      </c>
      <c r="O1363">
        <f>ABS(Tableau1[[#This Row],[Final_time]]-Tableau1[[#This Row],[Sum_time]])</f>
        <v>0</v>
      </c>
      <c r="P1363" s="8"/>
      <c r="Q1363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3" t="s">
        <v>104</v>
      </c>
      <c r="S1363" s="1" t="s">
        <v>105</v>
      </c>
      <c r="T1363" t="s">
        <v>156</v>
      </c>
      <c r="U1363" s="1" t="s">
        <v>69</v>
      </c>
      <c r="V1363" s="1">
        <v>45162</v>
      </c>
      <c r="W1363" s="4">
        <f>YEAR(Tableau1[[#This Row],[Competition_date]])</f>
        <v>2023</v>
      </c>
      <c r="X1363" s="4">
        <v>28</v>
      </c>
      <c r="Y1363" s="6">
        <v>0.48</v>
      </c>
      <c r="Z1363" s="4"/>
      <c r="AA1363" t="s">
        <v>106</v>
      </c>
    </row>
    <row r="1364" spans="1:27" hidden="1" x14ac:dyDescent="0.35">
      <c r="A1364" t="str">
        <f>_xlfn.CONCAT(Tableau1[[#This Row],[Athletes]],"_",Tableau1[[#This Row],[Nationality]],"_",Tableau1[[#This Row],[Competition_year]])</f>
        <v>Gabriel TUAL_FRA_2023</v>
      </c>
      <c r="B1364" t="s">
        <v>180</v>
      </c>
      <c r="C1364" t="s">
        <v>14</v>
      </c>
      <c r="D1364" s="18" t="s">
        <v>17</v>
      </c>
      <c r="E1364">
        <v>12.66</v>
      </c>
      <c r="F1364">
        <v>11.89</v>
      </c>
      <c r="G1364">
        <v>13.3</v>
      </c>
      <c r="H1364">
        <v>13.95</v>
      </c>
      <c r="I1364">
        <v>13.6</v>
      </c>
      <c r="J1364">
        <v>13.38</v>
      </c>
      <c r="K1364">
        <v>12.82</v>
      </c>
      <c r="L1364">
        <f>Tableau1[[#This Row],[Final_time]]-SUM(Tableau1[[#This Row],[0_100m]:[600_700m]])</f>
        <v>13.230000000000004</v>
      </c>
      <c r="M1364">
        <v>104.83</v>
      </c>
      <c r="N1364">
        <f>SUM(Tableau1[[#This Row],[0_100m]:[700_800m]])</f>
        <v>104.83</v>
      </c>
      <c r="O1364">
        <f>ABS(Tableau1[[#This Row],[Final_time]]-Tableau1[[#This Row],[Sum_time]])</f>
        <v>0</v>
      </c>
      <c r="P1364" s="8"/>
      <c r="Q1364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4" t="s">
        <v>104</v>
      </c>
      <c r="S1364" s="1" t="s">
        <v>105</v>
      </c>
      <c r="T1364" t="s">
        <v>156</v>
      </c>
      <c r="U1364" s="1" t="s">
        <v>69</v>
      </c>
      <c r="V1364" s="1">
        <v>45162</v>
      </c>
      <c r="W1364" s="4">
        <f>YEAR(Tableau1[[#This Row],[Competition_date]])</f>
        <v>2023</v>
      </c>
      <c r="X1364" s="4">
        <v>28</v>
      </c>
      <c r="Y1364" s="6">
        <v>0.48</v>
      </c>
      <c r="Z1364" s="4"/>
      <c r="AA1364" t="s">
        <v>106</v>
      </c>
    </row>
    <row r="1365" spans="1:27" hidden="1" x14ac:dyDescent="0.35">
      <c r="A1365" t="str">
        <f>_xlfn.CONCAT(Tableau1[[#This Row],[Athletes]],"_",Tableau1[[#This Row],[Nationality]],"_",Tableau1[[#This Row],[Competition_year]])</f>
        <v>Filip OSTROWSKI_POL_2023</v>
      </c>
      <c r="B1365" t="s">
        <v>181</v>
      </c>
      <c r="C1365" t="s">
        <v>14</v>
      </c>
      <c r="D1365" s="18" t="s">
        <v>88</v>
      </c>
      <c r="E1365">
        <v>13.06</v>
      </c>
      <c r="F1365">
        <v>11.99</v>
      </c>
      <c r="G1365">
        <v>12.86</v>
      </c>
      <c r="H1365">
        <v>14.07</v>
      </c>
      <c r="I1365">
        <v>13.77</v>
      </c>
      <c r="J1365">
        <v>13.27</v>
      </c>
      <c r="K1365">
        <v>13.82</v>
      </c>
      <c r="L1365">
        <f>Tableau1[[#This Row],[Final_time]]-SUM(Tableau1[[#This Row],[0_100m]:[600_700m]])</f>
        <v>12.459999999999994</v>
      </c>
      <c r="M1365">
        <v>105.3</v>
      </c>
      <c r="N1365">
        <f>SUM(Tableau1[[#This Row],[0_100m]:[700_800m]])</f>
        <v>105.3</v>
      </c>
      <c r="O1365">
        <f>ABS(Tableau1[[#This Row],[Final_time]]-Tableau1[[#This Row],[Sum_time]])</f>
        <v>0</v>
      </c>
      <c r="P1365" s="8"/>
      <c r="Q1365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5" t="s">
        <v>104</v>
      </c>
      <c r="S1365" s="1" t="s">
        <v>105</v>
      </c>
      <c r="T1365" t="s">
        <v>156</v>
      </c>
      <c r="U1365" s="1" t="s">
        <v>69</v>
      </c>
      <c r="V1365" s="1">
        <v>45162</v>
      </c>
      <c r="W1365" s="4">
        <f>YEAR(Tableau1[[#This Row],[Competition_date]])</f>
        <v>2023</v>
      </c>
      <c r="X1365" s="4">
        <v>28</v>
      </c>
      <c r="Y1365" s="6">
        <v>0.48</v>
      </c>
      <c r="Z1365" s="4"/>
      <c r="AA1365" t="s">
        <v>106</v>
      </c>
    </row>
    <row r="1366" spans="1:27" hidden="1" x14ac:dyDescent="0.35">
      <c r="A1366" t="str">
        <f>_xlfn.CONCAT(Tableau1[[#This Row],[Athletes]],"_",Tableau1[[#This Row],[Nationality]],"_",Tableau1[[#This Row],[Competition_year]])</f>
        <v>Daniel ROWDEN_GBR_2023</v>
      </c>
      <c r="B1366" t="s">
        <v>172</v>
      </c>
      <c r="C1366" t="s">
        <v>14</v>
      </c>
      <c r="D1366" s="18" t="s">
        <v>30</v>
      </c>
      <c r="E1366">
        <v>12.65</v>
      </c>
      <c r="F1366">
        <v>11.81</v>
      </c>
      <c r="G1366">
        <v>15.76</v>
      </c>
      <c r="H1366">
        <v>11.35</v>
      </c>
      <c r="I1366">
        <v>13.52</v>
      </c>
      <c r="J1366">
        <v>12.67</v>
      </c>
      <c r="K1366">
        <v>13.54</v>
      </c>
      <c r="L1366">
        <f>Tableau1[[#This Row],[Final_time]]-SUM(Tableau1[[#This Row],[0_100m]:[600_700m]])</f>
        <v>14.079999999999984</v>
      </c>
      <c r="M1366">
        <v>105.38</v>
      </c>
      <c r="N1366">
        <f>SUM(Tableau1[[#This Row],[0_100m]:[700_800m]])</f>
        <v>105.38</v>
      </c>
      <c r="O1366">
        <f>ABS(Tableau1[[#This Row],[Final_time]]-Tableau1[[#This Row],[Sum_time]])</f>
        <v>0</v>
      </c>
      <c r="P1366" s="8"/>
      <c r="Q1366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6" t="s">
        <v>104</v>
      </c>
      <c r="S1366" s="1" t="s">
        <v>105</v>
      </c>
      <c r="T1366" t="s">
        <v>156</v>
      </c>
      <c r="U1366" s="1" t="s">
        <v>69</v>
      </c>
      <c r="V1366" s="1">
        <v>45162</v>
      </c>
      <c r="W1366" s="4">
        <f>YEAR(Tableau1[[#This Row],[Competition_date]])</f>
        <v>2023</v>
      </c>
      <c r="X1366" s="4">
        <v>28</v>
      </c>
      <c r="Y1366" s="6">
        <v>0.48</v>
      </c>
      <c r="Z1366" s="4"/>
      <c r="AA1366" t="s">
        <v>106</v>
      </c>
    </row>
    <row r="1367" spans="1:27" hidden="1" x14ac:dyDescent="0.35">
      <c r="A1367" t="str">
        <f>_xlfn.CONCAT(Tableau1[[#This Row],[Athletes]],"_",Tableau1[[#This Row],[Nationality]],"_",Tableau1[[#This Row],[Competition_year]])</f>
        <v>Alex Ngeno KIPNGETICH_KEN_2023</v>
      </c>
      <c r="B1367" t="s">
        <v>182</v>
      </c>
      <c r="C1367" t="s">
        <v>14</v>
      </c>
      <c r="D1367" s="18" t="s">
        <v>15</v>
      </c>
      <c r="E1367">
        <v>12.78</v>
      </c>
      <c r="F1367">
        <v>12.01</v>
      </c>
      <c r="G1367">
        <v>12.93</v>
      </c>
      <c r="H1367">
        <v>13.92</v>
      </c>
      <c r="I1367">
        <v>13.64</v>
      </c>
      <c r="J1367">
        <v>13.38</v>
      </c>
      <c r="K1367">
        <v>12.81</v>
      </c>
      <c r="L1367">
        <f>Tableau1[[#This Row],[Final_time]]-SUM(Tableau1[[#This Row],[0_100m]:[600_700m]])</f>
        <v>14.090000000000003</v>
      </c>
      <c r="M1367">
        <v>105.56</v>
      </c>
      <c r="N1367">
        <f>SUM(Tableau1[[#This Row],[0_100m]:[700_800m]])</f>
        <v>105.56</v>
      </c>
      <c r="O1367">
        <f>ABS(Tableau1[[#This Row],[Final_time]]-Tableau1[[#This Row],[Sum_time]])</f>
        <v>0</v>
      </c>
      <c r="P1367" s="8"/>
      <c r="Q1367" s="16" t="str">
        <f>_xlfn.CONCAT(Tableau1[[#This Row],[Competition]],"_",Tableau1[[#This Row],[Championship_step]],"_",Tableau1[[#This Row],[Competition_date]],"_",Tableau1[[#This Row],[Gender]])</f>
        <v>World Championships Budapest 2023_Semi 2_45162_Male</v>
      </c>
      <c r="R1367" t="s">
        <v>104</v>
      </c>
      <c r="S1367" s="1" t="s">
        <v>105</v>
      </c>
      <c r="T1367" t="s">
        <v>156</v>
      </c>
      <c r="U1367" s="1" t="s">
        <v>69</v>
      </c>
      <c r="V1367" s="1">
        <v>45162</v>
      </c>
      <c r="W1367" s="4">
        <f>YEAR(Tableau1[[#This Row],[Competition_date]])</f>
        <v>2023</v>
      </c>
      <c r="X1367" s="4">
        <v>28</v>
      </c>
      <c r="Y1367" s="6">
        <v>0.48</v>
      </c>
      <c r="Z1367" s="4"/>
      <c r="AA1367" t="s">
        <v>106</v>
      </c>
    </row>
    <row r="1368" spans="1:27" hidden="1" x14ac:dyDescent="0.35">
      <c r="A1368" t="str">
        <f>_xlfn.CONCAT(Tableau1[[#This Row],[Athletes]],"_",Tableau1[[#This Row],[Nationality]],"_",Tableau1[[#This Row],[Competition_year]])</f>
        <v>Jemma REEKIE_GBR_2023</v>
      </c>
      <c r="B1368" t="s">
        <v>220</v>
      </c>
      <c r="C1368" t="s">
        <v>29</v>
      </c>
      <c r="D1368" s="18" t="s">
        <v>30</v>
      </c>
      <c r="E1368">
        <v>13.58</v>
      </c>
      <c r="F1368">
        <v>14.34</v>
      </c>
      <c r="G1368">
        <v>16.850000000000001</v>
      </c>
      <c r="H1368">
        <v>16.670000000000002</v>
      </c>
      <c r="I1368">
        <v>15.67</v>
      </c>
      <c r="J1368">
        <v>14.58</v>
      </c>
      <c r="K1368">
        <v>14.46</v>
      </c>
      <c r="L1368">
        <f>Tableau1[[#This Row],[Final_time]]-SUM(Tableau1[[#This Row],[0_100m]:[600_700m]])</f>
        <v>14.129999999999995</v>
      </c>
      <c r="M1368">
        <v>120.28</v>
      </c>
      <c r="N1368">
        <f>SUM(Tableau1[[#This Row],[0_100m]:[700_800m]])</f>
        <v>120.28</v>
      </c>
      <c r="O1368">
        <f>ABS(Tableau1[[#This Row],[Final_time]]-Tableau1[[#This Row],[Sum_time]])</f>
        <v>0</v>
      </c>
      <c r="P1368" s="8" t="s">
        <v>141</v>
      </c>
      <c r="Q1368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68" t="s">
        <v>104</v>
      </c>
      <c r="S1368" s="1" t="s">
        <v>105</v>
      </c>
      <c r="T1368" t="s">
        <v>156</v>
      </c>
      <c r="U1368" s="1" t="s">
        <v>69</v>
      </c>
      <c r="V1368" s="1">
        <v>45163</v>
      </c>
      <c r="W1368" s="4">
        <f>YEAR(Tableau1[[#This Row],[Competition_date]])</f>
        <v>2023</v>
      </c>
      <c r="X1368" s="4">
        <v>29</v>
      </c>
      <c r="Y1368" s="6">
        <v>0.54</v>
      </c>
      <c r="Z1368" s="4"/>
      <c r="AA1368" t="s">
        <v>138</v>
      </c>
    </row>
    <row r="1369" spans="1:27" hidden="1" x14ac:dyDescent="0.35">
      <c r="A1369" t="str">
        <f>_xlfn.CONCAT(Tableau1[[#This Row],[Athletes]],"_",Tableau1[[#This Row],[Nationality]],"_",Tableau1[[#This Row],[Competition_year]])</f>
        <v>Raevyn ROGERS_USA_2023</v>
      </c>
      <c r="B1369" t="s">
        <v>221</v>
      </c>
      <c r="C1369" t="s">
        <v>29</v>
      </c>
      <c r="D1369" s="18" t="s">
        <v>35</v>
      </c>
      <c r="E1369">
        <v>13.45</v>
      </c>
      <c r="F1369">
        <v>14.39</v>
      </c>
      <c r="G1369">
        <v>16.739999999999998</v>
      </c>
      <c r="H1369">
        <v>16.68</v>
      </c>
      <c r="I1369">
        <v>15.64</v>
      </c>
      <c r="J1369">
        <v>14.76</v>
      </c>
      <c r="K1369">
        <v>14.23</v>
      </c>
      <c r="L1369">
        <f>Tableau1[[#This Row],[Final_time]]-SUM(Tableau1[[#This Row],[0_100m]:[600_700m]])</f>
        <v>14.579999999999984</v>
      </c>
      <c r="M1369">
        <v>120.47</v>
      </c>
      <c r="N1369">
        <f>SUM(Tableau1[[#This Row],[0_100m]:[700_800m]])</f>
        <v>120.47</v>
      </c>
      <c r="O1369">
        <f>ABS(Tableau1[[#This Row],[Final_time]]-Tableau1[[#This Row],[Sum_time]])</f>
        <v>0</v>
      </c>
      <c r="P1369" s="8" t="s">
        <v>141</v>
      </c>
      <c r="Q1369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69" t="s">
        <v>104</v>
      </c>
      <c r="S1369" s="1" t="s">
        <v>105</v>
      </c>
      <c r="T1369" t="s">
        <v>156</v>
      </c>
      <c r="U1369" s="1" t="s">
        <v>69</v>
      </c>
      <c r="V1369" s="1">
        <v>45163</v>
      </c>
      <c r="W1369" s="4">
        <f>YEAR(Tableau1[[#This Row],[Competition_date]])</f>
        <v>2023</v>
      </c>
      <c r="X1369" s="4">
        <v>29</v>
      </c>
      <c r="Y1369" s="6">
        <v>0.54</v>
      </c>
      <c r="Z1369" s="4"/>
      <c r="AA1369" t="s">
        <v>138</v>
      </c>
    </row>
    <row r="1370" spans="1:27" hidden="1" x14ac:dyDescent="0.35">
      <c r="A1370" t="str">
        <f>_xlfn.CONCAT(Tableau1[[#This Row],[Athletes]],"_",Tableau1[[#This Row],[Nationality]],"_",Tableau1[[#This Row],[Competition_year]])</f>
        <v>Natoya GOULE-TOPPIN_JAM_2023</v>
      </c>
      <c r="B1370" t="s">
        <v>222</v>
      </c>
      <c r="C1370" t="s">
        <v>29</v>
      </c>
      <c r="D1370" s="18" t="s">
        <v>33</v>
      </c>
      <c r="E1370">
        <v>13.55</v>
      </c>
      <c r="F1370">
        <v>14.1</v>
      </c>
      <c r="G1370">
        <v>16.920000000000002</v>
      </c>
      <c r="H1370">
        <v>16.61</v>
      </c>
      <c r="I1370">
        <v>15.65</v>
      </c>
      <c r="J1370">
        <v>14.6</v>
      </c>
      <c r="K1370">
        <v>14.38</v>
      </c>
      <c r="L1370">
        <f>Tableau1[[#This Row],[Final_time]]-SUM(Tableau1[[#This Row],[0_100m]:[600_700m]])</f>
        <v>14.970000000000013</v>
      </c>
      <c r="M1370">
        <v>120.78</v>
      </c>
      <c r="N1370">
        <f>SUM(Tableau1[[#This Row],[0_100m]:[700_800m]])</f>
        <v>120.78</v>
      </c>
      <c r="O1370">
        <f>ABS(Tableau1[[#This Row],[Final_time]]-Tableau1[[#This Row],[Sum_time]])</f>
        <v>0</v>
      </c>
      <c r="P1370" s="8"/>
      <c r="Q1370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70" t="s">
        <v>104</v>
      </c>
      <c r="S1370" s="1" t="s">
        <v>105</v>
      </c>
      <c r="T1370" t="s">
        <v>156</v>
      </c>
      <c r="U1370" s="1" t="s">
        <v>69</v>
      </c>
      <c r="V1370" s="1">
        <v>45163</v>
      </c>
      <c r="W1370" s="4">
        <f>YEAR(Tableau1[[#This Row],[Competition_date]])</f>
        <v>2023</v>
      </c>
      <c r="X1370" s="4">
        <v>29</v>
      </c>
      <c r="Y1370" s="6">
        <v>0.54</v>
      </c>
      <c r="Z1370" s="4"/>
      <c r="AA1370" t="s">
        <v>138</v>
      </c>
    </row>
    <row r="1371" spans="1:27" hidden="1" x14ac:dyDescent="0.35">
      <c r="A1371" t="str">
        <f>_xlfn.CONCAT(Tableau1[[#This Row],[Athletes]],"_",Tableau1[[#This Row],[Nationality]],"_",Tableau1[[#This Row],[Competition_year]])</f>
        <v>Habitam ALEMU_ETH_2023</v>
      </c>
      <c r="B1371" t="s">
        <v>223</v>
      </c>
      <c r="C1371" t="s">
        <v>29</v>
      </c>
      <c r="D1371" s="18" t="s">
        <v>49</v>
      </c>
      <c r="E1371">
        <v>13.99</v>
      </c>
      <c r="F1371">
        <v>13.98</v>
      </c>
      <c r="G1371">
        <v>17</v>
      </c>
      <c r="H1371">
        <v>16.68</v>
      </c>
      <c r="I1371">
        <v>15.61</v>
      </c>
      <c r="J1371">
        <v>14.16</v>
      </c>
      <c r="K1371">
        <v>14.51</v>
      </c>
      <c r="L1371">
        <f>Tableau1[[#This Row],[Final_time]]-SUM(Tableau1[[#This Row],[0_100m]:[600_700m]])</f>
        <v>15.090000000000003</v>
      </c>
      <c r="M1371">
        <v>121.02</v>
      </c>
      <c r="N1371">
        <f>SUM(Tableau1[[#This Row],[0_100m]:[700_800m]])</f>
        <v>121.02</v>
      </c>
      <c r="O1371">
        <f>ABS(Tableau1[[#This Row],[Final_time]]-Tableau1[[#This Row],[Sum_time]])</f>
        <v>0</v>
      </c>
      <c r="P1371" s="8"/>
      <c r="Q1371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71" t="s">
        <v>104</v>
      </c>
      <c r="S1371" s="1" t="s">
        <v>105</v>
      </c>
      <c r="T1371" t="s">
        <v>156</v>
      </c>
      <c r="U1371" s="1" t="s">
        <v>69</v>
      </c>
      <c r="V1371" s="1">
        <v>45163</v>
      </c>
      <c r="W1371" s="4">
        <f>YEAR(Tableau1[[#This Row],[Competition_date]])</f>
        <v>2023</v>
      </c>
      <c r="X1371" s="4">
        <v>29</v>
      </c>
      <c r="Y1371" s="6">
        <v>0.54</v>
      </c>
      <c r="Z1371" s="4"/>
      <c r="AA1371" t="s">
        <v>138</v>
      </c>
    </row>
    <row r="1372" spans="1:27" hidden="1" x14ac:dyDescent="0.35">
      <c r="A1372" t="str">
        <f>_xlfn.CONCAT(Tableau1[[#This Row],[Athletes]],"_",Tableau1[[#This Row],[Nationality]],"_",Tableau1[[#This Row],[Competition_year]])</f>
        <v>Lore HOFFMANN_SUI_2023</v>
      </c>
      <c r="B1372" t="s">
        <v>224</v>
      </c>
      <c r="C1372" t="s">
        <v>29</v>
      </c>
      <c r="D1372" s="18" t="s">
        <v>73</v>
      </c>
      <c r="E1372">
        <v>13.82</v>
      </c>
      <c r="F1372">
        <v>14.46</v>
      </c>
      <c r="G1372">
        <v>16.77</v>
      </c>
      <c r="H1372">
        <v>16.579999999999998</v>
      </c>
      <c r="I1372">
        <v>15.77</v>
      </c>
      <c r="J1372">
        <v>14.46</v>
      </c>
      <c r="K1372">
        <v>14.59</v>
      </c>
      <c r="L1372">
        <f>Tableau1[[#This Row],[Final_time]]-SUM(Tableau1[[#This Row],[0_100m]:[600_700m]])</f>
        <v>14.600000000000009</v>
      </c>
      <c r="M1372">
        <v>121.05</v>
      </c>
      <c r="N1372">
        <f>SUM(Tableau1[[#This Row],[0_100m]:[700_800m]])</f>
        <v>121.05</v>
      </c>
      <c r="O1372">
        <f>ABS(Tableau1[[#This Row],[Final_time]]-Tableau1[[#This Row],[Sum_time]])</f>
        <v>0</v>
      </c>
      <c r="P1372" s="8"/>
      <c r="Q1372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72" t="s">
        <v>104</v>
      </c>
      <c r="S1372" s="1" t="s">
        <v>105</v>
      </c>
      <c r="T1372" t="s">
        <v>156</v>
      </c>
      <c r="U1372" s="1" t="s">
        <v>69</v>
      </c>
      <c r="V1372" s="1">
        <v>45163</v>
      </c>
      <c r="W1372" s="4">
        <f>YEAR(Tableau1[[#This Row],[Competition_date]])</f>
        <v>2023</v>
      </c>
      <c r="X1372" s="4">
        <v>29</v>
      </c>
      <c r="Y1372" s="6">
        <v>0.54</v>
      </c>
      <c r="Z1372" s="4"/>
      <c r="AA1372" t="s">
        <v>138</v>
      </c>
    </row>
    <row r="1373" spans="1:27" hidden="1" x14ac:dyDescent="0.35">
      <c r="A1373" t="str">
        <f>_xlfn.CONCAT(Tableau1[[#This Row],[Athletes]],"_",Tableau1[[#This Row],[Nationality]],"_",Tableau1[[#This Row],[Competition_year]])</f>
        <v>Rénelle LAMOTE_FRA_2023</v>
      </c>
      <c r="B1373" t="s">
        <v>225</v>
      </c>
      <c r="C1373" t="s">
        <v>29</v>
      </c>
      <c r="D1373" s="18" t="s">
        <v>17</v>
      </c>
      <c r="E1373">
        <v>13.67</v>
      </c>
      <c r="F1373">
        <v>14.33</v>
      </c>
      <c r="G1373">
        <v>16.79</v>
      </c>
      <c r="H1373">
        <v>16.63</v>
      </c>
      <c r="I1373">
        <v>15.6</v>
      </c>
      <c r="J1373">
        <v>14.58</v>
      </c>
      <c r="K1373">
        <v>14.77</v>
      </c>
      <c r="L1373">
        <f>Tableau1[[#This Row],[Final_time]]-SUM(Tableau1[[#This Row],[0_100m]:[600_700m]])</f>
        <v>14.88000000000001</v>
      </c>
      <c r="M1373">
        <v>121.25</v>
      </c>
      <c r="N1373">
        <f>SUM(Tableau1[[#This Row],[0_100m]:[700_800m]])</f>
        <v>121.25</v>
      </c>
      <c r="O1373">
        <f>ABS(Tableau1[[#This Row],[Final_time]]-Tableau1[[#This Row],[Sum_time]])</f>
        <v>0</v>
      </c>
      <c r="P1373" s="8"/>
      <c r="Q1373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73" t="s">
        <v>104</v>
      </c>
      <c r="S1373" s="1" t="s">
        <v>105</v>
      </c>
      <c r="T1373" t="s">
        <v>156</v>
      </c>
      <c r="U1373" s="1" t="s">
        <v>69</v>
      </c>
      <c r="V1373" s="1">
        <v>45163</v>
      </c>
      <c r="W1373" s="4">
        <f>YEAR(Tableau1[[#This Row],[Competition_date]])</f>
        <v>2023</v>
      </c>
      <c r="X1373" s="4">
        <v>29</v>
      </c>
      <c r="Y1373" s="6">
        <v>0.54</v>
      </c>
      <c r="Z1373" s="4"/>
      <c r="AA1373" t="s">
        <v>138</v>
      </c>
    </row>
    <row r="1374" spans="1:27" hidden="1" x14ac:dyDescent="0.35">
      <c r="A1374" t="str">
        <f>_xlfn.CONCAT(Tableau1[[#This Row],[Athletes]],"_",Tableau1[[#This Row],[Nationality]],"_",Tableau1[[#This Row],[Competition_year]])</f>
        <v>Christina HERING_GER_2023</v>
      </c>
      <c r="B1374" t="s">
        <v>226</v>
      </c>
      <c r="C1374" t="s">
        <v>29</v>
      </c>
      <c r="D1374" s="18" t="s">
        <v>139</v>
      </c>
      <c r="E1374">
        <v>13.67</v>
      </c>
      <c r="F1374">
        <v>14.4</v>
      </c>
      <c r="G1374">
        <v>16.7</v>
      </c>
      <c r="H1374">
        <v>16.7</v>
      </c>
      <c r="I1374">
        <v>15.68</v>
      </c>
      <c r="J1374">
        <v>14.69</v>
      </c>
      <c r="K1374">
        <v>14.7</v>
      </c>
      <c r="L1374">
        <f>Tableau1[[#This Row],[Final_time]]-SUM(Tableau1[[#This Row],[0_100m]:[600_700m]])</f>
        <v>15.11999999999999</v>
      </c>
      <c r="M1374">
        <v>121.66</v>
      </c>
      <c r="N1374">
        <f>SUM(Tableau1[[#This Row],[0_100m]:[700_800m]])</f>
        <v>121.66</v>
      </c>
      <c r="O1374">
        <f>ABS(Tableau1[[#This Row],[Final_time]]-Tableau1[[#This Row],[Sum_time]])</f>
        <v>0</v>
      </c>
      <c r="P1374" s="8"/>
      <c r="Q1374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74" t="s">
        <v>104</v>
      </c>
      <c r="S1374" s="1" t="s">
        <v>105</v>
      </c>
      <c r="T1374" t="s">
        <v>156</v>
      </c>
      <c r="U1374" s="1" t="s">
        <v>69</v>
      </c>
      <c r="V1374" s="1">
        <v>45163</v>
      </c>
      <c r="W1374" s="4">
        <f>YEAR(Tableau1[[#This Row],[Competition_date]])</f>
        <v>2023</v>
      </c>
      <c r="X1374" s="4">
        <v>29</v>
      </c>
      <c r="Y1374" s="6">
        <v>0.54</v>
      </c>
      <c r="Z1374" s="4"/>
      <c r="AA1374" t="s">
        <v>138</v>
      </c>
    </row>
    <row r="1375" spans="1:27" hidden="1" x14ac:dyDescent="0.35">
      <c r="A1375" t="str">
        <f>_xlfn.CONCAT(Tableau1[[#This Row],[Athletes]],"_",Tableau1[[#This Row],[Nationality]],"_",Tableau1[[#This Row],[Competition_year]])</f>
        <v>Bianka KÉRI_HUN_2023</v>
      </c>
      <c r="B1375" t="s">
        <v>227</v>
      </c>
      <c r="C1375" t="s">
        <v>29</v>
      </c>
      <c r="D1375" s="18" t="s">
        <v>117</v>
      </c>
      <c r="E1375">
        <v>13.73</v>
      </c>
      <c r="F1375">
        <v>14.56</v>
      </c>
      <c r="G1375">
        <v>16.84</v>
      </c>
      <c r="H1375">
        <v>16.690000000000001</v>
      </c>
      <c r="I1375">
        <v>15.68</v>
      </c>
      <c r="J1375">
        <v>14.07</v>
      </c>
      <c r="K1375">
        <v>14.69</v>
      </c>
      <c r="L1375">
        <f>Tableau1[[#This Row],[Final_time]]-SUM(Tableau1[[#This Row],[0_100m]:[600_700m]])</f>
        <v>15.420000000000016</v>
      </c>
      <c r="M1375">
        <v>121.68</v>
      </c>
      <c r="N1375">
        <f>SUM(Tableau1[[#This Row],[0_100m]:[700_800m]])</f>
        <v>121.68</v>
      </c>
      <c r="O1375">
        <f>ABS(Tableau1[[#This Row],[Final_time]]-Tableau1[[#This Row],[Sum_time]])</f>
        <v>0</v>
      </c>
      <c r="P1375" s="8"/>
      <c r="Q1375" s="16" t="str">
        <f>_xlfn.CONCAT(Tableau1[[#This Row],[Competition]],"_",Tableau1[[#This Row],[Championship_step]],"_",Tableau1[[#This Row],[Competition_date]],"_",Tableau1[[#This Row],[Gender]])</f>
        <v>World Championships Budapest 2023_Semi 2_45163_Female</v>
      </c>
      <c r="R1375" t="s">
        <v>104</v>
      </c>
      <c r="S1375" s="1" t="s">
        <v>105</v>
      </c>
      <c r="T1375" t="s">
        <v>156</v>
      </c>
      <c r="U1375" s="1" t="s">
        <v>69</v>
      </c>
      <c r="V1375" s="1">
        <v>45163</v>
      </c>
      <c r="W1375" s="4">
        <f>YEAR(Tableau1[[#This Row],[Competition_date]])</f>
        <v>2023</v>
      </c>
      <c r="X1375" s="4">
        <v>29</v>
      </c>
      <c r="Y1375" s="6">
        <v>0.54</v>
      </c>
      <c r="Z1375" s="4"/>
      <c r="AA1375" t="s">
        <v>138</v>
      </c>
    </row>
    <row r="1376" spans="1:27" hidden="1" x14ac:dyDescent="0.35">
      <c r="A1376" t="str">
        <f>_xlfn.CONCAT(Tableau1[[#This Row],[Athletes]],"_",Tableau1[[#This Row],[Nationality]],"_",Tableau1[[#This Row],[Competition_year]])</f>
        <v>Emmanuel WANYONYI_KEN_2023</v>
      </c>
      <c r="B1376" t="s">
        <v>183</v>
      </c>
      <c r="C1376" t="s">
        <v>14</v>
      </c>
      <c r="D1376" s="18" t="s">
        <v>15</v>
      </c>
      <c r="E1376">
        <v>12.4</v>
      </c>
      <c r="F1376">
        <v>12.09</v>
      </c>
      <c r="G1376">
        <v>13.6</v>
      </c>
      <c r="H1376">
        <v>11.64</v>
      </c>
      <c r="I1376">
        <v>13.56</v>
      </c>
      <c r="J1376">
        <v>13.34</v>
      </c>
      <c r="K1376">
        <v>13.72</v>
      </c>
      <c r="L1376">
        <f>Tableau1[[#This Row],[Final_time]]-SUM(Tableau1[[#This Row],[0_100m]:[600_700m]])</f>
        <v>13.47999999999999</v>
      </c>
      <c r="M1376">
        <v>103.83</v>
      </c>
      <c r="N1376">
        <f>SUM(Tableau1[[#This Row],[0_100m]:[700_800m]])</f>
        <v>103.83</v>
      </c>
      <c r="O1376">
        <f>ABS(Tableau1[[#This Row],[Final_time]]-Tableau1[[#This Row],[Sum_time]])</f>
        <v>0</v>
      </c>
      <c r="P1376" s="8" t="s">
        <v>141</v>
      </c>
      <c r="Q1376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76" t="s">
        <v>104</v>
      </c>
      <c r="S1376" s="1" t="s">
        <v>105</v>
      </c>
      <c r="T1376" t="s">
        <v>157</v>
      </c>
      <c r="U1376" s="1" t="s">
        <v>69</v>
      </c>
      <c r="V1376" s="1">
        <v>45162</v>
      </c>
      <c r="W1376" s="4">
        <f>YEAR(Tableau1[[#This Row],[Competition_date]])</f>
        <v>2023</v>
      </c>
      <c r="X1376" s="4">
        <v>28</v>
      </c>
      <c r="Y1376" s="6">
        <v>0.48</v>
      </c>
      <c r="Z1376" s="4"/>
      <c r="AA1376" t="s">
        <v>106</v>
      </c>
    </row>
    <row r="1377" spans="1:27" hidden="1" x14ac:dyDescent="0.35">
      <c r="A1377" t="str">
        <f>_xlfn.CONCAT(Tableau1[[#This Row],[Athletes]],"_",Tableau1[[#This Row],[Nationality]],"_",Tableau1[[#This Row],[Competition_year]])</f>
        <v>Adrián BEN_ESP_2023</v>
      </c>
      <c r="B1377" t="s">
        <v>184</v>
      </c>
      <c r="C1377" t="s">
        <v>14</v>
      </c>
      <c r="D1377" s="18" t="s">
        <v>37</v>
      </c>
      <c r="E1377">
        <v>12.69</v>
      </c>
      <c r="F1377">
        <v>12.04</v>
      </c>
      <c r="G1377">
        <v>12.79</v>
      </c>
      <c r="H1377">
        <v>12.76</v>
      </c>
      <c r="I1377">
        <v>13.65</v>
      </c>
      <c r="J1377">
        <v>13.9</v>
      </c>
      <c r="K1377">
        <v>13.13</v>
      </c>
      <c r="L1377">
        <f>Tableau1[[#This Row],[Final_time]]-SUM(Tableau1[[#This Row],[0_100m]:[600_700m]])</f>
        <v>12.960000000000008</v>
      </c>
      <c r="M1377">
        <v>103.92</v>
      </c>
      <c r="N1377">
        <f>SUM(Tableau1[[#This Row],[0_100m]:[700_800m]])</f>
        <v>103.92</v>
      </c>
      <c r="O1377">
        <f>ABS(Tableau1[[#This Row],[Final_time]]-Tableau1[[#This Row],[Sum_time]])</f>
        <v>0</v>
      </c>
      <c r="P1377" s="8" t="s">
        <v>141</v>
      </c>
      <c r="Q1377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77" t="s">
        <v>104</v>
      </c>
      <c r="S1377" s="1" t="s">
        <v>105</v>
      </c>
      <c r="T1377" t="s">
        <v>157</v>
      </c>
      <c r="U1377" s="1" t="s">
        <v>69</v>
      </c>
      <c r="V1377" s="1">
        <v>45162</v>
      </c>
      <c r="W1377" s="4">
        <f>YEAR(Tableau1[[#This Row],[Competition_date]])</f>
        <v>2023</v>
      </c>
      <c r="X1377" s="4">
        <v>28</v>
      </c>
      <c r="Y1377" s="6">
        <v>0.48</v>
      </c>
      <c r="Z1377" s="4"/>
      <c r="AA1377" t="s">
        <v>106</v>
      </c>
    </row>
    <row r="1378" spans="1:27" hidden="1" x14ac:dyDescent="0.35">
      <c r="A1378" t="str">
        <f>_xlfn.CONCAT(Tableau1[[#This Row],[Athletes]],"_",Tableau1[[#This Row],[Nationality]],"_",Tableau1[[#This Row],[Competition_year]])</f>
        <v>Bryce HOPPEL_USA_2023</v>
      </c>
      <c r="B1378" t="s">
        <v>173</v>
      </c>
      <c r="C1378" t="s">
        <v>14</v>
      </c>
      <c r="D1378" s="18" t="s">
        <v>35</v>
      </c>
      <c r="E1378">
        <v>12.55</v>
      </c>
      <c r="F1378">
        <v>11.37</v>
      </c>
      <c r="G1378">
        <v>12.71</v>
      </c>
      <c r="H1378">
        <v>12.9</v>
      </c>
      <c r="I1378">
        <v>13.59</v>
      </c>
      <c r="J1378">
        <v>14.61</v>
      </c>
      <c r="K1378">
        <v>12.81</v>
      </c>
      <c r="L1378">
        <f>Tableau1[[#This Row],[Final_time]]-SUM(Tableau1[[#This Row],[0_100m]:[600_700m]])</f>
        <v>13.5</v>
      </c>
      <c r="M1378">
        <v>104.04</v>
      </c>
      <c r="N1378">
        <f>SUM(Tableau1[[#This Row],[0_100m]:[700_800m]])</f>
        <v>104.04</v>
      </c>
      <c r="O1378">
        <f>ABS(Tableau1[[#This Row],[Final_time]]-Tableau1[[#This Row],[Sum_time]])</f>
        <v>0</v>
      </c>
      <c r="P1378" s="8" t="s">
        <v>142</v>
      </c>
      <c r="Q1378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78" t="s">
        <v>104</v>
      </c>
      <c r="S1378" s="1" t="s">
        <v>105</v>
      </c>
      <c r="T1378" t="s">
        <v>157</v>
      </c>
      <c r="U1378" s="1" t="s">
        <v>69</v>
      </c>
      <c r="V1378" s="1">
        <v>45162</v>
      </c>
      <c r="W1378" s="4">
        <f>YEAR(Tableau1[[#This Row],[Competition_date]])</f>
        <v>2023</v>
      </c>
      <c r="X1378" s="4">
        <v>28</v>
      </c>
      <c r="Y1378" s="6">
        <v>0.48</v>
      </c>
      <c r="Z1378" s="4"/>
      <c r="AA1378" t="s">
        <v>106</v>
      </c>
    </row>
    <row r="1379" spans="1:27" hidden="1" x14ac:dyDescent="0.35">
      <c r="A1379" t="str">
        <f>_xlfn.CONCAT(Tableau1[[#This Row],[Athletes]],"_",Tableau1[[#This Row],[Nationality]],"_",Tableau1[[#This Row],[Competition_year]])</f>
        <v>Yanis MEZIANE_FRA_2023</v>
      </c>
      <c r="B1379" t="s">
        <v>171</v>
      </c>
      <c r="C1379" t="s">
        <v>14</v>
      </c>
      <c r="D1379" s="18" t="s">
        <v>17</v>
      </c>
      <c r="E1379">
        <v>12.39</v>
      </c>
      <c r="F1379">
        <v>11.75</v>
      </c>
      <c r="G1379">
        <v>12.57</v>
      </c>
      <c r="H1379">
        <v>12.9</v>
      </c>
      <c r="I1379">
        <v>13.84</v>
      </c>
      <c r="J1379">
        <v>14.33</v>
      </c>
      <c r="K1379">
        <v>12.92</v>
      </c>
      <c r="L1379">
        <f>Tableau1[[#This Row],[Final_time]]-SUM(Tableau1[[#This Row],[0_100m]:[600_700m]])</f>
        <v>13.599999999999994</v>
      </c>
      <c r="M1379">
        <v>104.3</v>
      </c>
      <c r="N1379">
        <f>SUM(Tableau1[[#This Row],[0_100m]:[700_800m]])</f>
        <v>104.3</v>
      </c>
      <c r="O1379">
        <f>ABS(Tableau1[[#This Row],[Final_time]]-Tableau1[[#This Row],[Sum_time]])</f>
        <v>0</v>
      </c>
      <c r="P1379" s="8"/>
      <c r="Q1379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79" t="s">
        <v>104</v>
      </c>
      <c r="S1379" s="1" t="s">
        <v>105</v>
      </c>
      <c r="T1379" t="s">
        <v>157</v>
      </c>
      <c r="U1379" s="1" t="s">
        <v>69</v>
      </c>
      <c r="V1379" s="1">
        <v>45162</v>
      </c>
      <c r="W1379" s="4">
        <f>YEAR(Tableau1[[#This Row],[Competition_date]])</f>
        <v>2023</v>
      </c>
      <c r="X1379" s="4">
        <v>28</v>
      </c>
      <c r="Y1379" s="6">
        <v>0.48</v>
      </c>
      <c r="Z1379" s="4"/>
      <c r="AA1379" t="s">
        <v>106</v>
      </c>
    </row>
    <row r="1380" spans="1:27" hidden="1" x14ac:dyDescent="0.35">
      <c r="A1380" t="str">
        <f>_xlfn.CONCAT(Tableau1[[#This Row],[Athletes]],"_",Tableau1[[#This Row],[Nationality]],"_",Tableau1[[#This Row],[Competition_year]])</f>
        <v>Simone BARONTINI_ITA_2023</v>
      </c>
      <c r="B1380" t="s">
        <v>185</v>
      </c>
      <c r="C1380" t="s">
        <v>14</v>
      </c>
      <c r="D1380" s="18" t="s">
        <v>20</v>
      </c>
      <c r="E1380">
        <v>12.48</v>
      </c>
      <c r="F1380">
        <v>12.35</v>
      </c>
      <c r="G1380">
        <v>12.79</v>
      </c>
      <c r="H1380">
        <v>12.79</v>
      </c>
      <c r="I1380">
        <v>13.63</v>
      </c>
      <c r="J1380">
        <v>13.89</v>
      </c>
      <c r="K1380">
        <v>12.88</v>
      </c>
      <c r="L1380">
        <f>Tableau1[[#This Row],[Final_time]]-SUM(Tableau1[[#This Row],[0_100m]:[600_700m]])</f>
        <v>13.530000000000015</v>
      </c>
      <c r="M1380">
        <v>104.34</v>
      </c>
      <c r="N1380">
        <f>SUM(Tableau1[[#This Row],[0_100m]:[700_800m]])</f>
        <v>104.34</v>
      </c>
      <c r="O1380">
        <f>ABS(Tableau1[[#This Row],[Final_time]]-Tableau1[[#This Row],[Sum_time]])</f>
        <v>0</v>
      </c>
      <c r="P1380" s="8"/>
      <c r="Q1380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80" t="s">
        <v>104</v>
      </c>
      <c r="S1380" s="1" t="s">
        <v>105</v>
      </c>
      <c r="T1380" t="s">
        <v>157</v>
      </c>
      <c r="U1380" s="1" t="s">
        <v>69</v>
      </c>
      <c r="V1380" s="1">
        <v>45162</v>
      </c>
      <c r="W1380" s="4">
        <f>YEAR(Tableau1[[#This Row],[Competition_date]])</f>
        <v>2023</v>
      </c>
      <c r="X1380" s="4">
        <v>28</v>
      </c>
      <c r="Y1380" s="6">
        <v>0.48</v>
      </c>
      <c r="Z1380" s="4"/>
      <c r="AA1380" t="s">
        <v>106</v>
      </c>
    </row>
    <row r="1381" spans="1:27" hidden="1" x14ac:dyDescent="0.35">
      <c r="A1381" t="str">
        <f>_xlfn.CONCAT(Tableau1[[#This Row],[Athletes]],"_",Tableau1[[#This Row],[Nationality]],"_",Tableau1[[#This Row],[Competition_year]])</f>
        <v>Andreas KRAMER_SWE_2023</v>
      </c>
      <c r="B1381" t="s">
        <v>186</v>
      </c>
      <c r="C1381" t="s">
        <v>14</v>
      </c>
      <c r="D1381" s="18" t="s">
        <v>28</v>
      </c>
      <c r="E1381">
        <v>12.56</v>
      </c>
      <c r="F1381">
        <v>11.83</v>
      </c>
      <c r="G1381">
        <v>12.87</v>
      </c>
      <c r="H1381">
        <v>12.73</v>
      </c>
      <c r="I1381">
        <v>13.72</v>
      </c>
      <c r="J1381">
        <v>14.51</v>
      </c>
      <c r="K1381">
        <v>12.96</v>
      </c>
      <c r="L1381">
        <f>Tableau1[[#This Row],[Final_time]]-SUM(Tableau1[[#This Row],[0_100m]:[600_700m]])</f>
        <v>13.389999999999986</v>
      </c>
      <c r="M1381">
        <v>104.57</v>
      </c>
      <c r="N1381">
        <f>SUM(Tableau1[[#This Row],[0_100m]:[700_800m]])</f>
        <v>104.57</v>
      </c>
      <c r="O1381">
        <f>ABS(Tableau1[[#This Row],[Final_time]]-Tableau1[[#This Row],[Sum_time]])</f>
        <v>0</v>
      </c>
      <c r="P1381" s="8"/>
      <c r="Q1381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81" t="s">
        <v>104</v>
      </c>
      <c r="S1381" s="1" t="s">
        <v>105</v>
      </c>
      <c r="T1381" t="s">
        <v>157</v>
      </c>
      <c r="U1381" s="1" t="s">
        <v>69</v>
      </c>
      <c r="V1381" s="1">
        <v>45162</v>
      </c>
      <c r="W1381" s="4">
        <f>YEAR(Tableau1[[#This Row],[Competition_date]])</f>
        <v>2023</v>
      </c>
      <c r="X1381" s="4">
        <v>28</v>
      </c>
      <c r="Y1381" s="6">
        <v>0.48</v>
      </c>
      <c r="Z1381" s="4"/>
      <c r="AA1381" t="s">
        <v>106</v>
      </c>
    </row>
    <row r="1382" spans="1:27" hidden="1" x14ac:dyDescent="0.35">
      <c r="A1382" t="str">
        <f>_xlfn.CONCAT(Tableau1[[#This Row],[Athletes]],"_",Tableau1[[#This Row],[Nationality]],"_",Tableau1[[#This Row],[Competition_year]])</f>
        <v>Mark ENGLISH_IRL_2023</v>
      </c>
      <c r="B1382" t="s">
        <v>187</v>
      </c>
      <c r="C1382" t="s">
        <v>14</v>
      </c>
      <c r="D1382" s="18" t="s">
        <v>66</v>
      </c>
      <c r="E1382">
        <v>12.49</v>
      </c>
      <c r="F1382">
        <v>11.66</v>
      </c>
      <c r="G1382">
        <v>12.67</v>
      </c>
      <c r="H1382">
        <v>12.89</v>
      </c>
      <c r="I1382">
        <v>13.74</v>
      </c>
      <c r="J1382">
        <v>14.59</v>
      </c>
      <c r="K1382">
        <v>12.89</v>
      </c>
      <c r="L1382">
        <f>Tableau1[[#This Row],[Final_time]]-SUM(Tableau1[[#This Row],[0_100m]:[600_700m]])</f>
        <v>14.209999999999994</v>
      </c>
      <c r="M1382">
        <v>105.14</v>
      </c>
      <c r="N1382">
        <f>SUM(Tableau1[[#This Row],[0_100m]:[700_800m]])</f>
        <v>105.14</v>
      </c>
      <c r="O1382">
        <f>ABS(Tableau1[[#This Row],[Final_time]]-Tableau1[[#This Row],[Sum_time]])</f>
        <v>0</v>
      </c>
      <c r="P1382" s="8"/>
      <c r="Q1382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82" t="s">
        <v>104</v>
      </c>
      <c r="S1382" s="1" t="s">
        <v>105</v>
      </c>
      <c r="T1382" t="s">
        <v>157</v>
      </c>
      <c r="U1382" s="1" t="s">
        <v>69</v>
      </c>
      <c r="V1382" s="1">
        <v>45162</v>
      </c>
      <c r="W1382" s="4">
        <f>YEAR(Tableau1[[#This Row],[Competition_date]])</f>
        <v>2023</v>
      </c>
      <c r="X1382" s="4">
        <v>28</v>
      </c>
      <c r="Y1382" s="6">
        <v>0.48</v>
      </c>
      <c r="Z1382" s="4"/>
      <c r="AA1382" t="s">
        <v>106</v>
      </c>
    </row>
    <row r="1383" spans="1:27" hidden="1" x14ac:dyDescent="0.35">
      <c r="A1383" t="str">
        <f>_xlfn.CONCAT(Tableau1[[#This Row],[Athletes]],"_",Tableau1[[#This Row],[Nationality]],"_",Tableau1[[#This Row],[Competition_year]])</f>
        <v>Max BURGIN_GBR_2023</v>
      </c>
      <c r="B1383" t="s">
        <v>188</v>
      </c>
      <c r="C1383" t="s">
        <v>14</v>
      </c>
      <c r="D1383" s="18" t="s">
        <v>30</v>
      </c>
      <c r="E1383">
        <v>12.4</v>
      </c>
      <c r="F1383">
        <v>11.52</v>
      </c>
      <c r="G1383">
        <v>12.56</v>
      </c>
      <c r="H1383">
        <v>12.93</v>
      </c>
      <c r="I1383">
        <v>13.57</v>
      </c>
      <c r="J1383">
        <v>14.97</v>
      </c>
      <c r="K1383">
        <v>13.78</v>
      </c>
      <c r="L1383">
        <f>Tableau1[[#This Row],[Final_time]]-SUM(Tableau1[[#This Row],[0_100m]:[600_700m]])</f>
        <v>15.86999999999999</v>
      </c>
      <c r="M1383">
        <v>107.6</v>
      </c>
      <c r="N1383">
        <f>SUM(Tableau1[[#This Row],[0_100m]:[700_800m]])</f>
        <v>107.6</v>
      </c>
      <c r="O1383">
        <f>ABS(Tableau1[[#This Row],[Final_time]]-Tableau1[[#This Row],[Sum_time]])</f>
        <v>0</v>
      </c>
      <c r="P1383" s="8"/>
      <c r="Q1383" s="16" t="str">
        <f>_xlfn.CONCAT(Tableau1[[#This Row],[Competition]],"_",Tableau1[[#This Row],[Championship_step]],"_",Tableau1[[#This Row],[Competition_date]],"_",Tableau1[[#This Row],[Gender]])</f>
        <v>World Championships Budapest 2023_Semi 3_45162_Male</v>
      </c>
      <c r="R1383" t="s">
        <v>104</v>
      </c>
      <c r="S1383" s="1" t="s">
        <v>105</v>
      </c>
      <c r="T1383" t="s">
        <v>157</v>
      </c>
      <c r="U1383" s="1" t="s">
        <v>69</v>
      </c>
      <c r="V1383" s="1">
        <v>45162</v>
      </c>
      <c r="W1383" s="4">
        <f>YEAR(Tableau1[[#This Row],[Competition_date]])</f>
        <v>2023</v>
      </c>
      <c r="X1383" s="4">
        <v>28</v>
      </c>
      <c r="Y1383" s="6">
        <v>0.48</v>
      </c>
      <c r="Z1383" s="4"/>
      <c r="AA1383" t="s">
        <v>106</v>
      </c>
    </row>
    <row r="1384" spans="1:27" hidden="1" x14ac:dyDescent="0.35">
      <c r="A1384" t="str">
        <f>_xlfn.CONCAT(Tableau1[[#This Row],[Athletes]],"_",Tableau1[[#This Row],[Nationality]],"_",Tableau1[[#This Row],[Competition_year]])</f>
        <v>Mary MORAA_KEN_2023</v>
      </c>
      <c r="B1384" t="s">
        <v>228</v>
      </c>
      <c r="C1384" t="s">
        <v>29</v>
      </c>
      <c r="D1384" s="18" t="s">
        <v>15</v>
      </c>
      <c r="E1384">
        <v>13.47</v>
      </c>
      <c r="F1384">
        <v>13.09</v>
      </c>
      <c r="G1384">
        <v>15.42</v>
      </c>
      <c r="H1384">
        <v>15.37</v>
      </c>
      <c r="I1384">
        <v>15.23</v>
      </c>
      <c r="J1384">
        <v>15.53</v>
      </c>
      <c r="K1384">
        <v>15.39</v>
      </c>
      <c r="L1384">
        <f>Tableau1[[#This Row],[Final_time]]-SUM(Tableau1[[#This Row],[0_100m]:[600_700m]])</f>
        <v>14.980000000000004</v>
      </c>
      <c r="M1384">
        <v>118.48</v>
      </c>
      <c r="N1384">
        <f>SUM(Tableau1[[#This Row],[0_100m]:[700_800m]])</f>
        <v>118.48</v>
      </c>
      <c r="O1384">
        <f>ABS(Tableau1[[#This Row],[Final_time]]-Tableau1[[#This Row],[Sum_time]])</f>
        <v>0</v>
      </c>
      <c r="P1384" s="8" t="s">
        <v>141</v>
      </c>
      <c r="Q1384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84" t="s">
        <v>104</v>
      </c>
      <c r="S1384" s="1" t="s">
        <v>105</v>
      </c>
      <c r="T1384" t="s">
        <v>157</v>
      </c>
      <c r="U1384" s="1" t="s">
        <v>69</v>
      </c>
      <c r="V1384" s="1">
        <v>45163</v>
      </c>
      <c r="W1384" s="4">
        <f>YEAR(Tableau1[[#This Row],[Competition_date]])</f>
        <v>2023</v>
      </c>
      <c r="X1384" s="4">
        <v>29</v>
      </c>
      <c r="Y1384" s="6">
        <v>0.56000000000000005</v>
      </c>
      <c r="Z1384" s="4"/>
      <c r="AA1384" t="s">
        <v>138</v>
      </c>
    </row>
    <row r="1385" spans="1:27" hidden="1" x14ac:dyDescent="0.35">
      <c r="A1385" t="str">
        <f>_xlfn.CONCAT(Tableau1[[#This Row],[Athletes]],"_",Tableau1[[#This Row],[Nationality]],"_",Tableau1[[#This Row],[Competition_year]])</f>
        <v>Athing MU-NIKOLAYEV_USA_2023</v>
      </c>
      <c r="B1385" t="s">
        <v>1376</v>
      </c>
      <c r="C1385" t="s">
        <v>29</v>
      </c>
      <c r="D1385" s="18" t="s">
        <v>35</v>
      </c>
      <c r="E1385">
        <v>13.39</v>
      </c>
      <c r="F1385">
        <v>13.53</v>
      </c>
      <c r="G1385">
        <v>15.17</v>
      </c>
      <c r="H1385">
        <v>15.4</v>
      </c>
      <c r="I1385">
        <v>16.079999999999998</v>
      </c>
      <c r="J1385">
        <v>15.14</v>
      </c>
      <c r="K1385">
        <v>14.92</v>
      </c>
      <c r="L1385">
        <f>Tableau1[[#This Row],[Final_time]]-SUM(Tableau1[[#This Row],[0_100m]:[600_700m]])</f>
        <v>15.150000000000006</v>
      </c>
      <c r="M1385">
        <v>118.78</v>
      </c>
      <c r="N1385">
        <f>SUM(Tableau1[[#This Row],[0_100m]:[700_800m]])</f>
        <v>118.78</v>
      </c>
      <c r="O1385">
        <f>ABS(Tableau1[[#This Row],[Final_time]]-Tableau1[[#This Row],[Sum_time]])</f>
        <v>0</v>
      </c>
      <c r="P1385" s="8" t="s">
        <v>141</v>
      </c>
      <c r="Q1385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85" t="s">
        <v>104</v>
      </c>
      <c r="S1385" s="1" t="s">
        <v>105</v>
      </c>
      <c r="T1385" t="s">
        <v>157</v>
      </c>
      <c r="U1385" s="1" t="s">
        <v>69</v>
      </c>
      <c r="V1385" s="1">
        <v>45163</v>
      </c>
      <c r="W1385" s="4">
        <f>YEAR(Tableau1[[#This Row],[Competition_date]])</f>
        <v>2023</v>
      </c>
      <c r="X1385" s="4">
        <v>29</v>
      </c>
      <c r="Y1385" s="6">
        <v>0.56000000000000005</v>
      </c>
      <c r="Z1385" s="4"/>
      <c r="AA1385" t="s">
        <v>138</v>
      </c>
    </row>
    <row r="1386" spans="1:27" hidden="1" x14ac:dyDescent="0.35">
      <c r="A1386" t="str">
        <f>_xlfn.CONCAT(Tableau1[[#This Row],[Athletes]],"_",Tableau1[[#This Row],[Nationality]],"_",Tableau1[[#This Row],[Competition_year]])</f>
        <v>Halimah NAKAAYI_UGA_2023</v>
      </c>
      <c r="B1386" t="s">
        <v>230</v>
      </c>
      <c r="C1386" t="s">
        <v>29</v>
      </c>
      <c r="D1386" s="18" t="s">
        <v>34</v>
      </c>
      <c r="E1386">
        <v>13.4</v>
      </c>
      <c r="F1386">
        <v>13.29</v>
      </c>
      <c r="G1386">
        <v>15.33</v>
      </c>
      <c r="H1386">
        <v>15.34</v>
      </c>
      <c r="I1386">
        <v>15.28</v>
      </c>
      <c r="J1386">
        <v>15.4</v>
      </c>
      <c r="K1386">
        <v>15.52</v>
      </c>
      <c r="L1386">
        <f>Tableau1[[#This Row],[Final_time]]-SUM(Tableau1[[#This Row],[0_100m]:[600_700m]])</f>
        <v>15.329999999999998</v>
      </c>
      <c r="M1386">
        <v>118.89</v>
      </c>
      <c r="N1386">
        <f>SUM(Tableau1[[#This Row],[0_100m]:[700_800m]])</f>
        <v>118.89</v>
      </c>
      <c r="O1386">
        <f>ABS(Tableau1[[#This Row],[Final_time]]-Tableau1[[#This Row],[Sum_time]])</f>
        <v>0</v>
      </c>
      <c r="P1386" s="8" t="s">
        <v>142</v>
      </c>
      <c r="Q1386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86" t="s">
        <v>104</v>
      </c>
      <c r="S1386" s="1" t="s">
        <v>105</v>
      </c>
      <c r="T1386" t="s">
        <v>157</v>
      </c>
      <c r="U1386" s="1" t="s">
        <v>69</v>
      </c>
      <c r="V1386" s="1">
        <v>45163</v>
      </c>
      <c r="W1386" s="4">
        <f>YEAR(Tableau1[[#This Row],[Competition_date]])</f>
        <v>2023</v>
      </c>
      <c r="X1386" s="4">
        <v>29</v>
      </c>
      <c r="Y1386" s="6">
        <v>0.56000000000000005</v>
      </c>
      <c r="Z1386" s="4"/>
      <c r="AA1386" t="s">
        <v>138</v>
      </c>
    </row>
    <row r="1387" spans="1:27" hidden="1" x14ac:dyDescent="0.35">
      <c r="A1387" t="str">
        <f>_xlfn.CONCAT(Tableau1[[#This Row],[Athletes]],"_",Tableau1[[#This Row],[Nationality]],"_",Tableau1[[#This Row],[Competition_year]])</f>
        <v>Adelle TRACEY_JAM_2023</v>
      </c>
      <c r="B1387" t="s">
        <v>231</v>
      </c>
      <c r="C1387" t="s">
        <v>29</v>
      </c>
      <c r="D1387" s="18" t="s">
        <v>33</v>
      </c>
      <c r="E1387">
        <v>13.8</v>
      </c>
      <c r="F1387">
        <v>13.5</v>
      </c>
      <c r="G1387">
        <v>15.07</v>
      </c>
      <c r="H1387">
        <v>15.4</v>
      </c>
      <c r="I1387">
        <v>15.33</v>
      </c>
      <c r="J1387">
        <v>15.48</v>
      </c>
      <c r="K1387">
        <v>15.33</v>
      </c>
      <c r="L1387">
        <f>Tableau1[[#This Row],[Final_time]]-SUM(Tableau1[[#This Row],[0_100m]:[600_700m]])</f>
        <v>15.079999999999984</v>
      </c>
      <c r="M1387">
        <v>118.99</v>
      </c>
      <c r="N1387">
        <f>SUM(Tableau1[[#This Row],[0_100m]:[700_800m]])</f>
        <v>118.99</v>
      </c>
      <c r="O1387">
        <f>ABS(Tableau1[[#This Row],[Final_time]]-Tableau1[[#This Row],[Sum_time]])</f>
        <v>0</v>
      </c>
      <c r="P1387" s="8" t="s">
        <v>142</v>
      </c>
      <c r="Q1387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87" t="s">
        <v>104</v>
      </c>
      <c r="S1387" s="1" t="s">
        <v>105</v>
      </c>
      <c r="T1387" t="s">
        <v>157</v>
      </c>
      <c r="U1387" s="1" t="s">
        <v>69</v>
      </c>
      <c r="V1387" s="1">
        <v>45163</v>
      </c>
      <c r="W1387" s="4">
        <f>YEAR(Tableau1[[#This Row],[Competition_date]])</f>
        <v>2023</v>
      </c>
      <c r="X1387" s="4">
        <v>29</v>
      </c>
      <c r="Y1387" s="6">
        <v>0.56000000000000005</v>
      </c>
      <c r="Z1387" s="4"/>
      <c r="AA1387" t="s">
        <v>138</v>
      </c>
    </row>
    <row r="1388" spans="1:27" hidden="1" x14ac:dyDescent="0.35">
      <c r="A1388" t="str">
        <f>_xlfn.CONCAT(Tableau1[[#This Row],[Athletes]],"_",Tableau1[[#This Row],[Nationality]],"_",Tableau1[[#This Row],[Competition_year]])</f>
        <v>Abbey CALDWELL_AUS_2023</v>
      </c>
      <c r="B1388" t="s">
        <v>232</v>
      </c>
      <c r="C1388" t="s">
        <v>29</v>
      </c>
      <c r="D1388" s="18" t="s">
        <v>36</v>
      </c>
      <c r="E1388">
        <v>13.65</v>
      </c>
      <c r="F1388">
        <v>13.6</v>
      </c>
      <c r="G1388">
        <v>14.85</v>
      </c>
      <c r="H1388">
        <v>15.39</v>
      </c>
      <c r="I1388">
        <v>15.4</v>
      </c>
      <c r="J1388">
        <v>15.49</v>
      </c>
      <c r="K1388">
        <v>15.34</v>
      </c>
      <c r="L1388">
        <f>Tableau1[[#This Row],[Final_time]]-SUM(Tableau1[[#This Row],[0_100m]:[600_700m]])</f>
        <v>15.329999999999998</v>
      </c>
      <c r="M1388">
        <v>119.05</v>
      </c>
      <c r="N1388">
        <f>SUM(Tableau1[[#This Row],[0_100m]:[700_800m]])</f>
        <v>119.05</v>
      </c>
      <c r="O1388">
        <f>ABS(Tableau1[[#This Row],[Final_time]]-Tableau1[[#This Row],[Sum_time]])</f>
        <v>0</v>
      </c>
      <c r="P1388" s="8"/>
      <c r="Q1388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88" t="s">
        <v>104</v>
      </c>
      <c r="S1388" s="1" t="s">
        <v>105</v>
      </c>
      <c r="T1388" t="s">
        <v>157</v>
      </c>
      <c r="U1388" s="1" t="s">
        <v>69</v>
      </c>
      <c r="V1388" s="1">
        <v>45163</v>
      </c>
      <c r="W1388" s="4">
        <f>YEAR(Tableau1[[#This Row],[Competition_date]])</f>
        <v>2023</v>
      </c>
      <c r="X1388" s="4">
        <v>29</v>
      </c>
      <c r="Y1388" s="6">
        <v>0.56000000000000005</v>
      </c>
      <c r="Z1388" s="4"/>
      <c r="AA1388" t="s">
        <v>138</v>
      </c>
    </row>
    <row r="1389" spans="1:27" hidden="1" x14ac:dyDescent="0.35">
      <c r="A1389" t="str">
        <f>_xlfn.CONCAT(Tableau1[[#This Row],[Athletes]],"_",Tableau1[[#This Row],[Nationality]],"_",Tableau1[[#This Row],[Competition_year]])</f>
        <v>Eloisa COIRO_ITA_2023</v>
      </c>
      <c r="B1389" t="s">
        <v>233</v>
      </c>
      <c r="C1389" t="s">
        <v>29</v>
      </c>
      <c r="D1389" s="18" t="s">
        <v>20</v>
      </c>
      <c r="E1389">
        <v>14.19</v>
      </c>
      <c r="F1389">
        <v>13.59</v>
      </c>
      <c r="G1389">
        <v>14.49</v>
      </c>
      <c r="H1389">
        <v>15.71</v>
      </c>
      <c r="I1389">
        <v>15.33</v>
      </c>
      <c r="J1389">
        <v>15.48</v>
      </c>
      <c r="K1389">
        <v>15.37</v>
      </c>
      <c r="L1389">
        <f>Tableau1[[#This Row],[Final_time]]-SUM(Tableau1[[#This Row],[0_100m]:[600_700m]])</f>
        <v>15.449999999999989</v>
      </c>
      <c r="M1389">
        <v>119.61</v>
      </c>
      <c r="N1389">
        <f>SUM(Tableau1[[#This Row],[0_100m]:[700_800m]])</f>
        <v>119.61</v>
      </c>
      <c r="O1389">
        <f>ABS(Tableau1[[#This Row],[Final_time]]-Tableau1[[#This Row],[Sum_time]])</f>
        <v>0</v>
      </c>
      <c r="P1389" s="8"/>
      <c r="Q1389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89" t="s">
        <v>104</v>
      </c>
      <c r="S1389" s="1" t="s">
        <v>105</v>
      </c>
      <c r="T1389" t="s">
        <v>157</v>
      </c>
      <c r="U1389" s="1" t="s">
        <v>69</v>
      </c>
      <c r="V1389" s="1">
        <v>45163</v>
      </c>
      <c r="W1389" s="4">
        <f>YEAR(Tableau1[[#This Row],[Competition_date]])</f>
        <v>2023</v>
      </c>
      <c r="X1389" s="4">
        <v>29</v>
      </c>
      <c r="Y1389" s="6">
        <v>0.56000000000000005</v>
      </c>
      <c r="Z1389" s="4"/>
      <c r="AA1389" t="s">
        <v>138</v>
      </c>
    </row>
    <row r="1390" spans="1:27" hidden="1" x14ac:dyDescent="0.35">
      <c r="A1390" t="str">
        <f>_xlfn.CONCAT(Tableau1[[#This Row],[Athletes]],"_",Tableau1[[#This Row],[Nationality]],"_",Tableau1[[#This Row],[Competition_year]])</f>
        <v>Jazz SHUKLA_CAN_2023</v>
      </c>
      <c r="B1390" t="s">
        <v>234</v>
      </c>
      <c r="C1390" t="s">
        <v>29</v>
      </c>
      <c r="D1390" s="18" t="s">
        <v>19</v>
      </c>
      <c r="E1390">
        <v>13.69</v>
      </c>
      <c r="F1390">
        <v>13.88</v>
      </c>
      <c r="G1390">
        <v>14.83</v>
      </c>
      <c r="H1390">
        <v>15.44</v>
      </c>
      <c r="I1390">
        <v>15.86</v>
      </c>
      <c r="J1390">
        <v>15.64</v>
      </c>
      <c r="K1390">
        <v>15.28</v>
      </c>
      <c r="L1390">
        <f>Tableau1[[#This Row],[Final_time]]-SUM(Tableau1[[#This Row],[0_100m]:[600_700m]])</f>
        <v>15.610000000000014</v>
      </c>
      <c r="M1390">
        <v>120.23</v>
      </c>
      <c r="N1390">
        <f>SUM(Tableau1[[#This Row],[0_100m]:[700_800m]])</f>
        <v>120.23</v>
      </c>
      <c r="O1390">
        <f>ABS(Tableau1[[#This Row],[Final_time]]-Tableau1[[#This Row],[Sum_time]])</f>
        <v>0</v>
      </c>
      <c r="P1390" s="8"/>
      <c r="Q1390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90" t="s">
        <v>104</v>
      </c>
      <c r="S1390" s="1" t="s">
        <v>105</v>
      </c>
      <c r="T1390" t="s">
        <v>157</v>
      </c>
      <c r="U1390" s="1" t="s">
        <v>69</v>
      </c>
      <c r="V1390" s="1">
        <v>45163</v>
      </c>
      <c r="W1390" s="4">
        <f>YEAR(Tableau1[[#This Row],[Competition_date]])</f>
        <v>2023</v>
      </c>
      <c r="X1390" s="4">
        <v>29</v>
      </c>
      <c r="Y1390" s="6">
        <v>0.56000000000000005</v>
      </c>
      <c r="Z1390" s="4"/>
      <c r="AA1390" t="s">
        <v>138</v>
      </c>
    </row>
    <row r="1391" spans="1:27" hidden="1" x14ac:dyDescent="0.35">
      <c r="A1391" t="str">
        <f>_xlfn.CONCAT(Tableau1[[#This Row],[Athletes]],"_",Tableau1[[#This Row],[Nationality]],"_",Tableau1[[#This Row],[Competition_year]])</f>
        <v>Prudence SEKGODISO_RSA_2023</v>
      </c>
      <c r="B1391" t="s">
        <v>235</v>
      </c>
      <c r="C1391" t="s">
        <v>29</v>
      </c>
      <c r="D1391" s="18" t="s">
        <v>96</v>
      </c>
      <c r="E1391">
        <v>13.53</v>
      </c>
      <c r="F1391">
        <v>13.47</v>
      </c>
      <c r="G1391">
        <v>15.18</v>
      </c>
      <c r="H1391">
        <v>15.5</v>
      </c>
      <c r="I1391">
        <v>18.170000000000002</v>
      </c>
      <c r="J1391">
        <v>15.59</v>
      </c>
      <c r="K1391">
        <v>18.22</v>
      </c>
      <c r="L1391">
        <f>Tableau1[[#This Row],[Final_time]]-SUM(Tableau1[[#This Row],[0_100m]:[600_700m]])</f>
        <v>22.02000000000001</v>
      </c>
      <c r="M1391">
        <v>131.68</v>
      </c>
      <c r="N1391">
        <f>SUM(Tableau1[[#This Row],[0_100m]:[700_800m]])</f>
        <v>131.68</v>
      </c>
      <c r="O1391">
        <f>ABS(Tableau1[[#This Row],[Final_time]]-Tableau1[[#This Row],[Sum_time]])</f>
        <v>0</v>
      </c>
      <c r="P1391" s="8"/>
      <c r="Q1391" s="16" t="str">
        <f>_xlfn.CONCAT(Tableau1[[#This Row],[Competition]],"_",Tableau1[[#This Row],[Championship_step]],"_",Tableau1[[#This Row],[Competition_date]],"_",Tableau1[[#This Row],[Gender]])</f>
        <v>World Championships Budapest 2023_Semi 3_45163_Female</v>
      </c>
      <c r="R1391" t="s">
        <v>104</v>
      </c>
      <c r="S1391" s="1" t="s">
        <v>105</v>
      </c>
      <c r="T1391" t="s">
        <v>157</v>
      </c>
      <c r="U1391" s="1" t="s">
        <v>69</v>
      </c>
      <c r="V1391" s="1">
        <v>45163</v>
      </c>
      <c r="W1391" s="4">
        <f>YEAR(Tableau1[[#This Row],[Competition_date]])</f>
        <v>2023</v>
      </c>
      <c r="X1391" s="4">
        <v>29</v>
      </c>
      <c r="Y1391" s="6">
        <v>0.56000000000000005</v>
      </c>
      <c r="Z1391" s="4"/>
      <c r="AA1391" t="s">
        <v>138</v>
      </c>
    </row>
    <row r="1392" spans="1:27" x14ac:dyDescent="0.35">
      <c r="A1392" t="str">
        <f>_xlfn.CONCAT(Tableau1[[#This Row],[Athletes]],"_",Tableau1[[#This Row],[Nationality]],"_",Tableau1[[#This Row],[Competition_year]])</f>
        <v>Keely HODGKINSON_GBR_2021</v>
      </c>
      <c r="B1392" t="s">
        <v>212</v>
      </c>
      <c r="C1392" s="9" t="s">
        <v>29</v>
      </c>
      <c r="D1392" s="18" t="s">
        <v>30</v>
      </c>
      <c r="E1392">
        <v>14</v>
      </c>
      <c r="F1392">
        <v>13.7</v>
      </c>
      <c r="G1392">
        <v>15.500000000000004</v>
      </c>
      <c r="H1392">
        <v>15.199999999999996</v>
      </c>
      <c r="I1392">
        <v>15.199999999999996</v>
      </c>
      <c r="J1392">
        <v>14</v>
      </c>
      <c r="K1392">
        <v>14.100000000000009</v>
      </c>
      <c r="L1392">
        <f>Tableau1[[#This Row],[Final_time]]-SUM(Tableau1[[#This Row],[0_100m]:[600_700m]])</f>
        <v>14.179999999999993</v>
      </c>
      <c r="M1392">
        <v>115.88</v>
      </c>
      <c r="N1392">
        <f>SUM(Tableau1[[#This Row],[0_100m]:[700_800m]])</f>
        <v>115.88</v>
      </c>
      <c r="O1392">
        <f>ABS(Tableau1[[#This Row],[Final_time]]-Tableau1[[#This Row],[Sum_time]])</f>
        <v>0</v>
      </c>
      <c r="P1392" s="8"/>
      <c r="Q1392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2" t="s">
        <v>420</v>
      </c>
      <c r="S1392" s="1" t="s">
        <v>136</v>
      </c>
      <c r="T1392" t="s">
        <v>149</v>
      </c>
      <c r="U1392" s="1" t="s">
        <v>69</v>
      </c>
      <c r="V1392" s="1">
        <v>44411</v>
      </c>
      <c r="W1392" s="4">
        <f>YEAR(Tableau1[[#This Row],[Competition_date]])</f>
        <v>2021</v>
      </c>
      <c r="X1392" s="4"/>
      <c r="Y1392" s="6"/>
      <c r="Z1392" s="4"/>
      <c r="AA1392" t="s">
        <v>462</v>
      </c>
    </row>
    <row r="1393" spans="1:27" x14ac:dyDescent="0.35">
      <c r="A1393" t="str">
        <f>_xlfn.CONCAT(Tableau1[[#This Row],[Athletes]],"_",Tableau1[[#This Row],[Nationality]],"_",Tableau1[[#This Row],[Competition_year]])</f>
        <v>Raevyn ROGERS_USA_2021</v>
      </c>
      <c r="B1393" t="s">
        <v>221</v>
      </c>
      <c r="C1393" s="9" t="s">
        <v>29</v>
      </c>
      <c r="D1393" s="18" t="s">
        <v>35</v>
      </c>
      <c r="E1393">
        <v>14.1</v>
      </c>
      <c r="F1393">
        <v>13.799999999999999</v>
      </c>
      <c r="G1393">
        <v>15.700000000000003</v>
      </c>
      <c r="H1393">
        <v>15.299999999999997</v>
      </c>
      <c r="I1393">
        <v>15.000000000000007</v>
      </c>
      <c r="J1393">
        <v>14.299999999999997</v>
      </c>
      <c r="K1393">
        <v>14.599999999999994</v>
      </c>
      <c r="L1393">
        <f>Tableau1[[#This Row],[Final_time]]-SUM(Tableau1[[#This Row],[0_100m]:[600_700m]])</f>
        <v>14.010000000000005</v>
      </c>
      <c r="M1393">
        <v>116.81</v>
      </c>
      <c r="N1393">
        <f>SUM(Tableau1[[#This Row],[0_100m]:[700_800m]])</f>
        <v>116.81</v>
      </c>
      <c r="O1393">
        <f>ABS(Tableau1[[#This Row],[Final_time]]-Tableau1[[#This Row],[Sum_time]])</f>
        <v>0</v>
      </c>
      <c r="P1393" s="8"/>
      <c r="Q1393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3" t="s">
        <v>420</v>
      </c>
      <c r="S1393" s="1" t="s">
        <v>136</v>
      </c>
      <c r="T1393" t="s">
        <v>149</v>
      </c>
      <c r="U1393" s="1" t="s">
        <v>69</v>
      </c>
      <c r="V1393" s="1">
        <v>44411</v>
      </c>
      <c r="W1393" s="4">
        <f>YEAR(Tableau1[[#This Row],[Competition_date]])</f>
        <v>2021</v>
      </c>
      <c r="X1393" s="4"/>
      <c r="Y1393" s="6"/>
      <c r="Z1393" s="4"/>
      <c r="AA1393" t="s">
        <v>462</v>
      </c>
    </row>
    <row r="1394" spans="1:27" x14ac:dyDescent="0.35">
      <c r="A1394" t="str">
        <f>_xlfn.CONCAT(Tableau1[[#This Row],[Athletes]],"_",Tableau1[[#This Row],[Nationality]],"_",Tableau1[[#This Row],[Competition_year]])</f>
        <v>Jemma REEKIE_GBR_2021</v>
      </c>
      <c r="B1394" t="s">
        <v>220</v>
      </c>
      <c r="C1394" s="9" t="s">
        <v>29</v>
      </c>
      <c r="D1394" s="18" t="s">
        <v>30</v>
      </c>
      <c r="E1394">
        <v>13.7</v>
      </c>
      <c r="F1394">
        <v>14</v>
      </c>
      <c r="G1394">
        <v>15.400000000000002</v>
      </c>
      <c r="H1394">
        <v>15.199999999999996</v>
      </c>
      <c r="I1394">
        <v>15.100000000000009</v>
      </c>
      <c r="J1394">
        <v>14</v>
      </c>
      <c r="K1394">
        <v>14.199999999999989</v>
      </c>
      <c r="L1394">
        <f>Tableau1[[#This Row],[Final_time]]-SUM(Tableau1[[#This Row],[0_100m]:[600_700m]])</f>
        <v>15.300000000000011</v>
      </c>
      <c r="M1394">
        <v>116.9</v>
      </c>
      <c r="N1394">
        <f>SUM(Tableau1[[#This Row],[0_100m]:[700_800m]])</f>
        <v>116.9</v>
      </c>
      <c r="O1394">
        <f>ABS(Tableau1[[#This Row],[Final_time]]-Tableau1[[#This Row],[Sum_time]])</f>
        <v>0</v>
      </c>
      <c r="P1394" s="8"/>
      <c r="Q1394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4" t="s">
        <v>420</v>
      </c>
      <c r="S1394" s="1" t="s">
        <v>136</v>
      </c>
      <c r="T1394" t="s">
        <v>149</v>
      </c>
      <c r="U1394" s="1" t="s">
        <v>69</v>
      </c>
      <c r="V1394" s="1">
        <v>44411</v>
      </c>
      <c r="W1394" s="4">
        <f>YEAR(Tableau1[[#This Row],[Competition_date]])</f>
        <v>2021</v>
      </c>
      <c r="X1394" s="4"/>
      <c r="Y1394" s="6"/>
      <c r="Z1394" s="4"/>
      <c r="AA1394" t="s">
        <v>462</v>
      </c>
    </row>
    <row r="1395" spans="1:27" x14ac:dyDescent="0.35">
      <c r="A1395" t="str">
        <f>_xlfn.CONCAT(Tableau1[[#This Row],[Athletes]],"_",Tableau1[[#This Row],[Nationality]],"_",Tableau1[[#This Row],[Competition_year]])</f>
        <v>Chunyu WANG_CHN_2021</v>
      </c>
      <c r="B1395" t="s">
        <v>457</v>
      </c>
      <c r="C1395" s="9" t="s">
        <v>29</v>
      </c>
      <c r="D1395" s="18" t="s">
        <v>64</v>
      </c>
      <c r="E1395">
        <v>13.8</v>
      </c>
      <c r="F1395">
        <v>13.8</v>
      </c>
      <c r="G1395">
        <v>15.399999999999999</v>
      </c>
      <c r="H1395">
        <v>15.200000000000003</v>
      </c>
      <c r="I1395">
        <v>15.200000000000003</v>
      </c>
      <c r="J1395">
        <v>14.699999999999989</v>
      </c>
      <c r="K1395">
        <v>14.400000000000006</v>
      </c>
      <c r="L1395">
        <f>Tableau1[[#This Row],[Final_time]]-SUM(Tableau1[[#This Row],[0_100m]:[600_700m]])</f>
        <v>14.5</v>
      </c>
      <c r="M1395">
        <v>117</v>
      </c>
      <c r="N1395">
        <f>SUM(Tableau1[[#This Row],[0_100m]:[700_800m]])</f>
        <v>117</v>
      </c>
      <c r="O1395">
        <f>ABS(Tableau1[[#This Row],[Final_time]]-Tableau1[[#This Row],[Sum_time]])</f>
        <v>0</v>
      </c>
      <c r="P1395" s="8"/>
      <c r="Q1395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5" t="s">
        <v>420</v>
      </c>
      <c r="S1395" s="1" t="s">
        <v>136</v>
      </c>
      <c r="T1395" t="s">
        <v>149</v>
      </c>
      <c r="U1395" s="1" t="s">
        <v>69</v>
      </c>
      <c r="V1395" s="1">
        <v>44411</v>
      </c>
      <c r="W1395" s="4">
        <f>YEAR(Tableau1[[#This Row],[Competition_date]])</f>
        <v>2021</v>
      </c>
      <c r="X1395" s="4"/>
      <c r="Y1395" s="6"/>
      <c r="Z1395" s="4"/>
      <c r="AA1395" t="s">
        <v>462</v>
      </c>
    </row>
    <row r="1396" spans="1:27" x14ac:dyDescent="0.35">
      <c r="A1396" t="str">
        <f>_xlfn.CONCAT(Tableau1[[#This Row],[Athletes]],"_",Tableau1[[#This Row],[Nationality]],"_",Tableau1[[#This Row],[Competition_year]])</f>
        <v>Habitam ALEMU_ETH_2021</v>
      </c>
      <c r="B1396" t="s">
        <v>223</v>
      </c>
      <c r="C1396" s="9" t="s">
        <v>29</v>
      </c>
      <c r="D1396" s="18" t="s">
        <v>49</v>
      </c>
      <c r="E1396">
        <v>14.1</v>
      </c>
      <c r="F1396">
        <v>13.500000000000002</v>
      </c>
      <c r="G1396">
        <v>15.399999999999999</v>
      </c>
      <c r="H1396">
        <v>15.100000000000001</v>
      </c>
      <c r="I1396">
        <v>15.100000000000001</v>
      </c>
      <c r="J1396">
        <v>14.200000000000003</v>
      </c>
      <c r="K1396">
        <v>14.699999999999989</v>
      </c>
      <c r="L1396">
        <f>Tableau1[[#This Row],[Final_time]]-SUM(Tableau1[[#This Row],[0_100m]:[600_700m]])</f>
        <v>15.460000000000008</v>
      </c>
      <c r="M1396">
        <v>117.56</v>
      </c>
      <c r="N1396">
        <f>SUM(Tableau1[[#This Row],[0_100m]:[700_800m]])</f>
        <v>117.56</v>
      </c>
      <c r="O1396">
        <f>ABS(Tableau1[[#This Row],[Final_time]]-Tableau1[[#This Row],[Sum_time]])</f>
        <v>0</v>
      </c>
      <c r="P1396" s="8"/>
      <c r="Q1396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6" t="s">
        <v>420</v>
      </c>
      <c r="S1396" s="1" t="s">
        <v>136</v>
      </c>
      <c r="T1396" t="s">
        <v>149</v>
      </c>
      <c r="U1396" s="1" t="s">
        <v>69</v>
      </c>
      <c r="V1396" s="1">
        <v>44411</v>
      </c>
      <c r="W1396" s="4">
        <f>YEAR(Tableau1[[#This Row],[Competition_date]])</f>
        <v>2021</v>
      </c>
      <c r="X1396" s="4"/>
      <c r="Y1396" s="6"/>
      <c r="Z1396" s="4"/>
      <c r="AA1396" t="s">
        <v>462</v>
      </c>
    </row>
    <row r="1397" spans="1:27" x14ac:dyDescent="0.35">
      <c r="A1397" t="str">
        <f>_xlfn.CONCAT(Tableau1[[#This Row],[Athletes]],"_",Tableau1[[#This Row],[Nationality]],"_",Tableau1[[#This Row],[Competition_year]])</f>
        <v>Alexandra BELL_GBR_2021</v>
      </c>
      <c r="B1397" t="s">
        <v>268</v>
      </c>
      <c r="C1397" s="9" t="s">
        <v>29</v>
      </c>
      <c r="D1397" s="18" t="s">
        <v>30</v>
      </c>
      <c r="E1397">
        <v>14</v>
      </c>
      <c r="F1397">
        <v>13.899999999999999</v>
      </c>
      <c r="G1397">
        <v>15.5</v>
      </c>
      <c r="H1397">
        <v>15.100000000000001</v>
      </c>
      <c r="I1397">
        <v>15.200000000000003</v>
      </c>
      <c r="J1397">
        <v>14.599999999999994</v>
      </c>
      <c r="K1397">
        <v>14.700000000000003</v>
      </c>
      <c r="L1397">
        <f>Tableau1[[#This Row],[Final_time]]-SUM(Tableau1[[#This Row],[0_100m]:[600_700m]])</f>
        <v>14.659999999999997</v>
      </c>
      <c r="M1397">
        <v>117.66</v>
      </c>
      <c r="N1397">
        <f>SUM(Tableau1[[#This Row],[0_100m]:[700_800m]])</f>
        <v>117.66</v>
      </c>
      <c r="O1397">
        <f>ABS(Tableau1[[#This Row],[Final_time]]-Tableau1[[#This Row],[Sum_time]])</f>
        <v>0</v>
      </c>
      <c r="P1397" s="8"/>
      <c r="Q1397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7" t="s">
        <v>420</v>
      </c>
      <c r="S1397" s="1" t="s">
        <v>136</v>
      </c>
      <c r="T1397" t="s">
        <v>149</v>
      </c>
      <c r="U1397" s="1" t="s">
        <v>69</v>
      </c>
      <c r="V1397" s="1">
        <v>44411</v>
      </c>
      <c r="W1397" s="4">
        <f>YEAR(Tableau1[[#This Row],[Competition_date]])</f>
        <v>2021</v>
      </c>
      <c r="X1397" s="4"/>
      <c r="Y1397" s="6"/>
      <c r="Z1397" s="4"/>
      <c r="AA1397" t="s">
        <v>462</v>
      </c>
    </row>
    <row r="1398" spans="1:27" x14ac:dyDescent="0.35">
      <c r="A1398" t="str">
        <f>_xlfn.CONCAT(Tableau1[[#This Row],[Athletes]],"_",Tableau1[[#This Row],[Nationality]],"_",Tableau1[[#This Row],[Competition_year]])</f>
        <v>Natoya GOULE-TOPPIN_JAM_2021</v>
      </c>
      <c r="B1398" t="s">
        <v>222</v>
      </c>
      <c r="C1398" s="9" t="s">
        <v>29</v>
      </c>
      <c r="D1398" s="18" t="s">
        <v>33</v>
      </c>
      <c r="E1398">
        <v>13.7</v>
      </c>
      <c r="F1398">
        <v>13.8</v>
      </c>
      <c r="G1398">
        <v>15.299999999999997</v>
      </c>
      <c r="H1398">
        <v>15.200000000000003</v>
      </c>
      <c r="I1398">
        <v>15</v>
      </c>
      <c r="J1398">
        <v>14.299999999999997</v>
      </c>
      <c r="K1398">
        <v>14.700000000000003</v>
      </c>
      <c r="L1398">
        <f>Tableau1[[#This Row],[Final_time]]-SUM(Tableau1[[#This Row],[0_100m]:[600_700m]])</f>
        <v>16.260000000000005</v>
      </c>
      <c r="M1398">
        <v>118.26</v>
      </c>
      <c r="N1398">
        <f>SUM(Tableau1[[#This Row],[0_100m]:[700_800m]])</f>
        <v>118.26</v>
      </c>
      <c r="O1398">
        <f>ABS(Tableau1[[#This Row],[Final_time]]-Tableau1[[#This Row],[Sum_time]])</f>
        <v>0</v>
      </c>
      <c r="P1398" s="8"/>
      <c r="Q1398" s="16" t="str">
        <f>_xlfn.CONCAT(Tableau1[[#This Row],[Competition]],"_",Tableau1[[#This Row],[Championship_step]],"_",Tableau1[[#This Row],[Competition_date]],"_",Tableau1[[#This Row],[Gender]])</f>
        <v>Olympic Games Tokyo 2021_Final_44411_Female</v>
      </c>
      <c r="R1398" t="s">
        <v>420</v>
      </c>
      <c r="S1398" s="1" t="s">
        <v>136</v>
      </c>
      <c r="T1398" t="s">
        <v>149</v>
      </c>
      <c r="U1398" s="1" t="s">
        <v>69</v>
      </c>
      <c r="V1398" s="1">
        <v>44411</v>
      </c>
      <c r="W1398" s="4">
        <f>YEAR(Tableau1[[#This Row],[Competition_date]])</f>
        <v>2021</v>
      </c>
      <c r="X1398" s="4"/>
      <c r="Y1398" s="6"/>
      <c r="Z1398" s="4"/>
      <c r="AA1398" t="s">
        <v>462</v>
      </c>
    </row>
    <row r="1399" spans="1:27" hidden="1" x14ac:dyDescent="0.35">
      <c r="A1399" t="str">
        <f>_xlfn.CONCAT(Tableau1[[#This Row],[Athletes]],"_",Tableau1[[#This Row],[Nationality]],"_",Tableau1[[#This Row],[Competition_year]])</f>
        <v>Sobhan AHMADI_IRI_2024</v>
      </c>
      <c r="B1399" t="s">
        <v>1237</v>
      </c>
      <c r="C1399" t="s">
        <v>14</v>
      </c>
      <c r="D1399" s="18" t="s">
        <v>56</v>
      </c>
      <c r="E1399">
        <v>13.7</v>
      </c>
      <c r="F1399">
        <v>13.7</v>
      </c>
      <c r="G1399">
        <v>13.8</v>
      </c>
      <c r="H1399">
        <v>13.3</v>
      </c>
      <c r="I1399">
        <v>13.3</v>
      </c>
      <c r="J1399">
        <v>13.7</v>
      </c>
      <c r="K1399">
        <v>13.7</v>
      </c>
      <c r="L1399">
        <f>Tableau1[[#This Row],[Final_time]]-SUM(Tableau1[[#This Row],[0_100m]:[600_700m]])</f>
        <v>13.719999999999999</v>
      </c>
      <c r="M1399">
        <v>108.92</v>
      </c>
      <c r="N1399">
        <f>SUM(Tableau1[[#This Row],[0_100m]:[700_800m]])</f>
        <v>108.92</v>
      </c>
      <c r="O1399">
        <f>ABS(Tableau1[[#This Row],[Final_time]]-Tableau1[[#This Row],[Sum_time]])</f>
        <v>0</v>
      </c>
      <c r="P1399" s="8"/>
      <c r="Q1399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399" t="s">
        <v>54</v>
      </c>
      <c r="S1399" s="1" t="s">
        <v>136</v>
      </c>
      <c r="T1399" t="s">
        <v>149</v>
      </c>
      <c r="U1399" s="1" t="s">
        <v>288</v>
      </c>
      <c r="V1399" s="1">
        <v>45422</v>
      </c>
      <c r="W1399" s="4">
        <f>YEAR(Tableau1[[#This Row],[Competition_date]])</f>
        <v>2024</v>
      </c>
      <c r="X1399" s="4">
        <v>32</v>
      </c>
      <c r="Y1399" s="6">
        <v>0.18</v>
      </c>
      <c r="Z1399" s="4" t="s">
        <v>79</v>
      </c>
      <c r="AA1399" t="s">
        <v>55</v>
      </c>
    </row>
    <row r="1400" spans="1:27" hidden="1" x14ac:dyDescent="0.35">
      <c r="A1400" t="str">
        <f>_xlfn.CONCAT(Tableau1[[#This Row],[Athletes]],"_",Tableau1[[#This Row],[Nationality]],"_",Tableau1[[#This Row],[Competition_year]])</f>
        <v>Zakaria AL ALHLAMI_QAT_2024</v>
      </c>
      <c r="B1400" t="s">
        <v>1328</v>
      </c>
      <c r="C1400" t="s">
        <v>14</v>
      </c>
      <c r="D1400" s="18" t="s">
        <v>57</v>
      </c>
      <c r="E1400">
        <v>14.2</v>
      </c>
      <c r="F1400">
        <v>13.5</v>
      </c>
      <c r="G1400">
        <v>14</v>
      </c>
      <c r="H1400">
        <v>13.1</v>
      </c>
      <c r="I1400">
        <v>13.3</v>
      </c>
      <c r="J1400">
        <v>13.7</v>
      </c>
      <c r="K1400">
        <v>13.9</v>
      </c>
      <c r="L1400">
        <f>Tableau1[[#This Row],[Final_time]]-SUM(Tableau1[[#This Row],[0_100m]:[600_700m]])</f>
        <v>14.279999999999987</v>
      </c>
      <c r="M1400">
        <v>109.98</v>
      </c>
      <c r="N1400">
        <f>SUM(Tableau1[[#This Row],[0_100m]:[700_800m]])</f>
        <v>109.98</v>
      </c>
      <c r="O1400">
        <f>ABS(Tableau1[[#This Row],[Final_time]]-Tableau1[[#This Row],[Sum_time]])</f>
        <v>0</v>
      </c>
      <c r="P1400" s="8"/>
      <c r="Q1400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0" t="s">
        <v>54</v>
      </c>
      <c r="S1400" s="1" t="s">
        <v>136</v>
      </c>
      <c r="T1400" t="s">
        <v>149</v>
      </c>
      <c r="U1400" s="1" t="s">
        <v>288</v>
      </c>
      <c r="V1400" s="1">
        <v>45422</v>
      </c>
      <c r="W1400" s="4">
        <f>YEAR(Tableau1[[#This Row],[Competition_date]])</f>
        <v>2024</v>
      </c>
      <c r="X1400" s="4">
        <v>32</v>
      </c>
      <c r="Y1400" s="6">
        <v>0.18</v>
      </c>
      <c r="Z1400" s="4" t="s">
        <v>79</v>
      </c>
      <c r="AA1400" t="s">
        <v>55</v>
      </c>
    </row>
    <row r="1401" spans="1:27" hidden="1" x14ac:dyDescent="0.35">
      <c r="A1401" t="str">
        <f>_xlfn.CONCAT(Tableau1[[#This Row],[Athletes]],"_",Tableau1[[#This Row],[Nationality]],"_",Tableau1[[#This Row],[Competition_year]])</f>
        <v>Noureddine Adel MERZAH_IRQ_2024</v>
      </c>
      <c r="B1401" t="s">
        <v>1113</v>
      </c>
      <c r="C1401" t="s">
        <v>14</v>
      </c>
      <c r="D1401" s="18" t="s">
        <v>58</v>
      </c>
      <c r="E1401">
        <v>13.6</v>
      </c>
      <c r="F1401">
        <v>14</v>
      </c>
      <c r="G1401">
        <v>14.1</v>
      </c>
      <c r="H1401">
        <v>13.5</v>
      </c>
      <c r="I1401">
        <v>13.4</v>
      </c>
      <c r="J1401">
        <v>14</v>
      </c>
      <c r="K1401">
        <v>14.1</v>
      </c>
      <c r="L1401">
        <f>Tableau1[[#This Row],[Final_time]]-SUM(Tableau1[[#This Row],[0_100m]:[600_700m]])</f>
        <v>13.469999999999999</v>
      </c>
      <c r="M1401">
        <v>110.17</v>
      </c>
      <c r="N1401">
        <f>SUM(Tableau1[[#This Row],[0_100m]:[700_800m]])</f>
        <v>110.17</v>
      </c>
      <c r="O1401">
        <f>ABS(Tableau1[[#This Row],[Final_time]]-Tableau1[[#This Row],[Sum_time]])</f>
        <v>0</v>
      </c>
      <c r="P1401" s="8"/>
      <c r="Q1401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1" t="s">
        <v>54</v>
      </c>
      <c r="S1401" s="1" t="s">
        <v>136</v>
      </c>
      <c r="T1401" t="s">
        <v>149</v>
      </c>
      <c r="U1401" s="1" t="s">
        <v>288</v>
      </c>
      <c r="V1401" s="1">
        <v>45422</v>
      </c>
      <c r="W1401" s="4">
        <f>YEAR(Tableau1[[#This Row],[Competition_date]])</f>
        <v>2024</v>
      </c>
      <c r="X1401" s="4">
        <v>32</v>
      </c>
      <c r="Y1401" s="6">
        <v>0.18</v>
      </c>
      <c r="Z1401" s="4" t="s">
        <v>79</v>
      </c>
      <c r="AA1401" t="s">
        <v>55</v>
      </c>
    </row>
    <row r="1402" spans="1:27" hidden="1" x14ac:dyDescent="0.35">
      <c r="A1402" t="str">
        <f>_xlfn.CONCAT(Tableau1[[#This Row],[Athletes]],"_",Tableau1[[#This Row],[Nationality]],"_",Tableau1[[#This Row],[Competition_year]])</f>
        <v>Sami Masoud AL YAMI_KSA_2024</v>
      </c>
      <c r="B1402" t="s">
        <v>1190</v>
      </c>
      <c r="C1402" t="s">
        <v>14</v>
      </c>
      <c r="D1402" s="18" t="s">
        <v>59</v>
      </c>
      <c r="E1402">
        <v>14.3</v>
      </c>
      <c r="F1402">
        <v>13.5</v>
      </c>
      <c r="G1402">
        <v>14.1</v>
      </c>
      <c r="H1402">
        <v>13.1</v>
      </c>
      <c r="I1402">
        <v>13.3</v>
      </c>
      <c r="J1402">
        <v>13.6</v>
      </c>
      <c r="K1402">
        <v>14.1</v>
      </c>
      <c r="L1402">
        <f>Tableau1[[#This Row],[Final_time]]-SUM(Tableau1[[#This Row],[0_100m]:[600_700m]])</f>
        <v>14.27000000000001</v>
      </c>
      <c r="M1402">
        <v>110.27</v>
      </c>
      <c r="N1402">
        <f>SUM(Tableau1[[#This Row],[0_100m]:[700_800m]])</f>
        <v>110.27</v>
      </c>
      <c r="O1402">
        <f>ABS(Tableau1[[#This Row],[Final_time]]-Tableau1[[#This Row],[Sum_time]])</f>
        <v>0</v>
      </c>
      <c r="P1402" s="8"/>
      <c r="Q1402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2" t="s">
        <v>54</v>
      </c>
      <c r="S1402" s="1" t="s">
        <v>136</v>
      </c>
      <c r="T1402" t="s">
        <v>149</v>
      </c>
      <c r="U1402" s="1" t="s">
        <v>288</v>
      </c>
      <c r="V1402" s="1">
        <v>45422</v>
      </c>
      <c r="W1402" s="4">
        <f>YEAR(Tableau1[[#This Row],[Competition_date]])</f>
        <v>2024</v>
      </c>
      <c r="X1402" s="4">
        <v>32</v>
      </c>
      <c r="Y1402" s="6">
        <v>0.18</v>
      </c>
      <c r="Z1402" s="4" t="s">
        <v>79</v>
      </c>
      <c r="AA1402" t="s">
        <v>55</v>
      </c>
    </row>
    <row r="1403" spans="1:27" hidden="1" x14ac:dyDescent="0.35">
      <c r="A1403" t="str">
        <f>_xlfn.CONCAT(Tableau1[[#This Row],[Athletes]],"_",Tableau1[[#This Row],[Nationality]],"_",Tableau1[[#This Row],[Competition_year]])</f>
        <v>Ihab Jabbar HASHIM_IRQ_2024</v>
      </c>
      <c r="B1403" t="s">
        <v>854</v>
      </c>
      <c r="C1403" t="s">
        <v>14</v>
      </c>
      <c r="D1403" s="18" t="s">
        <v>58</v>
      </c>
      <c r="E1403">
        <v>14.1</v>
      </c>
      <c r="F1403">
        <v>13.8</v>
      </c>
      <c r="G1403">
        <v>14.2</v>
      </c>
      <c r="H1403">
        <v>13.5</v>
      </c>
      <c r="I1403">
        <v>13.5</v>
      </c>
      <c r="J1403">
        <v>13.4</v>
      </c>
      <c r="K1403">
        <v>13.9</v>
      </c>
      <c r="L1403">
        <f>Tableau1[[#This Row],[Final_time]]-SUM(Tableau1[[#This Row],[0_100m]:[600_700m]])</f>
        <v>14.829999999999998</v>
      </c>
      <c r="M1403">
        <v>111.23</v>
      </c>
      <c r="N1403">
        <f>SUM(Tableau1[[#This Row],[0_100m]:[700_800m]])</f>
        <v>111.23</v>
      </c>
      <c r="O1403">
        <f>ABS(Tableau1[[#This Row],[Final_time]]-Tableau1[[#This Row],[Sum_time]])</f>
        <v>0</v>
      </c>
      <c r="P1403" s="8"/>
      <c r="Q1403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3" t="s">
        <v>54</v>
      </c>
      <c r="S1403" s="1" t="s">
        <v>136</v>
      </c>
      <c r="T1403" t="s">
        <v>149</v>
      </c>
      <c r="U1403" s="1" t="s">
        <v>288</v>
      </c>
      <c r="V1403" s="1">
        <v>45422</v>
      </c>
      <c r="W1403" s="4">
        <f>YEAR(Tableau1[[#This Row],[Competition_date]])</f>
        <v>2024</v>
      </c>
      <c r="X1403" s="4">
        <v>32</v>
      </c>
      <c r="Y1403" s="6">
        <v>0.18</v>
      </c>
      <c r="Z1403" s="4" t="s">
        <v>79</v>
      </c>
      <c r="AA1403" t="s">
        <v>55</v>
      </c>
    </row>
    <row r="1404" spans="1:27" hidden="1" x14ac:dyDescent="0.35">
      <c r="A1404" t="str">
        <f>_xlfn.CONCAT(Tableau1[[#This Row],[Athletes]],"_",Tableau1[[#This Row],[Nationality]],"_",Tableau1[[#This Row],[Competition_year]])</f>
        <v>Fayez ALSUBAIE_KSA_2024</v>
      </c>
      <c r="B1404" t="s">
        <v>775</v>
      </c>
      <c r="C1404" t="s">
        <v>14</v>
      </c>
      <c r="D1404" s="18" t="s">
        <v>59</v>
      </c>
      <c r="E1404">
        <v>14</v>
      </c>
      <c r="F1404">
        <v>13.6</v>
      </c>
      <c r="G1404">
        <v>14</v>
      </c>
      <c r="H1404">
        <v>13.1</v>
      </c>
      <c r="I1404">
        <v>13.4</v>
      </c>
      <c r="J1404">
        <v>14.1</v>
      </c>
      <c r="K1404">
        <v>14.2</v>
      </c>
      <c r="L1404">
        <f>Tableau1[[#This Row],[Final_time]]-SUM(Tableau1[[#This Row],[0_100m]:[600_700m]])</f>
        <v>14.939999999999998</v>
      </c>
      <c r="M1404">
        <v>111.34</v>
      </c>
      <c r="N1404">
        <f>SUM(Tableau1[[#This Row],[0_100m]:[700_800m]])</f>
        <v>111.34</v>
      </c>
      <c r="O1404">
        <f>ABS(Tableau1[[#This Row],[Final_time]]-Tableau1[[#This Row],[Sum_time]])</f>
        <v>0</v>
      </c>
      <c r="P1404" s="8"/>
      <c r="Q1404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4" t="s">
        <v>54</v>
      </c>
      <c r="S1404" s="1" t="s">
        <v>136</v>
      </c>
      <c r="T1404" t="s">
        <v>149</v>
      </c>
      <c r="U1404" s="1" t="s">
        <v>288</v>
      </c>
      <c r="V1404" s="1">
        <v>45422</v>
      </c>
      <c r="W1404" s="4">
        <f>YEAR(Tableau1[[#This Row],[Competition_date]])</f>
        <v>2024</v>
      </c>
      <c r="X1404" s="4">
        <v>32</v>
      </c>
      <c r="Y1404" s="6">
        <v>0.18</v>
      </c>
      <c r="Z1404" s="4" t="s">
        <v>79</v>
      </c>
      <c r="AA1404" t="s">
        <v>55</v>
      </c>
    </row>
    <row r="1405" spans="1:27" hidden="1" x14ac:dyDescent="0.35">
      <c r="A1405" t="str">
        <f>_xlfn.CONCAT(Tableau1[[#This Row],[Athletes]],"_",Tableau1[[#This Row],[Nationality]],"_",Tableau1[[#This Row],[Competition_year]])</f>
        <v>Mubarak AL YAFAEE_YEM_2024</v>
      </c>
      <c r="B1405" t="s">
        <v>1079</v>
      </c>
      <c r="C1405" t="s">
        <v>14</v>
      </c>
      <c r="D1405" s="18" t="s">
        <v>60</v>
      </c>
      <c r="E1405">
        <v>13.7</v>
      </c>
      <c r="F1405">
        <v>14.3</v>
      </c>
      <c r="G1405">
        <v>14.2</v>
      </c>
      <c r="H1405">
        <v>13.6</v>
      </c>
      <c r="I1405">
        <v>13.7</v>
      </c>
      <c r="J1405">
        <v>14.5</v>
      </c>
      <c r="K1405">
        <v>14.6</v>
      </c>
      <c r="L1405">
        <f>Tableau1[[#This Row],[Final_time]]-SUM(Tableau1[[#This Row],[0_100m]:[600_700m]])</f>
        <v>15.450000000000003</v>
      </c>
      <c r="M1405">
        <v>114.05</v>
      </c>
      <c r="N1405">
        <f>SUM(Tableau1[[#This Row],[0_100m]:[700_800m]])</f>
        <v>114.05</v>
      </c>
      <c r="O1405">
        <f>ABS(Tableau1[[#This Row],[Final_time]]-Tableau1[[#This Row],[Sum_time]])</f>
        <v>0</v>
      </c>
      <c r="P1405" s="8"/>
      <c r="Q1405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5" t="s">
        <v>54</v>
      </c>
      <c r="S1405" s="1" t="s">
        <v>136</v>
      </c>
      <c r="T1405" t="s">
        <v>149</v>
      </c>
      <c r="U1405" s="1" t="s">
        <v>288</v>
      </c>
      <c r="V1405" s="1">
        <v>45422</v>
      </c>
      <c r="W1405" s="4">
        <f>YEAR(Tableau1[[#This Row],[Competition_date]])</f>
        <v>2024</v>
      </c>
      <c r="X1405" s="4">
        <v>32</v>
      </c>
      <c r="Y1405" s="6">
        <v>0.18</v>
      </c>
      <c r="Z1405" s="4" t="s">
        <v>79</v>
      </c>
      <c r="AA1405" t="s">
        <v>55</v>
      </c>
    </row>
    <row r="1406" spans="1:27" hidden="1" x14ac:dyDescent="0.35">
      <c r="A1406" t="str">
        <f>_xlfn.CONCAT(Tableau1[[#This Row],[Athletes]],"_",Tableau1[[#This Row],[Nationality]],"_",Tableau1[[#This Row],[Competition_year]])</f>
        <v>Mohammed AL-SULEIMANI_OMA_2024</v>
      </c>
      <c r="B1406" t="s">
        <v>404</v>
      </c>
      <c r="C1406" t="s">
        <v>14</v>
      </c>
      <c r="D1406" s="18" t="s">
        <v>61</v>
      </c>
      <c r="E1406">
        <v>13.7</v>
      </c>
      <c r="F1406">
        <v>14.1</v>
      </c>
      <c r="G1406">
        <v>14.1</v>
      </c>
      <c r="H1406">
        <v>13.5</v>
      </c>
      <c r="I1406">
        <v>13.5</v>
      </c>
      <c r="J1406">
        <v>14.1</v>
      </c>
      <c r="K1406">
        <v>15.4</v>
      </c>
      <c r="L1406">
        <f>Tableau1[[#This Row],[Final_time]]-SUM(Tableau1[[#This Row],[0_100m]:[600_700m]])</f>
        <v>15.989999999999995</v>
      </c>
      <c r="M1406">
        <v>114.39</v>
      </c>
      <c r="N1406">
        <f>SUM(Tableau1[[#This Row],[0_100m]:[700_800m]])</f>
        <v>114.39</v>
      </c>
      <c r="O1406">
        <f>ABS(Tableau1[[#This Row],[Final_time]]-Tableau1[[#This Row],[Sum_time]])</f>
        <v>0</v>
      </c>
      <c r="P1406" s="8"/>
      <c r="Q1406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6" t="s">
        <v>54</v>
      </c>
      <c r="S1406" s="1" t="s">
        <v>136</v>
      </c>
      <c r="T1406" t="s">
        <v>149</v>
      </c>
      <c r="U1406" s="1" t="s">
        <v>288</v>
      </c>
      <c r="V1406" s="1">
        <v>45422</v>
      </c>
      <c r="W1406" s="4">
        <f>YEAR(Tableau1[[#This Row],[Competition_date]])</f>
        <v>2024</v>
      </c>
      <c r="X1406" s="4">
        <v>32</v>
      </c>
      <c r="Y1406" s="6">
        <v>0.18</v>
      </c>
      <c r="Z1406" s="4" t="s">
        <v>79</v>
      </c>
      <c r="AA1406" t="s">
        <v>55</v>
      </c>
    </row>
    <row r="1407" spans="1:27" hidden="1" x14ac:dyDescent="0.35">
      <c r="A1407" t="str">
        <f>_xlfn.CONCAT(Tableau1[[#This Row],[Athletes]],"_",Tableau1[[#This Row],[Nationality]],"_",Tableau1[[#This Row],[Competition_year]])</f>
        <v>Samer AL-YAFAEE_YEM_2024</v>
      </c>
      <c r="B1407" t="s">
        <v>1189</v>
      </c>
      <c r="C1407" t="s">
        <v>14</v>
      </c>
      <c r="D1407" s="18" t="s">
        <v>60</v>
      </c>
      <c r="E1407">
        <v>14</v>
      </c>
      <c r="F1407">
        <v>14.2</v>
      </c>
      <c r="G1407">
        <v>14.2</v>
      </c>
      <c r="H1407">
        <v>14.3</v>
      </c>
      <c r="I1407">
        <v>15.4</v>
      </c>
      <c r="J1407">
        <v>16.600000000000001</v>
      </c>
      <c r="K1407">
        <v>16.3</v>
      </c>
      <c r="L1407">
        <f>Tableau1[[#This Row],[Final_time]]-SUM(Tableau1[[#This Row],[0_100m]:[600_700m]])</f>
        <v>15.719999999999985</v>
      </c>
      <c r="M1407">
        <v>120.72</v>
      </c>
      <c r="N1407">
        <f>SUM(Tableau1[[#This Row],[0_100m]:[700_800m]])</f>
        <v>120.72</v>
      </c>
      <c r="O1407">
        <f>ABS(Tableau1[[#This Row],[Final_time]]-Tableau1[[#This Row],[Sum_time]])</f>
        <v>0</v>
      </c>
      <c r="P1407" s="8"/>
      <c r="Q1407" s="16" t="str">
        <f>_xlfn.CONCAT(Tableau1[[#This Row],[Competition]],"_",Tableau1[[#This Row],[Championship_step]],"_",Tableau1[[#This Row],[Competition_date]],"_",Tableau1[[#This Row],[Gender]])</f>
        <v>Diamond League Doha 2024 - West Asian Championships_Final_45422_Male</v>
      </c>
      <c r="R1407" t="s">
        <v>54</v>
      </c>
      <c r="S1407" s="1" t="s">
        <v>136</v>
      </c>
      <c r="T1407" t="s">
        <v>149</v>
      </c>
      <c r="U1407" s="1" t="s">
        <v>288</v>
      </c>
      <c r="V1407" s="1">
        <v>45422</v>
      </c>
      <c r="W1407" s="4">
        <f>YEAR(Tableau1[[#This Row],[Competition_date]])</f>
        <v>2024</v>
      </c>
      <c r="X1407" s="4">
        <v>32</v>
      </c>
      <c r="Y1407" s="6">
        <v>0.18</v>
      </c>
      <c r="Z1407" s="4" t="s">
        <v>79</v>
      </c>
      <c r="AA1407" t="s">
        <v>55</v>
      </c>
    </row>
    <row r="1408" spans="1:27" hidden="1" x14ac:dyDescent="0.35">
      <c r="A1408" t="str">
        <f>_xlfn.CONCAT(Tableau1[[#This Row],[Athletes]],"_",Tableau1[[#This Row],[Nationality]],"_",Tableau1[[#This Row],[Competition_year]])</f>
        <v>Emmanuel Kipkurui KORIR_KEN_2022</v>
      </c>
      <c r="B1408" t="s">
        <v>201</v>
      </c>
      <c r="C1408" t="s">
        <v>14</v>
      </c>
      <c r="D1408" s="18" t="s">
        <v>15</v>
      </c>
      <c r="E1408">
        <v>13.65</v>
      </c>
      <c r="F1408">
        <v>13.13</v>
      </c>
      <c r="G1408">
        <v>15.11</v>
      </c>
      <c r="H1408">
        <v>15.11</v>
      </c>
      <c r="I1408">
        <v>14</v>
      </c>
      <c r="J1408">
        <v>12.67</v>
      </c>
      <c r="K1408">
        <v>12.67</v>
      </c>
      <c r="L1408">
        <f>Tableau1[[#This Row],[Final_time]]-SUM(Tableau1[[#This Row],[0_100m]:[600_700m]])</f>
        <v>12.709999999999994</v>
      </c>
      <c r="M1408">
        <v>109.05</v>
      </c>
      <c r="N1408">
        <f>SUM(Tableau1[[#This Row],[0_100m]:[700_800m]])</f>
        <v>109.05</v>
      </c>
      <c r="O1408">
        <f>ABS(Tableau1[[#This Row],[Final_time]]-Tableau1[[#This Row],[Sum_time]])</f>
        <v>0</v>
      </c>
      <c r="P1408" s="8" t="s">
        <v>141</v>
      </c>
      <c r="Q1408" s="16" t="str">
        <f>_xlfn.CONCAT(Tableau1[[#This Row],[Competition]],"_",Tableau1[[#This Row],[Championship_step]],"_",Tableau1[[#This Row],[Competition_date]],"_",Tableau1[[#This Row],[Gender]])</f>
        <v>World Championships Eugene 2022_Heat 1_44762_Male</v>
      </c>
      <c r="R1408" t="s">
        <v>143</v>
      </c>
      <c r="S1408" s="1" t="s">
        <v>114</v>
      </c>
      <c r="T1408" t="s">
        <v>148</v>
      </c>
      <c r="U1408" s="1" t="s">
        <v>69</v>
      </c>
      <c r="V1408" s="1">
        <v>44762</v>
      </c>
      <c r="W1408" s="4">
        <f>YEAR(Tableau1[[#This Row],[Competition_date]])</f>
        <v>2022</v>
      </c>
      <c r="X1408" s="4">
        <v>33</v>
      </c>
      <c r="Y1408" s="6">
        <v>0.34</v>
      </c>
      <c r="Z1408" s="4"/>
      <c r="AA1408" t="s">
        <v>144</v>
      </c>
    </row>
    <row r="1409" spans="1:27" hidden="1" x14ac:dyDescent="0.35">
      <c r="A1409" t="str">
        <f>_xlfn.CONCAT(Tableau1[[#This Row],[Athletes]],"_",Tableau1[[#This Row],[Nationality]],"_",Tableau1[[#This Row],[Competition_year]])</f>
        <v>Elhassane MOUJAHID_MAR_2022</v>
      </c>
      <c r="B1409" t="s">
        <v>236</v>
      </c>
      <c r="C1409" t="s">
        <v>14</v>
      </c>
      <c r="D1409" s="18" t="s">
        <v>21</v>
      </c>
      <c r="E1409">
        <v>13.64</v>
      </c>
      <c r="F1409">
        <v>13.31</v>
      </c>
      <c r="G1409">
        <v>15.06</v>
      </c>
      <c r="H1409">
        <v>15.21</v>
      </c>
      <c r="I1409">
        <v>13.81</v>
      </c>
      <c r="J1409">
        <v>12.5</v>
      </c>
      <c r="K1409">
        <v>12.74</v>
      </c>
      <c r="L1409">
        <f>Tableau1[[#This Row],[Final_time]]-SUM(Tableau1[[#This Row],[0_100m]:[600_700m]])</f>
        <v>13</v>
      </c>
      <c r="M1409">
        <v>109.27</v>
      </c>
      <c r="N1409">
        <f>SUM(Tableau1[[#This Row],[0_100m]:[700_800m]])</f>
        <v>109.27</v>
      </c>
      <c r="O1409">
        <f>ABS(Tableau1[[#This Row],[Final_time]]-Tableau1[[#This Row],[Sum_time]])</f>
        <v>0</v>
      </c>
      <c r="P1409" s="8" t="s">
        <v>141</v>
      </c>
      <c r="Q1409" s="16" t="str">
        <f>_xlfn.CONCAT(Tableau1[[#This Row],[Competition]],"_",Tableau1[[#This Row],[Championship_step]],"_",Tableau1[[#This Row],[Competition_date]],"_",Tableau1[[#This Row],[Gender]])</f>
        <v>World Championships Eugene 2022_Heat 1_44762_Male</v>
      </c>
      <c r="R1409" t="s">
        <v>143</v>
      </c>
      <c r="S1409" s="1" t="s">
        <v>114</v>
      </c>
      <c r="T1409" t="s">
        <v>148</v>
      </c>
      <c r="U1409" s="1" t="s">
        <v>69</v>
      </c>
      <c r="V1409" s="1">
        <v>44762</v>
      </c>
      <c r="W1409" s="4">
        <f>YEAR(Tableau1[[#This Row],[Competition_date]])</f>
        <v>2022</v>
      </c>
      <c r="X1409" s="4">
        <v>33</v>
      </c>
      <c r="Y1409" s="6">
        <v>0.34</v>
      </c>
      <c r="Z1409" s="4"/>
      <c r="AA1409" t="s">
        <v>144</v>
      </c>
    </row>
    <row r="1410" spans="1:27" hidden="1" x14ac:dyDescent="0.35">
      <c r="A1410" t="str">
        <f>_xlfn.CONCAT(Tableau1[[#This Row],[Athletes]],"_",Tableau1[[#This Row],[Nationality]],"_",Tableau1[[#This Row],[Competition_year]])</f>
        <v>Álvaro DE ARRIBA_ESP_2022</v>
      </c>
      <c r="B1410" t="s">
        <v>237</v>
      </c>
      <c r="C1410" t="s">
        <v>14</v>
      </c>
      <c r="D1410" s="18" t="s">
        <v>37</v>
      </c>
      <c r="E1410">
        <v>13.58</v>
      </c>
      <c r="F1410">
        <v>13.1</v>
      </c>
      <c r="G1410">
        <v>15.11</v>
      </c>
      <c r="H1410">
        <v>15.29</v>
      </c>
      <c r="I1410">
        <v>13.72</v>
      </c>
      <c r="J1410">
        <v>12.74</v>
      </c>
      <c r="K1410">
        <v>12.86</v>
      </c>
      <c r="L1410">
        <f>Tableau1[[#This Row],[Final_time]]-SUM(Tableau1[[#This Row],[0_100m]:[600_700m]])</f>
        <v>12.900000000000006</v>
      </c>
      <c r="M1410">
        <v>109.3</v>
      </c>
      <c r="N1410">
        <f>SUM(Tableau1[[#This Row],[0_100m]:[700_800m]])</f>
        <v>109.3</v>
      </c>
      <c r="O1410">
        <f>ABS(Tableau1[[#This Row],[Final_time]]-Tableau1[[#This Row],[Sum_time]])</f>
        <v>0</v>
      </c>
      <c r="P1410" s="8" t="s">
        <v>141</v>
      </c>
      <c r="Q1410" s="16" t="str">
        <f>_xlfn.CONCAT(Tableau1[[#This Row],[Competition]],"_",Tableau1[[#This Row],[Championship_step]],"_",Tableau1[[#This Row],[Competition_date]],"_",Tableau1[[#This Row],[Gender]])</f>
        <v>World Championships Eugene 2022_Heat 1_44762_Male</v>
      </c>
      <c r="R1410" t="s">
        <v>143</v>
      </c>
      <c r="S1410" s="1" t="s">
        <v>114</v>
      </c>
      <c r="T1410" t="s">
        <v>148</v>
      </c>
      <c r="U1410" s="1" t="s">
        <v>69</v>
      </c>
      <c r="V1410" s="1">
        <v>44762</v>
      </c>
      <c r="W1410" s="4">
        <f>YEAR(Tableau1[[#This Row],[Competition_date]])</f>
        <v>2022</v>
      </c>
      <c r="X1410" s="4">
        <v>33</v>
      </c>
      <c r="Y1410" s="6">
        <v>0.34</v>
      </c>
      <c r="Z1410" s="4"/>
      <c r="AA1410" t="s">
        <v>144</v>
      </c>
    </row>
    <row r="1411" spans="1:27" hidden="1" x14ac:dyDescent="0.35">
      <c r="A1411" t="str">
        <f>_xlfn.CONCAT(Tableau1[[#This Row],[Athletes]],"_",Tableau1[[#This Row],[Nationality]],"_",Tableau1[[#This Row],[Competition_year]])</f>
        <v>Ermias GIRMA_ETH_2022</v>
      </c>
      <c r="B1411" t="s">
        <v>238</v>
      </c>
      <c r="C1411" t="s">
        <v>14</v>
      </c>
      <c r="D1411" s="18" t="s">
        <v>49</v>
      </c>
      <c r="E1411">
        <v>13.73</v>
      </c>
      <c r="F1411">
        <v>12.87</v>
      </c>
      <c r="G1411">
        <v>15.09</v>
      </c>
      <c r="H1411">
        <v>15.21</v>
      </c>
      <c r="I1411">
        <v>13.9</v>
      </c>
      <c r="J1411">
        <v>12.78</v>
      </c>
      <c r="K1411">
        <v>12.69</v>
      </c>
      <c r="L1411">
        <f>Tableau1[[#This Row],[Final_time]]-SUM(Tableau1[[#This Row],[0_100m]:[600_700m]])</f>
        <v>13.090000000000003</v>
      </c>
      <c r="M1411">
        <v>109.36</v>
      </c>
      <c r="N1411">
        <f>SUM(Tableau1[[#This Row],[0_100m]:[700_800m]])</f>
        <v>109.36</v>
      </c>
      <c r="O1411">
        <f>ABS(Tableau1[[#This Row],[Final_time]]-Tableau1[[#This Row],[Sum_time]])</f>
        <v>0</v>
      </c>
      <c r="P1411" s="8"/>
      <c r="Q1411" s="16" t="str">
        <f>_xlfn.CONCAT(Tableau1[[#This Row],[Competition]],"_",Tableau1[[#This Row],[Championship_step]],"_",Tableau1[[#This Row],[Competition_date]],"_",Tableau1[[#This Row],[Gender]])</f>
        <v>World Championships Eugene 2022_Heat 1_44762_Male</v>
      </c>
      <c r="R1411" t="s">
        <v>143</v>
      </c>
      <c r="S1411" s="1" t="s">
        <v>114</v>
      </c>
      <c r="T1411" t="s">
        <v>148</v>
      </c>
      <c r="U1411" s="1" t="s">
        <v>69</v>
      </c>
      <c r="V1411" s="1">
        <v>44762</v>
      </c>
      <c r="W1411" s="4">
        <f>YEAR(Tableau1[[#This Row],[Competition_date]])</f>
        <v>2022</v>
      </c>
      <c r="X1411" s="4">
        <v>33</v>
      </c>
      <c r="Y1411" s="6">
        <v>0.34</v>
      </c>
      <c r="Z1411" s="4"/>
      <c r="AA1411" t="s">
        <v>144</v>
      </c>
    </row>
    <row r="1412" spans="1:27" hidden="1" x14ac:dyDescent="0.35">
      <c r="A1412" t="str">
        <f>_xlfn.CONCAT(Tableau1[[#This Row],[Athletes]],"_",Tableau1[[#This Row],[Nationality]],"_",Tableau1[[#This Row],[Competition_year]])</f>
        <v>Marc REUTHER_GER_2022</v>
      </c>
      <c r="B1412" t="s">
        <v>239</v>
      </c>
      <c r="C1412" t="s">
        <v>14</v>
      </c>
      <c r="D1412" s="18" t="s">
        <v>139</v>
      </c>
      <c r="E1412">
        <v>13.49</v>
      </c>
      <c r="F1412">
        <v>13.17</v>
      </c>
      <c r="G1412">
        <v>14.97</v>
      </c>
      <c r="H1412">
        <v>15.17</v>
      </c>
      <c r="I1412">
        <v>14.17</v>
      </c>
      <c r="J1412">
        <v>13.17</v>
      </c>
      <c r="K1412">
        <v>12.72</v>
      </c>
      <c r="L1412">
        <f>Tableau1[[#This Row],[Final_time]]-SUM(Tableau1[[#This Row],[0_100m]:[600_700m]])</f>
        <v>13.89</v>
      </c>
      <c r="M1412">
        <v>110.75</v>
      </c>
      <c r="N1412">
        <f>SUM(Tableau1[[#This Row],[0_100m]:[700_800m]])</f>
        <v>110.75</v>
      </c>
      <c r="O1412">
        <f>ABS(Tableau1[[#This Row],[Final_time]]-Tableau1[[#This Row],[Sum_time]])</f>
        <v>0</v>
      </c>
      <c r="P1412" s="8"/>
      <c r="Q1412" s="16" t="str">
        <f>_xlfn.CONCAT(Tableau1[[#This Row],[Competition]],"_",Tableau1[[#This Row],[Championship_step]],"_",Tableau1[[#This Row],[Competition_date]],"_",Tableau1[[#This Row],[Gender]])</f>
        <v>World Championships Eugene 2022_Heat 1_44762_Male</v>
      </c>
      <c r="R1412" t="s">
        <v>143</v>
      </c>
      <c r="S1412" s="1" t="s">
        <v>114</v>
      </c>
      <c r="T1412" t="s">
        <v>148</v>
      </c>
      <c r="U1412" s="1" t="s">
        <v>69</v>
      </c>
      <c r="V1412" s="1">
        <v>44762</v>
      </c>
      <c r="W1412" s="4">
        <f>YEAR(Tableau1[[#This Row],[Competition_date]])</f>
        <v>2022</v>
      </c>
      <c r="X1412" s="4">
        <v>33</v>
      </c>
      <c r="Y1412" s="6">
        <v>0.34</v>
      </c>
      <c r="Z1412" s="4"/>
      <c r="AA1412" t="s">
        <v>144</v>
      </c>
    </row>
    <row r="1413" spans="1:27" hidden="1" x14ac:dyDescent="0.35">
      <c r="A1413" t="str">
        <f>_xlfn.CONCAT(Tableau1[[#This Row],[Athletes]],"_",Tableau1[[#This Row],[Nationality]],"_",Tableau1[[#This Row],[Competition_year]])</f>
        <v>Manuel ATAIDE_TLS_2022</v>
      </c>
      <c r="B1413" t="s">
        <v>1019</v>
      </c>
      <c r="C1413" t="s">
        <v>14</v>
      </c>
      <c r="D1413" s="18" t="s">
        <v>145</v>
      </c>
      <c r="E1413">
        <v>14.47</v>
      </c>
      <c r="F1413">
        <v>12.88</v>
      </c>
      <c r="G1413">
        <v>14.83</v>
      </c>
      <c r="H1413">
        <v>15.32</v>
      </c>
      <c r="I1413">
        <v>14.23</v>
      </c>
      <c r="J1413">
        <v>14.9</v>
      </c>
      <c r="K1413">
        <v>16.100000000000001</v>
      </c>
      <c r="L1413">
        <f>Tableau1[[#This Row],[Final_time]]-SUM(Tableau1[[#This Row],[0_100m]:[600_700m]])</f>
        <v>16.179999999999978</v>
      </c>
      <c r="M1413">
        <v>118.91</v>
      </c>
      <c r="N1413">
        <f>SUM(Tableau1[[#This Row],[0_100m]:[700_800m]])</f>
        <v>118.91</v>
      </c>
      <c r="O1413">
        <f>ABS(Tableau1[[#This Row],[Final_time]]-Tableau1[[#This Row],[Sum_time]])</f>
        <v>0</v>
      </c>
      <c r="P1413" s="8"/>
      <c r="Q1413" s="16" t="str">
        <f>_xlfn.CONCAT(Tableau1[[#This Row],[Competition]],"_",Tableau1[[#This Row],[Championship_step]],"_",Tableau1[[#This Row],[Competition_date]],"_",Tableau1[[#This Row],[Gender]])</f>
        <v>World Championships Eugene 2022_Heat 1_44762_Male</v>
      </c>
      <c r="R1413" t="s">
        <v>143</v>
      </c>
      <c r="S1413" s="1" t="s">
        <v>114</v>
      </c>
      <c r="T1413" t="s">
        <v>148</v>
      </c>
      <c r="U1413" s="1" t="s">
        <v>69</v>
      </c>
      <c r="V1413" s="1">
        <v>44762</v>
      </c>
      <c r="W1413" s="4">
        <f>YEAR(Tableau1[[#This Row],[Competition_date]])</f>
        <v>2022</v>
      </c>
      <c r="X1413" s="4">
        <v>33</v>
      </c>
      <c r="Y1413" s="6">
        <v>0.34</v>
      </c>
      <c r="Z1413" s="4"/>
      <c r="AA1413" t="s">
        <v>144</v>
      </c>
    </row>
    <row r="1414" spans="1:27" hidden="1" x14ac:dyDescent="0.35">
      <c r="A1414" t="str">
        <f>_xlfn.CONCAT(Tableau1[[#This Row],[Athletes]],"_",Tableau1[[#This Row],[Nationality]],"_",Tableau1[[#This Row],[Competition_year]])</f>
        <v>Diribe WELTEJI_ETH_2022</v>
      </c>
      <c r="B1414" t="s">
        <v>255</v>
      </c>
      <c r="C1414" t="s">
        <v>29</v>
      </c>
      <c r="D1414" s="18" t="s">
        <v>49</v>
      </c>
      <c r="E1414">
        <v>14.01</v>
      </c>
      <c r="F1414">
        <v>13.95</v>
      </c>
      <c r="G1414">
        <v>14.79</v>
      </c>
      <c r="H1414">
        <v>14.82</v>
      </c>
      <c r="I1414">
        <v>15.09</v>
      </c>
      <c r="J1414">
        <v>15.08</v>
      </c>
      <c r="K1414">
        <v>15.46</v>
      </c>
      <c r="L1414">
        <f>Tableau1[[#This Row],[Final_time]]-SUM(Tableau1[[#This Row],[0_100m]:[600_700m]])</f>
        <v>15.63000000000001</v>
      </c>
      <c r="M1414">
        <v>118.83</v>
      </c>
      <c r="N1414">
        <f>SUM(Tableau1[[#This Row],[0_100m]:[700_800m]])</f>
        <v>118.83</v>
      </c>
      <c r="O1414">
        <f>ABS(Tableau1[[#This Row],[Final_time]]-Tableau1[[#This Row],[Sum_time]])</f>
        <v>0</v>
      </c>
      <c r="P1414" s="8" t="s">
        <v>141</v>
      </c>
      <c r="Q1414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14" t="s">
        <v>143</v>
      </c>
      <c r="S1414" s="1" t="s">
        <v>114</v>
      </c>
      <c r="T1414" t="s">
        <v>148</v>
      </c>
      <c r="U1414" s="1" t="s">
        <v>69</v>
      </c>
      <c r="V1414" s="1">
        <v>44763</v>
      </c>
      <c r="W1414" s="4">
        <f>YEAR(Tableau1[[#This Row],[Competition_date]])</f>
        <v>2022</v>
      </c>
      <c r="X1414" s="4">
        <v>28</v>
      </c>
      <c r="Y1414" s="6">
        <v>0.51</v>
      </c>
      <c r="Z1414" s="4"/>
      <c r="AA1414" t="s">
        <v>162</v>
      </c>
    </row>
    <row r="1415" spans="1:27" hidden="1" x14ac:dyDescent="0.35">
      <c r="A1415" t="str">
        <f>_xlfn.CONCAT(Tableau1[[#This Row],[Athletes]],"_",Tableau1[[#This Row],[Nationality]],"_",Tableau1[[#This Row],[Competition_year]])</f>
        <v>Jemma REEKIE_GBR_2022</v>
      </c>
      <c r="B1415" t="s">
        <v>220</v>
      </c>
      <c r="C1415" t="s">
        <v>29</v>
      </c>
      <c r="D1415" s="18" t="s">
        <v>30</v>
      </c>
      <c r="E1415">
        <v>13.97</v>
      </c>
      <c r="F1415">
        <v>14.22</v>
      </c>
      <c r="G1415">
        <v>15.09</v>
      </c>
      <c r="H1415">
        <v>15</v>
      </c>
      <c r="I1415">
        <v>15.21</v>
      </c>
      <c r="J1415">
        <v>15.04</v>
      </c>
      <c r="K1415">
        <v>15.15</v>
      </c>
      <c r="L1415">
        <f>Tableau1[[#This Row],[Final_time]]-SUM(Tableau1[[#This Row],[0_100m]:[600_700m]])</f>
        <v>15.409999999999997</v>
      </c>
      <c r="M1415">
        <v>119.09</v>
      </c>
      <c r="N1415">
        <f>SUM(Tableau1[[#This Row],[0_100m]:[700_800m]])</f>
        <v>119.09</v>
      </c>
      <c r="O1415">
        <f>ABS(Tableau1[[#This Row],[Final_time]]-Tableau1[[#This Row],[Sum_time]])</f>
        <v>0</v>
      </c>
      <c r="P1415" s="8" t="s">
        <v>141</v>
      </c>
      <c r="Q1415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15" t="s">
        <v>143</v>
      </c>
      <c r="S1415" s="1" t="s">
        <v>114</v>
      </c>
      <c r="T1415" t="s">
        <v>148</v>
      </c>
      <c r="U1415" s="1" t="s">
        <v>69</v>
      </c>
      <c r="V1415" s="1">
        <v>44763</v>
      </c>
      <c r="W1415" s="4">
        <f>YEAR(Tableau1[[#This Row],[Competition_date]])</f>
        <v>2022</v>
      </c>
      <c r="X1415" s="4">
        <v>28</v>
      </c>
      <c r="Y1415" s="6">
        <v>0.51</v>
      </c>
      <c r="Z1415" s="4"/>
      <c r="AA1415" t="s">
        <v>162</v>
      </c>
    </row>
    <row r="1416" spans="1:27" hidden="1" x14ac:dyDescent="0.35">
      <c r="A1416" t="str">
        <f>_xlfn.CONCAT(Tableau1[[#This Row],[Athletes]],"_",Tableau1[[#This Row],[Nationality]],"_",Tableau1[[#This Row],[Competition_year]])</f>
        <v>Adelle TRACEY_JAM_2022</v>
      </c>
      <c r="B1416" t="s">
        <v>231</v>
      </c>
      <c r="C1416" t="s">
        <v>29</v>
      </c>
      <c r="D1416" s="18" t="s">
        <v>33</v>
      </c>
      <c r="E1416">
        <v>14.39</v>
      </c>
      <c r="F1416">
        <v>13.86</v>
      </c>
      <c r="G1416">
        <v>15.21</v>
      </c>
      <c r="H1416">
        <v>15.1</v>
      </c>
      <c r="I1416">
        <v>15.2</v>
      </c>
      <c r="J1416">
        <v>14.99</v>
      </c>
      <c r="K1416">
        <v>15.15</v>
      </c>
      <c r="L1416">
        <f>Tableau1[[#This Row],[Final_time]]-SUM(Tableau1[[#This Row],[0_100m]:[600_700m]])</f>
        <v>15.299999999999997</v>
      </c>
      <c r="M1416">
        <v>119.2</v>
      </c>
      <c r="N1416">
        <f>SUM(Tableau1[[#This Row],[0_100m]:[700_800m]])</f>
        <v>119.2</v>
      </c>
      <c r="O1416">
        <f>ABS(Tableau1[[#This Row],[Final_time]]-Tableau1[[#This Row],[Sum_time]])</f>
        <v>0</v>
      </c>
      <c r="P1416" s="8" t="s">
        <v>141</v>
      </c>
      <c r="Q1416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16" t="s">
        <v>143</v>
      </c>
      <c r="S1416" s="1" t="s">
        <v>114</v>
      </c>
      <c r="T1416" t="s">
        <v>148</v>
      </c>
      <c r="U1416" s="1" t="s">
        <v>69</v>
      </c>
      <c r="V1416" s="1">
        <v>44763</v>
      </c>
      <c r="W1416" s="4">
        <f>YEAR(Tableau1[[#This Row],[Competition_date]])</f>
        <v>2022</v>
      </c>
      <c r="X1416" s="4">
        <v>28</v>
      </c>
      <c r="Y1416" s="6">
        <v>0.51</v>
      </c>
      <c r="Z1416" s="4"/>
      <c r="AA1416" t="s">
        <v>162</v>
      </c>
    </row>
    <row r="1417" spans="1:27" hidden="1" x14ac:dyDescent="0.35">
      <c r="A1417" t="str">
        <f>_xlfn.CONCAT(Tableau1[[#This Row],[Athletes]],"_",Tableau1[[#This Row],[Nationality]],"_",Tableau1[[#This Row],[Competition_year]])</f>
        <v>Lindsey BUTTERWORTH_CAN_2022</v>
      </c>
      <c r="B1417" t="s">
        <v>256</v>
      </c>
      <c r="C1417" t="s">
        <v>29</v>
      </c>
      <c r="D1417" s="18" t="s">
        <v>19</v>
      </c>
      <c r="E1417">
        <v>14.54</v>
      </c>
      <c r="F1417">
        <v>13.66</v>
      </c>
      <c r="G1417">
        <v>15.27</v>
      </c>
      <c r="H1417">
        <v>15.13</v>
      </c>
      <c r="I1417">
        <v>15.34</v>
      </c>
      <c r="J1417">
        <v>15.15</v>
      </c>
      <c r="K1417">
        <v>15.71</v>
      </c>
      <c r="L1417">
        <f>Tableau1[[#This Row],[Final_time]]-SUM(Tableau1[[#This Row],[0_100m]:[600_700m]])</f>
        <v>16.009999999999991</v>
      </c>
      <c r="M1417">
        <v>120.81</v>
      </c>
      <c r="N1417">
        <f>SUM(Tableau1[[#This Row],[0_100m]:[700_800m]])</f>
        <v>120.81</v>
      </c>
      <c r="O1417">
        <f>ABS(Tableau1[[#This Row],[Final_time]]-Tableau1[[#This Row],[Sum_time]])</f>
        <v>0</v>
      </c>
      <c r="P1417" s="8" t="s">
        <v>142</v>
      </c>
      <c r="Q1417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17" t="s">
        <v>143</v>
      </c>
      <c r="S1417" s="1" t="s">
        <v>114</v>
      </c>
      <c r="T1417" t="s">
        <v>148</v>
      </c>
      <c r="U1417" s="1" t="s">
        <v>69</v>
      </c>
      <c r="V1417" s="1">
        <v>44763</v>
      </c>
      <c r="W1417" s="4">
        <f>YEAR(Tableau1[[#This Row],[Competition_date]])</f>
        <v>2022</v>
      </c>
      <c r="X1417" s="4">
        <v>28</v>
      </c>
      <c r="Y1417" s="6">
        <v>0.51</v>
      </c>
      <c r="Z1417" s="4"/>
      <c r="AA1417" t="s">
        <v>162</v>
      </c>
    </row>
    <row r="1418" spans="1:27" hidden="1" x14ac:dyDescent="0.35">
      <c r="A1418" t="str">
        <f>_xlfn.CONCAT(Tableau1[[#This Row],[Athletes]],"_",Tableau1[[#This Row],[Nationality]],"_",Tableau1[[#This Row],[Competition_year]])</f>
        <v>Jarinter Mawia MWASYA_KEN_2022</v>
      </c>
      <c r="B1418" t="s">
        <v>257</v>
      </c>
      <c r="C1418" t="s">
        <v>29</v>
      </c>
      <c r="D1418" s="18" t="s">
        <v>15</v>
      </c>
      <c r="E1418">
        <v>14.08</v>
      </c>
      <c r="F1418">
        <v>14</v>
      </c>
      <c r="G1418">
        <v>15.15</v>
      </c>
      <c r="H1418">
        <v>14.98</v>
      </c>
      <c r="I1418">
        <v>15.23</v>
      </c>
      <c r="J1418">
        <v>15.39</v>
      </c>
      <c r="K1418">
        <v>16.47</v>
      </c>
      <c r="L1418">
        <f>Tableau1[[#This Row],[Final_time]]-SUM(Tableau1[[#This Row],[0_100m]:[600_700m]])</f>
        <v>17.049999999999997</v>
      </c>
      <c r="M1418">
        <v>122.35</v>
      </c>
      <c r="N1418">
        <f>SUM(Tableau1[[#This Row],[0_100m]:[700_800m]])</f>
        <v>122.35</v>
      </c>
      <c r="O1418">
        <f>ABS(Tableau1[[#This Row],[Final_time]]-Tableau1[[#This Row],[Sum_time]])</f>
        <v>0</v>
      </c>
      <c r="P1418" s="8"/>
      <c r="Q1418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18" t="s">
        <v>143</v>
      </c>
      <c r="S1418" s="1" t="s">
        <v>114</v>
      </c>
      <c r="T1418" t="s">
        <v>148</v>
      </c>
      <c r="U1418" s="1" t="s">
        <v>69</v>
      </c>
      <c r="V1418" s="1">
        <v>44763</v>
      </c>
      <c r="W1418" s="4">
        <f>YEAR(Tableau1[[#This Row],[Competition_date]])</f>
        <v>2022</v>
      </c>
      <c r="X1418" s="4">
        <v>28</v>
      </c>
      <c r="Y1418" s="6">
        <v>0.51</v>
      </c>
      <c r="Z1418" s="4"/>
      <c r="AA1418" t="s">
        <v>162</v>
      </c>
    </row>
    <row r="1419" spans="1:27" hidden="1" x14ac:dyDescent="0.35">
      <c r="A1419" t="str">
        <f>_xlfn.CONCAT(Tableau1[[#This Row],[Athletes]],"_",Tableau1[[#This Row],[Nationality]],"_",Tableau1[[#This Row],[Competition_year]])</f>
        <v>Eveliina MÄÄTTÄNEN_FIN_2022</v>
      </c>
      <c r="B1419" t="s">
        <v>216</v>
      </c>
      <c r="C1419" t="s">
        <v>29</v>
      </c>
      <c r="D1419" s="18" t="s">
        <v>85</v>
      </c>
      <c r="E1419">
        <v>14.49</v>
      </c>
      <c r="F1419">
        <v>13.53</v>
      </c>
      <c r="G1419">
        <v>15.03</v>
      </c>
      <c r="H1419">
        <v>15.05</v>
      </c>
      <c r="I1419">
        <v>15.47</v>
      </c>
      <c r="J1419">
        <v>15.34</v>
      </c>
      <c r="K1419">
        <v>15.9</v>
      </c>
      <c r="L1419">
        <f>Tableau1[[#This Row],[Final_time]]-SUM(Tableau1[[#This Row],[0_100m]:[600_700m]])</f>
        <v>17.870000000000005</v>
      </c>
      <c r="M1419">
        <v>122.68</v>
      </c>
      <c r="N1419">
        <f>SUM(Tableau1[[#This Row],[0_100m]:[700_800m]])</f>
        <v>122.68</v>
      </c>
      <c r="O1419">
        <f>ABS(Tableau1[[#This Row],[Final_time]]-Tableau1[[#This Row],[Sum_time]])</f>
        <v>0</v>
      </c>
      <c r="P1419" s="8"/>
      <c r="Q1419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19" t="s">
        <v>143</v>
      </c>
      <c r="S1419" s="1" t="s">
        <v>114</v>
      </c>
      <c r="T1419" t="s">
        <v>148</v>
      </c>
      <c r="U1419" s="1" t="s">
        <v>69</v>
      </c>
      <c r="V1419" s="1">
        <v>44763</v>
      </c>
      <c r="W1419" s="4">
        <f>YEAR(Tableau1[[#This Row],[Competition_date]])</f>
        <v>2022</v>
      </c>
      <c r="X1419" s="4">
        <v>28</v>
      </c>
      <c r="Y1419" s="6">
        <v>0.51</v>
      </c>
      <c r="Z1419" s="4"/>
      <c r="AA1419" t="s">
        <v>162</v>
      </c>
    </row>
    <row r="1420" spans="1:27" hidden="1" x14ac:dyDescent="0.35">
      <c r="A1420" t="str">
        <f>_xlfn.CONCAT(Tableau1[[#This Row],[Athletes]],"_",Tableau1[[#This Row],[Nationality]],"_",Tableau1[[#This Row],[Competition_year]])</f>
        <v>Déborah RODRÍGUEZ_URU_2022</v>
      </c>
      <c r="B1420" t="s">
        <v>258</v>
      </c>
      <c r="C1420" t="s">
        <v>29</v>
      </c>
      <c r="D1420" s="18" t="s">
        <v>163</v>
      </c>
      <c r="E1420">
        <v>14.18</v>
      </c>
      <c r="F1420">
        <v>14.17</v>
      </c>
      <c r="G1420">
        <v>15.4</v>
      </c>
      <c r="H1420">
        <v>14.87</v>
      </c>
      <c r="I1420">
        <v>15.64</v>
      </c>
      <c r="J1420">
        <v>15.47</v>
      </c>
      <c r="K1420">
        <v>16.61</v>
      </c>
      <c r="L1420">
        <f>Tableau1[[#This Row],[Final_time]]-SUM(Tableau1[[#This Row],[0_100m]:[600_700m]])</f>
        <v>16.700000000000017</v>
      </c>
      <c r="M1420">
        <v>123.04</v>
      </c>
      <c r="N1420">
        <f>SUM(Tableau1[[#This Row],[0_100m]:[700_800m]])</f>
        <v>123.04</v>
      </c>
      <c r="O1420">
        <f>ABS(Tableau1[[#This Row],[Final_time]]-Tableau1[[#This Row],[Sum_time]])</f>
        <v>0</v>
      </c>
      <c r="P1420" s="8"/>
      <c r="Q1420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20" t="s">
        <v>143</v>
      </c>
      <c r="S1420" s="1" t="s">
        <v>114</v>
      </c>
      <c r="T1420" t="s">
        <v>148</v>
      </c>
      <c r="U1420" s="1" t="s">
        <v>69</v>
      </c>
      <c r="V1420" s="1">
        <v>44763</v>
      </c>
      <c r="W1420" s="4">
        <f>YEAR(Tableau1[[#This Row],[Competition_date]])</f>
        <v>2022</v>
      </c>
      <c r="X1420" s="4">
        <v>28</v>
      </c>
      <c r="Y1420" s="6">
        <v>0.51</v>
      </c>
      <c r="Z1420" s="4"/>
      <c r="AA1420" t="s">
        <v>162</v>
      </c>
    </row>
    <row r="1421" spans="1:27" hidden="1" x14ac:dyDescent="0.35">
      <c r="A1421" t="str">
        <f>_xlfn.CONCAT(Tableau1[[#This Row],[Athletes]],"_",Tableau1[[#This Row],[Nationality]],"_",Tableau1[[#This Row],[Competition_year]])</f>
        <v>Mariela Luisa REAL_MEX_2022</v>
      </c>
      <c r="B1421" t="s">
        <v>259</v>
      </c>
      <c r="C1421" t="s">
        <v>29</v>
      </c>
      <c r="D1421" s="18" t="s">
        <v>159</v>
      </c>
      <c r="E1421">
        <v>14.3</v>
      </c>
      <c r="F1421">
        <v>14.11</v>
      </c>
      <c r="G1421">
        <v>15.42</v>
      </c>
      <c r="H1421">
        <v>15.29</v>
      </c>
      <c r="I1421">
        <v>15.57</v>
      </c>
      <c r="J1421">
        <v>15.65</v>
      </c>
      <c r="K1421">
        <v>16.100000000000001</v>
      </c>
      <c r="L1421">
        <f>Tableau1[[#This Row],[Final_time]]-SUM(Tableau1[[#This Row],[0_100m]:[600_700m]])</f>
        <v>16.799999999999997</v>
      </c>
      <c r="M1421">
        <v>123.24</v>
      </c>
      <c r="N1421">
        <f>SUM(Tableau1[[#This Row],[0_100m]:[700_800m]])</f>
        <v>123.24</v>
      </c>
      <c r="O1421">
        <f>ABS(Tableau1[[#This Row],[Final_time]]-Tableau1[[#This Row],[Sum_time]])</f>
        <v>0</v>
      </c>
      <c r="P1421" s="8"/>
      <c r="Q1421" s="16" t="str">
        <f>_xlfn.CONCAT(Tableau1[[#This Row],[Competition]],"_",Tableau1[[#This Row],[Championship_step]],"_",Tableau1[[#This Row],[Competition_date]],"_",Tableau1[[#This Row],[Gender]])</f>
        <v>World Championships Eugene 2022_Heat 1_44763_Female</v>
      </c>
      <c r="R1421" t="s">
        <v>143</v>
      </c>
      <c r="S1421" s="1" t="s">
        <v>114</v>
      </c>
      <c r="T1421" t="s">
        <v>148</v>
      </c>
      <c r="U1421" s="1" t="s">
        <v>69</v>
      </c>
      <c r="V1421" s="1">
        <v>44763</v>
      </c>
      <c r="W1421" s="4">
        <f>YEAR(Tableau1[[#This Row],[Competition_date]])</f>
        <v>2022</v>
      </c>
      <c r="X1421" s="4">
        <v>28</v>
      </c>
      <c r="Y1421" s="6">
        <v>0.51</v>
      </c>
      <c r="Z1421" s="4"/>
      <c r="AA1421" t="s">
        <v>162</v>
      </c>
    </row>
    <row r="1422" spans="1:27" hidden="1" x14ac:dyDescent="0.35">
      <c r="A1422" t="str">
        <f>_xlfn.CONCAT(Tableau1[[#This Row],[Athletes]],"_",Tableau1[[#This Row],[Nationality]],"_",Tableau1[[#This Row],[Competition_year]])</f>
        <v>Peter BOL_AUS_2022</v>
      </c>
      <c r="B1422" t="s">
        <v>127</v>
      </c>
      <c r="C1422" t="s">
        <v>14</v>
      </c>
      <c r="D1422" s="18" t="s">
        <v>36</v>
      </c>
      <c r="E1422">
        <v>12.88</v>
      </c>
      <c r="F1422">
        <v>12.19</v>
      </c>
      <c r="G1422">
        <v>13.48</v>
      </c>
      <c r="H1422">
        <v>13.76</v>
      </c>
      <c r="I1422">
        <v>13.75</v>
      </c>
      <c r="J1422">
        <v>13.28</v>
      </c>
      <c r="K1422">
        <v>13.01</v>
      </c>
      <c r="L1422">
        <f>Tableau1[[#This Row],[Final_time]]-SUM(Tableau1[[#This Row],[0_100m]:[600_700m]])</f>
        <v>13.149999999999991</v>
      </c>
      <c r="M1422">
        <v>105.5</v>
      </c>
      <c r="N1422">
        <f>SUM(Tableau1[[#This Row],[0_100m]:[700_800m]])</f>
        <v>105.5</v>
      </c>
      <c r="O1422">
        <f>ABS(Tableau1[[#This Row],[Final_time]]-Tableau1[[#This Row],[Sum_time]])</f>
        <v>0</v>
      </c>
      <c r="P1422" s="8"/>
      <c r="Q1422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2" t="s">
        <v>143</v>
      </c>
      <c r="S1422" s="1" t="s">
        <v>114</v>
      </c>
      <c r="T1422" t="s">
        <v>147</v>
      </c>
      <c r="U1422" s="1" t="s">
        <v>69</v>
      </c>
      <c r="V1422" s="1">
        <v>44762</v>
      </c>
      <c r="W1422" s="4">
        <f>YEAR(Tableau1[[#This Row],[Competition_date]])</f>
        <v>2022</v>
      </c>
      <c r="X1422" s="4">
        <v>33</v>
      </c>
      <c r="Y1422" s="6">
        <v>0.34</v>
      </c>
      <c r="Z1422" s="4"/>
      <c r="AA1422" t="s">
        <v>144</v>
      </c>
    </row>
    <row r="1423" spans="1:27" hidden="1" x14ac:dyDescent="0.35">
      <c r="A1423" t="str">
        <f>_xlfn.CONCAT(Tableau1[[#This Row],[Athletes]],"_",Tableau1[[#This Row],[Nationality]],"_",Tableau1[[#This Row],[Competition_year]])</f>
        <v>Kyle LANGFORD_GBR_2022</v>
      </c>
      <c r="B1423" t="s">
        <v>240</v>
      </c>
      <c r="C1423" t="s">
        <v>14</v>
      </c>
      <c r="D1423" s="18" t="s">
        <v>30</v>
      </c>
      <c r="E1423">
        <v>13.12</v>
      </c>
      <c r="F1423">
        <v>12.38</v>
      </c>
      <c r="G1423">
        <v>13.58</v>
      </c>
      <c r="H1423">
        <v>13.69</v>
      </c>
      <c r="I1423">
        <v>13.78</v>
      </c>
      <c r="J1423">
        <v>13.08</v>
      </c>
      <c r="K1423">
        <v>13.09</v>
      </c>
      <c r="L1423">
        <f>Tableau1[[#This Row],[Final_time]]-SUM(Tableau1[[#This Row],[0_100m]:[600_700m]])</f>
        <v>12.960000000000008</v>
      </c>
      <c r="M1423">
        <v>105.68</v>
      </c>
      <c r="N1423">
        <f>SUM(Tableau1[[#This Row],[0_100m]:[700_800m]])</f>
        <v>105.68</v>
      </c>
      <c r="O1423">
        <f>ABS(Tableau1[[#This Row],[Final_time]]-Tableau1[[#This Row],[Sum_time]])</f>
        <v>0</v>
      </c>
      <c r="P1423" s="8"/>
      <c r="Q1423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3" t="s">
        <v>143</v>
      </c>
      <c r="S1423" s="1" t="s">
        <v>114</v>
      </c>
      <c r="T1423" t="s">
        <v>147</v>
      </c>
      <c r="U1423" s="1" t="s">
        <v>69</v>
      </c>
      <c r="V1423" s="1">
        <v>44762</v>
      </c>
      <c r="W1423" s="4">
        <f>YEAR(Tableau1[[#This Row],[Competition_date]])</f>
        <v>2022</v>
      </c>
      <c r="X1423" s="4">
        <v>33</v>
      </c>
      <c r="Y1423" s="6">
        <v>0.34</v>
      </c>
      <c r="Z1423" s="4"/>
      <c r="AA1423" t="s">
        <v>144</v>
      </c>
    </row>
    <row r="1424" spans="1:27" hidden="1" x14ac:dyDescent="0.35">
      <c r="A1424" t="str">
        <f>_xlfn.CONCAT(Tableau1[[#This Row],[Athletes]],"_",Tableau1[[#This Row],[Nationality]],"_",Tableau1[[#This Row],[Competition_year]])</f>
        <v>Mariano GARCÍA_ESP_2022</v>
      </c>
      <c r="B1424" t="s">
        <v>241</v>
      </c>
      <c r="C1424" t="s">
        <v>14</v>
      </c>
      <c r="D1424" s="18" t="s">
        <v>37</v>
      </c>
      <c r="E1424">
        <v>12.84</v>
      </c>
      <c r="F1424">
        <v>12.24</v>
      </c>
      <c r="G1424">
        <v>13.42</v>
      </c>
      <c r="H1424">
        <v>13.74</v>
      </c>
      <c r="I1424">
        <v>13.78</v>
      </c>
      <c r="J1424">
        <v>13.33</v>
      </c>
      <c r="K1424">
        <v>13.2</v>
      </c>
      <c r="L1424">
        <f>Tableau1[[#This Row],[Final_time]]-SUM(Tableau1[[#This Row],[0_100m]:[600_700m]])</f>
        <v>13.189999999999998</v>
      </c>
      <c r="M1424">
        <v>105.74</v>
      </c>
      <c r="N1424">
        <f>SUM(Tableau1[[#This Row],[0_100m]:[700_800m]])</f>
        <v>105.74</v>
      </c>
      <c r="O1424">
        <f>ABS(Tableau1[[#This Row],[Final_time]]-Tableau1[[#This Row],[Sum_time]])</f>
        <v>0</v>
      </c>
      <c r="P1424" s="8"/>
      <c r="Q1424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4" t="s">
        <v>143</v>
      </c>
      <c r="S1424" s="1" t="s">
        <v>114</v>
      </c>
      <c r="T1424" t="s">
        <v>147</v>
      </c>
      <c r="U1424" s="1" t="s">
        <v>69</v>
      </c>
      <c r="V1424" s="1">
        <v>44762</v>
      </c>
      <c r="W1424" s="4">
        <f>YEAR(Tableau1[[#This Row],[Competition_date]])</f>
        <v>2022</v>
      </c>
      <c r="X1424" s="4">
        <v>33</v>
      </c>
      <c r="Y1424" s="6">
        <v>0.34</v>
      </c>
      <c r="Z1424" s="4"/>
      <c r="AA1424" t="s">
        <v>144</v>
      </c>
    </row>
    <row r="1425" spans="1:27" hidden="1" x14ac:dyDescent="0.35">
      <c r="A1425" t="str">
        <f>_xlfn.CONCAT(Tableau1[[#This Row],[Athletes]],"_",Tableau1[[#This Row],[Nationality]],"_",Tableau1[[#This Row],[Competition_year]])</f>
        <v>Benjamin ROBERT_FRA_2022</v>
      </c>
      <c r="B1425" t="s">
        <v>111</v>
      </c>
      <c r="C1425" t="s">
        <v>14</v>
      </c>
      <c r="D1425" s="18" t="s">
        <v>17</v>
      </c>
      <c r="E1425">
        <v>12.92</v>
      </c>
      <c r="F1425">
        <v>12.19</v>
      </c>
      <c r="G1425">
        <v>13.65</v>
      </c>
      <c r="H1425">
        <v>13.7</v>
      </c>
      <c r="I1425">
        <v>13.72</v>
      </c>
      <c r="J1425">
        <v>13.21</v>
      </c>
      <c r="K1425">
        <v>13.06</v>
      </c>
      <c r="L1425">
        <f>Tableau1[[#This Row],[Final_time]]-SUM(Tableau1[[#This Row],[0_100m]:[600_700m]])</f>
        <v>13.490000000000009</v>
      </c>
      <c r="M1425">
        <v>105.94</v>
      </c>
      <c r="N1425">
        <f>SUM(Tableau1[[#This Row],[0_100m]:[700_800m]])</f>
        <v>105.94</v>
      </c>
      <c r="O1425">
        <f>ABS(Tableau1[[#This Row],[Final_time]]-Tableau1[[#This Row],[Sum_time]])</f>
        <v>0</v>
      </c>
      <c r="P1425" s="8"/>
      <c r="Q1425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5" t="s">
        <v>143</v>
      </c>
      <c r="S1425" s="1" t="s">
        <v>114</v>
      </c>
      <c r="T1425" t="s">
        <v>147</v>
      </c>
      <c r="U1425" s="1" t="s">
        <v>69</v>
      </c>
      <c r="V1425" s="1">
        <v>44762</v>
      </c>
      <c r="W1425" s="4">
        <f>YEAR(Tableau1[[#This Row],[Competition_date]])</f>
        <v>2022</v>
      </c>
      <c r="X1425" s="4">
        <v>33</v>
      </c>
      <c r="Y1425" s="6">
        <v>0.34</v>
      </c>
      <c r="Z1425" s="4"/>
      <c r="AA1425" t="s">
        <v>144</v>
      </c>
    </row>
    <row r="1426" spans="1:27" hidden="1" x14ac:dyDescent="0.35">
      <c r="A1426" t="str">
        <f>_xlfn.CONCAT(Tableau1[[#This Row],[Athletes]],"_",Tableau1[[#This Row],[Nationality]],"_",Tableau1[[#This Row],[Competition_year]])</f>
        <v>Abedin MUJEZINOVIĆ_BIH_2022</v>
      </c>
      <c r="B1426" t="s">
        <v>204</v>
      </c>
      <c r="C1426" t="s">
        <v>14</v>
      </c>
      <c r="D1426" s="18" t="s">
        <v>120</v>
      </c>
      <c r="E1426">
        <v>13.05</v>
      </c>
      <c r="F1426">
        <v>12.37</v>
      </c>
      <c r="G1426">
        <v>13.72</v>
      </c>
      <c r="H1426">
        <v>13.83</v>
      </c>
      <c r="I1426">
        <v>13.64</v>
      </c>
      <c r="J1426">
        <v>13.25</v>
      </c>
      <c r="K1426">
        <v>13.36</v>
      </c>
      <c r="L1426">
        <f>Tableau1[[#This Row],[Final_time]]-SUM(Tableau1[[#This Row],[0_100m]:[600_700m]])</f>
        <v>13.040000000000006</v>
      </c>
      <c r="M1426">
        <v>106.26</v>
      </c>
      <c r="N1426">
        <f>SUM(Tableau1[[#This Row],[0_100m]:[700_800m]])</f>
        <v>106.26</v>
      </c>
      <c r="O1426">
        <f>ABS(Tableau1[[#This Row],[Final_time]]-Tableau1[[#This Row],[Sum_time]])</f>
        <v>0</v>
      </c>
      <c r="P1426" s="8"/>
      <c r="Q1426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6" t="s">
        <v>143</v>
      </c>
      <c r="S1426" s="1" t="s">
        <v>114</v>
      </c>
      <c r="T1426" t="s">
        <v>147</v>
      </c>
      <c r="U1426" s="1" t="s">
        <v>69</v>
      </c>
      <c r="V1426" s="1">
        <v>44762</v>
      </c>
      <c r="W1426" s="4">
        <f>YEAR(Tableau1[[#This Row],[Competition_date]])</f>
        <v>2022</v>
      </c>
      <c r="X1426" s="4">
        <v>33</v>
      </c>
      <c r="Y1426" s="6">
        <v>0.34</v>
      </c>
      <c r="Z1426" s="4"/>
      <c r="AA1426" t="s">
        <v>144</v>
      </c>
    </row>
    <row r="1427" spans="1:27" hidden="1" x14ac:dyDescent="0.35">
      <c r="A1427" t="str">
        <f>_xlfn.CONCAT(Tableau1[[#This Row],[Athletes]],"_",Tableau1[[#This Row],[Nationality]],"_",Tableau1[[#This Row],[Competition_year]])</f>
        <v>Donavan BRAZIER_USA_2022</v>
      </c>
      <c r="B1427" t="s">
        <v>242</v>
      </c>
      <c r="C1427" t="s">
        <v>14</v>
      </c>
      <c r="D1427" s="18" t="s">
        <v>35</v>
      </c>
      <c r="E1427">
        <v>12.91</v>
      </c>
      <c r="F1427">
        <v>12.21</v>
      </c>
      <c r="G1427">
        <v>13.55</v>
      </c>
      <c r="H1427">
        <v>13.67</v>
      </c>
      <c r="I1427">
        <v>13.83</v>
      </c>
      <c r="J1427">
        <v>13.2</v>
      </c>
      <c r="K1427">
        <v>13.39</v>
      </c>
      <c r="L1427">
        <f>Tableau1[[#This Row],[Final_time]]-SUM(Tableau1[[#This Row],[0_100m]:[600_700m]])</f>
        <v>13.959999999999994</v>
      </c>
      <c r="M1427">
        <v>106.72</v>
      </c>
      <c r="N1427">
        <f>SUM(Tableau1[[#This Row],[0_100m]:[700_800m]])</f>
        <v>106.72</v>
      </c>
      <c r="O1427">
        <f>ABS(Tableau1[[#This Row],[Final_time]]-Tableau1[[#This Row],[Sum_time]])</f>
        <v>0</v>
      </c>
      <c r="P1427" s="8"/>
      <c r="Q1427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7" t="s">
        <v>143</v>
      </c>
      <c r="S1427" s="1" t="s">
        <v>114</v>
      </c>
      <c r="T1427" t="s">
        <v>147</v>
      </c>
      <c r="U1427" s="1" t="s">
        <v>69</v>
      </c>
      <c r="V1427" s="1">
        <v>44762</v>
      </c>
      <c r="W1427" s="4">
        <f>YEAR(Tableau1[[#This Row],[Competition_date]])</f>
        <v>2022</v>
      </c>
      <c r="X1427" s="4">
        <v>33</v>
      </c>
      <c r="Y1427" s="6">
        <v>0.34</v>
      </c>
      <c r="Z1427" s="4"/>
      <c r="AA1427" t="s">
        <v>144</v>
      </c>
    </row>
    <row r="1428" spans="1:27" hidden="1" x14ac:dyDescent="0.35">
      <c r="A1428" t="str">
        <f>_xlfn.CONCAT(Tableau1[[#This Row],[Athletes]],"_",Tableau1[[#This Row],[Nationality]],"_",Tableau1[[#This Row],[Competition_year]])</f>
        <v>Patryk SIERADZKI_POL_2022</v>
      </c>
      <c r="B1428" t="s">
        <v>243</v>
      </c>
      <c r="C1428" t="s">
        <v>14</v>
      </c>
      <c r="D1428" s="18" t="s">
        <v>88</v>
      </c>
      <c r="E1428">
        <v>12.93</v>
      </c>
      <c r="F1428">
        <v>12.32</v>
      </c>
      <c r="G1428">
        <v>13.62</v>
      </c>
      <c r="H1428">
        <v>13.82</v>
      </c>
      <c r="I1428">
        <v>13.66</v>
      </c>
      <c r="J1428">
        <v>13.2</v>
      </c>
      <c r="K1428">
        <v>14.13</v>
      </c>
      <c r="L1428">
        <f>Tableau1[[#This Row],[Final_time]]-SUM(Tableau1[[#This Row],[0_100m]:[600_700m]])</f>
        <v>15.100000000000009</v>
      </c>
      <c r="M1428">
        <v>108.78</v>
      </c>
      <c r="N1428">
        <f>SUM(Tableau1[[#This Row],[0_100m]:[700_800m]])</f>
        <v>108.78</v>
      </c>
      <c r="O1428">
        <f>ABS(Tableau1[[#This Row],[Final_time]]-Tableau1[[#This Row],[Sum_time]])</f>
        <v>0</v>
      </c>
      <c r="P1428" s="8"/>
      <c r="Q1428" s="16" t="str">
        <f>_xlfn.CONCAT(Tableau1[[#This Row],[Competition]],"_",Tableau1[[#This Row],[Championship_step]],"_",Tableau1[[#This Row],[Competition_date]],"_",Tableau1[[#This Row],[Gender]])</f>
        <v>World Championships Eugene 2022_Heat 2_44762_Male</v>
      </c>
      <c r="R1428" t="s">
        <v>143</v>
      </c>
      <c r="S1428" s="1" t="s">
        <v>114</v>
      </c>
      <c r="T1428" t="s">
        <v>147</v>
      </c>
      <c r="U1428" s="1" t="s">
        <v>69</v>
      </c>
      <c r="V1428" s="1">
        <v>44762</v>
      </c>
      <c r="W1428" s="4">
        <f>YEAR(Tableau1[[#This Row],[Competition_date]])</f>
        <v>2022</v>
      </c>
      <c r="X1428" s="4">
        <v>33</v>
      </c>
      <c r="Y1428" s="6">
        <v>0.34</v>
      </c>
      <c r="Z1428" s="4"/>
      <c r="AA1428" t="s">
        <v>144</v>
      </c>
    </row>
    <row r="1429" spans="1:27" hidden="1" x14ac:dyDescent="0.35">
      <c r="A1429" t="str">
        <f>_xlfn.CONCAT(Tableau1[[#This Row],[Athletes]],"_",Tableau1[[#This Row],[Nationality]],"_",Tableau1[[#This Row],[Competition_year]])</f>
        <v>Keely HODGKINSON_GBR_2022</v>
      </c>
      <c r="B1429" t="s">
        <v>212</v>
      </c>
      <c r="C1429" t="s">
        <v>29</v>
      </c>
      <c r="D1429" s="18" t="s">
        <v>30</v>
      </c>
      <c r="E1429">
        <v>14.04</v>
      </c>
      <c r="F1429">
        <v>13.89</v>
      </c>
      <c r="G1429">
        <v>14.87</v>
      </c>
      <c r="H1429">
        <v>15.27</v>
      </c>
      <c r="I1429">
        <v>15.52</v>
      </c>
      <c r="J1429">
        <v>15.94</v>
      </c>
      <c r="K1429">
        <v>15.49</v>
      </c>
      <c r="L1429">
        <f>Tableau1[[#This Row],[Final_time]]-SUM(Tableau1[[#This Row],[0_100m]:[600_700m]])</f>
        <v>15.860000000000014</v>
      </c>
      <c r="M1429">
        <v>120.88</v>
      </c>
      <c r="N1429">
        <f>SUM(Tableau1[[#This Row],[0_100m]:[700_800m]])</f>
        <v>120.88</v>
      </c>
      <c r="O1429">
        <f>ABS(Tableau1[[#This Row],[Final_time]]-Tableau1[[#This Row],[Sum_time]])</f>
        <v>0</v>
      </c>
      <c r="P1429" s="8" t="s">
        <v>141</v>
      </c>
      <c r="Q1429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29" t="s">
        <v>143</v>
      </c>
      <c r="S1429" s="1" t="s">
        <v>114</v>
      </c>
      <c r="T1429" t="s">
        <v>147</v>
      </c>
      <c r="U1429" s="1" t="s">
        <v>69</v>
      </c>
      <c r="V1429" s="1">
        <v>44763</v>
      </c>
      <c r="W1429" s="4">
        <f>YEAR(Tableau1[[#This Row],[Competition_date]])</f>
        <v>2022</v>
      </c>
      <c r="X1429" s="4">
        <v>28</v>
      </c>
      <c r="Y1429" s="6">
        <v>0.51</v>
      </c>
      <c r="Z1429" s="4"/>
      <c r="AA1429" t="s">
        <v>162</v>
      </c>
    </row>
    <row r="1430" spans="1:27" hidden="1" x14ac:dyDescent="0.35">
      <c r="A1430" t="str">
        <f>_xlfn.CONCAT(Tableau1[[#This Row],[Athletes]],"_",Tableau1[[#This Row],[Nationality]],"_",Tableau1[[#This Row],[Competition_year]])</f>
        <v>Anita HORVAT_SLO_2022</v>
      </c>
      <c r="B1430" t="s">
        <v>218</v>
      </c>
      <c r="C1430" t="s">
        <v>29</v>
      </c>
      <c r="D1430" s="18" t="s">
        <v>53</v>
      </c>
      <c r="E1430">
        <v>14.26</v>
      </c>
      <c r="F1430">
        <v>13.88</v>
      </c>
      <c r="G1430">
        <v>14.85</v>
      </c>
      <c r="H1430">
        <v>15.27</v>
      </c>
      <c r="I1430">
        <v>15.59</v>
      </c>
      <c r="J1430">
        <v>15.84</v>
      </c>
      <c r="K1430">
        <v>15.94</v>
      </c>
      <c r="L1430">
        <f>Tableau1[[#This Row],[Final_time]]-SUM(Tableau1[[#This Row],[0_100m]:[600_700m]])</f>
        <v>15.849999999999994</v>
      </c>
      <c r="M1430">
        <v>121.48</v>
      </c>
      <c r="N1430">
        <f>SUM(Tableau1[[#This Row],[0_100m]:[700_800m]])</f>
        <v>121.48</v>
      </c>
      <c r="O1430">
        <f>ABS(Tableau1[[#This Row],[Final_time]]-Tableau1[[#This Row],[Sum_time]])</f>
        <v>0</v>
      </c>
      <c r="P1430" s="8" t="s">
        <v>141</v>
      </c>
      <c r="Q1430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30" t="s">
        <v>143</v>
      </c>
      <c r="S1430" s="1" t="s">
        <v>114</v>
      </c>
      <c r="T1430" t="s">
        <v>147</v>
      </c>
      <c r="U1430" s="1" t="s">
        <v>69</v>
      </c>
      <c r="V1430" s="1">
        <v>44763</v>
      </c>
      <c r="W1430" s="4">
        <f>YEAR(Tableau1[[#This Row],[Competition_date]])</f>
        <v>2022</v>
      </c>
      <c r="X1430" s="4">
        <v>28</v>
      </c>
      <c r="Y1430" s="6">
        <v>0.51</v>
      </c>
      <c r="Z1430" s="4"/>
      <c r="AA1430" t="s">
        <v>162</v>
      </c>
    </row>
    <row r="1431" spans="1:27" hidden="1" x14ac:dyDescent="0.35">
      <c r="A1431" t="str">
        <f>_xlfn.CONCAT(Tableau1[[#This Row],[Athletes]],"_",Tableau1[[#This Row],[Nationality]],"_",Tableau1[[#This Row],[Competition_year]])</f>
        <v>Christina HERING_GER_2022</v>
      </c>
      <c r="B1431" t="s">
        <v>226</v>
      </c>
      <c r="C1431" t="s">
        <v>29</v>
      </c>
      <c r="D1431" s="18" t="s">
        <v>139</v>
      </c>
      <c r="E1431">
        <v>14.11</v>
      </c>
      <c r="F1431">
        <v>13.98</v>
      </c>
      <c r="G1431">
        <v>14.89</v>
      </c>
      <c r="H1431">
        <v>15.19</v>
      </c>
      <c r="I1431">
        <v>15.62</v>
      </c>
      <c r="J1431">
        <v>15.95</v>
      </c>
      <c r="K1431">
        <v>15.75</v>
      </c>
      <c r="L1431">
        <f>Tableau1[[#This Row],[Final_time]]-SUM(Tableau1[[#This Row],[0_100m]:[600_700m]])</f>
        <v>16.139999999999986</v>
      </c>
      <c r="M1431">
        <v>121.63</v>
      </c>
      <c r="N1431">
        <f>SUM(Tableau1[[#This Row],[0_100m]:[700_800m]])</f>
        <v>121.63</v>
      </c>
      <c r="O1431">
        <f>ABS(Tableau1[[#This Row],[Final_time]]-Tableau1[[#This Row],[Sum_time]])</f>
        <v>0</v>
      </c>
      <c r="P1431" s="8" t="s">
        <v>142</v>
      </c>
      <c r="Q1431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31" t="s">
        <v>143</v>
      </c>
      <c r="S1431" s="1" t="s">
        <v>114</v>
      </c>
      <c r="T1431" t="s">
        <v>147</v>
      </c>
      <c r="U1431" s="1" t="s">
        <v>69</v>
      </c>
      <c r="V1431" s="1">
        <v>44763</v>
      </c>
      <c r="W1431" s="4">
        <f>YEAR(Tableau1[[#This Row],[Competition_date]])</f>
        <v>2022</v>
      </c>
      <c r="X1431" s="4">
        <v>28</v>
      </c>
      <c r="Y1431" s="6">
        <v>0.51</v>
      </c>
      <c r="Z1431" s="4"/>
      <c r="AA1431" t="s">
        <v>162</v>
      </c>
    </row>
    <row r="1432" spans="1:27" hidden="1" x14ac:dyDescent="0.35">
      <c r="A1432" t="str">
        <f>_xlfn.CONCAT(Tableau1[[#This Row],[Athletes]],"_",Tableau1[[#This Row],[Nationality]],"_",Tableau1[[#This Row],[Competition_year]])</f>
        <v>Lore HOFFMANN_SUI_2022</v>
      </c>
      <c r="B1432" t="s">
        <v>224</v>
      </c>
      <c r="C1432" t="s">
        <v>29</v>
      </c>
      <c r="D1432" s="18" t="s">
        <v>73</v>
      </c>
      <c r="E1432">
        <v>14.83</v>
      </c>
      <c r="F1432">
        <v>14</v>
      </c>
      <c r="G1432">
        <v>14.29</v>
      </c>
      <c r="H1432">
        <v>15.24</v>
      </c>
      <c r="I1432">
        <v>15.65</v>
      </c>
      <c r="J1432">
        <v>15.86</v>
      </c>
      <c r="K1432">
        <v>15.88</v>
      </c>
      <c r="L1432">
        <f>Tableau1[[#This Row],[Final_time]]-SUM(Tableau1[[#This Row],[0_100m]:[600_700m]])</f>
        <v>15.879999999999995</v>
      </c>
      <c r="M1432">
        <v>121.63</v>
      </c>
      <c r="N1432">
        <f>SUM(Tableau1[[#This Row],[0_100m]:[700_800m]])</f>
        <v>121.63</v>
      </c>
      <c r="O1432">
        <f>ABS(Tableau1[[#This Row],[Final_time]]-Tableau1[[#This Row],[Sum_time]])</f>
        <v>0</v>
      </c>
      <c r="P1432" s="8" t="s">
        <v>141</v>
      </c>
      <c r="Q1432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32" t="s">
        <v>143</v>
      </c>
      <c r="S1432" s="1" t="s">
        <v>114</v>
      </c>
      <c r="T1432" t="s">
        <v>147</v>
      </c>
      <c r="U1432" s="1" t="s">
        <v>69</v>
      </c>
      <c r="V1432" s="1">
        <v>44763</v>
      </c>
      <c r="W1432" s="4">
        <f>YEAR(Tableau1[[#This Row],[Competition_date]])</f>
        <v>2022</v>
      </c>
      <c r="X1432" s="4">
        <v>28</v>
      </c>
      <c r="Y1432" s="6">
        <v>0.51</v>
      </c>
      <c r="Z1432" s="4"/>
      <c r="AA1432" t="s">
        <v>162</v>
      </c>
    </row>
    <row r="1433" spans="1:27" hidden="1" x14ac:dyDescent="0.35">
      <c r="A1433" t="str">
        <f>_xlfn.CONCAT(Tableau1[[#This Row],[Athletes]],"_",Tableau1[[#This Row],[Nationality]],"_",Tableau1[[#This Row],[Competition_year]])</f>
        <v>Gayanthika ARTIGALA_SRI_2022</v>
      </c>
      <c r="B1433" t="s">
        <v>260</v>
      </c>
      <c r="C1433" t="s">
        <v>29</v>
      </c>
      <c r="D1433" s="18" t="s">
        <v>164</v>
      </c>
      <c r="E1433">
        <v>14.45</v>
      </c>
      <c r="F1433">
        <v>13.84</v>
      </c>
      <c r="G1433">
        <v>14.97</v>
      </c>
      <c r="H1433">
        <v>15.39</v>
      </c>
      <c r="I1433">
        <v>15.84</v>
      </c>
      <c r="J1433">
        <v>16.260000000000002</v>
      </c>
      <c r="K1433">
        <v>15.62</v>
      </c>
      <c r="L1433">
        <f>Tableau1[[#This Row],[Final_time]]-SUM(Tableau1[[#This Row],[0_100m]:[600_700m]])</f>
        <v>15.97999999999999</v>
      </c>
      <c r="M1433">
        <v>122.35</v>
      </c>
      <c r="N1433">
        <f>SUM(Tableau1[[#This Row],[0_100m]:[700_800m]])</f>
        <v>122.35</v>
      </c>
      <c r="O1433">
        <f>ABS(Tableau1[[#This Row],[Final_time]]-Tableau1[[#This Row],[Sum_time]])</f>
        <v>0</v>
      </c>
      <c r="P1433" s="8"/>
      <c r="Q1433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33" t="s">
        <v>143</v>
      </c>
      <c r="S1433" s="1" t="s">
        <v>114</v>
      </c>
      <c r="T1433" t="s">
        <v>147</v>
      </c>
      <c r="U1433" s="1" t="s">
        <v>69</v>
      </c>
      <c r="V1433" s="1">
        <v>44763</v>
      </c>
      <c r="W1433" s="4">
        <f>YEAR(Tableau1[[#This Row],[Competition_date]])</f>
        <v>2022</v>
      </c>
      <c r="X1433" s="4">
        <v>28</v>
      </c>
      <c r="Y1433" s="6">
        <v>0.51</v>
      </c>
      <c r="Z1433" s="4"/>
      <c r="AA1433" t="s">
        <v>162</v>
      </c>
    </row>
    <row r="1434" spans="1:27" hidden="1" x14ac:dyDescent="0.35">
      <c r="A1434" t="str">
        <f>_xlfn.CONCAT(Tableau1[[#This Row],[Athletes]],"_",Tableau1[[#This Row],[Nationality]],"_",Tableau1[[#This Row],[Competition_year]])</f>
        <v>Elena BELLÒ_ITA_2022</v>
      </c>
      <c r="B1434" t="s">
        <v>261</v>
      </c>
      <c r="C1434" t="s">
        <v>29</v>
      </c>
      <c r="D1434" s="18" t="s">
        <v>20</v>
      </c>
      <c r="E1434">
        <v>14.51</v>
      </c>
      <c r="F1434">
        <v>13.55</v>
      </c>
      <c r="G1434">
        <v>14.75</v>
      </c>
      <c r="H1434">
        <v>15.29</v>
      </c>
      <c r="I1434">
        <v>15.56</v>
      </c>
      <c r="J1434">
        <v>15.99</v>
      </c>
      <c r="K1434">
        <v>15.77</v>
      </c>
      <c r="L1434">
        <f>Tableau1[[#This Row],[Final_time]]-SUM(Tableau1[[#This Row],[0_100m]:[600_700m]])</f>
        <v>17.360000000000014</v>
      </c>
      <c r="M1434">
        <v>122.78</v>
      </c>
      <c r="N1434">
        <f>SUM(Tableau1[[#This Row],[0_100m]:[700_800m]])</f>
        <v>122.78</v>
      </c>
      <c r="O1434">
        <f>ABS(Tableau1[[#This Row],[Final_time]]-Tableau1[[#This Row],[Sum_time]])</f>
        <v>0</v>
      </c>
      <c r="P1434" s="8" t="s">
        <v>142</v>
      </c>
      <c r="Q1434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34" t="s">
        <v>143</v>
      </c>
      <c r="S1434" s="1" t="s">
        <v>114</v>
      </c>
      <c r="T1434" t="s">
        <v>147</v>
      </c>
      <c r="U1434" s="1" t="s">
        <v>69</v>
      </c>
      <c r="V1434" s="1">
        <v>44763</v>
      </c>
      <c r="W1434" s="4">
        <f>YEAR(Tableau1[[#This Row],[Competition_date]])</f>
        <v>2022</v>
      </c>
      <c r="X1434" s="4">
        <v>28</v>
      </c>
      <c r="Y1434" s="6">
        <v>0.51</v>
      </c>
      <c r="Z1434" s="4"/>
      <c r="AA1434" t="s">
        <v>162</v>
      </c>
    </row>
    <row r="1435" spans="1:27" hidden="1" x14ac:dyDescent="0.35">
      <c r="A1435" t="str">
        <f>_xlfn.CONCAT(Tableau1[[#This Row],[Athletes]],"_",Tableau1[[#This Row],[Nationality]],"_",Tableau1[[#This Row],[Competition_year]])</f>
        <v>Catriona BISSET_AUS_2022</v>
      </c>
      <c r="B1435" t="s">
        <v>217</v>
      </c>
      <c r="C1435" t="s">
        <v>29</v>
      </c>
      <c r="D1435" s="18" t="s">
        <v>36</v>
      </c>
      <c r="E1435">
        <v>14</v>
      </c>
      <c r="F1435">
        <v>13.91</v>
      </c>
      <c r="G1435">
        <v>14.85</v>
      </c>
      <c r="H1435">
        <v>15.24</v>
      </c>
      <c r="I1435">
        <v>15.57</v>
      </c>
      <c r="J1435">
        <v>15.98</v>
      </c>
      <c r="K1435">
        <v>33.96</v>
      </c>
      <c r="L1435">
        <f>Tableau1[[#This Row],[Final_time]]-SUM(Tableau1[[#This Row],[0_100m]:[600_700m]])</f>
        <v>18.740000000000009</v>
      </c>
      <c r="M1435">
        <v>142.25</v>
      </c>
      <c r="N1435">
        <f>SUM(Tableau1[[#This Row],[0_100m]:[700_800m]])</f>
        <v>142.25</v>
      </c>
      <c r="O1435">
        <f>ABS(Tableau1[[#This Row],[Final_time]]-Tableau1[[#This Row],[Sum_time]])</f>
        <v>0</v>
      </c>
      <c r="P1435" s="8" t="s">
        <v>142</v>
      </c>
      <c r="Q1435" s="16" t="str">
        <f>_xlfn.CONCAT(Tableau1[[#This Row],[Competition]],"_",Tableau1[[#This Row],[Championship_step]],"_",Tableau1[[#This Row],[Competition_date]],"_",Tableau1[[#This Row],[Gender]])</f>
        <v>World Championships Eugene 2022_Heat 2_44763_Female</v>
      </c>
      <c r="R1435" t="s">
        <v>143</v>
      </c>
      <c r="S1435" s="1" t="s">
        <v>114</v>
      </c>
      <c r="T1435" t="s">
        <v>147</v>
      </c>
      <c r="U1435" s="1" t="s">
        <v>69</v>
      </c>
      <c r="V1435" s="1">
        <v>44763</v>
      </c>
      <c r="W1435" s="4">
        <f>YEAR(Tableau1[[#This Row],[Competition_date]])</f>
        <v>2022</v>
      </c>
      <c r="X1435" s="4">
        <v>28</v>
      </c>
      <c r="Y1435" s="6">
        <v>0.51</v>
      </c>
      <c r="Z1435" s="4"/>
      <c r="AA1435" t="s">
        <v>162</v>
      </c>
    </row>
    <row r="1436" spans="1:27" hidden="1" x14ac:dyDescent="0.35">
      <c r="A1436" t="str">
        <f>_xlfn.CONCAT(Tableau1[[#This Row],[Athletes]],"_",Tableau1[[#This Row],[Nationality]],"_",Tableau1[[#This Row],[Competition_year]])</f>
        <v>Gabriel TUAL_FRA_2022</v>
      </c>
      <c r="B1436" t="s">
        <v>180</v>
      </c>
      <c r="C1436" t="s">
        <v>14</v>
      </c>
      <c r="D1436" s="18" t="s">
        <v>17</v>
      </c>
      <c r="E1436">
        <v>12.72</v>
      </c>
      <c r="F1436">
        <v>12.31</v>
      </c>
      <c r="G1436">
        <v>14.08</v>
      </c>
      <c r="H1436">
        <v>13.66</v>
      </c>
      <c r="I1436">
        <v>13.74</v>
      </c>
      <c r="J1436">
        <v>12.89</v>
      </c>
      <c r="K1436">
        <v>13.3</v>
      </c>
      <c r="L1436">
        <f>Tableau1[[#This Row],[Final_time]]-SUM(Tableau1[[#This Row],[0_100m]:[600_700m]])</f>
        <v>13.640000000000015</v>
      </c>
      <c r="M1436">
        <v>106.34</v>
      </c>
      <c r="N1436">
        <f>SUM(Tableau1[[#This Row],[0_100m]:[700_800m]])</f>
        <v>106.34</v>
      </c>
      <c r="O1436">
        <f>ABS(Tableau1[[#This Row],[Final_time]]-Tableau1[[#This Row],[Sum_time]])</f>
        <v>0</v>
      </c>
      <c r="P1436" s="8" t="s">
        <v>141</v>
      </c>
      <c r="Q1436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36" t="s">
        <v>143</v>
      </c>
      <c r="S1436" s="1" t="s">
        <v>114</v>
      </c>
      <c r="T1436" t="s">
        <v>150</v>
      </c>
      <c r="U1436" s="1" t="s">
        <v>69</v>
      </c>
      <c r="V1436" s="1">
        <v>44762</v>
      </c>
      <c r="W1436" s="4">
        <f>YEAR(Tableau1[[#This Row],[Competition_date]])</f>
        <v>2022</v>
      </c>
      <c r="X1436" s="4">
        <v>33</v>
      </c>
      <c r="Y1436" s="6">
        <v>0.35</v>
      </c>
      <c r="Z1436" s="4"/>
      <c r="AA1436" t="s">
        <v>144</v>
      </c>
    </row>
    <row r="1437" spans="1:27" hidden="1" x14ac:dyDescent="0.35">
      <c r="A1437" t="str">
        <f>_xlfn.CONCAT(Tableau1[[#This Row],[Athletes]],"_",Tableau1[[#This Row],[Nationality]],"_",Tableau1[[#This Row],[Competition_year]])</f>
        <v>Emmanuel WANYONYI_KEN_2022</v>
      </c>
      <c r="B1437" t="s">
        <v>183</v>
      </c>
      <c r="C1437" t="s">
        <v>14</v>
      </c>
      <c r="D1437" s="18" t="s">
        <v>15</v>
      </c>
      <c r="E1437">
        <v>12.62</v>
      </c>
      <c r="F1437">
        <v>12.3</v>
      </c>
      <c r="G1437">
        <v>14.09</v>
      </c>
      <c r="H1437">
        <v>13.75</v>
      </c>
      <c r="I1437">
        <v>13.63</v>
      </c>
      <c r="J1437">
        <v>13.25</v>
      </c>
      <c r="K1437">
        <v>13.61</v>
      </c>
      <c r="L1437">
        <f>Tableau1[[#This Row],[Final_time]]-SUM(Tableau1[[#This Row],[0_100m]:[600_700m]])</f>
        <v>13.200000000000003</v>
      </c>
      <c r="M1437">
        <v>106.45</v>
      </c>
      <c r="N1437">
        <f>SUM(Tableau1[[#This Row],[0_100m]:[700_800m]])</f>
        <v>106.45</v>
      </c>
      <c r="O1437">
        <f>ABS(Tableau1[[#This Row],[Final_time]]-Tableau1[[#This Row],[Sum_time]])</f>
        <v>0</v>
      </c>
      <c r="P1437" s="8" t="s">
        <v>141</v>
      </c>
      <c r="Q1437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37" t="s">
        <v>143</v>
      </c>
      <c r="S1437" s="1" t="s">
        <v>114</v>
      </c>
      <c r="T1437" t="s">
        <v>150</v>
      </c>
      <c r="U1437" s="1" t="s">
        <v>69</v>
      </c>
      <c r="V1437" s="1">
        <v>44762</v>
      </c>
      <c r="W1437" s="4">
        <f>YEAR(Tableau1[[#This Row],[Competition_date]])</f>
        <v>2022</v>
      </c>
      <c r="X1437" s="4">
        <v>33</v>
      </c>
      <c r="Y1437" s="6">
        <v>0.35</v>
      </c>
      <c r="Z1437" s="4"/>
      <c r="AA1437" t="s">
        <v>144</v>
      </c>
    </row>
    <row r="1438" spans="1:27" hidden="1" x14ac:dyDescent="0.35">
      <c r="A1438" t="str">
        <f>_xlfn.CONCAT(Tableau1[[#This Row],[Athletes]],"_",Tableau1[[#This Row],[Nationality]],"_",Tableau1[[#This Row],[Competition_year]])</f>
        <v>Eliott CRESTAN_BEL_2022</v>
      </c>
      <c r="B1438" t="s">
        <v>244</v>
      </c>
      <c r="C1438" t="s">
        <v>14</v>
      </c>
      <c r="D1438" s="18" t="s">
        <v>18</v>
      </c>
      <c r="E1438">
        <v>12.8</v>
      </c>
      <c r="F1438">
        <v>12.31</v>
      </c>
      <c r="G1438">
        <v>14.13</v>
      </c>
      <c r="H1438">
        <v>13.7</v>
      </c>
      <c r="I1438">
        <v>13.75</v>
      </c>
      <c r="J1438">
        <v>13.2</v>
      </c>
      <c r="K1438">
        <v>13.73</v>
      </c>
      <c r="L1438">
        <f>Tableau1[[#This Row],[Final_time]]-SUM(Tableau1[[#This Row],[0_100m]:[600_700m]])</f>
        <v>12.989999999999995</v>
      </c>
      <c r="M1438">
        <v>106.61</v>
      </c>
      <c r="N1438">
        <f>SUM(Tableau1[[#This Row],[0_100m]:[700_800m]])</f>
        <v>106.61</v>
      </c>
      <c r="O1438">
        <f>ABS(Tableau1[[#This Row],[Final_time]]-Tableau1[[#This Row],[Sum_time]])</f>
        <v>0</v>
      </c>
      <c r="P1438" s="8"/>
      <c r="Q1438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38" t="s">
        <v>143</v>
      </c>
      <c r="S1438" s="1" t="s">
        <v>114</v>
      </c>
      <c r="T1438" t="s">
        <v>150</v>
      </c>
      <c r="U1438" s="1" t="s">
        <v>69</v>
      </c>
      <c r="V1438" s="1">
        <v>44762</v>
      </c>
      <c r="W1438" s="4">
        <f>YEAR(Tableau1[[#This Row],[Competition_date]])</f>
        <v>2022</v>
      </c>
      <c r="X1438" s="4">
        <v>33</v>
      </c>
      <c r="Y1438" s="6">
        <v>0.35</v>
      </c>
      <c r="Z1438" s="4"/>
      <c r="AA1438" t="s">
        <v>144</v>
      </c>
    </row>
    <row r="1439" spans="1:27" hidden="1" x14ac:dyDescent="0.35">
      <c r="A1439" t="str">
        <f>_xlfn.CONCAT(Tableau1[[#This Row],[Athletes]],"_",Tableau1[[#This Row],[Nationality]],"_",Tableau1[[#This Row],[Competition_year]])</f>
        <v>Bryce HOPPEL_USA_2022</v>
      </c>
      <c r="B1439" t="s">
        <v>173</v>
      </c>
      <c r="C1439" t="s">
        <v>14</v>
      </c>
      <c r="D1439" s="18" t="s">
        <v>35</v>
      </c>
      <c r="E1439">
        <v>12.96</v>
      </c>
      <c r="F1439">
        <v>12.32</v>
      </c>
      <c r="G1439">
        <v>13.59</v>
      </c>
      <c r="H1439">
        <v>13.73</v>
      </c>
      <c r="I1439">
        <v>13.56</v>
      </c>
      <c r="J1439">
        <v>13.32</v>
      </c>
      <c r="K1439">
        <v>13.73</v>
      </c>
      <c r="L1439">
        <f>Tableau1[[#This Row],[Final_time]]-SUM(Tableau1[[#This Row],[0_100m]:[600_700m]])</f>
        <v>13.769999999999982</v>
      </c>
      <c r="M1439">
        <v>106.98</v>
      </c>
      <c r="N1439">
        <f>SUM(Tableau1[[#This Row],[0_100m]:[700_800m]])</f>
        <v>106.98</v>
      </c>
      <c r="O1439">
        <f>ABS(Tableau1[[#This Row],[Final_time]]-Tableau1[[#This Row],[Sum_time]])</f>
        <v>0</v>
      </c>
      <c r="P1439" s="8"/>
      <c r="Q1439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39" t="s">
        <v>143</v>
      </c>
      <c r="S1439" s="1" t="s">
        <v>114</v>
      </c>
      <c r="T1439" t="s">
        <v>150</v>
      </c>
      <c r="U1439" s="1" t="s">
        <v>69</v>
      </c>
      <c r="V1439" s="1">
        <v>44762</v>
      </c>
      <c r="W1439" s="4">
        <f>YEAR(Tableau1[[#This Row],[Competition_date]])</f>
        <v>2022</v>
      </c>
      <c r="X1439" s="4">
        <v>33</v>
      </c>
      <c r="Y1439" s="6">
        <v>0.35</v>
      </c>
      <c r="Z1439" s="4"/>
      <c r="AA1439" t="s">
        <v>144</v>
      </c>
    </row>
    <row r="1440" spans="1:27" hidden="1" x14ac:dyDescent="0.35">
      <c r="A1440" t="str">
        <f>_xlfn.CONCAT(Tableau1[[#This Row],[Athletes]],"_",Tableau1[[#This Row],[Nationality]],"_",Tableau1[[#This Row],[Competition_year]])</f>
        <v>Mateusz BORKOWSKI_POL_2022</v>
      </c>
      <c r="B1440" t="s">
        <v>109</v>
      </c>
      <c r="C1440" t="s">
        <v>14</v>
      </c>
      <c r="D1440" s="18" t="s">
        <v>88</v>
      </c>
      <c r="E1440">
        <v>13.21</v>
      </c>
      <c r="F1440">
        <v>12.61</v>
      </c>
      <c r="G1440">
        <v>13.47</v>
      </c>
      <c r="H1440">
        <v>13.39</v>
      </c>
      <c r="I1440">
        <v>13.67</v>
      </c>
      <c r="J1440">
        <v>13.43</v>
      </c>
      <c r="K1440">
        <v>13.78</v>
      </c>
      <c r="L1440">
        <f>Tableau1[[#This Row],[Final_time]]-SUM(Tableau1[[#This Row],[0_100m]:[600_700m]])</f>
        <v>14.049999999999997</v>
      </c>
      <c r="M1440">
        <v>107.61</v>
      </c>
      <c r="N1440">
        <f>SUM(Tableau1[[#This Row],[0_100m]:[700_800m]])</f>
        <v>107.61</v>
      </c>
      <c r="O1440">
        <f>ABS(Tableau1[[#This Row],[Final_time]]-Tableau1[[#This Row],[Sum_time]])</f>
        <v>0</v>
      </c>
      <c r="P1440" s="8"/>
      <c r="Q1440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40" t="s">
        <v>143</v>
      </c>
      <c r="S1440" s="1" t="s">
        <v>114</v>
      </c>
      <c r="T1440" t="s">
        <v>150</v>
      </c>
      <c r="U1440" s="1" t="s">
        <v>69</v>
      </c>
      <c r="V1440" s="1">
        <v>44762</v>
      </c>
      <c r="W1440" s="4">
        <f>YEAR(Tableau1[[#This Row],[Competition_date]])</f>
        <v>2022</v>
      </c>
      <c r="X1440" s="4">
        <v>33</v>
      </c>
      <c r="Y1440" s="6">
        <v>0.35</v>
      </c>
      <c r="Z1440" s="4"/>
      <c r="AA1440" t="s">
        <v>144</v>
      </c>
    </row>
    <row r="1441" spans="1:27" hidden="1" x14ac:dyDescent="0.35">
      <c r="A1441" t="str">
        <f>_xlfn.CONCAT(Tableau1[[#This Row],[Athletes]],"_",Tableau1[[#This Row],[Nationality]],"_",Tableau1[[#This Row],[Competition_year]])</f>
        <v>Navasky ANDERSON_JAM_2022</v>
      </c>
      <c r="B1441" t="s">
        <v>245</v>
      </c>
      <c r="C1441" t="s">
        <v>14</v>
      </c>
      <c r="D1441" s="18" t="s">
        <v>33</v>
      </c>
      <c r="E1441">
        <v>13.08</v>
      </c>
      <c r="F1441">
        <v>11.78</v>
      </c>
      <c r="G1441">
        <v>13.94</v>
      </c>
      <c r="H1441">
        <v>13.54</v>
      </c>
      <c r="I1441">
        <v>13.61</v>
      </c>
      <c r="J1441">
        <v>13.69</v>
      </c>
      <c r="K1441">
        <v>13.92</v>
      </c>
      <c r="L1441">
        <f>Tableau1[[#This Row],[Final_time]]-SUM(Tableau1[[#This Row],[0_100m]:[600_700m]])</f>
        <v>14.810000000000016</v>
      </c>
      <c r="M1441">
        <v>108.37</v>
      </c>
      <c r="N1441">
        <f>SUM(Tableau1[[#This Row],[0_100m]:[700_800m]])</f>
        <v>108.37</v>
      </c>
      <c r="O1441">
        <f>ABS(Tableau1[[#This Row],[Final_time]]-Tableau1[[#This Row],[Sum_time]])</f>
        <v>0</v>
      </c>
      <c r="P1441" s="8"/>
      <c r="Q1441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41" t="s">
        <v>143</v>
      </c>
      <c r="S1441" s="1" t="s">
        <v>114</v>
      </c>
      <c r="T1441" t="s">
        <v>150</v>
      </c>
      <c r="U1441" s="1" t="s">
        <v>69</v>
      </c>
      <c r="V1441" s="1">
        <v>44762</v>
      </c>
      <c r="W1441" s="4">
        <f>YEAR(Tableau1[[#This Row],[Competition_date]])</f>
        <v>2022</v>
      </c>
      <c r="X1441" s="4">
        <v>33</v>
      </c>
      <c r="Y1441" s="6">
        <v>0.35</v>
      </c>
      <c r="Z1441" s="4"/>
      <c r="AA1441" t="s">
        <v>144</v>
      </c>
    </row>
    <row r="1442" spans="1:27" hidden="1" x14ac:dyDescent="0.35">
      <c r="A1442" t="str">
        <f>_xlfn.CONCAT(Tableau1[[#This Row],[Athletes]],"_",Tableau1[[#This Row],[Nationality]],"_",Tableau1[[#This Row],[Competition_year]])</f>
        <v>Brandon MCBRIDE_CAN_2022</v>
      </c>
      <c r="B1442" t="s">
        <v>246</v>
      </c>
      <c r="C1442" t="s">
        <v>14</v>
      </c>
      <c r="D1442" s="18" t="s">
        <v>19</v>
      </c>
      <c r="E1442">
        <v>12.89</v>
      </c>
      <c r="F1442">
        <v>16.88</v>
      </c>
      <c r="G1442">
        <v>13.79</v>
      </c>
      <c r="H1442">
        <v>13.31</v>
      </c>
      <c r="I1442">
        <v>14.15</v>
      </c>
      <c r="J1442">
        <v>14.64</v>
      </c>
      <c r="K1442">
        <v>15.44</v>
      </c>
      <c r="L1442">
        <f>Tableau1[[#This Row],[Final_time]]-SUM(Tableau1[[#This Row],[0_100m]:[600_700m]])</f>
        <v>16.329999999999998</v>
      </c>
      <c r="M1442">
        <v>117.43</v>
      </c>
      <c r="N1442">
        <f>SUM(Tableau1[[#This Row],[0_100m]:[700_800m]])</f>
        <v>117.43</v>
      </c>
      <c r="O1442">
        <f>ABS(Tableau1[[#This Row],[Final_time]]-Tableau1[[#This Row],[Sum_time]])</f>
        <v>0</v>
      </c>
      <c r="P1442" s="8"/>
      <c r="Q1442" s="16" t="str">
        <f>_xlfn.CONCAT(Tableau1[[#This Row],[Competition]],"_",Tableau1[[#This Row],[Championship_step]],"_",Tableau1[[#This Row],[Competition_date]],"_",Tableau1[[#This Row],[Gender]])</f>
        <v>World Championships Eugene 2022_Heat 3 _44762_Male</v>
      </c>
      <c r="R1442" t="s">
        <v>143</v>
      </c>
      <c r="S1442" s="1" t="s">
        <v>114</v>
      </c>
      <c r="T1442" t="s">
        <v>150</v>
      </c>
      <c r="U1442" s="1" t="s">
        <v>69</v>
      </c>
      <c r="V1442" s="1">
        <v>44762</v>
      </c>
      <c r="W1442" s="4">
        <f>YEAR(Tableau1[[#This Row],[Competition_date]])</f>
        <v>2022</v>
      </c>
      <c r="X1442" s="4">
        <v>33</v>
      </c>
      <c r="Y1442" s="6">
        <v>0.35</v>
      </c>
      <c r="Z1442" s="4"/>
      <c r="AA1442" t="s">
        <v>144</v>
      </c>
    </row>
    <row r="1443" spans="1:27" hidden="1" x14ac:dyDescent="0.35">
      <c r="A1443" t="str">
        <f>_xlfn.CONCAT(Tableau1[[#This Row],[Athletes]],"_",Tableau1[[#This Row],[Nationality]],"_",Tableau1[[#This Row],[Competition_year]])</f>
        <v>Athing MU-NIKOLAYEV_USA_2022</v>
      </c>
      <c r="B1443" t="s">
        <v>1376</v>
      </c>
      <c r="C1443" t="s">
        <v>29</v>
      </c>
      <c r="D1443" s="18" t="s">
        <v>35</v>
      </c>
      <c r="E1443">
        <v>13.77</v>
      </c>
      <c r="F1443">
        <v>14.39</v>
      </c>
      <c r="G1443">
        <v>16.11</v>
      </c>
      <c r="H1443">
        <v>16.100000000000001</v>
      </c>
      <c r="I1443">
        <v>15.71</v>
      </c>
      <c r="J1443">
        <v>15.33</v>
      </c>
      <c r="K1443">
        <v>15.29</v>
      </c>
      <c r="L1443">
        <f>Tableau1[[#This Row],[Final_time]]-SUM(Tableau1[[#This Row],[0_100m]:[600_700m]])</f>
        <v>14.600000000000009</v>
      </c>
      <c r="M1443">
        <v>121.3</v>
      </c>
      <c r="N1443">
        <f>SUM(Tableau1[[#This Row],[0_100m]:[700_800m]])</f>
        <v>121.3</v>
      </c>
      <c r="O1443">
        <f>ABS(Tableau1[[#This Row],[Final_time]]-Tableau1[[#This Row],[Sum_time]])</f>
        <v>0</v>
      </c>
      <c r="P1443" s="8" t="s">
        <v>141</v>
      </c>
      <c r="Q1443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3" t="s">
        <v>143</v>
      </c>
      <c r="S1443" s="1" t="s">
        <v>114</v>
      </c>
      <c r="T1443" t="s">
        <v>150</v>
      </c>
      <c r="U1443" s="1" t="s">
        <v>69</v>
      </c>
      <c r="V1443" s="1">
        <v>44763</v>
      </c>
      <c r="W1443" s="4">
        <f>YEAR(Tableau1[[#This Row],[Competition_date]])</f>
        <v>2022</v>
      </c>
      <c r="X1443" s="4">
        <v>28</v>
      </c>
      <c r="Y1443" s="6">
        <v>0.51</v>
      </c>
      <c r="Z1443" s="4"/>
      <c r="AA1443" t="s">
        <v>162</v>
      </c>
    </row>
    <row r="1444" spans="1:27" hidden="1" x14ac:dyDescent="0.35">
      <c r="A1444" t="str">
        <f>_xlfn.CONCAT(Tableau1[[#This Row],[Athletes]],"_",Tableau1[[#This Row],[Nationality]],"_",Tableau1[[#This Row],[Competition_year]])</f>
        <v>Halimah NAKAAYI_UGA_2022</v>
      </c>
      <c r="B1444" t="s">
        <v>230</v>
      </c>
      <c r="C1444" t="s">
        <v>29</v>
      </c>
      <c r="D1444" s="18" t="s">
        <v>34</v>
      </c>
      <c r="E1444">
        <v>13.88</v>
      </c>
      <c r="F1444">
        <v>14.35</v>
      </c>
      <c r="G1444">
        <v>16.23</v>
      </c>
      <c r="H1444">
        <v>15.99</v>
      </c>
      <c r="I1444">
        <v>15.7</v>
      </c>
      <c r="J1444">
        <v>15.46</v>
      </c>
      <c r="K1444">
        <v>15.14</v>
      </c>
      <c r="L1444">
        <f>Tableau1[[#This Row],[Final_time]]-SUM(Tableau1[[#This Row],[0_100m]:[600_700m]])</f>
        <v>14.659999999999982</v>
      </c>
      <c r="M1444">
        <v>121.41</v>
      </c>
      <c r="N1444">
        <f>SUM(Tableau1[[#This Row],[0_100m]:[700_800m]])</f>
        <v>121.41</v>
      </c>
      <c r="O1444">
        <f>ABS(Tableau1[[#This Row],[Final_time]]-Tableau1[[#This Row],[Sum_time]])</f>
        <v>0</v>
      </c>
      <c r="P1444" s="8" t="s">
        <v>141</v>
      </c>
      <c r="Q1444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4" t="s">
        <v>143</v>
      </c>
      <c r="S1444" s="1" t="s">
        <v>114</v>
      </c>
      <c r="T1444" t="s">
        <v>150</v>
      </c>
      <c r="U1444" s="1" t="s">
        <v>69</v>
      </c>
      <c r="V1444" s="1">
        <v>44763</v>
      </c>
      <c r="W1444" s="4">
        <f>YEAR(Tableau1[[#This Row],[Competition_date]])</f>
        <v>2022</v>
      </c>
      <c r="X1444" s="4">
        <v>28</v>
      </c>
      <c r="Y1444" s="6">
        <v>0.51</v>
      </c>
      <c r="Z1444" s="4"/>
      <c r="AA1444" t="s">
        <v>162</v>
      </c>
    </row>
    <row r="1445" spans="1:27" hidden="1" x14ac:dyDescent="0.35">
      <c r="A1445" t="str">
        <f>_xlfn.CONCAT(Tableau1[[#This Row],[Athletes]],"_",Tableau1[[#This Row],[Nationality]],"_",Tableau1[[#This Row],[Competition_year]])</f>
        <v>Ellie BAKER_GBR_2022</v>
      </c>
      <c r="B1445" t="s">
        <v>262</v>
      </c>
      <c r="C1445" t="s">
        <v>29</v>
      </c>
      <c r="D1445" s="18" t="s">
        <v>30</v>
      </c>
      <c r="E1445">
        <v>13.94</v>
      </c>
      <c r="F1445">
        <v>14.44</v>
      </c>
      <c r="G1445">
        <v>16.350000000000001</v>
      </c>
      <c r="H1445">
        <v>16.170000000000002</v>
      </c>
      <c r="I1445">
        <v>15.65</v>
      </c>
      <c r="J1445">
        <v>15.19</v>
      </c>
      <c r="K1445">
        <v>15.19</v>
      </c>
      <c r="L1445">
        <f>Tableau1[[#This Row],[Final_time]]-SUM(Tableau1[[#This Row],[0_100m]:[600_700m]])</f>
        <v>14.789999999999992</v>
      </c>
      <c r="M1445">
        <v>121.72</v>
      </c>
      <c r="N1445">
        <f>SUM(Tableau1[[#This Row],[0_100m]:[700_800m]])</f>
        <v>121.72</v>
      </c>
      <c r="O1445">
        <f>ABS(Tableau1[[#This Row],[Final_time]]-Tableau1[[#This Row],[Sum_time]])</f>
        <v>0</v>
      </c>
      <c r="P1445" s="8" t="s">
        <v>141</v>
      </c>
      <c r="Q1445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5" t="s">
        <v>143</v>
      </c>
      <c r="S1445" s="1" t="s">
        <v>114</v>
      </c>
      <c r="T1445" t="s">
        <v>150</v>
      </c>
      <c r="U1445" s="1" t="s">
        <v>69</v>
      </c>
      <c r="V1445" s="1">
        <v>44763</v>
      </c>
      <c r="W1445" s="4">
        <f>YEAR(Tableau1[[#This Row],[Competition_date]])</f>
        <v>2022</v>
      </c>
      <c r="X1445" s="4">
        <v>28</v>
      </c>
      <c r="Y1445" s="6">
        <v>0.51</v>
      </c>
      <c r="Z1445" s="4"/>
      <c r="AA1445" t="s">
        <v>162</v>
      </c>
    </row>
    <row r="1446" spans="1:27" hidden="1" x14ac:dyDescent="0.35">
      <c r="A1446" t="str">
        <f>_xlfn.CONCAT(Tableau1[[#This Row],[Athletes]],"_",Tableau1[[#This Row],[Nationality]],"_",Tableau1[[#This Row],[Competition_year]])</f>
        <v>Rose Mary ALMANZA_CUB_2022</v>
      </c>
      <c r="B1446" t="s">
        <v>263</v>
      </c>
      <c r="C1446" t="s">
        <v>29</v>
      </c>
      <c r="D1446" s="18" t="s">
        <v>165</v>
      </c>
      <c r="E1446">
        <v>13.72</v>
      </c>
      <c r="F1446">
        <v>14.47</v>
      </c>
      <c r="G1446">
        <v>16.149999999999999</v>
      </c>
      <c r="H1446">
        <v>16.239999999999998</v>
      </c>
      <c r="I1446">
        <v>15.65</v>
      </c>
      <c r="J1446">
        <v>15.49</v>
      </c>
      <c r="K1446">
        <v>15.11</v>
      </c>
      <c r="L1446">
        <f>Tableau1[[#This Row],[Final_time]]-SUM(Tableau1[[#This Row],[0_100m]:[600_700m]])</f>
        <v>15.129999999999995</v>
      </c>
      <c r="M1446">
        <v>121.96</v>
      </c>
      <c r="N1446">
        <f>SUM(Tableau1[[#This Row],[0_100m]:[700_800m]])</f>
        <v>121.96</v>
      </c>
      <c r="O1446">
        <f>ABS(Tableau1[[#This Row],[Final_time]]-Tableau1[[#This Row],[Sum_time]])</f>
        <v>0</v>
      </c>
      <c r="P1446" s="8"/>
      <c r="Q1446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6" t="s">
        <v>143</v>
      </c>
      <c r="S1446" s="1" t="s">
        <v>114</v>
      </c>
      <c r="T1446" t="s">
        <v>150</v>
      </c>
      <c r="U1446" s="1" t="s">
        <v>69</v>
      </c>
      <c r="V1446" s="1">
        <v>44763</v>
      </c>
      <c r="W1446" s="4">
        <f>YEAR(Tableau1[[#This Row],[Competition_date]])</f>
        <v>2022</v>
      </c>
      <c r="X1446" s="4">
        <v>28</v>
      </c>
      <c r="Y1446" s="6">
        <v>0.51</v>
      </c>
      <c r="Z1446" s="4"/>
      <c r="AA1446" t="s">
        <v>162</v>
      </c>
    </row>
    <row r="1447" spans="1:27" hidden="1" x14ac:dyDescent="0.35">
      <c r="A1447" t="str">
        <f>_xlfn.CONCAT(Tableau1[[#This Row],[Athletes]],"_",Tableau1[[#This Row],[Nationality]],"_",Tableau1[[#This Row],[Competition_year]])</f>
        <v>Olha LYAKHOVA_UKR_2022</v>
      </c>
      <c r="B1447" t="s">
        <v>264</v>
      </c>
      <c r="C1447" t="s">
        <v>29</v>
      </c>
      <c r="D1447" s="18" t="s">
        <v>166</v>
      </c>
      <c r="E1447">
        <v>13.87</v>
      </c>
      <c r="F1447">
        <v>14.52</v>
      </c>
      <c r="G1447">
        <v>16.45</v>
      </c>
      <c r="H1447">
        <v>16.11</v>
      </c>
      <c r="I1447">
        <v>16.04</v>
      </c>
      <c r="J1447">
        <v>15.2</v>
      </c>
      <c r="K1447">
        <v>14.83</v>
      </c>
      <c r="L1447">
        <f>Tableau1[[#This Row],[Final_time]]-SUM(Tableau1[[#This Row],[0_100m]:[600_700m]])</f>
        <v>15.139999999999986</v>
      </c>
      <c r="M1447">
        <v>122.16</v>
      </c>
      <c r="N1447">
        <f>SUM(Tableau1[[#This Row],[0_100m]:[700_800m]])</f>
        <v>122.16</v>
      </c>
      <c r="O1447">
        <f>ABS(Tableau1[[#This Row],[Final_time]]-Tableau1[[#This Row],[Sum_time]])</f>
        <v>0</v>
      </c>
      <c r="P1447" s="8"/>
      <c r="Q1447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7" t="s">
        <v>143</v>
      </c>
      <c r="S1447" s="1" t="s">
        <v>114</v>
      </c>
      <c r="T1447" t="s">
        <v>150</v>
      </c>
      <c r="U1447" s="1" t="s">
        <v>69</v>
      </c>
      <c r="V1447" s="1">
        <v>44763</v>
      </c>
      <c r="W1447" s="4">
        <f>YEAR(Tableau1[[#This Row],[Competition_date]])</f>
        <v>2022</v>
      </c>
      <c r="X1447" s="4">
        <v>28</v>
      </c>
      <c r="Y1447" s="6">
        <v>0.51</v>
      </c>
      <c r="Z1447" s="4"/>
      <c r="AA1447" t="s">
        <v>162</v>
      </c>
    </row>
    <row r="1448" spans="1:27" hidden="1" x14ac:dyDescent="0.35">
      <c r="A1448" t="str">
        <f>_xlfn.CONCAT(Tableau1[[#This Row],[Athletes]],"_",Tableau1[[#This Row],[Nationality]],"_",Tableau1[[#This Row],[Competition_year]])</f>
        <v>Assia RAZIKI_MAR_2022</v>
      </c>
      <c r="B1448" t="s">
        <v>265</v>
      </c>
      <c r="C1448" t="s">
        <v>29</v>
      </c>
      <c r="D1448" s="18" t="s">
        <v>21</v>
      </c>
      <c r="E1448">
        <v>13.75</v>
      </c>
      <c r="F1448">
        <v>14.54</v>
      </c>
      <c r="G1448">
        <v>16.32</v>
      </c>
      <c r="H1448">
        <v>16.11</v>
      </c>
      <c r="I1448">
        <v>15.91</v>
      </c>
      <c r="J1448">
        <v>15.47</v>
      </c>
      <c r="K1448">
        <v>15.87</v>
      </c>
      <c r="L1448">
        <f>Tableau1[[#This Row],[Final_time]]-SUM(Tableau1[[#This Row],[0_100m]:[600_700m]])</f>
        <v>15.799999999999997</v>
      </c>
      <c r="M1448">
        <v>123.77</v>
      </c>
      <c r="N1448">
        <f>SUM(Tableau1[[#This Row],[0_100m]:[700_800m]])</f>
        <v>123.77</v>
      </c>
      <c r="O1448">
        <f>ABS(Tableau1[[#This Row],[Final_time]]-Tableau1[[#This Row],[Sum_time]])</f>
        <v>0</v>
      </c>
      <c r="P1448" s="8"/>
      <c r="Q1448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8" t="s">
        <v>143</v>
      </c>
      <c r="S1448" s="1" t="s">
        <v>114</v>
      </c>
      <c r="T1448" t="s">
        <v>150</v>
      </c>
      <c r="U1448" s="1" t="s">
        <v>69</v>
      </c>
      <c r="V1448" s="1">
        <v>44763</v>
      </c>
      <c r="W1448" s="4">
        <f>YEAR(Tableau1[[#This Row],[Competition_date]])</f>
        <v>2022</v>
      </c>
      <c r="X1448" s="4">
        <v>28</v>
      </c>
      <c r="Y1448" s="6">
        <v>0.51</v>
      </c>
      <c r="Z1448" s="4"/>
      <c r="AA1448" t="s">
        <v>162</v>
      </c>
    </row>
    <row r="1449" spans="1:27" hidden="1" x14ac:dyDescent="0.35">
      <c r="A1449" t="str">
        <f>_xlfn.CONCAT(Tableau1[[#This Row],[Athletes]],"_",Tableau1[[#This Row],[Nationality]],"_",Tableau1[[#This Row],[Competition_year]])</f>
        <v>Tess KIRSOPP-COLE_AUS_2022</v>
      </c>
      <c r="B1449" t="s">
        <v>266</v>
      </c>
      <c r="C1449" t="s">
        <v>29</v>
      </c>
      <c r="D1449" s="18" t="s">
        <v>36</v>
      </c>
      <c r="E1449">
        <v>14.1</v>
      </c>
      <c r="F1449">
        <v>14.21</v>
      </c>
      <c r="G1449">
        <v>16.28</v>
      </c>
      <c r="H1449">
        <v>16.079999999999998</v>
      </c>
      <c r="I1449">
        <v>16.010000000000002</v>
      </c>
      <c r="J1449">
        <v>15.29</v>
      </c>
      <c r="K1449">
        <v>16.239999999999998</v>
      </c>
      <c r="L1449">
        <f>Tableau1[[#This Row],[Final_time]]-SUM(Tableau1[[#This Row],[0_100m]:[600_700m]])</f>
        <v>17.53</v>
      </c>
      <c r="M1449">
        <v>125.74</v>
      </c>
      <c r="N1449">
        <f>SUM(Tableau1[[#This Row],[0_100m]:[700_800m]])</f>
        <v>125.74</v>
      </c>
      <c r="O1449">
        <f>ABS(Tableau1[[#This Row],[Final_time]]-Tableau1[[#This Row],[Sum_time]])</f>
        <v>0</v>
      </c>
      <c r="P1449" s="8"/>
      <c r="Q1449" s="16" t="str">
        <f>_xlfn.CONCAT(Tableau1[[#This Row],[Competition]],"_",Tableau1[[#This Row],[Championship_step]],"_",Tableau1[[#This Row],[Competition_date]],"_",Tableau1[[#This Row],[Gender]])</f>
        <v>World Championships Eugene 2022_Heat 3 _44763_Female</v>
      </c>
      <c r="R1449" t="s">
        <v>143</v>
      </c>
      <c r="S1449" s="1" t="s">
        <v>114</v>
      </c>
      <c r="T1449" t="s">
        <v>150</v>
      </c>
      <c r="U1449" s="1" t="s">
        <v>69</v>
      </c>
      <c r="V1449" s="1">
        <v>44763</v>
      </c>
      <c r="W1449" s="4">
        <f>YEAR(Tableau1[[#This Row],[Competition_date]])</f>
        <v>2022</v>
      </c>
      <c r="X1449" s="4">
        <v>28</v>
      </c>
      <c r="Y1449" s="6">
        <v>0.51</v>
      </c>
      <c r="Z1449" s="4"/>
      <c r="AA1449" t="s">
        <v>162</v>
      </c>
    </row>
    <row r="1450" spans="1:27" hidden="1" x14ac:dyDescent="0.35">
      <c r="A1450" t="str">
        <f>_xlfn.CONCAT(Tableau1[[#This Row],[Athletes]],"_",Tableau1[[#This Row],[Nationality]],"_",Tableau1[[#This Row],[Competition_year]])</f>
        <v>Djamel SEDJATI_ALG_2022</v>
      </c>
      <c r="B1450" t="s">
        <v>170</v>
      </c>
      <c r="C1450" t="s">
        <v>14</v>
      </c>
      <c r="D1450" s="18" t="s">
        <v>24</v>
      </c>
      <c r="E1450">
        <v>13.01</v>
      </c>
      <c r="F1450">
        <v>12.94</v>
      </c>
      <c r="G1450">
        <v>14.66</v>
      </c>
      <c r="H1450">
        <v>14.2</v>
      </c>
      <c r="I1450">
        <v>13.3</v>
      </c>
      <c r="J1450">
        <v>12.62</v>
      </c>
      <c r="K1450">
        <v>12.87</v>
      </c>
      <c r="L1450">
        <f>Tableau1[[#This Row],[Final_time]]-SUM(Tableau1[[#This Row],[0_100m]:[600_700m]])</f>
        <v>12.789999999999992</v>
      </c>
      <c r="M1450">
        <v>106.39</v>
      </c>
      <c r="N1450">
        <f>SUM(Tableau1[[#This Row],[0_100m]:[700_800m]])</f>
        <v>106.39</v>
      </c>
      <c r="O1450">
        <f>ABS(Tableau1[[#This Row],[Final_time]]-Tableau1[[#This Row],[Sum_time]])</f>
        <v>0</v>
      </c>
      <c r="P1450" s="8" t="s">
        <v>141</v>
      </c>
      <c r="Q1450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0" t="s">
        <v>143</v>
      </c>
      <c r="S1450" s="1" t="s">
        <v>114</v>
      </c>
      <c r="T1450" t="s">
        <v>151</v>
      </c>
      <c r="U1450" s="1" t="s">
        <v>69</v>
      </c>
      <c r="V1450" s="1">
        <v>44762</v>
      </c>
      <c r="W1450" s="4">
        <f>YEAR(Tableau1[[#This Row],[Competition_date]])</f>
        <v>2022</v>
      </c>
      <c r="X1450" s="4">
        <v>33</v>
      </c>
      <c r="Y1450" s="6">
        <v>0.35</v>
      </c>
      <c r="Z1450" s="4"/>
      <c r="AA1450" t="s">
        <v>144</v>
      </c>
    </row>
    <row r="1451" spans="1:27" hidden="1" x14ac:dyDescent="0.35">
      <c r="A1451" t="str">
        <f>_xlfn.CONCAT(Tableau1[[#This Row],[Athletes]],"_",Tableau1[[#This Row],[Nationality]],"_",Tableau1[[#This Row],[Competition_year]])</f>
        <v>Abdessalem AYOUNI_TUN_2022</v>
      </c>
      <c r="B1451" t="s">
        <v>202</v>
      </c>
      <c r="C1451" t="s">
        <v>14</v>
      </c>
      <c r="D1451" s="18" t="s">
        <v>124</v>
      </c>
      <c r="E1451">
        <v>12.95</v>
      </c>
      <c r="F1451">
        <v>13.16</v>
      </c>
      <c r="G1451">
        <v>14.68</v>
      </c>
      <c r="H1451">
        <v>14.23</v>
      </c>
      <c r="I1451">
        <v>13.33</v>
      </c>
      <c r="J1451">
        <v>12.87</v>
      </c>
      <c r="K1451">
        <v>12.7</v>
      </c>
      <c r="L1451">
        <f>Tableau1[[#This Row],[Final_time]]-SUM(Tableau1[[#This Row],[0_100m]:[600_700m]])</f>
        <v>12.670000000000002</v>
      </c>
      <c r="M1451">
        <v>106.59</v>
      </c>
      <c r="N1451">
        <f>SUM(Tableau1[[#This Row],[0_100m]:[700_800m]])</f>
        <v>106.59</v>
      </c>
      <c r="O1451">
        <f>ABS(Tableau1[[#This Row],[Final_time]]-Tableau1[[#This Row],[Sum_time]])</f>
        <v>0</v>
      </c>
      <c r="P1451" s="8" t="s">
        <v>141</v>
      </c>
      <c r="Q1451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1" t="s">
        <v>143</v>
      </c>
      <c r="S1451" s="1" t="s">
        <v>114</v>
      </c>
      <c r="T1451" t="s">
        <v>151</v>
      </c>
      <c r="U1451" s="1" t="s">
        <v>69</v>
      </c>
      <c r="V1451" s="1">
        <v>44762</v>
      </c>
      <c r="W1451" s="4">
        <f>YEAR(Tableau1[[#This Row],[Competition_date]])</f>
        <v>2022</v>
      </c>
      <c r="X1451" s="4">
        <v>33</v>
      </c>
      <c r="Y1451" s="6">
        <v>0.35</v>
      </c>
      <c r="Z1451" s="4"/>
      <c r="AA1451" t="s">
        <v>144</v>
      </c>
    </row>
    <row r="1452" spans="1:27" hidden="1" x14ac:dyDescent="0.35">
      <c r="A1452" t="str">
        <f>_xlfn.CONCAT(Tableau1[[#This Row],[Athletes]],"_",Tableau1[[#This Row],[Nationality]],"_",Tableau1[[#This Row],[Competition_year]])</f>
        <v>Tony VAN DIEPEN_NED_2022</v>
      </c>
      <c r="B1452" t="s">
        <v>247</v>
      </c>
      <c r="C1452" t="s">
        <v>14</v>
      </c>
      <c r="D1452" s="18" t="s">
        <v>158</v>
      </c>
      <c r="E1452">
        <v>13.13</v>
      </c>
      <c r="F1452">
        <v>12.75</v>
      </c>
      <c r="G1452">
        <v>14.51</v>
      </c>
      <c r="H1452">
        <v>14.28</v>
      </c>
      <c r="I1452">
        <v>13.29</v>
      </c>
      <c r="J1452">
        <v>12.8</v>
      </c>
      <c r="K1452">
        <v>12.71</v>
      </c>
      <c r="L1452">
        <f>Tableau1[[#This Row],[Final_time]]-SUM(Tableau1[[#This Row],[0_100m]:[600_700m]])</f>
        <v>13.120000000000005</v>
      </c>
      <c r="M1452">
        <v>106.59</v>
      </c>
      <c r="N1452">
        <f>SUM(Tableau1[[#This Row],[0_100m]:[700_800m]])</f>
        <v>106.59</v>
      </c>
      <c r="O1452">
        <f>ABS(Tableau1[[#This Row],[Final_time]]-Tableau1[[#This Row],[Sum_time]])</f>
        <v>0</v>
      </c>
      <c r="P1452" s="8" t="s">
        <v>141</v>
      </c>
      <c r="Q1452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2" t="s">
        <v>143</v>
      </c>
      <c r="S1452" s="1" t="s">
        <v>114</v>
      </c>
      <c r="T1452" t="s">
        <v>151</v>
      </c>
      <c r="U1452" s="1" t="s">
        <v>69</v>
      </c>
      <c r="V1452" s="1">
        <v>44762</v>
      </c>
      <c r="W1452" s="4">
        <f>YEAR(Tableau1[[#This Row],[Competition_date]])</f>
        <v>2022</v>
      </c>
      <c r="X1452" s="4">
        <v>33</v>
      </c>
      <c r="Y1452" s="6">
        <v>0.35</v>
      </c>
      <c r="Z1452" s="4"/>
      <c r="AA1452" t="s">
        <v>144</v>
      </c>
    </row>
    <row r="1453" spans="1:27" hidden="1" x14ac:dyDescent="0.35">
      <c r="A1453" t="str">
        <f>_xlfn.CONCAT(Tableau1[[#This Row],[Athletes]],"_",Tableau1[[#This Row],[Nationality]],"_",Tableau1[[#This Row],[Competition_year]])</f>
        <v>Adrián BEN_ESP_2022</v>
      </c>
      <c r="B1453" t="s">
        <v>184</v>
      </c>
      <c r="C1453" t="s">
        <v>14</v>
      </c>
      <c r="D1453" s="18" t="s">
        <v>37</v>
      </c>
      <c r="E1453">
        <v>13.11</v>
      </c>
      <c r="F1453">
        <v>12.77</v>
      </c>
      <c r="G1453">
        <v>14.37</v>
      </c>
      <c r="H1453">
        <v>14.29</v>
      </c>
      <c r="I1453">
        <v>13.06</v>
      </c>
      <c r="J1453">
        <v>13.03</v>
      </c>
      <c r="K1453">
        <v>12.82</v>
      </c>
      <c r="L1453">
        <f>Tableau1[[#This Row],[Final_time]]-SUM(Tableau1[[#This Row],[0_100m]:[600_700m]])</f>
        <v>13.260000000000005</v>
      </c>
      <c r="M1453">
        <v>106.71</v>
      </c>
      <c r="N1453">
        <f>SUM(Tableau1[[#This Row],[0_100m]:[700_800m]])</f>
        <v>106.71</v>
      </c>
      <c r="O1453">
        <f>ABS(Tableau1[[#This Row],[Final_time]]-Tableau1[[#This Row],[Sum_time]])</f>
        <v>0</v>
      </c>
      <c r="P1453" s="8"/>
      <c r="Q1453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3" t="s">
        <v>143</v>
      </c>
      <c r="S1453" s="1" t="s">
        <v>114</v>
      </c>
      <c r="T1453" t="s">
        <v>151</v>
      </c>
      <c r="U1453" s="1" t="s">
        <v>69</v>
      </c>
      <c r="V1453" s="1">
        <v>44762</v>
      </c>
      <c r="W1453" s="4">
        <f>YEAR(Tableau1[[#This Row],[Competition_date]])</f>
        <v>2022</v>
      </c>
      <c r="X1453" s="4">
        <v>33</v>
      </c>
      <c r="Y1453" s="6">
        <v>0.35</v>
      </c>
      <c r="Z1453" s="4"/>
      <c r="AA1453" t="s">
        <v>144</v>
      </c>
    </row>
    <row r="1454" spans="1:27" hidden="1" x14ac:dyDescent="0.35">
      <c r="A1454" t="str">
        <f>_xlfn.CONCAT(Tableau1[[#This Row],[Athletes]],"_",Tableau1[[#This Row],[Nationality]],"_",Tableau1[[#This Row],[Competition_year]])</f>
        <v>Brandon MILLER_USA_2022</v>
      </c>
      <c r="B1454" t="s">
        <v>248</v>
      </c>
      <c r="C1454" t="s">
        <v>14</v>
      </c>
      <c r="D1454" s="18" t="s">
        <v>35</v>
      </c>
      <c r="E1454">
        <v>13.08</v>
      </c>
      <c r="F1454">
        <v>13.02</v>
      </c>
      <c r="G1454">
        <v>14.28</v>
      </c>
      <c r="H1454">
        <v>14.27</v>
      </c>
      <c r="I1454">
        <v>13.12</v>
      </c>
      <c r="J1454">
        <v>13.08</v>
      </c>
      <c r="K1454">
        <v>13.1</v>
      </c>
      <c r="L1454">
        <f>Tableau1[[#This Row],[Final_time]]-SUM(Tableau1[[#This Row],[0_100m]:[600_700m]])</f>
        <v>13.340000000000003</v>
      </c>
      <c r="M1454">
        <v>107.29</v>
      </c>
      <c r="N1454">
        <f>SUM(Tableau1[[#This Row],[0_100m]:[700_800m]])</f>
        <v>107.29</v>
      </c>
      <c r="O1454">
        <f>ABS(Tableau1[[#This Row],[Final_time]]-Tableau1[[#This Row],[Sum_time]])</f>
        <v>0</v>
      </c>
      <c r="P1454" s="8"/>
      <c r="Q1454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4" t="s">
        <v>143</v>
      </c>
      <c r="S1454" s="1" t="s">
        <v>114</v>
      </c>
      <c r="T1454" t="s">
        <v>151</v>
      </c>
      <c r="U1454" s="1" t="s">
        <v>69</v>
      </c>
      <c r="V1454" s="1">
        <v>44762</v>
      </c>
      <c r="W1454" s="4">
        <f>YEAR(Tableau1[[#This Row],[Competition_date]])</f>
        <v>2022</v>
      </c>
      <c r="X1454" s="4">
        <v>33</v>
      </c>
      <c r="Y1454" s="6">
        <v>0.35</v>
      </c>
      <c r="Z1454" s="4"/>
      <c r="AA1454" t="s">
        <v>144</v>
      </c>
    </row>
    <row r="1455" spans="1:27" hidden="1" x14ac:dyDescent="0.35">
      <c r="A1455" t="str">
        <f>_xlfn.CONCAT(Tableau1[[#This Row],[Athletes]],"_",Tableau1[[#This Row],[Nationality]],"_",Tableau1[[#This Row],[Competition_year]])</f>
        <v>Tshepo TSHITE_RSA_2022</v>
      </c>
      <c r="B1455" t="s">
        <v>249</v>
      </c>
      <c r="C1455" t="s">
        <v>14</v>
      </c>
      <c r="D1455" s="18" t="s">
        <v>96</v>
      </c>
      <c r="E1455">
        <v>13.03</v>
      </c>
      <c r="F1455">
        <v>12.93</v>
      </c>
      <c r="G1455">
        <v>14.68</v>
      </c>
      <c r="H1455">
        <v>14.3</v>
      </c>
      <c r="I1455">
        <v>13.36</v>
      </c>
      <c r="J1455">
        <v>12.91</v>
      </c>
      <c r="K1455">
        <v>13</v>
      </c>
      <c r="L1455">
        <f>Tableau1[[#This Row],[Final_time]]-SUM(Tableau1[[#This Row],[0_100m]:[600_700m]])</f>
        <v>13.400000000000006</v>
      </c>
      <c r="M1455">
        <v>107.61</v>
      </c>
      <c r="N1455">
        <f>SUM(Tableau1[[#This Row],[0_100m]:[700_800m]])</f>
        <v>107.61</v>
      </c>
      <c r="O1455">
        <f>ABS(Tableau1[[#This Row],[Final_time]]-Tableau1[[#This Row],[Sum_time]])</f>
        <v>0</v>
      </c>
      <c r="P1455" s="8"/>
      <c r="Q1455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5" t="s">
        <v>143</v>
      </c>
      <c r="S1455" s="1" t="s">
        <v>114</v>
      </c>
      <c r="T1455" t="s">
        <v>151</v>
      </c>
      <c r="U1455" s="1" t="s">
        <v>69</v>
      </c>
      <c r="V1455" s="1">
        <v>44762</v>
      </c>
      <c r="W1455" s="4">
        <f>YEAR(Tableau1[[#This Row],[Competition_date]])</f>
        <v>2022</v>
      </c>
      <c r="X1455" s="4">
        <v>33</v>
      </c>
      <c r="Y1455" s="6">
        <v>0.35</v>
      </c>
      <c r="Z1455" s="4"/>
      <c r="AA1455" t="s">
        <v>144</v>
      </c>
    </row>
    <row r="1456" spans="1:27" hidden="1" x14ac:dyDescent="0.35">
      <c r="A1456" t="str">
        <f>_xlfn.CONCAT(Tableau1[[#This Row],[Athletes]],"_",Tableau1[[#This Row],[Nationality]],"_",Tableau1[[#This Row],[Competition_year]])</f>
        <v>Brad MATHAS_NZL_2022</v>
      </c>
      <c r="B1456" t="s">
        <v>189</v>
      </c>
      <c r="C1456" t="s">
        <v>14</v>
      </c>
      <c r="D1456" s="18" t="s">
        <v>116</v>
      </c>
      <c r="E1456">
        <v>13.05</v>
      </c>
      <c r="F1456">
        <v>12.8</v>
      </c>
      <c r="G1456">
        <v>14.37</v>
      </c>
      <c r="H1456">
        <v>14.24</v>
      </c>
      <c r="I1456">
        <v>13.09</v>
      </c>
      <c r="J1456">
        <v>13.07</v>
      </c>
      <c r="K1456">
        <v>12.99</v>
      </c>
      <c r="L1456">
        <f>Tableau1[[#This Row],[Final_time]]-SUM(Tableau1[[#This Row],[0_100m]:[600_700m]])</f>
        <v>14.090000000000003</v>
      </c>
      <c r="M1456">
        <v>107.7</v>
      </c>
      <c r="N1456">
        <f>SUM(Tableau1[[#This Row],[0_100m]:[700_800m]])</f>
        <v>107.7</v>
      </c>
      <c r="O1456">
        <f>ABS(Tableau1[[#This Row],[Final_time]]-Tableau1[[#This Row],[Sum_time]])</f>
        <v>0</v>
      </c>
      <c r="P1456" s="8"/>
      <c r="Q1456" s="16" t="str">
        <f>_xlfn.CONCAT(Tableau1[[#This Row],[Competition]],"_",Tableau1[[#This Row],[Championship_step]],"_",Tableau1[[#This Row],[Competition_date]],"_",Tableau1[[#This Row],[Gender]])</f>
        <v>World Championships Eugene 2022_Heat 4_44762_Male</v>
      </c>
      <c r="R1456" t="s">
        <v>143</v>
      </c>
      <c r="S1456" s="1" t="s">
        <v>114</v>
      </c>
      <c r="T1456" t="s">
        <v>151</v>
      </c>
      <c r="U1456" s="1" t="s">
        <v>69</v>
      </c>
      <c r="V1456" s="1">
        <v>44762</v>
      </c>
      <c r="W1456" s="4">
        <f>YEAR(Tableau1[[#This Row],[Competition_date]])</f>
        <v>2022</v>
      </c>
      <c r="X1456" s="4">
        <v>33</v>
      </c>
      <c r="Y1456" s="6">
        <v>0.35</v>
      </c>
      <c r="Z1456" s="4"/>
      <c r="AA1456" t="s">
        <v>144</v>
      </c>
    </row>
    <row r="1457" spans="1:27" hidden="1" x14ac:dyDescent="0.35">
      <c r="A1457" t="str">
        <f>_xlfn.CONCAT(Tableau1[[#This Row],[Athletes]],"_",Tableau1[[#This Row],[Nationality]],"_",Tableau1[[#This Row],[Competition_year]])</f>
        <v>Rénelle LAMOTE_FRA_2022</v>
      </c>
      <c r="B1457" t="s">
        <v>225</v>
      </c>
      <c r="C1457" t="s">
        <v>29</v>
      </c>
      <c r="D1457" s="18" t="s">
        <v>17</v>
      </c>
      <c r="E1457">
        <v>14.29</v>
      </c>
      <c r="F1457">
        <v>13.42</v>
      </c>
      <c r="G1457">
        <v>15.43</v>
      </c>
      <c r="H1457">
        <v>15.87</v>
      </c>
      <c r="I1457">
        <v>15.98</v>
      </c>
      <c r="J1457">
        <v>15.33</v>
      </c>
      <c r="K1457">
        <v>15.33</v>
      </c>
      <c r="L1457">
        <f>Tableau1[[#This Row],[Final_time]]-SUM(Tableau1[[#This Row],[0_100m]:[600_700m]])</f>
        <v>15.060000000000002</v>
      </c>
      <c r="M1457">
        <v>120.71</v>
      </c>
      <c r="N1457">
        <f>SUM(Tableau1[[#This Row],[0_100m]:[700_800m]])</f>
        <v>120.71</v>
      </c>
      <c r="O1457">
        <f>ABS(Tableau1[[#This Row],[Final_time]]-Tableau1[[#This Row],[Sum_time]])</f>
        <v>0</v>
      </c>
      <c r="P1457" s="8" t="s">
        <v>141</v>
      </c>
      <c r="Q1457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57" t="s">
        <v>143</v>
      </c>
      <c r="S1457" s="1" t="s">
        <v>114</v>
      </c>
      <c r="T1457" t="s">
        <v>151</v>
      </c>
      <c r="U1457" s="1" t="s">
        <v>69</v>
      </c>
      <c r="V1457" s="1">
        <v>44763</v>
      </c>
      <c r="W1457" s="4">
        <f>YEAR(Tableau1[[#This Row],[Competition_date]])</f>
        <v>2022</v>
      </c>
      <c r="X1457" s="4">
        <v>28</v>
      </c>
      <c r="Y1457" s="6">
        <v>0.51</v>
      </c>
      <c r="Z1457" s="4"/>
      <c r="AA1457" t="s">
        <v>162</v>
      </c>
    </row>
    <row r="1458" spans="1:27" hidden="1" x14ac:dyDescent="0.35">
      <c r="A1458" t="str">
        <f>_xlfn.CONCAT(Tableau1[[#This Row],[Athletes]],"_",Tableau1[[#This Row],[Nationality]],"_",Tableau1[[#This Row],[Competition_year]])</f>
        <v>Freweyni HAILU_ETH_2022</v>
      </c>
      <c r="B1458" t="s">
        <v>267</v>
      </c>
      <c r="C1458" t="s">
        <v>29</v>
      </c>
      <c r="D1458" s="18" t="s">
        <v>49</v>
      </c>
      <c r="E1458">
        <v>14.71</v>
      </c>
      <c r="F1458">
        <v>14.18</v>
      </c>
      <c r="G1458">
        <v>15.1</v>
      </c>
      <c r="H1458">
        <v>15.23</v>
      </c>
      <c r="I1458">
        <v>16.059999999999999</v>
      </c>
      <c r="J1458">
        <v>15.31</v>
      </c>
      <c r="K1458">
        <v>15.5</v>
      </c>
      <c r="L1458">
        <f>Tableau1[[#This Row],[Final_time]]-SUM(Tableau1[[#This Row],[0_100m]:[600_700m]])</f>
        <v>14.840000000000003</v>
      </c>
      <c r="M1458">
        <v>120.93</v>
      </c>
      <c r="N1458">
        <f>SUM(Tableau1[[#This Row],[0_100m]:[700_800m]])</f>
        <v>120.93</v>
      </c>
      <c r="O1458">
        <f>ABS(Tableau1[[#This Row],[Final_time]]-Tableau1[[#This Row],[Sum_time]])</f>
        <v>0</v>
      </c>
      <c r="P1458" s="8" t="s">
        <v>141</v>
      </c>
      <c r="Q1458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58" t="s">
        <v>143</v>
      </c>
      <c r="S1458" s="1" t="s">
        <v>114</v>
      </c>
      <c r="T1458" t="s">
        <v>151</v>
      </c>
      <c r="U1458" s="1" t="s">
        <v>69</v>
      </c>
      <c r="V1458" s="1">
        <v>44763</v>
      </c>
      <c r="W1458" s="4">
        <f>YEAR(Tableau1[[#This Row],[Competition_date]])</f>
        <v>2022</v>
      </c>
      <c r="X1458" s="4">
        <v>28</v>
      </c>
      <c r="Y1458" s="6">
        <v>0.51</v>
      </c>
      <c r="Z1458" s="4"/>
      <c r="AA1458" t="s">
        <v>162</v>
      </c>
    </row>
    <row r="1459" spans="1:27" hidden="1" x14ac:dyDescent="0.35">
      <c r="A1459" t="str">
        <f>_xlfn.CONCAT(Tableau1[[#This Row],[Athletes]],"_",Tableau1[[#This Row],[Nationality]],"_",Tableau1[[#This Row],[Competition_year]])</f>
        <v>Ajee' WILSON_USA_2022</v>
      </c>
      <c r="B1459" t="s">
        <v>549</v>
      </c>
      <c r="C1459" t="s">
        <v>29</v>
      </c>
      <c r="D1459" s="18" t="s">
        <v>35</v>
      </c>
      <c r="E1459">
        <v>13.72</v>
      </c>
      <c r="F1459">
        <v>13.97</v>
      </c>
      <c r="G1459">
        <v>15.38</v>
      </c>
      <c r="H1459">
        <v>15.87</v>
      </c>
      <c r="I1459">
        <v>16.03</v>
      </c>
      <c r="J1459">
        <v>15.38</v>
      </c>
      <c r="K1459">
        <v>15.6</v>
      </c>
      <c r="L1459">
        <f>Tableau1[[#This Row],[Final_time]]-SUM(Tableau1[[#This Row],[0_100m]:[600_700m]])</f>
        <v>15.070000000000007</v>
      </c>
      <c r="M1459">
        <v>121.02</v>
      </c>
      <c r="N1459">
        <f>SUM(Tableau1[[#This Row],[0_100m]:[700_800m]])</f>
        <v>121.02</v>
      </c>
      <c r="O1459">
        <f>ABS(Tableau1[[#This Row],[Final_time]]-Tableau1[[#This Row],[Sum_time]])</f>
        <v>0</v>
      </c>
      <c r="P1459" s="8" t="s">
        <v>141</v>
      </c>
      <c r="Q1459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59" t="s">
        <v>143</v>
      </c>
      <c r="S1459" s="1" t="s">
        <v>114</v>
      </c>
      <c r="T1459" t="s">
        <v>151</v>
      </c>
      <c r="U1459" s="1" t="s">
        <v>69</v>
      </c>
      <c r="V1459" s="1">
        <v>44763</v>
      </c>
      <c r="W1459" s="4">
        <f>YEAR(Tableau1[[#This Row],[Competition_date]])</f>
        <v>2022</v>
      </c>
      <c r="X1459" s="4">
        <v>28</v>
      </c>
      <c r="Y1459" s="6">
        <v>0.51</v>
      </c>
      <c r="Z1459" s="4"/>
      <c r="AA1459" t="s">
        <v>162</v>
      </c>
    </row>
    <row r="1460" spans="1:27" hidden="1" x14ac:dyDescent="0.35">
      <c r="A1460" t="str">
        <f>_xlfn.CONCAT(Tableau1[[#This Row],[Athletes]],"_",Tableau1[[#This Row],[Nationality]],"_",Tableau1[[#This Row],[Competition_year]])</f>
        <v>Alexandra BELL_GBR_2022</v>
      </c>
      <c r="B1460" t="s">
        <v>268</v>
      </c>
      <c r="C1460" t="s">
        <v>29</v>
      </c>
      <c r="D1460" s="18" t="s">
        <v>30</v>
      </c>
      <c r="E1460">
        <v>14.11</v>
      </c>
      <c r="F1460">
        <v>13.65</v>
      </c>
      <c r="G1460">
        <v>15.49</v>
      </c>
      <c r="H1460">
        <v>15.78</v>
      </c>
      <c r="I1460">
        <v>15.99</v>
      </c>
      <c r="J1460">
        <v>15.35</v>
      </c>
      <c r="K1460">
        <v>15.4</v>
      </c>
      <c r="L1460">
        <f>Tableau1[[#This Row],[Final_time]]-SUM(Tableau1[[#This Row],[0_100m]:[600_700m]])</f>
        <v>15.480000000000004</v>
      </c>
      <c r="M1460">
        <v>121.25</v>
      </c>
      <c r="N1460">
        <f>SUM(Tableau1[[#This Row],[0_100m]:[700_800m]])</f>
        <v>121.25</v>
      </c>
      <c r="O1460">
        <f>ABS(Tableau1[[#This Row],[Final_time]]-Tableau1[[#This Row],[Sum_time]])</f>
        <v>0</v>
      </c>
      <c r="P1460" s="8" t="s">
        <v>142</v>
      </c>
      <c r="Q1460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60" t="s">
        <v>143</v>
      </c>
      <c r="S1460" s="1" t="s">
        <v>114</v>
      </c>
      <c r="T1460" t="s">
        <v>151</v>
      </c>
      <c r="U1460" s="1" t="s">
        <v>69</v>
      </c>
      <c r="V1460" s="1">
        <v>44763</v>
      </c>
      <c r="W1460" s="4">
        <f>YEAR(Tableau1[[#This Row],[Competition_date]])</f>
        <v>2022</v>
      </c>
      <c r="X1460" s="4">
        <v>28</v>
      </c>
      <c r="Y1460" s="6">
        <v>0.51</v>
      </c>
      <c r="Z1460" s="4"/>
      <c r="AA1460" t="s">
        <v>162</v>
      </c>
    </row>
    <row r="1461" spans="1:27" hidden="1" x14ac:dyDescent="0.35">
      <c r="A1461" t="str">
        <f>_xlfn.CONCAT(Tableau1[[#This Row],[Athletes]],"_",Tableau1[[#This Row],[Nationality]],"_",Tableau1[[#This Row],[Competition_year]])</f>
        <v>Naomi KORIR_KEN_2022</v>
      </c>
      <c r="B1461" t="s">
        <v>269</v>
      </c>
      <c r="C1461" t="s">
        <v>29</v>
      </c>
      <c r="D1461" s="18" t="s">
        <v>15</v>
      </c>
      <c r="E1461">
        <v>14.32</v>
      </c>
      <c r="F1461">
        <v>14.04</v>
      </c>
      <c r="G1461">
        <v>15.33</v>
      </c>
      <c r="H1461">
        <v>16.170000000000002</v>
      </c>
      <c r="I1461">
        <v>15.86</v>
      </c>
      <c r="J1461">
        <v>15.08</v>
      </c>
      <c r="K1461">
        <v>15.58</v>
      </c>
      <c r="L1461">
        <f>Tableau1[[#This Row],[Final_time]]-SUM(Tableau1[[#This Row],[0_100m]:[600_700m]])</f>
        <v>15.230000000000004</v>
      </c>
      <c r="M1461">
        <v>121.61</v>
      </c>
      <c r="N1461">
        <f>SUM(Tableau1[[#This Row],[0_100m]:[700_800m]])</f>
        <v>121.61</v>
      </c>
      <c r="O1461">
        <f>ABS(Tableau1[[#This Row],[Final_time]]-Tableau1[[#This Row],[Sum_time]])</f>
        <v>0</v>
      </c>
      <c r="P1461" s="8" t="s">
        <v>142</v>
      </c>
      <c r="Q1461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61" t="s">
        <v>143</v>
      </c>
      <c r="S1461" s="1" t="s">
        <v>114</v>
      </c>
      <c r="T1461" t="s">
        <v>151</v>
      </c>
      <c r="U1461" s="1" t="s">
        <v>69</v>
      </c>
      <c r="V1461" s="1">
        <v>44763</v>
      </c>
      <c r="W1461" s="4">
        <f>YEAR(Tableau1[[#This Row],[Competition_date]])</f>
        <v>2022</v>
      </c>
      <c r="X1461" s="4">
        <v>28</v>
      </c>
      <c r="Y1461" s="6">
        <v>0.51</v>
      </c>
      <c r="Z1461" s="4"/>
      <c r="AA1461" t="s">
        <v>162</v>
      </c>
    </row>
    <row r="1462" spans="1:27" hidden="1" x14ac:dyDescent="0.35">
      <c r="A1462" t="str">
        <f>_xlfn.CONCAT(Tableau1[[#This Row],[Athletes]],"_",Tableau1[[#This Row],[Nationality]],"_",Tableau1[[#This Row],[Competition_year]])</f>
        <v>Shafiqua MALONEY_VIN_2022</v>
      </c>
      <c r="B1462" t="s">
        <v>270</v>
      </c>
      <c r="C1462" t="s">
        <v>29</v>
      </c>
      <c r="D1462" s="18" t="s">
        <v>72</v>
      </c>
      <c r="E1462">
        <v>14.08</v>
      </c>
      <c r="F1462">
        <v>13.97</v>
      </c>
      <c r="G1462">
        <v>15.43</v>
      </c>
      <c r="H1462">
        <v>15.92</v>
      </c>
      <c r="I1462">
        <v>16.18</v>
      </c>
      <c r="J1462">
        <v>15.57</v>
      </c>
      <c r="K1462">
        <v>15.66</v>
      </c>
      <c r="L1462">
        <f>Tableau1[[#This Row],[Final_time]]-SUM(Tableau1[[#This Row],[0_100m]:[600_700m]])</f>
        <v>16.189999999999998</v>
      </c>
      <c r="M1462">
        <v>123</v>
      </c>
      <c r="N1462">
        <f>SUM(Tableau1[[#This Row],[0_100m]:[700_800m]])</f>
        <v>123</v>
      </c>
      <c r="O1462">
        <f>ABS(Tableau1[[#This Row],[Final_time]]-Tableau1[[#This Row],[Sum_time]])</f>
        <v>0</v>
      </c>
      <c r="P1462" s="8"/>
      <c r="Q1462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62" t="s">
        <v>143</v>
      </c>
      <c r="S1462" s="1" t="s">
        <v>114</v>
      </c>
      <c r="T1462" t="s">
        <v>151</v>
      </c>
      <c r="U1462" s="1" t="s">
        <v>69</v>
      </c>
      <c r="V1462" s="1">
        <v>44763</v>
      </c>
      <c r="W1462" s="4">
        <f>YEAR(Tableau1[[#This Row],[Competition_date]])</f>
        <v>2022</v>
      </c>
      <c r="X1462" s="4">
        <v>28</v>
      </c>
      <c r="Y1462" s="6">
        <v>0.51</v>
      </c>
      <c r="Z1462" s="4"/>
      <c r="AA1462" t="s">
        <v>162</v>
      </c>
    </row>
    <row r="1463" spans="1:27" hidden="1" x14ac:dyDescent="0.35">
      <c r="A1463" t="str">
        <f>_xlfn.CONCAT(Tableau1[[#This Row],[Athletes]],"_",Tableau1[[#This Row],[Nationality]],"_",Tableau1[[#This Row],[Competition_year]])</f>
        <v>Addy TOWNSEND_CAN_2022</v>
      </c>
      <c r="B1463" t="s">
        <v>271</v>
      </c>
      <c r="C1463" t="s">
        <v>29</v>
      </c>
      <c r="D1463" s="18" t="s">
        <v>19</v>
      </c>
      <c r="E1463">
        <v>14.16</v>
      </c>
      <c r="F1463">
        <v>13.81</v>
      </c>
      <c r="G1463">
        <v>15.51</v>
      </c>
      <c r="H1463">
        <v>16.04</v>
      </c>
      <c r="I1463">
        <v>15.89</v>
      </c>
      <c r="J1463">
        <v>15.69</v>
      </c>
      <c r="K1463">
        <v>15.63</v>
      </c>
      <c r="L1463">
        <f>Tableau1[[#This Row],[Final_time]]-SUM(Tableau1[[#This Row],[0_100m]:[600_700m]])</f>
        <v>17.060000000000016</v>
      </c>
      <c r="M1463">
        <v>123.79</v>
      </c>
      <c r="N1463">
        <f>SUM(Tableau1[[#This Row],[0_100m]:[700_800m]])</f>
        <v>123.79</v>
      </c>
      <c r="O1463">
        <f>ABS(Tableau1[[#This Row],[Final_time]]-Tableau1[[#This Row],[Sum_time]])</f>
        <v>0</v>
      </c>
      <c r="P1463" s="8"/>
      <c r="Q1463" s="16" t="str">
        <f>_xlfn.CONCAT(Tableau1[[#This Row],[Competition]],"_",Tableau1[[#This Row],[Championship_step]],"_",Tableau1[[#This Row],[Competition_date]],"_",Tableau1[[#This Row],[Gender]])</f>
        <v>World Championships Eugene 2022_Heat 4_44763_Female</v>
      </c>
      <c r="R1463" t="s">
        <v>143</v>
      </c>
      <c r="S1463" s="1" t="s">
        <v>114</v>
      </c>
      <c r="T1463" t="s">
        <v>151</v>
      </c>
      <c r="U1463" s="1" t="s">
        <v>69</v>
      </c>
      <c r="V1463" s="1">
        <v>44763</v>
      </c>
      <c r="W1463" s="4">
        <f>YEAR(Tableau1[[#This Row],[Competition_date]])</f>
        <v>2022</v>
      </c>
      <c r="X1463" s="4">
        <v>28</v>
      </c>
      <c r="Y1463" s="6">
        <v>0.51</v>
      </c>
      <c r="Z1463" s="4"/>
      <c r="AA1463" t="s">
        <v>162</v>
      </c>
    </row>
    <row r="1464" spans="1:27" hidden="1" x14ac:dyDescent="0.35">
      <c r="A1464" t="str">
        <f>_xlfn.CONCAT(Tableau1[[#This Row],[Athletes]],"_",Tableau1[[#This Row],[Nationality]],"_",Tableau1[[#This Row],[Competition_year]])</f>
        <v>Marco AROP_CAN_2022</v>
      </c>
      <c r="B1464" t="s">
        <v>177</v>
      </c>
      <c r="C1464" t="s">
        <v>14</v>
      </c>
      <c r="D1464" s="18" t="s">
        <v>19</v>
      </c>
      <c r="E1464">
        <v>13.1</v>
      </c>
      <c r="F1464">
        <v>11.7</v>
      </c>
      <c r="G1464">
        <v>13.47</v>
      </c>
      <c r="H1464">
        <v>13.33</v>
      </c>
      <c r="I1464">
        <v>13.43</v>
      </c>
      <c r="J1464">
        <v>12.93</v>
      </c>
      <c r="K1464">
        <v>13.14</v>
      </c>
      <c r="L1464">
        <f>Tableau1[[#This Row],[Final_time]]-SUM(Tableau1[[#This Row],[0_100m]:[600_700m]])</f>
        <v>13.459999999999994</v>
      </c>
      <c r="M1464">
        <v>104.56</v>
      </c>
      <c r="N1464">
        <f>SUM(Tableau1[[#This Row],[0_100m]:[700_800m]])</f>
        <v>104.56</v>
      </c>
      <c r="O1464">
        <f>ABS(Tableau1[[#This Row],[Final_time]]-Tableau1[[#This Row],[Sum_time]])</f>
        <v>0</v>
      </c>
      <c r="P1464" s="8" t="s">
        <v>141</v>
      </c>
      <c r="Q1464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64" t="s">
        <v>143</v>
      </c>
      <c r="S1464" s="1" t="s">
        <v>114</v>
      </c>
      <c r="T1464" t="s">
        <v>152</v>
      </c>
      <c r="U1464" s="1" t="s">
        <v>69</v>
      </c>
      <c r="V1464" s="1">
        <v>44762</v>
      </c>
      <c r="W1464" s="4">
        <f>YEAR(Tableau1[[#This Row],[Competition_date]])</f>
        <v>2022</v>
      </c>
      <c r="X1464" s="4">
        <v>33</v>
      </c>
      <c r="Y1464" s="6">
        <v>0.35</v>
      </c>
      <c r="Z1464" s="4"/>
      <c r="AA1464" t="s">
        <v>144</v>
      </c>
    </row>
    <row r="1465" spans="1:27" hidden="1" x14ac:dyDescent="0.35">
      <c r="A1465" t="str">
        <f>_xlfn.CONCAT(Tableau1[[#This Row],[Athletes]],"_",Tableau1[[#This Row],[Nationality]],"_",Tableau1[[#This Row],[Competition_year]])</f>
        <v>Jesus Tonatiu LÓPEZ_MEX_2022</v>
      </c>
      <c r="B1465" t="s">
        <v>893</v>
      </c>
      <c r="C1465" t="s">
        <v>14</v>
      </c>
      <c r="D1465" s="18" t="s">
        <v>159</v>
      </c>
      <c r="E1465">
        <v>12.75</v>
      </c>
      <c r="F1465">
        <v>12.34</v>
      </c>
      <c r="G1465">
        <v>13.5</v>
      </c>
      <c r="H1465">
        <v>13.36</v>
      </c>
      <c r="I1465">
        <v>13.66</v>
      </c>
      <c r="J1465">
        <v>12.41</v>
      </c>
      <c r="K1465">
        <v>13.26</v>
      </c>
      <c r="L1465">
        <f>Tableau1[[#This Row],[Final_time]]-SUM(Tableau1[[#This Row],[0_100m]:[600_700m]])</f>
        <v>13.39</v>
      </c>
      <c r="M1465">
        <v>104.67</v>
      </c>
      <c r="N1465">
        <f>SUM(Tableau1[[#This Row],[0_100m]:[700_800m]])</f>
        <v>104.67</v>
      </c>
      <c r="O1465">
        <f>ABS(Tableau1[[#This Row],[Final_time]]-Tableau1[[#This Row],[Sum_time]])</f>
        <v>0</v>
      </c>
      <c r="P1465" s="8" t="s">
        <v>141</v>
      </c>
      <c r="Q1465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65" t="s">
        <v>143</v>
      </c>
      <c r="S1465" s="1" t="s">
        <v>114</v>
      </c>
      <c r="T1465" t="s">
        <v>152</v>
      </c>
      <c r="U1465" s="1" t="s">
        <v>69</v>
      </c>
      <c r="V1465" s="1">
        <v>44762</v>
      </c>
      <c r="W1465" s="4">
        <f>YEAR(Tableau1[[#This Row],[Competition_date]])</f>
        <v>2022</v>
      </c>
      <c r="X1465" s="4">
        <v>33</v>
      </c>
      <c r="Y1465" s="6">
        <v>0.35</v>
      </c>
      <c r="Z1465" s="4"/>
      <c r="AA1465" t="s">
        <v>144</v>
      </c>
    </row>
    <row r="1466" spans="1:27" hidden="1" x14ac:dyDescent="0.35">
      <c r="A1466" t="str">
        <f>_xlfn.CONCAT(Tableau1[[#This Row],[Athletes]],"_",Tableau1[[#This Row],[Nationality]],"_",Tableau1[[#This Row],[Competition_year]])</f>
        <v>Mark ENGLISH_IRL_2022</v>
      </c>
      <c r="B1466" t="s">
        <v>187</v>
      </c>
      <c r="C1466" t="s">
        <v>14</v>
      </c>
      <c r="D1466" s="18" t="s">
        <v>66</v>
      </c>
      <c r="E1466">
        <v>12.93</v>
      </c>
      <c r="F1466">
        <v>11.89</v>
      </c>
      <c r="G1466">
        <v>13.31</v>
      </c>
      <c r="H1466">
        <v>13.42</v>
      </c>
      <c r="I1466">
        <v>13.4</v>
      </c>
      <c r="J1466">
        <v>13.05</v>
      </c>
      <c r="K1466">
        <v>13.29</v>
      </c>
      <c r="L1466">
        <f>Tableau1[[#This Row],[Final_time]]-SUM(Tableau1[[#This Row],[0_100m]:[600_700m]])</f>
        <v>13.470000000000013</v>
      </c>
      <c r="M1466">
        <v>104.76</v>
      </c>
      <c r="N1466">
        <f>SUM(Tableau1[[#This Row],[0_100m]:[700_800m]])</f>
        <v>104.76</v>
      </c>
      <c r="O1466">
        <f>ABS(Tableau1[[#This Row],[Final_time]]-Tableau1[[#This Row],[Sum_time]])</f>
        <v>0</v>
      </c>
      <c r="P1466" s="8" t="s">
        <v>141</v>
      </c>
      <c r="Q1466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66" t="s">
        <v>143</v>
      </c>
      <c r="S1466" s="1" t="s">
        <v>114</v>
      </c>
      <c r="T1466" t="s">
        <v>152</v>
      </c>
      <c r="U1466" s="1" t="s">
        <v>69</v>
      </c>
      <c r="V1466" s="1">
        <v>44762</v>
      </c>
      <c r="W1466" s="4">
        <f>YEAR(Tableau1[[#This Row],[Competition_date]])</f>
        <v>2022</v>
      </c>
      <c r="X1466" s="4">
        <v>33</v>
      </c>
      <c r="Y1466" s="6">
        <v>0.35</v>
      </c>
      <c r="Z1466" s="4"/>
      <c r="AA1466" t="s">
        <v>144</v>
      </c>
    </row>
    <row r="1467" spans="1:27" hidden="1" x14ac:dyDescent="0.35">
      <c r="A1467" t="str">
        <f>_xlfn.CONCAT(Tableau1[[#This Row],[Athletes]],"_",Tableau1[[#This Row],[Nationality]],"_",Tableau1[[#This Row],[Competition_year]])</f>
        <v>Catalin TECUCEANU_ITA_2022</v>
      </c>
      <c r="B1467" t="s">
        <v>179</v>
      </c>
      <c r="C1467" t="s">
        <v>14</v>
      </c>
      <c r="D1467" s="18" t="s">
        <v>20</v>
      </c>
      <c r="E1467">
        <v>12.8</v>
      </c>
      <c r="F1467">
        <v>12.24</v>
      </c>
      <c r="G1467">
        <v>13.35</v>
      </c>
      <c r="H1467">
        <v>13.41</v>
      </c>
      <c r="I1467">
        <v>13.74</v>
      </c>
      <c r="J1467">
        <v>13.48</v>
      </c>
      <c r="K1467">
        <v>13.03</v>
      </c>
      <c r="L1467">
        <f>Tableau1[[#This Row],[Final_time]]-SUM(Tableau1[[#This Row],[0_100m]:[600_700m]])</f>
        <v>12.780000000000001</v>
      </c>
      <c r="M1467">
        <v>104.83</v>
      </c>
      <c r="N1467">
        <f>SUM(Tableau1[[#This Row],[0_100m]:[700_800m]])</f>
        <v>104.83</v>
      </c>
      <c r="O1467">
        <f>ABS(Tableau1[[#This Row],[Final_time]]-Tableau1[[#This Row],[Sum_time]])</f>
        <v>0</v>
      </c>
      <c r="P1467" s="8" t="s">
        <v>142</v>
      </c>
      <c r="Q1467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67" t="s">
        <v>143</v>
      </c>
      <c r="S1467" s="1" t="s">
        <v>114</v>
      </c>
      <c r="T1467" t="s">
        <v>152</v>
      </c>
      <c r="U1467" s="1" t="s">
        <v>69</v>
      </c>
      <c r="V1467" s="1">
        <v>44762</v>
      </c>
      <c r="W1467" s="4">
        <f>YEAR(Tableau1[[#This Row],[Competition_date]])</f>
        <v>2022</v>
      </c>
      <c r="X1467" s="4">
        <v>33</v>
      </c>
      <c r="Y1467" s="6">
        <v>0.35</v>
      </c>
      <c r="Z1467" s="4"/>
      <c r="AA1467" t="s">
        <v>144</v>
      </c>
    </row>
    <row r="1468" spans="1:27" hidden="1" x14ac:dyDescent="0.35">
      <c r="A1468" t="str">
        <f>_xlfn.CONCAT(Tableau1[[#This Row],[Athletes]],"_",Tableau1[[#This Row],[Nationality]],"_",Tableau1[[#This Row],[Competition_year]])</f>
        <v>Noah KIBET_KEN_2022</v>
      </c>
      <c r="B1468" t="s">
        <v>250</v>
      </c>
      <c r="C1468" t="s">
        <v>14</v>
      </c>
      <c r="D1468" s="18" t="s">
        <v>15</v>
      </c>
      <c r="E1468">
        <v>13.06</v>
      </c>
      <c r="F1468">
        <v>12.08</v>
      </c>
      <c r="G1468">
        <v>13.33</v>
      </c>
      <c r="H1468">
        <v>13.37</v>
      </c>
      <c r="I1468">
        <v>13.41</v>
      </c>
      <c r="J1468">
        <v>12.88</v>
      </c>
      <c r="K1468">
        <v>13.44</v>
      </c>
      <c r="L1468">
        <f>Tableau1[[#This Row],[Final_time]]-SUM(Tableau1[[#This Row],[0_100m]:[600_700m]])</f>
        <v>13.840000000000003</v>
      </c>
      <c r="M1468">
        <v>105.41</v>
      </c>
      <c r="N1468">
        <f>SUM(Tableau1[[#This Row],[0_100m]:[700_800m]])</f>
        <v>105.41</v>
      </c>
      <c r="O1468">
        <f>ABS(Tableau1[[#This Row],[Final_time]]-Tableau1[[#This Row],[Sum_time]])</f>
        <v>0</v>
      </c>
      <c r="P1468" s="8" t="s">
        <v>142</v>
      </c>
      <c r="Q1468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68" t="s">
        <v>143</v>
      </c>
      <c r="S1468" s="1" t="s">
        <v>114</v>
      </c>
      <c r="T1468" t="s">
        <v>152</v>
      </c>
      <c r="U1468" s="1" t="s">
        <v>69</v>
      </c>
      <c r="V1468" s="1">
        <v>44762</v>
      </c>
      <c r="W1468" s="4">
        <f>YEAR(Tableau1[[#This Row],[Competition_date]])</f>
        <v>2022</v>
      </c>
      <c r="X1468" s="4">
        <v>33</v>
      </c>
      <c r="Y1468" s="6">
        <v>0.35</v>
      </c>
      <c r="Z1468" s="4"/>
      <c r="AA1468" t="s">
        <v>144</v>
      </c>
    </row>
    <row r="1469" spans="1:27" hidden="1" x14ac:dyDescent="0.35">
      <c r="A1469" t="str">
        <f>_xlfn.CONCAT(Tableau1[[#This Row],[Athletes]],"_",Tableau1[[#This Row],[Nationality]],"_",Tableau1[[#This Row],[Competition_year]])</f>
        <v>Andreas KRAMER_SWE_2022</v>
      </c>
      <c r="B1469" t="s">
        <v>186</v>
      </c>
      <c r="C1469" t="s">
        <v>14</v>
      </c>
      <c r="D1469" s="18" t="s">
        <v>28</v>
      </c>
      <c r="E1469">
        <v>12.8</v>
      </c>
      <c r="F1469">
        <v>12.03</v>
      </c>
      <c r="G1469">
        <v>13.25</v>
      </c>
      <c r="H1469">
        <v>13.39</v>
      </c>
      <c r="I1469">
        <v>13.41</v>
      </c>
      <c r="J1469">
        <v>13.22</v>
      </c>
      <c r="K1469">
        <v>13.84</v>
      </c>
      <c r="L1469">
        <f>Tableau1[[#This Row],[Final_time]]-SUM(Tableau1[[#This Row],[0_100m]:[600_700m]])</f>
        <v>13.829999999999998</v>
      </c>
      <c r="M1469">
        <v>105.77</v>
      </c>
      <c r="N1469">
        <f>SUM(Tableau1[[#This Row],[0_100m]:[700_800m]])</f>
        <v>105.77</v>
      </c>
      <c r="O1469">
        <f>ABS(Tableau1[[#This Row],[Final_time]]-Tableau1[[#This Row],[Sum_time]])</f>
        <v>0</v>
      </c>
      <c r="P1469" s="8" t="s">
        <v>142</v>
      </c>
      <c r="Q1469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69" t="s">
        <v>143</v>
      </c>
      <c r="S1469" s="1" t="s">
        <v>114</v>
      </c>
      <c r="T1469" t="s">
        <v>152</v>
      </c>
      <c r="U1469" s="1" t="s">
        <v>69</v>
      </c>
      <c r="V1469" s="1">
        <v>44762</v>
      </c>
      <c r="W1469" s="4">
        <f>YEAR(Tableau1[[#This Row],[Competition_date]])</f>
        <v>2022</v>
      </c>
      <c r="X1469" s="4">
        <v>33</v>
      </c>
      <c r="Y1469" s="6">
        <v>0.35</v>
      </c>
      <c r="Z1469" s="4"/>
      <c r="AA1469" t="s">
        <v>144</v>
      </c>
    </row>
    <row r="1470" spans="1:27" hidden="1" x14ac:dyDescent="0.35">
      <c r="A1470" t="str">
        <f>_xlfn.CONCAT(Tableau1[[#This Row],[Athletes]],"_",Tableau1[[#This Row],[Nationality]],"_",Tableau1[[#This Row],[Competition_year]])</f>
        <v>Yassine HETHAT_ALG_2022</v>
      </c>
      <c r="B1470" t="s">
        <v>251</v>
      </c>
      <c r="C1470" t="s">
        <v>14</v>
      </c>
      <c r="D1470" s="18" t="s">
        <v>24</v>
      </c>
      <c r="E1470">
        <v>12.85</v>
      </c>
      <c r="F1470">
        <v>12.03</v>
      </c>
      <c r="G1470">
        <v>13.41</v>
      </c>
      <c r="H1470">
        <v>13.43</v>
      </c>
      <c r="I1470">
        <v>13.48</v>
      </c>
      <c r="J1470">
        <v>13.13</v>
      </c>
      <c r="K1470">
        <v>13.55</v>
      </c>
      <c r="L1470">
        <f>Tableau1[[#This Row],[Final_time]]-SUM(Tableau1[[#This Row],[0_100m]:[600_700m]])</f>
        <v>14.170000000000002</v>
      </c>
      <c r="M1470">
        <v>106.05</v>
      </c>
      <c r="N1470">
        <f>SUM(Tableau1[[#This Row],[0_100m]:[700_800m]])</f>
        <v>106.05</v>
      </c>
      <c r="O1470">
        <f>ABS(Tableau1[[#This Row],[Final_time]]-Tableau1[[#This Row],[Sum_time]])</f>
        <v>0</v>
      </c>
      <c r="P1470" s="8"/>
      <c r="Q1470" s="16" t="str">
        <f>_xlfn.CONCAT(Tableau1[[#This Row],[Competition]],"_",Tableau1[[#This Row],[Championship_step]],"_",Tableau1[[#This Row],[Competition_date]],"_",Tableau1[[#This Row],[Gender]])</f>
        <v>World Championships Eugene 2022_Heat 5_44762_Male</v>
      </c>
      <c r="R1470" t="s">
        <v>143</v>
      </c>
      <c r="S1470" s="1" t="s">
        <v>114</v>
      </c>
      <c r="T1470" t="s">
        <v>152</v>
      </c>
      <c r="U1470" s="1" t="s">
        <v>69</v>
      </c>
      <c r="V1470" s="1">
        <v>44762</v>
      </c>
      <c r="W1470" s="4">
        <f>YEAR(Tableau1[[#This Row],[Competition_date]])</f>
        <v>2022</v>
      </c>
      <c r="X1470" s="4">
        <v>33</v>
      </c>
      <c r="Y1470" s="6">
        <v>0.35</v>
      </c>
      <c r="Z1470" s="4"/>
      <c r="AA1470" t="s">
        <v>144</v>
      </c>
    </row>
    <row r="1471" spans="1:27" hidden="1" x14ac:dyDescent="0.35">
      <c r="A1471" t="str">
        <f>_xlfn.CONCAT(Tableau1[[#This Row],[Athletes]],"_",Tableau1[[#This Row],[Nationality]],"_",Tableau1[[#This Row],[Competition_year]])</f>
        <v>Raevyn ROGERS_USA_2022</v>
      </c>
      <c r="B1471" t="s">
        <v>221</v>
      </c>
      <c r="C1471" t="s">
        <v>29</v>
      </c>
      <c r="D1471" s="18" t="s">
        <v>35</v>
      </c>
      <c r="E1471">
        <v>13.88</v>
      </c>
      <c r="F1471">
        <v>14.26</v>
      </c>
      <c r="G1471">
        <v>16.739999999999998</v>
      </c>
      <c r="H1471">
        <v>16.27</v>
      </c>
      <c r="I1471">
        <v>15.81</v>
      </c>
      <c r="J1471">
        <v>15.65</v>
      </c>
      <c r="K1471">
        <v>14.82</v>
      </c>
      <c r="L1471">
        <f>Tableau1[[#This Row],[Final_time]]-SUM(Tableau1[[#This Row],[0_100m]:[600_700m]])</f>
        <v>13.929999999999993</v>
      </c>
      <c r="M1471">
        <v>121.36</v>
      </c>
      <c r="N1471">
        <f>SUM(Tableau1[[#This Row],[0_100m]:[700_800m]])</f>
        <v>121.36</v>
      </c>
      <c r="O1471">
        <f>ABS(Tableau1[[#This Row],[Final_time]]-Tableau1[[#This Row],[Sum_time]])</f>
        <v>0</v>
      </c>
      <c r="P1471" s="8" t="s">
        <v>141</v>
      </c>
      <c r="Q1471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1" t="s">
        <v>143</v>
      </c>
      <c r="S1471" s="1" t="s">
        <v>114</v>
      </c>
      <c r="T1471" t="s">
        <v>152</v>
      </c>
      <c r="U1471" s="1" t="s">
        <v>69</v>
      </c>
      <c r="V1471" s="1">
        <v>44763</v>
      </c>
      <c r="W1471" s="4">
        <f>YEAR(Tableau1[[#This Row],[Competition_date]])</f>
        <v>2022</v>
      </c>
      <c r="X1471" s="4">
        <v>28</v>
      </c>
      <c r="Y1471" s="6">
        <v>0.51</v>
      </c>
      <c r="Z1471" s="4"/>
      <c r="AA1471" t="s">
        <v>162</v>
      </c>
    </row>
    <row r="1472" spans="1:27" hidden="1" x14ac:dyDescent="0.35">
      <c r="A1472" t="str">
        <f>_xlfn.CONCAT(Tableau1[[#This Row],[Athletes]],"_",Tableau1[[#This Row],[Nationality]],"_",Tableau1[[#This Row],[Competition_year]])</f>
        <v>Habitam ALEMU_ETH_2022</v>
      </c>
      <c r="B1472" t="s">
        <v>223</v>
      </c>
      <c r="C1472" t="s">
        <v>29</v>
      </c>
      <c r="D1472" s="18" t="s">
        <v>49</v>
      </c>
      <c r="E1472">
        <v>14.08</v>
      </c>
      <c r="F1472">
        <v>13.97</v>
      </c>
      <c r="G1472">
        <v>16.3</v>
      </c>
      <c r="H1472">
        <v>16.39</v>
      </c>
      <c r="I1472">
        <v>15.96</v>
      </c>
      <c r="J1472">
        <v>15.39</v>
      </c>
      <c r="K1472">
        <v>14.83</v>
      </c>
      <c r="L1472">
        <f>Tableau1[[#This Row],[Final_time]]-SUM(Tableau1[[#This Row],[0_100m]:[600_700m]])</f>
        <v>14.450000000000003</v>
      </c>
      <c r="M1472">
        <v>121.37</v>
      </c>
      <c r="N1472">
        <f>SUM(Tableau1[[#This Row],[0_100m]:[700_800m]])</f>
        <v>121.37</v>
      </c>
      <c r="O1472">
        <f>ABS(Tableau1[[#This Row],[Final_time]]-Tableau1[[#This Row],[Sum_time]])</f>
        <v>0</v>
      </c>
      <c r="P1472" s="8" t="s">
        <v>141</v>
      </c>
      <c r="Q1472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2" t="s">
        <v>143</v>
      </c>
      <c r="S1472" s="1" t="s">
        <v>114</v>
      </c>
      <c r="T1472" t="s">
        <v>152</v>
      </c>
      <c r="U1472" s="1" t="s">
        <v>69</v>
      </c>
      <c r="V1472" s="1">
        <v>44763</v>
      </c>
      <c r="W1472" s="4">
        <f>YEAR(Tableau1[[#This Row],[Competition_date]])</f>
        <v>2022</v>
      </c>
      <c r="X1472" s="4">
        <v>28</v>
      </c>
      <c r="Y1472" s="6">
        <v>0.51</v>
      </c>
      <c r="Z1472" s="4"/>
      <c r="AA1472" t="s">
        <v>162</v>
      </c>
    </row>
    <row r="1473" spans="1:27" hidden="1" x14ac:dyDescent="0.35">
      <c r="A1473" t="str">
        <f>_xlfn.CONCAT(Tableau1[[#This Row],[Athletes]],"_",Tableau1[[#This Row],[Nationality]],"_",Tableau1[[#This Row],[Competition_year]])</f>
        <v>Noélie YARIGO_BEN_2022</v>
      </c>
      <c r="B1473" t="s">
        <v>214</v>
      </c>
      <c r="C1473" t="s">
        <v>29</v>
      </c>
      <c r="D1473" s="18" t="s">
        <v>52</v>
      </c>
      <c r="E1473">
        <v>13.8</v>
      </c>
      <c r="F1473">
        <v>14.21</v>
      </c>
      <c r="G1473">
        <v>16.63</v>
      </c>
      <c r="H1473">
        <v>16.3</v>
      </c>
      <c r="I1473">
        <v>15.92</v>
      </c>
      <c r="J1473">
        <v>15.37</v>
      </c>
      <c r="K1473">
        <v>14.79</v>
      </c>
      <c r="L1473">
        <f>Tableau1[[#This Row],[Final_time]]-SUM(Tableau1[[#This Row],[0_100m]:[600_700m]])</f>
        <v>14.559999999999988</v>
      </c>
      <c r="M1473">
        <v>121.58</v>
      </c>
      <c r="N1473">
        <f>SUM(Tableau1[[#This Row],[0_100m]:[700_800m]])</f>
        <v>121.58</v>
      </c>
      <c r="O1473">
        <f>ABS(Tableau1[[#This Row],[Final_time]]-Tableau1[[#This Row],[Sum_time]])</f>
        <v>0</v>
      </c>
      <c r="P1473" s="8" t="s">
        <v>141</v>
      </c>
      <c r="Q1473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3" t="s">
        <v>143</v>
      </c>
      <c r="S1473" s="1" t="s">
        <v>114</v>
      </c>
      <c r="T1473" t="s">
        <v>152</v>
      </c>
      <c r="U1473" s="1" t="s">
        <v>69</v>
      </c>
      <c r="V1473" s="1">
        <v>44763</v>
      </c>
      <c r="W1473" s="4">
        <f>YEAR(Tableau1[[#This Row],[Competition_date]])</f>
        <v>2022</v>
      </c>
      <c r="X1473" s="4">
        <v>28</v>
      </c>
      <c r="Y1473" s="6">
        <v>0.51</v>
      </c>
      <c r="Z1473" s="4"/>
      <c r="AA1473" t="s">
        <v>162</v>
      </c>
    </row>
    <row r="1474" spans="1:27" hidden="1" x14ac:dyDescent="0.35">
      <c r="A1474" t="str">
        <f>_xlfn.CONCAT(Tableau1[[#This Row],[Athletes]],"_",Tableau1[[#This Row],[Nationality]],"_",Tableau1[[#This Row],[Competition_year]])</f>
        <v>Prudence SEKGODISO_RSA_2022</v>
      </c>
      <c r="B1474" t="s">
        <v>235</v>
      </c>
      <c r="C1474" t="s">
        <v>29</v>
      </c>
      <c r="D1474" s="18" t="s">
        <v>96</v>
      </c>
      <c r="E1474">
        <v>13.96</v>
      </c>
      <c r="F1474">
        <v>14.05</v>
      </c>
      <c r="G1474">
        <v>16.68</v>
      </c>
      <c r="H1474">
        <v>16.309999999999999</v>
      </c>
      <c r="I1474">
        <v>15.91</v>
      </c>
      <c r="J1474">
        <v>15.17</v>
      </c>
      <c r="K1474">
        <v>14.93</v>
      </c>
      <c r="L1474">
        <f>Tableau1[[#This Row],[Final_time]]-SUM(Tableau1[[#This Row],[0_100m]:[600_700m]])</f>
        <v>14.590000000000003</v>
      </c>
      <c r="M1474">
        <v>121.6</v>
      </c>
      <c r="N1474">
        <f>SUM(Tableau1[[#This Row],[0_100m]:[700_800m]])</f>
        <v>121.6</v>
      </c>
      <c r="O1474">
        <f>ABS(Tableau1[[#This Row],[Final_time]]-Tableau1[[#This Row],[Sum_time]])</f>
        <v>0</v>
      </c>
      <c r="P1474" s="8" t="s">
        <v>142</v>
      </c>
      <c r="Q1474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4" t="s">
        <v>143</v>
      </c>
      <c r="S1474" s="1" t="s">
        <v>114</v>
      </c>
      <c r="T1474" t="s">
        <v>152</v>
      </c>
      <c r="U1474" s="1" t="s">
        <v>69</v>
      </c>
      <c r="V1474" s="1">
        <v>44763</v>
      </c>
      <c r="W1474" s="4">
        <f>YEAR(Tableau1[[#This Row],[Competition_date]])</f>
        <v>2022</v>
      </c>
      <c r="X1474" s="4">
        <v>28</v>
      </c>
      <c r="Y1474" s="6">
        <v>0.51</v>
      </c>
      <c r="Z1474" s="4"/>
      <c r="AA1474" t="s">
        <v>162</v>
      </c>
    </row>
    <row r="1475" spans="1:27" hidden="1" x14ac:dyDescent="0.35">
      <c r="A1475" t="str">
        <f>_xlfn.CONCAT(Tableau1[[#This Row],[Athletes]],"_",Tableau1[[#This Row],[Nationality]],"_",Tableau1[[#This Row],[Competition_year]])</f>
        <v>Chrisann GORDON-POWELL_JAM_2022</v>
      </c>
      <c r="B1475" t="s">
        <v>272</v>
      </c>
      <c r="C1475" t="s">
        <v>29</v>
      </c>
      <c r="D1475" s="18" t="s">
        <v>33</v>
      </c>
      <c r="E1475">
        <v>13.93</v>
      </c>
      <c r="F1475">
        <v>14.03</v>
      </c>
      <c r="G1475">
        <v>16.579999999999998</v>
      </c>
      <c r="H1475">
        <v>16.260000000000002</v>
      </c>
      <c r="I1475">
        <v>15.91</v>
      </c>
      <c r="J1475">
        <v>15.43</v>
      </c>
      <c r="K1475">
        <v>15.04</v>
      </c>
      <c r="L1475">
        <f>Tableau1[[#This Row],[Final_time]]-SUM(Tableau1[[#This Row],[0_100m]:[600_700m]])</f>
        <v>14.730000000000018</v>
      </c>
      <c r="M1475">
        <v>121.91</v>
      </c>
      <c r="N1475">
        <f>SUM(Tableau1[[#This Row],[0_100m]:[700_800m]])</f>
        <v>121.91</v>
      </c>
      <c r="O1475">
        <f>ABS(Tableau1[[#This Row],[Final_time]]-Tableau1[[#This Row],[Sum_time]])</f>
        <v>0</v>
      </c>
      <c r="P1475" s="8"/>
      <c r="Q1475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5" t="s">
        <v>143</v>
      </c>
      <c r="S1475" s="1" t="s">
        <v>114</v>
      </c>
      <c r="T1475" t="s">
        <v>152</v>
      </c>
      <c r="U1475" s="1" t="s">
        <v>69</v>
      </c>
      <c r="V1475" s="1">
        <v>44763</v>
      </c>
      <c r="W1475" s="4">
        <f>YEAR(Tableau1[[#This Row],[Competition_date]])</f>
        <v>2022</v>
      </c>
      <c r="X1475" s="4">
        <v>28</v>
      </c>
      <c r="Y1475" s="6">
        <v>0.51</v>
      </c>
      <c r="Z1475" s="4"/>
      <c r="AA1475" t="s">
        <v>162</v>
      </c>
    </row>
    <row r="1476" spans="1:27" hidden="1" x14ac:dyDescent="0.35">
      <c r="A1476" t="str">
        <f>_xlfn.CONCAT(Tableau1[[#This Row],[Athletes]],"_",Tableau1[[#This Row],[Nationality]],"_",Tableau1[[#This Row],[Competition_year]])</f>
        <v>Madeleine KELLY_CAN_2022</v>
      </c>
      <c r="B1476" t="s">
        <v>273</v>
      </c>
      <c r="C1476" t="s">
        <v>29</v>
      </c>
      <c r="D1476" s="18" t="s">
        <v>19</v>
      </c>
      <c r="E1476">
        <v>14.21</v>
      </c>
      <c r="F1476">
        <v>14.14</v>
      </c>
      <c r="G1476">
        <v>16.649999999999999</v>
      </c>
      <c r="H1476">
        <v>16.350000000000001</v>
      </c>
      <c r="I1476">
        <v>15.85</v>
      </c>
      <c r="J1476">
        <v>15.48</v>
      </c>
      <c r="K1476">
        <v>15.11</v>
      </c>
      <c r="L1476">
        <f>Tableau1[[#This Row],[Final_time]]-SUM(Tableau1[[#This Row],[0_100m]:[600_700m]])</f>
        <v>14.919999999999987</v>
      </c>
      <c r="M1476">
        <v>122.71</v>
      </c>
      <c r="N1476">
        <f>SUM(Tableau1[[#This Row],[0_100m]:[700_800m]])</f>
        <v>122.71</v>
      </c>
      <c r="O1476">
        <f>ABS(Tableau1[[#This Row],[Final_time]]-Tableau1[[#This Row],[Sum_time]])</f>
        <v>0</v>
      </c>
      <c r="P1476" s="8"/>
      <c r="Q1476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6" t="s">
        <v>143</v>
      </c>
      <c r="S1476" s="1" t="s">
        <v>114</v>
      </c>
      <c r="T1476" t="s">
        <v>152</v>
      </c>
      <c r="U1476" s="1" t="s">
        <v>69</v>
      </c>
      <c r="V1476" s="1">
        <v>44763</v>
      </c>
      <c r="W1476" s="4">
        <f>YEAR(Tableau1[[#This Row],[Competition_date]])</f>
        <v>2022</v>
      </c>
      <c r="X1476" s="4">
        <v>28</v>
      </c>
      <c r="Y1476" s="6">
        <v>0.51</v>
      </c>
      <c r="Z1476" s="4"/>
      <c r="AA1476" t="s">
        <v>162</v>
      </c>
    </row>
    <row r="1477" spans="1:27" hidden="1" x14ac:dyDescent="0.35">
      <c r="A1477" t="str">
        <f>_xlfn.CONCAT(Tableau1[[#This Row],[Athletes]],"_",Tableau1[[#This Row],[Nationality]],"_",Tableau1[[#This Row],[Competition_year]])</f>
        <v>Vanessa SCAUNET_BEL_2022</v>
      </c>
      <c r="B1477" t="s">
        <v>274</v>
      </c>
      <c r="C1477" t="s">
        <v>29</v>
      </c>
      <c r="D1477" s="18" t="s">
        <v>18</v>
      </c>
      <c r="E1477">
        <v>14.3</v>
      </c>
      <c r="F1477">
        <v>14.57</v>
      </c>
      <c r="G1477">
        <v>16.38</v>
      </c>
      <c r="H1477">
        <v>16.239999999999998</v>
      </c>
      <c r="I1477">
        <v>15.84</v>
      </c>
      <c r="J1477">
        <v>15.6</v>
      </c>
      <c r="K1477">
        <v>15.3</v>
      </c>
      <c r="L1477">
        <f>Tableau1[[#This Row],[Final_time]]-SUM(Tableau1[[#This Row],[0_100m]:[600_700m]])</f>
        <v>15.840000000000003</v>
      </c>
      <c r="M1477">
        <v>124.07</v>
      </c>
      <c r="N1477">
        <f>SUM(Tableau1[[#This Row],[0_100m]:[700_800m]])</f>
        <v>124.07</v>
      </c>
      <c r="O1477">
        <f>ABS(Tableau1[[#This Row],[Final_time]]-Tableau1[[#This Row],[Sum_time]])</f>
        <v>0</v>
      </c>
      <c r="P1477" s="8"/>
      <c r="Q1477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7" t="s">
        <v>143</v>
      </c>
      <c r="S1477" s="1" t="s">
        <v>114</v>
      </c>
      <c r="T1477" t="s">
        <v>152</v>
      </c>
      <c r="U1477" s="1" t="s">
        <v>69</v>
      </c>
      <c r="V1477" s="1">
        <v>44763</v>
      </c>
      <c r="W1477" s="4">
        <f>YEAR(Tableau1[[#This Row],[Competition_date]])</f>
        <v>2022</v>
      </c>
      <c r="X1477" s="4">
        <v>28</v>
      </c>
      <c r="Y1477" s="6">
        <v>0.51</v>
      </c>
      <c r="Z1477" s="4"/>
      <c r="AA1477" t="s">
        <v>162</v>
      </c>
    </row>
    <row r="1478" spans="1:27" hidden="1" x14ac:dyDescent="0.35">
      <c r="A1478" t="str">
        <f>_xlfn.CONCAT(Tableau1[[#This Row],[Athletes]],"_",Tableau1[[#This Row],[Nationality]],"_",Tableau1[[#This Row],[Competition_year]])</f>
        <v>Claudia HOLLINGSWORTH_AUS_2022</v>
      </c>
      <c r="B1478" t="s">
        <v>275</v>
      </c>
      <c r="C1478" t="s">
        <v>29</v>
      </c>
      <c r="D1478" s="18" t="s">
        <v>36</v>
      </c>
      <c r="E1478">
        <v>13.99</v>
      </c>
      <c r="F1478">
        <v>14.19</v>
      </c>
      <c r="G1478">
        <v>16.68</v>
      </c>
      <c r="H1478">
        <v>16.37</v>
      </c>
      <c r="I1478">
        <v>15.88</v>
      </c>
      <c r="J1478">
        <v>15.62</v>
      </c>
      <c r="K1478">
        <v>15.53</v>
      </c>
      <c r="L1478">
        <f>Tableau1[[#This Row],[Final_time]]-SUM(Tableau1[[#This Row],[0_100m]:[600_700m]])</f>
        <v>15.849999999999994</v>
      </c>
      <c r="M1478">
        <v>124.11</v>
      </c>
      <c r="N1478">
        <f>SUM(Tableau1[[#This Row],[0_100m]:[700_800m]])</f>
        <v>124.11</v>
      </c>
      <c r="O1478">
        <f>ABS(Tableau1[[#This Row],[Final_time]]-Tableau1[[#This Row],[Sum_time]])</f>
        <v>0</v>
      </c>
      <c r="P1478" s="8"/>
      <c r="Q1478" s="16" t="str">
        <f>_xlfn.CONCAT(Tableau1[[#This Row],[Competition]],"_",Tableau1[[#This Row],[Championship_step]],"_",Tableau1[[#This Row],[Competition_date]],"_",Tableau1[[#This Row],[Gender]])</f>
        <v>World Championships Eugene 2022_Heat 5_44763_Female</v>
      </c>
      <c r="R1478" t="s">
        <v>143</v>
      </c>
      <c r="S1478" s="1" t="s">
        <v>114</v>
      </c>
      <c r="T1478" t="s">
        <v>152</v>
      </c>
      <c r="U1478" s="1" t="s">
        <v>69</v>
      </c>
      <c r="V1478" s="1">
        <v>44763</v>
      </c>
      <c r="W1478" s="4">
        <f>YEAR(Tableau1[[#This Row],[Competition_date]])</f>
        <v>2022</v>
      </c>
      <c r="X1478" s="4">
        <v>28</v>
      </c>
      <c r="Y1478" s="6">
        <v>0.51</v>
      </c>
      <c r="Z1478" s="4"/>
      <c r="AA1478" t="s">
        <v>162</v>
      </c>
    </row>
    <row r="1479" spans="1:27" hidden="1" x14ac:dyDescent="0.35">
      <c r="A1479" t="str">
        <f>_xlfn.CONCAT(Tableau1[[#This Row],[Athletes]],"_",Tableau1[[#This Row],[Nationality]],"_",Tableau1[[#This Row],[Competition_year]])</f>
        <v>Slimane MOULA_ALG_2022</v>
      </c>
      <c r="B1479" t="s">
        <v>103</v>
      </c>
      <c r="C1479" t="s">
        <v>14</v>
      </c>
      <c r="D1479" s="18" t="s">
        <v>24</v>
      </c>
      <c r="E1479">
        <v>13.07</v>
      </c>
      <c r="F1479">
        <v>12.83</v>
      </c>
      <c r="G1479">
        <v>13.12</v>
      </c>
      <c r="H1479">
        <v>12.78</v>
      </c>
      <c r="I1479">
        <v>13.21</v>
      </c>
      <c r="J1479">
        <v>13.46</v>
      </c>
      <c r="K1479">
        <v>13.57</v>
      </c>
      <c r="L1479">
        <f>Tableau1[[#This Row],[Final_time]]-SUM(Tableau1[[#This Row],[0_100m]:[600_700m]])</f>
        <v>12.860000000000014</v>
      </c>
      <c r="M1479">
        <v>104.9</v>
      </c>
      <c r="N1479">
        <f>SUM(Tableau1[[#This Row],[0_100m]:[700_800m]])</f>
        <v>104.9</v>
      </c>
      <c r="O1479">
        <f>ABS(Tableau1[[#This Row],[Final_time]]-Tableau1[[#This Row],[Sum_time]])</f>
        <v>0</v>
      </c>
      <c r="P1479" s="8" t="s">
        <v>141</v>
      </c>
      <c r="Q1479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79" t="s">
        <v>143</v>
      </c>
      <c r="S1479" s="1" t="s">
        <v>114</v>
      </c>
      <c r="T1479" t="s">
        <v>154</v>
      </c>
      <c r="U1479" s="1" t="s">
        <v>69</v>
      </c>
      <c r="V1479" s="1">
        <v>44762</v>
      </c>
      <c r="W1479" s="4">
        <f>YEAR(Tableau1[[#This Row],[Competition_date]])</f>
        <v>2022</v>
      </c>
      <c r="X1479" s="4">
        <v>33</v>
      </c>
      <c r="Y1479" s="6">
        <v>0.35</v>
      </c>
      <c r="Z1479" s="4"/>
      <c r="AA1479" t="s">
        <v>144</v>
      </c>
    </row>
    <row r="1480" spans="1:27" hidden="1" x14ac:dyDescent="0.35">
      <c r="A1480" t="str">
        <f>_xlfn.CONCAT(Tableau1[[#This Row],[Athletes]],"_",Tableau1[[#This Row],[Nationality]],"_",Tableau1[[#This Row],[Competition_year]])</f>
        <v>Wyclife KINYAMAL_KEN_2022</v>
      </c>
      <c r="B1480" t="s">
        <v>174</v>
      </c>
      <c r="C1480" t="s">
        <v>14</v>
      </c>
      <c r="D1480" s="18" t="s">
        <v>15</v>
      </c>
      <c r="E1480">
        <v>13.15</v>
      </c>
      <c r="F1480">
        <v>12.9</v>
      </c>
      <c r="G1480">
        <v>13.02</v>
      </c>
      <c r="H1480">
        <v>12.49</v>
      </c>
      <c r="I1480">
        <v>12.73</v>
      </c>
      <c r="J1480">
        <v>13.49</v>
      </c>
      <c r="K1480">
        <v>13.76</v>
      </c>
      <c r="L1480">
        <f>Tableau1[[#This Row],[Final_time]]-SUM(Tableau1[[#This Row],[0_100m]:[600_700m]])</f>
        <v>13.539999999999992</v>
      </c>
      <c r="M1480">
        <v>105.08</v>
      </c>
      <c r="N1480">
        <f>SUM(Tableau1[[#This Row],[0_100m]:[700_800m]])</f>
        <v>105.08</v>
      </c>
      <c r="O1480">
        <f>ABS(Tableau1[[#This Row],[Final_time]]-Tableau1[[#This Row],[Sum_time]])</f>
        <v>0</v>
      </c>
      <c r="P1480" s="8" t="s">
        <v>141</v>
      </c>
      <c r="Q1480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80" t="s">
        <v>143</v>
      </c>
      <c r="S1480" s="1" t="s">
        <v>114</v>
      </c>
      <c r="T1480" t="s">
        <v>154</v>
      </c>
      <c r="U1480" s="1" t="s">
        <v>69</v>
      </c>
      <c r="V1480" s="1">
        <v>44762</v>
      </c>
      <c r="W1480" s="4">
        <f>YEAR(Tableau1[[#This Row],[Competition_date]])</f>
        <v>2022</v>
      </c>
      <c r="X1480" s="4">
        <v>33</v>
      </c>
      <c r="Y1480" s="6">
        <v>0.35</v>
      </c>
      <c r="Z1480" s="4"/>
      <c r="AA1480" t="s">
        <v>144</v>
      </c>
    </row>
    <row r="1481" spans="1:27" hidden="1" x14ac:dyDescent="0.35">
      <c r="A1481" t="str">
        <f>_xlfn.CONCAT(Tableau1[[#This Row],[Athletes]],"_",Tableau1[[#This Row],[Nationality]],"_",Tableau1[[#This Row],[Competition_year]])</f>
        <v>Abdelati EL GUESSE_MAR_2022</v>
      </c>
      <c r="B1481" t="s">
        <v>112</v>
      </c>
      <c r="C1481" t="s">
        <v>14</v>
      </c>
      <c r="D1481" s="18" t="s">
        <v>21</v>
      </c>
      <c r="E1481">
        <v>13.26</v>
      </c>
      <c r="F1481">
        <v>12.81</v>
      </c>
      <c r="G1481">
        <v>13.31</v>
      </c>
      <c r="H1481">
        <v>12.62</v>
      </c>
      <c r="I1481">
        <v>13.13</v>
      </c>
      <c r="J1481">
        <v>13.35</v>
      </c>
      <c r="K1481">
        <v>13.41</v>
      </c>
      <c r="L1481">
        <f>Tableau1[[#This Row],[Final_time]]-SUM(Tableau1[[#This Row],[0_100m]:[600_700m]])</f>
        <v>13.360000000000014</v>
      </c>
      <c r="M1481">
        <v>105.25</v>
      </c>
      <c r="N1481">
        <f>SUM(Tableau1[[#This Row],[0_100m]:[700_800m]])</f>
        <v>105.25</v>
      </c>
      <c r="O1481">
        <f>ABS(Tableau1[[#This Row],[Final_time]]-Tableau1[[#This Row],[Sum_time]])</f>
        <v>0</v>
      </c>
      <c r="P1481" s="8" t="s">
        <v>141</v>
      </c>
      <c r="Q1481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81" t="s">
        <v>143</v>
      </c>
      <c r="S1481" s="1" t="s">
        <v>114</v>
      </c>
      <c r="T1481" t="s">
        <v>154</v>
      </c>
      <c r="U1481" s="1" t="s">
        <v>69</v>
      </c>
      <c r="V1481" s="1">
        <v>44762</v>
      </c>
      <c r="W1481" s="4">
        <f>YEAR(Tableau1[[#This Row],[Competition_date]])</f>
        <v>2022</v>
      </c>
      <c r="X1481" s="4">
        <v>33</v>
      </c>
      <c r="Y1481" s="6">
        <v>0.35</v>
      </c>
      <c r="Z1481" s="4"/>
      <c r="AA1481" t="s">
        <v>144</v>
      </c>
    </row>
    <row r="1482" spans="1:27" hidden="1" x14ac:dyDescent="0.35">
      <c r="A1482" t="str">
        <f>_xlfn.CONCAT(Tableau1[[#This Row],[Athletes]],"_",Tableau1[[#This Row],[Nationality]],"_",Tableau1[[#This Row],[Competition_year]])</f>
        <v>Daniel ROWDEN_GBR_2022</v>
      </c>
      <c r="B1482" t="s">
        <v>172</v>
      </c>
      <c r="C1482" t="s">
        <v>14</v>
      </c>
      <c r="D1482" s="18" t="s">
        <v>30</v>
      </c>
      <c r="E1482">
        <v>13.05</v>
      </c>
      <c r="F1482">
        <v>12.56</v>
      </c>
      <c r="G1482">
        <v>12.61</v>
      </c>
      <c r="H1482">
        <v>12.59</v>
      </c>
      <c r="I1482">
        <v>13.1</v>
      </c>
      <c r="J1482">
        <v>13.59</v>
      </c>
      <c r="K1482">
        <v>13.99</v>
      </c>
      <c r="L1482">
        <f>Tableau1[[#This Row],[Final_time]]-SUM(Tableau1[[#This Row],[0_100m]:[600_700m]])</f>
        <v>14.040000000000006</v>
      </c>
      <c r="M1482">
        <v>105.53</v>
      </c>
      <c r="N1482">
        <f>SUM(Tableau1[[#This Row],[0_100m]:[700_800m]])</f>
        <v>105.53</v>
      </c>
      <c r="O1482">
        <f>ABS(Tableau1[[#This Row],[Final_time]]-Tableau1[[#This Row],[Sum_time]])</f>
        <v>0</v>
      </c>
      <c r="P1482" s="8" t="s">
        <v>142</v>
      </c>
      <c r="Q1482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82" t="s">
        <v>143</v>
      </c>
      <c r="S1482" s="1" t="s">
        <v>114</v>
      </c>
      <c r="T1482" t="s">
        <v>154</v>
      </c>
      <c r="U1482" s="1" t="s">
        <v>69</v>
      </c>
      <c r="V1482" s="1">
        <v>44762</v>
      </c>
      <c r="W1482" s="4">
        <f>YEAR(Tableau1[[#This Row],[Competition_date]])</f>
        <v>2022</v>
      </c>
      <c r="X1482" s="4">
        <v>33</v>
      </c>
      <c r="Y1482" s="6">
        <v>0.35</v>
      </c>
      <c r="Z1482" s="4"/>
      <c r="AA1482" t="s">
        <v>144</v>
      </c>
    </row>
    <row r="1483" spans="1:27" hidden="1" x14ac:dyDescent="0.35">
      <c r="A1483" t="str">
        <f>_xlfn.CONCAT(Tableau1[[#This Row],[Athletes]],"_",Tableau1[[#This Row],[Nationality]],"_",Tableau1[[#This Row],[Competition_year]])</f>
        <v>Tolesa BODENA_ETH_2022</v>
      </c>
      <c r="B1483" t="s">
        <v>252</v>
      </c>
      <c r="C1483" t="s">
        <v>14</v>
      </c>
      <c r="D1483" s="18" t="s">
        <v>49</v>
      </c>
      <c r="E1483">
        <v>13.23</v>
      </c>
      <c r="F1483">
        <v>12.62</v>
      </c>
      <c r="G1483">
        <v>12.89</v>
      </c>
      <c r="H1483">
        <v>12.69</v>
      </c>
      <c r="I1483">
        <v>13.2</v>
      </c>
      <c r="J1483">
        <v>13.26</v>
      </c>
      <c r="K1483">
        <v>14.01</v>
      </c>
      <c r="L1483">
        <f>Tableau1[[#This Row],[Final_time]]-SUM(Tableau1[[#This Row],[0_100m]:[600_700m]])</f>
        <v>13.909999999999997</v>
      </c>
      <c r="M1483">
        <v>105.81</v>
      </c>
      <c r="N1483">
        <f>SUM(Tableau1[[#This Row],[0_100m]:[700_800m]])</f>
        <v>105.81</v>
      </c>
      <c r="O1483">
        <f>ABS(Tableau1[[#This Row],[Final_time]]-Tableau1[[#This Row],[Sum_time]])</f>
        <v>0</v>
      </c>
      <c r="P1483" s="8" t="s">
        <v>142</v>
      </c>
      <c r="Q1483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83" t="s">
        <v>143</v>
      </c>
      <c r="S1483" s="1" t="s">
        <v>114</v>
      </c>
      <c r="T1483" t="s">
        <v>154</v>
      </c>
      <c r="U1483" s="1" t="s">
        <v>69</v>
      </c>
      <c r="V1483" s="1">
        <v>44762</v>
      </c>
      <c r="W1483" s="4">
        <f>YEAR(Tableau1[[#This Row],[Competition_date]])</f>
        <v>2022</v>
      </c>
      <c r="X1483" s="4">
        <v>33</v>
      </c>
      <c r="Y1483" s="6">
        <v>0.35</v>
      </c>
      <c r="Z1483" s="4"/>
      <c r="AA1483" t="s">
        <v>144</v>
      </c>
    </row>
    <row r="1484" spans="1:27" hidden="1" x14ac:dyDescent="0.35">
      <c r="A1484" t="str">
        <f>_xlfn.CONCAT(Tableau1[[#This Row],[Athletes]],"_",Tableau1[[#This Row],[Nationality]],"_",Tableau1[[#This Row],[Competition_year]])</f>
        <v>Patryk DOBEK_POL_2022</v>
      </c>
      <c r="B1484" t="s">
        <v>253</v>
      </c>
      <c r="C1484" t="s">
        <v>14</v>
      </c>
      <c r="D1484" s="18" t="s">
        <v>88</v>
      </c>
      <c r="E1484">
        <v>13.4</v>
      </c>
      <c r="F1484">
        <v>12.58</v>
      </c>
      <c r="G1484">
        <v>13.21</v>
      </c>
      <c r="H1484">
        <v>12.4</v>
      </c>
      <c r="I1484">
        <v>13.22</v>
      </c>
      <c r="J1484">
        <v>13.12</v>
      </c>
      <c r="K1484">
        <v>14</v>
      </c>
      <c r="L1484">
        <f>Tableau1[[#This Row],[Final_time]]-SUM(Tableau1[[#This Row],[0_100m]:[600_700m]])</f>
        <v>14.86999999999999</v>
      </c>
      <c r="M1484">
        <v>106.8</v>
      </c>
      <c r="N1484">
        <f>SUM(Tableau1[[#This Row],[0_100m]:[700_800m]])</f>
        <v>106.8</v>
      </c>
      <c r="O1484">
        <f>ABS(Tableau1[[#This Row],[Final_time]]-Tableau1[[#This Row],[Sum_time]])</f>
        <v>0</v>
      </c>
      <c r="P1484" s="8"/>
      <c r="Q1484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84" t="s">
        <v>143</v>
      </c>
      <c r="S1484" s="1" t="s">
        <v>114</v>
      </c>
      <c r="T1484" t="s">
        <v>154</v>
      </c>
      <c r="U1484" s="1" t="s">
        <v>69</v>
      </c>
      <c r="V1484" s="1">
        <v>44762</v>
      </c>
      <c r="W1484" s="4">
        <f>YEAR(Tableau1[[#This Row],[Competition_date]])</f>
        <v>2022</v>
      </c>
      <c r="X1484" s="4">
        <v>33</v>
      </c>
      <c r="Y1484" s="6">
        <v>0.35</v>
      </c>
      <c r="Z1484" s="4"/>
      <c r="AA1484" t="s">
        <v>144</v>
      </c>
    </row>
    <row r="1485" spans="1:27" hidden="1" x14ac:dyDescent="0.35">
      <c r="A1485" t="str">
        <f>_xlfn.CONCAT(Tableau1[[#This Row],[Athletes]],"_",Tableau1[[#This Row],[Nationality]],"_",Tableau1[[#This Row],[Competition_year]])</f>
        <v>Žan RUDOLF_SLO_2022</v>
      </c>
      <c r="B1485" t="s">
        <v>254</v>
      </c>
      <c r="C1485" t="s">
        <v>14</v>
      </c>
      <c r="D1485" s="18" t="s">
        <v>53</v>
      </c>
      <c r="E1485">
        <v>13.1</v>
      </c>
      <c r="F1485">
        <v>12.57</v>
      </c>
      <c r="G1485">
        <v>12.83</v>
      </c>
      <c r="H1485">
        <v>12.95</v>
      </c>
      <c r="I1485">
        <v>13.82</v>
      </c>
      <c r="J1485">
        <v>14.11</v>
      </c>
      <c r="K1485">
        <v>14.64</v>
      </c>
      <c r="L1485">
        <f>Tableau1[[#This Row],[Final_time]]-SUM(Tableau1[[#This Row],[0_100m]:[600_700m]])</f>
        <v>15.849999999999994</v>
      </c>
      <c r="M1485">
        <v>109.87</v>
      </c>
      <c r="N1485">
        <f>SUM(Tableau1[[#This Row],[0_100m]:[700_800m]])</f>
        <v>109.87</v>
      </c>
      <c r="O1485">
        <f>ABS(Tableau1[[#This Row],[Final_time]]-Tableau1[[#This Row],[Sum_time]])</f>
        <v>0</v>
      </c>
      <c r="P1485" s="8"/>
      <c r="Q1485" s="16" t="str">
        <f>_xlfn.CONCAT(Tableau1[[#This Row],[Competition]],"_",Tableau1[[#This Row],[Championship_step]],"_",Tableau1[[#This Row],[Competition_date]],"_",Tableau1[[#This Row],[Gender]])</f>
        <v>World Championships Eugene 2022_Heat 6_44762_Male</v>
      </c>
      <c r="R1485" t="s">
        <v>143</v>
      </c>
      <c r="S1485" s="1" t="s">
        <v>114</v>
      </c>
      <c r="T1485" t="s">
        <v>154</v>
      </c>
      <c r="U1485" s="1" t="s">
        <v>69</v>
      </c>
      <c r="V1485" s="1">
        <v>44762</v>
      </c>
      <c r="W1485" s="4">
        <f>YEAR(Tableau1[[#This Row],[Competition_date]])</f>
        <v>2022</v>
      </c>
      <c r="X1485" s="4">
        <v>33</v>
      </c>
      <c r="Y1485" s="6">
        <v>0.35</v>
      </c>
      <c r="Z1485" s="4"/>
      <c r="AA1485" t="s">
        <v>144</v>
      </c>
    </row>
    <row r="1486" spans="1:27" hidden="1" x14ac:dyDescent="0.35">
      <c r="A1486" t="str">
        <f>_xlfn.CONCAT(Tableau1[[#This Row],[Athletes]],"_",Tableau1[[#This Row],[Nationality]],"_",Tableau1[[#This Row],[Competition_year]])</f>
        <v>Natoya GOULE-TOPPIN_JAM_2022</v>
      </c>
      <c r="B1486" t="s">
        <v>222</v>
      </c>
      <c r="C1486" t="s">
        <v>29</v>
      </c>
      <c r="D1486" s="18" t="s">
        <v>33</v>
      </c>
      <c r="E1486">
        <v>14.28</v>
      </c>
      <c r="F1486">
        <v>13.97</v>
      </c>
      <c r="G1486">
        <v>15.03</v>
      </c>
      <c r="H1486">
        <v>15.69</v>
      </c>
      <c r="I1486">
        <v>15.97</v>
      </c>
      <c r="J1486">
        <v>15.23</v>
      </c>
      <c r="K1486">
        <v>15.01</v>
      </c>
      <c r="L1486">
        <f>Tableau1[[#This Row],[Final_time]]-SUM(Tableau1[[#This Row],[0_100m]:[600_700m]])</f>
        <v>14.879999999999995</v>
      </c>
      <c r="M1486">
        <v>120.06</v>
      </c>
      <c r="N1486">
        <f>SUM(Tableau1[[#This Row],[0_100m]:[700_800m]])</f>
        <v>120.06</v>
      </c>
      <c r="O1486">
        <f>ABS(Tableau1[[#This Row],[Final_time]]-Tableau1[[#This Row],[Sum_time]])</f>
        <v>0</v>
      </c>
      <c r="P1486" s="8" t="s">
        <v>141</v>
      </c>
      <c r="Q1486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86" t="s">
        <v>143</v>
      </c>
      <c r="S1486" s="1" t="s">
        <v>114</v>
      </c>
      <c r="T1486" t="s">
        <v>154</v>
      </c>
      <c r="U1486" s="1" t="s">
        <v>69</v>
      </c>
      <c r="V1486" s="1">
        <v>44763</v>
      </c>
      <c r="W1486" s="4">
        <f>YEAR(Tableau1[[#This Row],[Competition_date]])</f>
        <v>2022</v>
      </c>
      <c r="X1486" s="4">
        <v>28</v>
      </c>
      <c r="Y1486" s="6">
        <v>0.51</v>
      </c>
      <c r="Z1486" s="4"/>
      <c r="AA1486" t="s">
        <v>162</v>
      </c>
    </row>
    <row r="1487" spans="1:27" hidden="1" x14ac:dyDescent="0.35">
      <c r="A1487" t="str">
        <f>_xlfn.CONCAT(Tableau1[[#This Row],[Athletes]],"_",Tableau1[[#This Row],[Nationality]],"_",Tableau1[[#This Row],[Competition_year]])</f>
        <v>Mary MORAA_KEN_2022</v>
      </c>
      <c r="B1487" t="s">
        <v>228</v>
      </c>
      <c r="C1487" t="s">
        <v>29</v>
      </c>
      <c r="D1487" s="18" t="s">
        <v>15</v>
      </c>
      <c r="E1487">
        <v>13.39</v>
      </c>
      <c r="F1487">
        <v>13.41</v>
      </c>
      <c r="G1487">
        <v>15.67</v>
      </c>
      <c r="H1487">
        <v>16.52</v>
      </c>
      <c r="I1487">
        <v>15.92</v>
      </c>
      <c r="J1487">
        <v>15.59</v>
      </c>
      <c r="K1487">
        <v>15.07</v>
      </c>
      <c r="L1487">
        <f>Tableau1[[#This Row],[Final_time]]-SUM(Tableau1[[#This Row],[0_100m]:[600_700m]])</f>
        <v>14.850000000000009</v>
      </c>
      <c r="M1487">
        <v>120.42</v>
      </c>
      <c r="N1487">
        <f>SUM(Tableau1[[#This Row],[0_100m]:[700_800m]])</f>
        <v>120.42</v>
      </c>
      <c r="O1487">
        <f>ABS(Tableau1[[#This Row],[Final_time]]-Tableau1[[#This Row],[Sum_time]])</f>
        <v>0</v>
      </c>
      <c r="P1487" s="8" t="s">
        <v>141</v>
      </c>
      <c r="Q1487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87" t="s">
        <v>143</v>
      </c>
      <c r="S1487" s="1" t="s">
        <v>114</v>
      </c>
      <c r="T1487" t="s">
        <v>154</v>
      </c>
      <c r="U1487" s="1" t="s">
        <v>69</v>
      </c>
      <c r="V1487" s="1">
        <v>44763</v>
      </c>
      <c r="W1487" s="4">
        <f>YEAR(Tableau1[[#This Row],[Competition_date]])</f>
        <v>2022</v>
      </c>
      <c r="X1487" s="4">
        <v>28</v>
      </c>
      <c r="Y1487" s="6">
        <v>0.51</v>
      </c>
      <c r="Z1487" s="4"/>
      <c r="AA1487" t="s">
        <v>162</v>
      </c>
    </row>
    <row r="1488" spans="1:27" hidden="1" x14ac:dyDescent="0.35">
      <c r="A1488" t="str">
        <f>_xlfn.CONCAT(Tableau1[[#This Row],[Athletes]],"_",Tableau1[[#This Row],[Nationality]],"_",Tableau1[[#This Row],[Competition_year]])</f>
        <v>Anna WIELGOSZ_POL_2022</v>
      </c>
      <c r="B1488" t="s">
        <v>276</v>
      </c>
      <c r="C1488" t="s">
        <v>29</v>
      </c>
      <c r="D1488" s="18" t="s">
        <v>88</v>
      </c>
      <c r="E1488">
        <v>14.63</v>
      </c>
      <c r="F1488">
        <v>13.73</v>
      </c>
      <c r="G1488">
        <v>15.07</v>
      </c>
      <c r="H1488">
        <v>15.79</v>
      </c>
      <c r="I1488">
        <v>15.98</v>
      </c>
      <c r="J1488">
        <v>15.48</v>
      </c>
      <c r="K1488">
        <v>15.07</v>
      </c>
      <c r="L1488">
        <f>Tableau1[[#This Row],[Final_time]]-SUM(Tableau1[[#This Row],[0_100m]:[600_700m]])</f>
        <v>15.040000000000006</v>
      </c>
      <c r="M1488">
        <v>120.79</v>
      </c>
      <c r="N1488">
        <f>SUM(Tableau1[[#This Row],[0_100m]:[700_800m]])</f>
        <v>120.79</v>
      </c>
      <c r="O1488">
        <f>ABS(Tableau1[[#This Row],[Final_time]]-Tableau1[[#This Row],[Sum_time]])</f>
        <v>0</v>
      </c>
      <c r="P1488" s="8" t="s">
        <v>141</v>
      </c>
      <c r="Q1488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88" t="s">
        <v>143</v>
      </c>
      <c r="S1488" s="1" t="s">
        <v>114</v>
      </c>
      <c r="T1488" t="s">
        <v>154</v>
      </c>
      <c r="U1488" s="1" t="s">
        <v>69</v>
      </c>
      <c r="V1488" s="1">
        <v>44763</v>
      </c>
      <c r="W1488" s="4">
        <f>YEAR(Tableau1[[#This Row],[Competition_date]])</f>
        <v>2022</v>
      </c>
      <c r="X1488" s="4">
        <v>28</v>
      </c>
      <c r="Y1488" s="6">
        <v>0.51</v>
      </c>
      <c r="Z1488" s="4"/>
      <c r="AA1488" t="s">
        <v>162</v>
      </c>
    </row>
    <row r="1489" spans="1:27" hidden="1" x14ac:dyDescent="0.35">
      <c r="A1489" t="str">
        <f>_xlfn.CONCAT(Tableau1[[#This Row],[Athletes]],"_",Tableau1[[#This Row],[Nationality]],"_",Tableau1[[#This Row],[Competition_year]])</f>
        <v>Majtie KOLBERG_GER_2022</v>
      </c>
      <c r="B1489" t="s">
        <v>277</v>
      </c>
      <c r="C1489" t="s">
        <v>29</v>
      </c>
      <c r="D1489" s="18" t="s">
        <v>139</v>
      </c>
      <c r="E1489">
        <v>14.41</v>
      </c>
      <c r="F1489">
        <v>13.96</v>
      </c>
      <c r="G1489">
        <v>14.99</v>
      </c>
      <c r="H1489">
        <v>15.77</v>
      </c>
      <c r="I1489">
        <v>15.97</v>
      </c>
      <c r="J1489">
        <v>15.48</v>
      </c>
      <c r="K1489">
        <v>15.04</v>
      </c>
      <c r="L1489">
        <f>Tableau1[[#This Row],[Final_time]]-SUM(Tableau1[[#This Row],[0_100m]:[600_700m]])</f>
        <v>15.589999999999989</v>
      </c>
      <c r="M1489">
        <v>121.21</v>
      </c>
      <c r="N1489">
        <f>SUM(Tableau1[[#This Row],[0_100m]:[700_800m]])</f>
        <v>121.21</v>
      </c>
      <c r="O1489">
        <f>ABS(Tableau1[[#This Row],[Final_time]]-Tableau1[[#This Row],[Sum_time]])</f>
        <v>0</v>
      </c>
      <c r="P1489" s="8"/>
      <c r="Q1489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89" t="s">
        <v>143</v>
      </c>
      <c r="S1489" s="1" t="s">
        <v>114</v>
      </c>
      <c r="T1489" t="s">
        <v>154</v>
      </c>
      <c r="U1489" s="1" t="s">
        <v>69</v>
      </c>
      <c r="V1489" s="1">
        <v>44763</v>
      </c>
      <c r="W1489" s="4">
        <f>YEAR(Tableau1[[#This Row],[Competition_date]])</f>
        <v>2022</v>
      </c>
      <c r="X1489" s="4">
        <v>28</v>
      </c>
      <c r="Y1489" s="6">
        <v>0.51</v>
      </c>
      <c r="Z1489" s="4"/>
      <c r="AA1489" t="s">
        <v>162</v>
      </c>
    </row>
    <row r="1490" spans="1:27" hidden="1" x14ac:dyDescent="0.35">
      <c r="A1490" t="str">
        <f>_xlfn.CONCAT(Tableau1[[#This Row],[Athletes]],"_",Tableau1[[#This Row],[Nationality]],"_",Tableau1[[#This Row],[Competition_year]])</f>
        <v>Louise SHANAHAN_IRL_2022</v>
      </c>
      <c r="B1490" t="s">
        <v>278</v>
      </c>
      <c r="C1490" t="s">
        <v>29</v>
      </c>
      <c r="D1490" s="18" t="s">
        <v>66</v>
      </c>
      <c r="E1490">
        <v>14.36</v>
      </c>
      <c r="F1490">
        <v>14.15</v>
      </c>
      <c r="G1490">
        <v>15.03</v>
      </c>
      <c r="H1490">
        <v>15.82</v>
      </c>
      <c r="I1490">
        <v>15.97</v>
      </c>
      <c r="J1490">
        <v>15.45</v>
      </c>
      <c r="K1490">
        <v>15.24</v>
      </c>
      <c r="L1490">
        <f>Tableau1[[#This Row],[Final_time]]-SUM(Tableau1[[#This Row],[0_100m]:[600_700m]])</f>
        <v>15.689999999999998</v>
      </c>
      <c r="M1490">
        <v>121.71</v>
      </c>
      <c r="N1490">
        <f>SUM(Tableau1[[#This Row],[0_100m]:[700_800m]])</f>
        <v>121.71</v>
      </c>
      <c r="O1490">
        <f>ABS(Tableau1[[#This Row],[Final_time]]-Tableau1[[#This Row],[Sum_time]])</f>
        <v>0</v>
      </c>
      <c r="P1490" s="8"/>
      <c r="Q1490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90" t="s">
        <v>143</v>
      </c>
      <c r="S1490" s="1" t="s">
        <v>114</v>
      </c>
      <c r="T1490" t="s">
        <v>154</v>
      </c>
      <c r="U1490" s="1" t="s">
        <v>69</v>
      </c>
      <c r="V1490" s="1">
        <v>44763</v>
      </c>
      <c r="W1490" s="4">
        <f>YEAR(Tableau1[[#This Row],[Competition_date]])</f>
        <v>2022</v>
      </c>
      <c r="X1490" s="4">
        <v>28</v>
      </c>
      <c r="Y1490" s="6">
        <v>0.51</v>
      </c>
      <c r="Z1490" s="4"/>
      <c r="AA1490" t="s">
        <v>162</v>
      </c>
    </row>
    <row r="1491" spans="1:27" hidden="1" x14ac:dyDescent="0.35">
      <c r="A1491" t="str">
        <f>_xlfn.CONCAT(Tableau1[[#This Row],[Athletes]],"_",Tableau1[[#This Row],[Nationality]],"_",Tableau1[[#This Row],[Competition_year]])</f>
        <v>Jerneja SMONKAR_SLO_2022</v>
      </c>
      <c r="B1491" t="s">
        <v>279</v>
      </c>
      <c r="C1491" t="s">
        <v>29</v>
      </c>
      <c r="D1491" s="18" t="s">
        <v>53</v>
      </c>
      <c r="E1491">
        <v>14.48</v>
      </c>
      <c r="F1491">
        <v>14.12</v>
      </c>
      <c r="G1491">
        <v>15.11</v>
      </c>
      <c r="H1491">
        <v>15.83</v>
      </c>
      <c r="I1491">
        <v>15.96</v>
      </c>
      <c r="J1491">
        <v>15.67</v>
      </c>
      <c r="K1491">
        <v>15.66</v>
      </c>
      <c r="L1491">
        <f>Tableau1[[#This Row],[Final_time]]-SUM(Tableau1[[#This Row],[0_100m]:[600_700m]])</f>
        <v>15.650000000000006</v>
      </c>
      <c r="M1491">
        <v>122.48</v>
      </c>
      <c r="N1491">
        <f>SUM(Tableau1[[#This Row],[0_100m]:[700_800m]])</f>
        <v>122.48</v>
      </c>
      <c r="O1491">
        <f>ABS(Tableau1[[#This Row],[Final_time]]-Tableau1[[#This Row],[Sum_time]])</f>
        <v>0</v>
      </c>
      <c r="P1491" s="8"/>
      <c r="Q1491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91" t="s">
        <v>143</v>
      </c>
      <c r="S1491" s="1" t="s">
        <v>114</v>
      </c>
      <c r="T1491" t="s">
        <v>154</v>
      </c>
      <c r="U1491" s="1" t="s">
        <v>69</v>
      </c>
      <c r="V1491" s="1">
        <v>44763</v>
      </c>
      <c r="W1491" s="4">
        <f>YEAR(Tableau1[[#This Row],[Competition_date]])</f>
        <v>2022</v>
      </c>
      <c r="X1491" s="4">
        <v>28</v>
      </c>
      <c r="Y1491" s="6">
        <v>0.51</v>
      </c>
      <c r="Z1491" s="4"/>
      <c r="AA1491" t="s">
        <v>162</v>
      </c>
    </row>
    <row r="1492" spans="1:27" hidden="1" x14ac:dyDescent="0.35">
      <c r="A1492" t="str">
        <f>_xlfn.CONCAT(Tableau1[[#This Row],[Athletes]],"_",Tableau1[[#This Row],[Nationality]],"_",Tableau1[[#This Row],[Competition_year]])</f>
        <v>Nozomi TANAKA_JPN_2022</v>
      </c>
      <c r="B1492" t="s">
        <v>280</v>
      </c>
      <c r="C1492" t="s">
        <v>29</v>
      </c>
      <c r="D1492" s="18" t="s">
        <v>167</v>
      </c>
      <c r="E1492">
        <v>15.29</v>
      </c>
      <c r="F1492">
        <v>14.26</v>
      </c>
      <c r="G1492">
        <v>14.83</v>
      </c>
      <c r="H1492">
        <v>15.06</v>
      </c>
      <c r="I1492">
        <v>15.84</v>
      </c>
      <c r="J1492">
        <v>15.69</v>
      </c>
      <c r="K1492">
        <v>16.239999999999998</v>
      </c>
      <c r="L1492">
        <f>Tableau1[[#This Row],[Final_time]]-SUM(Tableau1[[#This Row],[0_100m]:[600_700m]])</f>
        <v>16.350000000000009</v>
      </c>
      <c r="M1492">
        <v>123.56</v>
      </c>
      <c r="N1492">
        <f>SUM(Tableau1[[#This Row],[0_100m]:[700_800m]])</f>
        <v>123.56</v>
      </c>
      <c r="O1492">
        <f>ABS(Tableau1[[#This Row],[Final_time]]-Tableau1[[#This Row],[Sum_time]])</f>
        <v>0</v>
      </c>
      <c r="P1492" s="8"/>
      <c r="Q1492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92" t="s">
        <v>143</v>
      </c>
      <c r="S1492" s="1" t="s">
        <v>114</v>
      </c>
      <c r="T1492" t="s">
        <v>154</v>
      </c>
      <c r="U1492" s="1" t="s">
        <v>69</v>
      </c>
      <c r="V1492" s="1">
        <v>44763</v>
      </c>
      <c r="W1492" s="4">
        <f>YEAR(Tableau1[[#This Row],[Competition_date]])</f>
        <v>2022</v>
      </c>
      <c r="X1492" s="4">
        <v>28</v>
      </c>
      <c r="Y1492" s="6">
        <v>0.51</v>
      </c>
      <c r="Z1492" s="4"/>
      <c r="AA1492" t="s">
        <v>162</v>
      </c>
    </row>
    <row r="1493" spans="1:27" hidden="1" x14ac:dyDescent="0.35">
      <c r="A1493" t="str">
        <f>_xlfn.CONCAT(Tableau1[[#This Row],[Athletes]],"_",Tableau1[[#This Row],[Nationality]],"_",Tableau1[[#This Row],[Competition_year]])</f>
        <v>Hedda HYNNE_NOR_2022</v>
      </c>
      <c r="B1493" t="s">
        <v>281</v>
      </c>
      <c r="C1493" t="s">
        <v>29</v>
      </c>
      <c r="D1493" s="18" t="s">
        <v>123</v>
      </c>
      <c r="E1493">
        <v>14.6</v>
      </c>
      <c r="F1493">
        <v>13.98</v>
      </c>
      <c r="G1493">
        <v>15.02</v>
      </c>
      <c r="H1493">
        <v>15.85</v>
      </c>
      <c r="I1493">
        <v>15.96</v>
      </c>
      <c r="J1493">
        <v>15.65</v>
      </c>
      <c r="K1493">
        <v>16.670000000000002</v>
      </c>
      <c r="L1493">
        <f>Tableau1[[#This Row],[Final_time]]-SUM(Tableau1[[#This Row],[0_100m]:[600_700m]])</f>
        <v>18.539999999999992</v>
      </c>
      <c r="M1493">
        <v>126.27</v>
      </c>
      <c r="N1493">
        <f>SUM(Tableau1[[#This Row],[0_100m]:[700_800m]])</f>
        <v>126.27</v>
      </c>
      <c r="O1493">
        <f>ABS(Tableau1[[#This Row],[Final_time]]-Tableau1[[#This Row],[Sum_time]])</f>
        <v>0</v>
      </c>
      <c r="P1493" s="8"/>
      <c r="Q1493" s="16" t="str">
        <f>_xlfn.CONCAT(Tableau1[[#This Row],[Competition]],"_",Tableau1[[#This Row],[Championship_step]],"_",Tableau1[[#This Row],[Competition_date]],"_",Tableau1[[#This Row],[Gender]])</f>
        <v>World Championships Eugene 2022_Heat 6_44763_Female</v>
      </c>
      <c r="R1493" t="s">
        <v>143</v>
      </c>
      <c r="S1493" s="1" t="s">
        <v>114</v>
      </c>
      <c r="T1493" t="s">
        <v>154</v>
      </c>
      <c r="U1493" s="1" t="s">
        <v>69</v>
      </c>
      <c r="V1493" s="1">
        <v>44763</v>
      </c>
      <c r="W1493" s="4">
        <f>YEAR(Tableau1[[#This Row],[Competition_date]])</f>
        <v>2022</v>
      </c>
      <c r="X1493" s="4">
        <v>28</v>
      </c>
      <c r="Y1493" s="6">
        <v>0.51</v>
      </c>
      <c r="Z1493" s="4"/>
      <c r="AA1493" t="s">
        <v>162</v>
      </c>
    </row>
    <row r="1494" spans="1:27" hidden="1" x14ac:dyDescent="0.35">
      <c r="A1494" t="str">
        <f>_xlfn.CONCAT(Tableau1[[#This Row],[Athletes]],"_",Tableau1[[#This Row],[Nationality]],"_",Tableau1[[#This Row],[Competition_year]])</f>
        <v>Emmanuel Kipkurui KORIR_KEN_2022</v>
      </c>
      <c r="B1494" t="s">
        <v>201</v>
      </c>
      <c r="C1494" t="s">
        <v>14</v>
      </c>
      <c r="D1494" s="18" t="s">
        <v>15</v>
      </c>
      <c r="E1494">
        <v>13.14</v>
      </c>
      <c r="F1494">
        <v>11.95</v>
      </c>
      <c r="G1494">
        <v>14.7</v>
      </c>
      <c r="H1494">
        <v>13.53</v>
      </c>
      <c r="I1494">
        <v>13.26</v>
      </c>
      <c r="J1494">
        <v>12.83</v>
      </c>
      <c r="K1494">
        <v>13.09</v>
      </c>
      <c r="L1494">
        <f>Tableau1[[#This Row],[Final_time]]-SUM(Tableau1[[#This Row],[0_100m]:[600_700m]])</f>
        <v>12.879999999999995</v>
      </c>
      <c r="M1494">
        <v>105.38</v>
      </c>
      <c r="N1494">
        <f>SUM(Tableau1[[#This Row],[0_100m]:[700_800m]])</f>
        <v>105.38</v>
      </c>
      <c r="O1494">
        <f>ABS(Tableau1[[#This Row],[Final_time]]-Tableau1[[#This Row],[Sum_time]])</f>
        <v>0</v>
      </c>
      <c r="P1494" s="8" t="s">
        <v>141</v>
      </c>
      <c r="Q1494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494" t="s">
        <v>143</v>
      </c>
      <c r="S1494" s="1" t="s">
        <v>105</v>
      </c>
      <c r="T1494" t="s">
        <v>155</v>
      </c>
      <c r="U1494" s="1" t="s">
        <v>69</v>
      </c>
      <c r="V1494" s="1">
        <v>44763</v>
      </c>
      <c r="W1494" s="4">
        <f>YEAR(Tableau1[[#This Row],[Competition_date]])</f>
        <v>2022</v>
      </c>
      <c r="X1494" s="4">
        <v>28</v>
      </c>
      <c r="Y1494" s="6">
        <v>0.51</v>
      </c>
      <c r="Z1494" s="4"/>
      <c r="AA1494" t="s">
        <v>160</v>
      </c>
    </row>
    <row r="1495" spans="1:27" hidden="1" x14ac:dyDescent="0.35">
      <c r="A1495" t="str">
        <f>_xlfn.CONCAT(Tableau1[[#This Row],[Athletes]],"_",Tableau1[[#This Row],[Nationality]],"_",Tableau1[[#This Row],[Competition_year]])</f>
        <v>Wyclife KINYAMAL_KEN_2022</v>
      </c>
      <c r="B1495" t="s">
        <v>174</v>
      </c>
      <c r="C1495" t="s">
        <v>14</v>
      </c>
      <c r="D1495" s="18" t="s">
        <v>15</v>
      </c>
      <c r="E1495">
        <v>12.77</v>
      </c>
      <c r="F1495">
        <v>12.11</v>
      </c>
      <c r="G1495">
        <v>14.56</v>
      </c>
      <c r="H1495">
        <v>13.48</v>
      </c>
      <c r="I1495">
        <v>13.21</v>
      </c>
      <c r="J1495">
        <v>12.89</v>
      </c>
      <c r="K1495">
        <v>13.01</v>
      </c>
      <c r="L1495">
        <f>Tableau1[[#This Row],[Final_time]]-SUM(Tableau1[[#This Row],[0_100m]:[600_700m]])</f>
        <v>13.459999999999994</v>
      </c>
      <c r="M1495">
        <v>105.49</v>
      </c>
      <c r="N1495">
        <f>SUM(Tableau1[[#This Row],[0_100m]:[700_800m]])</f>
        <v>105.49</v>
      </c>
      <c r="O1495">
        <f>ABS(Tableau1[[#This Row],[Final_time]]-Tableau1[[#This Row],[Sum_time]])</f>
        <v>0</v>
      </c>
      <c r="P1495" s="8" t="s">
        <v>141</v>
      </c>
      <c r="Q1495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495" t="s">
        <v>143</v>
      </c>
      <c r="S1495" s="1" t="s">
        <v>105</v>
      </c>
      <c r="T1495" t="s">
        <v>155</v>
      </c>
      <c r="U1495" s="1" t="s">
        <v>69</v>
      </c>
      <c r="V1495" s="1">
        <v>44763</v>
      </c>
      <c r="W1495" s="4">
        <f>YEAR(Tableau1[[#This Row],[Competition_date]])</f>
        <v>2022</v>
      </c>
      <c r="X1495" s="4">
        <v>28</v>
      </c>
      <c r="Y1495" s="6">
        <v>0.51</v>
      </c>
      <c r="Z1495" s="4"/>
      <c r="AA1495" t="s">
        <v>160</v>
      </c>
    </row>
    <row r="1496" spans="1:27" hidden="1" x14ac:dyDescent="0.35">
      <c r="A1496" t="str">
        <f>_xlfn.CONCAT(Tableau1[[#This Row],[Athletes]],"_",Tableau1[[#This Row],[Nationality]],"_",Tableau1[[#This Row],[Competition_year]])</f>
        <v>Peter BOL_AUS_2022</v>
      </c>
      <c r="B1496" t="s">
        <v>127</v>
      </c>
      <c r="C1496" t="s">
        <v>14</v>
      </c>
      <c r="D1496" s="18" t="s">
        <v>36</v>
      </c>
      <c r="E1496">
        <v>12.75</v>
      </c>
      <c r="F1496">
        <v>12.15</v>
      </c>
      <c r="G1496">
        <v>14.55</v>
      </c>
      <c r="H1496">
        <v>13.6</v>
      </c>
      <c r="I1496">
        <v>13.19</v>
      </c>
      <c r="J1496">
        <v>12.83</v>
      </c>
      <c r="K1496">
        <v>13.05</v>
      </c>
      <c r="L1496">
        <f>Tableau1[[#This Row],[Final_time]]-SUM(Tableau1[[#This Row],[0_100m]:[600_700m]])</f>
        <v>13.459999999999994</v>
      </c>
      <c r="M1496">
        <v>105.58</v>
      </c>
      <c r="N1496">
        <f>SUM(Tableau1[[#This Row],[0_100m]:[700_800m]])</f>
        <v>105.58</v>
      </c>
      <c r="O1496">
        <f>ABS(Tableau1[[#This Row],[Final_time]]-Tableau1[[#This Row],[Sum_time]])</f>
        <v>0</v>
      </c>
      <c r="P1496" s="8" t="s">
        <v>142</v>
      </c>
      <c r="Q1496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496" t="s">
        <v>143</v>
      </c>
      <c r="S1496" s="1" t="s">
        <v>105</v>
      </c>
      <c r="T1496" t="s">
        <v>155</v>
      </c>
      <c r="U1496" s="1" t="s">
        <v>69</v>
      </c>
      <c r="V1496" s="1">
        <v>44763</v>
      </c>
      <c r="W1496" s="4">
        <f>YEAR(Tableau1[[#This Row],[Competition_date]])</f>
        <v>2022</v>
      </c>
      <c r="X1496" s="4">
        <v>28</v>
      </c>
      <c r="Y1496" s="6">
        <v>0.51</v>
      </c>
      <c r="Z1496" s="4"/>
      <c r="AA1496" t="s">
        <v>160</v>
      </c>
    </row>
    <row r="1497" spans="1:27" hidden="1" x14ac:dyDescent="0.35">
      <c r="A1497" t="str">
        <f>_xlfn.CONCAT(Tableau1[[#This Row],[Athletes]],"_",Tableau1[[#This Row],[Nationality]],"_",Tableau1[[#This Row],[Competition_year]])</f>
        <v>Kyle LANGFORD_GBR_2022</v>
      </c>
      <c r="B1497" t="s">
        <v>240</v>
      </c>
      <c r="C1497" t="s">
        <v>14</v>
      </c>
      <c r="D1497" s="18" t="s">
        <v>30</v>
      </c>
      <c r="E1497">
        <v>12.95</v>
      </c>
      <c r="F1497">
        <v>12.12</v>
      </c>
      <c r="G1497">
        <v>14.64</v>
      </c>
      <c r="H1497">
        <v>13.63</v>
      </c>
      <c r="I1497">
        <v>13.51</v>
      </c>
      <c r="J1497">
        <v>13.15</v>
      </c>
      <c r="K1497">
        <v>13.04</v>
      </c>
      <c r="L1497">
        <f>Tableau1[[#This Row],[Final_time]]-SUM(Tableau1[[#This Row],[0_100m]:[600_700m]])</f>
        <v>12.869999999999976</v>
      </c>
      <c r="M1497">
        <v>105.91</v>
      </c>
      <c r="N1497">
        <f>SUM(Tableau1[[#This Row],[0_100m]:[700_800m]])</f>
        <v>105.91</v>
      </c>
      <c r="O1497">
        <f>ABS(Tableau1[[#This Row],[Final_time]]-Tableau1[[#This Row],[Sum_time]])</f>
        <v>0</v>
      </c>
      <c r="P1497" s="8"/>
      <c r="Q1497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497" t="s">
        <v>143</v>
      </c>
      <c r="S1497" s="1" t="s">
        <v>105</v>
      </c>
      <c r="T1497" t="s">
        <v>155</v>
      </c>
      <c r="U1497" s="1" t="s">
        <v>69</v>
      </c>
      <c r="V1497" s="1">
        <v>44763</v>
      </c>
      <c r="W1497" s="4">
        <f>YEAR(Tableau1[[#This Row],[Competition_date]])</f>
        <v>2022</v>
      </c>
      <c r="X1497" s="4">
        <v>28</v>
      </c>
      <c r="Y1497" s="6">
        <v>0.51</v>
      </c>
      <c r="Z1497" s="4"/>
      <c r="AA1497" t="s">
        <v>160</v>
      </c>
    </row>
    <row r="1498" spans="1:27" hidden="1" x14ac:dyDescent="0.35">
      <c r="A1498" t="str">
        <f>_xlfn.CONCAT(Tableau1[[#This Row],[Athletes]],"_",Tableau1[[#This Row],[Nationality]],"_",Tableau1[[#This Row],[Competition_year]])</f>
        <v>Jesus Tonatiu LÓPEZ_MEX_2022</v>
      </c>
      <c r="B1498" t="s">
        <v>893</v>
      </c>
      <c r="C1498" t="s">
        <v>14</v>
      </c>
      <c r="D1498" s="18" t="s">
        <v>159</v>
      </c>
      <c r="E1498">
        <v>12.71</v>
      </c>
      <c r="F1498">
        <v>12.27</v>
      </c>
      <c r="G1498">
        <v>14.49</v>
      </c>
      <c r="H1498">
        <v>13.69</v>
      </c>
      <c r="I1498">
        <v>13.51</v>
      </c>
      <c r="J1498">
        <v>13.13</v>
      </c>
      <c r="K1498">
        <v>12.94</v>
      </c>
      <c r="L1498">
        <f>Tableau1[[#This Row],[Final_time]]-SUM(Tableau1[[#This Row],[0_100m]:[600_700m]])</f>
        <v>13.430000000000007</v>
      </c>
      <c r="M1498">
        <v>106.17</v>
      </c>
      <c r="N1498">
        <f>SUM(Tableau1[[#This Row],[0_100m]:[700_800m]])</f>
        <v>106.17</v>
      </c>
      <c r="O1498">
        <f>ABS(Tableau1[[#This Row],[Final_time]]-Tableau1[[#This Row],[Sum_time]])</f>
        <v>0</v>
      </c>
      <c r="P1498" s="8"/>
      <c r="Q1498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498" t="s">
        <v>143</v>
      </c>
      <c r="S1498" s="1" t="s">
        <v>105</v>
      </c>
      <c r="T1498" t="s">
        <v>155</v>
      </c>
      <c r="U1498" s="1" t="s">
        <v>69</v>
      </c>
      <c r="V1498" s="1">
        <v>44763</v>
      </c>
      <c r="W1498" s="4">
        <f>YEAR(Tableau1[[#This Row],[Competition_date]])</f>
        <v>2022</v>
      </c>
      <c r="X1498" s="4">
        <v>28</v>
      </c>
      <c r="Y1498" s="6">
        <v>0.51</v>
      </c>
      <c r="Z1498" s="4"/>
      <c r="AA1498" t="s">
        <v>160</v>
      </c>
    </row>
    <row r="1499" spans="1:27" hidden="1" x14ac:dyDescent="0.35">
      <c r="A1499" t="str">
        <f>_xlfn.CONCAT(Tableau1[[#This Row],[Athletes]],"_",Tableau1[[#This Row],[Nationality]],"_",Tableau1[[#This Row],[Competition_year]])</f>
        <v>Tony VAN DIEPEN_NED_2022</v>
      </c>
      <c r="B1499" t="s">
        <v>247</v>
      </c>
      <c r="C1499" t="s">
        <v>14</v>
      </c>
      <c r="D1499" s="18" t="s">
        <v>158</v>
      </c>
      <c r="E1499">
        <v>12.82</v>
      </c>
      <c r="F1499">
        <v>12.14</v>
      </c>
      <c r="G1499">
        <v>14.67</v>
      </c>
      <c r="H1499">
        <v>13.51</v>
      </c>
      <c r="I1499">
        <v>13.28</v>
      </c>
      <c r="J1499">
        <v>13.06</v>
      </c>
      <c r="K1499">
        <v>13.03</v>
      </c>
      <c r="L1499">
        <f>Tableau1[[#This Row],[Final_time]]-SUM(Tableau1[[#This Row],[0_100m]:[600_700m]])</f>
        <v>14.189999999999998</v>
      </c>
      <c r="M1499">
        <v>106.7</v>
      </c>
      <c r="N1499">
        <f>SUM(Tableau1[[#This Row],[0_100m]:[700_800m]])</f>
        <v>106.7</v>
      </c>
      <c r="O1499">
        <f>ABS(Tableau1[[#This Row],[Final_time]]-Tableau1[[#This Row],[Sum_time]])</f>
        <v>0</v>
      </c>
      <c r="P1499" s="8"/>
      <c r="Q1499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499" t="s">
        <v>143</v>
      </c>
      <c r="S1499" s="1" t="s">
        <v>105</v>
      </c>
      <c r="T1499" t="s">
        <v>155</v>
      </c>
      <c r="U1499" s="1" t="s">
        <v>69</v>
      </c>
      <c r="V1499" s="1">
        <v>44763</v>
      </c>
      <c r="W1499" s="4">
        <f>YEAR(Tableau1[[#This Row],[Competition_date]])</f>
        <v>2022</v>
      </c>
      <c r="X1499" s="4">
        <v>28</v>
      </c>
      <c r="Y1499" s="6">
        <v>0.51</v>
      </c>
      <c r="Z1499" s="4"/>
      <c r="AA1499" t="s">
        <v>160</v>
      </c>
    </row>
    <row r="1500" spans="1:27" hidden="1" x14ac:dyDescent="0.35">
      <c r="A1500" t="str">
        <f>_xlfn.CONCAT(Tableau1[[#This Row],[Athletes]],"_",Tableau1[[#This Row],[Nationality]],"_",Tableau1[[#This Row],[Competition_year]])</f>
        <v>Elhassane MOUJAHID_MAR_2022</v>
      </c>
      <c r="B1500" t="s">
        <v>236</v>
      </c>
      <c r="C1500" t="s">
        <v>14</v>
      </c>
      <c r="D1500" s="18" t="s">
        <v>21</v>
      </c>
      <c r="E1500">
        <v>13.52</v>
      </c>
      <c r="F1500">
        <v>12.09</v>
      </c>
      <c r="G1500">
        <v>14.05</v>
      </c>
      <c r="H1500">
        <v>13.65</v>
      </c>
      <c r="I1500">
        <v>13.19</v>
      </c>
      <c r="J1500">
        <v>12.85</v>
      </c>
      <c r="K1500">
        <v>13.4</v>
      </c>
      <c r="L1500">
        <f>Tableau1[[#This Row],[Final_time]]-SUM(Tableau1[[#This Row],[0_100m]:[600_700m]])</f>
        <v>14.430000000000007</v>
      </c>
      <c r="M1500">
        <v>107.18</v>
      </c>
      <c r="N1500">
        <f>SUM(Tableau1[[#This Row],[0_100m]:[700_800m]])</f>
        <v>107.18</v>
      </c>
      <c r="O1500">
        <f>ABS(Tableau1[[#This Row],[Final_time]]-Tableau1[[#This Row],[Sum_time]])</f>
        <v>0</v>
      </c>
      <c r="P1500" s="8"/>
      <c r="Q1500" s="16" t="str">
        <f>_xlfn.CONCAT(Tableau1[[#This Row],[Competition]],"_",Tableau1[[#This Row],[Championship_step]],"_",Tableau1[[#This Row],[Competition_date]],"_",Tableau1[[#This Row],[Gender]])</f>
        <v>World Championships Eugene 2022_Semi 1_44763_Male</v>
      </c>
      <c r="R1500" t="s">
        <v>143</v>
      </c>
      <c r="S1500" s="1" t="s">
        <v>105</v>
      </c>
      <c r="T1500" t="s">
        <v>155</v>
      </c>
      <c r="U1500" s="1" t="s">
        <v>69</v>
      </c>
      <c r="V1500" s="1">
        <v>44763</v>
      </c>
      <c r="W1500" s="4">
        <f>YEAR(Tableau1[[#This Row],[Competition_date]])</f>
        <v>2022</v>
      </c>
      <c r="X1500" s="4">
        <v>28</v>
      </c>
      <c r="Y1500" s="6">
        <v>0.51</v>
      </c>
      <c r="Z1500" s="4"/>
      <c r="AA1500" t="s">
        <v>160</v>
      </c>
    </row>
    <row r="1501" spans="1:27" hidden="1" x14ac:dyDescent="0.35">
      <c r="A1501" t="str">
        <f>_xlfn.CONCAT(Tableau1[[#This Row],[Athletes]],"_",Tableau1[[#This Row],[Nationality]],"_",Tableau1[[#This Row],[Competition_year]])</f>
        <v>Mary MORAA_KEN_2022</v>
      </c>
      <c r="B1501" t="s">
        <v>228</v>
      </c>
      <c r="C1501" t="s">
        <v>29</v>
      </c>
      <c r="D1501" s="18" t="s">
        <v>15</v>
      </c>
      <c r="E1501">
        <v>13.9</v>
      </c>
      <c r="F1501">
        <v>13.61</v>
      </c>
      <c r="G1501">
        <v>15.67</v>
      </c>
      <c r="H1501">
        <v>15.82</v>
      </c>
      <c r="I1501">
        <v>15.79</v>
      </c>
      <c r="J1501">
        <v>15.21</v>
      </c>
      <c r="K1501">
        <v>15.14</v>
      </c>
      <c r="L1501">
        <f>Tableau1[[#This Row],[Final_time]]-SUM(Tableau1[[#This Row],[0_100m]:[600_700m]])</f>
        <v>14.510000000000005</v>
      </c>
      <c r="M1501">
        <v>119.65</v>
      </c>
      <c r="N1501">
        <f>SUM(Tableau1[[#This Row],[0_100m]:[700_800m]])</f>
        <v>119.65</v>
      </c>
      <c r="O1501">
        <f>ABS(Tableau1[[#This Row],[Final_time]]-Tableau1[[#This Row],[Sum_time]])</f>
        <v>0</v>
      </c>
      <c r="P1501" s="8" t="s">
        <v>141</v>
      </c>
      <c r="Q1501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1" t="s">
        <v>143</v>
      </c>
      <c r="S1501" s="1" t="s">
        <v>105</v>
      </c>
      <c r="T1501" t="s">
        <v>155</v>
      </c>
      <c r="U1501" s="1" t="s">
        <v>69</v>
      </c>
      <c r="V1501" s="1">
        <v>44764</v>
      </c>
      <c r="W1501" s="4">
        <f>YEAR(Tableau1[[#This Row],[Competition_date]])</f>
        <v>2022</v>
      </c>
      <c r="X1501" s="4">
        <v>25</v>
      </c>
      <c r="Y1501" s="6">
        <v>0.5</v>
      </c>
      <c r="Z1501" s="4"/>
      <c r="AA1501" t="s">
        <v>168</v>
      </c>
    </row>
    <row r="1502" spans="1:27" hidden="1" x14ac:dyDescent="0.35">
      <c r="A1502" t="str">
        <f>_xlfn.CONCAT(Tableau1[[#This Row],[Athletes]],"_",Tableau1[[#This Row],[Nationality]],"_",Tableau1[[#This Row],[Competition_year]])</f>
        <v>Ajee' WILSON_USA_2022</v>
      </c>
      <c r="B1502" t="s">
        <v>549</v>
      </c>
      <c r="C1502" t="s">
        <v>29</v>
      </c>
      <c r="D1502" s="18" t="s">
        <v>35</v>
      </c>
      <c r="E1502">
        <v>13.99</v>
      </c>
      <c r="F1502">
        <v>13.99</v>
      </c>
      <c r="G1502">
        <v>15.45</v>
      </c>
      <c r="H1502">
        <v>15.87</v>
      </c>
      <c r="I1502">
        <v>15.91</v>
      </c>
      <c r="J1502">
        <v>14.89</v>
      </c>
      <c r="K1502">
        <v>15.14</v>
      </c>
      <c r="L1502">
        <f>Tableau1[[#This Row],[Final_time]]-SUM(Tableau1[[#This Row],[0_100m]:[600_700m]])</f>
        <v>14.730000000000004</v>
      </c>
      <c r="M1502">
        <v>119.97</v>
      </c>
      <c r="N1502">
        <f>SUM(Tableau1[[#This Row],[0_100m]:[700_800m]])</f>
        <v>119.97</v>
      </c>
      <c r="O1502">
        <f>ABS(Tableau1[[#This Row],[Final_time]]-Tableau1[[#This Row],[Sum_time]])</f>
        <v>0</v>
      </c>
      <c r="P1502" s="8" t="s">
        <v>141</v>
      </c>
      <c r="Q1502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2" t="s">
        <v>143</v>
      </c>
      <c r="S1502" s="1" t="s">
        <v>105</v>
      </c>
      <c r="T1502" t="s">
        <v>155</v>
      </c>
      <c r="U1502" s="1" t="s">
        <v>69</v>
      </c>
      <c r="V1502" s="1">
        <v>44764</v>
      </c>
      <c r="W1502" s="4">
        <f>YEAR(Tableau1[[#This Row],[Competition_date]])</f>
        <v>2022</v>
      </c>
      <c r="X1502" s="4">
        <v>25</v>
      </c>
      <c r="Y1502" s="6">
        <v>0.5</v>
      </c>
      <c r="Z1502" s="4"/>
      <c r="AA1502" t="s">
        <v>168</v>
      </c>
    </row>
    <row r="1503" spans="1:27" hidden="1" x14ac:dyDescent="0.35">
      <c r="A1503" t="str">
        <f>_xlfn.CONCAT(Tableau1[[#This Row],[Athletes]],"_",Tableau1[[#This Row],[Nationality]],"_",Tableau1[[#This Row],[Competition_year]])</f>
        <v>Adelle TRACEY_JAM_2022</v>
      </c>
      <c r="B1503" t="s">
        <v>231</v>
      </c>
      <c r="C1503" t="s">
        <v>29</v>
      </c>
      <c r="D1503" s="18" t="s">
        <v>33</v>
      </c>
      <c r="E1503">
        <v>14.2</v>
      </c>
      <c r="F1503">
        <v>13.94</v>
      </c>
      <c r="G1503">
        <v>15.62</v>
      </c>
      <c r="H1503">
        <v>15.92</v>
      </c>
      <c r="I1503">
        <v>15.89</v>
      </c>
      <c r="J1503">
        <v>14.9</v>
      </c>
      <c r="K1503">
        <v>15.17</v>
      </c>
      <c r="L1503">
        <f>Tableau1[[#This Row],[Final_time]]-SUM(Tableau1[[#This Row],[0_100m]:[600_700m]])</f>
        <v>14.569999999999993</v>
      </c>
      <c r="M1503">
        <v>120.21</v>
      </c>
      <c r="N1503">
        <f>SUM(Tableau1[[#This Row],[0_100m]:[700_800m]])</f>
        <v>120.21</v>
      </c>
      <c r="O1503">
        <f>ABS(Tableau1[[#This Row],[Final_time]]-Tableau1[[#This Row],[Sum_time]])</f>
        <v>0</v>
      </c>
      <c r="P1503" s="8"/>
      <c r="Q1503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3" t="s">
        <v>143</v>
      </c>
      <c r="S1503" s="1" t="s">
        <v>105</v>
      </c>
      <c r="T1503" t="s">
        <v>155</v>
      </c>
      <c r="U1503" s="1" t="s">
        <v>69</v>
      </c>
      <c r="V1503" s="1">
        <v>44764</v>
      </c>
      <c r="W1503" s="4">
        <f>YEAR(Tableau1[[#This Row],[Competition_date]])</f>
        <v>2022</v>
      </c>
      <c r="X1503" s="4">
        <v>25</v>
      </c>
      <c r="Y1503" s="6">
        <v>0.5</v>
      </c>
      <c r="Z1503" s="4"/>
      <c r="AA1503" t="s">
        <v>168</v>
      </c>
    </row>
    <row r="1504" spans="1:27" hidden="1" x14ac:dyDescent="0.35">
      <c r="A1504" t="str">
        <f>_xlfn.CONCAT(Tableau1[[#This Row],[Athletes]],"_",Tableau1[[#This Row],[Nationality]],"_",Tableau1[[#This Row],[Competition_year]])</f>
        <v>Habitam ALEMU_ETH_2022</v>
      </c>
      <c r="B1504" t="s">
        <v>223</v>
      </c>
      <c r="C1504" t="s">
        <v>29</v>
      </c>
      <c r="D1504" s="18" t="s">
        <v>49</v>
      </c>
      <c r="E1504">
        <v>14</v>
      </c>
      <c r="F1504">
        <v>14.14</v>
      </c>
      <c r="G1504">
        <v>15.52</v>
      </c>
      <c r="H1504">
        <v>15.89</v>
      </c>
      <c r="I1504">
        <v>15.87</v>
      </c>
      <c r="J1504">
        <v>14.74</v>
      </c>
      <c r="K1504">
        <v>15.14</v>
      </c>
      <c r="L1504">
        <f>Tableau1[[#This Row],[Final_time]]-SUM(Tableau1[[#This Row],[0_100m]:[600_700m]])</f>
        <v>15.070000000000007</v>
      </c>
      <c r="M1504">
        <v>120.37</v>
      </c>
      <c r="N1504">
        <f>SUM(Tableau1[[#This Row],[0_100m]:[700_800m]])</f>
        <v>120.37</v>
      </c>
      <c r="O1504">
        <f>ABS(Tableau1[[#This Row],[Final_time]]-Tableau1[[#This Row],[Sum_time]])</f>
        <v>0</v>
      </c>
      <c r="P1504" s="8"/>
      <c r="Q1504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4" t="s">
        <v>143</v>
      </c>
      <c r="S1504" s="1" t="s">
        <v>105</v>
      </c>
      <c r="T1504" t="s">
        <v>155</v>
      </c>
      <c r="U1504" s="1" t="s">
        <v>69</v>
      </c>
      <c r="V1504" s="1">
        <v>44764</v>
      </c>
      <c r="W1504" s="4">
        <f>YEAR(Tableau1[[#This Row],[Competition_date]])</f>
        <v>2022</v>
      </c>
      <c r="X1504" s="4">
        <v>25</v>
      </c>
      <c r="Y1504" s="6">
        <v>0.5</v>
      </c>
      <c r="Z1504" s="4"/>
      <c r="AA1504" t="s">
        <v>168</v>
      </c>
    </row>
    <row r="1505" spans="1:27" hidden="1" x14ac:dyDescent="0.35">
      <c r="A1505" t="str">
        <f>_xlfn.CONCAT(Tableau1[[#This Row],[Athletes]],"_",Tableau1[[#This Row],[Nationality]],"_",Tableau1[[#This Row],[Competition_year]])</f>
        <v>Jemma REEKIE_GBR_2022</v>
      </c>
      <c r="B1505" t="s">
        <v>220</v>
      </c>
      <c r="C1505" t="s">
        <v>29</v>
      </c>
      <c r="D1505" s="18" t="s">
        <v>30</v>
      </c>
      <c r="E1505">
        <v>13.88</v>
      </c>
      <c r="F1505">
        <v>14.06</v>
      </c>
      <c r="G1505">
        <v>15.55</v>
      </c>
      <c r="H1505">
        <v>15.91</v>
      </c>
      <c r="I1505">
        <v>15.91</v>
      </c>
      <c r="J1505">
        <v>14.99</v>
      </c>
      <c r="K1505">
        <v>15.12</v>
      </c>
      <c r="L1505">
        <f>Tableau1[[#This Row],[Final_time]]-SUM(Tableau1[[#This Row],[0_100m]:[600_700m]])</f>
        <v>15.010000000000005</v>
      </c>
      <c r="M1505">
        <v>120.43</v>
      </c>
      <c r="N1505">
        <f>SUM(Tableau1[[#This Row],[0_100m]:[700_800m]])</f>
        <v>120.43</v>
      </c>
      <c r="O1505">
        <f>ABS(Tableau1[[#This Row],[Final_time]]-Tableau1[[#This Row],[Sum_time]])</f>
        <v>0</v>
      </c>
      <c r="P1505" s="8"/>
      <c r="Q1505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5" t="s">
        <v>143</v>
      </c>
      <c r="S1505" s="1" t="s">
        <v>105</v>
      </c>
      <c r="T1505" t="s">
        <v>155</v>
      </c>
      <c r="U1505" s="1" t="s">
        <v>69</v>
      </c>
      <c r="V1505" s="1">
        <v>44764</v>
      </c>
      <c r="W1505" s="4">
        <f>YEAR(Tableau1[[#This Row],[Competition_date]])</f>
        <v>2022</v>
      </c>
      <c r="X1505" s="4">
        <v>25</v>
      </c>
      <c r="Y1505" s="6">
        <v>0.5</v>
      </c>
      <c r="Z1505" s="4"/>
      <c r="AA1505" t="s">
        <v>168</v>
      </c>
    </row>
    <row r="1506" spans="1:27" hidden="1" x14ac:dyDescent="0.35">
      <c r="A1506" t="str">
        <f>_xlfn.CONCAT(Tableau1[[#This Row],[Athletes]],"_",Tableau1[[#This Row],[Nationality]],"_",Tableau1[[#This Row],[Competition_year]])</f>
        <v>Rénelle LAMOTE_FRA_2022</v>
      </c>
      <c r="B1506" t="s">
        <v>225</v>
      </c>
      <c r="C1506" t="s">
        <v>29</v>
      </c>
      <c r="D1506" s="18" t="s">
        <v>17</v>
      </c>
      <c r="E1506">
        <v>14.03</v>
      </c>
      <c r="F1506">
        <v>13.93</v>
      </c>
      <c r="G1506">
        <v>15.27</v>
      </c>
      <c r="H1506">
        <v>15.86</v>
      </c>
      <c r="I1506">
        <v>15.87</v>
      </c>
      <c r="J1506">
        <v>15.18</v>
      </c>
      <c r="K1506">
        <v>15.41</v>
      </c>
      <c r="L1506">
        <f>Tableau1[[#This Row],[Final_time]]-SUM(Tableau1[[#This Row],[0_100m]:[600_700m]])</f>
        <v>15.309999999999988</v>
      </c>
      <c r="M1506">
        <v>120.86</v>
      </c>
      <c r="N1506">
        <f>SUM(Tableau1[[#This Row],[0_100m]:[700_800m]])</f>
        <v>120.86</v>
      </c>
      <c r="O1506">
        <f>ABS(Tableau1[[#This Row],[Final_time]]-Tableau1[[#This Row],[Sum_time]])</f>
        <v>0</v>
      </c>
      <c r="P1506" s="8"/>
      <c r="Q1506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6" t="s">
        <v>143</v>
      </c>
      <c r="S1506" s="1" t="s">
        <v>105</v>
      </c>
      <c r="T1506" t="s">
        <v>155</v>
      </c>
      <c r="U1506" s="1" t="s">
        <v>69</v>
      </c>
      <c r="V1506" s="1">
        <v>44764</v>
      </c>
      <c r="W1506" s="4">
        <f>YEAR(Tableau1[[#This Row],[Competition_date]])</f>
        <v>2022</v>
      </c>
      <c r="X1506" s="4">
        <v>25</v>
      </c>
      <c r="Y1506" s="6">
        <v>0.5</v>
      </c>
      <c r="Z1506" s="4"/>
      <c r="AA1506" t="s">
        <v>168</v>
      </c>
    </row>
    <row r="1507" spans="1:27" hidden="1" x14ac:dyDescent="0.35">
      <c r="A1507" t="str">
        <f>_xlfn.CONCAT(Tableau1[[#This Row],[Athletes]],"_",Tableau1[[#This Row],[Nationality]],"_",Tableau1[[#This Row],[Competition_year]])</f>
        <v>Lindsey BUTTERWORTH_CAN_2022</v>
      </c>
      <c r="B1507" t="s">
        <v>256</v>
      </c>
      <c r="C1507" t="s">
        <v>29</v>
      </c>
      <c r="D1507" s="18" t="s">
        <v>19</v>
      </c>
      <c r="E1507">
        <v>14.44</v>
      </c>
      <c r="F1507">
        <v>13.58</v>
      </c>
      <c r="G1507">
        <v>15.59</v>
      </c>
      <c r="H1507">
        <v>15.88</v>
      </c>
      <c r="I1507">
        <v>15.96</v>
      </c>
      <c r="J1507">
        <v>15.58</v>
      </c>
      <c r="K1507">
        <v>15.04</v>
      </c>
      <c r="L1507">
        <f>Tableau1[[#This Row],[Final_time]]-SUM(Tableau1[[#This Row],[0_100m]:[600_700m]])</f>
        <v>15.320000000000007</v>
      </c>
      <c r="M1507">
        <v>121.39</v>
      </c>
      <c r="N1507">
        <f>SUM(Tableau1[[#This Row],[0_100m]:[700_800m]])</f>
        <v>121.39</v>
      </c>
      <c r="O1507">
        <f>ABS(Tableau1[[#This Row],[Final_time]]-Tableau1[[#This Row],[Sum_time]])</f>
        <v>0</v>
      </c>
      <c r="P1507" s="8"/>
      <c r="Q1507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7" t="s">
        <v>143</v>
      </c>
      <c r="S1507" s="1" t="s">
        <v>105</v>
      </c>
      <c r="T1507" t="s">
        <v>155</v>
      </c>
      <c r="U1507" s="1" t="s">
        <v>69</v>
      </c>
      <c r="V1507" s="1">
        <v>44764</v>
      </c>
      <c r="W1507" s="4">
        <f>YEAR(Tableau1[[#This Row],[Competition_date]])</f>
        <v>2022</v>
      </c>
      <c r="X1507" s="4">
        <v>25</v>
      </c>
      <c r="Y1507" s="6">
        <v>0.5</v>
      </c>
      <c r="Z1507" s="4"/>
      <c r="AA1507" t="s">
        <v>168</v>
      </c>
    </row>
    <row r="1508" spans="1:27" hidden="1" x14ac:dyDescent="0.35">
      <c r="A1508" t="str">
        <f>_xlfn.CONCAT(Tableau1[[#This Row],[Athletes]],"_",Tableau1[[#This Row],[Nationality]],"_",Tableau1[[#This Row],[Competition_year]])</f>
        <v>Christina HERING_GER_2022</v>
      </c>
      <c r="B1508" t="s">
        <v>226</v>
      </c>
      <c r="C1508" t="s">
        <v>29</v>
      </c>
      <c r="D1508" s="18" t="s">
        <v>139</v>
      </c>
      <c r="E1508">
        <v>13.88</v>
      </c>
      <c r="F1508">
        <v>13.79</v>
      </c>
      <c r="G1508">
        <v>15.59</v>
      </c>
      <c r="H1508">
        <v>15.9</v>
      </c>
      <c r="I1508">
        <v>15.95</v>
      </c>
      <c r="J1508">
        <v>15.22</v>
      </c>
      <c r="K1508">
        <v>15.63</v>
      </c>
      <c r="L1508">
        <f>Tableau1[[#This Row],[Final_time]]-SUM(Tableau1[[#This Row],[0_100m]:[600_700m]])</f>
        <v>15.61</v>
      </c>
      <c r="M1508">
        <v>121.57</v>
      </c>
      <c r="N1508">
        <f>SUM(Tableau1[[#This Row],[0_100m]:[700_800m]])</f>
        <v>121.57</v>
      </c>
      <c r="O1508">
        <f>ABS(Tableau1[[#This Row],[Final_time]]-Tableau1[[#This Row],[Sum_time]])</f>
        <v>0</v>
      </c>
      <c r="P1508" s="8"/>
      <c r="Q1508" s="16" t="str">
        <f>_xlfn.CONCAT(Tableau1[[#This Row],[Competition]],"_",Tableau1[[#This Row],[Championship_step]],"_",Tableau1[[#This Row],[Competition_date]],"_",Tableau1[[#This Row],[Gender]])</f>
        <v>World Championships Eugene 2022_Semi 1_44764_Female</v>
      </c>
      <c r="R1508" t="s">
        <v>143</v>
      </c>
      <c r="S1508" s="1" t="s">
        <v>105</v>
      </c>
      <c r="T1508" t="s">
        <v>155</v>
      </c>
      <c r="U1508" s="1" t="s">
        <v>69</v>
      </c>
      <c r="V1508" s="1">
        <v>44764</v>
      </c>
      <c r="W1508" s="4">
        <f>YEAR(Tableau1[[#This Row],[Competition_date]])</f>
        <v>2022</v>
      </c>
      <c r="X1508" s="4">
        <v>25</v>
      </c>
      <c r="Y1508" s="6">
        <v>0.5</v>
      </c>
      <c r="Z1508" s="4"/>
      <c r="AA1508" t="s">
        <v>168</v>
      </c>
    </row>
    <row r="1509" spans="1:27" hidden="1" x14ac:dyDescent="0.35">
      <c r="A1509" t="str">
        <f>_xlfn.CONCAT(Tableau1[[#This Row],[Athletes]],"_",Tableau1[[#This Row],[Nationality]],"_",Tableau1[[#This Row],[Competition_year]])</f>
        <v>Djamel SEDJATI_ALG_2022</v>
      </c>
      <c r="B1509" t="s">
        <v>170</v>
      </c>
      <c r="C1509" t="s">
        <v>14</v>
      </c>
      <c r="D1509" s="18" t="s">
        <v>24</v>
      </c>
      <c r="E1509">
        <v>13.19</v>
      </c>
      <c r="F1509">
        <v>12.07</v>
      </c>
      <c r="G1509">
        <v>13.93</v>
      </c>
      <c r="H1509">
        <v>13.51</v>
      </c>
      <c r="I1509">
        <v>13.39</v>
      </c>
      <c r="J1509">
        <v>13.23</v>
      </c>
      <c r="K1509">
        <v>12.96</v>
      </c>
      <c r="L1509">
        <f>Tableau1[[#This Row],[Final_time]]-SUM(Tableau1[[#This Row],[0_100m]:[600_700m]])</f>
        <v>13.159999999999997</v>
      </c>
      <c r="M1509">
        <v>105.44</v>
      </c>
      <c r="N1509">
        <f>SUM(Tableau1[[#This Row],[0_100m]:[700_800m]])</f>
        <v>105.44</v>
      </c>
      <c r="O1509">
        <f>ABS(Tableau1[[#This Row],[Final_time]]-Tableau1[[#This Row],[Sum_time]])</f>
        <v>0</v>
      </c>
      <c r="P1509" s="8" t="s">
        <v>141</v>
      </c>
      <c r="Q1509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09" t="s">
        <v>143</v>
      </c>
      <c r="S1509" s="1" t="s">
        <v>105</v>
      </c>
      <c r="T1509" t="s">
        <v>156</v>
      </c>
      <c r="U1509" s="1" t="s">
        <v>69</v>
      </c>
      <c r="V1509" s="1">
        <v>44763</v>
      </c>
      <c r="W1509" s="4">
        <f>YEAR(Tableau1[[#This Row],[Competition_date]])</f>
        <v>2022</v>
      </c>
      <c r="X1509" s="4">
        <v>28</v>
      </c>
      <c r="Y1509" s="6">
        <v>0.51</v>
      </c>
      <c r="Z1509" s="4"/>
      <c r="AA1509" t="s">
        <v>160</v>
      </c>
    </row>
    <row r="1510" spans="1:27" hidden="1" x14ac:dyDescent="0.35">
      <c r="A1510" t="str">
        <f>_xlfn.CONCAT(Tableau1[[#This Row],[Athletes]],"_",Tableau1[[#This Row],[Nationality]],"_",Tableau1[[#This Row],[Competition_year]])</f>
        <v>Gabriel TUAL_FRA_2022</v>
      </c>
      <c r="B1510" t="s">
        <v>180</v>
      </c>
      <c r="C1510" t="s">
        <v>14</v>
      </c>
      <c r="D1510" s="18" t="s">
        <v>17</v>
      </c>
      <c r="E1510">
        <v>12.81</v>
      </c>
      <c r="F1510">
        <v>12.27</v>
      </c>
      <c r="G1510">
        <v>13.39</v>
      </c>
      <c r="H1510">
        <v>13.6</v>
      </c>
      <c r="I1510">
        <v>13.71</v>
      </c>
      <c r="J1510">
        <v>13.37</v>
      </c>
      <c r="K1510">
        <v>13.24</v>
      </c>
      <c r="L1510">
        <f>Tableau1[[#This Row],[Final_time]]-SUM(Tableau1[[#This Row],[0_100m]:[600_700m]])</f>
        <v>13.14</v>
      </c>
      <c r="M1510">
        <v>105.53</v>
      </c>
      <c r="N1510">
        <f>SUM(Tableau1[[#This Row],[0_100m]:[700_800m]])</f>
        <v>105.53</v>
      </c>
      <c r="O1510">
        <f>ABS(Tableau1[[#This Row],[Final_time]]-Tableau1[[#This Row],[Sum_time]])</f>
        <v>0</v>
      </c>
      <c r="P1510" s="8" t="s">
        <v>141</v>
      </c>
      <c r="Q1510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10" t="s">
        <v>143</v>
      </c>
      <c r="S1510" s="1" t="s">
        <v>105</v>
      </c>
      <c r="T1510" t="s">
        <v>156</v>
      </c>
      <c r="U1510" s="1" t="s">
        <v>69</v>
      </c>
      <c r="V1510" s="1">
        <v>44763</v>
      </c>
      <c r="W1510" s="4">
        <f>YEAR(Tableau1[[#This Row],[Competition_date]])</f>
        <v>2022</v>
      </c>
      <c r="X1510" s="4">
        <v>28</v>
      </c>
      <c r="Y1510" s="6">
        <v>0.51</v>
      </c>
      <c r="Z1510" s="4"/>
      <c r="AA1510" t="s">
        <v>160</v>
      </c>
    </row>
    <row r="1511" spans="1:27" hidden="1" x14ac:dyDescent="0.35">
      <c r="A1511" t="str">
        <f>_xlfn.CONCAT(Tableau1[[#This Row],[Athletes]],"_",Tableau1[[#This Row],[Nationality]],"_",Tableau1[[#This Row],[Competition_year]])</f>
        <v>Daniel ROWDEN_GBR_2022</v>
      </c>
      <c r="B1511" t="s">
        <v>172</v>
      </c>
      <c r="C1511" t="s">
        <v>14</v>
      </c>
      <c r="D1511" s="18" t="s">
        <v>30</v>
      </c>
      <c r="E1511">
        <v>13.09</v>
      </c>
      <c r="F1511">
        <v>12.09</v>
      </c>
      <c r="G1511">
        <v>13.66</v>
      </c>
      <c r="H1511">
        <v>13.47</v>
      </c>
      <c r="I1511">
        <v>13.58</v>
      </c>
      <c r="J1511">
        <v>13.34</v>
      </c>
      <c r="K1511">
        <v>13.6</v>
      </c>
      <c r="L1511">
        <f>Tableau1[[#This Row],[Final_time]]-SUM(Tableau1[[#This Row],[0_100m]:[600_700m]])</f>
        <v>13.439999999999998</v>
      </c>
      <c r="M1511">
        <v>106.27</v>
      </c>
      <c r="N1511">
        <f>SUM(Tableau1[[#This Row],[0_100m]:[700_800m]])</f>
        <v>106.27</v>
      </c>
      <c r="O1511">
        <f>ABS(Tableau1[[#This Row],[Final_time]]-Tableau1[[#This Row],[Sum_time]])</f>
        <v>0</v>
      </c>
      <c r="P1511" s="8"/>
      <c r="Q1511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11" t="s">
        <v>143</v>
      </c>
      <c r="S1511" s="1" t="s">
        <v>105</v>
      </c>
      <c r="T1511" t="s">
        <v>156</v>
      </c>
      <c r="U1511" s="1" t="s">
        <v>69</v>
      </c>
      <c r="V1511" s="1">
        <v>44763</v>
      </c>
      <c r="W1511" s="4">
        <f>YEAR(Tableau1[[#This Row],[Competition_date]])</f>
        <v>2022</v>
      </c>
      <c r="X1511" s="4">
        <v>28</v>
      </c>
      <c r="Y1511" s="6">
        <v>0.51</v>
      </c>
      <c r="Z1511" s="4"/>
      <c r="AA1511" t="s">
        <v>160</v>
      </c>
    </row>
    <row r="1512" spans="1:27" hidden="1" x14ac:dyDescent="0.35">
      <c r="A1512" t="str">
        <f>_xlfn.CONCAT(Tableau1[[#This Row],[Athletes]],"_",Tableau1[[#This Row],[Nationality]],"_",Tableau1[[#This Row],[Competition_year]])</f>
        <v>Catalin TECUCEANU_ITA_2022</v>
      </c>
      <c r="B1512" t="s">
        <v>179</v>
      </c>
      <c r="C1512" t="s">
        <v>14</v>
      </c>
      <c r="D1512" s="18" t="s">
        <v>20</v>
      </c>
      <c r="E1512">
        <v>13.11</v>
      </c>
      <c r="F1512">
        <v>12.24</v>
      </c>
      <c r="G1512">
        <v>13.93</v>
      </c>
      <c r="H1512">
        <v>13.7</v>
      </c>
      <c r="I1512">
        <v>13.69</v>
      </c>
      <c r="J1512">
        <v>13.5</v>
      </c>
      <c r="K1512">
        <v>13.24</v>
      </c>
      <c r="L1512">
        <f>Tableau1[[#This Row],[Final_time]]-SUM(Tableau1[[#This Row],[0_100m]:[600_700m]])</f>
        <v>12.900000000000006</v>
      </c>
      <c r="M1512">
        <v>106.31</v>
      </c>
      <c r="N1512">
        <f>SUM(Tableau1[[#This Row],[0_100m]:[700_800m]])</f>
        <v>106.31</v>
      </c>
      <c r="O1512">
        <f>ABS(Tableau1[[#This Row],[Final_time]]-Tableau1[[#This Row],[Sum_time]])</f>
        <v>0</v>
      </c>
      <c r="P1512" s="8"/>
      <c r="Q1512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12" t="s">
        <v>143</v>
      </c>
      <c r="S1512" s="1" t="s">
        <v>105</v>
      </c>
      <c r="T1512" t="s">
        <v>156</v>
      </c>
      <c r="U1512" s="1" t="s">
        <v>69</v>
      </c>
      <c r="V1512" s="1">
        <v>44763</v>
      </c>
      <c r="W1512" s="4">
        <f>YEAR(Tableau1[[#This Row],[Competition_date]])</f>
        <v>2022</v>
      </c>
      <c r="X1512" s="4">
        <v>28</v>
      </c>
      <c r="Y1512" s="6">
        <v>0.51</v>
      </c>
      <c r="Z1512" s="4"/>
      <c r="AA1512" t="s">
        <v>160</v>
      </c>
    </row>
    <row r="1513" spans="1:27" hidden="1" x14ac:dyDescent="0.35">
      <c r="A1513" t="str">
        <f>_xlfn.CONCAT(Tableau1[[#This Row],[Athletes]],"_",Tableau1[[#This Row],[Nationality]],"_",Tableau1[[#This Row],[Competition_year]])</f>
        <v>Mariano GARCÍA_ESP_2022</v>
      </c>
      <c r="B1513" t="s">
        <v>241</v>
      </c>
      <c r="C1513" t="s">
        <v>14</v>
      </c>
      <c r="D1513" s="18" t="s">
        <v>37</v>
      </c>
      <c r="E1513">
        <v>13.02</v>
      </c>
      <c r="F1513">
        <v>12.03</v>
      </c>
      <c r="G1513">
        <v>13.91</v>
      </c>
      <c r="H1513">
        <v>13.23</v>
      </c>
      <c r="I1513">
        <v>13.49</v>
      </c>
      <c r="J1513">
        <v>13.27</v>
      </c>
      <c r="K1513">
        <v>13.35</v>
      </c>
      <c r="L1513">
        <f>Tableau1[[#This Row],[Final_time]]-SUM(Tableau1[[#This Row],[0_100m]:[600_700m]])</f>
        <v>14.40000000000002</v>
      </c>
      <c r="M1513">
        <v>106.7</v>
      </c>
      <c r="N1513">
        <f>SUM(Tableau1[[#This Row],[0_100m]:[700_800m]])</f>
        <v>106.7</v>
      </c>
      <c r="O1513">
        <f>ABS(Tableau1[[#This Row],[Final_time]]-Tableau1[[#This Row],[Sum_time]])</f>
        <v>0</v>
      </c>
      <c r="P1513" s="8"/>
      <c r="Q1513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13" t="s">
        <v>143</v>
      </c>
      <c r="S1513" s="1" t="s">
        <v>105</v>
      </c>
      <c r="T1513" t="s">
        <v>156</v>
      </c>
      <c r="U1513" s="1" t="s">
        <v>69</v>
      </c>
      <c r="V1513" s="1">
        <v>44763</v>
      </c>
      <c r="W1513" s="4">
        <f>YEAR(Tableau1[[#This Row],[Competition_date]])</f>
        <v>2022</v>
      </c>
      <c r="X1513" s="4">
        <v>28</v>
      </c>
      <c r="Y1513" s="6">
        <v>0.51</v>
      </c>
      <c r="Z1513" s="4"/>
      <c r="AA1513" t="s">
        <v>160</v>
      </c>
    </row>
    <row r="1514" spans="1:27" hidden="1" x14ac:dyDescent="0.35">
      <c r="A1514" t="str">
        <f>_xlfn.CONCAT(Tableau1[[#This Row],[Athletes]],"_",Tableau1[[#This Row],[Nationality]],"_",Tableau1[[#This Row],[Competition_year]])</f>
        <v>Andreas KRAMER_SWE_2022</v>
      </c>
      <c r="B1514" t="s">
        <v>186</v>
      </c>
      <c r="C1514" t="s">
        <v>14</v>
      </c>
      <c r="D1514" s="18" t="s">
        <v>28</v>
      </c>
      <c r="E1514">
        <v>12.89</v>
      </c>
      <c r="F1514">
        <v>12.03</v>
      </c>
      <c r="G1514">
        <v>13.38</v>
      </c>
      <c r="H1514">
        <v>13.61</v>
      </c>
      <c r="I1514">
        <v>13.72</v>
      </c>
      <c r="J1514">
        <v>13.49</v>
      </c>
      <c r="K1514">
        <v>13.45</v>
      </c>
      <c r="L1514">
        <f>Tableau1[[#This Row],[Final_time]]-SUM(Tableau1[[#This Row],[0_100m]:[600_700m]])</f>
        <v>14.139999999999986</v>
      </c>
      <c r="M1514">
        <v>106.71</v>
      </c>
      <c r="N1514">
        <f>SUM(Tableau1[[#This Row],[0_100m]:[700_800m]])</f>
        <v>106.71</v>
      </c>
      <c r="O1514">
        <f>ABS(Tableau1[[#This Row],[Final_time]]-Tableau1[[#This Row],[Sum_time]])</f>
        <v>0</v>
      </c>
      <c r="P1514" s="8"/>
      <c r="Q1514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14" t="s">
        <v>143</v>
      </c>
      <c r="S1514" s="1" t="s">
        <v>105</v>
      </c>
      <c r="T1514" t="s">
        <v>156</v>
      </c>
      <c r="U1514" s="1" t="s">
        <v>69</v>
      </c>
      <c r="V1514" s="1">
        <v>44763</v>
      </c>
      <c r="W1514" s="4">
        <f>YEAR(Tableau1[[#This Row],[Competition_date]])</f>
        <v>2022</v>
      </c>
      <c r="X1514" s="4">
        <v>28</v>
      </c>
      <c r="Y1514" s="6">
        <v>0.51</v>
      </c>
      <c r="Z1514" s="4"/>
      <c r="AA1514" t="s">
        <v>160</v>
      </c>
    </row>
    <row r="1515" spans="1:27" hidden="1" x14ac:dyDescent="0.35">
      <c r="A1515" t="str">
        <f>_xlfn.CONCAT(Tableau1[[#This Row],[Athletes]],"_",Tableau1[[#This Row],[Nationality]],"_",Tableau1[[#This Row],[Competition_year]])</f>
        <v>Noah KIBET_KEN_2022</v>
      </c>
      <c r="B1515" t="s">
        <v>250</v>
      </c>
      <c r="C1515" t="s">
        <v>14</v>
      </c>
      <c r="D1515" s="18" t="s">
        <v>15</v>
      </c>
      <c r="E1515">
        <v>12.79</v>
      </c>
      <c r="F1515">
        <v>12.16</v>
      </c>
      <c r="G1515">
        <v>13.41</v>
      </c>
      <c r="H1515">
        <v>13.66</v>
      </c>
      <c r="I1515">
        <v>13.58</v>
      </c>
      <c r="J1515">
        <v>13.38</v>
      </c>
      <c r="K1515">
        <v>13.33</v>
      </c>
      <c r="L1515">
        <f>Tableau1[[#This Row],[Final_time]]-SUM(Tableau1[[#This Row],[0_100m]:[600_700m]])</f>
        <v>14.840000000000018</v>
      </c>
      <c r="M1515">
        <v>107.15</v>
      </c>
      <c r="N1515">
        <f>SUM(Tableau1[[#This Row],[0_100m]:[700_800m]])</f>
        <v>107.15</v>
      </c>
      <c r="O1515">
        <f>ABS(Tableau1[[#This Row],[Final_time]]-Tableau1[[#This Row],[Sum_time]])</f>
        <v>0</v>
      </c>
      <c r="P1515" s="8"/>
      <c r="Q1515" s="16" t="str">
        <f>_xlfn.CONCAT(Tableau1[[#This Row],[Competition]],"_",Tableau1[[#This Row],[Championship_step]],"_",Tableau1[[#This Row],[Competition_date]],"_",Tableau1[[#This Row],[Gender]])</f>
        <v>World Championships Eugene 2022_Semi 2_44763_Male</v>
      </c>
      <c r="R1515" t="s">
        <v>143</v>
      </c>
      <c r="S1515" s="1" t="s">
        <v>105</v>
      </c>
      <c r="T1515" t="s">
        <v>156</v>
      </c>
      <c r="U1515" s="1" t="s">
        <v>69</v>
      </c>
      <c r="V1515" s="1">
        <v>44763</v>
      </c>
      <c r="W1515" s="4">
        <f>YEAR(Tableau1[[#This Row],[Competition_date]])</f>
        <v>2022</v>
      </c>
      <c r="X1515" s="4">
        <v>28</v>
      </c>
      <c r="Y1515" s="6">
        <v>0.51</v>
      </c>
      <c r="Z1515" s="4"/>
      <c r="AA1515" t="s">
        <v>160</v>
      </c>
    </row>
    <row r="1516" spans="1:27" hidden="1" x14ac:dyDescent="0.35">
      <c r="A1516" t="str">
        <f>_xlfn.CONCAT(Tableau1[[#This Row],[Athletes]],"_",Tableau1[[#This Row],[Nationality]],"_",Tableau1[[#This Row],[Competition_year]])</f>
        <v>Keely HODGKINSON_GBR_2022</v>
      </c>
      <c r="B1516" t="s">
        <v>212</v>
      </c>
      <c r="C1516" t="s">
        <v>29</v>
      </c>
      <c r="D1516" s="18" t="s">
        <v>30</v>
      </c>
      <c r="E1516">
        <v>13.73</v>
      </c>
      <c r="F1516">
        <v>13.83</v>
      </c>
      <c r="G1516">
        <v>14.95</v>
      </c>
      <c r="H1516">
        <v>15.61</v>
      </c>
      <c r="I1516">
        <v>15.34</v>
      </c>
      <c r="J1516">
        <v>15.48</v>
      </c>
      <c r="K1516">
        <v>14.94</v>
      </c>
      <c r="L1516">
        <f>Tableau1[[#This Row],[Final_time]]-SUM(Tableau1[[#This Row],[0_100m]:[600_700m]])</f>
        <v>14.629999999999995</v>
      </c>
      <c r="M1516">
        <v>118.51</v>
      </c>
      <c r="N1516">
        <f>SUM(Tableau1[[#This Row],[0_100m]:[700_800m]])</f>
        <v>118.51</v>
      </c>
      <c r="O1516">
        <f>ABS(Tableau1[[#This Row],[Final_time]]-Tableau1[[#This Row],[Sum_time]])</f>
        <v>0</v>
      </c>
      <c r="P1516" s="8" t="s">
        <v>141</v>
      </c>
      <c r="Q1516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16" t="s">
        <v>143</v>
      </c>
      <c r="S1516" s="1" t="s">
        <v>105</v>
      </c>
      <c r="T1516" t="s">
        <v>156</v>
      </c>
      <c r="U1516" s="1" t="s">
        <v>69</v>
      </c>
      <c r="V1516" s="1">
        <v>44764</v>
      </c>
      <c r="W1516" s="4">
        <f>YEAR(Tableau1[[#This Row],[Competition_date]])</f>
        <v>2022</v>
      </c>
      <c r="X1516" s="4">
        <v>25</v>
      </c>
      <c r="Y1516" s="6">
        <v>0.5</v>
      </c>
      <c r="Z1516" s="4"/>
      <c r="AA1516" t="s">
        <v>168</v>
      </c>
    </row>
    <row r="1517" spans="1:27" hidden="1" x14ac:dyDescent="0.35">
      <c r="A1517" t="str">
        <f>_xlfn.CONCAT(Tableau1[[#This Row],[Athletes]],"_",Tableau1[[#This Row],[Nationality]],"_",Tableau1[[#This Row],[Competition_year]])</f>
        <v>Natoya GOULE-TOPPIN_JAM_2022</v>
      </c>
      <c r="B1517" t="s">
        <v>222</v>
      </c>
      <c r="C1517" t="s">
        <v>29</v>
      </c>
      <c r="D1517" s="18" t="s">
        <v>33</v>
      </c>
      <c r="E1517">
        <v>13.89</v>
      </c>
      <c r="F1517">
        <v>14.15</v>
      </c>
      <c r="G1517">
        <v>15.16</v>
      </c>
      <c r="H1517">
        <v>15.08</v>
      </c>
      <c r="I1517">
        <v>15.17</v>
      </c>
      <c r="J1517">
        <v>15.49</v>
      </c>
      <c r="K1517">
        <v>14.95</v>
      </c>
      <c r="L1517">
        <f>Tableau1[[#This Row],[Final_time]]-SUM(Tableau1[[#This Row],[0_100m]:[600_700m]])</f>
        <v>14.840000000000003</v>
      </c>
      <c r="M1517">
        <v>118.73</v>
      </c>
      <c r="N1517">
        <f>SUM(Tableau1[[#This Row],[0_100m]:[700_800m]])</f>
        <v>118.73</v>
      </c>
      <c r="O1517">
        <f>ABS(Tableau1[[#This Row],[Final_time]]-Tableau1[[#This Row],[Sum_time]])</f>
        <v>0</v>
      </c>
      <c r="P1517" s="8" t="s">
        <v>141</v>
      </c>
      <c r="Q1517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17" t="s">
        <v>143</v>
      </c>
      <c r="S1517" s="1" t="s">
        <v>105</v>
      </c>
      <c r="T1517" t="s">
        <v>156</v>
      </c>
      <c r="U1517" s="1" t="s">
        <v>69</v>
      </c>
      <c r="V1517" s="1">
        <v>44764</v>
      </c>
      <c r="W1517" s="4">
        <f>YEAR(Tableau1[[#This Row],[Competition_date]])</f>
        <v>2022</v>
      </c>
      <c r="X1517" s="4">
        <v>25</v>
      </c>
      <c r="Y1517" s="6">
        <v>0.5</v>
      </c>
      <c r="Z1517" s="4"/>
      <c r="AA1517" t="s">
        <v>168</v>
      </c>
    </row>
    <row r="1518" spans="1:27" hidden="1" x14ac:dyDescent="0.35">
      <c r="A1518" t="str">
        <f>_xlfn.CONCAT(Tableau1[[#This Row],[Athletes]],"_",Tableau1[[#This Row],[Nationality]],"_",Tableau1[[#This Row],[Competition_year]])</f>
        <v>Raevyn ROGERS_USA_2022</v>
      </c>
      <c r="B1518" t="s">
        <v>221</v>
      </c>
      <c r="C1518" t="s">
        <v>29</v>
      </c>
      <c r="D1518" s="18" t="s">
        <v>35</v>
      </c>
      <c r="E1518">
        <v>13.81</v>
      </c>
      <c r="F1518">
        <v>13.86</v>
      </c>
      <c r="G1518">
        <v>15.02</v>
      </c>
      <c r="H1518">
        <v>15.65</v>
      </c>
      <c r="I1518">
        <v>15.41</v>
      </c>
      <c r="J1518">
        <v>15.34</v>
      </c>
      <c r="K1518">
        <v>15.09</v>
      </c>
      <c r="L1518">
        <f>Tableau1[[#This Row],[Final_time]]-SUM(Tableau1[[#This Row],[0_100m]:[600_700m]])</f>
        <v>14.589999999999989</v>
      </c>
      <c r="M1518">
        <v>118.77</v>
      </c>
      <c r="N1518">
        <f>SUM(Tableau1[[#This Row],[0_100m]:[700_800m]])</f>
        <v>118.77</v>
      </c>
      <c r="O1518">
        <f>ABS(Tableau1[[#This Row],[Final_time]]-Tableau1[[#This Row],[Sum_time]])</f>
        <v>0</v>
      </c>
      <c r="P1518" s="8" t="s">
        <v>142</v>
      </c>
      <c r="Q1518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18" t="s">
        <v>143</v>
      </c>
      <c r="S1518" s="1" t="s">
        <v>105</v>
      </c>
      <c r="T1518" t="s">
        <v>156</v>
      </c>
      <c r="U1518" s="1" t="s">
        <v>69</v>
      </c>
      <c r="V1518" s="1">
        <v>44764</v>
      </c>
      <c r="W1518" s="4">
        <f>YEAR(Tableau1[[#This Row],[Competition_date]])</f>
        <v>2022</v>
      </c>
      <c r="X1518" s="4">
        <v>25</v>
      </c>
      <c r="Y1518" s="6">
        <v>0.5</v>
      </c>
      <c r="Z1518" s="4"/>
      <c r="AA1518" t="s">
        <v>168</v>
      </c>
    </row>
    <row r="1519" spans="1:27" hidden="1" x14ac:dyDescent="0.35">
      <c r="A1519" t="str">
        <f>_xlfn.CONCAT(Tableau1[[#This Row],[Athletes]],"_",Tableau1[[#This Row],[Nationality]],"_",Tableau1[[#This Row],[Competition_year]])</f>
        <v>Freweyni HAILU_ETH_2022</v>
      </c>
      <c r="B1519" t="s">
        <v>267</v>
      </c>
      <c r="C1519" t="s">
        <v>29</v>
      </c>
      <c r="D1519" s="18" t="s">
        <v>49</v>
      </c>
      <c r="E1519">
        <v>14.24</v>
      </c>
      <c r="F1519">
        <v>14.65</v>
      </c>
      <c r="G1519">
        <v>14.76</v>
      </c>
      <c r="H1519">
        <v>15.03</v>
      </c>
      <c r="I1519">
        <v>15.71</v>
      </c>
      <c r="J1519">
        <v>15.04</v>
      </c>
      <c r="K1519">
        <v>15.54</v>
      </c>
      <c r="L1519">
        <f>Tableau1[[#This Row],[Final_time]]-SUM(Tableau1[[#This Row],[0_100m]:[600_700m]])</f>
        <v>15.14</v>
      </c>
      <c r="M1519">
        <v>120.11</v>
      </c>
      <c r="N1519">
        <f>SUM(Tableau1[[#This Row],[0_100m]:[700_800m]])</f>
        <v>120.11</v>
      </c>
      <c r="O1519">
        <f>ABS(Tableau1[[#This Row],[Final_time]]-Tableau1[[#This Row],[Sum_time]])</f>
        <v>0</v>
      </c>
      <c r="P1519" s="8"/>
      <c r="Q1519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19" t="s">
        <v>143</v>
      </c>
      <c r="S1519" s="1" t="s">
        <v>105</v>
      </c>
      <c r="T1519" t="s">
        <v>156</v>
      </c>
      <c r="U1519" s="1" t="s">
        <v>69</v>
      </c>
      <c r="V1519" s="1">
        <v>44764</v>
      </c>
      <c r="W1519" s="4">
        <f>YEAR(Tableau1[[#This Row],[Competition_date]])</f>
        <v>2022</v>
      </c>
      <c r="X1519" s="4">
        <v>25</v>
      </c>
      <c r="Y1519" s="6">
        <v>0.5</v>
      </c>
      <c r="Z1519" s="4"/>
      <c r="AA1519" t="s">
        <v>168</v>
      </c>
    </row>
    <row r="1520" spans="1:27" hidden="1" x14ac:dyDescent="0.35">
      <c r="A1520" t="str">
        <f>_xlfn.CONCAT(Tableau1[[#This Row],[Athletes]],"_",Tableau1[[#This Row],[Nationality]],"_",Tableau1[[#This Row],[Competition_year]])</f>
        <v>Anna WIELGOSZ_POL_2022</v>
      </c>
      <c r="B1520" t="s">
        <v>276</v>
      </c>
      <c r="C1520" t="s">
        <v>29</v>
      </c>
      <c r="D1520" s="18" t="s">
        <v>88</v>
      </c>
      <c r="E1520">
        <v>14.2</v>
      </c>
      <c r="F1520">
        <v>13.94</v>
      </c>
      <c r="G1520">
        <v>15.31</v>
      </c>
      <c r="H1520">
        <v>15.17</v>
      </c>
      <c r="I1520">
        <v>15.3</v>
      </c>
      <c r="J1520">
        <v>15.46</v>
      </c>
      <c r="K1520">
        <v>15.41</v>
      </c>
      <c r="L1520">
        <f>Tableau1[[#This Row],[Final_time]]-SUM(Tableau1[[#This Row],[0_100m]:[600_700m]])</f>
        <v>15.720000000000013</v>
      </c>
      <c r="M1520">
        <v>120.51</v>
      </c>
      <c r="N1520">
        <f>SUM(Tableau1[[#This Row],[0_100m]:[700_800m]])</f>
        <v>120.51</v>
      </c>
      <c r="O1520">
        <f>ABS(Tableau1[[#This Row],[Final_time]]-Tableau1[[#This Row],[Sum_time]])</f>
        <v>0</v>
      </c>
      <c r="P1520" s="8"/>
      <c r="Q1520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20" t="s">
        <v>143</v>
      </c>
      <c r="S1520" s="1" t="s">
        <v>105</v>
      </c>
      <c r="T1520" t="s">
        <v>156</v>
      </c>
      <c r="U1520" s="1" t="s">
        <v>69</v>
      </c>
      <c r="V1520" s="1">
        <v>44764</v>
      </c>
      <c r="W1520" s="4">
        <f>YEAR(Tableau1[[#This Row],[Competition_date]])</f>
        <v>2022</v>
      </c>
      <c r="X1520" s="4">
        <v>25</v>
      </c>
      <c r="Y1520" s="6">
        <v>0.5</v>
      </c>
      <c r="Z1520" s="4"/>
      <c r="AA1520" t="s">
        <v>168</v>
      </c>
    </row>
    <row r="1521" spans="1:27" hidden="1" x14ac:dyDescent="0.35">
      <c r="A1521" t="str">
        <f>_xlfn.CONCAT(Tableau1[[#This Row],[Athletes]],"_",Tableau1[[#This Row],[Nationality]],"_",Tableau1[[#This Row],[Competition_year]])</f>
        <v>Majtie KOLBERG_GER_2022</v>
      </c>
      <c r="B1521" t="s">
        <v>277</v>
      </c>
      <c r="C1521" t="s">
        <v>29</v>
      </c>
      <c r="D1521" s="18" t="s">
        <v>139</v>
      </c>
      <c r="E1521">
        <v>13.99</v>
      </c>
      <c r="F1521">
        <v>14.08</v>
      </c>
      <c r="G1521">
        <v>14.8</v>
      </c>
      <c r="H1521">
        <v>15.62</v>
      </c>
      <c r="I1521">
        <v>15.59</v>
      </c>
      <c r="J1521">
        <v>15.6</v>
      </c>
      <c r="K1521">
        <v>15.73</v>
      </c>
      <c r="L1521">
        <f>Tableau1[[#This Row],[Final_time]]-SUM(Tableau1[[#This Row],[0_100m]:[600_700m]])</f>
        <v>15.950000000000003</v>
      </c>
      <c r="M1521">
        <v>121.36</v>
      </c>
      <c r="N1521">
        <f>SUM(Tableau1[[#This Row],[0_100m]:[700_800m]])</f>
        <v>121.36</v>
      </c>
      <c r="O1521">
        <f>ABS(Tableau1[[#This Row],[Final_time]]-Tableau1[[#This Row],[Sum_time]])</f>
        <v>0</v>
      </c>
      <c r="P1521" s="8"/>
      <c r="Q1521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21" t="s">
        <v>143</v>
      </c>
      <c r="S1521" s="1" t="s">
        <v>105</v>
      </c>
      <c r="T1521" t="s">
        <v>156</v>
      </c>
      <c r="U1521" s="1" t="s">
        <v>69</v>
      </c>
      <c r="V1521" s="1">
        <v>44764</v>
      </c>
      <c r="W1521" s="4">
        <f>YEAR(Tableau1[[#This Row],[Competition_date]])</f>
        <v>2022</v>
      </c>
      <c r="X1521" s="4">
        <v>25</v>
      </c>
      <c r="Y1521" s="6">
        <v>0.5</v>
      </c>
      <c r="Z1521" s="4"/>
      <c r="AA1521" t="s">
        <v>168</v>
      </c>
    </row>
    <row r="1522" spans="1:27" hidden="1" x14ac:dyDescent="0.35">
      <c r="A1522" t="str">
        <f>_xlfn.CONCAT(Tableau1[[#This Row],[Athletes]],"_",Tableau1[[#This Row],[Nationality]],"_",Tableau1[[#This Row],[Competition_year]])</f>
        <v>Noélie YARIGO_BEN_2022</v>
      </c>
      <c r="B1522" t="s">
        <v>214</v>
      </c>
      <c r="C1522" t="s">
        <v>29</v>
      </c>
      <c r="D1522" s="18" t="s">
        <v>52</v>
      </c>
      <c r="E1522">
        <v>13.89</v>
      </c>
      <c r="F1522">
        <v>13.83</v>
      </c>
      <c r="G1522">
        <v>15</v>
      </c>
      <c r="H1522">
        <v>15.49</v>
      </c>
      <c r="I1522">
        <v>15.6</v>
      </c>
      <c r="J1522">
        <v>15.54</v>
      </c>
      <c r="K1522">
        <v>15.9</v>
      </c>
      <c r="L1522">
        <f>Tableau1[[#This Row],[Final_time]]-SUM(Tableau1[[#This Row],[0_100m]:[600_700m]])</f>
        <v>16.269999999999996</v>
      </c>
      <c r="M1522">
        <v>121.52</v>
      </c>
      <c r="N1522">
        <f>SUM(Tableau1[[#This Row],[0_100m]:[700_800m]])</f>
        <v>121.52</v>
      </c>
      <c r="O1522">
        <f>ABS(Tableau1[[#This Row],[Final_time]]-Tableau1[[#This Row],[Sum_time]])</f>
        <v>0</v>
      </c>
      <c r="P1522" s="8"/>
      <c r="Q1522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22" t="s">
        <v>143</v>
      </c>
      <c r="S1522" s="1" t="s">
        <v>105</v>
      </c>
      <c r="T1522" t="s">
        <v>156</v>
      </c>
      <c r="U1522" s="1" t="s">
        <v>69</v>
      </c>
      <c r="V1522" s="1">
        <v>44764</v>
      </c>
      <c r="W1522" s="4">
        <f>YEAR(Tableau1[[#This Row],[Competition_date]])</f>
        <v>2022</v>
      </c>
      <c r="X1522" s="4">
        <v>25</v>
      </c>
      <c r="Y1522" s="6">
        <v>0.5</v>
      </c>
      <c r="Z1522" s="4"/>
      <c r="AA1522" t="s">
        <v>168</v>
      </c>
    </row>
    <row r="1523" spans="1:27" hidden="1" x14ac:dyDescent="0.35">
      <c r="A1523" t="str">
        <f>_xlfn.CONCAT(Tableau1[[#This Row],[Athletes]],"_",Tableau1[[#This Row],[Nationality]],"_",Tableau1[[#This Row],[Competition_year]])</f>
        <v>Ellie BAKER_GBR_2022</v>
      </c>
      <c r="B1523" t="s">
        <v>262</v>
      </c>
      <c r="C1523" t="s">
        <v>29</v>
      </c>
      <c r="D1523" s="18" t="s">
        <v>30</v>
      </c>
      <c r="E1523">
        <v>13.86</v>
      </c>
      <c r="F1523">
        <v>13.6</v>
      </c>
      <c r="G1523">
        <v>15.07</v>
      </c>
      <c r="H1523">
        <v>15.63</v>
      </c>
      <c r="I1523">
        <v>15.39</v>
      </c>
      <c r="J1523">
        <v>15.48</v>
      </c>
      <c r="K1523">
        <v>16.059999999999999</v>
      </c>
      <c r="L1523">
        <f>Tableau1[[#This Row],[Final_time]]-SUM(Tableau1[[#This Row],[0_100m]:[600_700m]])</f>
        <v>17.679999999999978</v>
      </c>
      <c r="M1523">
        <v>122.77</v>
      </c>
      <c r="N1523">
        <f>SUM(Tableau1[[#This Row],[0_100m]:[700_800m]])</f>
        <v>122.77</v>
      </c>
      <c r="O1523">
        <f>ABS(Tableau1[[#This Row],[Final_time]]-Tableau1[[#This Row],[Sum_time]])</f>
        <v>0</v>
      </c>
      <c r="P1523" s="8"/>
      <c r="Q1523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23" t="s">
        <v>143</v>
      </c>
      <c r="S1523" s="1" t="s">
        <v>105</v>
      </c>
      <c r="T1523" t="s">
        <v>156</v>
      </c>
      <c r="U1523" s="1" t="s">
        <v>69</v>
      </c>
      <c r="V1523" s="1">
        <v>44764</v>
      </c>
      <c r="W1523" s="4">
        <f>YEAR(Tableau1[[#This Row],[Competition_date]])</f>
        <v>2022</v>
      </c>
      <c r="X1523" s="4">
        <v>25</v>
      </c>
      <c r="Y1523" s="6">
        <v>0.5</v>
      </c>
      <c r="Z1523" s="4"/>
      <c r="AA1523" t="s">
        <v>168</v>
      </c>
    </row>
    <row r="1524" spans="1:27" hidden="1" x14ac:dyDescent="0.35">
      <c r="A1524" t="str">
        <f>_xlfn.CONCAT(Tableau1[[#This Row],[Athletes]],"_",Tableau1[[#This Row],[Nationality]],"_",Tableau1[[#This Row],[Competition_year]])</f>
        <v>Catriona BISSET_AUS_2022</v>
      </c>
      <c r="B1524" t="s">
        <v>217</v>
      </c>
      <c r="C1524" t="s">
        <v>29</v>
      </c>
      <c r="D1524" s="18" t="s">
        <v>36</v>
      </c>
      <c r="E1524">
        <v>13.86</v>
      </c>
      <c r="F1524">
        <v>13.58</v>
      </c>
      <c r="G1524">
        <v>14.72</v>
      </c>
      <c r="H1524">
        <v>15.17</v>
      </c>
      <c r="I1524">
        <v>15.68</v>
      </c>
      <c r="J1524">
        <v>16.239999999999998</v>
      </c>
      <c r="K1524">
        <v>17.350000000000001</v>
      </c>
      <c r="L1524">
        <f>Tableau1[[#This Row],[Final_time]]-SUM(Tableau1[[#This Row],[0_100m]:[600_700m]])</f>
        <v>18.600000000000009</v>
      </c>
      <c r="M1524">
        <v>125.2</v>
      </c>
      <c r="N1524">
        <f>SUM(Tableau1[[#This Row],[0_100m]:[700_800m]])</f>
        <v>125.2</v>
      </c>
      <c r="O1524">
        <f>ABS(Tableau1[[#This Row],[Final_time]]-Tableau1[[#This Row],[Sum_time]])</f>
        <v>0</v>
      </c>
      <c r="P1524" s="8"/>
      <c r="Q1524" s="16" t="str">
        <f>_xlfn.CONCAT(Tableau1[[#This Row],[Competition]],"_",Tableau1[[#This Row],[Championship_step]],"_",Tableau1[[#This Row],[Competition_date]],"_",Tableau1[[#This Row],[Gender]])</f>
        <v>World Championships Eugene 2022_Semi 2_44764_Female</v>
      </c>
      <c r="R1524" t="s">
        <v>143</v>
      </c>
      <c r="S1524" s="1" t="s">
        <v>105</v>
      </c>
      <c r="T1524" t="s">
        <v>156</v>
      </c>
      <c r="U1524" s="1" t="s">
        <v>69</v>
      </c>
      <c r="V1524" s="1">
        <v>44764</v>
      </c>
      <c r="W1524" s="4">
        <f>YEAR(Tableau1[[#This Row],[Competition_date]])</f>
        <v>2022</v>
      </c>
      <c r="X1524" s="4">
        <v>25</v>
      </c>
      <c r="Y1524" s="6">
        <v>0.5</v>
      </c>
      <c r="Z1524" s="4"/>
      <c r="AA1524" t="s">
        <v>168</v>
      </c>
    </row>
    <row r="1525" spans="1:27" hidden="1" x14ac:dyDescent="0.35">
      <c r="A1525" t="str">
        <f>_xlfn.CONCAT(Tableau1[[#This Row],[Athletes]],"_",Tableau1[[#This Row],[Nationality]],"_",Tableau1[[#This Row],[Competition_year]])</f>
        <v>Slimane MOULA_ALG_2022</v>
      </c>
      <c r="B1525" t="s">
        <v>103</v>
      </c>
      <c r="C1525" t="s">
        <v>14</v>
      </c>
      <c r="D1525" s="18" t="s">
        <v>24</v>
      </c>
      <c r="E1525">
        <v>12.95</v>
      </c>
      <c r="F1525">
        <v>12.42</v>
      </c>
      <c r="G1525">
        <v>13.24</v>
      </c>
      <c r="H1525">
        <v>13.63</v>
      </c>
      <c r="I1525">
        <v>13.76</v>
      </c>
      <c r="J1525">
        <v>13.47</v>
      </c>
      <c r="K1525">
        <v>12.86</v>
      </c>
      <c r="L1525">
        <f>Tableau1[[#This Row],[Final_time]]-SUM(Tableau1[[#This Row],[0_100m]:[600_700m]])</f>
        <v>12.560000000000002</v>
      </c>
      <c r="M1525">
        <v>104.89</v>
      </c>
      <c r="N1525">
        <f>SUM(Tableau1[[#This Row],[0_100m]:[700_800m]])</f>
        <v>104.89</v>
      </c>
      <c r="O1525">
        <f>ABS(Tableau1[[#This Row],[Final_time]]-Tableau1[[#This Row],[Sum_time]])</f>
        <v>0</v>
      </c>
      <c r="P1525" s="8" t="s">
        <v>141</v>
      </c>
      <c r="Q1525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25" t="s">
        <v>143</v>
      </c>
      <c r="S1525" s="1" t="s">
        <v>105</v>
      </c>
      <c r="T1525" t="s">
        <v>157</v>
      </c>
      <c r="U1525" s="1" t="s">
        <v>69</v>
      </c>
      <c r="V1525" s="1">
        <v>44763</v>
      </c>
      <c r="W1525" s="4">
        <f>YEAR(Tableau1[[#This Row],[Competition_date]])</f>
        <v>2022</v>
      </c>
      <c r="X1525" s="4">
        <v>25</v>
      </c>
      <c r="Y1525" s="6">
        <v>0.56999999999999995</v>
      </c>
      <c r="Z1525" s="4"/>
      <c r="AA1525" t="s">
        <v>160</v>
      </c>
    </row>
    <row r="1526" spans="1:27" hidden="1" x14ac:dyDescent="0.35">
      <c r="A1526" t="str">
        <f>_xlfn.CONCAT(Tableau1[[#This Row],[Athletes]],"_",Tableau1[[#This Row],[Nationality]],"_",Tableau1[[#This Row],[Competition_year]])</f>
        <v>Marco AROP_CAN_2022</v>
      </c>
      <c r="B1526" t="s">
        <v>177</v>
      </c>
      <c r="C1526" t="s">
        <v>14</v>
      </c>
      <c r="D1526" s="18" t="s">
        <v>19</v>
      </c>
      <c r="E1526">
        <v>13.56</v>
      </c>
      <c r="F1526">
        <v>12.3</v>
      </c>
      <c r="G1526">
        <v>13.41</v>
      </c>
      <c r="H1526">
        <v>13.17</v>
      </c>
      <c r="I1526">
        <v>13.49</v>
      </c>
      <c r="J1526">
        <v>13.05</v>
      </c>
      <c r="K1526">
        <v>12.81</v>
      </c>
      <c r="L1526">
        <f>Tableau1[[#This Row],[Final_time]]-SUM(Tableau1[[#This Row],[0_100m]:[600_700m]])</f>
        <v>13.330000000000013</v>
      </c>
      <c r="M1526">
        <v>105.12</v>
      </c>
      <c r="N1526">
        <f>SUM(Tableau1[[#This Row],[0_100m]:[700_800m]])</f>
        <v>105.12</v>
      </c>
      <c r="O1526">
        <f>ABS(Tableau1[[#This Row],[Final_time]]-Tableau1[[#This Row],[Sum_time]])</f>
        <v>0</v>
      </c>
      <c r="P1526" s="8" t="s">
        <v>141</v>
      </c>
      <c r="Q1526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26" t="s">
        <v>143</v>
      </c>
      <c r="S1526" s="1" t="s">
        <v>105</v>
      </c>
      <c r="T1526" t="s">
        <v>157</v>
      </c>
      <c r="U1526" s="1" t="s">
        <v>69</v>
      </c>
      <c r="V1526" s="1">
        <v>44763</v>
      </c>
      <c r="W1526" s="4">
        <f>YEAR(Tableau1[[#This Row],[Competition_date]])</f>
        <v>2022</v>
      </c>
      <c r="X1526" s="4">
        <v>25</v>
      </c>
      <c r="Y1526" s="6">
        <v>0.56999999999999995</v>
      </c>
      <c r="Z1526" s="4"/>
      <c r="AA1526" t="s">
        <v>160</v>
      </c>
    </row>
    <row r="1527" spans="1:27" hidden="1" x14ac:dyDescent="0.35">
      <c r="A1527" t="str">
        <f>_xlfn.CONCAT(Tableau1[[#This Row],[Athletes]],"_",Tableau1[[#This Row],[Nationality]],"_",Tableau1[[#This Row],[Competition_year]])</f>
        <v>Emmanuel WANYONYI_KEN_2022</v>
      </c>
      <c r="B1527" t="s">
        <v>183</v>
      </c>
      <c r="C1527" t="s">
        <v>14</v>
      </c>
      <c r="D1527" s="18" t="s">
        <v>15</v>
      </c>
      <c r="E1527">
        <v>12.89</v>
      </c>
      <c r="F1527">
        <v>12.34</v>
      </c>
      <c r="G1527">
        <v>13.17</v>
      </c>
      <c r="H1527">
        <v>13.66</v>
      </c>
      <c r="I1527">
        <v>13.84</v>
      </c>
      <c r="J1527">
        <v>13.07</v>
      </c>
      <c r="K1527">
        <v>13.29</v>
      </c>
      <c r="L1527">
        <f>Tableau1[[#This Row],[Final_time]]-SUM(Tableau1[[#This Row],[0_100m]:[600_700m]])</f>
        <v>13.160000000000011</v>
      </c>
      <c r="M1527">
        <v>105.42</v>
      </c>
      <c r="N1527">
        <f>SUM(Tableau1[[#This Row],[0_100m]:[700_800m]])</f>
        <v>105.42</v>
      </c>
      <c r="O1527">
        <f>ABS(Tableau1[[#This Row],[Final_time]]-Tableau1[[#This Row],[Sum_time]])</f>
        <v>0</v>
      </c>
      <c r="P1527" s="8" t="s">
        <v>142</v>
      </c>
      <c r="Q1527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27" t="s">
        <v>143</v>
      </c>
      <c r="S1527" s="1" t="s">
        <v>105</v>
      </c>
      <c r="T1527" t="s">
        <v>157</v>
      </c>
      <c r="U1527" s="1" t="s">
        <v>69</v>
      </c>
      <c r="V1527" s="1">
        <v>44763</v>
      </c>
      <c r="W1527" s="4">
        <f>YEAR(Tableau1[[#This Row],[Competition_date]])</f>
        <v>2022</v>
      </c>
      <c r="X1527" s="4">
        <v>25</v>
      </c>
      <c r="Y1527" s="6">
        <v>0.56999999999999995</v>
      </c>
      <c r="Z1527" s="4"/>
      <c r="AA1527" t="s">
        <v>160</v>
      </c>
    </row>
    <row r="1528" spans="1:27" hidden="1" x14ac:dyDescent="0.35">
      <c r="A1528" t="str">
        <f>_xlfn.CONCAT(Tableau1[[#This Row],[Athletes]],"_",Tableau1[[#This Row],[Nationality]],"_",Tableau1[[#This Row],[Competition_year]])</f>
        <v>Benjamin ROBERT_FRA_2022</v>
      </c>
      <c r="B1528" t="s">
        <v>111</v>
      </c>
      <c r="C1528" t="s">
        <v>14</v>
      </c>
      <c r="D1528" s="18" t="s">
        <v>17</v>
      </c>
      <c r="E1528">
        <v>12.96</v>
      </c>
      <c r="F1528">
        <v>12.39</v>
      </c>
      <c r="G1528">
        <v>13.76</v>
      </c>
      <c r="H1528">
        <v>13.54</v>
      </c>
      <c r="I1528">
        <v>13.69</v>
      </c>
      <c r="J1528">
        <v>13.45</v>
      </c>
      <c r="K1528">
        <v>12.98</v>
      </c>
      <c r="L1528">
        <f>Tableau1[[#This Row],[Final_time]]-SUM(Tableau1[[#This Row],[0_100m]:[600_700m]])</f>
        <v>12.899999999999991</v>
      </c>
      <c r="M1528">
        <v>105.67</v>
      </c>
      <c r="N1528">
        <f>SUM(Tableau1[[#This Row],[0_100m]:[700_800m]])</f>
        <v>105.67</v>
      </c>
      <c r="O1528">
        <f>ABS(Tableau1[[#This Row],[Final_time]]-Tableau1[[#This Row],[Sum_time]])</f>
        <v>0</v>
      </c>
      <c r="P1528" s="8"/>
      <c r="Q1528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28" t="s">
        <v>143</v>
      </c>
      <c r="S1528" s="1" t="s">
        <v>105</v>
      </c>
      <c r="T1528" t="s">
        <v>157</v>
      </c>
      <c r="U1528" s="1" t="s">
        <v>69</v>
      </c>
      <c r="V1528" s="1">
        <v>44763</v>
      </c>
      <c r="W1528" s="4">
        <f>YEAR(Tableau1[[#This Row],[Competition_date]])</f>
        <v>2022</v>
      </c>
      <c r="X1528" s="4">
        <v>25</v>
      </c>
      <c r="Y1528" s="6">
        <v>0.56999999999999995</v>
      </c>
      <c r="Z1528" s="4"/>
      <c r="AA1528" t="s">
        <v>160</v>
      </c>
    </row>
    <row r="1529" spans="1:27" hidden="1" x14ac:dyDescent="0.35">
      <c r="A1529" t="str">
        <f>_xlfn.CONCAT(Tableau1[[#This Row],[Athletes]],"_",Tableau1[[#This Row],[Nationality]],"_",Tableau1[[#This Row],[Competition_year]])</f>
        <v>Mark ENGLISH_IRL_2022</v>
      </c>
      <c r="B1529" t="s">
        <v>187</v>
      </c>
      <c r="C1529" t="s">
        <v>14</v>
      </c>
      <c r="D1529" s="18" t="s">
        <v>66</v>
      </c>
      <c r="E1529">
        <v>12.98</v>
      </c>
      <c r="F1529">
        <v>12.34</v>
      </c>
      <c r="G1529">
        <v>13.43</v>
      </c>
      <c r="H1529">
        <v>13.58</v>
      </c>
      <c r="I1529">
        <v>13.81</v>
      </c>
      <c r="J1529">
        <v>13.34</v>
      </c>
      <c r="K1529">
        <v>13.12</v>
      </c>
      <c r="L1529">
        <f>Tableau1[[#This Row],[Final_time]]-SUM(Tableau1[[#This Row],[0_100m]:[600_700m]])</f>
        <v>13.179999999999993</v>
      </c>
      <c r="M1529">
        <v>105.78</v>
      </c>
      <c r="N1529">
        <f>SUM(Tableau1[[#This Row],[0_100m]:[700_800m]])</f>
        <v>105.78</v>
      </c>
      <c r="O1529">
        <f>ABS(Tableau1[[#This Row],[Final_time]]-Tableau1[[#This Row],[Sum_time]])</f>
        <v>0</v>
      </c>
      <c r="P1529" s="8"/>
      <c r="Q1529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29" t="s">
        <v>143</v>
      </c>
      <c r="S1529" s="1" t="s">
        <v>105</v>
      </c>
      <c r="T1529" t="s">
        <v>157</v>
      </c>
      <c r="U1529" s="1" t="s">
        <v>69</v>
      </c>
      <c r="V1529" s="1">
        <v>44763</v>
      </c>
      <c r="W1529" s="4">
        <f>YEAR(Tableau1[[#This Row],[Competition_date]])</f>
        <v>2022</v>
      </c>
      <c r="X1529" s="4">
        <v>25</v>
      </c>
      <c r="Y1529" s="6">
        <v>0.56999999999999995</v>
      </c>
      <c r="Z1529" s="4"/>
      <c r="AA1529" t="s">
        <v>160</v>
      </c>
    </row>
    <row r="1530" spans="1:27" hidden="1" x14ac:dyDescent="0.35">
      <c r="A1530" t="str">
        <f>_xlfn.CONCAT(Tableau1[[#This Row],[Athletes]],"_",Tableau1[[#This Row],[Nationality]],"_",Tableau1[[#This Row],[Competition_year]])</f>
        <v>Abdessalem AYOUNI_TUN_2022</v>
      </c>
      <c r="B1530" t="s">
        <v>202</v>
      </c>
      <c r="C1530" t="s">
        <v>14</v>
      </c>
      <c r="D1530" s="18" t="s">
        <v>124</v>
      </c>
      <c r="E1530">
        <v>13</v>
      </c>
      <c r="F1530">
        <v>12.43</v>
      </c>
      <c r="G1530">
        <v>13.6</v>
      </c>
      <c r="H1530">
        <v>13.48</v>
      </c>
      <c r="I1530">
        <v>13.75</v>
      </c>
      <c r="J1530">
        <v>13.36</v>
      </c>
      <c r="K1530">
        <v>13.07</v>
      </c>
      <c r="L1530">
        <f>Tableau1[[#This Row],[Final_time]]-SUM(Tableau1[[#This Row],[0_100m]:[600_700m]])</f>
        <v>13.39</v>
      </c>
      <c r="M1530">
        <v>106.08</v>
      </c>
      <c r="N1530">
        <f>SUM(Tableau1[[#This Row],[0_100m]:[700_800m]])</f>
        <v>106.08</v>
      </c>
      <c r="O1530">
        <f>ABS(Tableau1[[#This Row],[Final_time]]-Tableau1[[#This Row],[Sum_time]])</f>
        <v>0</v>
      </c>
      <c r="P1530" s="8"/>
      <c r="Q1530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30" t="s">
        <v>143</v>
      </c>
      <c r="S1530" s="1" t="s">
        <v>105</v>
      </c>
      <c r="T1530" t="s">
        <v>157</v>
      </c>
      <c r="U1530" s="1" t="s">
        <v>69</v>
      </c>
      <c r="V1530" s="1">
        <v>44763</v>
      </c>
      <c r="W1530" s="4">
        <f>YEAR(Tableau1[[#This Row],[Competition_date]])</f>
        <v>2022</v>
      </c>
      <c r="X1530" s="4">
        <v>25</v>
      </c>
      <c r="Y1530" s="6">
        <v>0.56999999999999995</v>
      </c>
      <c r="Z1530" s="4"/>
      <c r="AA1530" t="s">
        <v>160</v>
      </c>
    </row>
    <row r="1531" spans="1:27" hidden="1" x14ac:dyDescent="0.35">
      <c r="A1531" t="str">
        <f>_xlfn.CONCAT(Tableau1[[#This Row],[Athletes]],"_",Tableau1[[#This Row],[Nationality]],"_",Tableau1[[#This Row],[Competition_year]])</f>
        <v>Álvaro DE ARRIBA_ESP_2022</v>
      </c>
      <c r="B1531" t="s">
        <v>237</v>
      </c>
      <c r="C1531" t="s">
        <v>14</v>
      </c>
      <c r="D1531" s="18" t="s">
        <v>37</v>
      </c>
      <c r="E1531">
        <v>13.15</v>
      </c>
      <c r="F1531">
        <v>12.57</v>
      </c>
      <c r="G1531">
        <v>13.46</v>
      </c>
      <c r="H1531">
        <v>13.62</v>
      </c>
      <c r="I1531">
        <v>13.72</v>
      </c>
      <c r="J1531">
        <v>13.35</v>
      </c>
      <c r="K1531">
        <v>13.06</v>
      </c>
      <c r="L1531">
        <f>Tableau1[[#This Row],[Final_time]]-SUM(Tableau1[[#This Row],[0_100m]:[600_700m]])</f>
        <v>13.370000000000005</v>
      </c>
      <c r="M1531">
        <v>106.3</v>
      </c>
      <c r="N1531">
        <f>SUM(Tableau1[[#This Row],[0_100m]:[700_800m]])</f>
        <v>106.3</v>
      </c>
      <c r="O1531">
        <f>ABS(Tableau1[[#This Row],[Final_time]]-Tableau1[[#This Row],[Sum_time]])</f>
        <v>0</v>
      </c>
      <c r="P1531" s="8"/>
      <c r="Q1531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31" t="s">
        <v>143</v>
      </c>
      <c r="S1531" s="1" t="s">
        <v>105</v>
      </c>
      <c r="T1531" t="s">
        <v>157</v>
      </c>
      <c r="U1531" s="1" t="s">
        <v>69</v>
      </c>
      <c r="V1531" s="1">
        <v>44763</v>
      </c>
      <c r="W1531" s="4">
        <f>YEAR(Tableau1[[#This Row],[Competition_date]])</f>
        <v>2022</v>
      </c>
      <c r="X1531" s="4">
        <v>25</v>
      </c>
      <c r="Y1531" s="6">
        <v>0.56999999999999995</v>
      </c>
      <c r="Z1531" s="4"/>
      <c r="AA1531" t="s">
        <v>160</v>
      </c>
    </row>
    <row r="1532" spans="1:27" hidden="1" x14ac:dyDescent="0.35">
      <c r="A1532" t="str">
        <f>_xlfn.CONCAT(Tableau1[[#This Row],[Athletes]],"_",Tableau1[[#This Row],[Nationality]],"_",Tableau1[[#This Row],[Competition_year]])</f>
        <v>Abdelati EL GUESSE_MAR_2022</v>
      </c>
      <c r="B1532" t="s">
        <v>112</v>
      </c>
      <c r="C1532" t="s">
        <v>14</v>
      </c>
      <c r="D1532" s="18" t="s">
        <v>21</v>
      </c>
      <c r="E1532">
        <v>13.8</v>
      </c>
      <c r="F1532">
        <v>12.42</v>
      </c>
      <c r="G1532">
        <v>13.37</v>
      </c>
      <c r="H1532">
        <v>13.13</v>
      </c>
      <c r="I1532">
        <v>13.9</v>
      </c>
      <c r="J1532">
        <v>13.44</v>
      </c>
      <c r="K1532">
        <v>13.32</v>
      </c>
      <c r="L1532">
        <f>Tableau1[[#This Row],[Final_time]]-SUM(Tableau1[[#This Row],[0_100m]:[600_700m]])</f>
        <v>13.079999999999998</v>
      </c>
      <c r="M1532">
        <v>106.46</v>
      </c>
      <c r="N1532">
        <f>SUM(Tableau1[[#This Row],[0_100m]:[700_800m]])</f>
        <v>106.46</v>
      </c>
      <c r="O1532">
        <f>ABS(Tableau1[[#This Row],[Final_time]]-Tableau1[[#This Row],[Sum_time]])</f>
        <v>0</v>
      </c>
      <c r="P1532" s="8"/>
      <c r="Q1532" s="16" t="str">
        <f>_xlfn.CONCAT(Tableau1[[#This Row],[Competition]],"_",Tableau1[[#This Row],[Championship_step]],"_",Tableau1[[#This Row],[Competition_date]],"_",Tableau1[[#This Row],[Gender]])</f>
        <v>World Championships Eugene 2022_Semi 3_44763_Male</v>
      </c>
      <c r="R1532" t="s">
        <v>143</v>
      </c>
      <c r="S1532" s="1" t="s">
        <v>105</v>
      </c>
      <c r="T1532" t="s">
        <v>157</v>
      </c>
      <c r="U1532" s="1" t="s">
        <v>69</v>
      </c>
      <c r="V1532" s="1">
        <v>44763</v>
      </c>
      <c r="W1532" s="4">
        <f>YEAR(Tableau1[[#This Row],[Competition_date]])</f>
        <v>2022</v>
      </c>
      <c r="X1532" s="4">
        <v>25</v>
      </c>
      <c r="Y1532" s="6">
        <v>0.56999999999999995</v>
      </c>
      <c r="Z1532" s="4"/>
      <c r="AA1532" t="s">
        <v>160</v>
      </c>
    </row>
    <row r="1533" spans="1:27" hidden="1" x14ac:dyDescent="0.35">
      <c r="A1533" t="str">
        <f>_xlfn.CONCAT(Tableau1[[#This Row],[Athletes]],"_",Tableau1[[#This Row],[Nationality]],"_",Tableau1[[#This Row],[Competition_year]])</f>
        <v>Athing MU-NIKOLAYEV_USA_2022</v>
      </c>
      <c r="B1533" t="s">
        <v>1376</v>
      </c>
      <c r="C1533" t="s">
        <v>29</v>
      </c>
      <c r="D1533" s="18" t="s">
        <v>35</v>
      </c>
      <c r="E1533">
        <v>13.92</v>
      </c>
      <c r="F1533">
        <v>13.7</v>
      </c>
      <c r="G1533">
        <v>14.82</v>
      </c>
      <c r="H1533">
        <v>14.88</v>
      </c>
      <c r="I1533">
        <v>14.63</v>
      </c>
      <c r="J1533">
        <v>15.19</v>
      </c>
      <c r="K1533">
        <v>15.27</v>
      </c>
      <c r="L1533">
        <f>Tableau1[[#This Row],[Final_time]]-SUM(Tableau1[[#This Row],[0_100m]:[600_700m]])</f>
        <v>15.710000000000008</v>
      </c>
      <c r="M1533">
        <v>118.12</v>
      </c>
      <c r="N1533">
        <f>SUM(Tableau1[[#This Row],[0_100m]:[700_800m]])</f>
        <v>118.12</v>
      </c>
      <c r="O1533">
        <f>ABS(Tableau1[[#This Row],[Final_time]]-Tableau1[[#This Row],[Sum_time]])</f>
        <v>0</v>
      </c>
      <c r="P1533" s="8" t="s">
        <v>141</v>
      </c>
      <c r="Q1533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3" t="s">
        <v>143</v>
      </c>
      <c r="S1533" s="1" t="s">
        <v>105</v>
      </c>
      <c r="T1533" t="s">
        <v>157</v>
      </c>
      <c r="U1533" s="1" t="s">
        <v>69</v>
      </c>
      <c r="V1533" s="1">
        <v>44764</v>
      </c>
      <c r="W1533" s="4">
        <f>YEAR(Tableau1[[#This Row],[Competition_date]])</f>
        <v>2022</v>
      </c>
      <c r="X1533" s="4">
        <v>25</v>
      </c>
      <c r="Y1533" s="6">
        <v>0.5</v>
      </c>
      <c r="Z1533" s="4"/>
      <c r="AA1533" t="s">
        <v>168</v>
      </c>
    </row>
    <row r="1534" spans="1:27" hidden="1" x14ac:dyDescent="0.35">
      <c r="A1534" t="str">
        <f>_xlfn.CONCAT(Tableau1[[#This Row],[Athletes]],"_",Tableau1[[#This Row],[Nationality]],"_",Tableau1[[#This Row],[Competition_year]])</f>
        <v>Diribe WELTEJI_ETH_2022</v>
      </c>
      <c r="B1534" t="s">
        <v>255</v>
      </c>
      <c r="C1534" t="s">
        <v>29</v>
      </c>
      <c r="D1534" s="18" t="s">
        <v>49</v>
      </c>
      <c r="E1534">
        <v>13.82</v>
      </c>
      <c r="F1534">
        <v>13.75</v>
      </c>
      <c r="G1534">
        <v>14.84</v>
      </c>
      <c r="H1534">
        <v>14.69</v>
      </c>
      <c r="I1534">
        <v>14.83</v>
      </c>
      <c r="J1534">
        <v>15.22</v>
      </c>
      <c r="K1534">
        <v>15.31</v>
      </c>
      <c r="L1534">
        <f>Tableau1[[#This Row],[Final_time]]-SUM(Tableau1[[#This Row],[0_100m]:[600_700m]])</f>
        <v>15.700000000000003</v>
      </c>
      <c r="M1534">
        <v>118.16</v>
      </c>
      <c r="N1534">
        <f>SUM(Tableau1[[#This Row],[0_100m]:[700_800m]])</f>
        <v>118.16</v>
      </c>
      <c r="O1534">
        <f>ABS(Tableau1[[#This Row],[Final_time]]-Tableau1[[#This Row],[Sum_time]])</f>
        <v>0</v>
      </c>
      <c r="P1534" s="8" t="s">
        <v>141</v>
      </c>
      <c r="Q1534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4" t="s">
        <v>143</v>
      </c>
      <c r="S1534" s="1" t="s">
        <v>105</v>
      </c>
      <c r="T1534" t="s">
        <v>157</v>
      </c>
      <c r="U1534" s="1" t="s">
        <v>69</v>
      </c>
      <c r="V1534" s="1">
        <v>44764</v>
      </c>
      <c r="W1534" s="4">
        <f>YEAR(Tableau1[[#This Row],[Competition_date]])</f>
        <v>2022</v>
      </c>
      <c r="X1534" s="4">
        <v>25</v>
      </c>
      <c r="Y1534" s="6">
        <v>0.5</v>
      </c>
      <c r="Z1534" s="4"/>
      <c r="AA1534" t="s">
        <v>168</v>
      </c>
    </row>
    <row r="1535" spans="1:27" hidden="1" x14ac:dyDescent="0.35">
      <c r="A1535" t="str">
        <f>_xlfn.CONCAT(Tableau1[[#This Row],[Athletes]],"_",Tableau1[[#This Row],[Nationality]],"_",Tableau1[[#This Row],[Competition_year]])</f>
        <v>Anita HORVAT_SLO_2022</v>
      </c>
      <c r="B1535" t="s">
        <v>218</v>
      </c>
      <c r="C1535" t="s">
        <v>29</v>
      </c>
      <c r="D1535" s="18" t="s">
        <v>53</v>
      </c>
      <c r="E1535">
        <v>13.97</v>
      </c>
      <c r="F1535">
        <v>13.84</v>
      </c>
      <c r="G1535">
        <v>14.89</v>
      </c>
      <c r="H1535">
        <v>14.86</v>
      </c>
      <c r="I1535">
        <v>15.23</v>
      </c>
      <c r="J1535">
        <v>15.3</v>
      </c>
      <c r="K1535">
        <v>15.52</v>
      </c>
      <c r="L1535">
        <f>Tableau1[[#This Row],[Final_time]]-SUM(Tableau1[[#This Row],[0_100m]:[600_700m]])</f>
        <v>15.989999999999995</v>
      </c>
      <c r="M1535">
        <v>119.6</v>
      </c>
      <c r="N1535">
        <f>SUM(Tableau1[[#This Row],[0_100m]:[700_800m]])</f>
        <v>119.6</v>
      </c>
      <c r="O1535">
        <f>ABS(Tableau1[[#This Row],[Final_time]]-Tableau1[[#This Row],[Sum_time]])</f>
        <v>0</v>
      </c>
      <c r="P1535" s="8" t="s">
        <v>142</v>
      </c>
      <c r="Q1535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5" t="s">
        <v>143</v>
      </c>
      <c r="S1535" s="1" t="s">
        <v>105</v>
      </c>
      <c r="T1535" t="s">
        <v>157</v>
      </c>
      <c r="U1535" s="1" t="s">
        <v>69</v>
      </c>
      <c r="V1535" s="1">
        <v>44764</v>
      </c>
      <c r="W1535" s="4">
        <f>YEAR(Tableau1[[#This Row],[Competition_date]])</f>
        <v>2022</v>
      </c>
      <c r="X1535" s="4">
        <v>25</v>
      </c>
      <c r="Y1535" s="6">
        <v>0.5</v>
      </c>
      <c r="Z1535" s="4"/>
      <c r="AA1535" t="s">
        <v>168</v>
      </c>
    </row>
    <row r="1536" spans="1:27" hidden="1" x14ac:dyDescent="0.35">
      <c r="A1536" t="str">
        <f>_xlfn.CONCAT(Tableau1[[#This Row],[Athletes]],"_",Tableau1[[#This Row],[Nationality]],"_",Tableau1[[#This Row],[Competition_year]])</f>
        <v>Lore HOFFMANN_SUI_2022</v>
      </c>
      <c r="B1536" t="s">
        <v>224</v>
      </c>
      <c r="C1536" t="s">
        <v>29</v>
      </c>
      <c r="D1536" s="18" t="s">
        <v>73</v>
      </c>
      <c r="E1536">
        <v>14.86</v>
      </c>
      <c r="F1536">
        <v>14.44</v>
      </c>
      <c r="G1536">
        <v>14.5</v>
      </c>
      <c r="H1536">
        <v>14.75</v>
      </c>
      <c r="I1536">
        <v>14.86</v>
      </c>
      <c r="J1536">
        <v>14.97</v>
      </c>
      <c r="K1536">
        <v>15.48</v>
      </c>
      <c r="L1536">
        <f>Tableau1[[#This Row],[Final_time]]-SUM(Tableau1[[#This Row],[0_100m]:[600_700m]])</f>
        <v>16.019999999999996</v>
      </c>
      <c r="M1536">
        <v>119.88</v>
      </c>
      <c r="N1536">
        <f>SUM(Tableau1[[#This Row],[0_100m]:[700_800m]])</f>
        <v>119.88</v>
      </c>
      <c r="O1536">
        <f>ABS(Tableau1[[#This Row],[Final_time]]-Tableau1[[#This Row],[Sum_time]])</f>
        <v>0</v>
      </c>
      <c r="P1536" s="8"/>
      <c r="Q1536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6" t="s">
        <v>143</v>
      </c>
      <c r="S1536" s="1" t="s">
        <v>105</v>
      </c>
      <c r="T1536" t="s">
        <v>157</v>
      </c>
      <c r="U1536" s="1" t="s">
        <v>69</v>
      </c>
      <c r="V1536" s="1">
        <v>44764</v>
      </c>
      <c r="W1536" s="4">
        <f>YEAR(Tableau1[[#This Row],[Competition_date]])</f>
        <v>2022</v>
      </c>
      <c r="X1536" s="4">
        <v>25</v>
      </c>
      <c r="Y1536" s="6">
        <v>0.5</v>
      </c>
      <c r="Z1536" s="4"/>
      <c r="AA1536" t="s">
        <v>168</v>
      </c>
    </row>
    <row r="1537" spans="1:27" hidden="1" x14ac:dyDescent="0.35">
      <c r="A1537" t="str">
        <f>_xlfn.CONCAT(Tableau1[[#This Row],[Athletes]],"_",Tableau1[[#This Row],[Nationality]],"_",Tableau1[[#This Row],[Competition_year]])</f>
        <v>Prudence SEKGODISO_RSA_2022</v>
      </c>
      <c r="B1537" t="s">
        <v>235</v>
      </c>
      <c r="C1537" t="s">
        <v>29</v>
      </c>
      <c r="D1537" s="18" t="s">
        <v>96</v>
      </c>
      <c r="E1537">
        <v>13.81</v>
      </c>
      <c r="F1537">
        <v>14.11</v>
      </c>
      <c r="G1537">
        <v>14.95</v>
      </c>
      <c r="H1537">
        <v>15.31</v>
      </c>
      <c r="I1537">
        <v>15.08</v>
      </c>
      <c r="J1537">
        <v>14.96</v>
      </c>
      <c r="K1537">
        <v>15.54</v>
      </c>
      <c r="L1537">
        <f>Tableau1[[#This Row],[Final_time]]-SUM(Tableau1[[#This Row],[0_100m]:[600_700m]])</f>
        <v>16.250000000000014</v>
      </c>
      <c r="M1537">
        <v>120.01</v>
      </c>
      <c r="N1537">
        <f>SUM(Tableau1[[#This Row],[0_100m]:[700_800m]])</f>
        <v>120.01</v>
      </c>
      <c r="O1537">
        <f>ABS(Tableau1[[#This Row],[Final_time]]-Tableau1[[#This Row],[Sum_time]])</f>
        <v>0</v>
      </c>
      <c r="P1537" s="8"/>
      <c r="Q1537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7" t="s">
        <v>143</v>
      </c>
      <c r="S1537" s="1" t="s">
        <v>105</v>
      </c>
      <c r="T1537" t="s">
        <v>157</v>
      </c>
      <c r="U1537" s="1" t="s">
        <v>69</v>
      </c>
      <c r="V1537" s="1">
        <v>44764</v>
      </c>
      <c r="W1537" s="4">
        <f>YEAR(Tableau1[[#This Row],[Competition_date]])</f>
        <v>2022</v>
      </c>
      <c r="X1537" s="4">
        <v>25</v>
      </c>
      <c r="Y1537" s="6">
        <v>0.5</v>
      </c>
      <c r="Z1537" s="4"/>
      <c r="AA1537" t="s">
        <v>168</v>
      </c>
    </row>
    <row r="1538" spans="1:27" hidden="1" x14ac:dyDescent="0.35">
      <c r="A1538" t="str">
        <f>_xlfn.CONCAT(Tableau1[[#This Row],[Athletes]],"_",Tableau1[[#This Row],[Nationality]],"_",Tableau1[[#This Row],[Competition_year]])</f>
        <v>Elena BELLÒ_ITA_2022</v>
      </c>
      <c r="B1538" t="s">
        <v>261</v>
      </c>
      <c r="C1538" t="s">
        <v>29</v>
      </c>
      <c r="D1538" s="18" t="s">
        <v>20</v>
      </c>
      <c r="E1538">
        <v>14.1</v>
      </c>
      <c r="F1538">
        <v>13.84</v>
      </c>
      <c r="G1538">
        <v>14.99</v>
      </c>
      <c r="H1538">
        <v>14.89</v>
      </c>
      <c r="I1538">
        <v>15.24</v>
      </c>
      <c r="J1538">
        <v>15.38</v>
      </c>
      <c r="K1538">
        <v>15.7</v>
      </c>
      <c r="L1538">
        <f>Tableau1[[#This Row],[Final_time]]-SUM(Tableau1[[#This Row],[0_100m]:[600_700m]])</f>
        <v>16.200000000000003</v>
      </c>
      <c r="M1538">
        <v>120.34</v>
      </c>
      <c r="N1538">
        <f>SUM(Tableau1[[#This Row],[0_100m]:[700_800m]])</f>
        <v>120.34</v>
      </c>
      <c r="O1538">
        <f>ABS(Tableau1[[#This Row],[Final_time]]-Tableau1[[#This Row],[Sum_time]])</f>
        <v>0</v>
      </c>
      <c r="P1538" s="8"/>
      <c r="Q1538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8" t="s">
        <v>143</v>
      </c>
      <c r="S1538" s="1" t="s">
        <v>105</v>
      </c>
      <c r="T1538" t="s">
        <v>157</v>
      </c>
      <c r="U1538" s="1" t="s">
        <v>69</v>
      </c>
      <c r="V1538" s="1">
        <v>44764</v>
      </c>
      <c r="W1538" s="4">
        <f>YEAR(Tableau1[[#This Row],[Competition_date]])</f>
        <v>2022</v>
      </c>
      <c r="X1538" s="4">
        <v>25</v>
      </c>
      <c r="Y1538" s="6">
        <v>0.5</v>
      </c>
      <c r="Z1538" s="4"/>
      <c r="AA1538" t="s">
        <v>168</v>
      </c>
    </row>
    <row r="1539" spans="1:27" hidden="1" x14ac:dyDescent="0.35">
      <c r="A1539" t="str">
        <f>_xlfn.CONCAT(Tableau1[[#This Row],[Athletes]],"_",Tableau1[[#This Row],[Nationality]],"_",Tableau1[[#This Row],[Competition_year]])</f>
        <v>Alexandra BELL_GBR_2022</v>
      </c>
      <c r="B1539" t="s">
        <v>268</v>
      </c>
      <c r="C1539" t="s">
        <v>29</v>
      </c>
      <c r="D1539" s="18" t="s">
        <v>30</v>
      </c>
      <c r="E1539">
        <v>14.04</v>
      </c>
      <c r="F1539">
        <v>13.62</v>
      </c>
      <c r="G1539">
        <v>14.93</v>
      </c>
      <c r="H1539">
        <v>15.01</v>
      </c>
      <c r="I1539">
        <v>15.15</v>
      </c>
      <c r="J1539">
        <v>15.59</v>
      </c>
      <c r="K1539">
        <v>15.95</v>
      </c>
      <c r="L1539">
        <f>Tableau1[[#This Row],[Final_time]]-SUM(Tableau1[[#This Row],[0_100m]:[600_700m]])</f>
        <v>16.529999999999987</v>
      </c>
      <c r="M1539">
        <v>120.82</v>
      </c>
      <c r="N1539">
        <f>SUM(Tableau1[[#This Row],[0_100m]:[700_800m]])</f>
        <v>120.82</v>
      </c>
      <c r="O1539">
        <f>ABS(Tableau1[[#This Row],[Final_time]]-Tableau1[[#This Row],[Sum_time]])</f>
        <v>0</v>
      </c>
      <c r="P1539" s="8"/>
      <c r="Q1539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39" t="s">
        <v>143</v>
      </c>
      <c r="S1539" s="1" t="s">
        <v>105</v>
      </c>
      <c r="T1539" t="s">
        <v>157</v>
      </c>
      <c r="U1539" s="1" t="s">
        <v>69</v>
      </c>
      <c r="V1539" s="1">
        <v>44764</v>
      </c>
      <c r="W1539" s="4">
        <f>YEAR(Tableau1[[#This Row],[Competition_date]])</f>
        <v>2022</v>
      </c>
      <c r="X1539" s="4">
        <v>25</v>
      </c>
      <c r="Y1539" s="6">
        <v>0.5</v>
      </c>
      <c r="Z1539" s="4"/>
      <c r="AA1539" t="s">
        <v>168</v>
      </c>
    </row>
    <row r="1540" spans="1:27" hidden="1" x14ac:dyDescent="0.35">
      <c r="A1540" t="str">
        <f>_xlfn.CONCAT(Tableau1[[#This Row],[Athletes]],"_",Tableau1[[#This Row],[Nationality]],"_",Tableau1[[#This Row],[Competition_year]])</f>
        <v>Halimah NAKAAYI_UGA_2022</v>
      </c>
      <c r="B1540" t="s">
        <v>230</v>
      </c>
      <c r="C1540" t="s">
        <v>29</v>
      </c>
      <c r="D1540" s="18" t="s">
        <v>34</v>
      </c>
      <c r="E1540">
        <v>13.7</v>
      </c>
      <c r="F1540">
        <v>14.02</v>
      </c>
      <c r="G1540">
        <v>15.03</v>
      </c>
      <c r="H1540">
        <v>14.98</v>
      </c>
      <c r="I1540">
        <v>15.18</v>
      </c>
      <c r="J1540">
        <v>15.29</v>
      </c>
      <c r="K1540">
        <v>15.97</v>
      </c>
      <c r="L1540">
        <f>Tableau1[[#This Row],[Final_time]]-SUM(Tableau1[[#This Row],[0_100m]:[600_700m]])</f>
        <v>16.88000000000001</v>
      </c>
      <c r="M1540">
        <v>121.05</v>
      </c>
      <c r="N1540">
        <f>SUM(Tableau1[[#This Row],[0_100m]:[700_800m]])</f>
        <v>121.05</v>
      </c>
      <c r="O1540">
        <f>ABS(Tableau1[[#This Row],[Final_time]]-Tableau1[[#This Row],[Sum_time]])</f>
        <v>0</v>
      </c>
      <c r="P1540" s="8"/>
      <c r="Q1540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40" t="s">
        <v>143</v>
      </c>
      <c r="S1540" s="1" t="s">
        <v>105</v>
      </c>
      <c r="T1540" t="s">
        <v>157</v>
      </c>
      <c r="U1540" s="1" t="s">
        <v>69</v>
      </c>
      <c r="V1540" s="1">
        <v>44764</v>
      </c>
      <c r="W1540" s="4">
        <f>YEAR(Tableau1[[#This Row],[Competition_date]])</f>
        <v>2022</v>
      </c>
      <c r="X1540" s="4">
        <v>25</v>
      </c>
      <c r="Y1540" s="6">
        <v>0.5</v>
      </c>
      <c r="Z1540" s="4"/>
      <c r="AA1540" t="s">
        <v>168</v>
      </c>
    </row>
    <row r="1541" spans="1:27" hidden="1" x14ac:dyDescent="0.35">
      <c r="A1541" t="str">
        <f>_xlfn.CONCAT(Tableau1[[#This Row],[Athletes]],"_",Tableau1[[#This Row],[Nationality]],"_",Tableau1[[#This Row],[Competition_year]])</f>
        <v>Naomi KORIR_KEN_2022</v>
      </c>
      <c r="B1541" t="s">
        <v>269</v>
      </c>
      <c r="C1541" t="s">
        <v>29</v>
      </c>
      <c r="D1541" s="18" t="s">
        <v>15</v>
      </c>
      <c r="E1541">
        <v>14.19</v>
      </c>
      <c r="F1541">
        <v>14.08</v>
      </c>
      <c r="G1541">
        <v>14.93</v>
      </c>
      <c r="H1541">
        <v>15.37</v>
      </c>
      <c r="I1541">
        <v>16.09</v>
      </c>
      <c r="J1541">
        <v>16.059999999999999</v>
      </c>
      <c r="K1541">
        <v>16.149999999999999</v>
      </c>
      <c r="L1541">
        <f>Tableau1[[#This Row],[Final_time]]-SUM(Tableau1[[#This Row],[0_100m]:[600_700m]])</f>
        <v>16.209999999999994</v>
      </c>
      <c r="M1541">
        <v>123.08</v>
      </c>
      <c r="N1541">
        <f>SUM(Tableau1[[#This Row],[0_100m]:[700_800m]])</f>
        <v>123.08</v>
      </c>
      <c r="O1541">
        <f>ABS(Tableau1[[#This Row],[Final_time]]-Tableau1[[#This Row],[Sum_time]])</f>
        <v>0</v>
      </c>
      <c r="P1541" s="8"/>
      <c r="Q1541" s="16" t="str">
        <f>_xlfn.CONCAT(Tableau1[[#This Row],[Competition]],"_",Tableau1[[#This Row],[Championship_step]],"_",Tableau1[[#This Row],[Competition_date]],"_",Tableau1[[#This Row],[Gender]])</f>
        <v>World Championships Eugene 2022_Semi 3_44764_Female</v>
      </c>
      <c r="R1541" t="s">
        <v>143</v>
      </c>
      <c r="S1541" s="1" t="s">
        <v>105</v>
      </c>
      <c r="T1541" t="s">
        <v>157</v>
      </c>
      <c r="U1541" s="1" t="s">
        <v>69</v>
      </c>
      <c r="V1541" s="1">
        <v>44764</v>
      </c>
      <c r="W1541" s="4">
        <f>YEAR(Tableau1[[#This Row],[Competition_date]])</f>
        <v>2022</v>
      </c>
      <c r="X1541" s="4">
        <v>25</v>
      </c>
      <c r="Y1541" s="6">
        <v>0.5</v>
      </c>
      <c r="Z1541" s="4"/>
      <c r="AA1541" t="s">
        <v>168</v>
      </c>
    </row>
    <row r="1542" spans="1:27" hidden="1" x14ac:dyDescent="0.35">
      <c r="A1542" t="str">
        <f>_xlfn.CONCAT(Tableau1[[#This Row],[Athletes]],"_",Tableau1[[#This Row],[Nationality]],"_",Tableau1[[#This Row],[Competition_year]])</f>
        <v>Mark ENGLISH_IRL_2026</v>
      </c>
      <c r="B1542" t="s">
        <v>187</v>
      </c>
      <c r="C1542" t="s">
        <v>14</v>
      </c>
      <c r="D1542" s="18" t="s">
        <v>66</v>
      </c>
      <c r="E1542">
        <v>13.2</v>
      </c>
      <c r="F1542">
        <v>12.5</v>
      </c>
      <c r="G1542">
        <v>13.4</v>
      </c>
      <c r="H1542">
        <v>13.3</v>
      </c>
      <c r="I1542">
        <v>13.3</v>
      </c>
      <c r="J1542">
        <v>12.8</v>
      </c>
      <c r="K1542">
        <v>12.8</v>
      </c>
      <c r="L1542">
        <f>Tableau1[[#This Row],[Final_time]]-SUM(Tableau1[[#This Row],[0_100m]:[600_700m]])</f>
        <v>12.549999999999997</v>
      </c>
      <c r="M1542">
        <v>103.85</v>
      </c>
      <c r="N1542">
        <f>SUM(Tableau1[[#This Row],[0_100m]:[700_800m]])</f>
        <v>103.85</v>
      </c>
      <c r="O1542" s="16">
        <f>ABS(Tableau1[[#This Row],[Final_time]]-Tableau1[[#This Row],[Sum_time]])</f>
        <v>0</v>
      </c>
      <c r="P1542" s="8"/>
      <c r="Q1542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2" t="s">
        <v>1887</v>
      </c>
      <c r="S1542" s="1" t="s">
        <v>68</v>
      </c>
      <c r="U1542" s="1" t="s">
        <v>69</v>
      </c>
      <c r="V1542" s="1">
        <v>46158</v>
      </c>
      <c r="W1542" s="4">
        <f>YEAR(Tableau1[[#This Row],[Competition_date]])</f>
        <v>2026</v>
      </c>
      <c r="X1542" s="4">
        <v>23</v>
      </c>
      <c r="Y1542" s="6">
        <v>0.57999999999999996</v>
      </c>
      <c r="Z1542" s="4" t="s">
        <v>80</v>
      </c>
    </row>
    <row r="1543" spans="1:27" hidden="1" x14ac:dyDescent="0.35">
      <c r="A1543" t="str">
        <f>_xlfn.CONCAT(Tableau1[[#This Row],[Athletes]],"_",Tableau1[[#This Row],[Nationality]],"_",Tableau1[[#This Row],[Competition_year]])</f>
        <v>Kethobogile HAINGURA_BOT_2026</v>
      </c>
      <c r="B1543" t="s">
        <v>1401</v>
      </c>
      <c r="C1543" t="s">
        <v>14</v>
      </c>
      <c r="D1543" s="18" t="s">
        <v>44</v>
      </c>
      <c r="E1543">
        <v>13.2</v>
      </c>
      <c r="F1543">
        <v>12.3</v>
      </c>
      <c r="G1543">
        <v>13.2</v>
      </c>
      <c r="H1543">
        <v>13.4</v>
      </c>
      <c r="I1543">
        <v>13</v>
      </c>
      <c r="J1543">
        <v>13</v>
      </c>
      <c r="K1543">
        <v>12.8</v>
      </c>
      <c r="L1543">
        <f>Tableau1[[#This Row],[Final_time]]-SUM(Tableau1[[#This Row],[0_100m]:[600_700m]])</f>
        <v>12.990000000000009</v>
      </c>
      <c r="M1543">
        <v>103.89</v>
      </c>
      <c r="N1543">
        <f>SUM(Tableau1[[#This Row],[0_100m]:[700_800m]])</f>
        <v>103.89</v>
      </c>
      <c r="O1543" s="16">
        <f>ABS(Tableau1[[#This Row],[Final_time]]-Tableau1[[#This Row],[Sum_time]])</f>
        <v>0</v>
      </c>
      <c r="P1543" s="8"/>
      <c r="Q1543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3" t="s">
        <v>1887</v>
      </c>
      <c r="S1543" s="1" t="s">
        <v>68</v>
      </c>
      <c r="U1543" s="1" t="s">
        <v>69</v>
      </c>
      <c r="V1543" s="1">
        <v>46158</v>
      </c>
      <c r="W1543" s="4">
        <f>YEAR(Tableau1[[#This Row],[Competition_date]])</f>
        <v>2026</v>
      </c>
      <c r="X1543" s="4">
        <v>23</v>
      </c>
      <c r="Y1543" s="6">
        <v>0.57999999999999996</v>
      </c>
      <c r="Z1543" s="4" t="s">
        <v>80</v>
      </c>
    </row>
    <row r="1544" spans="1:27" hidden="1" x14ac:dyDescent="0.35">
      <c r="A1544" t="str">
        <f>_xlfn.CONCAT(Tableau1[[#This Row],[Athletes]],"_",Tableau1[[#This Row],[Nationality]],"_",Tableau1[[#This Row],[Competition_year]])</f>
        <v>Brandon MILLER_USA_2026</v>
      </c>
      <c r="B1544" t="s">
        <v>248</v>
      </c>
      <c r="C1544" t="s">
        <v>14</v>
      </c>
      <c r="D1544" s="18" t="s">
        <v>35</v>
      </c>
      <c r="E1544">
        <v>13.2</v>
      </c>
      <c r="F1544">
        <v>12.3</v>
      </c>
      <c r="G1544">
        <v>13.1</v>
      </c>
      <c r="H1544">
        <v>13.3</v>
      </c>
      <c r="I1544">
        <v>13</v>
      </c>
      <c r="J1544">
        <v>13</v>
      </c>
      <c r="K1544">
        <v>12.9</v>
      </c>
      <c r="L1544">
        <f>Tableau1[[#This Row],[Final_time]]-SUM(Tableau1[[#This Row],[0_100m]:[600_700m]])</f>
        <v>13.199999999999989</v>
      </c>
      <c r="M1544">
        <v>104</v>
      </c>
      <c r="N1544">
        <f>SUM(Tableau1[[#This Row],[0_100m]:[700_800m]])</f>
        <v>104</v>
      </c>
      <c r="O1544" s="16">
        <f>ABS(Tableau1[[#This Row],[Final_time]]-Tableau1[[#This Row],[Sum_time]])</f>
        <v>0</v>
      </c>
      <c r="P1544" s="8"/>
      <c r="Q1544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4" t="s">
        <v>1887</v>
      </c>
      <c r="S1544" s="1" t="s">
        <v>68</v>
      </c>
      <c r="U1544" s="1" t="s">
        <v>69</v>
      </c>
      <c r="V1544" s="1">
        <v>46158</v>
      </c>
      <c r="W1544" s="4">
        <f>YEAR(Tableau1[[#This Row],[Competition_date]])</f>
        <v>2026</v>
      </c>
      <c r="X1544" s="4">
        <v>23</v>
      </c>
      <c r="Y1544" s="6">
        <v>0.57999999999999996</v>
      </c>
      <c r="Z1544" s="4" t="s">
        <v>80</v>
      </c>
    </row>
    <row r="1545" spans="1:27" hidden="1" x14ac:dyDescent="0.35">
      <c r="A1545" t="str">
        <f>_xlfn.CONCAT(Tableau1[[#This Row],[Athletes]],"_",Tableau1[[#This Row],[Nationality]],"_",Tableau1[[#This Row],[Competition_year]])</f>
        <v>Luke BOYES_AUS_2026</v>
      </c>
      <c r="B1545" t="s">
        <v>1423</v>
      </c>
      <c r="C1545" t="s">
        <v>14</v>
      </c>
      <c r="D1545" s="18" t="s">
        <v>36</v>
      </c>
      <c r="E1545">
        <v>12.9</v>
      </c>
      <c r="F1545">
        <v>12.5</v>
      </c>
      <c r="G1545">
        <v>13.1</v>
      </c>
      <c r="H1545">
        <v>13.3</v>
      </c>
      <c r="I1545">
        <v>13</v>
      </c>
      <c r="J1545">
        <v>13</v>
      </c>
      <c r="K1545">
        <v>12.9</v>
      </c>
      <c r="L1545">
        <f>Tableau1[[#This Row],[Final_time]]-SUM(Tableau1[[#This Row],[0_100m]:[600_700m]])</f>
        <v>13.459999999999994</v>
      </c>
      <c r="M1545">
        <v>104.16</v>
      </c>
      <c r="N1545">
        <f>SUM(Tableau1[[#This Row],[0_100m]:[700_800m]])</f>
        <v>104.16</v>
      </c>
      <c r="O1545" s="16">
        <f>ABS(Tableau1[[#This Row],[Final_time]]-Tableau1[[#This Row],[Sum_time]])</f>
        <v>0</v>
      </c>
      <c r="P1545" s="8"/>
      <c r="Q1545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5" t="s">
        <v>1887</v>
      </c>
      <c r="S1545" s="1" t="s">
        <v>68</v>
      </c>
      <c r="U1545" s="1" t="s">
        <v>69</v>
      </c>
      <c r="V1545" s="1">
        <v>46158</v>
      </c>
      <c r="W1545" s="4">
        <f>YEAR(Tableau1[[#This Row],[Competition_date]])</f>
        <v>2026</v>
      </c>
      <c r="X1545" s="4">
        <v>23</v>
      </c>
      <c r="Y1545" s="6">
        <v>0.57999999999999996</v>
      </c>
      <c r="Z1545" s="4" t="s">
        <v>80</v>
      </c>
    </row>
    <row r="1546" spans="1:27" hidden="1" x14ac:dyDescent="0.35">
      <c r="A1546" t="str">
        <f>_xlfn.CONCAT(Tableau1[[#This Row],[Athletes]],"_",Tableau1[[#This Row],[Nationality]],"_",Tableau1[[#This Row],[Competition_year]])</f>
        <v>Yanis MEZIANE_FRA_2026</v>
      </c>
      <c r="B1546" t="s">
        <v>171</v>
      </c>
      <c r="C1546" t="s">
        <v>14</v>
      </c>
      <c r="D1546" s="18" t="s">
        <v>17</v>
      </c>
      <c r="E1546">
        <v>13.1</v>
      </c>
      <c r="F1546">
        <v>12.4</v>
      </c>
      <c r="G1546">
        <v>13.3</v>
      </c>
      <c r="H1546">
        <v>13.3</v>
      </c>
      <c r="I1546">
        <v>13.1</v>
      </c>
      <c r="J1546">
        <v>12.9</v>
      </c>
      <c r="K1546">
        <v>12.9</v>
      </c>
      <c r="L1546">
        <f>Tableau1[[#This Row],[Final_time]]-SUM(Tableau1[[#This Row],[0_100m]:[600_700m]])</f>
        <v>13.170000000000002</v>
      </c>
      <c r="M1546">
        <v>104.17</v>
      </c>
      <c r="N1546">
        <f>SUM(Tableau1[[#This Row],[0_100m]:[700_800m]])</f>
        <v>104.17</v>
      </c>
      <c r="O1546" s="16">
        <f>ABS(Tableau1[[#This Row],[Final_time]]-Tableau1[[#This Row],[Sum_time]])</f>
        <v>0</v>
      </c>
      <c r="P1546" s="8"/>
      <c r="Q1546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6" t="s">
        <v>1887</v>
      </c>
      <c r="S1546" s="1" t="s">
        <v>68</v>
      </c>
      <c r="U1546" s="1" t="s">
        <v>69</v>
      </c>
      <c r="V1546" s="1">
        <v>46158</v>
      </c>
      <c r="W1546" s="4">
        <f>YEAR(Tableau1[[#This Row],[Competition_date]])</f>
        <v>2026</v>
      </c>
      <c r="X1546" s="4">
        <v>23</v>
      </c>
      <c r="Y1546" s="6">
        <v>0.57999999999999996</v>
      </c>
      <c r="Z1546" s="4" t="s">
        <v>80</v>
      </c>
    </row>
    <row r="1547" spans="1:27" hidden="1" x14ac:dyDescent="0.35">
      <c r="A1547" t="str">
        <f>_xlfn.CONCAT(Tableau1[[#This Row],[Athletes]],"_",Tableau1[[#This Row],[Nationality]],"_",Tableau1[[#This Row],[Competition_year]])</f>
        <v>Ben PATTISON_GBR_2026</v>
      </c>
      <c r="B1547" t="s">
        <v>108</v>
      </c>
      <c r="C1547" t="s">
        <v>14</v>
      </c>
      <c r="D1547" s="18" t="s">
        <v>30</v>
      </c>
      <c r="E1547">
        <v>13.1</v>
      </c>
      <c r="F1547">
        <v>12.5</v>
      </c>
      <c r="G1547">
        <v>13.6</v>
      </c>
      <c r="H1547">
        <v>13.4</v>
      </c>
      <c r="I1547">
        <v>13</v>
      </c>
      <c r="J1547">
        <v>12.8</v>
      </c>
      <c r="K1547">
        <v>12.9</v>
      </c>
      <c r="L1547">
        <f>Tableau1[[#This Row],[Final_time]]-SUM(Tableau1[[#This Row],[0_100m]:[600_700m]])</f>
        <v>12.89</v>
      </c>
      <c r="M1547">
        <v>104.19</v>
      </c>
      <c r="N1547">
        <f>SUM(Tableau1[[#This Row],[0_100m]:[700_800m]])</f>
        <v>104.19</v>
      </c>
      <c r="O1547" s="16">
        <f>ABS(Tableau1[[#This Row],[Final_time]]-Tableau1[[#This Row],[Sum_time]])</f>
        <v>0</v>
      </c>
      <c r="P1547" s="8"/>
      <c r="Q1547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7" t="s">
        <v>1887</v>
      </c>
      <c r="S1547" s="1" t="s">
        <v>68</v>
      </c>
      <c r="U1547" s="1" t="s">
        <v>69</v>
      </c>
      <c r="V1547" s="1">
        <v>46158</v>
      </c>
      <c r="W1547" s="4">
        <f>YEAR(Tableau1[[#This Row],[Competition_date]])</f>
        <v>2026</v>
      </c>
      <c r="X1547" s="4">
        <v>23</v>
      </c>
      <c r="Y1547" s="6">
        <v>0.57999999999999996</v>
      </c>
      <c r="Z1547" s="4" t="s">
        <v>80</v>
      </c>
    </row>
    <row r="1548" spans="1:27" hidden="1" x14ac:dyDescent="0.35">
      <c r="A1548" t="str">
        <f>_xlfn.CONCAT(Tableau1[[#This Row],[Athletes]],"_",Tableau1[[#This Row],[Nationality]],"_",Tableau1[[#This Row],[Competition_year]])</f>
        <v>Adrián BEN_ESP_2026</v>
      </c>
      <c r="B1548" t="s">
        <v>184</v>
      </c>
      <c r="C1548" t="s">
        <v>14</v>
      </c>
      <c r="D1548" s="18" t="s">
        <v>37</v>
      </c>
      <c r="E1548">
        <v>13.1</v>
      </c>
      <c r="F1548">
        <v>12.8</v>
      </c>
      <c r="G1548">
        <v>13.7</v>
      </c>
      <c r="H1548">
        <v>13.2</v>
      </c>
      <c r="I1548">
        <v>13</v>
      </c>
      <c r="J1548">
        <v>12.8</v>
      </c>
      <c r="K1548">
        <v>12.9</v>
      </c>
      <c r="L1548">
        <f>Tableau1[[#This Row],[Final_time]]-SUM(Tableau1[[#This Row],[0_100m]:[600_700m]])</f>
        <v>12.950000000000003</v>
      </c>
      <c r="M1548">
        <v>104.45</v>
      </c>
      <c r="N1548">
        <f>SUM(Tableau1[[#This Row],[0_100m]:[700_800m]])</f>
        <v>104.45</v>
      </c>
      <c r="O1548" s="16">
        <f>ABS(Tableau1[[#This Row],[Final_time]]-Tableau1[[#This Row],[Sum_time]])</f>
        <v>0</v>
      </c>
      <c r="P1548" s="8"/>
      <c r="Q1548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8" t="s">
        <v>1887</v>
      </c>
      <c r="S1548" s="1" t="s">
        <v>68</v>
      </c>
      <c r="U1548" s="1" t="s">
        <v>69</v>
      </c>
      <c r="V1548" s="1">
        <v>46158</v>
      </c>
      <c r="W1548" s="4">
        <f>YEAR(Tableau1[[#This Row],[Competition_date]])</f>
        <v>2026</v>
      </c>
      <c r="X1548" s="4">
        <v>23</v>
      </c>
      <c r="Y1548" s="6">
        <v>0.57999999999999996</v>
      </c>
      <c r="Z1548" s="4" t="s">
        <v>80</v>
      </c>
    </row>
    <row r="1549" spans="1:27" hidden="1" x14ac:dyDescent="0.35">
      <c r="A1549" t="str">
        <f>_xlfn.CONCAT(Tableau1[[#This Row],[Athletes]],"_",Tableau1[[#This Row],[Nationality]],"_",Tableau1[[#This Row],[Competition_year]])</f>
        <v>Wyclife KINYAMAL_KEN_2026</v>
      </c>
      <c r="B1549" t="s">
        <v>174</v>
      </c>
      <c r="C1549" t="s">
        <v>14</v>
      </c>
      <c r="D1549" s="18" t="s">
        <v>15</v>
      </c>
      <c r="E1549">
        <v>13.1</v>
      </c>
      <c r="F1549">
        <v>12.6</v>
      </c>
      <c r="G1549">
        <v>13.3</v>
      </c>
      <c r="H1549">
        <v>13.3</v>
      </c>
      <c r="I1549">
        <v>13.1</v>
      </c>
      <c r="J1549">
        <v>12.9</v>
      </c>
      <c r="K1549">
        <v>12.8</v>
      </c>
      <c r="L1549">
        <f>Tableau1[[#This Row],[Final_time]]-SUM(Tableau1[[#This Row],[0_100m]:[600_700m]])</f>
        <v>13.510000000000005</v>
      </c>
      <c r="M1549">
        <v>104.61</v>
      </c>
      <c r="N1549">
        <f>SUM(Tableau1[[#This Row],[0_100m]:[700_800m]])</f>
        <v>104.61</v>
      </c>
      <c r="O1549" s="16">
        <f>ABS(Tableau1[[#This Row],[Final_time]]-Tableau1[[#This Row],[Sum_time]])</f>
        <v>0</v>
      </c>
      <c r="P1549" s="8"/>
      <c r="Q1549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49" t="s">
        <v>1887</v>
      </c>
      <c r="S1549" s="1" t="s">
        <v>68</v>
      </c>
      <c r="U1549" s="1" t="s">
        <v>69</v>
      </c>
      <c r="V1549" s="1">
        <v>46158</v>
      </c>
      <c r="W1549" s="4">
        <f>YEAR(Tableau1[[#This Row],[Competition_date]])</f>
        <v>2026</v>
      </c>
      <c r="X1549" s="4">
        <v>23</v>
      </c>
      <c r="Y1549" s="6">
        <v>0.57999999999999996</v>
      </c>
      <c r="Z1549" s="4" t="s">
        <v>80</v>
      </c>
    </row>
    <row r="1550" spans="1:27" hidden="1" x14ac:dyDescent="0.35">
      <c r="A1550" t="str">
        <f>_xlfn.CONCAT(Tableau1[[#This Row],[Athletes]],"_",Tableau1[[#This Row],[Nationality]],"_",Tableau1[[#This Row],[Competition_year]])</f>
        <v>Marino BLOUDEK_CRO_2026</v>
      </c>
      <c r="B1550" t="s">
        <v>200</v>
      </c>
      <c r="C1550" t="s">
        <v>14</v>
      </c>
      <c r="D1550" s="18" t="s">
        <v>122</v>
      </c>
      <c r="E1550">
        <v>13.3</v>
      </c>
      <c r="F1550">
        <v>12.4</v>
      </c>
      <c r="G1550">
        <v>13.6</v>
      </c>
      <c r="H1550">
        <v>13.3</v>
      </c>
      <c r="I1550">
        <v>13.4</v>
      </c>
      <c r="J1550">
        <v>12.8</v>
      </c>
      <c r="K1550">
        <v>13</v>
      </c>
      <c r="L1550">
        <f>Tableau1[[#This Row],[Final_time]]-SUM(Tableau1[[#This Row],[0_100m]:[600_700m]])</f>
        <v>13.219999999999985</v>
      </c>
      <c r="M1550">
        <v>105.02</v>
      </c>
      <c r="N1550">
        <f>SUM(Tableau1[[#This Row],[0_100m]:[700_800m]])</f>
        <v>105.02</v>
      </c>
      <c r="O1550" s="16">
        <f>ABS(Tableau1[[#This Row],[Final_time]]-Tableau1[[#This Row],[Sum_time]])</f>
        <v>0</v>
      </c>
      <c r="P1550" s="8"/>
      <c r="Q1550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50" t="s">
        <v>1887</v>
      </c>
      <c r="S1550" s="1" t="s">
        <v>68</v>
      </c>
      <c r="U1550" s="1" t="s">
        <v>69</v>
      </c>
      <c r="V1550" s="1">
        <v>46158</v>
      </c>
      <c r="W1550" s="4">
        <f>YEAR(Tableau1[[#This Row],[Competition_date]])</f>
        <v>2026</v>
      </c>
      <c r="X1550" s="4">
        <v>23</v>
      </c>
      <c r="Y1550" s="6">
        <v>0.57999999999999996</v>
      </c>
      <c r="Z1550" s="4" t="s">
        <v>80</v>
      </c>
    </row>
    <row r="1551" spans="1:27" hidden="1" x14ac:dyDescent="0.35">
      <c r="A1551" t="str">
        <f>_xlfn.CONCAT(Tableau1[[#This Row],[Athletes]],"_",Tableau1[[#This Row],[Nationality]],"_",Tableau1[[#This Row],[Competition_year]])</f>
        <v>Xiaoheng XI_CHN_2026</v>
      </c>
      <c r="B1551" t="s">
        <v>1886</v>
      </c>
      <c r="C1551" t="s">
        <v>14</v>
      </c>
      <c r="D1551" s="18" t="s">
        <v>64</v>
      </c>
      <c r="E1551">
        <v>13.4</v>
      </c>
      <c r="F1551">
        <v>12.6</v>
      </c>
      <c r="G1551">
        <v>13.8</v>
      </c>
      <c r="H1551">
        <v>13.4</v>
      </c>
      <c r="I1551">
        <v>13.1</v>
      </c>
      <c r="J1551">
        <v>13.2</v>
      </c>
      <c r="K1551">
        <v>13</v>
      </c>
      <c r="L1551">
        <f>Tableau1[[#This Row],[Final_time]]-SUM(Tableau1[[#This Row],[0_100m]:[600_700m]])</f>
        <v>13.120000000000005</v>
      </c>
      <c r="M1551">
        <v>105.62</v>
      </c>
      <c r="N1551">
        <f>SUM(Tableau1[[#This Row],[0_100m]:[700_800m]])</f>
        <v>105.62</v>
      </c>
      <c r="O1551" s="16">
        <f>ABS(Tableau1[[#This Row],[Final_time]]-Tableau1[[#This Row],[Sum_time]])</f>
        <v>0</v>
      </c>
      <c r="P1551" s="8"/>
      <c r="Q1551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51" t="s">
        <v>1887</v>
      </c>
      <c r="S1551" s="1" t="s">
        <v>68</v>
      </c>
      <c r="U1551" s="1" t="s">
        <v>69</v>
      </c>
      <c r="V1551" s="1">
        <v>46158</v>
      </c>
      <c r="W1551" s="4">
        <f>YEAR(Tableau1[[#This Row],[Competition_date]])</f>
        <v>2026</v>
      </c>
      <c r="X1551" s="4">
        <v>23</v>
      </c>
      <c r="Y1551" s="6">
        <v>0.57999999999999996</v>
      </c>
      <c r="Z1551" s="4" t="s">
        <v>80</v>
      </c>
    </row>
    <row r="1552" spans="1:27" hidden="1" x14ac:dyDescent="0.35">
      <c r="A1552" t="str">
        <f>_xlfn.CONCAT(Tableau1[[#This Row],[Athletes]],"_",Tableau1[[#This Row],[Nationality]],"_",Tableau1[[#This Row],[Competition_year]])</f>
        <v>Dezhu LIU_CHN_2026</v>
      </c>
      <c r="B1552" t="s">
        <v>703</v>
      </c>
      <c r="C1552" t="s">
        <v>14</v>
      </c>
      <c r="D1552" s="18" t="s">
        <v>64</v>
      </c>
      <c r="E1552">
        <v>13.2</v>
      </c>
      <c r="F1552">
        <v>12.8</v>
      </c>
      <c r="G1552">
        <v>13.9</v>
      </c>
      <c r="H1552">
        <v>13</v>
      </c>
      <c r="I1552">
        <v>13.1</v>
      </c>
      <c r="J1552">
        <v>13.2</v>
      </c>
      <c r="K1552">
        <v>13.1</v>
      </c>
      <c r="L1552">
        <f>Tableau1[[#This Row],[Final_time]]-SUM(Tableau1[[#This Row],[0_100m]:[600_700m]])</f>
        <v>13.490000000000009</v>
      </c>
      <c r="M1552">
        <v>105.79</v>
      </c>
      <c r="N1552">
        <f>SUM(Tableau1[[#This Row],[0_100m]:[700_800m]])</f>
        <v>105.79</v>
      </c>
      <c r="O1552" s="16">
        <f>ABS(Tableau1[[#This Row],[Final_time]]-Tableau1[[#This Row],[Sum_time]])</f>
        <v>0</v>
      </c>
      <c r="P1552" s="8"/>
      <c r="Q1552" s="16" t="str">
        <f>_xlfn.CONCAT(Tableau1[[#This Row],[Competition]],"_",Tableau1[[#This Row],[Championship_step]],"_",Tableau1[[#This Row],[Competition_date]],"_",Tableau1[[#This Row],[Gender]])</f>
        <v>Diamond League Shanghai 2026__46158_Male</v>
      </c>
      <c r="R1552" t="s">
        <v>1887</v>
      </c>
      <c r="S1552" s="1" t="s">
        <v>68</v>
      </c>
      <c r="U1552" s="1" t="s">
        <v>69</v>
      </c>
      <c r="V1552" s="1">
        <v>46158</v>
      </c>
      <c r="W1552" s="4">
        <f>YEAR(Tableau1[[#This Row],[Competition_date]])</f>
        <v>2026</v>
      </c>
      <c r="X1552" s="4">
        <v>23</v>
      </c>
      <c r="Y1552" s="6">
        <v>0.57999999999999996</v>
      </c>
      <c r="Z1552" s="4" t="s">
        <v>80</v>
      </c>
    </row>
    <row r="1553" spans="1:26" hidden="1" x14ac:dyDescent="0.35">
      <c r="A1553" t="str">
        <f>_xlfn.CONCAT(Tableau1[[#This Row],[Athletes]],"_",Tableau1[[#This Row],[Nationality]],"_",Tableau1[[#This Row],[Competition_year]])</f>
        <v>Max BURGIN_GBR_2026</v>
      </c>
      <c r="B1553" t="s">
        <v>188</v>
      </c>
      <c r="C1553" t="s">
        <v>14</v>
      </c>
      <c r="D1553" s="18" t="s">
        <v>30</v>
      </c>
      <c r="E1553">
        <v>12.3</v>
      </c>
      <c r="F1553">
        <v>11.6</v>
      </c>
      <c r="G1553">
        <v>12.9</v>
      </c>
      <c r="H1553">
        <v>13.2</v>
      </c>
      <c r="I1553">
        <v>12.9</v>
      </c>
      <c r="J1553">
        <v>13.3</v>
      </c>
      <c r="K1553">
        <v>13.1</v>
      </c>
      <c r="L1553">
        <f>Tableau1[[#This Row],[Final_time]]-SUM(Tableau1[[#This Row],[0_100m]:[600_700m]])</f>
        <v>13.680000000000007</v>
      </c>
      <c r="M1553">
        <v>102.98</v>
      </c>
      <c r="N1553">
        <f>SUM(Tableau1[[#This Row],[0_100m]:[700_800m]])</f>
        <v>102.98</v>
      </c>
      <c r="O1553" s="16">
        <f>ABS(Tableau1[[#This Row],[Final_time]]-Tableau1[[#This Row],[Sum_time]])</f>
        <v>0</v>
      </c>
      <c r="P1553" s="8"/>
      <c r="Q1553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3" t="s">
        <v>1889</v>
      </c>
      <c r="S1553" s="1" t="s">
        <v>68</v>
      </c>
      <c r="U1553" s="1" t="s">
        <v>69</v>
      </c>
      <c r="V1553" s="1">
        <v>46173</v>
      </c>
      <c r="W1553" s="4">
        <f>YEAR(Tableau1[[#This Row],[Competition_date]])</f>
        <v>2026</v>
      </c>
      <c r="X1553" s="4">
        <v>22</v>
      </c>
      <c r="Y1553" s="6">
        <v>0.81</v>
      </c>
      <c r="Z1553" s="4" t="s">
        <v>79</v>
      </c>
    </row>
    <row r="1554" spans="1:26" hidden="1" x14ac:dyDescent="0.35">
      <c r="A1554" t="str">
        <f>_xlfn.CONCAT(Tableau1[[#This Row],[Athletes]],"_",Tableau1[[#This Row],[Nationality]],"_",Tableau1[[#This Row],[Competition_year]])</f>
        <v>Emmanuel WANYONYI_KEN_2026</v>
      </c>
      <c r="B1554" t="s">
        <v>183</v>
      </c>
      <c r="C1554" t="s">
        <v>14</v>
      </c>
      <c r="D1554" s="18" t="s">
        <v>15</v>
      </c>
      <c r="E1554">
        <v>12.3</v>
      </c>
      <c r="F1554">
        <v>11.7</v>
      </c>
      <c r="G1554">
        <v>13.1</v>
      </c>
      <c r="H1554">
        <v>13.4</v>
      </c>
      <c r="I1554">
        <v>13.4</v>
      </c>
      <c r="J1554">
        <v>13</v>
      </c>
      <c r="K1554">
        <v>13.4</v>
      </c>
      <c r="L1554">
        <f>Tableau1[[#This Row],[Final_time]]-SUM(Tableau1[[#This Row],[0_100m]:[600_700m]])</f>
        <v>13.259999999999991</v>
      </c>
      <c r="M1554">
        <v>103.56</v>
      </c>
      <c r="N1554">
        <f>SUM(Tableau1[[#This Row],[0_100m]:[700_800m]])</f>
        <v>103.56</v>
      </c>
      <c r="O1554" s="16">
        <f>ABS(Tableau1[[#This Row],[Final_time]]-Tableau1[[#This Row],[Sum_time]])</f>
        <v>0</v>
      </c>
      <c r="P1554" s="8"/>
      <c r="Q1554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4" t="s">
        <v>1889</v>
      </c>
      <c r="S1554" s="1" t="s">
        <v>68</v>
      </c>
      <c r="U1554" s="1" t="s">
        <v>69</v>
      </c>
      <c r="V1554" s="1">
        <v>46173</v>
      </c>
      <c r="W1554" s="4">
        <f>YEAR(Tableau1[[#This Row],[Competition_date]])</f>
        <v>2026</v>
      </c>
      <c r="X1554" s="4">
        <v>22</v>
      </c>
      <c r="Y1554" s="6">
        <v>0.81</v>
      </c>
      <c r="Z1554" s="4" t="s">
        <v>79</v>
      </c>
    </row>
    <row r="1555" spans="1:26" hidden="1" x14ac:dyDescent="0.35">
      <c r="A1555" t="str">
        <f>_xlfn.CONCAT(Tableau1[[#This Row],[Athletes]],"_",Tableau1[[#This Row],[Nationality]],"_",Tableau1[[#This Row],[Competition_year]])</f>
        <v>Slimane MOULA_ALG_2026</v>
      </c>
      <c r="B1555" t="s">
        <v>103</v>
      </c>
      <c r="C1555" t="s">
        <v>14</v>
      </c>
      <c r="D1555" s="18" t="s">
        <v>24</v>
      </c>
      <c r="E1555">
        <v>12.3</v>
      </c>
      <c r="F1555">
        <v>11.7</v>
      </c>
      <c r="G1555">
        <v>13</v>
      </c>
      <c r="H1555">
        <v>13.7</v>
      </c>
      <c r="I1555">
        <v>13.5</v>
      </c>
      <c r="J1555">
        <v>13</v>
      </c>
      <c r="K1555">
        <v>13.4</v>
      </c>
      <c r="L1555">
        <f>Tableau1[[#This Row],[Final_time]]-SUM(Tableau1[[#This Row],[0_100m]:[600_700m]])</f>
        <v>13.129999999999995</v>
      </c>
      <c r="M1555">
        <v>103.73</v>
      </c>
      <c r="N1555">
        <f>SUM(Tableau1[[#This Row],[0_100m]:[700_800m]])</f>
        <v>103.73</v>
      </c>
      <c r="O1555" s="16">
        <f>ABS(Tableau1[[#This Row],[Final_time]]-Tableau1[[#This Row],[Sum_time]])</f>
        <v>0</v>
      </c>
      <c r="P1555" s="8"/>
      <c r="Q1555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5" t="s">
        <v>1889</v>
      </c>
      <c r="S1555" s="1" t="s">
        <v>68</v>
      </c>
      <c r="U1555" s="1" t="s">
        <v>69</v>
      </c>
      <c r="V1555" s="1">
        <v>46173</v>
      </c>
      <c r="W1555" s="4">
        <f>YEAR(Tableau1[[#This Row],[Competition_date]])</f>
        <v>2026</v>
      </c>
      <c r="X1555" s="4">
        <v>22</v>
      </c>
      <c r="Y1555" s="6">
        <v>0.81</v>
      </c>
      <c r="Z1555" s="4" t="s">
        <v>79</v>
      </c>
    </row>
    <row r="1556" spans="1:26" hidden="1" x14ac:dyDescent="0.35">
      <c r="A1556" t="str">
        <f>_xlfn.CONCAT(Tableau1[[#This Row],[Athletes]],"_",Tableau1[[#This Row],[Nationality]],"_",Tableau1[[#This Row],[Competition_year]])</f>
        <v>Gabriel TUAL_FRA_2026</v>
      </c>
      <c r="B1556" t="s">
        <v>180</v>
      </c>
      <c r="C1556" t="s">
        <v>14</v>
      </c>
      <c r="D1556" s="18" t="s">
        <v>17</v>
      </c>
      <c r="E1556">
        <v>12.6</v>
      </c>
      <c r="F1556">
        <v>11.9</v>
      </c>
      <c r="G1556">
        <v>13.1</v>
      </c>
      <c r="H1556">
        <v>13.4</v>
      </c>
      <c r="I1556">
        <v>13.5</v>
      </c>
      <c r="J1556">
        <v>13.2</v>
      </c>
      <c r="K1556">
        <v>13.1</v>
      </c>
      <c r="L1556">
        <f>Tableau1[[#This Row],[Final_time]]-SUM(Tableau1[[#This Row],[0_100m]:[600_700m]])</f>
        <v>13.230000000000004</v>
      </c>
      <c r="M1556">
        <v>104.03</v>
      </c>
      <c r="N1556">
        <f>SUM(Tableau1[[#This Row],[0_100m]:[700_800m]])</f>
        <v>104.03</v>
      </c>
      <c r="O1556" s="16">
        <f>ABS(Tableau1[[#This Row],[Final_time]]-Tableau1[[#This Row],[Sum_time]])</f>
        <v>0</v>
      </c>
      <c r="P1556" s="8"/>
      <c r="Q1556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6" t="s">
        <v>1889</v>
      </c>
      <c r="S1556" s="1" t="s">
        <v>68</v>
      </c>
      <c r="U1556" s="1" t="s">
        <v>69</v>
      </c>
      <c r="V1556" s="1">
        <v>46173</v>
      </c>
      <c r="W1556" s="4">
        <f>YEAR(Tableau1[[#This Row],[Competition_date]])</f>
        <v>2026</v>
      </c>
      <c r="X1556" s="4">
        <v>22</v>
      </c>
      <c r="Y1556" s="6">
        <v>0.81</v>
      </c>
      <c r="Z1556" s="4" t="s">
        <v>79</v>
      </c>
    </row>
    <row r="1557" spans="1:26" hidden="1" x14ac:dyDescent="0.35">
      <c r="A1557" t="str">
        <f>_xlfn.CONCAT(Tableau1[[#This Row],[Athletes]],"_",Tableau1[[#This Row],[Nationality]],"_",Tableau1[[#This Row],[Competition_year]])</f>
        <v>Donavan BRAZIER_USA_2026</v>
      </c>
      <c r="B1557" t="s">
        <v>242</v>
      </c>
      <c r="C1557" t="s">
        <v>14</v>
      </c>
      <c r="D1557" s="18" t="s">
        <v>35</v>
      </c>
      <c r="E1557">
        <v>12.5</v>
      </c>
      <c r="F1557">
        <v>11.6</v>
      </c>
      <c r="G1557">
        <v>13.2</v>
      </c>
      <c r="H1557">
        <v>13.6</v>
      </c>
      <c r="I1557">
        <v>13.7</v>
      </c>
      <c r="J1557">
        <v>13.3</v>
      </c>
      <c r="K1557">
        <v>13.3</v>
      </c>
      <c r="L1557">
        <f>Tableau1[[#This Row],[Final_time]]-SUM(Tableau1[[#This Row],[0_100m]:[600_700m]])</f>
        <v>12.830000000000013</v>
      </c>
      <c r="M1557">
        <v>104.03</v>
      </c>
      <c r="N1557">
        <f>SUM(Tableau1[[#This Row],[0_100m]:[700_800m]])</f>
        <v>104.03</v>
      </c>
      <c r="O1557" s="16">
        <f>ABS(Tableau1[[#This Row],[Final_time]]-Tableau1[[#This Row],[Sum_time]])</f>
        <v>0</v>
      </c>
      <c r="P1557" s="8"/>
      <c r="Q1557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7" t="s">
        <v>1889</v>
      </c>
      <c r="S1557" s="1" t="s">
        <v>68</v>
      </c>
      <c r="U1557" s="1" t="s">
        <v>69</v>
      </c>
      <c r="V1557" s="1">
        <v>46173</v>
      </c>
      <c r="W1557" s="4">
        <f>YEAR(Tableau1[[#This Row],[Competition_date]])</f>
        <v>2026</v>
      </c>
      <c r="X1557" s="4">
        <v>22</v>
      </c>
      <c r="Y1557" s="6">
        <v>0.81</v>
      </c>
      <c r="Z1557" s="4" t="s">
        <v>79</v>
      </c>
    </row>
    <row r="1558" spans="1:26" hidden="1" x14ac:dyDescent="0.35">
      <c r="A1558" t="str">
        <f>_xlfn.CONCAT(Tableau1[[#This Row],[Athletes]],"_",Tableau1[[#This Row],[Nationality]],"_",Tableau1[[#This Row],[Competition_year]])</f>
        <v>Eliott CRESTAN_BEL_2026</v>
      </c>
      <c r="B1558" t="s">
        <v>244</v>
      </c>
      <c r="C1558" t="s">
        <v>14</v>
      </c>
      <c r="D1558" s="18" t="s">
        <v>18</v>
      </c>
      <c r="E1558">
        <v>12.5</v>
      </c>
      <c r="F1558">
        <v>11.7</v>
      </c>
      <c r="G1558">
        <v>13.1</v>
      </c>
      <c r="H1558">
        <v>13.6</v>
      </c>
      <c r="I1558">
        <v>13.4</v>
      </c>
      <c r="J1558">
        <v>13.2</v>
      </c>
      <c r="K1558">
        <v>13.2</v>
      </c>
      <c r="L1558">
        <f>Tableau1[[#This Row],[Final_time]]-SUM(Tableau1[[#This Row],[0_100m]:[600_700m]])</f>
        <v>13.379999999999995</v>
      </c>
      <c r="M1558">
        <v>104.08</v>
      </c>
      <c r="N1558">
        <f>SUM(Tableau1[[#This Row],[0_100m]:[700_800m]])</f>
        <v>104.08</v>
      </c>
      <c r="O1558" s="16">
        <f>ABS(Tableau1[[#This Row],[Final_time]]-Tableau1[[#This Row],[Sum_time]])</f>
        <v>0</v>
      </c>
      <c r="P1558" s="8"/>
      <c r="Q1558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8" t="s">
        <v>1889</v>
      </c>
      <c r="S1558" s="1" t="s">
        <v>68</v>
      </c>
      <c r="U1558" s="1" t="s">
        <v>69</v>
      </c>
      <c r="V1558" s="1">
        <v>46173</v>
      </c>
      <c r="W1558" s="4">
        <f>YEAR(Tableau1[[#This Row],[Competition_date]])</f>
        <v>2026</v>
      </c>
      <c r="X1558" s="4">
        <v>22</v>
      </c>
      <c r="Y1558" s="6">
        <v>0.81</v>
      </c>
      <c r="Z1558" s="4" t="s">
        <v>79</v>
      </c>
    </row>
    <row r="1559" spans="1:26" hidden="1" x14ac:dyDescent="0.35">
      <c r="A1559" t="str">
        <f>_xlfn.CONCAT(Tableau1[[#This Row],[Athletes]],"_",Tableau1[[#This Row],[Nationality]],"_",Tableau1[[#This Row],[Competition_year]])</f>
        <v>Kethobogile HAINGURA_BOT_2026</v>
      </c>
      <c r="B1559" t="s">
        <v>1401</v>
      </c>
      <c r="C1559" t="s">
        <v>14</v>
      </c>
      <c r="D1559" s="18" t="s">
        <v>44</v>
      </c>
      <c r="E1559">
        <v>12.3</v>
      </c>
      <c r="F1559">
        <v>11.5</v>
      </c>
      <c r="G1559">
        <v>13.1</v>
      </c>
      <c r="H1559">
        <v>13.4</v>
      </c>
      <c r="I1559">
        <v>13.3</v>
      </c>
      <c r="J1559">
        <v>13.6</v>
      </c>
      <c r="K1559">
        <v>13.2</v>
      </c>
      <c r="L1559">
        <f>Tableau1[[#This Row],[Final_time]]-SUM(Tableau1[[#This Row],[0_100m]:[600_700m]])</f>
        <v>13.810000000000002</v>
      </c>
      <c r="M1559">
        <v>104.21</v>
      </c>
      <c r="N1559">
        <f>SUM(Tableau1[[#This Row],[0_100m]:[700_800m]])</f>
        <v>104.21</v>
      </c>
      <c r="O1559" s="16">
        <f>ABS(Tableau1[[#This Row],[Final_time]]-Tableau1[[#This Row],[Sum_time]])</f>
        <v>0</v>
      </c>
      <c r="P1559" s="8"/>
      <c r="Q1559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59" t="s">
        <v>1889</v>
      </c>
      <c r="S1559" s="1" t="s">
        <v>68</v>
      </c>
      <c r="U1559" s="1" t="s">
        <v>69</v>
      </c>
      <c r="V1559" s="1">
        <v>46173</v>
      </c>
      <c r="W1559" s="4">
        <f>YEAR(Tableau1[[#This Row],[Competition_date]])</f>
        <v>2026</v>
      </c>
      <c r="X1559" s="4">
        <v>22</v>
      </c>
      <c r="Y1559" s="6">
        <v>0.81</v>
      </c>
      <c r="Z1559" s="4" t="s">
        <v>79</v>
      </c>
    </row>
    <row r="1560" spans="1:26" hidden="1" x14ac:dyDescent="0.35">
      <c r="A1560" t="str">
        <f>_xlfn.CONCAT(Tableau1[[#This Row],[Athletes]],"_",Tableau1[[#This Row],[Nationality]],"_",Tableau1[[#This Row],[Competition_year]])</f>
        <v>Yanis MEZIANE_FRA_2026</v>
      </c>
      <c r="B1560" t="s">
        <v>171</v>
      </c>
      <c r="C1560" t="s">
        <v>14</v>
      </c>
      <c r="D1560" s="18" t="s">
        <v>17</v>
      </c>
      <c r="E1560">
        <v>12.7</v>
      </c>
      <c r="F1560">
        <v>11.8</v>
      </c>
      <c r="G1560">
        <v>13.1</v>
      </c>
      <c r="H1560">
        <v>13.5</v>
      </c>
      <c r="I1560">
        <v>13.6</v>
      </c>
      <c r="J1560">
        <v>13.2</v>
      </c>
      <c r="K1560">
        <v>13.1</v>
      </c>
      <c r="L1560">
        <f>Tableau1[[#This Row],[Final_time]]-SUM(Tableau1[[#This Row],[0_100m]:[600_700m]])</f>
        <v>13.379999999999995</v>
      </c>
      <c r="M1560">
        <v>104.38</v>
      </c>
      <c r="N1560">
        <f>SUM(Tableau1[[#This Row],[0_100m]:[700_800m]])</f>
        <v>104.38</v>
      </c>
      <c r="O1560" s="16">
        <f>ABS(Tableau1[[#This Row],[Final_time]]-Tableau1[[#This Row],[Sum_time]])</f>
        <v>0</v>
      </c>
      <c r="P1560" s="8"/>
      <c r="Q1560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60" t="s">
        <v>1889</v>
      </c>
      <c r="S1560" s="1" t="s">
        <v>68</v>
      </c>
      <c r="U1560" s="1" t="s">
        <v>69</v>
      </c>
      <c r="V1560" s="1">
        <v>46173</v>
      </c>
      <c r="W1560" s="4">
        <f>YEAR(Tableau1[[#This Row],[Competition_date]])</f>
        <v>2026</v>
      </c>
      <c r="X1560" s="4">
        <v>22</v>
      </c>
      <c r="Y1560" s="6">
        <v>0.81</v>
      </c>
      <c r="Z1560" s="4" t="s">
        <v>79</v>
      </c>
    </row>
    <row r="1561" spans="1:26" hidden="1" x14ac:dyDescent="0.35">
      <c r="A1561" t="str">
        <f>_xlfn.CONCAT(Tableau1[[#This Row],[Athletes]],"_",Tableau1[[#This Row],[Nationality]],"_",Tableau1[[#This Row],[Competition_year]])</f>
        <v>Francesco PERNICI_ITA_2026</v>
      </c>
      <c r="B1561" t="s">
        <v>126</v>
      </c>
      <c r="C1561" t="s">
        <v>14</v>
      </c>
      <c r="D1561" s="18" t="s">
        <v>20</v>
      </c>
      <c r="E1561">
        <v>12.7</v>
      </c>
      <c r="F1561">
        <v>11.8</v>
      </c>
      <c r="G1561">
        <v>13.5</v>
      </c>
      <c r="H1561">
        <v>13.4</v>
      </c>
      <c r="I1561">
        <v>13.9</v>
      </c>
      <c r="J1561">
        <v>13.2</v>
      </c>
      <c r="K1561">
        <v>13.3</v>
      </c>
      <c r="L1561">
        <f>Tableau1[[#This Row],[Final_time]]-SUM(Tableau1[[#This Row],[0_100m]:[600_700m]])</f>
        <v>12.600000000000009</v>
      </c>
      <c r="M1561">
        <v>104.4</v>
      </c>
      <c r="N1561">
        <f>SUM(Tableau1[[#This Row],[0_100m]:[700_800m]])</f>
        <v>104.4</v>
      </c>
      <c r="O1561" s="16">
        <f>ABS(Tableau1[[#This Row],[Final_time]]-Tableau1[[#This Row],[Sum_time]])</f>
        <v>0</v>
      </c>
      <c r="P1561" s="8"/>
      <c r="Q1561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61" t="s">
        <v>1889</v>
      </c>
      <c r="S1561" s="1" t="s">
        <v>68</v>
      </c>
      <c r="U1561" s="1" t="s">
        <v>69</v>
      </c>
      <c r="V1561" s="1">
        <v>46173</v>
      </c>
      <c r="W1561" s="4">
        <f>YEAR(Tableau1[[#This Row],[Competition_date]])</f>
        <v>2026</v>
      </c>
      <c r="X1561" s="4">
        <v>22</v>
      </c>
      <c r="Y1561" s="6">
        <v>0.81</v>
      </c>
      <c r="Z1561" s="4" t="s">
        <v>79</v>
      </c>
    </row>
    <row r="1562" spans="1:26" hidden="1" x14ac:dyDescent="0.35">
      <c r="A1562" t="str">
        <f>_xlfn.CONCAT(Tableau1[[#This Row],[Athletes]],"_",Tableau1[[#This Row],[Nationality]],"_",Tableau1[[#This Row],[Competition_year]])</f>
        <v>Abdelati EL GUESSE_MAR_2026</v>
      </c>
      <c r="B1562" t="s">
        <v>112</v>
      </c>
      <c r="C1562" t="s">
        <v>14</v>
      </c>
      <c r="D1562" s="18" t="s">
        <v>21</v>
      </c>
      <c r="E1562">
        <v>12.4</v>
      </c>
      <c r="F1562">
        <v>11.7</v>
      </c>
      <c r="G1562">
        <v>13.1</v>
      </c>
      <c r="H1562">
        <v>13.5</v>
      </c>
      <c r="I1562">
        <v>13.7</v>
      </c>
      <c r="J1562">
        <v>13.3</v>
      </c>
      <c r="K1562">
        <v>13.5</v>
      </c>
      <c r="L1562">
        <f>Tableau1[[#This Row],[Final_time]]-SUM(Tableau1[[#This Row],[0_100m]:[600_700m]])</f>
        <v>13.420000000000002</v>
      </c>
      <c r="M1562">
        <v>104.62</v>
      </c>
      <c r="N1562">
        <f>SUM(Tableau1[[#This Row],[0_100m]:[700_800m]])</f>
        <v>104.62</v>
      </c>
      <c r="O1562" s="16">
        <f>ABS(Tableau1[[#This Row],[Final_time]]-Tableau1[[#This Row],[Sum_time]])</f>
        <v>0</v>
      </c>
      <c r="P1562" s="8"/>
      <c r="Q1562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62" t="s">
        <v>1889</v>
      </c>
      <c r="S1562" s="1" t="s">
        <v>68</v>
      </c>
      <c r="U1562" s="1" t="s">
        <v>69</v>
      </c>
      <c r="V1562" s="1">
        <v>46173</v>
      </c>
      <c r="W1562" s="4">
        <f>YEAR(Tableau1[[#This Row],[Competition_date]])</f>
        <v>2026</v>
      </c>
      <c r="X1562" s="4">
        <v>22</v>
      </c>
      <c r="Y1562" s="6">
        <v>0.81</v>
      </c>
      <c r="Z1562" s="4" t="s">
        <v>79</v>
      </c>
    </row>
    <row r="1563" spans="1:26" hidden="1" x14ac:dyDescent="0.35">
      <c r="A1563" t="str">
        <f>_xlfn.CONCAT(Tableau1[[#This Row],[Athletes]],"_",Tableau1[[#This Row],[Nationality]],"_",Tableau1[[#This Row],[Competition_year]])</f>
        <v>Mark ENGLISH_IRL_2026</v>
      </c>
      <c r="B1563" t="s">
        <v>187</v>
      </c>
      <c r="C1563" t="s">
        <v>14</v>
      </c>
      <c r="D1563" s="18" t="s">
        <v>66</v>
      </c>
      <c r="E1563">
        <v>12.6</v>
      </c>
      <c r="F1563">
        <v>11.7</v>
      </c>
      <c r="G1563">
        <v>13.2</v>
      </c>
      <c r="H1563">
        <v>13.6</v>
      </c>
      <c r="I1563">
        <v>13.6</v>
      </c>
      <c r="J1563">
        <v>13.4</v>
      </c>
      <c r="K1563">
        <v>13.4</v>
      </c>
      <c r="L1563">
        <f>Tableau1[[#This Row],[Final_time]]-SUM(Tableau1[[#This Row],[0_100m]:[600_700m]])</f>
        <v>13.499999999999986</v>
      </c>
      <c r="M1563">
        <v>105</v>
      </c>
      <c r="N1563">
        <f>SUM(Tableau1[[#This Row],[0_100m]:[700_800m]])</f>
        <v>105</v>
      </c>
      <c r="O1563" s="16">
        <f>ABS(Tableau1[[#This Row],[Final_time]]-Tableau1[[#This Row],[Sum_time]])</f>
        <v>0</v>
      </c>
      <c r="P1563" s="8"/>
      <c r="Q1563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63" t="s">
        <v>1889</v>
      </c>
      <c r="S1563" s="1" t="s">
        <v>68</v>
      </c>
      <c r="U1563" s="1" t="s">
        <v>69</v>
      </c>
      <c r="V1563" s="1">
        <v>46173</v>
      </c>
      <c r="W1563" s="4">
        <f>YEAR(Tableau1[[#This Row],[Competition_date]])</f>
        <v>2026</v>
      </c>
      <c r="X1563" s="4">
        <v>22</v>
      </c>
      <c r="Y1563" s="6">
        <v>0.81</v>
      </c>
      <c r="Z1563" s="4" t="s">
        <v>79</v>
      </c>
    </row>
    <row r="1564" spans="1:26" hidden="1" x14ac:dyDescent="0.35">
      <c r="A1564" t="str">
        <f>_xlfn.CONCAT(Tableau1[[#This Row],[Athletes]],"_",Tableau1[[#This Row],[Nationality]],"_",Tableau1[[#This Row],[Competition_year]])</f>
        <v>Imad BOUCHAJDA_MAR_2026</v>
      </c>
      <c r="B1564" t="s">
        <v>1888</v>
      </c>
      <c r="C1564" t="s">
        <v>14</v>
      </c>
      <c r="D1564" s="18" t="s">
        <v>21</v>
      </c>
      <c r="E1564">
        <v>12.7</v>
      </c>
      <c r="F1564">
        <v>11.8</v>
      </c>
      <c r="G1564">
        <v>13.1</v>
      </c>
      <c r="H1564">
        <v>13.7</v>
      </c>
      <c r="I1564">
        <v>13.7</v>
      </c>
      <c r="J1564">
        <v>13.3</v>
      </c>
      <c r="K1564">
        <v>13.4</v>
      </c>
      <c r="L1564">
        <f>Tableau1[[#This Row],[Final_time]]-SUM(Tableau1[[#This Row],[0_100m]:[600_700m]])</f>
        <v>13.450000000000003</v>
      </c>
      <c r="M1564">
        <v>105.15</v>
      </c>
      <c r="N1564">
        <f>SUM(Tableau1[[#This Row],[0_100m]:[700_800m]])</f>
        <v>105.15</v>
      </c>
      <c r="O1564" s="16">
        <f>ABS(Tableau1[[#This Row],[Final_time]]-Tableau1[[#This Row],[Sum_time]])</f>
        <v>0</v>
      </c>
      <c r="P1564" s="8"/>
      <c r="Q1564" s="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R1564" t="s">
        <v>1889</v>
      </c>
      <c r="S1564" s="1" t="s">
        <v>68</v>
      </c>
      <c r="U1564" s="1" t="s">
        <v>69</v>
      </c>
      <c r="V1564" s="1">
        <v>46173</v>
      </c>
      <c r="W1564" s="4">
        <f>YEAR(Tableau1[[#This Row],[Competition_date]])</f>
        <v>2026</v>
      </c>
      <c r="X1564" s="4">
        <v>22</v>
      </c>
      <c r="Y1564" s="6">
        <v>0.81</v>
      </c>
      <c r="Z1564" s="4" t="s">
        <v>79</v>
      </c>
    </row>
    <row r="1565" spans="1:26" hidden="1" x14ac:dyDescent="0.35">
      <c r="A1565" t="str">
        <f>_xlfn.CONCAT(Tableau1[[#This Row],[Athletes]],"_",Tableau1[[#This Row],[Nationality]],"_",Tableau1[[#This Row],[Competition_year]])</f>
        <v>Audrey WERRO_SUI_2026</v>
      </c>
      <c r="B1565" t="s">
        <v>329</v>
      </c>
      <c r="C1565" t="s">
        <v>29</v>
      </c>
      <c r="D1565" s="18" t="s">
        <v>73</v>
      </c>
      <c r="E1565">
        <v>13.7</v>
      </c>
      <c r="F1565">
        <v>13.3</v>
      </c>
      <c r="G1565">
        <v>14.2</v>
      </c>
      <c r="H1565">
        <v>14.6</v>
      </c>
      <c r="I1565">
        <v>15</v>
      </c>
      <c r="J1565">
        <v>14.8</v>
      </c>
      <c r="K1565">
        <v>14.1</v>
      </c>
      <c r="L1565">
        <f>Tableau1[[#This Row],[Final_time]]-SUM(Tableau1[[#This Row],[0_100m]:[600_700m]])</f>
        <v>14.280000000000001</v>
      </c>
      <c r="M1565">
        <v>113.98</v>
      </c>
      <c r="N1565">
        <f>SUM(Tableau1[[#This Row],[0_100m]:[700_800m]])</f>
        <v>113.98</v>
      </c>
      <c r="O1565" s="16">
        <f>ABS(Tableau1[[#This Row],[Final_time]]-Tableau1[[#This Row],[Sum_time]])</f>
        <v>0</v>
      </c>
      <c r="P1565" s="8"/>
      <c r="Q1565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65" t="s">
        <v>1891</v>
      </c>
      <c r="S1565" s="1" t="s">
        <v>68</v>
      </c>
      <c r="U1565" s="1" t="s">
        <v>69</v>
      </c>
      <c r="V1565" s="1">
        <v>46180</v>
      </c>
      <c r="W1565" s="4">
        <f>YEAR(Tableau1[[#This Row],[Competition_date]])</f>
        <v>2026</v>
      </c>
      <c r="X1565" s="4">
        <v>21</v>
      </c>
      <c r="Y1565" s="6">
        <v>0.44</v>
      </c>
      <c r="Z1565" s="4" t="s">
        <v>80</v>
      </c>
    </row>
    <row r="1566" spans="1:26" hidden="1" x14ac:dyDescent="0.35">
      <c r="A1566" t="str">
        <f>_xlfn.CONCAT(Tableau1[[#This Row],[Athletes]],"_",Tableau1[[#This Row],[Nationality]],"_",Tableau1[[#This Row],[Competition_year]])</f>
        <v>Keely HODGKINSON_GBR_2026</v>
      </c>
      <c r="B1566" t="s">
        <v>212</v>
      </c>
      <c r="C1566" t="s">
        <v>29</v>
      </c>
      <c r="D1566" s="18" t="s">
        <v>30</v>
      </c>
      <c r="E1566">
        <v>13.9</v>
      </c>
      <c r="F1566">
        <v>13.3</v>
      </c>
      <c r="G1566">
        <v>14.3</v>
      </c>
      <c r="H1566">
        <v>14.7</v>
      </c>
      <c r="I1566">
        <v>14.5</v>
      </c>
      <c r="J1566">
        <v>14.6</v>
      </c>
      <c r="K1566">
        <v>14.3</v>
      </c>
      <c r="L1566">
        <f>Tableau1[[#This Row],[Final_time]]-SUM(Tableau1[[#This Row],[0_100m]:[600_700m]])</f>
        <v>14.730000000000004</v>
      </c>
      <c r="M1566">
        <v>114.33</v>
      </c>
      <c r="N1566">
        <f>SUM(Tableau1[[#This Row],[0_100m]:[700_800m]])</f>
        <v>114.33</v>
      </c>
      <c r="O1566" s="16">
        <f>ABS(Tableau1[[#This Row],[Final_time]]-Tableau1[[#This Row],[Sum_time]])</f>
        <v>0</v>
      </c>
      <c r="P1566" s="8"/>
      <c r="Q1566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66" t="s">
        <v>1891</v>
      </c>
      <c r="S1566" s="1" t="s">
        <v>68</v>
      </c>
      <c r="U1566" s="1" t="s">
        <v>69</v>
      </c>
      <c r="V1566" s="1">
        <v>46180</v>
      </c>
      <c r="W1566" s="4">
        <f>YEAR(Tableau1[[#This Row],[Competition_date]])</f>
        <v>2026</v>
      </c>
      <c r="X1566" s="4">
        <v>21</v>
      </c>
      <c r="Y1566" s="6">
        <v>0.44</v>
      </c>
      <c r="Z1566" s="4" t="s">
        <v>80</v>
      </c>
    </row>
    <row r="1567" spans="1:26" hidden="1" x14ac:dyDescent="0.35">
      <c r="A1567" t="str">
        <f>_xlfn.CONCAT(Tableau1[[#This Row],[Athletes]],"_",Tableau1[[#This Row],[Nationality]],"_",Tableau1[[#This Row],[Competition_year]])</f>
        <v>Roisin WILLIS_USA_2026</v>
      </c>
      <c r="B1567" t="s">
        <v>1429</v>
      </c>
      <c r="C1567" t="s">
        <v>29</v>
      </c>
      <c r="D1567" s="18" t="s">
        <v>35</v>
      </c>
      <c r="E1567">
        <v>13.8</v>
      </c>
      <c r="F1567">
        <v>13.8</v>
      </c>
      <c r="G1567">
        <v>14.7</v>
      </c>
      <c r="H1567">
        <v>14.8</v>
      </c>
      <c r="I1567">
        <v>15.3</v>
      </c>
      <c r="J1567">
        <v>15.4</v>
      </c>
      <c r="K1567">
        <v>15.3</v>
      </c>
      <c r="L1567">
        <f>Tableau1[[#This Row],[Final_time]]-SUM(Tableau1[[#This Row],[0_100m]:[600_700m]])</f>
        <v>14.460000000000008</v>
      </c>
      <c r="M1567">
        <v>117.56</v>
      </c>
      <c r="N1567">
        <f>SUM(Tableau1[[#This Row],[0_100m]:[700_800m]])</f>
        <v>117.56</v>
      </c>
      <c r="O1567" s="16">
        <f>ABS(Tableau1[[#This Row],[Final_time]]-Tableau1[[#This Row],[Sum_time]])</f>
        <v>0</v>
      </c>
      <c r="P1567" s="8"/>
      <c r="Q1567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67" t="s">
        <v>1891</v>
      </c>
      <c r="S1567" s="1" t="s">
        <v>68</v>
      </c>
      <c r="U1567" s="1" t="s">
        <v>69</v>
      </c>
      <c r="V1567" s="1">
        <v>46180</v>
      </c>
      <c r="W1567" s="4">
        <f>YEAR(Tableau1[[#This Row],[Competition_date]])</f>
        <v>2026</v>
      </c>
      <c r="X1567" s="4">
        <v>21</v>
      </c>
      <c r="Y1567" s="6">
        <v>0.44</v>
      </c>
      <c r="Z1567" s="4" t="s">
        <v>80</v>
      </c>
    </row>
    <row r="1568" spans="1:26" hidden="1" x14ac:dyDescent="0.35">
      <c r="A1568" t="str">
        <f>_xlfn.CONCAT(Tableau1[[#This Row],[Athletes]],"_",Tableau1[[#This Row],[Nationality]],"_",Tableau1[[#This Row],[Competition_year]])</f>
        <v>Anaïs BOURGOIN_FRA_2026</v>
      </c>
      <c r="B1568" t="s">
        <v>1375</v>
      </c>
      <c r="C1568" t="s">
        <v>29</v>
      </c>
      <c r="D1568" s="18" t="s">
        <v>17</v>
      </c>
      <c r="E1568">
        <v>14.2</v>
      </c>
      <c r="F1568">
        <v>13.4</v>
      </c>
      <c r="G1568">
        <v>14.5</v>
      </c>
      <c r="H1568">
        <v>14.8</v>
      </c>
      <c r="I1568">
        <v>15.1</v>
      </c>
      <c r="J1568">
        <v>15</v>
      </c>
      <c r="K1568">
        <v>15.1</v>
      </c>
      <c r="L1568">
        <f>Tableau1[[#This Row],[Final_time]]-SUM(Tableau1[[#This Row],[0_100m]:[600_700m]])</f>
        <v>15.580000000000013</v>
      </c>
      <c r="M1568">
        <v>117.68</v>
      </c>
      <c r="N1568">
        <f>SUM(Tableau1[[#This Row],[0_100m]:[700_800m]])</f>
        <v>117.68</v>
      </c>
      <c r="O1568" s="16">
        <f>ABS(Tableau1[[#This Row],[Final_time]]-Tableau1[[#This Row],[Sum_time]])</f>
        <v>0</v>
      </c>
      <c r="P1568" s="8"/>
      <c r="Q1568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68" t="s">
        <v>1891</v>
      </c>
      <c r="S1568" s="1" t="s">
        <v>68</v>
      </c>
      <c r="U1568" s="1" t="s">
        <v>69</v>
      </c>
      <c r="V1568" s="1">
        <v>46180</v>
      </c>
      <c r="W1568" s="4">
        <f>YEAR(Tableau1[[#This Row],[Competition_date]])</f>
        <v>2026</v>
      </c>
      <c r="X1568" s="4">
        <v>21</v>
      </c>
      <c r="Y1568" s="6">
        <v>0.44</v>
      </c>
      <c r="Z1568" s="4" t="s">
        <v>80</v>
      </c>
    </row>
    <row r="1569" spans="1:26" hidden="1" x14ac:dyDescent="0.35">
      <c r="A1569" t="str">
        <f>_xlfn.CONCAT(Tableau1[[#This Row],[Athletes]],"_",Tableau1[[#This Row],[Nationality]],"_",Tableau1[[#This Row],[Competition_year]])</f>
        <v>Prudence SEKGODISO_RSA_2026</v>
      </c>
      <c r="B1569" t="s">
        <v>235</v>
      </c>
      <c r="C1569" t="s">
        <v>29</v>
      </c>
      <c r="D1569" s="18" t="s">
        <v>96</v>
      </c>
      <c r="E1569">
        <v>13.7</v>
      </c>
      <c r="F1569">
        <v>13.8</v>
      </c>
      <c r="G1569">
        <v>14.6</v>
      </c>
      <c r="H1569">
        <v>14.6</v>
      </c>
      <c r="I1569">
        <v>15.1</v>
      </c>
      <c r="J1569">
        <v>14.8</v>
      </c>
      <c r="K1569">
        <v>15.4</v>
      </c>
      <c r="L1569">
        <f>Tableau1[[#This Row],[Final_time]]-SUM(Tableau1[[#This Row],[0_100m]:[600_700m]])</f>
        <v>15.700000000000003</v>
      </c>
      <c r="M1569">
        <v>117.7</v>
      </c>
      <c r="N1569">
        <f>SUM(Tableau1[[#This Row],[0_100m]:[700_800m]])</f>
        <v>117.7</v>
      </c>
      <c r="O1569" s="16">
        <f>ABS(Tableau1[[#This Row],[Final_time]]-Tableau1[[#This Row],[Sum_time]])</f>
        <v>0</v>
      </c>
      <c r="P1569" s="8"/>
      <c r="Q1569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69" t="s">
        <v>1891</v>
      </c>
      <c r="S1569" s="1" t="s">
        <v>68</v>
      </c>
      <c r="U1569" s="1" t="s">
        <v>69</v>
      </c>
      <c r="V1569" s="1">
        <v>46180</v>
      </c>
      <c r="W1569" s="4">
        <f>YEAR(Tableau1[[#This Row],[Competition_date]])</f>
        <v>2026</v>
      </c>
      <c r="X1569" s="4">
        <v>21</v>
      </c>
      <c r="Y1569" s="6">
        <v>0.44</v>
      </c>
      <c r="Z1569" s="4" t="s">
        <v>80</v>
      </c>
    </row>
    <row r="1570" spans="1:26" hidden="1" x14ac:dyDescent="0.35">
      <c r="A1570" t="str">
        <f>_xlfn.CONCAT(Tableau1[[#This Row],[Athletes]],"_",Tableau1[[#This Row],[Nationality]],"_",Tableau1[[#This Row],[Competition_year]])</f>
        <v>Anna WIELGOSZ_POL_2026</v>
      </c>
      <c r="B1570" t="s">
        <v>276</v>
      </c>
      <c r="C1570" t="s">
        <v>29</v>
      </c>
      <c r="D1570" s="18" t="s">
        <v>88</v>
      </c>
      <c r="E1570">
        <v>14.4</v>
      </c>
      <c r="F1570">
        <v>13.4</v>
      </c>
      <c r="G1570">
        <v>14.6</v>
      </c>
      <c r="H1570">
        <v>14.6</v>
      </c>
      <c r="I1570">
        <v>15.2</v>
      </c>
      <c r="J1570">
        <v>15.1</v>
      </c>
      <c r="K1570">
        <v>15.1</v>
      </c>
      <c r="L1570">
        <f>Tableau1[[#This Row],[Final_time]]-SUM(Tableau1[[#This Row],[0_100m]:[600_700m]])</f>
        <v>15.52000000000001</v>
      </c>
      <c r="M1570">
        <v>117.92</v>
      </c>
      <c r="N1570">
        <f>SUM(Tableau1[[#This Row],[0_100m]:[700_800m]])</f>
        <v>117.92</v>
      </c>
      <c r="O1570" s="16">
        <f>ABS(Tableau1[[#This Row],[Final_time]]-Tableau1[[#This Row],[Sum_time]])</f>
        <v>0</v>
      </c>
      <c r="P1570" s="8"/>
      <c r="Q1570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70" t="s">
        <v>1891</v>
      </c>
      <c r="S1570" s="1" t="s">
        <v>68</v>
      </c>
      <c r="U1570" s="1" t="s">
        <v>69</v>
      </c>
      <c r="V1570" s="1">
        <v>46180</v>
      </c>
      <c r="W1570" s="4">
        <f>YEAR(Tableau1[[#This Row],[Competition_date]])</f>
        <v>2026</v>
      </c>
      <c r="X1570" s="4">
        <v>21</v>
      </c>
      <c r="Y1570" s="6">
        <v>0.44</v>
      </c>
      <c r="Z1570" s="4" t="s">
        <v>80</v>
      </c>
    </row>
    <row r="1571" spans="1:26" hidden="1" x14ac:dyDescent="0.35">
      <c r="A1571" t="str">
        <f>_xlfn.CONCAT(Tableau1[[#This Row],[Athletes]],"_",Tableau1[[#This Row],[Nationality]],"_",Tableau1[[#This Row],[Competition_year]])</f>
        <v>Raevyn ROGERS_USA_2026</v>
      </c>
      <c r="B1571" t="s">
        <v>221</v>
      </c>
      <c r="C1571" t="s">
        <v>29</v>
      </c>
      <c r="D1571" s="18" t="s">
        <v>35</v>
      </c>
      <c r="E1571">
        <v>14.2</v>
      </c>
      <c r="F1571">
        <v>13.8</v>
      </c>
      <c r="G1571">
        <v>14.6</v>
      </c>
      <c r="H1571">
        <v>14.8</v>
      </c>
      <c r="I1571">
        <v>15.1</v>
      </c>
      <c r="J1571">
        <v>15.1</v>
      </c>
      <c r="K1571">
        <v>15.2</v>
      </c>
      <c r="L1571">
        <f>Tableau1[[#This Row],[Final_time]]-SUM(Tableau1[[#This Row],[0_100m]:[600_700m]])</f>
        <v>15.14</v>
      </c>
      <c r="M1571">
        <v>117.94</v>
      </c>
      <c r="N1571">
        <f>SUM(Tableau1[[#This Row],[0_100m]:[700_800m]])</f>
        <v>117.94</v>
      </c>
      <c r="O1571" s="16">
        <f>ABS(Tableau1[[#This Row],[Final_time]]-Tableau1[[#This Row],[Sum_time]])</f>
        <v>0</v>
      </c>
      <c r="P1571" s="8"/>
      <c r="Q1571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71" t="s">
        <v>1891</v>
      </c>
      <c r="S1571" s="1" t="s">
        <v>68</v>
      </c>
      <c r="U1571" s="1" t="s">
        <v>69</v>
      </c>
      <c r="V1571" s="1">
        <v>46180</v>
      </c>
      <c r="W1571" s="4">
        <f>YEAR(Tableau1[[#This Row],[Competition_date]])</f>
        <v>2026</v>
      </c>
      <c r="X1571" s="4">
        <v>21</v>
      </c>
      <c r="Y1571" s="6">
        <v>0.44</v>
      </c>
      <c r="Z1571" s="4" t="s">
        <v>80</v>
      </c>
    </row>
    <row r="1572" spans="1:26" hidden="1" x14ac:dyDescent="0.35">
      <c r="A1572" t="str">
        <f>_xlfn.CONCAT(Tableau1[[#This Row],[Athletes]],"_",Tableau1[[#This Row],[Nationality]],"_",Tableau1[[#This Row],[Competition_year]])</f>
        <v>Sage HURTA-KLECKER_USA_2026</v>
      </c>
      <c r="B1572" t="s">
        <v>289</v>
      </c>
      <c r="C1572" t="s">
        <v>29</v>
      </c>
      <c r="D1572" s="18" t="s">
        <v>35</v>
      </c>
      <c r="E1572">
        <v>14.2</v>
      </c>
      <c r="F1572">
        <v>13.8</v>
      </c>
      <c r="G1572">
        <v>14.8</v>
      </c>
      <c r="H1572">
        <v>14.5</v>
      </c>
      <c r="I1572">
        <v>15.3</v>
      </c>
      <c r="J1572">
        <v>14.8</v>
      </c>
      <c r="K1572">
        <v>15.1</v>
      </c>
      <c r="L1572">
        <f>Tableau1[[#This Row],[Final_time]]-SUM(Tableau1[[#This Row],[0_100m]:[600_700m]])</f>
        <v>15.760000000000019</v>
      </c>
      <c r="M1572">
        <v>118.26</v>
      </c>
      <c r="N1572">
        <f>SUM(Tableau1[[#This Row],[0_100m]:[700_800m]])</f>
        <v>118.26</v>
      </c>
      <c r="O1572" s="16">
        <f>ABS(Tableau1[[#This Row],[Final_time]]-Tableau1[[#This Row],[Sum_time]])</f>
        <v>0</v>
      </c>
      <c r="P1572" s="8"/>
      <c r="Q1572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72" t="s">
        <v>1891</v>
      </c>
      <c r="S1572" s="1" t="s">
        <v>68</v>
      </c>
      <c r="U1572" s="1" t="s">
        <v>69</v>
      </c>
      <c r="V1572" s="1">
        <v>46180</v>
      </c>
      <c r="W1572" s="4">
        <f>YEAR(Tableau1[[#This Row],[Competition_date]])</f>
        <v>2026</v>
      </c>
      <c r="X1572" s="4">
        <v>21</v>
      </c>
      <c r="Y1572" s="6">
        <v>0.44</v>
      </c>
      <c r="Z1572" s="4" t="s">
        <v>80</v>
      </c>
    </row>
    <row r="1573" spans="1:26" hidden="1" x14ac:dyDescent="0.35">
      <c r="A1573" t="str">
        <f>_xlfn.CONCAT(Tableau1[[#This Row],[Athletes]],"_",Tableau1[[#This Row],[Nationality]],"_",Tableau1[[#This Row],[Competition_year]])</f>
        <v>Nigist GETACHEW_ETH_2026</v>
      </c>
      <c r="B1573" t="s">
        <v>1105</v>
      </c>
      <c r="C1573" t="s">
        <v>29</v>
      </c>
      <c r="D1573" s="18" t="s">
        <v>49</v>
      </c>
      <c r="E1573">
        <v>13.7</v>
      </c>
      <c r="F1573">
        <v>13.7</v>
      </c>
      <c r="G1573">
        <v>14.5</v>
      </c>
      <c r="H1573">
        <v>14.7</v>
      </c>
      <c r="I1573">
        <v>15.1</v>
      </c>
      <c r="J1573">
        <v>15.1</v>
      </c>
      <c r="K1573">
        <v>15.6</v>
      </c>
      <c r="L1573">
        <f>Tableau1[[#This Row],[Final_time]]-SUM(Tableau1[[#This Row],[0_100m]:[600_700m]])</f>
        <v>16.190000000000026</v>
      </c>
      <c r="M1573">
        <v>118.59</v>
      </c>
      <c r="N1573">
        <f>SUM(Tableau1[[#This Row],[0_100m]:[700_800m]])</f>
        <v>118.59</v>
      </c>
      <c r="O1573" s="16">
        <f>ABS(Tableau1[[#This Row],[Final_time]]-Tableau1[[#This Row],[Sum_time]])</f>
        <v>0</v>
      </c>
      <c r="P1573" s="8"/>
      <c r="Q1573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73" t="s">
        <v>1891</v>
      </c>
      <c r="S1573" s="1" t="s">
        <v>68</v>
      </c>
      <c r="U1573" s="1" t="s">
        <v>69</v>
      </c>
      <c r="V1573" s="1">
        <v>46180</v>
      </c>
      <c r="W1573" s="4">
        <f>YEAR(Tableau1[[#This Row],[Competition_date]])</f>
        <v>2026</v>
      </c>
      <c r="X1573" s="4">
        <v>21</v>
      </c>
      <c r="Y1573" s="6">
        <v>0.44</v>
      </c>
      <c r="Z1573" s="4" t="s">
        <v>80</v>
      </c>
    </row>
    <row r="1574" spans="1:26" hidden="1" x14ac:dyDescent="0.35">
      <c r="A1574" t="str">
        <f>_xlfn.CONCAT(Tableau1[[#This Row],[Athletes]],"_",Tableau1[[#This Row],[Nationality]],"_",Tableau1[[#This Row],[Competition_year]])</f>
        <v>Pernille Karlsen ANTONSEN_NOR_2026</v>
      </c>
      <c r="B1574" t="s">
        <v>1890</v>
      </c>
      <c r="C1574" t="s">
        <v>29</v>
      </c>
      <c r="D1574" s="18" t="s">
        <v>123</v>
      </c>
      <c r="E1574">
        <v>14.1</v>
      </c>
      <c r="F1574">
        <v>13.7</v>
      </c>
      <c r="G1574">
        <v>14.7</v>
      </c>
      <c r="H1574">
        <v>14.7</v>
      </c>
      <c r="I1574">
        <v>15.2</v>
      </c>
      <c r="J1574">
        <v>15.2</v>
      </c>
      <c r="K1574">
        <v>15.2</v>
      </c>
      <c r="L1574">
        <f>Tableau1[[#This Row],[Final_time]]-SUM(Tableau1[[#This Row],[0_100m]:[600_700m]])</f>
        <v>16.019999999999982</v>
      </c>
      <c r="M1574">
        <v>118.82</v>
      </c>
      <c r="N1574">
        <f>SUM(Tableau1[[#This Row],[0_100m]:[700_800m]])</f>
        <v>118.82</v>
      </c>
      <c r="O1574" s="16">
        <f>ABS(Tableau1[[#This Row],[Final_time]]-Tableau1[[#This Row],[Sum_time]])</f>
        <v>0</v>
      </c>
      <c r="P1574" s="8"/>
      <c r="Q1574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74" t="s">
        <v>1891</v>
      </c>
      <c r="S1574" s="1" t="s">
        <v>68</v>
      </c>
      <c r="U1574" s="1" t="s">
        <v>69</v>
      </c>
      <c r="V1574" s="1">
        <v>46180</v>
      </c>
      <c r="W1574" s="4">
        <f>YEAR(Tableau1[[#This Row],[Competition_date]])</f>
        <v>2026</v>
      </c>
      <c r="X1574" s="4">
        <v>21</v>
      </c>
      <c r="Y1574" s="6">
        <v>0.44</v>
      </c>
      <c r="Z1574" s="4" t="s">
        <v>80</v>
      </c>
    </row>
    <row r="1575" spans="1:26" hidden="1" x14ac:dyDescent="0.35">
      <c r="A1575" t="str">
        <f>_xlfn.CONCAT(Tableau1[[#This Row],[Athletes]],"_",Tableau1[[#This Row],[Nationality]],"_",Tableau1[[#This Row],[Competition_year]])</f>
        <v>Gabriela GAJANOVÁ_SVK_2026</v>
      </c>
      <c r="B1575" t="s">
        <v>349</v>
      </c>
      <c r="C1575" t="s">
        <v>29</v>
      </c>
      <c r="D1575" s="18" t="s">
        <v>100</v>
      </c>
      <c r="E1575">
        <v>14.3</v>
      </c>
      <c r="F1575">
        <v>14</v>
      </c>
      <c r="G1575">
        <v>14.7</v>
      </c>
      <c r="H1575">
        <v>15.4</v>
      </c>
      <c r="I1575">
        <v>15.6</v>
      </c>
      <c r="J1575">
        <v>16.3</v>
      </c>
      <c r="K1575">
        <v>16.5</v>
      </c>
      <c r="L1575">
        <f>Tableau1[[#This Row],[Final_time]]-SUM(Tableau1[[#This Row],[0_100m]:[600_700m]])</f>
        <v>16.079999999999998</v>
      </c>
      <c r="M1575">
        <v>122.88</v>
      </c>
      <c r="N1575">
        <f>SUM(Tableau1[[#This Row],[0_100m]:[700_800m]])</f>
        <v>122.88</v>
      </c>
      <c r="O1575" s="16">
        <f>ABS(Tableau1[[#This Row],[Final_time]]-Tableau1[[#This Row],[Sum_time]])</f>
        <v>0</v>
      </c>
      <c r="P1575" s="8"/>
      <c r="Q1575" s="1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R1575" t="s">
        <v>1891</v>
      </c>
      <c r="S1575" s="1" t="s">
        <v>68</v>
      </c>
      <c r="U1575" s="1" t="s">
        <v>69</v>
      </c>
      <c r="V1575" s="1">
        <v>46180</v>
      </c>
      <c r="W1575" s="4">
        <f>YEAR(Tableau1[[#This Row],[Competition_date]])</f>
        <v>2026</v>
      </c>
      <c r="X1575" s="4">
        <v>21</v>
      </c>
      <c r="Y1575" s="6">
        <v>0.44</v>
      </c>
      <c r="Z1575" s="4" t="s">
        <v>80</v>
      </c>
    </row>
    <row r="1576" spans="1:26" hidden="1" x14ac:dyDescent="0.35">
      <c r="A1576" t="str">
        <f>_xlfn.CONCAT(Tableau1[[#This Row],[Athletes]],"_",Tableau1[[#This Row],[Nationality]],"_",Tableau1[[#This Row],[Competition_year]])</f>
        <v>Cooper LUTKENHAUS_USA_2026</v>
      </c>
      <c r="B1576" t="s">
        <v>1411</v>
      </c>
      <c r="C1576" t="s">
        <v>14</v>
      </c>
      <c r="D1576" s="18" t="s">
        <v>35</v>
      </c>
      <c r="E1576">
        <v>12.9</v>
      </c>
      <c r="F1576">
        <v>12.1</v>
      </c>
      <c r="G1576">
        <v>13.4</v>
      </c>
      <c r="H1576">
        <v>12.5</v>
      </c>
      <c r="I1576">
        <v>12.7</v>
      </c>
      <c r="J1576">
        <v>12.9</v>
      </c>
      <c r="K1576">
        <v>12.9</v>
      </c>
      <c r="L1576">
        <f>Tableau1[[#This Row],[Final_time]]-SUM(Tableau1[[#This Row],[0_100m]:[600_700m]])</f>
        <v>13.299999999999997</v>
      </c>
      <c r="M1576">
        <v>102.7</v>
      </c>
      <c r="N1576">
        <f>SUM(Tableau1[[#This Row],[0_100m]:[700_800m]])</f>
        <v>102.7</v>
      </c>
      <c r="O1576" s="16">
        <f>ABS(Tableau1[[#This Row],[Final_time]]-Tableau1[[#This Row],[Sum_time]])</f>
        <v>0</v>
      </c>
      <c r="P1576" s="8"/>
      <c r="Q1576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76" t="s">
        <v>1891</v>
      </c>
      <c r="S1576" s="1" t="s">
        <v>68</v>
      </c>
      <c r="U1576" s="1" t="s">
        <v>69</v>
      </c>
      <c r="V1576" s="1">
        <v>46180</v>
      </c>
      <c r="W1576" s="4">
        <f>YEAR(Tableau1[[#This Row],[Competition_date]])</f>
        <v>2026</v>
      </c>
      <c r="X1576" s="4">
        <v>20</v>
      </c>
      <c r="Y1576" s="6">
        <v>0.43</v>
      </c>
      <c r="Z1576" s="4" t="s">
        <v>80</v>
      </c>
    </row>
    <row r="1577" spans="1:26" hidden="1" x14ac:dyDescent="0.35">
      <c r="A1577" t="str">
        <f>_xlfn.CONCAT(Tableau1[[#This Row],[Athletes]],"_",Tableau1[[#This Row],[Nationality]],"_",Tableau1[[#This Row],[Competition_year]])</f>
        <v>Marco AROP_CAN_2026</v>
      </c>
      <c r="B1577" t="s">
        <v>177</v>
      </c>
      <c r="C1577" t="s">
        <v>14</v>
      </c>
      <c r="D1577" s="18" t="s">
        <v>19</v>
      </c>
      <c r="E1577">
        <v>12.9</v>
      </c>
      <c r="F1577">
        <v>11.8</v>
      </c>
      <c r="G1577">
        <v>13.1</v>
      </c>
      <c r="H1577">
        <v>12.6</v>
      </c>
      <c r="I1577">
        <v>12.8</v>
      </c>
      <c r="J1577">
        <v>13</v>
      </c>
      <c r="K1577">
        <v>13</v>
      </c>
      <c r="L1577">
        <f>Tableau1[[#This Row],[Final_time]]-SUM(Tableau1[[#This Row],[0_100m]:[600_700m]])</f>
        <v>13.909999999999997</v>
      </c>
      <c r="M1577">
        <v>103.11</v>
      </c>
      <c r="N1577">
        <f>SUM(Tableau1[[#This Row],[0_100m]:[700_800m]])</f>
        <v>103.11</v>
      </c>
      <c r="O1577" s="16">
        <f>ABS(Tableau1[[#This Row],[Final_time]]-Tableau1[[#This Row],[Sum_time]])</f>
        <v>0</v>
      </c>
      <c r="P1577" s="8"/>
      <c r="Q1577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77" t="s">
        <v>1891</v>
      </c>
      <c r="S1577" s="1" t="s">
        <v>68</v>
      </c>
      <c r="U1577" s="1" t="s">
        <v>69</v>
      </c>
      <c r="V1577" s="1">
        <v>46180</v>
      </c>
      <c r="W1577" s="4">
        <f>YEAR(Tableau1[[#This Row],[Competition_date]])</f>
        <v>2026</v>
      </c>
      <c r="X1577" s="4">
        <v>20</v>
      </c>
      <c r="Y1577" s="6">
        <v>0.43</v>
      </c>
      <c r="Z1577" s="4" t="s">
        <v>80</v>
      </c>
    </row>
    <row r="1578" spans="1:26" hidden="1" x14ac:dyDescent="0.35">
      <c r="A1578" t="str">
        <f>_xlfn.CONCAT(Tableau1[[#This Row],[Athletes]],"_",Tableau1[[#This Row],[Nationality]],"_",Tableau1[[#This Row],[Competition_year]])</f>
        <v>Slimane MOULA_ALG_2026</v>
      </c>
      <c r="B1578" t="s">
        <v>103</v>
      </c>
      <c r="C1578" t="s">
        <v>14</v>
      </c>
      <c r="D1578" s="18" t="s">
        <v>24</v>
      </c>
      <c r="E1578">
        <v>12.8</v>
      </c>
      <c r="F1578">
        <v>12.1</v>
      </c>
      <c r="G1578">
        <v>13.1</v>
      </c>
      <c r="H1578">
        <v>12.8</v>
      </c>
      <c r="I1578">
        <v>13</v>
      </c>
      <c r="J1578">
        <v>13.3</v>
      </c>
      <c r="K1578">
        <v>13.2</v>
      </c>
      <c r="L1578">
        <f>Tableau1[[#This Row],[Final_time]]-SUM(Tableau1[[#This Row],[0_100m]:[600_700m]])</f>
        <v>13.11</v>
      </c>
      <c r="M1578">
        <v>103.41</v>
      </c>
      <c r="N1578">
        <f>SUM(Tableau1[[#This Row],[0_100m]:[700_800m]])</f>
        <v>103.41</v>
      </c>
      <c r="O1578" s="16">
        <f>ABS(Tableau1[[#This Row],[Final_time]]-Tableau1[[#This Row],[Sum_time]])</f>
        <v>0</v>
      </c>
      <c r="P1578" s="8"/>
      <c r="Q1578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78" t="s">
        <v>1891</v>
      </c>
      <c r="S1578" s="1" t="s">
        <v>68</v>
      </c>
      <c r="U1578" s="1" t="s">
        <v>69</v>
      </c>
      <c r="V1578" s="1">
        <v>46180</v>
      </c>
      <c r="W1578" s="4">
        <f>YEAR(Tableau1[[#This Row],[Competition_date]])</f>
        <v>2026</v>
      </c>
      <c r="X1578" s="4">
        <v>20</v>
      </c>
      <c r="Y1578" s="6">
        <v>0.43</v>
      </c>
      <c r="Z1578" s="4" t="s">
        <v>80</v>
      </c>
    </row>
    <row r="1579" spans="1:26" hidden="1" x14ac:dyDescent="0.35">
      <c r="A1579" t="str">
        <f>_xlfn.CONCAT(Tableau1[[#This Row],[Athletes]],"_",Tableau1[[#This Row],[Nationality]],"_",Tableau1[[#This Row],[Competition_year]])</f>
        <v>Ben PATTISON_GBR_2026</v>
      </c>
      <c r="B1579" t="s">
        <v>108</v>
      </c>
      <c r="C1579" t="s">
        <v>14</v>
      </c>
      <c r="D1579" s="18" t="s">
        <v>30</v>
      </c>
      <c r="E1579">
        <v>12.9</v>
      </c>
      <c r="F1579">
        <v>12.2</v>
      </c>
      <c r="G1579">
        <v>13.5</v>
      </c>
      <c r="H1579">
        <v>13.1</v>
      </c>
      <c r="I1579">
        <v>13.1</v>
      </c>
      <c r="J1579">
        <v>13.1</v>
      </c>
      <c r="K1579">
        <v>13</v>
      </c>
      <c r="L1579">
        <f>Tableau1[[#This Row],[Final_time]]-SUM(Tableau1[[#This Row],[0_100m]:[600_700m]])</f>
        <v>12.800000000000011</v>
      </c>
      <c r="M1579">
        <v>103.7</v>
      </c>
      <c r="N1579">
        <f>SUM(Tableau1[[#This Row],[0_100m]:[700_800m]])</f>
        <v>103.7</v>
      </c>
      <c r="O1579" s="16">
        <f>ABS(Tableau1[[#This Row],[Final_time]]-Tableau1[[#This Row],[Sum_time]])</f>
        <v>0</v>
      </c>
      <c r="P1579" s="8"/>
      <c r="Q1579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79" t="s">
        <v>1891</v>
      </c>
      <c r="S1579" s="1" t="s">
        <v>68</v>
      </c>
      <c r="U1579" s="1" t="s">
        <v>69</v>
      </c>
      <c r="V1579" s="1">
        <v>46180</v>
      </c>
      <c r="W1579" s="4">
        <f>YEAR(Tableau1[[#This Row],[Competition_date]])</f>
        <v>2026</v>
      </c>
      <c r="X1579" s="4">
        <v>20</v>
      </c>
      <c r="Y1579" s="6">
        <v>0.43</v>
      </c>
      <c r="Z1579" s="4" t="s">
        <v>80</v>
      </c>
    </row>
    <row r="1580" spans="1:26" hidden="1" x14ac:dyDescent="0.35">
      <c r="A1580" t="str">
        <f>_xlfn.CONCAT(Tableau1[[#This Row],[Athletes]],"_",Tableau1[[#This Row],[Nationality]],"_",Tableau1[[#This Row],[Competition_year]])</f>
        <v>Peter BOL_AUS_2026</v>
      </c>
      <c r="B1580" t="s">
        <v>127</v>
      </c>
      <c r="C1580" t="s">
        <v>14</v>
      </c>
      <c r="D1580" s="18" t="s">
        <v>36</v>
      </c>
      <c r="E1580">
        <v>13</v>
      </c>
      <c r="F1580">
        <v>12.5</v>
      </c>
      <c r="G1580">
        <v>13.5</v>
      </c>
      <c r="H1580">
        <v>12.7</v>
      </c>
      <c r="I1580">
        <v>12.8</v>
      </c>
      <c r="J1580">
        <v>12.8</v>
      </c>
      <c r="K1580">
        <v>13.1</v>
      </c>
      <c r="L1580">
        <f>Tableau1[[#This Row],[Final_time]]-SUM(Tableau1[[#This Row],[0_100m]:[600_700m]])</f>
        <v>13.300000000000011</v>
      </c>
      <c r="M1580">
        <v>103.7</v>
      </c>
      <c r="N1580">
        <f>SUM(Tableau1[[#This Row],[0_100m]:[700_800m]])</f>
        <v>103.7</v>
      </c>
      <c r="O1580" s="16">
        <f>ABS(Tableau1[[#This Row],[Final_time]]-Tableau1[[#This Row],[Sum_time]])</f>
        <v>0</v>
      </c>
      <c r="P1580" s="8"/>
      <c r="Q1580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80" t="s">
        <v>1891</v>
      </c>
      <c r="S1580" s="1" t="s">
        <v>68</v>
      </c>
      <c r="U1580" s="1" t="s">
        <v>69</v>
      </c>
      <c r="V1580" s="1">
        <v>46180</v>
      </c>
      <c r="W1580" s="4">
        <f>YEAR(Tableau1[[#This Row],[Competition_date]])</f>
        <v>2026</v>
      </c>
      <c r="X1580" s="4">
        <v>20</v>
      </c>
      <c r="Y1580" s="6">
        <v>0.43</v>
      </c>
      <c r="Z1580" s="4" t="s">
        <v>80</v>
      </c>
    </row>
    <row r="1581" spans="1:26" hidden="1" x14ac:dyDescent="0.35">
      <c r="A1581" t="str">
        <f>_xlfn.CONCAT(Tableau1[[#This Row],[Athletes]],"_",Tableau1[[#This Row],[Nationality]],"_",Tableau1[[#This Row],[Competition_year]])</f>
        <v>Gabriel TUAL_FRA_2026</v>
      </c>
      <c r="B1581" t="s">
        <v>180</v>
      </c>
      <c r="C1581" t="s">
        <v>14</v>
      </c>
      <c r="D1581" s="18" t="s">
        <v>17</v>
      </c>
      <c r="E1581">
        <v>12.9</v>
      </c>
      <c r="F1581">
        <v>12.1</v>
      </c>
      <c r="G1581">
        <v>13.2</v>
      </c>
      <c r="H1581">
        <v>12.7</v>
      </c>
      <c r="I1581">
        <v>13</v>
      </c>
      <c r="J1581">
        <v>12.9</v>
      </c>
      <c r="K1581">
        <v>13.2</v>
      </c>
      <c r="L1581">
        <f>Tableau1[[#This Row],[Final_time]]-SUM(Tableau1[[#This Row],[0_100m]:[600_700m]])</f>
        <v>13.719999999999985</v>
      </c>
      <c r="M1581">
        <v>103.72</v>
      </c>
      <c r="N1581">
        <f>SUM(Tableau1[[#This Row],[0_100m]:[700_800m]])</f>
        <v>103.72</v>
      </c>
      <c r="O1581" s="16">
        <f>ABS(Tableau1[[#This Row],[Final_time]]-Tableau1[[#This Row],[Sum_time]])</f>
        <v>0</v>
      </c>
      <c r="P1581" s="8"/>
      <c r="Q1581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81" t="s">
        <v>1891</v>
      </c>
      <c r="S1581" s="1" t="s">
        <v>68</v>
      </c>
      <c r="U1581" s="1" t="s">
        <v>69</v>
      </c>
      <c r="V1581" s="1">
        <v>46180</v>
      </c>
      <c r="W1581" s="4">
        <f>YEAR(Tableau1[[#This Row],[Competition_date]])</f>
        <v>2026</v>
      </c>
      <c r="X1581" s="4">
        <v>20</v>
      </c>
      <c r="Y1581" s="6">
        <v>0.43</v>
      </c>
      <c r="Z1581" s="4" t="s">
        <v>80</v>
      </c>
    </row>
    <row r="1582" spans="1:26" hidden="1" x14ac:dyDescent="0.35">
      <c r="A1582" t="str">
        <f>_xlfn.CONCAT(Tableau1[[#This Row],[Athletes]],"_",Tableau1[[#This Row],[Nationality]],"_",Tableau1[[#This Row],[Competition_year]])</f>
        <v>Jake WIGHTMAN_GBR_2026</v>
      </c>
      <c r="B1582" t="s">
        <v>339</v>
      </c>
      <c r="C1582" t="s">
        <v>14</v>
      </c>
      <c r="D1582" s="18" t="s">
        <v>30</v>
      </c>
      <c r="E1582">
        <v>13</v>
      </c>
      <c r="F1582">
        <v>12.2</v>
      </c>
      <c r="G1582">
        <v>13.5</v>
      </c>
      <c r="H1582">
        <v>12.8</v>
      </c>
      <c r="I1582">
        <v>12.8</v>
      </c>
      <c r="J1582">
        <v>13.3</v>
      </c>
      <c r="K1582">
        <v>13.2</v>
      </c>
      <c r="L1582">
        <f>Tableau1[[#This Row],[Final_time]]-SUM(Tableau1[[#This Row],[0_100m]:[600_700m]])</f>
        <v>13.590000000000003</v>
      </c>
      <c r="M1582">
        <v>104.39</v>
      </c>
      <c r="N1582">
        <f>SUM(Tableau1[[#This Row],[0_100m]:[700_800m]])</f>
        <v>104.39</v>
      </c>
      <c r="O1582" s="16">
        <f>ABS(Tableau1[[#This Row],[Final_time]]-Tableau1[[#This Row],[Sum_time]])</f>
        <v>0</v>
      </c>
      <c r="P1582" s="8"/>
      <c r="Q1582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82" t="s">
        <v>1891</v>
      </c>
      <c r="S1582" s="1" t="s">
        <v>68</v>
      </c>
      <c r="U1582" s="1" t="s">
        <v>69</v>
      </c>
      <c r="V1582" s="1">
        <v>46180</v>
      </c>
      <c r="W1582" s="4">
        <f>YEAR(Tableau1[[#This Row],[Competition_date]])</f>
        <v>2026</v>
      </c>
      <c r="X1582" s="4">
        <v>20</v>
      </c>
      <c r="Y1582" s="6">
        <v>0.43</v>
      </c>
      <c r="Z1582" s="4" t="s">
        <v>80</v>
      </c>
    </row>
    <row r="1583" spans="1:26" hidden="1" x14ac:dyDescent="0.35">
      <c r="A1583" t="str">
        <f>_xlfn.CONCAT(Tableau1[[#This Row],[Athletes]],"_",Tableau1[[#This Row],[Nationality]],"_",Tableau1[[#This Row],[Competition_year]])</f>
        <v>Bryce HOPPEL_USA_2026</v>
      </c>
      <c r="B1583" t="s">
        <v>173</v>
      </c>
      <c r="C1583" t="s">
        <v>14</v>
      </c>
      <c r="D1583" s="18" t="s">
        <v>35</v>
      </c>
      <c r="E1583">
        <v>12.9</v>
      </c>
      <c r="F1583">
        <v>12.1</v>
      </c>
      <c r="G1583">
        <v>13.3</v>
      </c>
      <c r="H1583">
        <v>13</v>
      </c>
      <c r="I1583">
        <v>13</v>
      </c>
      <c r="J1583">
        <v>13.5</v>
      </c>
      <c r="K1583">
        <v>13.4</v>
      </c>
      <c r="L1583">
        <f>Tableau1[[#This Row],[Final_time]]-SUM(Tableau1[[#This Row],[0_100m]:[600_700m]])</f>
        <v>13.459999999999994</v>
      </c>
      <c r="M1583">
        <v>104.66</v>
      </c>
      <c r="N1583">
        <f>SUM(Tableau1[[#This Row],[0_100m]:[700_800m]])</f>
        <v>104.66</v>
      </c>
      <c r="O1583" s="16">
        <f>ABS(Tableau1[[#This Row],[Final_time]]-Tableau1[[#This Row],[Sum_time]])</f>
        <v>0</v>
      </c>
      <c r="P1583" s="8"/>
      <c r="Q1583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83" t="s">
        <v>1891</v>
      </c>
      <c r="S1583" s="1" t="s">
        <v>68</v>
      </c>
      <c r="U1583" s="1" t="s">
        <v>69</v>
      </c>
      <c r="V1583" s="1">
        <v>46180</v>
      </c>
      <c r="W1583" s="4">
        <f>YEAR(Tableau1[[#This Row],[Competition_date]])</f>
        <v>2026</v>
      </c>
      <c r="X1583" s="4">
        <v>20</v>
      </c>
      <c r="Y1583" s="6">
        <v>0.43</v>
      </c>
      <c r="Z1583" s="4" t="s">
        <v>80</v>
      </c>
    </row>
    <row r="1584" spans="1:26" hidden="1" x14ac:dyDescent="0.35">
      <c r="A1584" t="str">
        <f>_xlfn.CONCAT(Tableau1[[#This Row],[Athletes]],"_",Tableau1[[#This Row],[Nationality]],"_",Tableau1[[#This Row],[Competition_year]])</f>
        <v>Kethobogile HAINGURA_BOT_2026</v>
      </c>
      <c r="B1584" t="s">
        <v>1401</v>
      </c>
      <c r="C1584" t="s">
        <v>14</v>
      </c>
      <c r="D1584" s="18" t="s">
        <v>44</v>
      </c>
      <c r="E1584">
        <v>13.1</v>
      </c>
      <c r="F1584">
        <v>12.3</v>
      </c>
      <c r="G1584">
        <v>13.4</v>
      </c>
      <c r="H1584">
        <v>13.2</v>
      </c>
      <c r="I1584">
        <v>13.3</v>
      </c>
      <c r="J1584">
        <v>13.6</v>
      </c>
      <c r="K1584">
        <v>13.4</v>
      </c>
      <c r="L1584">
        <f>Tableau1[[#This Row],[Final_time]]-SUM(Tableau1[[#This Row],[0_100m]:[600_700m]])</f>
        <v>13.280000000000001</v>
      </c>
      <c r="M1584">
        <v>105.58</v>
      </c>
      <c r="N1584">
        <f>SUM(Tableau1[[#This Row],[0_100m]:[700_800m]])</f>
        <v>105.58</v>
      </c>
      <c r="O1584" s="16">
        <f>ABS(Tableau1[[#This Row],[Final_time]]-Tableau1[[#This Row],[Sum_time]])</f>
        <v>0</v>
      </c>
      <c r="P1584" s="8"/>
      <c r="Q1584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84" t="s">
        <v>1891</v>
      </c>
      <c r="S1584" s="1" t="s">
        <v>68</v>
      </c>
      <c r="U1584" s="1" t="s">
        <v>69</v>
      </c>
      <c r="V1584" s="1">
        <v>46180</v>
      </c>
      <c r="W1584" s="4">
        <f>YEAR(Tableau1[[#This Row],[Competition_date]])</f>
        <v>2026</v>
      </c>
      <c r="X1584" s="4">
        <v>20</v>
      </c>
      <c r="Y1584" s="6">
        <v>0.43</v>
      </c>
      <c r="Z1584" s="4" t="s">
        <v>80</v>
      </c>
    </row>
    <row r="1585" spans="1:26" hidden="1" x14ac:dyDescent="0.35">
      <c r="A1585" t="str">
        <f>_xlfn.CONCAT(Tableau1[[#This Row],[Athletes]],"_",Tableau1[[#This Row],[Nationality]],"_",Tableau1[[#This Row],[Competition_year]])</f>
        <v>Mohamed ATTAOUI_ESP_2026</v>
      </c>
      <c r="B1585" t="s">
        <v>110</v>
      </c>
      <c r="C1585" t="s">
        <v>14</v>
      </c>
      <c r="D1585" s="18" t="s">
        <v>37</v>
      </c>
      <c r="E1585">
        <v>13.6</v>
      </c>
      <c r="F1585">
        <v>12.3</v>
      </c>
      <c r="G1585">
        <v>13.3</v>
      </c>
      <c r="H1585">
        <v>12.7</v>
      </c>
      <c r="I1585">
        <v>13</v>
      </c>
      <c r="J1585">
        <v>13.4</v>
      </c>
      <c r="K1585">
        <v>13.9</v>
      </c>
      <c r="L1585">
        <f>Tableau1[[#This Row],[Final_time]]-SUM(Tableau1[[#This Row],[0_100m]:[600_700m]])</f>
        <v>14.719999999999985</v>
      </c>
      <c r="M1585">
        <v>106.92</v>
      </c>
      <c r="N1585">
        <f>SUM(Tableau1[[#This Row],[0_100m]:[700_800m]])</f>
        <v>106.92</v>
      </c>
      <c r="O1585" s="16">
        <f>ABS(Tableau1[[#This Row],[Final_time]]-Tableau1[[#This Row],[Sum_time]])</f>
        <v>0</v>
      </c>
      <c r="P1585" s="8"/>
      <c r="Q1585" s="16" t="str">
        <f>_xlfn.CONCAT(Tableau1[[#This Row],[Competition]],"_",Tableau1[[#This Row],[Championship_step]],"_",Tableau1[[#This Row],[Competition_date]],"_",Tableau1[[#This Row],[Gender]])</f>
        <v>Diamond League Stockholm 2026__46180_Male</v>
      </c>
      <c r="R1585" t="s">
        <v>1891</v>
      </c>
      <c r="S1585" s="1" t="s">
        <v>68</v>
      </c>
      <c r="U1585" s="1" t="s">
        <v>69</v>
      </c>
      <c r="V1585" s="1">
        <v>46180</v>
      </c>
      <c r="W1585" s="4">
        <f>YEAR(Tableau1[[#This Row],[Competition_date]])</f>
        <v>2026</v>
      </c>
      <c r="X1585" s="4">
        <v>20</v>
      </c>
      <c r="Y1585" s="6">
        <v>0.43</v>
      </c>
      <c r="Z1585" s="4" t="s">
        <v>80</v>
      </c>
    </row>
    <row r="1586" spans="1:26" hidden="1" x14ac:dyDescent="0.35">
      <c r="A1586" t="str">
        <f>_xlfn.CONCAT(Tableau1[[#This Row],[Athletes]],"_",Tableau1[[#This Row],[Nationality]],"_",Tableau1[[#This Row],[Competition_year]])</f>
        <v>Gabriel TUAL_FRA_2026</v>
      </c>
      <c r="B1586" t="s">
        <v>180</v>
      </c>
      <c r="C1586" t="s">
        <v>14</v>
      </c>
      <c r="D1586" s="18" t="s">
        <v>17</v>
      </c>
      <c r="E1586">
        <v>12.6</v>
      </c>
      <c r="F1586">
        <v>12.2</v>
      </c>
      <c r="G1586">
        <v>12.8</v>
      </c>
      <c r="H1586">
        <v>13.3</v>
      </c>
      <c r="I1586">
        <v>13</v>
      </c>
      <c r="J1586">
        <v>13</v>
      </c>
      <c r="K1586">
        <v>12.9</v>
      </c>
      <c r="L1586">
        <f>Tableau1[[#This Row],[Final_time]]-SUM(Tableau1[[#This Row],[0_100m]:[600_700m]])</f>
        <v>13.86</v>
      </c>
      <c r="M1586">
        <v>103.66</v>
      </c>
      <c r="N1586">
        <f>SUM(Tableau1[[#This Row],[0_100m]:[700_800m]])</f>
        <v>103.66</v>
      </c>
      <c r="O1586" s="16">
        <f>ABS(Tableau1[[#This Row],[Final_time]]-Tableau1[[#This Row],[Sum_time]])</f>
        <v>0</v>
      </c>
      <c r="P1586" s="8"/>
      <c r="Q1586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86" t="s">
        <v>1893</v>
      </c>
      <c r="S1586" s="1" t="s">
        <v>68</v>
      </c>
      <c r="U1586" s="1" t="s">
        <v>69</v>
      </c>
      <c r="V1586" s="1">
        <v>46177</v>
      </c>
      <c r="W1586" s="4">
        <f>YEAR(Tableau1[[#This Row],[Competition_date]])</f>
        <v>2026</v>
      </c>
      <c r="X1586" s="4">
        <v>23</v>
      </c>
      <c r="Y1586" s="6">
        <v>0.69</v>
      </c>
      <c r="Z1586" s="4" t="s">
        <v>80</v>
      </c>
    </row>
    <row r="1587" spans="1:26" hidden="1" x14ac:dyDescent="0.35">
      <c r="A1587" t="str">
        <f>_xlfn.CONCAT(Tableau1[[#This Row],[Athletes]],"_",Tableau1[[#This Row],[Nationality]],"_",Tableau1[[#This Row],[Competition_year]])</f>
        <v>Mark ENGLISH_IRL_2026</v>
      </c>
      <c r="B1587" t="s">
        <v>187</v>
      </c>
      <c r="C1587" t="s">
        <v>14</v>
      </c>
      <c r="D1587" s="18" t="s">
        <v>66</v>
      </c>
      <c r="E1587">
        <v>13.1</v>
      </c>
      <c r="F1587">
        <v>12.2</v>
      </c>
      <c r="G1587">
        <v>12.9</v>
      </c>
      <c r="H1587">
        <v>13.2</v>
      </c>
      <c r="I1587">
        <v>13.2</v>
      </c>
      <c r="J1587">
        <v>13.1</v>
      </c>
      <c r="K1587">
        <v>13.1</v>
      </c>
      <c r="L1587">
        <f>Tableau1[[#This Row],[Final_time]]-SUM(Tableau1[[#This Row],[0_100m]:[600_700m]])</f>
        <v>13.000000000000014</v>
      </c>
      <c r="M1587">
        <v>103.8</v>
      </c>
      <c r="N1587">
        <f>SUM(Tableau1[[#This Row],[0_100m]:[700_800m]])</f>
        <v>103.8</v>
      </c>
      <c r="O1587" s="16">
        <f>ABS(Tableau1[[#This Row],[Final_time]]-Tableau1[[#This Row],[Sum_time]])</f>
        <v>0</v>
      </c>
      <c r="P1587" s="8"/>
      <c r="Q1587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87" t="s">
        <v>1893</v>
      </c>
      <c r="S1587" s="1" t="s">
        <v>68</v>
      </c>
      <c r="U1587" s="1" t="s">
        <v>69</v>
      </c>
      <c r="V1587" s="1">
        <v>46177</v>
      </c>
      <c r="W1587" s="4">
        <f>YEAR(Tableau1[[#This Row],[Competition_date]])</f>
        <v>2026</v>
      </c>
      <c r="X1587" s="4">
        <v>23</v>
      </c>
      <c r="Y1587" s="6">
        <v>0.69</v>
      </c>
      <c r="Z1587" s="4" t="s">
        <v>80</v>
      </c>
    </row>
    <row r="1588" spans="1:26" hidden="1" x14ac:dyDescent="0.35">
      <c r="A1588" t="str">
        <f>_xlfn.CONCAT(Tableau1[[#This Row],[Athletes]],"_",Tableau1[[#This Row],[Nationality]],"_",Tableau1[[#This Row],[Competition_year]])</f>
        <v>Francesco PERNICI_ITA_2026</v>
      </c>
      <c r="B1588" t="s">
        <v>126</v>
      </c>
      <c r="C1588" t="s">
        <v>14</v>
      </c>
      <c r="D1588" s="18" t="s">
        <v>20</v>
      </c>
      <c r="E1588">
        <v>12.9</v>
      </c>
      <c r="F1588">
        <v>11.8</v>
      </c>
      <c r="G1588">
        <v>13</v>
      </c>
      <c r="H1588">
        <v>13.2</v>
      </c>
      <c r="I1588">
        <v>13.2</v>
      </c>
      <c r="J1588">
        <v>13.2</v>
      </c>
      <c r="K1588">
        <v>13.4</v>
      </c>
      <c r="L1588">
        <f>Tableau1[[#This Row],[Final_time]]-SUM(Tableau1[[#This Row],[0_100m]:[600_700m]])</f>
        <v>13.269999999999982</v>
      </c>
      <c r="M1588">
        <v>103.97</v>
      </c>
      <c r="N1588">
        <f>SUM(Tableau1[[#This Row],[0_100m]:[700_800m]])</f>
        <v>103.97</v>
      </c>
      <c r="O1588" s="16">
        <f>ABS(Tableau1[[#This Row],[Final_time]]-Tableau1[[#This Row],[Sum_time]])</f>
        <v>0</v>
      </c>
      <c r="P1588" s="8"/>
      <c r="Q1588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88" t="s">
        <v>1893</v>
      </c>
      <c r="S1588" s="1" t="s">
        <v>68</v>
      </c>
      <c r="U1588" s="1" t="s">
        <v>69</v>
      </c>
      <c r="V1588" s="1">
        <v>46177</v>
      </c>
      <c r="W1588" s="4">
        <f>YEAR(Tableau1[[#This Row],[Competition_date]])</f>
        <v>2026</v>
      </c>
      <c r="X1588" s="4">
        <v>23</v>
      </c>
      <c r="Y1588" s="6">
        <v>0.69</v>
      </c>
      <c r="Z1588" s="4" t="s">
        <v>80</v>
      </c>
    </row>
    <row r="1589" spans="1:26" hidden="1" x14ac:dyDescent="0.35">
      <c r="A1589" t="str">
        <f>_xlfn.CONCAT(Tableau1[[#This Row],[Athletes]],"_",Tableau1[[#This Row],[Nationality]],"_",Tableau1[[#This Row],[Competition_year]])</f>
        <v>Peyton CRAIG_AUS_2026</v>
      </c>
      <c r="B1589" t="s">
        <v>1420</v>
      </c>
      <c r="C1589" t="s">
        <v>14</v>
      </c>
      <c r="D1589" s="18" t="s">
        <v>36</v>
      </c>
      <c r="E1589">
        <v>12.8</v>
      </c>
      <c r="F1589">
        <v>12.2</v>
      </c>
      <c r="G1589">
        <v>12.8</v>
      </c>
      <c r="H1589">
        <v>13.2</v>
      </c>
      <c r="I1589">
        <v>13.2</v>
      </c>
      <c r="J1589">
        <v>13.2</v>
      </c>
      <c r="K1589">
        <v>13.5</v>
      </c>
      <c r="L1589">
        <f>Tableau1[[#This Row],[Final_time]]-SUM(Tableau1[[#This Row],[0_100m]:[600_700m]])</f>
        <v>13.11</v>
      </c>
      <c r="M1589">
        <v>104.01</v>
      </c>
      <c r="N1589">
        <f>SUM(Tableau1[[#This Row],[0_100m]:[700_800m]])</f>
        <v>104.01</v>
      </c>
      <c r="O1589" s="16">
        <f>ABS(Tableau1[[#This Row],[Final_time]]-Tableau1[[#This Row],[Sum_time]])</f>
        <v>0</v>
      </c>
      <c r="P1589" s="8"/>
      <c r="Q1589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89" t="s">
        <v>1893</v>
      </c>
      <c r="S1589" s="1" t="s">
        <v>68</v>
      </c>
      <c r="U1589" s="1" t="s">
        <v>69</v>
      </c>
      <c r="V1589" s="1">
        <v>46177</v>
      </c>
      <c r="W1589" s="4">
        <f>YEAR(Tableau1[[#This Row],[Competition_date]])</f>
        <v>2026</v>
      </c>
      <c r="X1589" s="4">
        <v>23</v>
      </c>
      <c r="Y1589" s="6">
        <v>0.69</v>
      </c>
      <c r="Z1589" s="4" t="s">
        <v>80</v>
      </c>
    </row>
    <row r="1590" spans="1:26" hidden="1" x14ac:dyDescent="0.35">
      <c r="A1590" t="str">
        <f>_xlfn.CONCAT(Tableau1[[#This Row],[Athletes]],"_",Tableau1[[#This Row],[Nationality]],"_",Tableau1[[#This Row],[Competition_year]])</f>
        <v>Isaac NADER_POR_2026</v>
      </c>
      <c r="B1590" t="s">
        <v>860</v>
      </c>
      <c r="C1590" t="s">
        <v>14</v>
      </c>
      <c r="D1590" s="18" t="s">
        <v>861</v>
      </c>
      <c r="E1590">
        <v>12.8</v>
      </c>
      <c r="F1590">
        <v>12.4</v>
      </c>
      <c r="G1590">
        <v>12.8</v>
      </c>
      <c r="H1590">
        <v>13.2</v>
      </c>
      <c r="I1590">
        <v>13.2</v>
      </c>
      <c r="J1590">
        <v>13.3</v>
      </c>
      <c r="K1590">
        <v>13.3</v>
      </c>
      <c r="L1590">
        <f>Tableau1[[#This Row],[Final_time]]-SUM(Tableau1[[#This Row],[0_100m]:[600_700m]])</f>
        <v>13.280000000000001</v>
      </c>
      <c r="M1590">
        <v>104.28</v>
      </c>
      <c r="N1590">
        <f>SUM(Tableau1[[#This Row],[0_100m]:[700_800m]])</f>
        <v>104.28</v>
      </c>
      <c r="O1590" s="16">
        <f>ABS(Tableau1[[#This Row],[Final_time]]-Tableau1[[#This Row],[Sum_time]])</f>
        <v>0</v>
      </c>
      <c r="P1590" s="8"/>
      <c r="Q1590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90" t="s">
        <v>1893</v>
      </c>
      <c r="S1590" s="1" t="s">
        <v>68</v>
      </c>
      <c r="U1590" s="1" t="s">
        <v>69</v>
      </c>
      <c r="V1590" s="1">
        <v>46177</v>
      </c>
      <c r="W1590" s="4">
        <f>YEAR(Tableau1[[#This Row],[Competition_date]])</f>
        <v>2026</v>
      </c>
      <c r="X1590" s="4">
        <v>23</v>
      </c>
      <c r="Y1590" s="6">
        <v>0.69</v>
      </c>
      <c r="Z1590" s="4" t="s">
        <v>80</v>
      </c>
    </row>
    <row r="1591" spans="1:26" hidden="1" x14ac:dyDescent="0.35">
      <c r="A1591" t="str">
        <f>_xlfn.CONCAT(Tableau1[[#This Row],[Athletes]],"_",Tableau1[[#This Row],[Nationality]],"_",Tableau1[[#This Row],[Competition_year]])</f>
        <v>Yanis MEZIANE_FRA_2026</v>
      </c>
      <c r="B1591" t="s">
        <v>171</v>
      </c>
      <c r="C1591" t="s">
        <v>14</v>
      </c>
      <c r="D1591" s="18" t="s">
        <v>17</v>
      </c>
      <c r="E1591">
        <v>12.5</v>
      </c>
      <c r="F1591">
        <v>12</v>
      </c>
      <c r="G1591">
        <v>12.6</v>
      </c>
      <c r="H1591">
        <v>13.2</v>
      </c>
      <c r="I1591">
        <v>13.1</v>
      </c>
      <c r="J1591">
        <v>13.5</v>
      </c>
      <c r="K1591">
        <v>13.4</v>
      </c>
      <c r="L1591">
        <f>Tableau1[[#This Row],[Final_time]]-SUM(Tableau1[[#This Row],[0_100m]:[600_700m]])</f>
        <v>13.989999999999995</v>
      </c>
      <c r="M1591">
        <v>104.29</v>
      </c>
      <c r="N1591">
        <f>SUM(Tableau1[[#This Row],[0_100m]:[700_800m]])</f>
        <v>104.29</v>
      </c>
      <c r="O1591" s="16">
        <f>ABS(Tableau1[[#This Row],[Final_time]]-Tableau1[[#This Row],[Sum_time]])</f>
        <v>0</v>
      </c>
      <c r="P1591" s="8"/>
      <c r="Q1591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91" t="s">
        <v>1893</v>
      </c>
      <c r="S1591" s="1" t="s">
        <v>68</v>
      </c>
      <c r="U1591" s="1" t="s">
        <v>69</v>
      </c>
      <c r="V1591" s="1">
        <v>46177</v>
      </c>
      <c r="W1591" s="4">
        <f>YEAR(Tableau1[[#This Row],[Competition_date]])</f>
        <v>2026</v>
      </c>
      <c r="X1591" s="4">
        <v>23</v>
      </c>
      <c r="Y1591" s="6">
        <v>0.69</v>
      </c>
      <c r="Z1591" s="4" t="s">
        <v>80</v>
      </c>
    </row>
    <row r="1592" spans="1:26" hidden="1" x14ac:dyDescent="0.35">
      <c r="A1592" t="str">
        <f>_xlfn.CONCAT(Tableau1[[#This Row],[Athletes]],"_",Tableau1[[#This Row],[Nationality]],"_",Tableau1[[#This Row],[Competition_year]])</f>
        <v>Bryce HOPPEL_USA_2026</v>
      </c>
      <c r="B1592" t="s">
        <v>173</v>
      </c>
      <c r="C1592" t="s">
        <v>14</v>
      </c>
      <c r="D1592" s="18" t="s">
        <v>35</v>
      </c>
      <c r="E1592">
        <v>12.6</v>
      </c>
      <c r="F1592">
        <v>12</v>
      </c>
      <c r="G1592">
        <v>12.9</v>
      </c>
      <c r="H1592">
        <v>13.2</v>
      </c>
      <c r="I1592">
        <v>13.2</v>
      </c>
      <c r="J1592">
        <v>13.5</v>
      </c>
      <c r="K1592">
        <v>13.3</v>
      </c>
      <c r="L1592">
        <f>Tableau1[[#This Row],[Final_time]]-SUM(Tableau1[[#This Row],[0_100m]:[600_700m]])</f>
        <v>13.75</v>
      </c>
      <c r="M1592">
        <v>104.45</v>
      </c>
      <c r="N1592">
        <f>SUM(Tableau1[[#This Row],[0_100m]:[700_800m]])</f>
        <v>104.45</v>
      </c>
      <c r="O1592" s="16">
        <f>ABS(Tableau1[[#This Row],[Final_time]]-Tableau1[[#This Row],[Sum_time]])</f>
        <v>0</v>
      </c>
      <c r="P1592" s="8"/>
      <c r="Q1592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92" t="s">
        <v>1893</v>
      </c>
      <c r="S1592" s="1" t="s">
        <v>68</v>
      </c>
      <c r="U1592" s="1" t="s">
        <v>69</v>
      </c>
      <c r="V1592" s="1">
        <v>46177</v>
      </c>
      <c r="W1592" s="4">
        <f>YEAR(Tableau1[[#This Row],[Competition_date]])</f>
        <v>2026</v>
      </c>
      <c r="X1592" s="4">
        <v>23</v>
      </c>
      <c r="Y1592" s="6">
        <v>0.69</v>
      </c>
      <c r="Z1592" s="4" t="s">
        <v>80</v>
      </c>
    </row>
    <row r="1593" spans="1:26" hidden="1" x14ac:dyDescent="0.35">
      <c r="A1593" t="str">
        <f>_xlfn.CONCAT(Tableau1[[#This Row],[Athletes]],"_",Tableau1[[#This Row],[Nationality]],"_",Tableau1[[#This Row],[Competition_year]])</f>
        <v>Donavan BRAZIER_USA_2026</v>
      </c>
      <c r="B1593" t="s">
        <v>242</v>
      </c>
      <c r="C1593" t="s">
        <v>14</v>
      </c>
      <c r="D1593" s="18" t="s">
        <v>35</v>
      </c>
      <c r="E1593">
        <v>12.5</v>
      </c>
      <c r="F1593">
        <v>12.1</v>
      </c>
      <c r="G1593">
        <v>12.7</v>
      </c>
      <c r="H1593">
        <v>13.2</v>
      </c>
      <c r="I1593">
        <v>13.1</v>
      </c>
      <c r="J1593">
        <v>13.5</v>
      </c>
      <c r="K1593">
        <v>13.3</v>
      </c>
      <c r="L1593">
        <f>Tableau1[[#This Row],[Final_time]]-SUM(Tableau1[[#This Row],[0_100m]:[600_700m]])</f>
        <v>14.060000000000002</v>
      </c>
      <c r="M1593">
        <v>104.46</v>
      </c>
      <c r="N1593">
        <f>SUM(Tableau1[[#This Row],[0_100m]:[700_800m]])</f>
        <v>104.46</v>
      </c>
      <c r="O1593" s="16">
        <f>ABS(Tableau1[[#This Row],[Final_time]]-Tableau1[[#This Row],[Sum_time]])</f>
        <v>0</v>
      </c>
      <c r="P1593" s="8"/>
      <c r="Q1593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93" t="s">
        <v>1893</v>
      </c>
      <c r="S1593" s="1" t="s">
        <v>68</v>
      </c>
      <c r="U1593" s="1" t="s">
        <v>69</v>
      </c>
      <c r="V1593" s="1">
        <v>46177</v>
      </c>
      <c r="W1593" s="4">
        <f>YEAR(Tableau1[[#This Row],[Competition_date]])</f>
        <v>2026</v>
      </c>
      <c r="X1593" s="4">
        <v>23</v>
      </c>
      <c r="Y1593" s="6">
        <v>0.69</v>
      </c>
      <c r="Z1593" s="4" t="s">
        <v>80</v>
      </c>
    </row>
    <row r="1594" spans="1:26" hidden="1" x14ac:dyDescent="0.35">
      <c r="A1594" t="str">
        <f>_xlfn.CONCAT(Tableau1[[#This Row],[Athletes]],"_",Tableau1[[#This Row],[Nationality]],"_",Tableau1[[#This Row],[Competition_year]])</f>
        <v>Nathan GREEN_USA_2026</v>
      </c>
      <c r="B1594" t="s">
        <v>1892</v>
      </c>
      <c r="C1594" t="s">
        <v>14</v>
      </c>
      <c r="D1594" s="18" t="s">
        <v>35</v>
      </c>
      <c r="E1594">
        <v>13</v>
      </c>
      <c r="F1594">
        <v>12.6</v>
      </c>
      <c r="G1594">
        <v>12.9</v>
      </c>
      <c r="H1594">
        <v>13.2</v>
      </c>
      <c r="I1594">
        <v>13.2</v>
      </c>
      <c r="J1594">
        <v>13.2</v>
      </c>
      <c r="K1594">
        <v>13.3</v>
      </c>
      <c r="L1594">
        <f>Tableau1[[#This Row],[Final_time]]-SUM(Tableau1[[#This Row],[0_100m]:[600_700m]])</f>
        <v>14.179999999999993</v>
      </c>
      <c r="M1594">
        <v>105.58</v>
      </c>
      <c r="N1594">
        <f>SUM(Tableau1[[#This Row],[0_100m]:[700_800m]])</f>
        <v>105.58</v>
      </c>
      <c r="O1594" s="16">
        <f>ABS(Tableau1[[#This Row],[Final_time]]-Tableau1[[#This Row],[Sum_time]])</f>
        <v>0</v>
      </c>
      <c r="P1594" s="8"/>
      <c r="Q1594" s="16" t="str">
        <f>_xlfn.CONCAT(Tableau1[[#This Row],[Competition]],"_",Tableau1[[#This Row],[Championship_step]],"_",Tableau1[[#This Row],[Competition_date]],"_",Tableau1[[#This Row],[Gender]])</f>
        <v>Diamond League Rome 2026__46177_Male</v>
      </c>
      <c r="R1594" t="s">
        <v>1893</v>
      </c>
      <c r="S1594" s="1" t="s">
        <v>68</v>
      </c>
      <c r="U1594" s="1" t="s">
        <v>69</v>
      </c>
      <c r="V1594" s="1">
        <v>46177</v>
      </c>
      <c r="W1594" s="4">
        <f>YEAR(Tableau1[[#This Row],[Competition_date]])</f>
        <v>2026</v>
      </c>
      <c r="X1594" s="4">
        <v>23</v>
      </c>
      <c r="Y1594" s="6">
        <v>0.69</v>
      </c>
      <c r="Z1594" s="4" t="s">
        <v>80</v>
      </c>
    </row>
    <row r="1595" spans="1:26" hidden="1" x14ac:dyDescent="0.35">
      <c r="A1595" t="str">
        <f>_xlfn.CONCAT(Tableau1[[#This Row],[Athletes]],"_",Tableau1[[#This Row],[Nationality]],"_",Tableau1[[#This Row],[Competition_year]])</f>
        <v>Cooper LUTKENHAUS_USA_2026</v>
      </c>
      <c r="B1595" t="s">
        <v>1411</v>
      </c>
      <c r="C1595" t="s">
        <v>14</v>
      </c>
      <c r="D1595" s="18" t="s">
        <v>35</v>
      </c>
      <c r="E1595">
        <v>12.5</v>
      </c>
      <c r="F1595">
        <v>12.2</v>
      </c>
      <c r="G1595">
        <v>12.9</v>
      </c>
      <c r="H1595">
        <v>12.9</v>
      </c>
      <c r="I1595">
        <v>13</v>
      </c>
      <c r="J1595">
        <v>12.6</v>
      </c>
      <c r="K1595">
        <v>12.8</v>
      </c>
      <c r="L1595">
        <f>Tableau1[[#This Row],[Final_time]]-SUM(Tableau1[[#This Row],[0_100m]:[600_700m]])</f>
        <v>13.180000000000007</v>
      </c>
      <c r="M1595">
        <v>102.08</v>
      </c>
      <c r="N1595">
        <f>SUM(Tableau1[[#This Row],[0_100m]:[700_800m]])</f>
        <v>102.08</v>
      </c>
      <c r="O1595" s="16">
        <f>ABS(Tableau1[[#This Row],[Final_time]]-Tableau1[[#This Row],[Sum_time]])</f>
        <v>0</v>
      </c>
      <c r="P1595" s="8"/>
      <c r="Q1595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595" t="s">
        <v>1894</v>
      </c>
      <c r="S1595" s="1" t="s">
        <v>68</v>
      </c>
      <c r="U1595" s="1" t="s">
        <v>69</v>
      </c>
      <c r="V1595" s="1">
        <v>46183</v>
      </c>
      <c r="W1595" s="4">
        <f>YEAR(Tableau1[[#This Row],[Competition_date]])</f>
        <v>2026</v>
      </c>
      <c r="X1595" s="4">
        <v>13</v>
      </c>
      <c r="Y1595" s="6">
        <v>0.67</v>
      </c>
      <c r="Z1595" s="4" t="s">
        <v>80</v>
      </c>
    </row>
    <row r="1596" spans="1:26" hidden="1" x14ac:dyDescent="0.35">
      <c r="A1596" t="str">
        <f>_xlfn.CONCAT(Tableau1[[#This Row],[Athletes]],"_",Tableau1[[#This Row],[Nationality]],"_",Tableau1[[#This Row],[Competition_year]])</f>
        <v>Emmanuel WANYONYI_KEN_2026</v>
      </c>
      <c r="B1596" t="s">
        <v>183</v>
      </c>
      <c r="C1596" t="s">
        <v>14</v>
      </c>
      <c r="D1596" s="18" t="s">
        <v>15</v>
      </c>
      <c r="E1596">
        <v>12.4</v>
      </c>
      <c r="F1596">
        <v>12.1</v>
      </c>
      <c r="G1596">
        <v>12.9</v>
      </c>
      <c r="H1596">
        <v>12.8</v>
      </c>
      <c r="I1596">
        <v>13</v>
      </c>
      <c r="J1596">
        <v>13.1</v>
      </c>
      <c r="K1596">
        <v>13</v>
      </c>
      <c r="L1596">
        <f>Tableau1[[#This Row],[Final_time]]-SUM(Tableau1[[#This Row],[0_100m]:[600_700m]])</f>
        <v>12.790000000000006</v>
      </c>
      <c r="M1596">
        <v>102.09</v>
      </c>
      <c r="N1596">
        <f>SUM(Tableau1[[#This Row],[0_100m]:[700_800m]])</f>
        <v>102.09</v>
      </c>
      <c r="O1596" s="16">
        <f>ABS(Tableau1[[#This Row],[Final_time]]-Tableau1[[#This Row],[Sum_time]])</f>
        <v>0</v>
      </c>
      <c r="P1596" s="8"/>
      <c r="Q1596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596" t="s">
        <v>1894</v>
      </c>
      <c r="S1596" s="1" t="s">
        <v>68</v>
      </c>
      <c r="U1596" s="1" t="s">
        <v>69</v>
      </c>
      <c r="V1596" s="1">
        <v>46183</v>
      </c>
      <c r="W1596" s="4">
        <f>YEAR(Tableau1[[#This Row],[Competition_date]])</f>
        <v>2026</v>
      </c>
      <c r="X1596" s="4">
        <v>13</v>
      </c>
      <c r="Y1596" s="6">
        <v>0.67</v>
      </c>
      <c r="Z1596" s="4" t="s">
        <v>80</v>
      </c>
    </row>
    <row r="1597" spans="1:26" hidden="1" x14ac:dyDescent="0.35">
      <c r="A1597" t="str">
        <f>_xlfn.CONCAT(Tableau1[[#This Row],[Athletes]],"_",Tableau1[[#This Row],[Nationality]],"_",Tableau1[[#This Row],[Competition_year]])</f>
        <v>Marco AROP_CAN_2026</v>
      </c>
      <c r="B1597" t="s">
        <v>177</v>
      </c>
      <c r="C1597" t="s">
        <v>14</v>
      </c>
      <c r="D1597" s="18" t="s">
        <v>19</v>
      </c>
      <c r="E1597">
        <v>13</v>
      </c>
      <c r="F1597">
        <v>11.8</v>
      </c>
      <c r="G1597">
        <v>13</v>
      </c>
      <c r="H1597">
        <v>12.9</v>
      </c>
      <c r="I1597">
        <v>13.1</v>
      </c>
      <c r="J1597">
        <v>13</v>
      </c>
      <c r="K1597">
        <v>13.1</v>
      </c>
      <c r="L1597">
        <f>Tableau1[[#This Row],[Final_time]]-SUM(Tableau1[[#This Row],[0_100m]:[600_700m]])</f>
        <v>13.430000000000007</v>
      </c>
      <c r="M1597">
        <v>103.33</v>
      </c>
      <c r="N1597">
        <f>SUM(Tableau1[[#This Row],[0_100m]:[700_800m]])</f>
        <v>103.33</v>
      </c>
      <c r="O1597" s="16">
        <f>ABS(Tableau1[[#This Row],[Final_time]]-Tableau1[[#This Row],[Sum_time]])</f>
        <v>0</v>
      </c>
      <c r="P1597" s="8"/>
      <c r="Q1597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597" t="s">
        <v>1894</v>
      </c>
      <c r="S1597" s="1" t="s">
        <v>68</v>
      </c>
      <c r="U1597" s="1" t="s">
        <v>69</v>
      </c>
      <c r="V1597" s="1">
        <v>46183</v>
      </c>
      <c r="W1597" s="4">
        <f>YEAR(Tableau1[[#This Row],[Competition_date]])</f>
        <v>2026</v>
      </c>
      <c r="X1597" s="4">
        <v>13</v>
      </c>
      <c r="Y1597" s="6">
        <v>0.67</v>
      </c>
      <c r="Z1597" s="4" t="s">
        <v>80</v>
      </c>
    </row>
    <row r="1598" spans="1:26" hidden="1" x14ac:dyDescent="0.35">
      <c r="A1598" t="str">
        <f>_xlfn.CONCAT(Tableau1[[#This Row],[Athletes]],"_",Tableau1[[#This Row],[Nationality]],"_",Tableau1[[#This Row],[Competition_year]])</f>
        <v>Tobias GRØNSTAD_NOR_2026</v>
      </c>
      <c r="B1598" t="s">
        <v>1421</v>
      </c>
      <c r="C1598" t="s">
        <v>14</v>
      </c>
      <c r="D1598" s="18" t="s">
        <v>123</v>
      </c>
      <c r="E1598">
        <v>13.1</v>
      </c>
      <c r="F1598">
        <v>12.3</v>
      </c>
      <c r="G1598">
        <v>13.5</v>
      </c>
      <c r="H1598">
        <v>12.9</v>
      </c>
      <c r="I1598">
        <v>13.1</v>
      </c>
      <c r="J1598">
        <v>12.5</v>
      </c>
      <c r="K1598">
        <v>13</v>
      </c>
      <c r="L1598">
        <f>Tableau1[[#This Row],[Final_time]]-SUM(Tableau1[[#This Row],[0_100m]:[600_700m]])</f>
        <v>13.210000000000008</v>
      </c>
      <c r="M1598">
        <v>103.61</v>
      </c>
      <c r="N1598">
        <f>SUM(Tableau1[[#This Row],[0_100m]:[700_800m]])</f>
        <v>103.61</v>
      </c>
      <c r="O1598" s="16">
        <f>ABS(Tableau1[[#This Row],[Final_time]]-Tableau1[[#This Row],[Sum_time]])</f>
        <v>0</v>
      </c>
      <c r="P1598" s="8"/>
      <c r="Q1598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598" t="s">
        <v>1894</v>
      </c>
      <c r="S1598" s="1" t="s">
        <v>68</v>
      </c>
      <c r="U1598" s="1" t="s">
        <v>69</v>
      </c>
      <c r="V1598" s="1">
        <v>46183</v>
      </c>
      <c r="W1598" s="4">
        <f>YEAR(Tableau1[[#This Row],[Competition_date]])</f>
        <v>2026</v>
      </c>
      <c r="X1598" s="4">
        <v>13</v>
      </c>
      <c r="Y1598" s="6">
        <v>0.67</v>
      </c>
      <c r="Z1598" s="4" t="s">
        <v>80</v>
      </c>
    </row>
    <row r="1599" spans="1:26" hidden="1" x14ac:dyDescent="0.35">
      <c r="A1599" t="str">
        <f>_xlfn.CONCAT(Tableau1[[#This Row],[Athletes]],"_",Tableau1[[#This Row],[Nationality]],"_",Tableau1[[#This Row],[Competition_year]])</f>
        <v>Peter BOL_AUS_2026</v>
      </c>
      <c r="B1599" t="s">
        <v>127</v>
      </c>
      <c r="C1599" t="s">
        <v>14</v>
      </c>
      <c r="D1599" s="18" t="s">
        <v>36</v>
      </c>
      <c r="E1599">
        <v>12.9</v>
      </c>
      <c r="F1599">
        <v>12.2</v>
      </c>
      <c r="G1599">
        <v>13.2</v>
      </c>
      <c r="H1599">
        <v>12.6</v>
      </c>
      <c r="I1599">
        <v>13.5</v>
      </c>
      <c r="J1599">
        <v>13</v>
      </c>
      <c r="K1599">
        <v>13</v>
      </c>
      <c r="L1599">
        <f>Tableau1[[#This Row],[Final_time]]-SUM(Tableau1[[#This Row],[0_100m]:[600_700m]])</f>
        <v>13.239999999999995</v>
      </c>
      <c r="M1599">
        <v>103.64</v>
      </c>
      <c r="N1599">
        <f>SUM(Tableau1[[#This Row],[0_100m]:[700_800m]])</f>
        <v>103.64</v>
      </c>
      <c r="O1599" s="16">
        <f>ABS(Tableau1[[#This Row],[Final_time]]-Tableau1[[#This Row],[Sum_time]])</f>
        <v>0</v>
      </c>
      <c r="P1599" s="8"/>
      <c r="Q1599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599" t="s">
        <v>1894</v>
      </c>
      <c r="S1599" s="1" t="s">
        <v>68</v>
      </c>
      <c r="U1599" s="1" t="s">
        <v>69</v>
      </c>
      <c r="V1599" s="1">
        <v>46183</v>
      </c>
      <c r="W1599" s="4">
        <f>YEAR(Tableau1[[#This Row],[Competition_date]])</f>
        <v>2026</v>
      </c>
      <c r="X1599" s="4">
        <v>13</v>
      </c>
      <c r="Y1599" s="6">
        <v>0.67</v>
      </c>
      <c r="Z1599" s="4" t="s">
        <v>80</v>
      </c>
    </row>
    <row r="1600" spans="1:26" hidden="1" x14ac:dyDescent="0.35">
      <c r="A1600" t="str">
        <f>_xlfn.CONCAT(Tableau1[[#This Row],[Athletes]],"_",Tableau1[[#This Row],[Nationality]],"_",Tableau1[[#This Row],[Competition_year]])</f>
        <v>Eliott CRESTAN_BEL_2026</v>
      </c>
      <c r="B1600" t="s">
        <v>244</v>
      </c>
      <c r="C1600" t="s">
        <v>14</v>
      </c>
      <c r="D1600" s="18" t="s">
        <v>18</v>
      </c>
      <c r="E1600">
        <v>12.9</v>
      </c>
      <c r="F1600">
        <v>11.9</v>
      </c>
      <c r="G1600">
        <v>13.3</v>
      </c>
      <c r="H1600">
        <v>12.7</v>
      </c>
      <c r="I1600">
        <v>13.2</v>
      </c>
      <c r="J1600">
        <v>13.1</v>
      </c>
      <c r="K1600">
        <v>13.1</v>
      </c>
      <c r="L1600">
        <f>Tableau1[[#This Row],[Final_time]]-SUM(Tableau1[[#This Row],[0_100m]:[600_700m]])</f>
        <v>13.650000000000006</v>
      </c>
      <c r="M1600">
        <v>103.85</v>
      </c>
      <c r="N1600">
        <f>SUM(Tableau1[[#This Row],[0_100m]:[700_800m]])</f>
        <v>103.85</v>
      </c>
      <c r="O1600" s="16">
        <f>ABS(Tableau1[[#This Row],[Final_time]]-Tableau1[[#This Row],[Sum_time]])</f>
        <v>0</v>
      </c>
      <c r="P1600" s="8"/>
      <c r="Q1600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600" t="s">
        <v>1894</v>
      </c>
      <c r="S1600" s="1" t="s">
        <v>68</v>
      </c>
      <c r="U1600" s="1" t="s">
        <v>69</v>
      </c>
      <c r="V1600" s="1">
        <v>46183</v>
      </c>
      <c r="W1600" s="4">
        <f>YEAR(Tableau1[[#This Row],[Competition_date]])</f>
        <v>2026</v>
      </c>
      <c r="X1600" s="4">
        <v>13</v>
      </c>
      <c r="Y1600" s="6">
        <v>0.67</v>
      </c>
      <c r="Z1600" s="4" t="s">
        <v>80</v>
      </c>
    </row>
    <row r="1601" spans="1:26" hidden="1" x14ac:dyDescent="0.35">
      <c r="A1601" t="str">
        <f>_xlfn.CONCAT(Tableau1[[#This Row],[Athletes]],"_",Tableau1[[#This Row],[Nationality]],"_",Tableau1[[#This Row],[Competition_year]])</f>
        <v>Gabriel TUAL_FRA_2026</v>
      </c>
      <c r="B1601" t="s">
        <v>180</v>
      </c>
      <c r="C1601" t="s">
        <v>14</v>
      </c>
      <c r="D1601" s="18" t="s">
        <v>17</v>
      </c>
      <c r="E1601">
        <v>12.7</v>
      </c>
      <c r="F1601">
        <v>12.3</v>
      </c>
      <c r="G1601">
        <v>13.1</v>
      </c>
      <c r="H1601">
        <v>12.7</v>
      </c>
      <c r="I1601">
        <v>13.4</v>
      </c>
      <c r="J1601">
        <v>13</v>
      </c>
      <c r="K1601">
        <v>13.6</v>
      </c>
      <c r="L1601">
        <f>Tableau1[[#This Row],[Final_time]]-SUM(Tableau1[[#This Row],[0_100m]:[600_700m]])</f>
        <v>13.990000000000009</v>
      </c>
      <c r="M1601">
        <v>104.79</v>
      </c>
      <c r="N1601">
        <f>SUM(Tableau1[[#This Row],[0_100m]:[700_800m]])</f>
        <v>104.79</v>
      </c>
      <c r="O1601" s="16">
        <f>ABS(Tableau1[[#This Row],[Final_time]]-Tableau1[[#This Row],[Sum_time]])</f>
        <v>0</v>
      </c>
      <c r="P1601" s="8"/>
      <c r="Q1601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601" t="s">
        <v>1894</v>
      </c>
      <c r="S1601" s="1" t="s">
        <v>68</v>
      </c>
      <c r="U1601" s="1" t="s">
        <v>69</v>
      </c>
      <c r="V1601" s="1">
        <v>46183</v>
      </c>
      <c r="W1601" s="4">
        <f>YEAR(Tableau1[[#This Row],[Competition_date]])</f>
        <v>2026</v>
      </c>
      <c r="X1601" s="4">
        <v>13</v>
      </c>
      <c r="Y1601" s="6">
        <v>0.67</v>
      </c>
      <c r="Z1601" s="4" t="s">
        <v>80</v>
      </c>
    </row>
    <row r="1602" spans="1:26" hidden="1" x14ac:dyDescent="0.35">
      <c r="A1602" t="str">
        <f>_xlfn.CONCAT(Tableau1[[#This Row],[Athletes]],"_",Tableau1[[#This Row],[Nationality]],"_",Tableau1[[#This Row],[Competition_year]])</f>
        <v>Mohamed ATTAOUI_ESP_2026</v>
      </c>
      <c r="B1602" t="s">
        <v>110</v>
      </c>
      <c r="C1602" t="s">
        <v>14</v>
      </c>
      <c r="D1602" s="18" t="s">
        <v>37</v>
      </c>
      <c r="E1602">
        <v>12.8</v>
      </c>
      <c r="F1602">
        <v>12.5</v>
      </c>
      <c r="G1602">
        <v>13.4</v>
      </c>
      <c r="H1602">
        <v>12.2</v>
      </c>
      <c r="I1602">
        <v>13.5</v>
      </c>
      <c r="J1602">
        <v>13.1</v>
      </c>
      <c r="K1602">
        <v>13.8</v>
      </c>
      <c r="L1602">
        <f>Tableau1[[#This Row],[Final_time]]-SUM(Tableau1[[#This Row],[0_100m]:[600_700m]])</f>
        <v>14.36</v>
      </c>
      <c r="M1602">
        <v>105.66</v>
      </c>
      <c r="N1602">
        <f>SUM(Tableau1[[#This Row],[0_100m]:[700_800m]])</f>
        <v>105.66</v>
      </c>
      <c r="O1602" s="16">
        <f>ABS(Tableau1[[#This Row],[Final_time]]-Tableau1[[#This Row],[Sum_time]])</f>
        <v>0</v>
      </c>
      <c r="P1602" s="8"/>
      <c r="Q1602" s="16" t="str">
        <f>_xlfn.CONCAT(Tableau1[[#This Row],[Competition]],"_",Tableau1[[#This Row],[Championship_step]],"_",Tableau1[[#This Row],[Competition_date]],"_",Tableau1[[#This Row],[Gender]])</f>
        <v>Diamond League Oslo 2026__46183_Male</v>
      </c>
      <c r="R1602" t="s">
        <v>1894</v>
      </c>
      <c r="S1602" s="1" t="s">
        <v>68</v>
      </c>
      <c r="U1602" s="1" t="s">
        <v>69</v>
      </c>
      <c r="V1602" s="1">
        <v>46183</v>
      </c>
      <c r="W1602" s="4">
        <f>YEAR(Tableau1[[#This Row],[Competition_date]])</f>
        <v>2026</v>
      </c>
      <c r="X1602" s="4">
        <v>13</v>
      </c>
      <c r="Y1602" s="6">
        <v>0.67</v>
      </c>
      <c r="Z1602" s="4" t="s">
        <v>80</v>
      </c>
    </row>
    <row r="1603" spans="1:26" hidden="1" x14ac:dyDescent="0.35">
      <c r="A1603" t="str">
        <f>_xlfn.CONCAT(Tableau1[[#This Row],[Athletes]],"_",Tableau1[[#This Row],[Nationality]],"_",Tableau1[[#This Row],[Competition_year]])</f>
        <v>Henry JONAS_GBR_2026</v>
      </c>
      <c r="B1603" t="s">
        <v>1895</v>
      </c>
      <c r="C1603" t="s">
        <v>14</v>
      </c>
      <c r="D1603" s="18" t="s">
        <v>30</v>
      </c>
      <c r="E1603">
        <v>13.1</v>
      </c>
      <c r="F1603">
        <v>12.3</v>
      </c>
      <c r="G1603">
        <v>12.6</v>
      </c>
      <c r="H1603">
        <v>13</v>
      </c>
      <c r="I1603">
        <v>13.1</v>
      </c>
      <c r="J1603">
        <v>13.5</v>
      </c>
      <c r="K1603">
        <v>13.9</v>
      </c>
      <c r="L1603">
        <f>Tableau1[[#This Row],[Final_time]]-SUM(Tableau1[[#This Row],[0_100m]:[600_700m]])</f>
        <v>14.489999999999995</v>
      </c>
      <c r="M1603">
        <v>105.99</v>
      </c>
      <c r="N1603">
        <f>SUM(Tableau1[[#This Row],[0_100m]:[700_800m]])</f>
        <v>105.99</v>
      </c>
      <c r="O1603" s="16">
        <f>ABS(Tableau1[[#This Row],[Final_time]]-Tableau1[[#This Row],[Sum_time]])</f>
        <v>0</v>
      </c>
      <c r="P1603" s="8"/>
      <c r="Q1603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3" t="s">
        <v>1904</v>
      </c>
      <c r="S1603" s="1" t="s">
        <v>68</v>
      </c>
      <c r="U1603" s="1" t="s">
        <v>288</v>
      </c>
      <c r="V1603" s="1">
        <v>46183</v>
      </c>
      <c r="W1603" s="4">
        <f>YEAR(Tableau1[[#This Row],[Competition_date]])</f>
        <v>2026</v>
      </c>
      <c r="X1603" s="4">
        <v>15</v>
      </c>
      <c r="Y1603" s="6">
        <v>0.63</v>
      </c>
      <c r="Z1603" s="4" t="s">
        <v>80</v>
      </c>
    </row>
    <row r="1604" spans="1:26" hidden="1" x14ac:dyDescent="0.35">
      <c r="A1604" t="str">
        <f>_xlfn.CONCAT(Tableau1[[#This Row],[Athletes]],"_",Tableau1[[#This Row],[Nationality]],"_",Tableau1[[#This Row],[Competition_year]])</f>
        <v>Bartlomiej KISIEL_POL_2026</v>
      </c>
      <c r="B1604" t="s">
        <v>1896</v>
      </c>
      <c r="C1604" t="s">
        <v>14</v>
      </c>
      <c r="D1604" s="18" t="s">
        <v>88</v>
      </c>
      <c r="E1604">
        <v>13.3</v>
      </c>
      <c r="F1604">
        <v>12.6</v>
      </c>
      <c r="G1604">
        <v>12.7</v>
      </c>
      <c r="H1604">
        <v>13.1</v>
      </c>
      <c r="I1604">
        <v>13.3</v>
      </c>
      <c r="J1604">
        <v>13.6</v>
      </c>
      <c r="K1604">
        <v>14</v>
      </c>
      <c r="L1604">
        <f>Tableau1[[#This Row],[Final_time]]-SUM(Tableau1[[#This Row],[0_100m]:[600_700m]])</f>
        <v>14.290000000000006</v>
      </c>
      <c r="M1604">
        <v>106.89</v>
      </c>
      <c r="N1604">
        <f>SUM(Tableau1[[#This Row],[0_100m]:[700_800m]])</f>
        <v>106.89</v>
      </c>
      <c r="O1604" s="16">
        <f>ABS(Tableau1[[#This Row],[Final_time]]-Tableau1[[#This Row],[Sum_time]])</f>
        <v>0</v>
      </c>
      <c r="P1604" s="8"/>
      <c r="Q1604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4" t="s">
        <v>1904</v>
      </c>
      <c r="S1604" s="1" t="s">
        <v>68</v>
      </c>
      <c r="U1604" s="1" t="s">
        <v>288</v>
      </c>
      <c r="V1604" s="1">
        <v>46183</v>
      </c>
      <c r="W1604" s="4">
        <f>YEAR(Tableau1[[#This Row],[Competition_date]])</f>
        <v>2026</v>
      </c>
      <c r="X1604" s="4">
        <v>15</v>
      </c>
      <c r="Y1604" s="6">
        <v>0.63</v>
      </c>
      <c r="Z1604" s="4" t="s">
        <v>80</v>
      </c>
    </row>
    <row r="1605" spans="1:26" hidden="1" x14ac:dyDescent="0.35">
      <c r="A1605" t="str">
        <f>_xlfn.CONCAT(Tableau1[[#This Row],[Athletes]],"_",Tableau1[[#This Row],[Nationality]],"_",Tableau1[[#This Row],[Competition_year]])</f>
        <v>Markus WESTHAGEN_NOR_2026</v>
      </c>
      <c r="B1605" t="s">
        <v>1897</v>
      </c>
      <c r="C1605" t="s">
        <v>14</v>
      </c>
      <c r="D1605" s="18" t="s">
        <v>123</v>
      </c>
      <c r="E1605">
        <v>13.7</v>
      </c>
      <c r="F1605">
        <v>12.7</v>
      </c>
      <c r="G1605">
        <v>12.6</v>
      </c>
      <c r="H1605">
        <v>13.1</v>
      </c>
      <c r="I1605">
        <v>13.5</v>
      </c>
      <c r="J1605">
        <v>14.2</v>
      </c>
      <c r="K1605">
        <v>14</v>
      </c>
      <c r="L1605">
        <f>Tableau1[[#This Row],[Final_time]]-SUM(Tableau1[[#This Row],[0_100m]:[600_700m]])</f>
        <v>14.939999999999998</v>
      </c>
      <c r="M1605">
        <v>108.74</v>
      </c>
      <c r="N1605">
        <f>SUM(Tableau1[[#This Row],[0_100m]:[700_800m]])</f>
        <v>108.74</v>
      </c>
      <c r="O1605" s="16">
        <f>ABS(Tableau1[[#This Row],[Final_time]]-Tableau1[[#This Row],[Sum_time]])</f>
        <v>0</v>
      </c>
      <c r="P1605" s="8"/>
      <c r="Q1605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5" t="s">
        <v>1904</v>
      </c>
      <c r="S1605" s="1" t="s">
        <v>68</v>
      </c>
      <c r="U1605" s="1" t="s">
        <v>288</v>
      </c>
      <c r="V1605" s="1">
        <v>46183</v>
      </c>
      <c r="W1605" s="4">
        <f>YEAR(Tableau1[[#This Row],[Competition_date]])</f>
        <v>2026</v>
      </c>
      <c r="X1605" s="4">
        <v>15</v>
      </c>
      <c r="Y1605" s="6">
        <v>0.63</v>
      </c>
      <c r="Z1605" s="4" t="s">
        <v>80</v>
      </c>
    </row>
    <row r="1606" spans="1:26" hidden="1" x14ac:dyDescent="0.35">
      <c r="A1606" t="str">
        <f>_xlfn.CONCAT(Tableau1[[#This Row],[Athletes]],"_",Tableau1[[#This Row],[Nationality]],"_",Tableau1[[#This Row],[Competition_year]])</f>
        <v>Andreas FANTOFT_NOR_2026</v>
      </c>
      <c r="B1606" t="s">
        <v>1898</v>
      </c>
      <c r="C1606" t="s">
        <v>14</v>
      </c>
      <c r="D1606" s="18" t="s">
        <v>123</v>
      </c>
      <c r="E1606">
        <v>13.7</v>
      </c>
      <c r="F1606">
        <v>13.2</v>
      </c>
      <c r="G1606">
        <v>12.7</v>
      </c>
      <c r="H1606">
        <v>13.3</v>
      </c>
      <c r="I1606">
        <v>13.8</v>
      </c>
      <c r="J1606">
        <v>14.1</v>
      </c>
      <c r="K1606">
        <v>14.1</v>
      </c>
      <c r="L1606">
        <f>Tableau1[[#This Row],[Final_time]]-SUM(Tableau1[[#This Row],[0_100m]:[600_700m]])</f>
        <v>14.510000000000019</v>
      </c>
      <c r="M1606">
        <v>109.41</v>
      </c>
      <c r="N1606">
        <f>SUM(Tableau1[[#This Row],[0_100m]:[700_800m]])</f>
        <v>109.41</v>
      </c>
      <c r="O1606" s="16">
        <f>ABS(Tableau1[[#This Row],[Final_time]]-Tableau1[[#This Row],[Sum_time]])</f>
        <v>0</v>
      </c>
      <c r="P1606" s="8"/>
      <c r="Q1606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6" t="s">
        <v>1904</v>
      </c>
      <c r="S1606" s="1" t="s">
        <v>68</v>
      </c>
      <c r="U1606" s="1" t="s">
        <v>288</v>
      </c>
      <c r="V1606" s="1">
        <v>46183</v>
      </c>
      <c r="W1606" s="4">
        <f>YEAR(Tableau1[[#This Row],[Competition_date]])</f>
        <v>2026</v>
      </c>
      <c r="X1606" s="4">
        <v>15</v>
      </c>
      <c r="Y1606" s="6">
        <v>0.63</v>
      </c>
      <c r="Z1606" s="4" t="s">
        <v>80</v>
      </c>
    </row>
    <row r="1607" spans="1:26" hidden="1" x14ac:dyDescent="0.35">
      <c r="A1607" t="str">
        <f>_xlfn.CONCAT(Tableau1[[#This Row],[Athletes]],"_",Tableau1[[#This Row],[Nationality]],"_",Tableau1[[#This Row],[Competition_year]])</f>
        <v>Trym FJØSNE-HEXEBERG_NOR_2026</v>
      </c>
      <c r="B1607" t="s">
        <v>1899</v>
      </c>
      <c r="C1607" t="s">
        <v>14</v>
      </c>
      <c r="D1607" s="18" t="s">
        <v>123</v>
      </c>
      <c r="E1607">
        <v>13.7</v>
      </c>
      <c r="F1607">
        <v>13.4</v>
      </c>
      <c r="G1607">
        <v>12.7</v>
      </c>
      <c r="H1607">
        <v>13.3</v>
      </c>
      <c r="I1607">
        <v>13.8</v>
      </c>
      <c r="J1607">
        <v>14</v>
      </c>
      <c r="K1607">
        <v>14.2</v>
      </c>
      <c r="L1607">
        <f>Tableau1[[#This Row],[Final_time]]-SUM(Tableau1[[#This Row],[0_100m]:[600_700m]])</f>
        <v>14.38000000000001</v>
      </c>
      <c r="M1607">
        <v>109.48</v>
      </c>
      <c r="N1607">
        <f>SUM(Tableau1[[#This Row],[0_100m]:[700_800m]])</f>
        <v>109.48</v>
      </c>
      <c r="O1607" s="16">
        <f>ABS(Tableau1[[#This Row],[Final_time]]-Tableau1[[#This Row],[Sum_time]])</f>
        <v>0</v>
      </c>
      <c r="P1607" s="8"/>
      <c r="Q1607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7" t="s">
        <v>1904</v>
      </c>
      <c r="S1607" s="1" t="s">
        <v>68</v>
      </c>
      <c r="U1607" s="1" t="s">
        <v>288</v>
      </c>
      <c r="V1607" s="1">
        <v>46183</v>
      </c>
      <c r="W1607" s="4">
        <f>YEAR(Tableau1[[#This Row],[Competition_date]])</f>
        <v>2026</v>
      </c>
      <c r="X1607" s="4">
        <v>15</v>
      </c>
      <c r="Y1607" s="6">
        <v>0.63</v>
      </c>
      <c r="Z1607" s="4" t="s">
        <v>80</v>
      </c>
    </row>
    <row r="1608" spans="1:26" hidden="1" x14ac:dyDescent="0.35">
      <c r="A1608" t="str">
        <f>_xlfn.CONCAT(Tableau1[[#This Row],[Athletes]],"_",Tableau1[[#This Row],[Nationality]],"_",Tableau1[[#This Row],[Competition_year]])</f>
        <v>John Petter STEVIK_NOR_2026</v>
      </c>
      <c r="B1608" t="s">
        <v>1900</v>
      </c>
      <c r="C1608" t="s">
        <v>14</v>
      </c>
      <c r="D1608" s="18" t="s">
        <v>123</v>
      </c>
      <c r="E1608">
        <v>13.7</v>
      </c>
      <c r="F1608">
        <v>13</v>
      </c>
      <c r="G1608">
        <v>12.6</v>
      </c>
      <c r="H1608">
        <v>13.2</v>
      </c>
      <c r="I1608">
        <v>13.8</v>
      </c>
      <c r="J1608">
        <v>14.1</v>
      </c>
      <c r="K1608">
        <v>14.4</v>
      </c>
      <c r="L1608">
        <f>Tableau1[[#This Row],[Final_time]]-SUM(Tableau1[[#This Row],[0_100m]:[600_700m]])</f>
        <v>15.39</v>
      </c>
      <c r="M1608">
        <v>110.19</v>
      </c>
      <c r="N1608">
        <f>SUM(Tableau1[[#This Row],[0_100m]:[700_800m]])</f>
        <v>110.19</v>
      </c>
      <c r="O1608" s="16">
        <f>ABS(Tableau1[[#This Row],[Final_time]]-Tableau1[[#This Row],[Sum_time]])</f>
        <v>0</v>
      </c>
      <c r="P1608" s="8"/>
      <c r="Q1608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8" t="s">
        <v>1904</v>
      </c>
      <c r="S1608" s="1" t="s">
        <v>68</v>
      </c>
      <c r="U1608" s="1" t="s">
        <v>288</v>
      </c>
      <c r="V1608" s="1">
        <v>46183</v>
      </c>
      <c r="W1608" s="4">
        <f>YEAR(Tableau1[[#This Row],[Competition_date]])</f>
        <v>2026</v>
      </c>
      <c r="X1608" s="4">
        <v>15</v>
      </c>
      <c r="Y1608" s="6">
        <v>0.63</v>
      </c>
      <c r="Z1608" s="4" t="s">
        <v>80</v>
      </c>
    </row>
    <row r="1609" spans="1:26" hidden="1" x14ac:dyDescent="0.35">
      <c r="A1609" t="str">
        <f>_xlfn.CONCAT(Tableau1[[#This Row],[Athletes]],"_",Tableau1[[#This Row],[Nationality]],"_",Tableau1[[#This Row],[Competition_year]])</f>
        <v>Benjamin ÅBERG_SWE_2026</v>
      </c>
      <c r="B1609" t="s">
        <v>622</v>
      </c>
      <c r="C1609" t="s">
        <v>14</v>
      </c>
      <c r="D1609" s="18" t="s">
        <v>28</v>
      </c>
      <c r="E1609">
        <v>13.4</v>
      </c>
      <c r="F1609">
        <v>12.7</v>
      </c>
      <c r="G1609">
        <v>12.7</v>
      </c>
      <c r="H1609">
        <v>13.1</v>
      </c>
      <c r="I1609">
        <v>13.5</v>
      </c>
      <c r="J1609">
        <v>14.2</v>
      </c>
      <c r="K1609">
        <v>14.9</v>
      </c>
      <c r="L1609">
        <f>Tableau1[[#This Row],[Final_time]]-SUM(Tableau1[[#This Row],[0_100m]:[600_700m]])</f>
        <v>16.179999999999993</v>
      </c>
      <c r="M1609">
        <v>110.68</v>
      </c>
      <c r="N1609">
        <f>SUM(Tableau1[[#This Row],[0_100m]:[700_800m]])</f>
        <v>110.68</v>
      </c>
      <c r="O1609" s="16">
        <f>ABS(Tableau1[[#This Row],[Final_time]]-Tableau1[[#This Row],[Sum_time]])</f>
        <v>0</v>
      </c>
      <c r="P1609" s="8"/>
      <c r="Q1609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09" t="s">
        <v>1904</v>
      </c>
      <c r="S1609" s="1" t="s">
        <v>68</v>
      </c>
      <c r="U1609" s="1" t="s">
        <v>288</v>
      </c>
      <c r="V1609" s="1">
        <v>46183</v>
      </c>
      <c r="W1609" s="4">
        <f>YEAR(Tableau1[[#This Row],[Competition_date]])</f>
        <v>2026</v>
      </c>
      <c r="X1609" s="4">
        <v>15</v>
      </c>
      <c r="Y1609" s="6">
        <v>0.63</v>
      </c>
      <c r="Z1609" s="4" t="s">
        <v>80</v>
      </c>
    </row>
    <row r="1610" spans="1:26" hidden="1" x14ac:dyDescent="0.35">
      <c r="A1610" t="str">
        <f>_xlfn.CONCAT(Tableau1[[#This Row],[Athletes]],"_",Tableau1[[#This Row],[Nationality]],"_",Tableau1[[#This Row],[Competition_year]])</f>
        <v>Lars JOHANSSON HAUGE_NOR_2026</v>
      </c>
      <c r="B1610" t="s">
        <v>1901</v>
      </c>
      <c r="C1610" t="s">
        <v>14</v>
      </c>
      <c r="D1610" s="18" t="s">
        <v>123</v>
      </c>
      <c r="E1610">
        <v>14</v>
      </c>
      <c r="F1610">
        <v>13.3</v>
      </c>
      <c r="G1610">
        <v>13.1</v>
      </c>
      <c r="H1610">
        <v>13.5</v>
      </c>
      <c r="I1610">
        <v>13.9</v>
      </c>
      <c r="J1610">
        <v>14</v>
      </c>
      <c r="K1610">
        <v>14.3</v>
      </c>
      <c r="L1610">
        <f>Tableau1[[#This Row],[Final_time]]-SUM(Tableau1[[#This Row],[0_100m]:[600_700m]])</f>
        <v>15.13000000000001</v>
      </c>
      <c r="M1610">
        <v>111.23</v>
      </c>
      <c r="N1610">
        <f>SUM(Tableau1[[#This Row],[0_100m]:[700_800m]])</f>
        <v>111.23</v>
      </c>
      <c r="O1610" s="16">
        <f>ABS(Tableau1[[#This Row],[Final_time]]-Tableau1[[#This Row],[Sum_time]])</f>
        <v>0</v>
      </c>
      <c r="P1610" s="8"/>
      <c r="Q1610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10" t="s">
        <v>1904</v>
      </c>
      <c r="S1610" s="1" t="s">
        <v>68</v>
      </c>
      <c r="U1610" s="1" t="s">
        <v>288</v>
      </c>
      <c r="V1610" s="1">
        <v>46183</v>
      </c>
      <c r="W1610" s="4">
        <f>YEAR(Tableau1[[#This Row],[Competition_date]])</f>
        <v>2026</v>
      </c>
      <c r="X1610" s="4">
        <v>15</v>
      </c>
      <c r="Y1610" s="6">
        <v>0.63</v>
      </c>
      <c r="Z1610" s="4" t="s">
        <v>80</v>
      </c>
    </row>
    <row r="1611" spans="1:26" hidden="1" x14ac:dyDescent="0.35">
      <c r="A1611" t="str">
        <f>_xlfn.CONCAT(Tableau1[[#This Row],[Athletes]],"_",Tableau1[[#This Row],[Nationality]],"_",Tableau1[[#This Row],[Competition_year]])</f>
        <v>Vegard Høylo TREFALL_NOR_2026</v>
      </c>
      <c r="B1611" t="s">
        <v>1902</v>
      </c>
      <c r="C1611" t="s">
        <v>14</v>
      </c>
      <c r="D1611" s="18" t="s">
        <v>123</v>
      </c>
      <c r="E1611">
        <v>13.9</v>
      </c>
      <c r="F1611">
        <v>13.7</v>
      </c>
      <c r="G1611">
        <v>13.2</v>
      </c>
      <c r="H1611">
        <v>13.8</v>
      </c>
      <c r="I1611">
        <v>14.2</v>
      </c>
      <c r="J1611">
        <v>14.4</v>
      </c>
      <c r="K1611">
        <v>14.4</v>
      </c>
      <c r="L1611">
        <f>Tableau1[[#This Row],[Final_time]]-SUM(Tableau1[[#This Row],[0_100m]:[600_700m]])</f>
        <v>15.439999999999998</v>
      </c>
      <c r="M1611">
        <v>113.04</v>
      </c>
      <c r="N1611">
        <f>SUM(Tableau1[[#This Row],[0_100m]:[700_800m]])</f>
        <v>113.04</v>
      </c>
      <c r="O1611" s="16">
        <f>ABS(Tableau1[[#This Row],[Final_time]]-Tableau1[[#This Row],[Sum_time]])</f>
        <v>0</v>
      </c>
      <c r="P1611" s="8"/>
      <c r="Q1611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11" t="s">
        <v>1904</v>
      </c>
      <c r="S1611" s="1" t="s">
        <v>68</v>
      </c>
      <c r="U1611" s="1" t="s">
        <v>288</v>
      </c>
      <c r="V1611" s="1">
        <v>46183</v>
      </c>
      <c r="W1611" s="4">
        <f>YEAR(Tableau1[[#This Row],[Competition_date]])</f>
        <v>2026</v>
      </c>
      <c r="X1611" s="4">
        <v>15</v>
      </c>
      <c r="Y1611" s="6">
        <v>0.63</v>
      </c>
      <c r="Z1611" s="4" t="s">
        <v>80</v>
      </c>
    </row>
    <row r="1612" spans="1:26" hidden="1" x14ac:dyDescent="0.35">
      <c r="A1612" t="str">
        <f>_xlfn.CONCAT(Tableau1[[#This Row],[Athletes]],"_",Tableau1[[#This Row],[Nationality]],"_",Tableau1[[#This Row],[Competition_year]])</f>
        <v>Johannes SANDVIK BØ_NOR_2026</v>
      </c>
      <c r="B1612" t="s">
        <v>1903</v>
      </c>
      <c r="C1612" t="s">
        <v>14</v>
      </c>
      <c r="D1612" s="18" t="s">
        <v>123</v>
      </c>
      <c r="E1612">
        <v>13.8</v>
      </c>
      <c r="F1612">
        <v>13.7</v>
      </c>
      <c r="G1612">
        <v>13.1</v>
      </c>
      <c r="H1612">
        <v>13.7</v>
      </c>
      <c r="I1612">
        <v>14.3</v>
      </c>
      <c r="J1612">
        <v>14.9</v>
      </c>
      <c r="K1612">
        <v>15.1</v>
      </c>
      <c r="L1612">
        <f>Tableau1[[#This Row],[Final_time]]-SUM(Tableau1[[#This Row],[0_100m]:[600_700m]])</f>
        <v>16.170000000000002</v>
      </c>
      <c r="M1612">
        <v>114.77</v>
      </c>
      <c r="N1612">
        <f>SUM(Tableau1[[#This Row],[0_100m]:[700_800m]])</f>
        <v>114.77</v>
      </c>
      <c r="O1612" s="16">
        <f>ABS(Tableau1[[#This Row],[Final_time]]-Tableau1[[#This Row],[Sum_time]])</f>
        <v>0</v>
      </c>
      <c r="P1612" s="8"/>
      <c r="Q1612" s="16" t="str">
        <f>_xlfn.CONCAT(Tableau1[[#This Row],[Competition]],"_",Tableau1[[#This Row],[Championship_step]],"_",Tableau1[[#This Row],[Competition_date]],"_",Tableau1[[#This Row],[Gender]])</f>
        <v>Diamond League Oslo 2026 - B race__46183_Male</v>
      </c>
      <c r="R1612" t="s">
        <v>1904</v>
      </c>
      <c r="S1612" s="1" t="s">
        <v>68</v>
      </c>
      <c r="U1612" s="1" t="s">
        <v>288</v>
      </c>
      <c r="V1612" s="1">
        <v>46183</v>
      </c>
      <c r="W1612" s="4">
        <f>YEAR(Tableau1[[#This Row],[Competition_date]])</f>
        <v>2026</v>
      </c>
      <c r="X1612" s="4">
        <v>15</v>
      </c>
      <c r="Y1612" s="6">
        <v>0.63</v>
      </c>
      <c r="Z1612" s="4" t="s">
        <v>80</v>
      </c>
    </row>
    <row r="1613" spans="1:26" hidden="1" x14ac:dyDescent="0.35">
      <c r="A1613" t="str">
        <f>_xlfn.CONCAT(Tableau1[[#This Row],[Athletes]],"_",Tableau1[[#This Row],[Nationality]],"_",Tableau1[[#This Row],[Competition_year]])</f>
        <v>Amanda Marie FRØYNES_NOR_2026</v>
      </c>
      <c r="B1613" t="s">
        <v>1905</v>
      </c>
      <c r="C1613" t="s">
        <v>29</v>
      </c>
      <c r="D1613" s="18" t="s">
        <v>123</v>
      </c>
      <c r="E1613">
        <v>14.6</v>
      </c>
      <c r="F1613">
        <v>14.3</v>
      </c>
      <c r="G1613">
        <v>15.3</v>
      </c>
      <c r="H1613">
        <v>15.2</v>
      </c>
      <c r="I1613">
        <v>15.1</v>
      </c>
      <c r="J1613">
        <v>14.9</v>
      </c>
      <c r="K1613">
        <v>15.6</v>
      </c>
      <c r="L1613">
        <f>Tableau1[[#This Row],[Final_time]]-SUM(Tableau1[[#This Row],[0_100m]:[600_700m]])</f>
        <v>16.549999999999997</v>
      </c>
      <c r="M1613">
        <v>121.55</v>
      </c>
      <c r="N1613">
        <f>SUM(Tableau1[[#This Row],[0_100m]:[700_800m]])</f>
        <v>121.55</v>
      </c>
      <c r="O1613" s="16">
        <f>ABS(Tableau1[[#This Row],[Final_time]]-Tableau1[[#This Row],[Sum_time]])</f>
        <v>0</v>
      </c>
      <c r="P1613" s="8"/>
      <c r="Q1613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3" t="s">
        <v>1904</v>
      </c>
      <c r="S1613" s="1" t="s">
        <v>68</v>
      </c>
      <c r="U1613" s="1" t="s">
        <v>288</v>
      </c>
      <c r="V1613" s="1">
        <v>46183</v>
      </c>
      <c r="W1613" s="4">
        <f>YEAR(Tableau1[[#This Row],[Competition_date]])</f>
        <v>2026</v>
      </c>
      <c r="X1613" s="4">
        <v>15</v>
      </c>
      <c r="Y1613" s="6">
        <v>0.63</v>
      </c>
      <c r="Z1613" s="4" t="s">
        <v>80</v>
      </c>
    </row>
    <row r="1614" spans="1:26" hidden="1" x14ac:dyDescent="0.35">
      <c r="A1614" t="str">
        <f>_xlfn.CONCAT(Tableau1[[#This Row],[Athletes]],"_",Tableau1[[#This Row],[Nationality]],"_",Tableau1[[#This Row],[Competition_year]])</f>
        <v>Malin HOELSVEEN_NOR_2026</v>
      </c>
      <c r="B1614" t="s">
        <v>1906</v>
      </c>
      <c r="C1614" t="s">
        <v>29</v>
      </c>
      <c r="D1614" s="18" t="s">
        <v>123</v>
      </c>
      <c r="E1614">
        <v>14.8</v>
      </c>
      <c r="F1614">
        <v>14.6</v>
      </c>
      <c r="G1614">
        <v>15.6</v>
      </c>
      <c r="H1614">
        <v>15.5</v>
      </c>
      <c r="I1614">
        <v>15.7</v>
      </c>
      <c r="J1614">
        <v>15.5</v>
      </c>
      <c r="K1614">
        <v>15.6</v>
      </c>
      <c r="L1614">
        <f>Tableau1[[#This Row],[Final_time]]-SUM(Tableau1[[#This Row],[0_100m]:[600_700m]])</f>
        <v>16.299999999999997</v>
      </c>
      <c r="M1614">
        <v>123.6</v>
      </c>
      <c r="N1614">
        <f>SUM(Tableau1[[#This Row],[0_100m]:[700_800m]])</f>
        <v>123.6</v>
      </c>
      <c r="O1614" s="16">
        <f>ABS(Tableau1[[#This Row],[Final_time]]-Tableau1[[#This Row],[Sum_time]])</f>
        <v>0</v>
      </c>
      <c r="P1614" s="8"/>
      <c r="Q1614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4" t="s">
        <v>1904</v>
      </c>
      <c r="S1614" s="1" t="s">
        <v>68</v>
      </c>
      <c r="U1614" s="1" t="s">
        <v>288</v>
      </c>
      <c r="V1614" s="1">
        <v>46183</v>
      </c>
      <c r="W1614" s="4">
        <f>YEAR(Tableau1[[#This Row],[Competition_date]])</f>
        <v>2026</v>
      </c>
      <c r="X1614" s="4">
        <v>15</v>
      </c>
      <c r="Y1614" s="6">
        <v>0.63</v>
      </c>
      <c r="Z1614" s="4" t="s">
        <v>80</v>
      </c>
    </row>
    <row r="1615" spans="1:26" hidden="1" x14ac:dyDescent="0.35">
      <c r="A1615" t="str">
        <f>_xlfn.CONCAT(Tableau1[[#This Row],[Athletes]],"_",Tableau1[[#This Row],[Nationality]],"_",Tableau1[[#This Row],[Competition_year]])</f>
        <v>Laila YAHYAOUI_NED_2026</v>
      </c>
      <c r="B1615" t="s">
        <v>1907</v>
      </c>
      <c r="C1615" t="s">
        <v>29</v>
      </c>
      <c r="D1615" s="18" t="s">
        <v>158</v>
      </c>
      <c r="E1615">
        <v>14.7</v>
      </c>
      <c r="F1615">
        <v>14.4</v>
      </c>
      <c r="G1615">
        <v>15.5</v>
      </c>
      <c r="H1615">
        <v>15.6</v>
      </c>
      <c r="I1615">
        <v>15.8</v>
      </c>
      <c r="J1615">
        <v>15.9</v>
      </c>
      <c r="K1615">
        <v>16.7</v>
      </c>
      <c r="L1615">
        <f>Tableau1[[#This Row],[Final_time]]-SUM(Tableau1[[#This Row],[0_100m]:[600_700m]])</f>
        <v>17.519999999999996</v>
      </c>
      <c r="M1615">
        <v>126.12</v>
      </c>
      <c r="N1615">
        <f>SUM(Tableau1[[#This Row],[0_100m]:[700_800m]])</f>
        <v>126.12</v>
      </c>
      <c r="O1615" s="16">
        <f>ABS(Tableau1[[#This Row],[Final_time]]-Tableau1[[#This Row],[Sum_time]])</f>
        <v>0</v>
      </c>
      <c r="P1615" s="8"/>
      <c r="Q1615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5" t="s">
        <v>1904</v>
      </c>
      <c r="S1615" s="1" t="s">
        <v>68</v>
      </c>
      <c r="U1615" s="1" t="s">
        <v>288</v>
      </c>
      <c r="V1615" s="1">
        <v>46183</v>
      </c>
      <c r="W1615" s="4">
        <f>YEAR(Tableau1[[#This Row],[Competition_date]])</f>
        <v>2026</v>
      </c>
      <c r="X1615" s="4">
        <v>15</v>
      </c>
      <c r="Y1615" s="6">
        <v>0.63</v>
      </c>
      <c r="Z1615" s="4" t="s">
        <v>80</v>
      </c>
    </row>
    <row r="1616" spans="1:26" hidden="1" x14ac:dyDescent="0.35">
      <c r="A1616" t="str">
        <f>_xlfn.CONCAT(Tableau1[[#This Row],[Athletes]],"_",Tableau1[[#This Row],[Nationality]],"_",Tableau1[[#This Row],[Competition_year]])</f>
        <v>Nora HAUGEN_NOR_2026</v>
      </c>
      <c r="B1616" t="s">
        <v>1908</v>
      </c>
      <c r="C1616" t="s">
        <v>29</v>
      </c>
      <c r="D1616" s="18" t="s">
        <v>123</v>
      </c>
      <c r="E1616">
        <v>14.8</v>
      </c>
      <c r="F1616">
        <v>14.2</v>
      </c>
      <c r="G1616">
        <v>15.4</v>
      </c>
      <c r="H1616">
        <v>15.5</v>
      </c>
      <c r="I1616">
        <v>15.8</v>
      </c>
      <c r="J1616">
        <v>16.3</v>
      </c>
      <c r="K1616">
        <v>16.7</v>
      </c>
      <c r="L1616">
        <f>Tableau1[[#This Row],[Final_time]]-SUM(Tableau1[[#This Row],[0_100m]:[600_700m]])</f>
        <v>17.689999999999998</v>
      </c>
      <c r="M1616">
        <v>126.39</v>
      </c>
      <c r="N1616">
        <f>SUM(Tableau1[[#This Row],[0_100m]:[700_800m]])</f>
        <v>126.39</v>
      </c>
      <c r="O1616" s="16">
        <f>ABS(Tableau1[[#This Row],[Final_time]]-Tableau1[[#This Row],[Sum_time]])</f>
        <v>0</v>
      </c>
      <c r="P1616" s="8"/>
      <c r="Q1616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6" t="s">
        <v>1904</v>
      </c>
      <c r="S1616" s="1" t="s">
        <v>68</v>
      </c>
      <c r="U1616" s="1" t="s">
        <v>288</v>
      </c>
      <c r="V1616" s="1">
        <v>46183</v>
      </c>
      <c r="W1616" s="4">
        <f>YEAR(Tableau1[[#This Row],[Competition_date]])</f>
        <v>2026</v>
      </c>
      <c r="X1616" s="4">
        <v>15</v>
      </c>
      <c r="Y1616" s="6">
        <v>0.63</v>
      </c>
      <c r="Z1616" s="4" t="s">
        <v>80</v>
      </c>
    </row>
    <row r="1617" spans="1:26" hidden="1" x14ac:dyDescent="0.35">
      <c r="A1617" t="str">
        <f>_xlfn.CONCAT(Tableau1[[#This Row],[Athletes]],"_",Tableau1[[#This Row],[Nationality]],"_",Tableau1[[#This Row],[Competition_year]])</f>
        <v>Hanna Kristine LARSEN_NOR_2026</v>
      </c>
      <c r="B1617" t="s">
        <v>1909</v>
      </c>
      <c r="C1617" t="s">
        <v>29</v>
      </c>
      <c r="D1617" s="18" t="s">
        <v>123</v>
      </c>
      <c r="E1617">
        <v>15.3</v>
      </c>
      <c r="F1617">
        <v>15.3</v>
      </c>
      <c r="G1617">
        <v>15.3</v>
      </c>
      <c r="H1617">
        <v>15.7</v>
      </c>
      <c r="I1617">
        <v>16.600000000000001</v>
      </c>
      <c r="J1617">
        <v>16.3</v>
      </c>
      <c r="K1617">
        <v>16.899999999999999</v>
      </c>
      <c r="L1617">
        <f>Tableau1[[#This Row],[Final_time]]-SUM(Tableau1[[#This Row],[0_100m]:[600_700m]])</f>
        <v>16.819999999999993</v>
      </c>
      <c r="M1617">
        <v>128.22</v>
      </c>
      <c r="N1617">
        <f>SUM(Tableau1[[#This Row],[0_100m]:[700_800m]])</f>
        <v>128.22</v>
      </c>
      <c r="O1617" s="16">
        <f>ABS(Tableau1[[#This Row],[Final_time]]-Tableau1[[#This Row],[Sum_time]])</f>
        <v>0</v>
      </c>
      <c r="P1617" s="8"/>
      <c r="Q1617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7" t="s">
        <v>1904</v>
      </c>
      <c r="S1617" s="1" t="s">
        <v>68</v>
      </c>
      <c r="U1617" s="1" t="s">
        <v>288</v>
      </c>
      <c r="V1617" s="1">
        <v>46183</v>
      </c>
      <c r="W1617" s="4">
        <f>YEAR(Tableau1[[#This Row],[Competition_date]])</f>
        <v>2026</v>
      </c>
      <c r="X1617" s="4">
        <v>15</v>
      </c>
      <c r="Y1617" s="6">
        <v>0.63</v>
      </c>
      <c r="Z1617" s="4" t="s">
        <v>80</v>
      </c>
    </row>
    <row r="1618" spans="1:26" hidden="1" x14ac:dyDescent="0.35">
      <c r="A1618" t="str">
        <f>_xlfn.CONCAT(Tableau1[[#This Row],[Athletes]],"_",Tableau1[[#This Row],[Nationality]],"_",Tableau1[[#This Row],[Competition_year]])</f>
        <v>Mia Helene MØRCK_DEN_2026</v>
      </c>
      <c r="B1618" t="s">
        <v>1910</v>
      </c>
      <c r="C1618" t="s">
        <v>29</v>
      </c>
      <c r="D1618" s="18" t="s">
        <v>333</v>
      </c>
      <c r="E1618">
        <v>15.3</v>
      </c>
      <c r="F1618">
        <v>15.1</v>
      </c>
      <c r="G1618">
        <v>15</v>
      </c>
      <c r="H1618">
        <v>15.6</v>
      </c>
      <c r="I1618">
        <v>16</v>
      </c>
      <c r="J1618">
        <v>16.899999999999999</v>
      </c>
      <c r="K1618">
        <v>17.399999999999999</v>
      </c>
      <c r="L1618">
        <f>Tableau1[[#This Row],[Final_time]]-SUM(Tableau1[[#This Row],[0_100m]:[600_700m]])</f>
        <v>18.72</v>
      </c>
      <c r="M1618">
        <v>130.02000000000001</v>
      </c>
      <c r="N1618">
        <f>SUM(Tableau1[[#This Row],[0_100m]:[700_800m]])</f>
        <v>130.02000000000001</v>
      </c>
      <c r="O1618" s="16">
        <f>ABS(Tableau1[[#This Row],[Final_time]]-Tableau1[[#This Row],[Sum_time]])</f>
        <v>0</v>
      </c>
      <c r="P1618" s="8"/>
      <c r="Q1618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8" t="s">
        <v>1904</v>
      </c>
      <c r="S1618" s="1" t="s">
        <v>68</v>
      </c>
      <c r="U1618" s="1" t="s">
        <v>288</v>
      </c>
      <c r="V1618" s="1">
        <v>46183</v>
      </c>
      <c r="W1618" s="4">
        <f>YEAR(Tableau1[[#This Row],[Competition_date]])</f>
        <v>2026</v>
      </c>
      <c r="X1618" s="4">
        <v>15</v>
      </c>
      <c r="Y1618" s="6">
        <v>0.63</v>
      </c>
      <c r="Z1618" s="4" t="s">
        <v>80</v>
      </c>
    </row>
    <row r="1619" spans="1:26" hidden="1" x14ac:dyDescent="0.35">
      <c r="A1619" t="str">
        <f>_xlfn.CONCAT(Tableau1[[#This Row],[Athletes]],"_",Tableau1[[#This Row],[Nationality]],"_",Tableau1[[#This Row],[Competition_year]])</f>
        <v>Josefin Victoria HEIER_NOR_2026</v>
      </c>
      <c r="B1619" t="s">
        <v>338</v>
      </c>
      <c r="C1619" t="s">
        <v>29</v>
      </c>
      <c r="D1619" s="18" t="s">
        <v>123</v>
      </c>
      <c r="E1619">
        <v>15.5</v>
      </c>
      <c r="F1619">
        <v>15</v>
      </c>
      <c r="G1619">
        <v>15.2</v>
      </c>
      <c r="H1619">
        <v>15.5</v>
      </c>
      <c r="I1619">
        <v>16.3</v>
      </c>
      <c r="J1619">
        <v>16.600000000000001</v>
      </c>
      <c r="K1619">
        <v>17.7</v>
      </c>
      <c r="L1619">
        <f>Tableau1[[#This Row],[Final_time]]-SUM(Tableau1[[#This Row],[0_100m]:[600_700m]])</f>
        <v>19.070000000000007</v>
      </c>
      <c r="M1619">
        <v>130.87</v>
      </c>
      <c r="N1619">
        <f>SUM(Tableau1[[#This Row],[0_100m]:[700_800m]])</f>
        <v>130.87</v>
      </c>
      <c r="O1619" s="16">
        <f>ABS(Tableau1[[#This Row],[Final_time]]-Tableau1[[#This Row],[Sum_time]])</f>
        <v>0</v>
      </c>
      <c r="P1619" s="8"/>
      <c r="Q1619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19" t="s">
        <v>1904</v>
      </c>
      <c r="S1619" s="1" t="s">
        <v>68</v>
      </c>
      <c r="U1619" s="1" t="s">
        <v>288</v>
      </c>
      <c r="V1619" s="1">
        <v>46183</v>
      </c>
      <c r="W1619" s="4">
        <f>YEAR(Tableau1[[#This Row],[Competition_date]])</f>
        <v>2026</v>
      </c>
      <c r="X1619" s="4">
        <v>15</v>
      </c>
      <c r="Y1619" s="6">
        <v>0.63</v>
      </c>
      <c r="Z1619" s="4" t="s">
        <v>80</v>
      </c>
    </row>
    <row r="1620" spans="1:26" hidden="1" x14ac:dyDescent="0.35">
      <c r="A1620" t="str">
        <f>_xlfn.CONCAT(Tableau1[[#This Row],[Athletes]],"_",Tableau1[[#This Row],[Nationality]],"_",Tableau1[[#This Row],[Competition_year]])</f>
        <v>Selma Alison BOESEN SKISAKER_NOR_2026</v>
      </c>
      <c r="B1620" t="s">
        <v>1911</v>
      </c>
      <c r="C1620" t="s">
        <v>29</v>
      </c>
      <c r="D1620" s="18" t="s">
        <v>123</v>
      </c>
      <c r="E1620">
        <v>15.4</v>
      </c>
      <c r="F1620">
        <v>15.5</v>
      </c>
      <c r="G1620">
        <v>15.2</v>
      </c>
      <c r="H1620">
        <v>15.4</v>
      </c>
      <c r="I1620">
        <v>16.600000000000001</v>
      </c>
      <c r="J1620">
        <v>17.5</v>
      </c>
      <c r="K1620">
        <v>18.399999999999999</v>
      </c>
      <c r="L1620">
        <f>Tableau1[[#This Row],[Final_time]]-SUM(Tableau1[[#This Row],[0_100m]:[600_700m]])</f>
        <v>18.47</v>
      </c>
      <c r="M1620">
        <v>132.47</v>
      </c>
      <c r="N1620">
        <f>SUM(Tableau1[[#This Row],[0_100m]:[700_800m]])</f>
        <v>132.47</v>
      </c>
      <c r="O1620" s="16">
        <f>ABS(Tableau1[[#This Row],[Final_time]]-Tableau1[[#This Row],[Sum_time]])</f>
        <v>0</v>
      </c>
      <c r="P1620" s="8"/>
      <c r="Q1620" s="16" t="str">
        <f>_xlfn.CONCAT(Tableau1[[#This Row],[Competition]],"_",Tableau1[[#This Row],[Championship_step]],"_",Tableau1[[#This Row],[Competition_date]],"_",Tableau1[[#This Row],[Gender]])</f>
        <v>Diamond League Oslo 2026 - B race__46183_Female</v>
      </c>
      <c r="R1620" t="s">
        <v>1904</v>
      </c>
      <c r="S1620" s="1" t="s">
        <v>68</v>
      </c>
      <c r="U1620" s="1" t="s">
        <v>288</v>
      </c>
      <c r="V1620" s="1">
        <v>46183</v>
      </c>
      <c r="W1620" s="4">
        <f>YEAR(Tableau1[[#This Row],[Competition_date]])</f>
        <v>2026</v>
      </c>
      <c r="X1620" s="4">
        <v>15</v>
      </c>
      <c r="Y1620" s="6">
        <v>0.63</v>
      </c>
      <c r="Z1620" s="4" t="s">
        <v>80</v>
      </c>
    </row>
    <row r="1621" spans="1:26" hidden="1" x14ac:dyDescent="0.35">
      <c r="A1621" t="str">
        <f>_xlfn.CONCAT(Tableau1[[#This Row],[Athletes]],"_",Tableau1[[#This Row],[Nationality]],"_",Tableau1[[#This Row],[Competition_year]])</f>
        <v>Addison WILEY_USA_2026</v>
      </c>
      <c r="B1621" t="s">
        <v>533</v>
      </c>
      <c r="C1621" t="s">
        <v>29</v>
      </c>
      <c r="D1621" s="18" t="s">
        <v>35</v>
      </c>
      <c r="E1621">
        <v>14.1</v>
      </c>
      <c r="F1621">
        <v>13.7</v>
      </c>
      <c r="G1621">
        <v>14.5</v>
      </c>
      <c r="H1621">
        <v>14.7</v>
      </c>
      <c r="I1621">
        <v>15.1</v>
      </c>
      <c r="J1621">
        <v>15.4</v>
      </c>
      <c r="K1621">
        <v>15.2</v>
      </c>
      <c r="L1621">
        <f>Tableau1[[#This Row],[Final_time]]-SUM(Tableau1[[#This Row],[0_100m]:[600_700m]])</f>
        <v>15.280000000000001</v>
      </c>
      <c r="M1621">
        <v>117.98</v>
      </c>
      <c r="N1621">
        <f>SUM(Tableau1[[#This Row],[0_100m]:[700_800m]])</f>
        <v>117.98</v>
      </c>
      <c r="O1621" s="16">
        <f>ABS(Tableau1[[#This Row],[Final_time]]-Tableau1[[#This Row],[Sum_time]])</f>
        <v>0</v>
      </c>
      <c r="P1621" s="8"/>
      <c r="Q1621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1" t="s">
        <v>1914</v>
      </c>
      <c r="S1621" s="1" t="s">
        <v>68</v>
      </c>
      <c r="U1621" s="1" t="s">
        <v>69</v>
      </c>
      <c r="V1621" s="1">
        <v>46192</v>
      </c>
      <c r="W1621" s="4">
        <f>YEAR(Tableau1[[#This Row],[Competition_date]])</f>
        <v>2026</v>
      </c>
      <c r="X1621" s="4">
        <v>33</v>
      </c>
      <c r="Y1621" s="6">
        <v>0.6</v>
      </c>
      <c r="Z1621" s="4" t="s">
        <v>82</v>
      </c>
    </row>
    <row r="1622" spans="1:26" hidden="1" x14ac:dyDescent="0.35">
      <c r="A1622" t="str">
        <f>_xlfn.CONCAT(Tableau1[[#This Row],[Athletes]],"_",Tableau1[[#This Row],[Nationality]],"_",Tableau1[[#This Row],[Competition_year]])</f>
        <v>Tsige DUGUMA_ETH_2026</v>
      </c>
      <c r="B1622" t="s">
        <v>1283</v>
      </c>
      <c r="C1622" t="s">
        <v>29</v>
      </c>
      <c r="D1622" s="18" t="s">
        <v>49</v>
      </c>
      <c r="E1622">
        <v>14.2</v>
      </c>
      <c r="F1622">
        <v>13.7</v>
      </c>
      <c r="G1622">
        <v>14.9</v>
      </c>
      <c r="H1622">
        <v>14.9</v>
      </c>
      <c r="I1622">
        <v>15.2</v>
      </c>
      <c r="J1622">
        <v>14.7</v>
      </c>
      <c r="K1622">
        <v>15.1</v>
      </c>
      <c r="L1622">
        <f>Tableau1[[#This Row],[Final_time]]-SUM(Tableau1[[#This Row],[0_100m]:[600_700m]])</f>
        <v>15.38000000000001</v>
      </c>
      <c r="M1622">
        <v>118.08</v>
      </c>
      <c r="N1622">
        <f>SUM(Tableau1[[#This Row],[0_100m]:[700_800m]])</f>
        <v>118.08</v>
      </c>
      <c r="O1622" s="16">
        <f>ABS(Tableau1[[#This Row],[Final_time]]-Tableau1[[#This Row],[Sum_time]])</f>
        <v>0</v>
      </c>
      <c r="P1622" s="8"/>
      <c r="Q1622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2" t="s">
        <v>1914</v>
      </c>
      <c r="S1622" s="1" t="s">
        <v>68</v>
      </c>
      <c r="U1622" s="1" t="s">
        <v>69</v>
      </c>
      <c r="V1622" s="1">
        <v>46192</v>
      </c>
      <c r="W1622" s="4">
        <f>YEAR(Tableau1[[#This Row],[Competition_date]])</f>
        <v>2026</v>
      </c>
      <c r="X1622" s="4">
        <v>33</v>
      </c>
      <c r="Y1622" s="6">
        <v>0.6</v>
      </c>
      <c r="Z1622" s="4" t="s">
        <v>82</v>
      </c>
    </row>
    <row r="1623" spans="1:26" hidden="1" x14ac:dyDescent="0.35">
      <c r="A1623" t="str">
        <f>_xlfn.CONCAT(Tableau1[[#This Row],[Athletes]],"_",Tableau1[[#This Row],[Nationality]],"_",Tableau1[[#This Row],[Competition_year]])</f>
        <v>Halimah NAKAAYI_UGA_2026</v>
      </c>
      <c r="B1623" t="s">
        <v>230</v>
      </c>
      <c r="C1623" t="s">
        <v>29</v>
      </c>
      <c r="D1623" s="18" t="s">
        <v>34</v>
      </c>
      <c r="E1623">
        <v>13.7</v>
      </c>
      <c r="F1623">
        <v>14.1</v>
      </c>
      <c r="G1623">
        <v>14.2</v>
      </c>
      <c r="H1623">
        <v>14.9</v>
      </c>
      <c r="I1623">
        <v>15.4</v>
      </c>
      <c r="J1623">
        <v>15.3</v>
      </c>
      <c r="K1623">
        <v>15.2</v>
      </c>
      <c r="L1623">
        <f>Tableau1[[#This Row],[Final_time]]-SUM(Tableau1[[#This Row],[0_100m]:[600_700m]])</f>
        <v>15.61</v>
      </c>
      <c r="M1623">
        <v>118.41</v>
      </c>
      <c r="N1623">
        <f>SUM(Tableau1[[#This Row],[0_100m]:[700_800m]])</f>
        <v>118.41</v>
      </c>
      <c r="O1623" s="16">
        <f>ABS(Tableau1[[#This Row],[Final_time]]-Tableau1[[#This Row],[Sum_time]])</f>
        <v>0</v>
      </c>
      <c r="P1623" s="8"/>
      <c r="Q1623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3" t="s">
        <v>1914</v>
      </c>
      <c r="S1623" s="1" t="s">
        <v>68</v>
      </c>
      <c r="U1623" s="1" t="s">
        <v>69</v>
      </c>
      <c r="V1623" s="1">
        <v>46192</v>
      </c>
      <c r="W1623" s="4">
        <f>YEAR(Tableau1[[#This Row],[Competition_date]])</f>
        <v>2026</v>
      </c>
      <c r="X1623" s="4">
        <v>33</v>
      </c>
      <c r="Y1623" s="6">
        <v>0.6</v>
      </c>
      <c r="Z1623" s="4" t="s">
        <v>82</v>
      </c>
    </row>
    <row r="1624" spans="1:26" hidden="1" x14ac:dyDescent="0.35">
      <c r="A1624" t="str">
        <f>_xlfn.CONCAT(Tableau1[[#This Row],[Athletes]],"_",Tableau1[[#This Row],[Nationality]],"_",Tableau1[[#This Row],[Competition_year]])</f>
        <v>Prudence SEKGODISO_RSA_2026</v>
      </c>
      <c r="B1624" t="s">
        <v>235</v>
      </c>
      <c r="C1624" t="s">
        <v>29</v>
      </c>
      <c r="D1624" s="18" t="s">
        <v>96</v>
      </c>
      <c r="E1624">
        <v>13.8</v>
      </c>
      <c r="F1624">
        <v>13.8</v>
      </c>
      <c r="G1624">
        <v>14.8</v>
      </c>
      <c r="H1624">
        <v>14.9</v>
      </c>
      <c r="I1624">
        <v>15.2</v>
      </c>
      <c r="J1624">
        <v>15.2</v>
      </c>
      <c r="K1624">
        <v>15.3</v>
      </c>
      <c r="L1624">
        <f>Tableau1[[#This Row],[Final_time]]-SUM(Tableau1[[#This Row],[0_100m]:[600_700m]])</f>
        <v>15.61</v>
      </c>
      <c r="M1624">
        <v>118.61</v>
      </c>
      <c r="N1624">
        <f>SUM(Tableau1[[#This Row],[0_100m]:[700_800m]])</f>
        <v>118.61</v>
      </c>
      <c r="O1624" s="16">
        <f>ABS(Tableau1[[#This Row],[Final_time]]-Tableau1[[#This Row],[Sum_time]])</f>
        <v>0</v>
      </c>
      <c r="P1624" s="8"/>
      <c r="Q1624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4" t="s">
        <v>1914</v>
      </c>
      <c r="S1624" s="1" t="s">
        <v>68</v>
      </c>
      <c r="U1624" s="1" t="s">
        <v>69</v>
      </c>
      <c r="V1624" s="1">
        <v>46192</v>
      </c>
      <c r="W1624" s="4">
        <f>YEAR(Tableau1[[#This Row],[Competition_date]])</f>
        <v>2026</v>
      </c>
      <c r="X1624" s="4">
        <v>33</v>
      </c>
      <c r="Y1624" s="6">
        <v>0.6</v>
      </c>
      <c r="Z1624" s="4" t="s">
        <v>82</v>
      </c>
    </row>
    <row r="1625" spans="1:26" hidden="1" x14ac:dyDescent="0.35">
      <c r="A1625" t="str">
        <f>_xlfn.CONCAT(Tableau1[[#This Row],[Athletes]],"_",Tableau1[[#This Row],[Nationality]],"_",Tableau1[[#This Row],[Competition_year]])</f>
        <v>Oratile NOWE_BOT_2026</v>
      </c>
      <c r="B1625" t="s">
        <v>1352</v>
      </c>
      <c r="C1625" t="s">
        <v>29</v>
      </c>
      <c r="D1625" s="18" t="s">
        <v>44</v>
      </c>
      <c r="E1625">
        <v>13.9</v>
      </c>
      <c r="F1625">
        <v>13.7</v>
      </c>
      <c r="G1625">
        <v>14.6</v>
      </c>
      <c r="H1625">
        <v>15</v>
      </c>
      <c r="I1625">
        <v>15.4</v>
      </c>
      <c r="J1625">
        <v>15.3</v>
      </c>
      <c r="K1625">
        <v>15.5</v>
      </c>
      <c r="L1625">
        <f>Tableau1[[#This Row],[Final_time]]-SUM(Tableau1[[#This Row],[0_100m]:[600_700m]])</f>
        <v>15.259999999999991</v>
      </c>
      <c r="M1625">
        <v>118.66</v>
      </c>
      <c r="N1625">
        <f>SUM(Tableau1[[#This Row],[0_100m]:[700_800m]])</f>
        <v>118.66</v>
      </c>
      <c r="O1625" s="16">
        <f>ABS(Tableau1[[#This Row],[Final_time]]-Tableau1[[#This Row],[Sum_time]])</f>
        <v>0</v>
      </c>
      <c r="P1625" s="8"/>
      <c r="Q1625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5" t="s">
        <v>1914</v>
      </c>
      <c r="S1625" s="1" t="s">
        <v>68</v>
      </c>
      <c r="U1625" s="1" t="s">
        <v>69</v>
      </c>
      <c r="V1625" s="1">
        <v>46192</v>
      </c>
      <c r="W1625" s="4">
        <f>YEAR(Tableau1[[#This Row],[Competition_date]])</f>
        <v>2026</v>
      </c>
      <c r="X1625" s="4">
        <v>33</v>
      </c>
      <c r="Y1625" s="6">
        <v>0.6</v>
      </c>
      <c r="Z1625" s="4" t="s">
        <v>82</v>
      </c>
    </row>
    <row r="1626" spans="1:26" hidden="1" x14ac:dyDescent="0.35">
      <c r="A1626" t="str">
        <f>_xlfn.CONCAT(Tableau1[[#This Row],[Athletes]],"_",Tableau1[[#This Row],[Nationality]],"_",Tableau1[[#This Row],[Competition_year]])</f>
        <v>Nigist GETACHEW_ETH_2026</v>
      </c>
      <c r="B1626" t="s">
        <v>1105</v>
      </c>
      <c r="C1626" t="s">
        <v>29</v>
      </c>
      <c r="D1626" s="18" t="s">
        <v>49</v>
      </c>
      <c r="E1626">
        <v>14</v>
      </c>
      <c r="F1626">
        <v>13.7</v>
      </c>
      <c r="G1626">
        <v>14.9</v>
      </c>
      <c r="H1626">
        <v>15</v>
      </c>
      <c r="I1626">
        <v>15.2</v>
      </c>
      <c r="J1626">
        <v>15.1</v>
      </c>
      <c r="K1626">
        <v>15.4</v>
      </c>
      <c r="L1626">
        <f>Tableau1[[#This Row],[Final_time]]-SUM(Tableau1[[#This Row],[0_100m]:[600_700m]])</f>
        <v>15.820000000000007</v>
      </c>
      <c r="M1626">
        <v>119.12</v>
      </c>
      <c r="N1626">
        <f>SUM(Tableau1[[#This Row],[0_100m]:[700_800m]])</f>
        <v>119.12</v>
      </c>
      <c r="O1626" s="16">
        <f>ABS(Tableau1[[#This Row],[Final_time]]-Tableau1[[#This Row],[Sum_time]])</f>
        <v>0</v>
      </c>
      <c r="P1626" s="8"/>
      <c r="Q1626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6" t="s">
        <v>1914</v>
      </c>
      <c r="S1626" s="1" t="s">
        <v>68</v>
      </c>
      <c r="U1626" s="1" t="s">
        <v>69</v>
      </c>
      <c r="V1626" s="1">
        <v>46192</v>
      </c>
      <c r="W1626" s="4">
        <f>YEAR(Tableau1[[#This Row],[Competition_date]])</f>
        <v>2026</v>
      </c>
      <c r="X1626" s="4">
        <v>33</v>
      </c>
      <c r="Y1626" s="6">
        <v>0.6</v>
      </c>
      <c r="Z1626" s="4" t="s">
        <v>82</v>
      </c>
    </row>
    <row r="1627" spans="1:26" hidden="1" x14ac:dyDescent="0.35">
      <c r="A1627" t="str">
        <f>_xlfn.CONCAT(Tableau1[[#This Row],[Athletes]],"_",Tableau1[[#This Row],[Nationality]],"_",Tableau1[[#This Row],[Competition_year]])</f>
        <v>Rénelle LAMOTE_FRA_2026</v>
      </c>
      <c r="B1627" t="s">
        <v>225</v>
      </c>
      <c r="C1627" t="s">
        <v>29</v>
      </c>
      <c r="D1627" s="18" t="s">
        <v>17</v>
      </c>
      <c r="E1627">
        <v>14</v>
      </c>
      <c r="F1627">
        <v>13.9</v>
      </c>
      <c r="G1627">
        <v>15.1</v>
      </c>
      <c r="H1627">
        <v>15</v>
      </c>
      <c r="I1627">
        <v>15.2</v>
      </c>
      <c r="J1627">
        <v>15.5</v>
      </c>
      <c r="K1627">
        <v>15.6</v>
      </c>
      <c r="L1627">
        <f>Tableau1[[#This Row],[Final_time]]-SUM(Tableau1[[#This Row],[0_100m]:[600_700m]])</f>
        <v>14.909999999999997</v>
      </c>
      <c r="M1627">
        <v>119.21</v>
      </c>
      <c r="N1627">
        <f>SUM(Tableau1[[#This Row],[0_100m]:[700_800m]])</f>
        <v>119.21</v>
      </c>
      <c r="O1627" s="16">
        <f>ABS(Tableau1[[#This Row],[Final_time]]-Tableau1[[#This Row],[Sum_time]])</f>
        <v>0</v>
      </c>
      <c r="P1627" s="8"/>
      <c r="Q1627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7" t="s">
        <v>1914</v>
      </c>
      <c r="S1627" s="1" t="s">
        <v>68</v>
      </c>
      <c r="U1627" s="1" t="s">
        <v>69</v>
      </c>
      <c r="V1627" s="1">
        <v>46192</v>
      </c>
      <c r="W1627" s="4">
        <f>YEAR(Tableau1[[#This Row],[Competition_date]])</f>
        <v>2026</v>
      </c>
      <c r="X1627" s="4">
        <v>33</v>
      </c>
      <c r="Y1627" s="6">
        <v>0.6</v>
      </c>
      <c r="Z1627" s="4" t="s">
        <v>82</v>
      </c>
    </row>
    <row r="1628" spans="1:26" hidden="1" x14ac:dyDescent="0.35">
      <c r="A1628" t="str">
        <f>_xlfn.CONCAT(Tableau1[[#This Row],[Athletes]],"_",Tableau1[[#This Row],[Nationality]],"_",Tableau1[[#This Row],[Competition_year]])</f>
        <v>Shafiqua MALONEY_VIN_2026</v>
      </c>
      <c r="B1628" t="s">
        <v>270</v>
      </c>
      <c r="C1628" t="s">
        <v>29</v>
      </c>
      <c r="D1628" s="18" t="s">
        <v>72</v>
      </c>
      <c r="E1628">
        <v>13.7</v>
      </c>
      <c r="F1628">
        <v>14</v>
      </c>
      <c r="G1628">
        <v>14.8</v>
      </c>
      <c r="H1628">
        <v>14.8</v>
      </c>
      <c r="I1628">
        <v>15.1</v>
      </c>
      <c r="J1628">
        <v>15.5</v>
      </c>
      <c r="K1628">
        <v>15.8</v>
      </c>
      <c r="L1628">
        <f>Tableau1[[#This Row],[Final_time]]-SUM(Tableau1[[#This Row],[0_100m]:[600_700m]])</f>
        <v>15.780000000000015</v>
      </c>
      <c r="M1628">
        <v>119.48</v>
      </c>
      <c r="N1628">
        <f>SUM(Tableau1[[#This Row],[0_100m]:[700_800m]])</f>
        <v>119.48</v>
      </c>
      <c r="O1628" s="16">
        <f>ABS(Tableau1[[#This Row],[Final_time]]-Tableau1[[#This Row],[Sum_time]])</f>
        <v>0</v>
      </c>
      <c r="P1628" s="8"/>
      <c r="Q1628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8" t="s">
        <v>1914</v>
      </c>
      <c r="S1628" s="1" t="s">
        <v>68</v>
      </c>
      <c r="U1628" s="1" t="s">
        <v>69</v>
      </c>
      <c r="V1628" s="1">
        <v>46192</v>
      </c>
      <c r="W1628" s="4">
        <f>YEAR(Tableau1[[#This Row],[Competition_date]])</f>
        <v>2026</v>
      </c>
      <c r="X1628" s="4">
        <v>33</v>
      </c>
      <c r="Y1628" s="6">
        <v>0.6</v>
      </c>
      <c r="Z1628" s="4" t="s">
        <v>82</v>
      </c>
    </row>
    <row r="1629" spans="1:26" hidden="1" x14ac:dyDescent="0.35">
      <c r="A1629" t="str">
        <f>_xlfn.CONCAT(Tableau1[[#This Row],[Athletes]],"_",Tableau1[[#This Row],[Nationality]],"_",Tableau1[[#This Row],[Competition_year]])</f>
        <v>Lorea IBARZABAL_ESP_2026</v>
      </c>
      <c r="B1629" t="s">
        <v>1001</v>
      </c>
      <c r="C1629" t="s">
        <v>29</v>
      </c>
      <c r="D1629" s="18" t="s">
        <v>37</v>
      </c>
      <c r="E1629">
        <v>14.3</v>
      </c>
      <c r="F1629">
        <v>13.8</v>
      </c>
      <c r="G1629">
        <v>15</v>
      </c>
      <c r="H1629">
        <v>15.2</v>
      </c>
      <c r="I1629">
        <v>15.2</v>
      </c>
      <c r="J1629">
        <v>15.3</v>
      </c>
      <c r="K1629">
        <v>15.7</v>
      </c>
      <c r="L1629">
        <f>Tableau1[[#This Row],[Final_time]]-SUM(Tableau1[[#This Row],[0_100m]:[600_700m]])</f>
        <v>15.340000000000003</v>
      </c>
      <c r="M1629">
        <v>119.84</v>
      </c>
      <c r="N1629">
        <f>SUM(Tableau1[[#This Row],[0_100m]:[700_800m]])</f>
        <v>119.84</v>
      </c>
      <c r="O1629" s="16">
        <f>ABS(Tableau1[[#This Row],[Final_time]]-Tableau1[[#This Row],[Sum_time]])</f>
        <v>0</v>
      </c>
      <c r="P1629" s="8"/>
      <c r="Q1629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29" t="s">
        <v>1914</v>
      </c>
      <c r="S1629" s="1" t="s">
        <v>68</v>
      </c>
      <c r="U1629" s="1" t="s">
        <v>69</v>
      </c>
      <c r="V1629" s="1">
        <v>46192</v>
      </c>
      <c r="W1629" s="4">
        <f>YEAR(Tableau1[[#This Row],[Competition_date]])</f>
        <v>2026</v>
      </c>
      <c r="X1629" s="4">
        <v>33</v>
      </c>
      <c r="Y1629" s="6">
        <v>0.6</v>
      </c>
      <c r="Z1629" s="4" t="s">
        <v>82</v>
      </c>
    </row>
    <row r="1630" spans="1:26" hidden="1" x14ac:dyDescent="0.35">
      <c r="A1630" t="str">
        <f>_xlfn.CONCAT(Tableau1[[#This Row],[Athletes]],"_",Tableau1[[#This Row],[Nationality]],"_",Tableau1[[#This Row],[Competition_year]])</f>
        <v>Msgana HAILU_ETH_2026</v>
      </c>
      <c r="B1630" t="s">
        <v>1912</v>
      </c>
      <c r="C1630" t="s">
        <v>29</v>
      </c>
      <c r="D1630" s="18" t="s">
        <v>49</v>
      </c>
      <c r="E1630">
        <v>13.9</v>
      </c>
      <c r="F1630">
        <v>14</v>
      </c>
      <c r="G1630">
        <v>15.2</v>
      </c>
      <c r="H1630">
        <v>14.8</v>
      </c>
      <c r="I1630">
        <v>15.4</v>
      </c>
      <c r="J1630">
        <v>15.2</v>
      </c>
      <c r="K1630">
        <v>15.9</v>
      </c>
      <c r="L1630">
        <f>Tableau1[[#This Row],[Final_time]]-SUM(Tableau1[[#This Row],[0_100m]:[600_700m]])</f>
        <v>17.069999999999993</v>
      </c>
      <c r="M1630">
        <v>121.47</v>
      </c>
      <c r="N1630">
        <f>SUM(Tableau1[[#This Row],[0_100m]:[700_800m]])</f>
        <v>121.47</v>
      </c>
      <c r="O1630" s="16">
        <f>ABS(Tableau1[[#This Row],[Final_time]]-Tableau1[[#This Row],[Sum_time]])</f>
        <v>0</v>
      </c>
      <c r="P1630" s="8"/>
      <c r="Q1630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30" t="s">
        <v>1914</v>
      </c>
      <c r="S1630" s="1" t="s">
        <v>68</v>
      </c>
      <c r="U1630" s="1" t="s">
        <v>69</v>
      </c>
      <c r="V1630" s="1">
        <v>46192</v>
      </c>
      <c r="W1630" s="4">
        <f>YEAR(Tableau1[[#This Row],[Competition_date]])</f>
        <v>2026</v>
      </c>
      <c r="X1630" s="4">
        <v>33</v>
      </c>
      <c r="Y1630" s="6">
        <v>0.6</v>
      </c>
      <c r="Z1630" s="4" t="s">
        <v>82</v>
      </c>
    </row>
    <row r="1631" spans="1:26" hidden="1" x14ac:dyDescent="0.35">
      <c r="A1631" t="str">
        <f>_xlfn.CONCAT(Tableau1[[#This Row],[Athletes]],"_",Tableau1[[#This Row],[Nationality]],"_",Tableau1[[#This Row],[Competition_year]])</f>
        <v>Lore HOFFMANN_SUI_2026</v>
      </c>
      <c r="B1631" t="s">
        <v>224</v>
      </c>
      <c r="C1631" t="s">
        <v>29</v>
      </c>
      <c r="D1631" s="18" t="s">
        <v>73</v>
      </c>
      <c r="E1631">
        <v>14.4</v>
      </c>
      <c r="F1631">
        <v>13.8</v>
      </c>
      <c r="G1631">
        <v>15.4</v>
      </c>
      <c r="H1631">
        <v>15.2</v>
      </c>
      <c r="I1631">
        <v>15.5</v>
      </c>
      <c r="J1631">
        <v>15.9</v>
      </c>
      <c r="K1631">
        <v>15.9</v>
      </c>
      <c r="L1631">
        <f>Tableau1[[#This Row],[Final_time]]-SUM(Tableau1[[#This Row],[0_100m]:[600_700m]])</f>
        <v>15.859999999999985</v>
      </c>
      <c r="M1631">
        <v>121.96</v>
      </c>
      <c r="N1631">
        <f>SUM(Tableau1[[#This Row],[0_100m]:[700_800m]])</f>
        <v>121.96</v>
      </c>
      <c r="O1631" s="16">
        <f>ABS(Tableau1[[#This Row],[Final_time]]-Tableau1[[#This Row],[Sum_time]])</f>
        <v>0</v>
      </c>
      <c r="P1631" s="8"/>
      <c r="Q1631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31" t="s">
        <v>1914</v>
      </c>
      <c r="S1631" s="1" t="s">
        <v>68</v>
      </c>
      <c r="U1631" s="1" t="s">
        <v>69</v>
      </c>
      <c r="V1631" s="1">
        <v>46192</v>
      </c>
      <c r="W1631" s="4">
        <f>YEAR(Tableau1[[#This Row],[Competition_date]])</f>
        <v>2026</v>
      </c>
      <c r="X1631" s="4">
        <v>33</v>
      </c>
      <c r="Y1631" s="6">
        <v>0.6</v>
      </c>
      <c r="Z1631" s="4" t="s">
        <v>82</v>
      </c>
    </row>
    <row r="1632" spans="1:26" hidden="1" x14ac:dyDescent="0.35">
      <c r="A1632" t="str">
        <f>_xlfn.CONCAT(Tableau1[[#This Row],[Athletes]],"_",Tableau1[[#This Row],[Nationality]],"_",Tableau1[[#This Row],[Competition_year]])</f>
        <v>Ageze Saida TSEHAYE_ETH_2026</v>
      </c>
      <c r="B1632" t="s">
        <v>1913</v>
      </c>
      <c r="C1632" t="s">
        <v>29</v>
      </c>
      <c r="D1632" s="18" t="s">
        <v>49</v>
      </c>
      <c r="E1632">
        <v>14.7</v>
      </c>
      <c r="F1632">
        <v>13.6</v>
      </c>
      <c r="G1632">
        <v>15.1</v>
      </c>
      <c r="H1632">
        <v>15.1</v>
      </c>
      <c r="I1632">
        <v>15.5</v>
      </c>
      <c r="J1632">
        <v>16.5</v>
      </c>
      <c r="K1632">
        <v>16.899999999999999</v>
      </c>
      <c r="L1632">
        <f>Tableau1[[#This Row],[Final_time]]-SUM(Tableau1[[#This Row],[0_100m]:[600_700m]])</f>
        <v>16.819999999999993</v>
      </c>
      <c r="M1632">
        <v>124.22</v>
      </c>
      <c r="N1632">
        <f>SUM(Tableau1[[#This Row],[0_100m]:[700_800m]])</f>
        <v>124.22</v>
      </c>
      <c r="O1632" s="16">
        <f>ABS(Tableau1[[#This Row],[Final_time]]-Tableau1[[#This Row],[Sum_time]])</f>
        <v>0</v>
      </c>
      <c r="P1632" s="8"/>
      <c r="Q1632" s="16" t="str">
        <f>_xlfn.CONCAT(Tableau1[[#This Row],[Competition]],"_",Tableau1[[#This Row],[Championship_step]],"_",Tableau1[[#This Row],[Competition_date]],"_",Tableau1[[#This Row],[Gender]])</f>
        <v>Diamond League Doha 2026__46192_Female</v>
      </c>
      <c r="R1632" t="s">
        <v>1914</v>
      </c>
      <c r="S1632" s="1" t="s">
        <v>68</v>
      </c>
      <c r="U1632" s="1" t="s">
        <v>69</v>
      </c>
      <c r="V1632" s="1">
        <v>46192</v>
      </c>
      <c r="W1632" s="4">
        <f>YEAR(Tableau1[[#This Row],[Competition_date]])</f>
        <v>2026</v>
      </c>
      <c r="X1632" s="4">
        <v>33</v>
      </c>
      <c r="Y1632" s="6">
        <v>0.6</v>
      </c>
      <c r="Z1632" s="4" t="s">
        <v>82</v>
      </c>
    </row>
    <row r="1633" spans="1:26" hidden="1" x14ac:dyDescent="0.35">
      <c r="A1633" t="str">
        <f>_xlfn.CONCAT(Tableau1[[#This Row],[Athletes]],"_",Tableau1[[#This Row],[Nationality]],"_",Tableau1[[#This Row],[Competition_year]])</f>
        <v>Keely HODGKINSON_GBR_2026</v>
      </c>
      <c r="B1633" t="s">
        <v>212</v>
      </c>
      <c r="C1633" t="s">
        <v>29</v>
      </c>
      <c r="D1633" s="18" t="s">
        <v>30</v>
      </c>
      <c r="E1633">
        <v>13.6</v>
      </c>
      <c r="F1633">
        <v>13.7</v>
      </c>
      <c r="G1633">
        <v>14.7</v>
      </c>
      <c r="H1633">
        <v>15.1</v>
      </c>
      <c r="I1633">
        <v>14.5</v>
      </c>
      <c r="J1633">
        <v>14.8</v>
      </c>
      <c r="K1633">
        <v>14.8</v>
      </c>
      <c r="L1633">
        <f>Tableau1[[#This Row],[Final_time]]-SUM(Tableau1[[#This Row],[0_100m]:[600_700m]])</f>
        <v>15.010000000000005</v>
      </c>
      <c r="M1633">
        <v>116.21</v>
      </c>
      <c r="N1633">
        <f>SUM(Tableau1[[#This Row],[0_100m]:[700_800m]])</f>
        <v>116.21</v>
      </c>
      <c r="O1633" s="16">
        <f>ABS(Tableau1[[#This Row],[Final_time]]-Tableau1[[#This Row],[Sum_time]])</f>
        <v>0</v>
      </c>
      <c r="P1633" s="8"/>
      <c r="Q1633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3" t="s">
        <v>1916</v>
      </c>
      <c r="S1633" s="1" t="s">
        <v>68</v>
      </c>
      <c r="U1633" s="1" t="s">
        <v>69</v>
      </c>
      <c r="V1633" s="1">
        <v>46221</v>
      </c>
      <c r="W1633" s="4">
        <f>YEAR(Tableau1[[#This Row],[Competition_date]])</f>
        <v>2026</v>
      </c>
      <c r="X1633" s="4">
        <v>24</v>
      </c>
      <c r="Y1633" s="6">
        <v>0.41</v>
      </c>
      <c r="Z1633" s="4" t="s">
        <v>80</v>
      </c>
    </row>
    <row r="1634" spans="1:26" hidden="1" x14ac:dyDescent="0.35">
      <c r="A1634" t="str">
        <f>_xlfn.CONCAT(Tableau1[[#This Row],[Athletes]],"_",Tableau1[[#This Row],[Nationality]],"_",Tableau1[[#This Row],[Competition_year]])</f>
        <v>Femke BROEDERS-BOL_NED_2026</v>
      </c>
      <c r="B1634" t="s">
        <v>1915</v>
      </c>
      <c r="C1634" t="s">
        <v>29</v>
      </c>
      <c r="D1634" s="18" t="s">
        <v>158</v>
      </c>
      <c r="E1634">
        <v>13.7</v>
      </c>
      <c r="F1634">
        <v>13.8</v>
      </c>
      <c r="G1634">
        <v>14.9</v>
      </c>
      <c r="H1634">
        <v>14.9</v>
      </c>
      <c r="I1634">
        <v>14.7</v>
      </c>
      <c r="J1634">
        <v>14.8</v>
      </c>
      <c r="K1634">
        <v>14.9</v>
      </c>
      <c r="L1634">
        <f>Tableau1[[#This Row],[Final_time]]-SUM(Tableau1[[#This Row],[0_100m]:[600_700m]])</f>
        <v>14.759999999999991</v>
      </c>
      <c r="M1634">
        <v>116.46</v>
      </c>
      <c r="N1634">
        <f>SUM(Tableau1[[#This Row],[0_100m]:[700_800m]])</f>
        <v>116.46</v>
      </c>
      <c r="O1634" s="16">
        <f>ABS(Tableau1[[#This Row],[Final_time]]-Tableau1[[#This Row],[Sum_time]])</f>
        <v>0</v>
      </c>
      <c r="P1634" s="8"/>
      <c r="Q1634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4" t="s">
        <v>1916</v>
      </c>
      <c r="S1634" s="1" t="s">
        <v>68</v>
      </c>
      <c r="U1634" s="1" t="s">
        <v>69</v>
      </c>
      <c r="V1634" s="1">
        <v>46221</v>
      </c>
      <c r="W1634" s="4">
        <f>YEAR(Tableau1[[#This Row],[Competition_date]])</f>
        <v>2026</v>
      </c>
      <c r="X1634" s="4">
        <v>24</v>
      </c>
      <c r="Y1634" s="6">
        <v>0.41</v>
      </c>
      <c r="Z1634" s="4" t="s">
        <v>80</v>
      </c>
    </row>
    <row r="1635" spans="1:26" hidden="1" x14ac:dyDescent="0.35">
      <c r="A1635" t="str">
        <f>_xlfn.CONCAT(Tableau1[[#This Row],[Athletes]],"_",Tableau1[[#This Row],[Nationality]],"_",Tableau1[[#This Row],[Competition_year]])</f>
        <v>Tsige DUGUMA_ETH_2026</v>
      </c>
      <c r="B1635" t="s">
        <v>1283</v>
      </c>
      <c r="C1635" t="s">
        <v>29</v>
      </c>
      <c r="D1635" s="18" t="s">
        <v>49</v>
      </c>
      <c r="E1635">
        <v>14.4</v>
      </c>
      <c r="F1635">
        <v>13.5</v>
      </c>
      <c r="G1635">
        <v>15.2</v>
      </c>
      <c r="H1635">
        <v>15</v>
      </c>
      <c r="I1635">
        <v>14.8</v>
      </c>
      <c r="J1635">
        <v>14.7</v>
      </c>
      <c r="K1635">
        <v>14.9</v>
      </c>
      <c r="L1635">
        <f>Tableau1[[#This Row],[Final_time]]-SUM(Tableau1[[#This Row],[0_100m]:[600_700m]])</f>
        <v>14.420000000000002</v>
      </c>
      <c r="M1635">
        <v>116.92</v>
      </c>
      <c r="N1635">
        <f>SUM(Tableau1[[#This Row],[0_100m]:[700_800m]])</f>
        <v>116.92</v>
      </c>
      <c r="O1635" s="16">
        <f>ABS(Tableau1[[#This Row],[Final_time]]-Tableau1[[#This Row],[Sum_time]])</f>
        <v>0</v>
      </c>
      <c r="P1635" s="8"/>
      <c r="Q1635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5" t="s">
        <v>1916</v>
      </c>
      <c r="S1635" s="1" t="s">
        <v>68</v>
      </c>
      <c r="U1635" s="1" t="s">
        <v>69</v>
      </c>
      <c r="V1635" s="1">
        <v>46221</v>
      </c>
      <c r="W1635" s="4">
        <f>YEAR(Tableau1[[#This Row],[Competition_date]])</f>
        <v>2026</v>
      </c>
      <c r="X1635" s="4">
        <v>24</v>
      </c>
      <c r="Y1635" s="6">
        <v>0.41</v>
      </c>
      <c r="Z1635" s="4" t="s">
        <v>80</v>
      </c>
    </row>
    <row r="1636" spans="1:26" hidden="1" x14ac:dyDescent="0.35">
      <c r="A1636" t="str">
        <f>_xlfn.CONCAT(Tableau1[[#This Row],[Athletes]],"_",Tableau1[[#This Row],[Nationality]],"_",Tableau1[[#This Row],[Competition_year]])</f>
        <v>Sarah BILLINGS_AUS_2026</v>
      </c>
      <c r="B1636" t="s">
        <v>1213</v>
      </c>
      <c r="C1636" t="s">
        <v>29</v>
      </c>
      <c r="D1636" s="18" t="s">
        <v>36</v>
      </c>
      <c r="E1636">
        <v>14.3</v>
      </c>
      <c r="F1636">
        <v>13.7</v>
      </c>
      <c r="G1636">
        <v>15.2</v>
      </c>
      <c r="H1636">
        <v>15.1</v>
      </c>
      <c r="I1636">
        <v>14.8</v>
      </c>
      <c r="J1636">
        <v>14.7</v>
      </c>
      <c r="K1636">
        <v>15</v>
      </c>
      <c r="L1636">
        <f>Tableau1[[#This Row],[Final_time]]-SUM(Tableau1[[#This Row],[0_100m]:[600_700m]])</f>
        <v>15.359999999999985</v>
      </c>
      <c r="M1636">
        <v>118.16</v>
      </c>
      <c r="N1636">
        <f>SUM(Tableau1[[#This Row],[0_100m]:[700_800m]])</f>
        <v>118.16</v>
      </c>
      <c r="O1636" s="16">
        <f>ABS(Tableau1[[#This Row],[Final_time]]-Tableau1[[#This Row],[Sum_time]])</f>
        <v>0</v>
      </c>
      <c r="P1636" s="8"/>
      <c r="Q1636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6" t="s">
        <v>1916</v>
      </c>
      <c r="S1636" s="1" t="s">
        <v>68</v>
      </c>
      <c r="U1636" s="1" t="s">
        <v>69</v>
      </c>
      <c r="V1636" s="1">
        <v>46221</v>
      </c>
      <c r="W1636" s="4">
        <f>YEAR(Tableau1[[#This Row],[Competition_date]])</f>
        <v>2026</v>
      </c>
      <c r="X1636" s="4">
        <v>24</v>
      </c>
      <c r="Y1636" s="6">
        <v>0.41</v>
      </c>
      <c r="Z1636" s="4" t="s">
        <v>80</v>
      </c>
    </row>
    <row r="1637" spans="1:26" hidden="1" x14ac:dyDescent="0.35">
      <c r="A1637" t="str">
        <f>_xlfn.CONCAT(Tableau1[[#This Row],[Athletes]],"_",Tableau1[[#This Row],[Nationality]],"_",Tableau1[[#This Row],[Competition_year]])</f>
        <v>Jemma REEKIE_GBR_2026</v>
      </c>
      <c r="B1637" t="s">
        <v>220</v>
      </c>
      <c r="C1637" t="s">
        <v>29</v>
      </c>
      <c r="D1637" s="18" t="s">
        <v>30</v>
      </c>
      <c r="E1637">
        <v>13.9</v>
      </c>
      <c r="F1637">
        <v>13.8</v>
      </c>
      <c r="G1637">
        <v>14.9</v>
      </c>
      <c r="H1637">
        <v>15</v>
      </c>
      <c r="I1637">
        <v>14.9</v>
      </c>
      <c r="J1637">
        <v>14.9</v>
      </c>
      <c r="K1637">
        <v>15.3</v>
      </c>
      <c r="L1637">
        <f>Tableau1[[#This Row],[Final_time]]-SUM(Tableau1[[#This Row],[0_100m]:[600_700m]])</f>
        <v>15.899999999999991</v>
      </c>
      <c r="M1637">
        <v>118.6</v>
      </c>
      <c r="N1637">
        <f>SUM(Tableau1[[#This Row],[0_100m]:[700_800m]])</f>
        <v>118.6</v>
      </c>
      <c r="O1637" s="16">
        <f>ABS(Tableau1[[#This Row],[Final_time]]-Tableau1[[#This Row],[Sum_time]])</f>
        <v>0</v>
      </c>
      <c r="P1637" s="8"/>
      <c r="Q1637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7" t="s">
        <v>1916</v>
      </c>
      <c r="S1637" s="1" t="s">
        <v>68</v>
      </c>
      <c r="U1637" s="1" t="s">
        <v>69</v>
      </c>
      <c r="V1637" s="1">
        <v>46221</v>
      </c>
      <c r="W1637" s="4">
        <f>YEAR(Tableau1[[#This Row],[Competition_date]])</f>
        <v>2026</v>
      </c>
      <c r="X1637" s="4">
        <v>24</v>
      </c>
      <c r="Y1637" s="6">
        <v>0.41</v>
      </c>
      <c r="Z1637" s="4" t="s">
        <v>80</v>
      </c>
    </row>
    <row r="1638" spans="1:26" hidden="1" x14ac:dyDescent="0.35">
      <c r="A1638" t="str">
        <f>_xlfn.CONCAT(Tableau1[[#This Row],[Athletes]],"_",Tableau1[[#This Row],[Nationality]],"_",Tableau1[[#This Row],[Competition_year]])</f>
        <v>Isabelle BOFFEY_GBR_2026</v>
      </c>
      <c r="B1638" t="s">
        <v>364</v>
      </c>
      <c r="C1638" t="s">
        <v>29</v>
      </c>
      <c r="D1638" s="18" t="s">
        <v>30</v>
      </c>
      <c r="E1638">
        <v>13.8</v>
      </c>
      <c r="F1638">
        <v>14</v>
      </c>
      <c r="G1638">
        <v>14.9</v>
      </c>
      <c r="H1638">
        <v>15.1</v>
      </c>
      <c r="I1638">
        <v>14.8</v>
      </c>
      <c r="J1638">
        <v>15.2</v>
      </c>
      <c r="K1638">
        <v>15.1</v>
      </c>
      <c r="L1638">
        <f>Tableau1[[#This Row],[Final_time]]-SUM(Tableau1[[#This Row],[0_100m]:[600_700m]])</f>
        <v>15.949999999999989</v>
      </c>
      <c r="M1638">
        <v>118.85</v>
      </c>
      <c r="N1638">
        <f>SUM(Tableau1[[#This Row],[0_100m]:[700_800m]])</f>
        <v>118.85</v>
      </c>
      <c r="O1638" s="16">
        <f>ABS(Tableau1[[#This Row],[Final_time]]-Tableau1[[#This Row],[Sum_time]])</f>
        <v>0</v>
      </c>
      <c r="P1638" s="8"/>
      <c r="Q1638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8" t="s">
        <v>1916</v>
      </c>
      <c r="S1638" s="1" t="s">
        <v>68</v>
      </c>
      <c r="U1638" s="1" t="s">
        <v>69</v>
      </c>
      <c r="V1638" s="1">
        <v>46221</v>
      </c>
      <c r="W1638" s="4">
        <f>YEAR(Tableau1[[#This Row],[Competition_date]])</f>
        <v>2026</v>
      </c>
      <c r="X1638" s="4">
        <v>24</v>
      </c>
      <c r="Y1638" s="6">
        <v>0.41</v>
      </c>
      <c r="Z1638" s="4" t="s">
        <v>80</v>
      </c>
    </row>
    <row r="1639" spans="1:26" hidden="1" x14ac:dyDescent="0.35">
      <c r="A1639" t="str">
        <f>_xlfn.CONCAT(Tableau1[[#This Row],[Athletes]],"_",Tableau1[[#This Row],[Nationality]],"_",Tableau1[[#This Row],[Competition_year]])</f>
        <v>Addison WILEY_USA_2026</v>
      </c>
      <c r="B1639" t="s">
        <v>533</v>
      </c>
      <c r="C1639" t="s">
        <v>29</v>
      </c>
      <c r="D1639" s="18" t="s">
        <v>35</v>
      </c>
      <c r="E1639">
        <v>13.9</v>
      </c>
      <c r="F1639">
        <v>13.6</v>
      </c>
      <c r="G1639">
        <v>15</v>
      </c>
      <c r="H1639">
        <v>14.8</v>
      </c>
      <c r="I1639">
        <v>15</v>
      </c>
      <c r="J1639">
        <v>15.2</v>
      </c>
      <c r="K1639">
        <v>15.8</v>
      </c>
      <c r="L1639">
        <f>Tableau1[[#This Row],[Final_time]]-SUM(Tableau1[[#This Row],[0_100m]:[600_700m]])</f>
        <v>16.710000000000008</v>
      </c>
      <c r="M1639">
        <v>120.01</v>
      </c>
      <c r="N1639">
        <f>SUM(Tableau1[[#This Row],[0_100m]:[700_800m]])</f>
        <v>120.01</v>
      </c>
      <c r="O1639" s="16">
        <f>ABS(Tableau1[[#This Row],[Final_time]]-Tableau1[[#This Row],[Sum_time]])</f>
        <v>0</v>
      </c>
      <c r="P1639" s="8"/>
      <c r="Q1639" s="16" t="str">
        <f>_xlfn.CONCAT(Tableau1[[#This Row],[Competition]],"_",Tableau1[[#This Row],[Championship_step]],"_",Tableau1[[#This Row],[Competition_date]],"_",Tableau1[[#This Row],[Gender]])</f>
        <v>Diamond League London 2026__46221_Female</v>
      </c>
      <c r="R1639" t="s">
        <v>1916</v>
      </c>
      <c r="S1639" s="1" t="s">
        <v>68</v>
      </c>
      <c r="U1639" s="1" t="s">
        <v>69</v>
      </c>
      <c r="V1639" s="1">
        <v>46221</v>
      </c>
      <c r="W1639" s="4">
        <f>YEAR(Tableau1[[#This Row],[Competition_date]])</f>
        <v>2026</v>
      </c>
      <c r="X1639" s="4">
        <v>24</v>
      </c>
      <c r="Y1639" s="6">
        <v>0.41</v>
      </c>
      <c r="Z1639" s="4" t="s">
        <v>80</v>
      </c>
    </row>
    <row r="1640" spans="1:26" hidden="1" x14ac:dyDescent="0.35">
      <c r="A1640" t="str">
        <f>_xlfn.CONCAT(Tableau1[[#This Row],[Athletes]],"_",Tableau1[[#This Row],[Nationality]],"_",Tableau1[[#This Row],[Competition_year]])</f>
        <v>Brandon MILLER_USA_2026</v>
      </c>
      <c r="B1640" t="s">
        <v>248</v>
      </c>
      <c r="C1640" t="s">
        <v>14</v>
      </c>
      <c r="D1640" s="18" t="s">
        <v>35</v>
      </c>
      <c r="E1640">
        <v>12.6</v>
      </c>
      <c r="F1640">
        <v>12.4</v>
      </c>
      <c r="G1640">
        <v>12.5</v>
      </c>
      <c r="H1640">
        <v>12.9</v>
      </c>
      <c r="I1640">
        <v>12.7</v>
      </c>
      <c r="J1640">
        <v>13</v>
      </c>
      <c r="K1640">
        <v>13.2</v>
      </c>
      <c r="L1640">
        <f>Tableau1[[#This Row],[Final_time]]-SUM(Tableau1[[#This Row],[0_100m]:[600_700m]])</f>
        <v>12.89</v>
      </c>
      <c r="M1640">
        <v>102.19</v>
      </c>
      <c r="N1640">
        <f>SUM(Tableau1[[#This Row],[0_100m]:[700_800m]])</f>
        <v>102.19</v>
      </c>
      <c r="O1640" s="16">
        <f>ABS(Tableau1[[#This Row],[Final_time]]-Tableau1[[#This Row],[Sum_time]])</f>
        <v>0</v>
      </c>
      <c r="P1640" s="8"/>
      <c r="Q1640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0" t="s">
        <v>1916</v>
      </c>
      <c r="S1640" s="1" t="s">
        <v>68</v>
      </c>
      <c r="U1640" s="1" t="s">
        <v>69</v>
      </c>
      <c r="V1640" s="1">
        <v>46221</v>
      </c>
      <c r="W1640" s="4">
        <f>YEAR(Tableau1[[#This Row],[Competition_date]])</f>
        <v>2026</v>
      </c>
      <c r="X1640" s="4">
        <v>24</v>
      </c>
      <c r="Y1640" s="6">
        <v>0.4</v>
      </c>
      <c r="Z1640" s="4" t="s">
        <v>80</v>
      </c>
    </row>
    <row r="1641" spans="1:26" hidden="1" x14ac:dyDescent="0.35">
      <c r="A1641" t="str">
        <f>_xlfn.CONCAT(Tableau1[[#This Row],[Athletes]],"_",Tableau1[[#This Row],[Nationality]],"_",Tableau1[[#This Row],[Competition_year]])</f>
        <v>Mark ENGLISH_IRL_2026</v>
      </c>
      <c r="B1641" t="s">
        <v>187</v>
      </c>
      <c r="C1641" t="s">
        <v>14</v>
      </c>
      <c r="D1641" s="18" t="s">
        <v>66</v>
      </c>
      <c r="E1641">
        <v>13</v>
      </c>
      <c r="F1641">
        <v>12.2</v>
      </c>
      <c r="G1641">
        <v>13</v>
      </c>
      <c r="H1641">
        <v>13.1</v>
      </c>
      <c r="I1641">
        <v>13</v>
      </c>
      <c r="J1641">
        <v>12.6</v>
      </c>
      <c r="K1641">
        <v>12.9</v>
      </c>
      <c r="L1641">
        <f>Tableau1[[#This Row],[Final_time]]-SUM(Tableau1[[#This Row],[0_100m]:[600_700m]])</f>
        <v>13.169999999999987</v>
      </c>
      <c r="M1641">
        <v>102.97</v>
      </c>
      <c r="N1641">
        <f>SUM(Tableau1[[#This Row],[0_100m]:[700_800m]])</f>
        <v>102.97</v>
      </c>
      <c r="O1641" s="16">
        <f>ABS(Tableau1[[#This Row],[Final_time]]-Tableau1[[#This Row],[Sum_time]])</f>
        <v>0</v>
      </c>
      <c r="P1641" s="8"/>
      <c r="Q1641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1" t="s">
        <v>1916</v>
      </c>
      <c r="S1641" s="1" t="s">
        <v>68</v>
      </c>
      <c r="U1641" s="1" t="s">
        <v>69</v>
      </c>
      <c r="V1641" s="1">
        <v>46221</v>
      </c>
      <c r="W1641" s="4">
        <f>YEAR(Tableau1[[#This Row],[Competition_date]])</f>
        <v>2026</v>
      </c>
      <c r="X1641" s="4">
        <v>24</v>
      </c>
      <c r="Y1641" s="6">
        <v>0.4</v>
      </c>
      <c r="Z1641" s="4" t="s">
        <v>80</v>
      </c>
    </row>
    <row r="1642" spans="1:26" hidden="1" x14ac:dyDescent="0.35">
      <c r="A1642" t="str">
        <f>_xlfn.CONCAT(Tableau1[[#This Row],[Athletes]],"_",Tableau1[[#This Row],[Nationality]],"_",Tableau1[[#This Row],[Competition_year]])</f>
        <v>Max BURGIN_GBR_2026</v>
      </c>
      <c r="B1642" t="s">
        <v>188</v>
      </c>
      <c r="C1642" t="s">
        <v>14</v>
      </c>
      <c r="D1642" s="18" t="s">
        <v>30</v>
      </c>
      <c r="E1642">
        <v>12.6</v>
      </c>
      <c r="F1642">
        <v>12</v>
      </c>
      <c r="G1642">
        <v>12.4</v>
      </c>
      <c r="H1642">
        <v>13</v>
      </c>
      <c r="I1642">
        <v>12.9</v>
      </c>
      <c r="J1642">
        <v>13.1</v>
      </c>
      <c r="K1642">
        <v>13.5</v>
      </c>
      <c r="L1642">
        <f>Tableau1[[#This Row],[Final_time]]-SUM(Tableau1[[#This Row],[0_100m]:[600_700m]])</f>
        <v>13.799999999999997</v>
      </c>
      <c r="M1642">
        <v>103.3</v>
      </c>
      <c r="N1642">
        <f>SUM(Tableau1[[#This Row],[0_100m]:[700_800m]])</f>
        <v>103.3</v>
      </c>
      <c r="O1642" s="16">
        <f>ABS(Tableau1[[#This Row],[Final_time]]-Tableau1[[#This Row],[Sum_time]])</f>
        <v>0</v>
      </c>
      <c r="P1642" s="8"/>
      <c r="Q1642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2" t="s">
        <v>1916</v>
      </c>
      <c r="S1642" s="1" t="s">
        <v>68</v>
      </c>
      <c r="U1642" s="1" t="s">
        <v>69</v>
      </c>
      <c r="V1642" s="1">
        <v>46221</v>
      </c>
      <c r="W1642" s="4">
        <f>YEAR(Tableau1[[#This Row],[Competition_date]])</f>
        <v>2026</v>
      </c>
      <c r="X1642" s="4">
        <v>24</v>
      </c>
      <c r="Y1642" s="6">
        <v>0.4</v>
      </c>
      <c r="Z1642" s="4" t="s">
        <v>80</v>
      </c>
    </row>
    <row r="1643" spans="1:26" hidden="1" x14ac:dyDescent="0.35">
      <c r="A1643" t="str">
        <f>_xlfn.CONCAT(Tableau1[[#This Row],[Athletes]],"_",Tableau1[[#This Row],[Nationality]],"_",Tableau1[[#This Row],[Competition_year]])</f>
        <v>Emmanuel WANYONYI_KEN_2026</v>
      </c>
      <c r="B1643" t="s">
        <v>183</v>
      </c>
      <c r="C1643" t="s">
        <v>14</v>
      </c>
      <c r="D1643" s="18" t="s">
        <v>15</v>
      </c>
      <c r="E1643">
        <v>12.6</v>
      </c>
      <c r="F1643">
        <v>11.8</v>
      </c>
      <c r="G1643">
        <v>12.4</v>
      </c>
      <c r="H1643">
        <v>12.9</v>
      </c>
      <c r="I1643">
        <v>13</v>
      </c>
      <c r="J1643">
        <v>13.1</v>
      </c>
      <c r="K1643">
        <v>13.6</v>
      </c>
      <c r="L1643">
        <f>Tableau1[[#This Row],[Final_time]]-SUM(Tableau1[[#This Row],[0_100m]:[600_700m]])</f>
        <v>13.910000000000011</v>
      </c>
      <c r="M1643">
        <v>103.31</v>
      </c>
      <c r="N1643">
        <f>SUM(Tableau1[[#This Row],[0_100m]:[700_800m]])</f>
        <v>103.31</v>
      </c>
      <c r="O1643" s="16">
        <f>ABS(Tableau1[[#This Row],[Final_time]]-Tableau1[[#This Row],[Sum_time]])</f>
        <v>0</v>
      </c>
      <c r="P1643" s="8"/>
      <c r="Q1643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3" t="s">
        <v>1916</v>
      </c>
      <c r="S1643" s="1" t="s">
        <v>68</v>
      </c>
      <c r="U1643" s="1" t="s">
        <v>69</v>
      </c>
      <c r="V1643" s="1">
        <v>46221</v>
      </c>
      <c r="W1643" s="4">
        <f>YEAR(Tableau1[[#This Row],[Competition_date]])</f>
        <v>2026</v>
      </c>
      <c r="X1643" s="4">
        <v>24</v>
      </c>
      <c r="Y1643" s="6">
        <v>0.4</v>
      </c>
      <c r="Z1643" s="4" t="s">
        <v>80</v>
      </c>
    </row>
    <row r="1644" spans="1:26" hidden="1" x14ac:dyDescent="0.35">
      <c r="A1644" t="str">
        <f>_xlfn.CONCAT(Tableau1[[#This Row],[Athletes]],"_",Tableau1[[#This Row],[Nationality]],"_",Tableau1[[#This Row],[Competition_year]])</f>
        <v>Ben PATTISON_GBR_2026</v>
      </c>
      <c r="B1644" t="s">
        <v>108</v>
      </c>
      <c r="C1644" t="s">
        <v>14</v>
      </c>
      <c r="D1644" s="18" t="s">
        <v>30</v>
      </c>
      <c r="E1644">
        <v>12.6</v>
      </c>
      <c r="F1644">
        <v>12.2</v>
      </c>
      <c r="G1644">
        <v>12.6</v>
      </c>
      <c r="H1644">
        <v>13.1</v>
      </c>
      <c r="I1644">
        <v>13.3</v>
      </c>
      <c r="J1644">
        <v>13.1</v>
      </c>
      <c r="K1644">
        <v>13.1</v>
      </c>
      <c r="L1644">
        <f>Tableau1[[#This Row],[Final_time]]-SUM(Tableau1[[#This Row],[0_100m]:[600_700m]])</f>
        <v>13.340000000000018</v>
      </c>
      <c r="M1644">
        <v>103.34</v>
      </c>
      <c r="N1644">
        <f>SUM(Tableau1[[#This Row],[0_100m]:[700_800m]])</f>
        <v>103.34</v>
      </c>
      <c r="O1644" s="16">
        <f>ABS(Tableau1[[#This Row],[Final_time]]-Tableau1[[#This Row],[Sum_time]])</f>
        <v>0</v>
      </c>
      <c r="P1644" s="8"/>
      <c r="Q1644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4" t="s">
        <v>1916</v>
      </c>
      <c r="S1644" s="1" t="s">
        <v>68</v>
      </c>
      <c r="U1644" s="1" t="s">
        <v>69</v>
      </c>
      <c r="V1644" s="1">
        <v>46221</v>
      </c>
      <c r="W1644" s="4">
        <f>YEAR(Tableau1[[#This Row],[Competition_date]])</f>
        <v>2026</v>
      </c>
      <c r="X1644" s="4">
        <v>24</v>
      </c>
      <c r="Y1644" s="6">
        <v>0.4</v>
      </c>
      <c r="Z1644" s="4" t="s">
        <v>80</v>
      </c>
    </row>
    <row r="1645" spans="1:26" hidden="1" x14ac:dyDescent="0.35">
      <c r="A1645" t="str">
        <f>_xlfn.CONCAT(Tableau1[[#This Row],[Athletes]],"_",Tableau1[[#This Row],[Nationality]],"_",Tableau1[[#This Row],[Competition_year]])</f>
        <v>Peter BOL_AUS_2026</v>
      </c>
      <c r="B1645" t="s">
        <v>127</v>
      </c>
      <c r="C1645" t="s">
        <v>14</v>
      </c>
      <c r="D1645" s="18" t="s">
        <v>36</v>
      </c>
      <c r="E1645">
        <v>13</v>
      </c>
      <c r="F1645">
        <v>11.9</v>
      </c>
      <c r="G1645">
        <v>12.9</v>
      </c>
      <c r="H1645">
        <v>13</v>
      </c>
      <c r="I1645">
        <v>12.7</v>
      </c>
      <c r="J1645">
        <v>12.8</v>
      </c>
      <c r="K1645">
        <v>13.5</v>
      </c>
      <c r="L1645">
        <f>Tableau1[[#This Row],[Final_time]]-SUM(Tableau1[[#This Row],[0_100m]:[600_700m]])</f>
        <v>13.799999999999997</v>
      </c>
      <c r="M1645">
        <v>103.6</v>
      </c>
      <c r="N1645">
        <f>SUM(Tableau1[[#This Row],[0_100m]:[700_800m]])</f>
        <v>103.6</v>
      </c>
      <c r="O1645" s="16">
        <f>ABS(Tableau1[[#This Row],[Final_time]]-Tableau1[[#This Row],[Sum_time]])</f>
        <v>0</v>
      </c>
      <c r="P1645" s="8"/>
      <c r="Q1645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5" t="s">
        <v>1916</v>
      </c>
      <c r="S1645" s="1" t="s">
        <v>68</v>
      </c>
      <c r="U1645" s="1" t="s">
        <v>69</v>
      </c>
      <c r="V1645" s="1">
        <v>46221</v>
      </c>
      <c r="W1645" s="4">
        <f>YEAR(Tableau1[[#This Row],[Competition_date]])</f>
        <v>2026</v>
      </c>
      <c r="X1645" s="4">
        <v>24</v>
      </c>
      <c r="Y1645" s="6">
        <v>0.4</v>
      </c>
      <c r="Z1645" s="4" t="s">
        <v>80</v>
      </c>
    </row>
    <row r="1646" spans="1:26" hidden="1" x14ac:dyDescent="0.35">
      <c r="A1646" t="str">
        <f>_xlfn.CONCAT(Tableau1[[#This Row],[Athletes]],"_",Tableau1[[#This Row],[Nationality]],"_",Tableau1[[#This Row],[Competition_year]])</f>
        <v>Cian McPHILLIPS_IRL_2026</v>
      </c>
      <c r="B1646" t="s">
        <v>1917</v>
      </c>
      <c r="C1646" t="s">
        <v>14</v>
      </c>
      <c r="D1646" s="18" t="s">
        <v>66</v>
      </c>
      <c r="E1646">
        <v>13.1</v>
      </c>
      <c r="F1646">
        <v>12.3</v>
      </c>
      <c r="G1646">
        <v>13.5</v>
      </c>
      <c r="H1646">
        <v>12.8</v>
      </c>
      <c r="I1646">
        <v>13.2</v>
      </c>
      <c r="J1646">
        <v>12.7</v>
      </c>
      <c r="K1646">
        <v>13</v>
      </c>
      <c r="L1646">
        <f>Tableau1[[#This Row],[Final_time]]-SUM(Tableau1[[#This Row],[0_100m]:[600_700m]])</f>
        <v>13.36999999999999</v>
      </c>
      <c r="M1646">
        <v>103.97</v>
      </c>
      <c r="N1646">
        <f>SUM(Tableau1[[#This Row],[0_100m]:[700_800m]])</f>
        <v>103.97</v>
      </c>
      <c r="O1646" s="16">
        <f>ABS(Tableau1[[#This Row],[Final_time]]-Tableau1[[#This Row],[Sum_time]])</f>
        <v>0</v>
      </c>
      <c r="P1646" s="8"/>
      <c r="Q1646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6" t="s">
        <v>1916</v>
      </c>
      <c r="S1646" s="1" t="s">
        <v>68</v>
      </c>
      <c r="U1646" s="1" t="s">
        <v>69</v>
      </c>
      <c r="V1646" s="1">
        <v>46221</v>
      </c>
      <c r="W1646" s="4">
        <f>YEAR(Tableau1[[#This Row],[Competition_date]])</f>
        <v>2026</v>
      </c>
      <c r="X1646" s="4">
        <v>24</v>
      </c>
      <c r="Y1646" s="6">
        <v>0.4</v>
      </c>
      <c r="Z1646" s="4" t="s">
        <v>80</v>
      </c>
    </row>
    <row r="1647" spans="1:26" hidden="1" x14ac:dyDescent="0.35">
      <c r="A1647" t="str">
        <f>_xlfn.CONCAT(Tableau1[[#This Row],[Athletes]],"_",Tableau1[[#This Row],[Nationality]],"_",Tableau1[[#This Row],[Competition_year]])</f>
        <v>Tobias GRØNSTAD_NOR_2026</v>
      </c>
      <c r="B1647" t="s">
        <v>1421</v>
      </c>
      <c r="C1647" t="s">
        <v>14</v>
      </c>
      <c r="D1647" s="18" t="s">
        <v>123</v>
      </c>
      <c r="E1647">
        <v>13.2</v>
      </c>
      <c r="F1647">
        <v>12</v>
      </c>
      <c r="G1647">
        <v>13.3</v>
      </c>
      <c r="H1647">
        <v>13.1</v>
      </c>
      <c r="I1647">
        <v>13.1</v>
      </c>
      <c r="J1647">
        <v>12.9</v>
      </c>
      <c r="K1647">
        <v>13.4</v>
      </c>
      <c r="L1647">
        <f>Tableau1[[#This Row],[Final_time]]-SUM(Tableau1[[#This Row],[0_100m]:[600_700m]])</f>
        <v>13.579999999999984</v>
      </c>
      <c r="M1647">
        <v>104.58</v>
      </c>
      <c r="N1647">
        <f>SUM(Tableau1[[#This Row],[0_100m]:[700_800m]])</f>
        <v>104.58</v>
      </c>
      <c r="O1647" s="16">
        <f>ABS(Tableau1[[#This Row],[Final_time]]-Tableau1[[#This Row],[Sum_time]])</f>
        <v>0</v>
      </c>
      <c r="P1647" s="8"/>
      <c r="Q1647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7" t="s">
        <v>1916</v>
      </c>
      <c r="S1647" s="1" t="s">
        <v>68</v>
      </c>
      <c r="U1647" s="1" t="s">
        <v>69</v>
      </c>
      <c r="V1647" s="1">
        <v>46221</v>
      </c>
      <c r="W1647" s="4">
        <f>YEAR(Tableau1[[#This Row],[Competition_date]])</f>
        <v>2026</v>
      </c>
      <c r="X1647" s="4">
        <v>24</v>
      </c>
      <c r="Y1647" s="6">
        <v>0.4</v>
      </c>
      <c r="Z1647" s="4" t="s">
        <v>80</v>
      </c>
    </row>
    <row r="1648" spans="1:26" hidden="1" x14ac:dyDescent="0.35">
      <c r="A1648" t="str">
        <f>_xlfn.CONCAT(Tableau1[[#This Row],[Athletes]],"_",Tableau1[[#This Row],[Nationality]],"_",Tableau1[[#This Row],[Competition_year]])</f>
        <v>Alex BOTTERILL_GBR_2026</v>
      </c>
      <c r="B1648" t="s">
        <v>290</v>
      </c>
      <c r="C1648" t="s">
        <v>14</v>
      </c>
      <c r="D1648" s="18" t="s">
        <v>30</v>
      </c>
      <c r="E1648">
        <v>13.1</v>
      </c>
      <c r="F1648">
        <v>12.3</v>
      </c>
      <c r="G1648">
        <v>13.3</v>
      </c>
      <c r="H1648">
        <v>13.1</v>
      </c>
      <c r="I1648">
        <v>13.2</v>
      </c>
      <c r="J1648">
        <v>13.1</v>
      </c>
      <c r="K1648">
        <v>13.1</v>
      </c>
      <c r="L1648">
        <f>Tableau1[[#This Row],[Final_time]]-SUM(Tableau1[[#This Row],[0_100m]:[600_700m]])</f>
        <v>13.510000000000005</v>
      </c>
      <c r="M1648">
        <v>104.71</v>
      </c>
      <c r="N1648">
        <f>SUM(Tableau1[[#This Row],[0_100m]:[700_800m]])</f>
        <v>104.71</v>
      </c>
      <c r="O1648" s="16">
        <f>ABS(Tableau1[[#This Row],[Final_time]]-Tableau1[[#This Row],[Sum_time]])</f>
        <v>0</v>
      </c>
      <c r="P1648" s="8"/>
      <c r="Q1648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8" t="s">
        <v>1916</v>
      </c>
      <c r="S1648" s="1" t="s">
        <v>68</v>
      </c>
      <c r="U1648" s="1" t="s">
        <v>69</v>
      </c>
      <c r="V1648" s="1">
        <v>46221</v>
      </c>
      <c r="W1648" s="4">
        <f>YEAR(Tableau1[[#This Row],[Competition_date]])</f>
        <v>2026</v>
      </c>
      <c r="X1648" s="4">
        <v>24</v>
      </c>
      <c r="Y1648" s="6">
        <v>0.4</v>
      </c>
      <c r="Z1648" s="4" t="s">
        <v>80</v>
      </c>
    </row>
    <row r="1649" spans="1:26" hidden="1" x14ac:dyDescent="0.35">
      <c r="A1649" t="str">
        <f>_xlfn.CONCAT(Tableau1[[#This Row],[Athletes]],"_",Tableau1[[#This Row],[Nationality]],"_",Tableau1[[#This Row],[Competition_year]])</f>
        <v>Bryce HOPPEL_USA_2026</v>
      </c>
      <c r="B1649" t="s">
        <v>173</v>
      </c>
      <c r="C1649" t="s">
        <v>14</v>
      </c>
      <c r="D1649" s="18" t="s">
        <v>35</v>
      </c>
      <c r="E1649">
        <v>12.8</v>
      </c>
      <c r="F1649">
        <v>12.3</v>
      </c>
      <c r="G1649">
        <v>13</v>
      </c>
      <c r="H1649">
        <v>13</v>
      </c>
      <c r="I1649">
        <v>13.1</v>
      </c>
      <c r="J1649">
        <v>13.3</v>
      </c>
      <c r="K1649">
        <v>13.6</v>
      </c>
      <c r="L1649">
        <f>Tableau1[[#This Row],[Final_time]]-SUM(Tableau1[[#This Row],[0_100m]:[600_700m]])</f>
        <v>14.219999999999999</v>
      </c>
      <c r="M1649">
        <v>105.32</v>
      </c>
      <c r="N1649">
        <f>SUM(Tableau1[[#This Row],[0_100m]:[700_800m]])</f>
        <v>105.32</v>
      </c>
      <c r="O1649" s="16">
        <f>ABS(Tableau1[[#This Row],[Final_time]]-Tableau1[[#This Row],[Sum_time]])</f>
        <v>0</v>
      </c>
      <c r="P1649" s="8"/>
      <c r="Q1649" s="16" t="str">
        <f>_xlfn.CONCAT(Tableau1[[#This Row],[Competition]],"_",Tableau1[[#This Row],[Championship_step]],"_",Tableau1[[#This Row],[Competition_date]],"_",Tableau1[[#This Row],[Gender]])</f>
        <v>Diamond League London 2026__46221_Male</v>
      </c>
      <c r="R1649" t="s">
        <v>1916</v>
      </c>
      <c r="S1649" s="1" t="s">
        <v>68</v>
      </c>
      <c r="U1649" s="1" t="s">
        <v>69</v>
      </c>
      <c r="V1649" s="1">
        <v>46221</v>
      </c>
      <c r="W1649" s="4">
        <f>YEAR(Tableau1[[#This Row],[Competition_date]])</f>
        <v>2026</v>
      </c>
      <c r="X1649" s="4">
        <v>24</v>
      </c>
      <c r="Y1649" s="6">
        <v>0.4</v>
      </c>
      <c r="Z1649" s="4" t="s">
        <v>80</v>
      </c>
    </row>
    <row r="1650" spans="1:26" hidden="1" x14ac:dyDescent="0.35">
      <c r="A1650" t="str">
        <f>_xlfn.CONCAT(Tableau1[[#This Row],[Athletes]],"_",Tableau1[[#This Row],[Nationality]],"_",Tableau1[[#This Row],[Competition_year]])</f>
        <v>Jack HIGGINS_GBR_2026</v>
      </c>
      <c r="B1650" t="s">
        <v>1918</v>
      </c>
      <c r="C1650" t="s">
        <v>14</v>
      </c>
      <c r="D1650" s="18" t="s">
        <v>30</v>
      </c>
      <c r="E1650">
        <v>12.9</v>
      </c>
      <c r="F1650">
        <v>12.2</v>
      </c>
      <c r="G1650">
        <v>12.8</v>
      </c>
      <c r="H1650">
        <v>13</v>
      </c>
      <c r="I1650">
        <v>13.3</v>
      </c>
      <c r="J1650">
        <v>13.4</v>
      </c>
      <c r="K1650">
        <v>13.4</v>
      </c>
      <c r="L1650">
        <f>Tableau1[[#This Row],[Final_time]]-SUM(Tableau1[[#This Row],[0_100m]:[600_700m]])</f>
        <v>14.149999999999991</v>
      </c>
      <c r="M1650">
        <v>105.15</v>
      </c>
      <c r="N1650">
        <f>SUM(Tableau1[[#This Row],[0_100m]:[700_800m]])</f>
        <v>105.15</v>
      </c>
      <c r="O1650" s="16">
        <f>ABS(Tableau1[[#This Row],[Final_time]]-Tableau1[[#This Row],[Sum_time]])</f>
        <v>0</v>
      </c>
      <c r="P1650" s="8"/>
      <c r="Q1650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0" t="s">
        <v>1925</v>
      </c>
      <c r="S1650" s="1" t="s">
        <v>68</v>
      </c>
      <c r="U1650" s="1" t="s">
        <v>288</v>
      </c>
      <c r="V1650" s="1">
        <v>46221</v>
      </c>
      <c r="W1650" s="4">
        <f>YEAR(Tableau1[[#This Row],[Competition_date]])</f>
        <v>2026</v>
      </c>
      <c r="X1650" s="4">
        <v>23</v>
      </c>
      <c r="Y1650" s="6">
        <v>0.43</v>
      </c>
      <c r="Z1650" s="4" t="s">
        <v>80</v>
      </c>
    </row>
    <row r="1651" spans="1:26" hidden="1" x14ac:dyDescent="0.35">
      <c r="A1651" t="str">
        <f>_xlfn.CONCAT(Tableau1[[#This Row],[Athletes]],"_",Tableau1[[#This Row],[Nationality]],"_",Tableau1[[#This Row],[Competition_year]])</f>
        <v>Henry JONAS_GBR_2026</v>
      </c>
      <c r="B1651" t="s">
        <v>1895</v>
      </c>
      <c r="C1651" t="s">
        <v>14</v>
      </c>
      <c r="D1651" s="18" t="s">
        <v>30</v>
      </c>
      <c r="E1651">
        <v>12.8</v>
      </c>
      <c r="F1651">
        <v>12.4</v>
      </c>
      <c r="G1651">
        <v>13</v>
      </c>
      <c r="H1651">
        <v>13.1</v>
      </c>
      <c r="I1651">
        <v>13.3</v>
      </c>
      <c r="J1651">
        <v>13.5</v>
      </c>
      <c r="K1651">
        <v>13.5</v>
      </c>
      <c r="L1651">
        <f>Tableau1[[#This Row],[Final_time]]-SUM(Tableau1[[#This Row],[0_100m]:[600_700m]])</f>
        <v>13.659999999999997</v>
      </c>
      <c r="M1651">
        <v>105.26</v>
      </c>
      <c r="N1651">
        <f>SUM(Tableau1[[#This Row],[0_100m]:[700_800m]])</f>
        <v>105.26</v>
      </c>
      <c r="O1651" s="16">
        <f>ABS(Tableau1[[#This Row],[Final_time]]-Tableau1[[#This Row],[Sum_time]])</f>
        <v>0</v>
      </c>
      <c r="P1651" s="8"/>
      <c r="Q1651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1" t="s">
        <v>1925</v>
      </c>
      <c r="S1651" s="1" t="s">
        <v>68</v>
      </c>
      <c r="U1651" s="1" t="s">
        <v>288</v>
      </c>
      <c r="V1651" s="1">
        <v>46221</v>
      </c>
      <c r="W1651" s="4">
        <f>YEAR(Tableau1[[#This Row],[Competition_date]])</f>
        <v>2026</v>
      </c>
      <c r="X1651" s="4">
        <v>23</v>
      </c>
      <c r="Y1651" s="6">
        <v>0.43</v>
      </c>
      <c r="Z1651" s="4" t="s">
        <v>80</v>
      </c>
    </row>
    <row r="1652" spans="1:26" hidden="1" x14ac:dyDescent="0.35">
      <c r="A1652" t="str">
        <f>_xlfn.CONCAT(Tableau1[[#This Row],[Athletes]],"_",Tableau1[[#This Row],[Nationality]],"_",Tableau1[[#This Row],[Competition_year]])</f>
        <v>Justin DAVIES_GBR_2026</v>
      </c>
      <c r="B1652" t="s">
        <v>1919</v>
      </c>
      <c r="C1652" t="s">
        <v>14</v>
      </c>
      <c r="D1652" s="18" t="s">
        <v>30</v>
      </c>
      <c r="E1652">
        <v>13</v>
      </c>
      <c r="F1652">
        <v>12.7</v>
      </c>
      <c r="G1652">
        <v>13.5</v>
      </c>
      <c r="H1652">
        <v>13.3</v>
      </c>
      <c r="I1652">
        <v>13.4</v>
      </c>
      <c r="J1652">
        <v>13.3</v>
      </c>
      <c r="K1652">
        <v>13.6</v>
      </c>
      <c r="L1652">
        <f>Tableau1[[#This Row],[Final_time]]-SUM(Tableau1[[#This Row],[0_100m]:[600_700m]])</f>
        <v>13.189999999999998</v>
      </c>
      <c r="M1652">
        <v>105.99</v>
      </c>
      <c r="N1652">
        <f>SUM(Tableau1[[#This Row],[0_100m]:[700_800m]])</f>
        <v>105.99</v>
      </c>
      <c r="O1652" s="16">
        <f>ABS(Tableau1[[#This Row],[Final_time]]-Tableau1[[#This Row],[Sum_time]])</f>
        <v>0</v>
      </c>
      <c r="P1652" s="8"/>
      <c r="Q1652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2" t="s">
        <v>1925</v>
      </c>
      <c r="S1652" s="1" t="s">
        <v>68</v>
      </c>
      <c r="U1652" s="1" t="s">
        <v>288</v>
      </c>
      <c r="V1652" s="1">
        <v>46221</v>
      </c>
      <c r="W1652" s="4">
        <f>YEAR(Tableau1[[#This Row],[Competition_date]])</f>
        <v>2026</v>
      </c>
      <c r="X1652" s="4">
        <v>23</v>
      </c>
      <c r="Y1652" s="6">
        <v>0.43</v>
      </c>
      <c r="Z1652" s="4" t="s">
        <v>80</v>
      </c>
    </row>
    <row r="1653" spans="1:26" hidden="1" x14ac:dyDescent="0.35">
      <c r="A1653" t="str">
        <f>_xlfn.CONCAT(Tableau1[[#This Row],[Athletes]],"_",Tableau1[[#This Row],[Nationality]],"_",Tableau1[[#This Row],[Competition_year]])</f>
        <v>Callum DODDS_GBR_2026</v>
      </c>
      <c r="B1653" t="s">
        <v>1920</v>
      </c>
      <c r="C1653" t="s">
        <v>14</v>
      </c>
      <c r="D1653" s="18" t="s">
        <v>30</v>
      </c>
      <c r="E1653">
        <v>13</v>
      </c>
      <c r="F1653">
        <v>12.6</v>
      </c>
      <c r="G1653">
        <v>13.8</v>
      </c>
      <c r="H1653">
        <v>13.3</v>
      </c>
      <c r="I1653">
        <v>13.5</v>
      </c>
      <c r="J1653">
        <v>13.2</v>
      </c>
      <c r="K1653">
        <v>13.7</v>
      </c>
      <c r="L1653">
        <f>Tableau1[[#This Row],[Final_time]]-SUM(Tableau1[[#This Row],[0_100m]:[600_700m]])</f>
        <v>13.219999999999985</v>
      </c>
      <c r="M1653">
        <v>106.32</v>
      </c>
      <c r="N1653">
        <f>SUM(Tableau1[[#This Row],[0_100m]:[700_800m]])</f>
        <v>106.32</v>
      </c>
      <c r="O1653" s="16">
        <f>ABS(Tableau1[[#This Row],[Final_time]]-Tableau1[[#This Row],[Sum_time]])</f>
        <v>0</v>
      </c>
      <c r="P1653" s="8"/>
      <c r="Q1653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3" t="s">
        <v>1925</v>
      </c>
      <c r="S1653" s="1" t="s">
        <v>68</v>
      </c>
      <c r="U1653" s="1" t="s">
        <v>288</v>
      </c>
      <c r="V1653" s="1">
        <v>46221</v>
      </c>
      <c r="W1653" s="4">
        <f>YEAR(Tableau1[[#This Row],[Competition_date]])</f>
        <v>2026</v>
      </c>
      <c r="X1653" s="4">
        <v>23</v>
      </c>
      <c r="Y1653" s="6">
        <v>0.43</v>
      </c>
      <c r="Z1653" s="4" t="s">
        <v>80</v>
      </c>
    </row>
    <row r="1654" spans="1:26" hidden="1" x14ac:dyDescent="0.35">
      <c r="A1654" t="str">
        <f>_xlfn.CONCAT(Tableau1[[#This Row],[Athletes]],"_",Tableau1[[#This Row],[Nationality]],"_",Tableau1[[#This Row],[Competition_year]])</f>
        <v>David RACE_GBR_2026</v>
      </c>
      <c r="B1654" t="s">
        <v>1921</v>
      </c>
      <c r="C1654" t="s">
        <v>14</v>
      </c>
      <c r="D1654" s="18" t="s">
        <v>30</v>
      </c>
      <c r="E1654">
        <v>12.9</v>
      </c>
      <c r="F1654">
        <v>12.3</v>
      </c>
      <c r="G1654">
        <v>13.5</v>
      </c>
      <c r="H1654">
        <v>13.3</v>
      </c>
      <c r="I1654">
        <v>13.3</v>
      </c>
      <c r="J1654">
        <v>13.6</v>
      </c>
      <c r="K1654">
        <v>14</v>
      </c>
      <c r="L1654">
        <f>Tableau1[[#This Row],[Final_time]]-SUM(Tableau1[[#This Row],[0_100m]:[600_700m]])</f>
        <v>13.510000000000005</v>
      </c>
      <c r="M1654">
        <v>106.41</v>
      </c>
      <c r="N1654">
        <f>SUM(Tableau1[[#This Row],[0_100m]:[700_800m]])</f>
        <v>106.41</v>
      </c>
      <c r="O1654" s="16">
        <f>ABS(Tableau1[[#This Row],[Final_time]]-Tableau1[[#This Row],[Sum_time]])</f>
        <v>0</v>
      </c>
      <c r="P1654" s="8"/>
      <c r="Q1654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4" t="s">
        <v>1925</v>
      </c>
      <c r="S1654" s="1" t="s">
        <v>68</v>
      </c>
      <c r="U1654" s="1" t="s">
        <v>288</v>
      </c>
      <c r="V1654" s="1">
        <v>46221</v>
      </c>
      <c r="W1654" s="4">
        <f>YEAR(Tableau1[[#This Row],[Competition_date]])</f>
        <v>2026</v>
      </c>
      <c r="X1654" s="4">
        <v>23</v>
      </c>
      <c r="Y1654" s="6">
        <v>0.43</v>
      </c>
      <c r="Z1654" s="4" t="s">
        <v>80</v>
      </c>
    </row>
    <row r="1655" spans="1:26" hidden="1" x14ac:dyDescent="0.35">
      <c r="A1655" t="str">
        <f>_xlfn.CONCAT(Tableau1[[#This Row],[Athletes]],"_",Tableau1[[#This Row],[Nationality]],"_",Tableau1[[#This Row],[Competition_year]])</f>
        <v>Harry ROSS-HUGHES_GBR_2026</v>
      </c>
      <c r="B1655" t="s">
        <v>1922</v>
      </c>
      <c r="C1655" t="s">
        <v>14</v>
      </c>
      <c r="D1655" s="18" t="s">
        <v>30</v>
      </c>
      <c r="E1655">
        <v>13</v>
      </c>
      <c r="F1655">
        <v>12.2</v>
      </c>
      <c r="G1655">
        <v>13.2</v>
      </c>
      <c r="H1655">
        <v>13.4</v>
      </c>
      <c r="I1655">
        <v>13.3</v>
      </c>
      <c r="J1655">
        <v>13.6</v>
      </c>
      <c r="K1655">
        <v>13.6</v>
      </c>
      <c r="L1655">
        <f>Tableau1[[#This Row],[Final_time]]-SUM(Tableau1[[#This Row],[0_100m]:[600_700m]])</f>
        <v>14.340000000000018</v>
      </c>
      <c r="M1655">
        <v>106.64</v>
      </c>
      <c r="N1655">
        <f>SUM(Tableau1[[#This Row],[0_100m]:[700_800m]])</f>
        <v>106.64</v>
      </c>
      <c r="O1655" s="16">
        <f>ABS(Tableau1[[#This Row],[Final_time]]-Tableau1[[#This Row],[Sum_time]])</f>
        <v>0</v>
      </c>
      <c r="P1655" s="8"/>
      <c r="Q1655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5" t="s">
        <v>1925</v>
      </c>
      <c r="S1655" s="1" t="s">
        <v>68</v>
      </c>
      <c r="U1655" s="1" t="s">
        <v>288</v>
      </c>
      <c r="V1655" s="1">
        <v>46221</v>
      </c>
      <c r="W1655" s="4">
        <f>YEAR(Tableau1[[#This Row],[Competition_date]])</f>
        <v>2026</v>
      </c>
      <c r="X1655" s="4">
        <v>23</v>
      </c>
      <c r="Y1655" s="6">
        <v>0.43</v>
      </c>
      <c r="Z1655" s="4" t="s">
        <v>80</v>
      </c>
    </row>
    <row r="1656" spans="1:26" hidden="1" x14ac:dyDescent="0.35">
      <c r="A1656" t="str">
        <f>_xlfn.CONCAT(Tableau1[[#This Row],[Athletes]],"_",Tableau1[[#This Row],[Nationality]],"_",Tableau1[[#This Row],[Competition_year]])</f>
        <v>Reece SHARMAN-NEWELL_GBR_2026</v>
      </c>
      <c r="B1656" t="s">
        <v>295</v>
      </c>
      <c r="C1656" t="s">
        <v>14</v>
      </c>
      <c r="D1656" s="18" t="s">
        <v>30</v>
      </c>
      <c r="E1656">
        <v>12.9</v>
      </c>
      <c r="F1656">
        <v>12.4</v>
      </c>
      <c r="G1656">
        <v>13.5</v>
      </c>
      <c r="H1656">
        <v>13.2</v>
      </c>
      <c r="I1656">
        <v>13.5</v>
      </c>
      <c r="J1656">
        <v>13.3</v>
      </c>
      <c r="K1656">
        <v>14</v>
      </c>
      <c r="L1656">
        <f>Tableau1[[#This Row],[Final_time]]-SUM(Tableau1[[#This Row],[0_100m]:[600_700m]])</f>
        <v>14.400000000000006</v>
      </c>
      <c r="M1656">
        <v>107.2</v>
      </c>
      <c r="N1656">
        <f>SUM(Tableau1[[#This Row],[0_100m]:[700_800m]])</f>
        <v>107.2</v>
      </c>
      <c r="O1656" s="16">
        <f>ABS(Tableau1[[#This Row],[Final_time]]-Tableau1[[#This Row],[Sum_time]])</f>
        <v>0</v>
      </c>
      <c r="P1656" s="8"/>
      <c r="Q1656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6" t="s">
        <v>1925</v>
      </c>
      <c r="S1656" s="1" t="s">
        <v>68</v>
      </c>
      <c r="U1656" s="1" t="s">
        <v>288</v>
      </c>
      <c r="V1656" s="1">
        <v>46221</v>
      </c>
      <c r="W1656" s="4">
        <f>YEAR(Tableau1[[#This Row],[Competition_date]])</f>
        <v>2026</v>
      </c>
      <c r="X1656" s="4">
        <v>23</v>
      </c>
      <c r="Y1656" s="6">
        <v>0.43</v>
      </c>
      <c r="Z1656" s="4" t="s">
        <v>80</v>
      </c>
    </row>
    <row r="1657" spans="1:26" hidden="1" x14ac:dyDescent="0.35">
      <c r="A1657" t="str">
        <f>_xlfn.CONCAT(Tableau1[[#This Row],[Athletes]],"_",Tableau1[[#This Row],[Nationality]],"_",Tableau1[[#This Row],[Competition_year]])</f>
        <v>Henry FISHER_GBR_2026</v>
      </c>
      <c r="B1657" t="s">
        <v>1923</v>
      </c>
      <c r="C1657" t="s">
        <v>14</v>
      </c>
      <c r="D1657" s="18" t="s">
        <v>30</v>
      </c>
      <c r="E1657">
        <v>12.8</v>
      </c>
      <c r="F1657">
        <v>12.7</v>
      </c>
      <c r="G1657">
        <v>13.3</v>
      </c>
      <c r="H1657">
        <v>13.4</v>
      </c>
      <c r="I1657">
        <v>13.3</v>
      </c>
      <c r="J1657">
        <v>13.3</v>
      </c>
      <c r="K1657">
        <v>13.8</v>
      </c>
      <c r="L1657">
        <f>Tableau1[[#This Row],[Final_time]]-SUM(Tableau1[[#This Row],[0_100m]:[600_700m]])</f>
        <v>14.660000000000011</v>
      </c>
      <c r="M1657">
        <v>107.26</v>
      </c>
      <c r="N1657">
        <f>SUM(Tableau1[[#This Row],[0_100m]:[700_800m]])</f>
        <v>107.26</v>
      </c>
      <c r="O1657" s="16">
        <f>ABS(Tableau1[[#This Row],[Final_time]]-Tableau1[[#This Row],[Sum_time]])</f>
        <v>0</v>
      </c>
      <c r="P1657" s="8"/>
      <c r="Q1657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7" t="s">
        <v>1925</v>
      </c>
      <c r="S1657" s="1" t="s">
        <v>68</v>
      </c>
      <c r="U1657" s="1" t="s">
        <v>288</v>
      </c>
      <c r="V1657" s="1">
        <v>46221</v>
      </c>
      <c r="W1657" s="4">
        <f>YEAR(Tableau1[[#This Row],[Competition_date]])</f>
        <v>2026</v>
      </c>
      <c r="X1657" s="4">
        <v>23</v>
      </c>
      <c r="Y1657" s="6">
        <v>0.43</v>
      </c>
      <c r="Z1657" s="4" t="s">
        <v>80</v>
      </c>
    </row>
    <row r="1658" spans="1:26" hidden="1" x14ac:dyDescent="0.35">
      <c r="A1658" t="str">
        <f>_xlfn.CONCAT(Tableau1[[#This Row],[Athletes]],"_",Tableau1[[#This Row],[Nationality]],"_",Tableau1[[#This Row],[Competition_year]])</f>
        <v>William RABJOHNS_GBR_2026</v>
      </c>
      <c r="B1658" t="s">
        <v>1924</v>
      </c>
      <c r="C1658" t="s">
        <v>14</v>
      </c>
      <c r="D1658" s="18" t="s">
        <v>30</v>
      </c>
      <c r="E1658">
        <v>13.1</v>
      </c>
      <c r="F1658">
        <v>12.3</v>
      </c>
      <c r="G1658">
        <v>13.6</v>
      </c>
      <c r="H1658">
        <v>13.2</v>
      </c>
      <c r="I1658">
        <v>13.5</v>
      </c>
      <c r="J1658">
        <v>13.2</v>
      </c>
      <c r="K1658">
        <v>13.9</v>
      </c>
      <c r="L1658">
        <f>Tableau1[[#This Row],[Final_time]]-SUM(Tableau1[[#This Row],[0_100m]:[600_700m]])</f>
        <v>14.749999999999986</v>
      </c>
      <c r="M1658">
        <v>107.55</v>
      </c>
      <c r="N1658">
        <f>SUM(Tableau1[[#This Row],[0_100m]:[700_800m]])</f>
        <v>107.55</v>
      </c>
      <c r="O1658" s="16">
        <f>ABS(Tableau1[[#This Row],[Final_time]]-Tableau1[[#This Row],[Sum_time]])</f>
        <v>0</v>
      </c>
      <c r="P1658" s="8"/>
      <c r="Q1658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8" t="s">
        <v>1925</v>
      </c>
      <c r="S1658" s="1" t="s">
        <v>68</v>
      </c>
      <c r="U1658" s="1" t="s">
        <v>288</v>
      </c>
      <c r="V1658" s="1">
        <v>46221</v>
      </c>
      <c r="W1658" s="4">
        <f>YEAR(Tableau1[[#This Row],[Competition_date]])</f>
        <v>2026</v>
      </c>
      <c r="X1658" s="4">
        <v>23</v>
      </c>
      <c r="Y1658" s="6">
        <v>0.43</v>
      </c>
      <c r="Z1658" s="4" t="s">
        <v>80</v>
      </c>
    </row>
    <row r="1659" spans="1:26" hidden="1" x14ac:dyDescent="0.35">
      <c r="A1659" t="str">
        <f>_xlfn.CONCAT(Tableau1[[#This Row],[Athletes]],"_",Tableau1[[#This Row],[Nationality]],"_",Tableau1[[#This Row],[Competition_year]])</f>
        <v>Thomas RANDOLPH_GBR_2026</v>
      </c>
      <c r="B1659" t="s">
        <v>292</v>
      </c>
      <c r="C1659" t="s">
        <v>14</v>
      </c>
      <c r="D1659" s="18" t="s">
        <v>30</v>
      </c>
      <c r="E1659">
        <v>12.8</v>
      </c>
      <c r="F1659">
        <v>12.6</v>
      </c>
      <c r="G1659">
        <v>13.6</v>
      </c>
      <c r="H1659">
        <v>13.3</v>
      </c>
      <c r="I1659">
        <v>13.4</v>
      </c>
      <c r="J1659">
        <v>13.4</v>
      </c>
      <c r="K1659">
        <v>13.9</v>
      </c>
      <c r="L1659">
        <f>Tableau1[[#This Row],[Final_time]]-SUM(Tableau1[[#This Row],[0_100m]:[600_700m]])</f>
        <v>14.569999999999979</v>
      </c>
      <c r="M1659">
        <v>107.57</v>
      </c>
      <c r="N1659">
        <f>SUM(Tableau1[[#This Row],[0_100m]:[700_800m]])</f>
        <v>107.57</v>
      </c>
      <c r="O1659" s="16">
        <f>ABS(Tableau1[[#This Row],[Final_time]]-Tableau1[[#This Row],[Sum_time]])</f>
        <v>0</v>
      </c>
      <c r="P1659" s="8"/>
      <c r="Q1659" s="16" t="str">
        <f>_xlfn.CONCAT(Tableau1[[#This Row],[Competition]],"_",Tableau1[[#This Row],[Championship_step]],"_",Tableau1[[#This Row],[Competition_date]],"_",Tableau1[[#This Row],[Gender]])</f>
        <v>Diamond League London 2026 - B race__46221_Male</v>
      </c>
      <c r="R1659" t="s">
        <v>1925</v>
      </c>
      <c r="S1659" s="1" t="s">
        <v>68</v>
      </c>
      <c r="U1659" s="1" t="s">
        <v>288</v>
      </c>
      <c r="V1659" s="1">
        <v>46221</v>
      </c>
      <c r="W1659" s="4">
        <f>YEAR(Tableau1[[#This Row],[Competition_date]])</f>
        <v>2026</v>
      </c>
      <c r="X1659" s="4">
        <v>23</v>
      </c>
      <c r="Y1659" s="6">
        <v>0.43</v>
      </c>
      <c r="Z1659" s="4" t="s">
        <v>80</v>
      </c>
    </row>
    <row r="1660" spans="1:26" hidden="1" x14ac:dyDescent="0.35">
      <c r="A1660" t="str">
        <f>_xlfn.CONCAT(Tableau1[[#This Row],[Athletes]],"_",Tableau1[[#This Row],[Nationality]],"_",Tableau1[[#This Row],[Competition_year]])</f>
        <v>Brandon MILLER_USA_2026</v>
      </c>
      <c r="B1660" t="s">
        <v>248</v>
      </c>
      <c r="C1660" t="s">
        <v>14</v>
      </c>
      <c r="D1660" s="18" t="s">
        <v>35</v>
      </c>
      <c r="E1660">
        <v>12.8</v>
      </c>
      <c r="F1660">
        <v>12.5</v>
      </c>
      <c r="G1660">
        <v>13.3</v>
      </c>
      <c r="H1660">
        <v>13.3</v>
      </c>
      <c r="I1660">
        <v>13.5</v>
      </c>
      <c r="J1660">
        <v>12.9</v>
      </c>
      <c r="K1660">
        <v>12.5</v>
      </c>
      <c r="L1660">
        <f>Tableau1[[#This Row],[Final_time]]-SUM(Tableau1[[#This Row],[0_100m]:[600_700m]])</f>
        <v>12.879999999999995</v>
      </c>
      <c r="M1660">
        <v>103.68</v>
      </c>
      <c r="N1660">
        <f>SUM(Tableau1[[#This Row],[0_100m]:[700_800m]])</f>
        <v>103.68</v>
      </c>
      <c r="O1660" s="16">
        <f>ABS(Tableau1[[#This Row],[Final_time]]-Tableau1[[#This Row],[Sum_time]])</f>
        <v>0</v>
      </c>
      <c r="P1660" s="8"/>
      <c r="Q1660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0" t="s">
        <v>1927</v>
      </c>
      <c r="S1660" s="1" t="s">
        <v>68</v>
      </c>
      <c r="U1660" s="1" t="s">
        <v>69</v>
      </c>
      <c r="V1660" s="1">
        <v>46206</v>
      </c>
      <c r="W1660" s="4">
        <f>YEAR(Tableau1[[#This Row],[Competition_date]])</f>
        <v>2026</v>
      </c>
      <c r="X1660" s="4">
        <v>23</v>
      </c>
      <c r="Y1660" s="6">
        <v>0.7</v>
      </c>
      <c r="Z1660" s="4" t="s">
        <v>79</v>
      </c>
    </row>
    <row r="1661" spans="1:26" hidden="1" x14ac:dyDescent="0.35">
      <c r="A1661" t="str">
        <f>_xlfn.CONCAT(Tableau1[[#This Row],[Athletes]],"_",Tableau1[[#This Row],[Nationality]],"_",Tableau1[[#This Row],[Competition_year]])</f>
        <v>Cooper LUTKENHAUS_USA_2026</v>
      </c>
      <c r="B1661" t="s">
        <v>1411</v>
      </c>
      <c r="C1661" t="s">
        <v>14</v>
      </c>
      <c r="D1661" s="18" t="s">
        <v>35</v>
      </c>
      <c r="E1661">
        <v>12.8</v>
      </c>
      <c r="F1661">
        <v>11.9</v>
      </c>
      <c r="G1661">
        <v>12.7</v>
      </c>
      <c r="H1661">
        <v>13.7</v>
      </c>
      <c r="I1661">
        <v>13.7</v>
      </c>
      <c r="J1661">
        <v>13.3</v>
      </c>
      <c r="K1661">
        <v>12.9</v>
      </c>
      <c r="L1661">
        <f>Tableau1[[#This Row],[Final_time]]-SUM(Tableau1[[#This Row],[0_100m]:[600_700m]])</f>
        <v>13.61999999999999</v>
      </c>
      <c r="M1661">
        <v>104.62</v>
      </c>
      <c r="N1661">
        <f>SUM(Tableau1[[#This Row],[0_100m]:[700_800m]])</f>
        <v>104.62</v>
      </c>
      <c r="O1661" s="16">
        <f>ABS(Tableau1[[#This Row],[Final_time]]-Tableau1[[#This Row],[Sum_time]])</f>
        <v>0</v>
      </c>
      <c r="P1661" s="8"/>
      <c r="Q1661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1" t="s">
        <v>1927</v>
      </c>
      <c r="S1661" s="1" t="s">
        <v>68</v>
      </c>
      <c r="U1661" s="1" t="s">
        <v>69</v>
      </c>
      <c r="V1661" s="1">
        <v>46206</v>
      </c>
      <c r="W1661" s="4">
        <f>YEAR(Tableau1[[#This Row],[Competition_date]])</f>
        <v>2026</v>
      </c>
      <c r="X1661" s="4">
        <v>23</v>
      </c>
      <c r="Y1661" s="6">
        <v>0.7</v>
      </c>
      <c r="Z1661" s="4" t="s">
        <v>79</v>
      </c>
    </row>
    <row r="1662" spans="1:26" hidden="1" x14ac:dyDescent="0.35">
      <c r="A1662" t="str">
        <f>_xlfn.CONCAT(Tableau1[[#This Row],[Athletes]],"_",Tableau1[[#This Row],[Nationality]],"_",Tableau1[[#This Row],[Competition_year]])</f>
        <v>Donavan BRAZIER_USA_2026</v>
      </c>
      <c r="B1662" t="s">
        <v>242</v>
      </c>
      <c r="C1662" t="s">
        <v>14</v>
      </c>
      <c r="D1662" s="18" t="s">
        <v>35</v>
      </c>
      <c r="E1662">
        <v>12.8</v>
      </c>
      <c r="F1662">
        <v>12.3</v>
      </c>
      <c r="G1662">
        <v>13</v>
      </c>
      <c r="H1662">
        <v>13.5</v>
      </c>
      <c r="I1662">
        <v>13.6</v>
      </c>
      <c r="J1662">
        <v>13.4</v>
      </c>
      <c r="K1662">
        <v>13.4</v>
      </c>
      <c r="L1662">
        <f>Tableau1[[#This Row],[Final_time]]-SUM(Tableau1[[#This Row],[0_100m]:[600_700m]])</f>
        <v>12.859999999999985</v>
      </c>
      <c r="M1662">
        <v>104.86</v>
      </c>
      <c r="N1662">
        <f>SUM(Tableau1[[#This Row],[0_100m]:[700_800m]])</f>
        <v>104.86</v>
      </c>
      <c r="O1662" s="16">
        <f>ABS(Tableau1[[#This Row],[Final_time]]-Tableau1[[#This Row],[Sum_time]])</f>
        <v>0</v>
      </c>
      <c r="P1662" s="8"/>
      <c r="Q1662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2" t="s">
        <v>1927</v>
      </c>
      <c r="S1662" s="1" t="s">
        <v>68</v>
      </c>
      <c r="U1662" s="1" t="s">
        <v>69</v>
      </c>
      <c r="V1662" s="1">
        <v>46206</v>
      </c>
      <c r="W1662" s="4">
        <f>YEAR(Tableau1[[#This Row],[Competition_date]])</f>
        <v>2026</v>
      </c>
      <c r="X1662" s="4">
        <v>23</v>
      </c>
      <c r="Y1662" s="6">
        <v>0.7</v>
      </c>
      <c r="Z1662" s="4" t="s">
        <v>79</v>
      </c>
    </row>
    <row r="1663" spans="1:26" hidden="1" x14ac:dyDescent="0.35">
      <c r="A1663" t="str">
        <f>_xlfn.CONCAT(Tableau1[[#This Row],[Athletes]],"_",Tableau1[[#This Row],[Nationality]],"_",Tableau1[[#This Row],[Competition_year]])</f>
        <v>Bryce HOPPEL_USA_2026</v>
      </c>
      <c r="B1663" t="s">
        <v>173</v>
      </c>
      <c r="C1663" t="s">
        <v>14</v>
      </c>
      <c r="D1663" s="18" t="s">
        <v>35</v>
      </c>
      <c r="E1663">
        <v>12.8</v>
      </c>
      <c r="F1663">
        <v>12.1</v>
      </c>
      <c r="G1663">
        <v>13</v>
      </c>
      <c r="H1663">
        <v>13.5</v>
      </c>
      <c r="I1663">
        <v>13.6</v>
      </c>
      <c r="J1663">
        <v>13.4</v>
      </c>
      <c r="K1663">
        <v>13.5</v>
      </c>
      <c r="L1663">
        <f>Tableau1[[#This Row],[Final_time]]-SUM(Tableau1[[#This Row],[0_100m]:[600_700m]])</f>
        <v>13.149999999999991</v>
      </c>
      <c r="M1663">
        <v>105.05</v>
      </c>
      <c r="N1663">
        <f>SUM(Tableau1[[#This Row],[0_100m]:[700_800m]])</f>
        <v>105.05</v>
      </c>
      <c r="O1663" s="16">
        <f>ABS(Tableau1[[#This Row],[Final_time]]-Tableau1[[#This Row],[Sum_time]])</f>
        <v>0</v>
      </c>
      <c r="P1663" s="8"/>
      <c r="Q1663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3" t="s">
        <v>1927</v>
      </c>
      <c r="S1663" s="1" t="s">
        <v>68</v>
      </c>
      <c r="U1663" s="1" t="s">
        <v>69</v>
      </c>
      <c r="V1663" s="1">
        <v>46206</v>
      </c>
      <c r="W1663" s="4">
        <f>YEAR(Tableau1[[#This Row],[Competition_date]])</f>
        <v>2026</v>
      </c>
      <c r="X1663" s="4">
        <v>23</v>
      </c>
      <c r="Y1663" s="6">
        <v>0.7</v>
      </c>
      <c r="Z1663" s="4" t="s">
        <v>79</v>
      </c>
    </row>
    <row r="1664" spans="1:26" hidden="1" x14ac:dyDescent="0.35">
      <c r="A1664" t="str">
        <f>_xlfn.CONCAT(Tableau1[[#This Row],[Athletes]],"_",Tableau1[[#This Row],[Nationality]],"_",Tableau1[[#This Row],[Competition_year]])</f>
        <v>Eliott CRESTAN_BEL_2026</v>
      </c>
      <c r="B1664" t="s">
        <v>244</v>
      </c>
      <c r="C1664" t="s">
        <v>14</v>
      </c>
      <c r="D1664" s="18" t="s">
        <v>18</v>
      </c>
      <c r="E1664">
        <v>12.9</v>
      </c>
      <c r="F1664">
        <v>12.3</v>
      </c>
      <c r="G1664">
        <v>13.2</v>
      </c>
      <c r="H1664">
        <v>13.4</v>
      </c>
      <c r="I1664">
        <v>13.6</v>
      </c>
      <c r="J1664">
        <v>13.4</v>
      </c>
      <c r="K1664">
        <v>13.5</v>
      </c>
      <c r="L1664">
        <f>Tableau1[[#This Row],[Final_time]]-SUM(Tableau1[[#This Row],[0_100m]:[600_700m]])</f>
        <v>12.809999999999988</v>
      </c>
      <c r="M1664">
        <v>105.11</v>
      </c>
      <c r="N1664">
        <f>SUM(Tableau1[[#This Row],[0_100m]:[700_800m]])</f>
        <v>105.11</v>
      </c>
      <c r="O1664" s="16">
        <f>ABS(Tableau1[[#This Row],[Final_time]]-Tableau1[[#This Row],[Sum_time]])</f>
        <v>0</v>
      </c>
      <c r="P1664" s="8"/>
      <c r="Q1664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4" t="s">
        <v>1927</v>
      </c>
      <c r="S1664" s="1" t="s">
        <v>68</v>
      </c>
      <c r="U1664" s="1" t="s">
        <v>69</v>
      </c>
      <c r="V1664" s="1">
        <v>46206</v>
      </c>
      <c r="W1664" s="4">
        <f>YEAR(Tableau1[[#This Row],[Competition_date]])</f>
        <v>2026</v>
      </c>
      <c r="X1664" s="4">
        <v>23</v>
      </c>
      <c r="Y1664" s="6">
        <v>0.7</v>
      </c>
      <c r="Z1664" s="4" t="s">
        <v>79</v>
      </c>
    </row>
    <row r="1665" spans="1:26" hidden="1" x14ac:dyDescent="0.35">
      <c r="A1665" t="str">
        <f>_xlfn.CONCAT(Tableau1[[#This Row],[Athletes]],"_",Tableau1[[#This Row],[Nationality]],"_",Tableau1[[#This Row],[Competition_year]])</f>
        <v>Daniel WILLIAMS_AUS_2026</v>
      </c>
      <c r="B1665" t="s">
        <v>1926</v>
      </c>
      <c r="C1665" t="s">
        <v>14</v>
      </c>
      <c r="D1665" s="18" t="s">
        <v>36</v>
      </c>
      <c r="E1665">
        <v>13</v>
      </c>
      <c r="F1665">
        <v>12.5</v>
      </c>
      <c r="G1665">
        <v>13.2</v>
      </c>
      <c r="H1665">
        <v>13.5</v>
      </c>
      <c r="I1665">
        <v>13.5</v>
      </c>
      <c r="J1665">
        <v>13.3</v>
      </c>
      <c r="K1665">
        <v>13.4</v>
      </c>
      <c r="L1665">
        <f>Tableau1[[#This Row],[Final_time]]-SUM(Tableau1[[#This Row],[0_100m]:[600_700m]])</f>
        <v>13.019999999999996</v>
      </c>
      <c r="M1665">
        <v>105.42</v>
      </c>
      <c r="N1665">
        <f>SUM(Tableau1[[#This Row],[0_100m]:[700_800m]])</f>
        <v>105.42</v>
      </c>
      <c r="O1665" s="16">
        <f>ABS(Tableau1[[#This Row],[Final_time]]-Tableau1[[#This Row],[Sum_time]])</f>
        <v>0</v>
      </c>
      <c r="P1665" s="8"/>
      <c r="Q1665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5" t="s">
        <v>1927</v>
      </c>
      <c r="S1665" s="1" t="s">
        <v>68</v>
      </c>
      <c r="U1665" s="1" t="s">
        <v>69</v>
      </c>
      <c r="V1665" s="1">
        <v>46206</v>
      </c>
      <c r="W1665" s="4">
        <f>YEAR(Tableau1[[#This Row],[Competition_date]])</f>
        <v>2026</v>
      </c>
      <c r="X1665" s="4">
        <v>23</v>
      </c>
      <c r="Y1665" s="6">
        <v>0.7</v>
      </c>
      <c r="Z1665" s="4" t="s">
        <v>79</v>
      </c>
    </row>
    <row r="1666" spans="1:26" hidden="1" x14ac:dyDescent="0.35">
      <c r="A1666" t="str">
        <f>_xlfn.CONCAT(Tableau1[[#This Row],[Athletes]],"_",Tableau1[[#This Row],[Nationality]],"_",Tableau1[[#This Row],[Competition_year]])</f>
        <v>Yanis MEZIANE_FRA_2026</v>
      </c>
      <c r="B1666" t="s">
        <v>171</v>
      </c>
      <c r="C1666" t="s">
        <v>14</v>
      </c>
      <c r="D1666" s="18" t="s">
        <v>17</v>
      </c>
      <c r="E1666">
        <v>12.9</v>
      </c>
      <c r="F1666">
        <v>12.6</v>
      </c>
      <c r="G1666">
        <v>13.3</v>
      </c>
      <c r="H1666">
        <v>13.1</v>
      </c>
      <c r="I1666">
        <v>13.6</v>
      </c>
      <c r="J1666">
        <v>13.3</v>
      </c>
      <c r="K1666">
        <v>13.3</v>
      </c>
      <c r="L1666">
        <f>Tableau1[[#This Row],[Final_time]]-SUM(Tableau1[[#This Row],[0_100m]:[600_700m]])</f>
        <v>13.560000000000002</v>
      </c>
      <c r="M1666">
        <v>105.66</v>
      </c>
      <c r="N1666">
        <f>SUM(Tableau1[[#This Row],[0_100m]:[700_800m]])</f>
        <v>105.66</v>
      </c>
      <c r="O1666" s="16">
        <f>ABS(Tableau1[[#This Row],[Final_time]]-Tableau1[[#This Row],[Sum_time]])</f>
        <v>0</v>
      </c>
      <c r="P1666" s="8"/>
      <c r="Q1666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6" t="s">
        <v>1927</v>
      </c>
      <c r="S1666" s="1" t="s">
        <v>68</v>
      </c>
      <c r="U1666" s="1" t="s">
        <v>69</v>
      </c>
      <c r="V1666" s="1">
        <v>46206</v>
      </c>
      <c r="W1666" s="4">
        <f>YEAR(Tableau1[[#This Row],[Competition_date]])</f>
        <v>2026</v>
      </c>
      <c r="X1666" s="4">
        <v>23</v>
      </c>
      <c r="Y1666" s="6">
        <v>0.7</v>
      </c>
      <c r="Z1666" s="4" t="s">
        <v>79</v>
      </c>
    </row>
    <row r="1667" spans="1:26" hidden="1" x14ac:dyDescent="0.35">
      <c r="A1667" t="str">
        <f>_xlfn.CONCAT(Tableau1[[#This Row],[Athletes]],"_",Tableau1[[#This Row],[Nationality]],"_",Tableau1[[#This Row],[Competition_year]])</f>
        <v>Tshepiso MASALELA_BOT_2026</v>
      </c>
      <c r="B1667" t="s">
        <v>107</v>
      </c>
      <c r="C1667" t="s">
        <v>14</v>
      </c>
      <c r="D1667" s="18" t="s">
        <v>44</v>
      </c>
      <c r="E1667">
        <v>13</v>
      </c>
      <c r="F1667">
        <v>12</v>
      </c>
      <c r="G1667">
        <v>13.2</v>
      </c>
      <c r="H1667">
        <v>13.4</v>
      </c>
      <c r="I1667">
        <v>13.5</v>
      </c>
      <c r="J1667">
        <v>13.3</v>
      </c>
      <c r="K1667">
        <v>13.5</v>
      </c>
      <c r="L1667">
        <f>Tableau1[[#This Row],[Final_time]]-SUM(Tableau1[[#This Row],[0_100m]:[600_700m]])</f>
        <v>13.800000000000011</v>
      </c>
      <c r="M1667">
        <v>105.7</v>
      </c>
      <c r="N1667">
        <f>SUM(Tableau1[[#This Row],[0_100m]:[700_800m]])</f>
        <v>105.7</v>
      </c>
      <c r="O1667" s="16">
        <f>ABS(Tableau1[[#This Row],[Final_time]]-Tableau1[[#This Row],[Sum_time]])</f>
        <v>0</v>
      </c>
      <c r="P1667" s="8"/>
      <c r="Q1667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7" t="s">
        <v>1927</v>
      </c>
      <c r="S1667" s="1" t="s">
        <v>68</v>
      </c>
      <c r="U1667" s="1" t="s">
        <v>69</v>
      </c>
      <c r="V1667" s="1">
        <v>46206</v>
      </c>
      <c r="W1667" s="4">
        <f>YEAR(Tableau1[[#This Row],[Competition_date]])</f>
        <v>2026</v>
      </c>
      <c r="X1667" s="4">
        <v>23</v>
      </c>
      <c r="Y1667" s="6">
        <v>0.7</v>
      </c>
      <c r="Z1667" s="4" t="s">
        <v>79</v>
      </c>
    </row>
    <row r="1668" spans="1:26" hidden="1" x14ac:dyDescent="0.35">
      <c r="A1668" t="str">
        <f>_xlfn.CONCAT(Tableau1[[#This Row],[Athletes]],"_",Tableau1[[#This Row],[Nationality]],"_",Tableau1[[#This Row],[Competition_year]])</f>
        <v>Noah KIBET_KEN_2026</v>
      </c>
      <c r="B1668" t="s">
        <v>250</v>
      </c>
      <c r="C1668" t="s">
        <v>14</v>
      </c>
      <c r="D1668" s="18" t="s">
        <v>15</v>
      </c>
      <c r="E1668">
        <v>13</v>
      </c>
      <c r="F1668">
        <v>12.3</v>
      </c>
      <c r="G1668">
        <v>13.2</v>
      </c>
      <c r="H1668">
        <v>13.3</v>
      </c>
      <c r="I1668">
        <v>13.5</v>
      </c>
      <c r="J1668">
        <v>13.3</v>
      </c>
      <c r="K1668">
        <v>13.5</v>
      </c>
      <c r="L1668">
        <f>Tableau1[[#This Row],[Final_time]]-SUM(Tableau1[[#This Row],[0_100m]:[600_700m]])</f>
        <v>14</v>
      </c>
      <c r="M1668">
        <v>106.1</v>
      </c>
      <c r="N1668">
        <f>SUM(Tableau1[[#This Row],[0_100m]:[700_800m]])</f>
        <v>106.1</v>
      </c>
      <c r="O1668" s="16">
        <f>ABS(Tableau1[[#This Row],[Final_time]]-Tableau1[[#This Row],[Sum_time]])</f>
        <v>0</v>
      </c>
      <c r="P1668" s="8"/>
      <c r="Q1668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8" t="s">
        <v>1927</v>
      </c>
      <c r="S1668" s="1" t="s">
        <v>68</v>
      </c>
      <c r="U1668" s="1" t="s">
        <v>69</v>
      </c>
      <c r="V1668" s="1">
        <v>46206</v>
      </c>
      <c r="W1668" s="4">
        <f>YEAR(Tableau1[[#This Row],[Competition_date]])</f>
        <v>2026</v>
      </c>
      <c r="X1668" s="4">
        <v>23</v>
      </c>
      <c r="Y1668" s="6">
        <v>0.7</v>
      </c>
      <c r="Z1668" s="4" t="s">
        <v>79</v>
      </c>
    </row>
    <row r="1669" spans="1:26" hidden="1" x14ac:dyDescent="0.35">
      <c r="A1669" t="str">
        <f>_xlfn.CONCAT(Tableau1[[#This Row],[Athletes]],"_",Tableau1[[#This Row],[Nationality]],"_",Tableau1[[#This Row],[Competition_year]])</f>
        <v>Yusuf BIZIMANA_GBR_2026</v>
      </c>
      <c r="B1669" t="s">
        <v>297</v>
      </c>
      <c r="C1669" t="s">
        <v>14</v>
      </c>
      <c r="D1669" s="18" t="s">
        <v>30</v>
      </c>
      <c r="E1669">
        <v>12.6</v>
      </c>
      <c r="F1669">
        <v>12.3</v>
      </c>
      <c r="G1669">
        <v>12.8</v>
      </c>
      <c r="H1669">
        <v>13.5</v>
      </c>
      <c r="I1669">
        <v>13.6</v>
      </c>
      <c r="J1669">
        <v>13.4</v>
      </c>
      <c r="K1669">
        <v>13.5</v>
      </c>
      <c r="L1669">
        <f>Tableau1[[#This Row],[Final_time]]-SUM(Tableau1[[#This Row],[0_100m]:[600_700m]])</f>
        <v>14.670000000000002</v>
      </c>
      <c r="M1669">
        <v>106.37</v>
      </c>
      <c r="N1669">
        <f>SUM(Tableau1[[#This Row],[0_100m]:[700_800m]])</f>
        <v>106.37</v>
      </c>
      <c r="O1669" s="16">
        <f>ABS(Tableau1[[#This Row],[Final_time]]-Tableau1[[#This Row],[Sum_time]])</f>
        <v>0</v>
      </c>
      <c r="P1669" s="8"/>
      <c r="Q1669" s="16" t="str">
        <f>_xlfn.CONCAT(Tableau1[[#This Row],[Competition]],"_",Tableau1[[#This Row],[Championship_step]],"_",Tableau1[[#This Row],[Competition_date]],"_",Tableau1[[#This Row],[Gender]])</f>
        <v>Diamond League Eugene__46206_Male</v>
      </c>
      <c r="R1669" t="s">
        <v>1927</v>
      </c>
      <c r="S1669" s="1" t="s">
        <v>68</v>
      </c>
      <c r="U1669" s="1" t="s">
        <v>69</v>
      </c>
      <c r="V1669" s="1">
        <v>46206</v>
      </c>
      <c r="W1669" s="4">
        <f>YEAR(Tableau1[[#This Row],[Competition_date]])</f>
        <v>2026</v>
      </c>
      <c r="X1669" s="4">
        <v>23</v>
      </c>
      <c r="Y1669" s="6">
        <v>0.7</v>
      </c>
      <c r="Z1669" s="4" t="s">
        <v>79</v>
      </c>
    </row>
    <row r="1670" spans="1:26" hidden="1" x14ac:dyDescent="0.35">
      <c r="A1670" t="str">
        <f>_xlfn.CONCAT(Tableau1[[#This Row],[Athletes]],"_",Tableau1[[#This Row],[Nationality]],"_",Tableau1[[#This Row],[Competition_year]])</f>
        <v>Lilian ODIRA_KEN_2026</v>
      </c>
      <c r="B1670" t="s">
        <v>1381</v>
      </c>
      <c r="C1670" t="s">
        <v>29</v>
      </c>
      <c r="D1670" s="18" t="s">
        <v>15</v>
      </c>
      <c r="E1670">
        <v>13.7</v>
      </c>
      <c r="F1670">
        <v>13.3</v>
      </c>
      <c r="G1670">
        <v>14.3</v>
      </c>
      <c r="H1670">
        <v>15.1</v>
      </c>
      <c r="I1670">
        <v>15.2</v>
      </c>
      <c r="J1670">
        <v>14.8</v>
      </c>
      <c r="K1670">
        <v>15.2</v>
      </c>
      <c r="L1670">
        <f>Tableau1[[#This Row],[Final_time]]-SUM(Tableau1[[#This Row],[0_100m]:[600_700m]])</f>
        <v>14.590000000000003</v>
      </c>
      <c r="M1670">
        <v>116.19</v>
      </c>
      <c r="N1670">
        <f>SUM(Tableau1[[#This Row],[0_100m]:[700_800m]])</f>
        <v>116.19</v>
      </c>
      <c r="O1670" s="16">
        <f>ABS(Tableau1[[#This Row],[Final_time]]-Tableau1[[#This Row],[Sum_time]])</f>
        <v>0</v>
      </c>
      <c r="P1670" s="8"/>
      <c r="Q1670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0" t="s">
        <v>1927</v>
      </c>
      <c r="S1670" s="1" t="s">
        <v>68</v>
      </c>
      <c r="U1670" s="1" t="s">
        <v>69</v>
      </c>
      <c r="V1670" s="1">
        <v>46207</v>
      </c>
      <c r="W1670" s="4">
        <f>YEAR(Tableau1[[#This Row],[Competition_date]])</f>
        <v>2026</v>
      </c>
      <c r="X1670" s="4">
        <v>25</v>
      </c>
      <c r="Y1670" s="6">
        <v>0.49</v>
      </c>
      <c r="Z1670" s="4" t="s">
        <v>79</v>
      </c>
    </row>
    <row r="1671" spans="1:26" hidden="1" x14ac:dyDescent="0.35">
      <c r="A1671" t="str">
        <f>_xlfn.CONCAT(Tableau1[[#This Row],[Athletes]],"_",Tableau1[[#This Row],[Nationality]],"_",Tableau1[[#This Row],[Competition_year]])</f>
        <v>Keely HODGKINSON_GBR_2026</v>
      </c>
      <c r="B1671" t="s">
        <v>212</v>
      </c>
      <c r="C1671" t="s">
        <v>29</v>
      </c>
      <c r="D1671" s="18" t="s">
        <v>30</v>
      </c>
      <c r="E1671">
        <v>13.9</v>
      </c>
      <c r="F1671">
        <v>13</v>
      </c>
      <c r="G1671">
        <v>14.3</v>
      </c>
      <c r="H1671">
        <v>15.1</v>
      </c>
      <c r="I1671">
        <v>15.1</v>
      </c>
      <c r="J1671">
        <v>14.8</v>
      </c>
      <c r="K1671">
        <v>15.3</v>
      </c>
      <c r="L1671">
        <f>Tableau1[[#This Row],[Final_time]]-SUM(Tableau1[[#This Row],[0_100m]:[600_700m]])</f>
        <v>15.230000000000004</v>
      </c>
      <c r="M1671">
        <v>116.73</v>
      </c>
      <c r="N1671">
        <f>SUM(Tableau1[[#This Row],[0_100m]:[700_800m]])</f>
        <v>116.73</v>
      </c>
      <c r="O1671" s="16">
        <f>ABS(Tableau1[[#This Row],[Final_time]]-Tableau1[[#This Row],[Sum_time]])</f>
        <v>0</v>
      </c>
      <c r="P1671" s="8"/>
      <c r="Q1671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1" t="s">
        <v>1927</v>
      </c>
      <c r="S1671" s="1" t="s">
        <v>68</v>
      </c>
      <c r="U1671" s="1" t="s">
        <v>69</v>
      </c>
      <c r="V1671" s="1">
        <v>46207</v>
      </c>
      <c r="W1671" s="4">
        <f>YEAR(Tableau1[[#This Row],[Competition_date]])</f>
        <v>2026</v>
      </c>
      <c r="X1671" s="4">
        <v>25</v>
      </c>
      <c r="Y1671" s="6">
        <v>0.49</v>
      </c>
      <c r="Z1671" s="4" t="s">
        <v>79</v>
      </c>
    </row>
    <row r="1672" spans="1:26" hidden="1" x14ac:dyDescent="0.35">
      <c r="A1672" t="str">
        <f>_xlfn.CONCAT(Tableau1[[#This Row],[Athletes]],"_",Tableau1[[#This Row],[Nationality]],"_",Tableau1[[#This Row],[Competition_year]])</f>
        <v>Addison WILEY_USA_2026</v>
      </c>
      <c r="B1672" t="s">
        <v>533</v>
      </c>
      <c r="C1672" t="s">
        <v>29</v>
      </c>
      <c r="D1672" s="18" t="s">
        <v>35</v>
      </c>
      <c r="E1672">
        <v>14.1</v>
      </c>
      <c r="F1672">
        <v>13.5</v>
      </c>
      <c r="G1672">
        <v>14.3</v>
      </c>
      <c r="H1672">
        <v>14.9</v>
      </c>
      <c r="I1672">
        <v>15.5</v>
      </c>
      <c r="J1672">
        <v>15</v>
      </c>
      <c r="K1672">
        <v>15.4</v>
      </c>
      <c r="L1672">
        <f>Tableau1[[#This Row],[Final_time]]-SUM(Tableau1[[#This Row],[0_100m]:[600_700m]])</f>
        <v>14.999999999999986</v>
      </c>
      <c r="M1672">
        <v>117.7</v>
      </c>
      <c r="N1672">
        <f>SUM(Tableau1[[#This Row],[0_100m]:[700_800m]])</f>
        <v>117.7</v>
      </c>
      <c r="O1672" s="16">
        <f>ABS(Tableau1[[#This Row],[Final_time]]-Tableau1[[#This Row],[Sum_time]])</f>
        <v>0</v>
      </c>
      <c r="P1672" s="8"/>
      <c r="Q1672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2" t="s">
        <v>1927</v>
      </c>
      <c r="S1672" s="1" t="s">
        <v>68</v>
      </c>
      <c r="U1672" s="1" t="s">
        <v>69</v>
      </c>
      <c r="V1672" s="1">
        <v>46207</v>
      </c>
      <c r="W1672" s="4">
        <f>YEAR(Tableau1[[#This Row],[Competition_date]])</f>
        <v>2026</v>
      </c>
      <c r="X1672" s="4">
        <v>25</v>
      </c>
      <c r="Y1672" s="6">
        <v>0.49</v>
      </c>
      <c r="Z1672" s="4" t="s">
        <v>79</v>
      </c>
    </row>
    <row r="1673" spans="1:26" hidden="1" x14ac:dyDescent="0.35">
      <c r="A1673" t="str">
        <f>_xlfn.CONCAT(Tableau1[[#This Row],[Athletes]],"_",Tableau1[[#This Row],[Nationality]],"_",Tableau1[[#This Row],[Competition_year]])</f>
        <v>Sanu JALLOW_GAM_2026</v>
      </c>
      <c r="B1673" t="s">
        <v>1928</v>
      </c>
      <c r="C1673" t="s">
        <v>29</v>
      </c>
      <c r="D1673" s="18" t="s">
        <v>1929</v>
      </c>
      <c r="E1673">
        <v>13.4</v>
      </c>
      <c r="F1673">
        <v>13.2</v>
      </c>
      <c r="G1673">
        <v>14.1</v>
      </c>
      <c r="H1673">
        <v>15</v>
      </c>
      <c r="I1673">
        <v>15.4</v>
      </c>
      <c r="J1673">
        <v>15.3</v>
      </c>
      <c r="K1673">
        <v>15.6</v>
      </c>
      <c r="L1673">
        <f>Tableau1[[#This Row],[Final_time]]-SUM(Tableau1[[#This Row],[0_100m]:[600_700m]])</f>
        <v>16.120000000000005</v>
      </c>
      <c r="M1673">
        <v>118.12</v>
      </c>
      <c r="N1673">
        <f>SUM(Tableau1[[#This Row],[0_100m]:[700_800m]])</f>
        <v>118.12</v>
      </c>
      <c r="O1673" s="16">
        <f>ABS(Tableau1[[#This Row],[Final_time]]-Tableau1[[#This Row],[Sum_time]])</f>
        <v>0</v>
      </c>
      <c r="P1673" s="8"/>
      <c r="Q1673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3" t="s">
        <v>1927</v>
      </c>
      <c r="S1673" s="1" t="s">
        <v>68</v>
      </c>
      <c r="U1673" s="1" t="s">
        <v>69</v>
      </c>
      <c r="V1673" s="1">
        <v>46207</v>
      </c>
      <c r="W1673" s="4">
        <f>YEAR(Tableau1[[#This Row],[Competition_date]])</f>
        <v>2026</v>
      </c>
      <c r="X1673" s="4">
        <v>25</v>
      </c>
      <c r="Y1673" s="6">
        <v>0.49</v>
      </c>
      <c r="Z1673" s="4" t="s">
        <v>79</v>
      </c>
    </row>
    <row r="1674" spans="1:26" hidden="1" x14ac:dyDescent="0.35">
      <c r="A1674" t="str">
        <f>_xlfn.CONCAT(Tableau1[[#This Row],[Athletes]],"_",Tableau1[[#This Row],[Nationality]],"_",Tableau1[[#This Row],[Competition_year]])</f>
        <v>Raevyn ROGERS_USA_2026</v>
      </c>
      <c r="B1674" t="s">
        <v>221</v>
      </c>
      <c r="C1674" t="s">
        <v>29</v>
      </c>
      <c r="D1674" s="18" t="s">
        <v>35</v>
      </c>
      <c r="E1674">
        <v>14.1</v>
      </c>
      <c r="F1674">
        <v>13.2</v>
      </c>
      <c r="G1674">
        <v>14.4</v>
      </c>
      <c r="H1674">
        <v>15</v>
      </c>
      <c r="I1674">
        <v>15.4</v>
      </c>
      <c r="J1674">
        <v>15</v>
      </c>
      <c r="K1674">
        <v>15.4</v>
      </c>
      <c r="L1674">
        <f>Tableau1[[#This Row],[Final_time]]-SUM(Tableau1[[#This Row],[0_100m]:[600_700m]])</f>
        <v>15.709999999999994</v>
      </c>
      <c r="M1674">
        <v>118.21</v>
      </c>
      <c r="N1674">
        <f>SUM(Tableau1[[#This Row],[0_100m]:[700_800m]])</f>
        <v>118.21</v>
      </c>
      <c r="O1674" s="16">
        <f>ABS(Tableau1[[#This Row],[Final_time]]-Tableau1[[#This Row],[Sum_time]])</f>
        <v>0</v>
      </c>
      <c r="P1674" s="8"/>
      <c r="Q1674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4" t="s">
        <v>1927</v>
      </c>
      <c r="S1674" s="1" t="s">
        <v>68</v>
      </c>
      <c r="U1674" s="1" t="s">
        <v>69</v>
      </c>
      <c r="V1674" s="1">
        <v>46207</v>
      </c>
      <c r="W1674" s="4">
        <f>YEAR(Tableau1[[#This Row],[Competition_date]])</f>
        <v>2026</v>
      </c>
      <c r="X1674" s="4">
        <v>25</v>
      </c>
      <c r="Y1674" s="6">
        <v>0.49</v>
      </c>
      <c r="Z1674" s="4" t="s">
        <v>79</v>
      </c>
    </row>
    <row r="1675" spans="1:26" hidden="1" x14ac:dyDescent="0.35">
      <c r="A1675" t="str">
        <f>_xlfn.CONCAT(Tableau1[[#This Row],[Athletes]],"_",Tableau1[[#This Row],[Nationality]],"_",Tableau1[[#This Row],[Competition_year]])</f>
        <v>Anaïs BOURGOIN_FRA_2026</v>
      </c>
      <c r="B1675" t="s">
        <v>1375</v>
      </c>
      <c r="C1675" t="s">
        <v>29</v>
      </c>
      <c r="D1675" s="18" t="s">
        <v>17</v>
      </c>
      <c r="E1675">
        <v>13.9</v>
      </c>
      <c r="F1675">
        <v>12.9</v>
      </c>
      <c r="G1675">
        <v>14.3</v>
      </c>
      <c r="H1675">
        <v>15.1</v>
      </c>
      <c r="I1675">
        <v>15.3</v>
      </c>
      <c r="J1675">
        <v>15.3</v>
      </c>
      <c r="K1675">
        <v>15.9</v>
      </c>
      <c r="L1675">
        <f>Tableau1[[#This Row],[Final_time]]-SUM(Tableau1[[#This Row],[0_100m]:[600_700m]])</f>
        <v>15.959999999999994</v>
      </c>
      <c r="M1675">
        <v>118.66</v>
      </c>
      <c r="N1675">
        <f>SUM(Tableau1[[#This Row],[0_100m]:[700_800m]])</f>
        <v>118.66</v>
      </c>
      <c r="O1675" s="16">
        <f>ABS(Tableau1[[#This Row],[Final_time]]-Tableau1[[#This Row],[Sum_time]])</f>
        <v>0</v>
      </c>
      <c r="P1675" s="8"/>
      <c r="Q1675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5" t="s">
        <v>1927</v>
      </c>
      <c r="S1675" s="1" t="s">
        <v>68</v>
      </c>
      <c r="U1675" s="1" t="s">
        <v>69</v>
      </c>
      <c r="V1675" s="1">
        <v>46207</v>
      </c>
      <c r="W1675" s="4">
        <f>YEAR(Tableau1[[#This Row],[Competition_date]])</f>
        <v>2026</v>
      </c>
      <c r="X1675" s="4">
        <v>25</v>
      </c>
      <c r="Y1675" s="6">
        <v>0.49</v>
      </c>
      <c r="Z1675" s="4" t="s">
        <v>79</v>
      </c>
    </row>
    <row r="1676" spans="1:26" hidden="1" x14ac:dyDescent="0.35">
      <c r="A1676" t="str">
        <f>_xlfn.CONCAT(Tableau1[[#This Row],[Athletes]],"_",Tableau1[[#This Row],[Nationality]],"_",Tableau1[[#This Row],[Competition_year]])</f>
        <v>Prudence SEKGODISO_RSA_2026</v>
      </c>
      <c r="B1676" t="s">
        <v>235</v>
      </c>
      <c r="C1676" t="s">
        <v>29</v>
      </c>
      <c r="D1676" s="18" t="s">
        <v>96</v>
      </c>
      <c r="E1676">
        <v>13.8</v>
      </c>
      <c r="F1676">
        <v>13.4</v>
      </c>
      <c r="G1676">
        <v>14.4</v>
      </c>
      <c r="H1676">
        <v>14.9</v>
      </c>
      <c r="I1676">
        <v>15.2</v>
      </c>
      <c r="J1676">
        <v>15</v>
      </c>
      <c r="K1676">
        <v>15.5</v>
      </c>
      <c r="L1676">
        <f>Tableau1[[#This Row],[Final_time]]-SUM(Tableau1[[#This Row],[0_100m]:[600_700m]])</f>
        <v>16.590000000000003</v>
      </c>
      <c r="M1676">
        <v>118.79</v>
      </c>
      <c r="N1676">
        <f>SUM(Tableau1[[#This Row],[0_100m]:[700_800m]])</f>
        <v>118.79</v>
      </c>
      <c r="O1676" s="16">
        <f>ABS(Tableau1[[#This Row],[Final_time]]-Tableau1[[#This Row],[Sum_time]])</f>
        <v>0</v>
      </c>
      <c r="P1676" s="8"/>
      <c r="Q1676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6" t="s">
        <v>1927</v>
      </c>
      <c r="S1676" s="1" t="s">
        <v>68</v>
      </c>
      <c r="U1676" s="1" t="s">
        <v>69</v>
      </c>
      <c r="V1676" s="1">
        <v>46207</v>
      </c>
      <c r="W1676" s="4">
        <f>YEAR(Tableau1[[#This Row],[Competition_date]])</f>
        <v>2026</v>
      </c>
      <c r="X1676" s="4">
        <v>25</v>
      </c>
      <c r="Y1676" s="6">
        <v>0.49</v>
      </c>
      <c r="Z1676" s="4" t="s">
        <v>79</v>
      </c>
    </row>
    <row r="1677" spans="1:26" hidden="1" x14ac:dyDescent="0.35">
      <c r="A1677" t="str">
        <f>_xlfn.CONCAT(Tableau1[[#This Row],[Athletes]],"_",Tableau1[[#This Row],[Nationality]],"_",Tableau1[[#This Row],[Competition_year]])</f>
        <v>Halimah NAKAAYI_UGA_2026</v>
      </c>
      <c r="B1677" t="s">
        <v>230</v>
      </c>
      <c r="C1677" t="s">
        <v>29</v>
      </c>
      <c r="D1677" s="18" t="s">
        <v>34</v>
      </c>
      <c r="E1677">
        <v>13.7</v>
      </c>
      <c r="F1677">
        <v>13.4</v>
      </c>
      <c r="G1677">
        <v>14.4</v>
      </c>
      <c r="H1677">
        <v>15.1</v>
      </c>
      <c r="I1677">
        <v>15.4</v>
      </c>
      <c r="J1677">
        <v>15.3</v>
      </c>
      <c r="K1677">
        <v>15.7</v>
      </c>
      <c r="L1677">
        <f>Tableau1[[#This Row],[Final_time]]-SUM(Tableau1[[#This Row],[0_100m]:[600_700m]])</f>
        <v>16.370000000000005</v>
      </c>
      <c r="M1677">
        <v>119.37</v>
      </c>
      <c r="N1677">
        <f>SUM(Tableau1[[#This Row],[0_100m]:[700_800m]])</f>
        <v>119.37</v>
      </c>
      <c r="O1677" s="16">
        <f>ABS(Tableau1[[#This Row],[Final_time]]-Tableau1[[#This Row],[Sum_time]])</f>
        <v>0</v>
      </c>
      <c r="P1677" s="8"/>
      <c r="Q1677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7" t="s">
        <v>1927</v>
      </c>
      <c r="S1677" s="1" t="s">
        <v>68</v>
      </c>
      <c r="U1677" s="1" t="s">
        <v>69</v>
      </c>
      <c r="V1677" s="1">
        <v>46207</v>
      </c>
      <c r="W1677" s="4">
        <f>YEAR(Tableau1[[#This Row],[Competition_date]])</f>
        <v>2026</v>
      </c>
      <c r="X1677" s="4">
        <v>25</v>
      </c>
      <c r="Y1677" s="6">
        <v>0.49</v>
      </c>
      <c r="Z1677" s="4" t="s">
        <v>79</v>
      </c>
    </row>
    <row r="1678" spans="1:26" hidden="1" x14ac:dyDescent="0.35">
      <c r="A1678" t="str">
        <f>_xlfn.CONCAT(Tableau1[[#This Row],[Athletes]],"_",Tableau1[[#This Row],[Nationality]],"_",Tableau1[[#This Row],[Competition_year]])</f>
        <v>Hayley KITCHING_AUS_2026</v>
      </c>
      <c r="B1678" t="s">
        <v>1930</v>
      </c>
      <c r="C1678" t="s">
        <v>29</v>
      </c>
      <c r="D1678" s="18" t="s">
        <v>36</v>
      </c>
      <c r="E1678">
        <v>13.6</v>
      </c>
      <c r="F1678">
        <v>13.9</v>
      </c>
      <c r="G1678">
        <v>14.7</v>
      </c>
      <c r="H1678">
        <v>15.2</v>
      </c>
      <c r="I1678">
        <v>15.5</v>
      </c>
      <c r="J1678">
        <v>15.2</v>
      </c>
      <c r="K1678">
        <v>15.7</v>
      </c>
      <c r="L1678">
        <f>Tableau1[[#This Row],[Final_time]]-SUM(Tableau1[[#This Row],[0_100m]:[600_700m]])</f>
        <v>15.759999999999991</v>
      </c>
      <c r="M1678">
        <v>119.56</v>
      </c>
      <c r="N1678">
        <f>SUM(Tableau1[[#This Row],[0_100m]:[700_800m]])</f>
        <v>119.56</v>
      </c>
      <c r="O1678" s="16">
        <f>ABS(Tableau1[[#This Row],[Final_time]]-Tableau1[[#This Row],[Sum_time]])</f>
        <v>0</v>
      </c>
      <c r="P1678" s="8"/>
      <c r="Q1678" s="16" t="str">
        <f>_xlfn.CONCAT(Tableau1[[#This Row],[Competition]],"_",Tableau1[[#This Row],[Championship_step]],"_",Tableau1[[#This Row],[Competition_date]],"_",Tableau1[[#This Row],[Gender]])</f>
        <v>Diamond League Eugene__46207_Female</v>
      </c>
      <c r="R1678" t="s">
        <v>1927</v>
      </c>
      <c r="S1678" s="1" t="s">
        <v>68</v>
      </c>
      <c r="U1678" s="1" t="s">
        <v>69</v>
      </c>
      <c r="V1678" s="1">
        <v>46207</v>
      </c>
      <c r="W1678" s="4">
        <f>YEAR(Tableau1[[#This Row],[Competition_date]])</f>
        <v>2026</v>
      </c>
      <c r="X1678" s="4">
        <v>25</v>
      </c>
      <c r="Y1678" s="6">
        <v>0.49</v>
      </c>
      <c r="Z1678" s="4" t="s">
        <v>79</v>
      </c>
    </row>
    <row r="1679" spans="1:26" hidden="1" x14ac:dyDescent="0.35">
      <c r="A1679" t="str">
        <f>_xlfn.CONCAT(Tableau1[[#This Row],[Athletes]],"_",Tableau1[[#This Row],[Nationality]],"_",Tableau1[[#This Row],[Competition_year]])</f>
        <v>Marco AROP_CAN_2026</v>
      </c>
      <c r="B1679" t="s">
        <v>177</v>
      </c>
      <c r="C1679" t="s">
        <v>14</v>
      </c>
      <c r="D1679" s="18" t="s">
        <v>19</v>
      </c>
      <c r="E1679">
        <v>12.9</v>
      </c>
      <c r="F1679">
        <v>11.8</v>
      </c>
      <c r="G1679">
        <v>12.5</v>
      </c>
      <c r="H1679">
        <v>12.8</v>
      </c>
      <c r="I1679">
        <v>12.3</v>
      </c>
      <c r="J1679">
        <v>12.6</v>
      </c>
      <c r="K1679">
        <v>12.9</v>
      </c>
      <c r="L1679">
        <f>Tableau1[[#This Row],[Final_time]]-SUM(Tableau1[[#This Row],[0_100m]:[600_700m]])</f>
        <v>14.040000000000006</v>
      </c>
      <c r="M1679">
        <v>101.84</v>
      </c>
      <c r="N1679">
        <f>SUM(Tableau1[[#This Row],[0_100m]:[700_800m]])</f>
        <v>101.84</v>
      </c>
      <c r="O1679" s="16">
        <f>ABS(Tableau1[[#This Row],[Final_time]]-Tableau1[[#This Row],[Sum_time]])</f>
        <v>0</v>
      </c>
      <c r="P1679" s="8"/>
      <c r="Q1679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79" t="s">
        <v>1931</v>
      </c>
      <c r="S1679" s="1" t="s">
        <v>68</v>
      </c>
      <c r="U1679" s="1" t="s">
        <v>69</v>
      </c>
      <c r="V1679" s="1">
        <v>46201</v>
      </c>
      <c r="W1679" s="4">
        <f>YEAR(Tableau1[[#This Row],[Competition_date]])</f>
        <v>2026</v>
      </c>
      <c r="X1679" s="4">
        <v>30</v>
      </c>
      <c r="Y1679" s="6">
        <v>0.39</v>
      </c>
      <c r="Z1679" s="4" t="s">
        <v>80</v>
      </c>
    </row>
    <row r="1680" spans="1:26" hidden="1" x14ac:dyDescent="0.35">
      <c r="A1680" t="str">
        <f>_xlfn.CONCAT(Tableau1[[#This Row],[Athletes]],"_",Tableau1[[#This Row],[Nationality]],"_",Tableau1[[#This Row],[Competition_year]])</f>
        <v>Niels LAROS_NED_2026</v>
      </c>
      <c r="B1680" t="s">
        <v>301</v>
      </c>
      <c r="C1680" t="s">
        <v>14</v>
      </c>
      <c r="D1680" s="18" t="s">
        <v>158</v>
      </c>
      <c r="E1680">
        <v>12.9</v>
      </c>
      <c r="F1680">
        <v>12.3</v>
      </c>
      <c r="G1680">
        <v>13.2</v>
      </c>
      <c r="H1680">
        <v>12.8</v>
      </c>
      <c r="I1680">
        <v>13</v>
      </c>
      <c r="J1680">
        <v>13.2</v>
      </c>
      <c r="K1680">
        <v>13</v>
      </c>
      <c r="L1680">
        <f>Tableau1[[#This Row],[Final_time]]-SUM(Tableau1[[#This Row],[0_100m]:[600_700m]])</f>
        <v>13.199999999999989</v>
      </c>
      <c r="M1680">
        <v>103.6</v>
      </c>
      <c r="N1680">
        <f>SUM(Tableau1[[#This Row],[0_100m]:[700_800m]])</f>
        <v>103.6</v>
      </c>
      <c r="O1680" s="16">
        <f>ABS(Tableau1[[#This Row],[Final_time]]-Tableau1[[#This Row],[Sum_time]])</f>
        <v>0</v>
      </c>
      <c r="P1680" s="8"/>
      <c r="Q1680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0" t="s">
        <v>1931</v>
      </c>
      <c r="S1680" s="1" t="s">
        <v>68</v>
      </c>
      <c r="U1680" s="1" t="s">
        <v>69</v>
      </c>
      <c r="V1680" s="1">
        <v>46201</v>
      </c>
      <c r="W1680" s="4">
        <f>YEAR(Tableau1[[#This Row],[Competition_date]])</f>
        <v>2026</v>
      </c>
      <c r="X1680" s="4">
        <v>30</v>
      </c>
      <c r="Y1680" s="6">
        <v>0.39</v>
      </c>
      <c r="Z1680" s="4" t="s">
        <v>80</v>
      </c>
    </row>
    <row r="1681" spans="1:27" hidden="1" x14ac:dyDescent="0.35">
      <c r="A1681" t="str">
        <f>_xlfn.CONCAT(Tableau1[[#This Row],[Athletes]],"_",Tableau1[[#This Row],[Nationality]],"_",Tableau1[[#This Row],[Competition_year]])</f>
        <v>Tobias GRØNSTAD_NOR_2026</v>
      </c>
      <c r="B1681" t="s">
        <v>1421</v>
      </c>
      <c r="C1681" t="s">
        <v>14</v>
      </c>
      <c r="D1681" s="18" t="s">
        <v>123</v>
      </c>
      <c r="E1681">
        <v>13.2</v>
      </c>
      <c r="F1681">
        <v>12.3</v>
      </c>
      <c r="G1681">
        <v>13.2</v>
      </c>
      <c r="H1681">
        <v>13.1</v>
      </c>
      <c r="I1681">
        <v>13.2</v>
      </c>
      <c r="J1681">
        <v>12.3</v>
      </c>
      <c r="K1681">
        <v>12.9</v>
      </c>
      <c r="L1681">
        <f>Tableau1[[#This Row],[Final_time]]-SUM(Tableau1[[#This Row],[0_100m]:[600_700m]])</f>
        <v>13.429999999999993</v>
      </c>
      <c r="M1681">
        <v>103.63</v>
      </c>
      <c r="N1681">
        <f>SUM(Tableau1[[#This Row],[0_100m]:[700_800m]])</f>
        <v>103.63</v>
      </c>
      <c r="O1681" s="16">
        <f>ABS(Tableau1[[#This Row],[Final_time]]-Tableau1[[#This Row],[Sum_time]])</f>
        <v>0</v>
      </c>
      <c r="P1681" s="8"/>
      <c r="Q1681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1" t="s">
        <v>1931</v>
      </c>
      <c r="S1681" s="1" t="s">
        <v>68</v>
      </c>
      <c r="U1681" s="1" t="s">
        <v>69</v>
      </c>
      <c r="V1681" s="1">
        <v>46201</v>
      </c>
      <c r="W1681" s="4">
        <f>YEAR(Tableau1[[#This Row],[Competition_date]])</f>
        <v>2026</v>
      </c>
      <c r="X1681" s="4">
        <v>30</v>
      </c>
      <c r="Y1681" s="6">
        <v>0.39</v>
      </c>
      <c r="Z1681" s="4" t="s">
        <v>80</v>
      </c>
    </row>
    <row r="1682" spans="1:27" hidden="1" x14ac:dyDescent="0.35">
      <c r="A1682" t="str">
        <f>_xlfn.CONCAT(Tableau1[[#This Row],[Athletes]],"_",Tableau1[[#This Row],[Nationality]],"_",Tableau1[[#This Row],[Competition_year]])</f>
        <v>Ben PATTISON_GBR_2026</v>
      </c>
      <c r="B1682" t="s">
        <v>108</v>
      </c>
      <c r="C1682" t="s">
        <v>14</v>
      </c>
      <c r="D1682" s="18" t="s">
        <v>30</v>
      </c>
      <c r="E1682">
        <v>12.9</v>
      </c>
      <c r="F1682">
        <v>12.3</v>
      </c>
      <c r="G1682">
        <v>13.2</v>
      </c>
      <c r="H1682">
        <v>13.1</v>
      </c>
      <c r="I1682">
        <v>13.2</v>
      </c>
      <c r="J1682">
        <v>13.2</v>
      </c>
      <c r="K1682">
        <v>13</v>
      </c>
      <c r="L1682">
        <f>Tableau1[[#This Row],[Final_time]]-SUM(Tableau1[[#This Row],[0_100m]:[600_700m]])</f>
        <v>12.809999999999988</v>
      </c>
      <c r="M1682">
        <v>103.71</v>
      </c>
      <c r="N1682">
        <f>SUM(Tableau1[[#This Row],[0_100m]:[700_800m]])</f>
        <v>103.71</v>
      </c>
      <c r="O1682" s="16">
        <f>ABS(Tableau1[[#This Row],[Final_time]]-Tableau1[[#This Row],[Sum_time]])</f>
        <v>0</v>
      </c>
      <c r="P1682" s="8"/>
      <c r="Q1682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2" t="s">
        <v>1931</v>
      </c>
      <c r="S1682" s="1" t="s">
        <v>68</v>
      </c>
      <c r="U1682" s="1" t="s">
        <v>69</v>
      </c>
      <c r="V1682" s="1">
        <v>46201</v>
      </c>
      <c r="W1682" s="4">
        <f>YEAR(Tableau1[[#This Row],[Competition_date]])</f>
        <v>2026</v>
      </c>
      <c r="X1682" s="4">
        <v>30</v>
      </c>
      <c r="Y1682" s="6">
        <v>0.39</v>
      </c>
      <c r="Z1682" s="4" t="s">
        <v>80</v>
      </c>
    </row>
    <row r="1683" spans="1:27" hidden="1" x14ac:dyDescent="0.35">
      <c r="A1683" t="str">
        <f>_xlfn.CONCAT(Tableau1[[#This Row],[Athletes]],"_",Tableau1[[#This Row],[Nationality]],"_",Tableau1[[#This Row],[Competition_year]])</f>
        <v>Eliott CRESTAN_BEL_2026</v>
      </c>
      <c r="B1683" t="s">
        <v>244</v>
      </c>
      <c r="C1683" t="s">
        <v>14</v>
      </c>
      <c r="D1683" s="18" t="s">
        <v>18</v>
      </c>
      <c r="E1683">
        <v>12.9</v>
      </c>
      <c r="F1683">
        <v>12</v>
      </c>
      <c r="G1683">
        <v>13</v>
      </c>
      <c r="H1683">
        <v>13</v>
      </c>
      <c r="I1683">
        <v>13.1</v>
      </c>
      <c r="J1683">
        <v>13.2</v>
      </c>
      <c r="K1683">
        <v>13.2</v>
      </c>
      <c r="L1683">
        <f>Tableau1[[#This Row],[Final_time]]-SUM(Tableau1[[#This Row],[0_100m]:[600_700m]])</f>
        <v>13.829999999999998</v>
      </c>
      <c r="M1683">
        <v>104.23</v>
      </c>
      <c r="N1683">
        <f>SUM(Tableau1[[#This Row],[0_100m]:[700_800m]])</f>
        <v>104.23</v>
      </c>
      <c r="O1683" s="16">
        <f>ABS(Tableau1[[#This Row],[Final_time]]-Tableau1[[#This Row],[Sum_time]])</f>
        <v>0</v>
      </c>
      <c r="P1683" s="8"/>
      <c r="Q1683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3" t="s">
        <v>1931</v>
      </c>
      <c r="S1683" s="1" t="s">
        <v>68</v>
      </c>
      <c r="U1683" s="1" t="s">
        <v>69</v>
      </c>
      <c r="V1683" s="1">
        <v>46201</v>
      </c>
      <c r="W1683" s="4">
        <f>YEAR(Tableau1[[#This Row],[Competition_date]])</f>
        <v>2026</v>
      </c>
      <c r="X1683" s="4">
        <v>30</v>
      </c>
      <c r="Y1683" s="6">
        <v>0.39</v>
      </c>
      <c r="Z1683" s="4" t="s">
        <v>80</v>
      </c>
    </row>
    <row r="1684" spans="1:27" hidden="1" x14ac:dyDescent="0.35">
      <c r="A1684" t="str">
        <f>_xlfn.CONCAT(Tableau1[[#This Row],[Athletes]],"_",Tableau1[[#This Row],[Nationality]],"_",Tableau1[[#This Row],[Competition_year]])</f>
        <v>Louey OUERRAT_FRA_2026</v>
      </c>
      <c r="B1684" t="s">
        <v>1386</v>
      </c>
      <c r="C1684" t="s">
        <v>14</v>
      </c>
      <c r="D1684" s="18" t="s">
        <v>17</v>
      </c>
      <c r="E1684">
        <v>12.9</v>
      </c>
      <c r="F1684">
        <v>12</v>
      </c>
      <c r="G1684">
        <v>13.2</v>
      </c>
      <c r="H1684">
        <v>13.1</v>
      </c>
      <c r="I1684">
        <v>13.1</v>
      </c>
      <c r="J1684">
        <v>13.2</v>
      </c>
      <c r="K1684">
        <v>13.6</v>
      </c>
      <c r="L1684">
        <f>Tableau1[[#This Row],[Final_time]]-SUM(Tableau1[[#This Row],[0_100m]:[600_700m]])</f>
        <v>13.300000000000011</v>
      </c>
      <c r="M1684">
        <v>104.4</v>
      </c>
      <c r="N1684">
        <f>SUM(Tableau1[[#This Row],[0_100m]:[700_800m]])</f>
        <v>104.4</v>
      </c>
      <c r="O1684" s="16">
        <f>ABS(Tableau1[[#This Row],[Final_time]]-Tableau1[[#This Row],[Sum_time]])</f>
        <v>0</v>
      </c>
      <c r="P1684" s="8"/>
      <c r="Q1684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4" t="s">
        <v>1931</v>
      </c>
      <c r="S1684" s="1" t="s">
        <v>68</v>
      </c>
      <c r="U1684" s="1" t="s">
        <v>69</v>
      </c>
      <c r="V1684" s="1">
        <v>46201</v>
      </c>
      <c r="W1684" s="4">
        <f>YEAR(Tableau1[[#This Row],[Competition_date]])</f>
        <v>2026</v>
      </c>
      <c r="X1684" s="4">
        <v>30</v>
      </c>
      <c r="Y1684" s="6">
        <v>0.39</v>
      </c>
      <c r="Z1684" s="4" t="s">
        <v>80</v>
      </c>
    </row>
    <row r="1685" spans="1:27" hidden="1" x14ac:dyDescent="0.35">
      <c r="A1685" t="str">
        <f>_xlfn.CONCAT(Tableau1[[#This Row],[Athletes]],"_",Tableau1[[#This Row],[Nationality]],"_",Tableau1[[#This Row],[Competition_year]])</f>
        <v>Yanis MEZIANE_FRA_2026</v>
      </c>
      <c r="B1685" t="s">
        <v>171</v>
      </c>
      <c r="C1685" t="s">
        <v>14</v>
      </c>
      <c r="D1685" s="18" t="s">
        <v>17</v>
      </c>
      <c r="E1685">
        <v>12.8</v>
      </c>
      <c r="F1685">
        <v>12</v>
      </c>
      <c r="G1685">
        <v>12.7</v>
      </c>
      <c r="H1685">
        <v>12.9</v>
      </c>
      <c r="I1685">
        <v>13.3</v>
      </c>
      <c r="J1685">
        <v>13.8</v>
      </c>
      <c r="K1685">
        <v>13.3</v>
      </c>
      <c r="L1685">
        <f>Tableau1[[#This Row],[Final_time]]-SUM(Tableau1[[#This Row],[0_100m]:[600_700m]])</f>
        <v>13.600000000000009</v>
      </c>
      <c r="M1685">
        <v>104.4</v>
      </c>
      <c r="N1685">
        <f>SUM(Tableau1[[#This Row],[0_100m]:[700_800m]])</f>
        <v>104.4</v>
      </c>
      <c r="O1685" s="16">
        <f>ABS(Tableau1[[#This Row],[Final_time]]-Tableau1[[#This Row],[Sum_time]])</f>
        <v>0</v>
      </c>
      <c r="P1685" s="8"/>
      <c r="Q1685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5" t="s">
        <v>1931</v>
      </c>
      <c r="S1685" s="1" t="s">
        <v>68</v>
      </c>
      <c r="U1685" s="1" t="s">
        <v>69</v>
      </c>
      <c r="V1685" s="1">
        <v>46201</v>
      </c>
      <c r="W1685" s="4">
        <f>YEAR(Tableau1[[#This Row],[Competition_date]])</f>
        <v>2026</v>
      </c>
      <c r="X1685" s="4">
        <v>30</v>
      </c>
      <c r="Y1685" s="6">
        <v>0.39</v>
      </c>
      <c r="Z1685" s="4" t="s">
        <v>80</v>
      </c>
    </row>
    <row r="1686" spans="1:27" hidden="1" x14ac:dyDescent="0.35">
      <c r="A1686" t="str">
        <f>_xlfn.CONCAT(Tableau1[[#This Row],[Athletes]],"_",Tableau1[[#This Row],[Nationality]],"_",Tableau1[[#This Row],[Competition_year]])</f>
        <v>Gabriel TUAL_FRA_2026</v>
      </c>
      <c r="B1686" t="s">
        <v>180</v>
      </c>
      <c r="C1686" t="s">
        <v>14</v>
      </c>
      <c r="D1686" s="18" t="s">
        <v>17</v>
      </c>
      <c r="E1686">
        <v>12.9</v>
      </c>
      <c r="F1686">
        <v>12.1</v>
      </c>
      <c r="G1686">
        <v>13.2</v>
      </c>
      <c r="H1686">
        <v>12.7</v>
      </c>
      <c r="I1686">
        <v>13.2</v>
      </c>
      <c r="J1686">
        <v>13.2</v>
      </c>
      <c r="K1686">
        <v>13.4</v>
      </c>
      <c r="L1686">
        <f>Tableau1[[#This Row],[Final_time]]-SUM(Tableau1[[#This Row],[0_100m]:[600_700m]])</f>
        <v>14.219999999999985</v>
      </c>
      <c r="M1686">
        <v>104.92</v>
      </c>
      <c r="N1686">
        <f>SUM(Tableau1[[#This Row],[0_100m]:[700_800m]])</f>
        <v>104.92</v>
      </c>
      <c r="O1686" s="16">
        <f>ABS(Tableau1[[#This Row],[Final_time]]-Tableau1[[#This Row],[Sum_time]])</f>
        <v>0</v>
      </c>
      <c r="P1686" s="8"/>
      <c r="Q1686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6" t="s">
        <v>1931</v>
      </c>
      <c r="S1686" s="1" t="s">
        <v>68</v>
      </c>
      <c r="U1686" s="1" t="s">
        <v>69</v>
      </c>
      <c r="V1686" s="1">
        <v>46201</v>
      </c>
      <c r="W1686" s="4">
        <f>YEAR(Tableau1[[#This Row],[Competition_date]])</f>
        <v>2026</v>
      </c>
      <c r="X1686" s="4">
        <v>30</v>
      </c>
      <c r="Y1686" s="6">
        <v>0.39</v>
      </c>
      <c r="Z1686" s="4" t="s">
        <v>80</v>
      </c>
    </row>
    <row r="1687" spans="1:27" hidden="1" x14ac:dyDescent="0.35">
      <c r="A1687" t="str">
        <f>_xlfn.CONCAT(Tableau1[[#This Row],[Athletes]],"_",Tableau1[[#This Row],[Nationality]],"_",Tableau1[[#This Row],[Competition_year]])</f>
        <v>Mohamed ATTAOUI_ESP_2026</v>
      </c>
      <c r="B1687" t="s">
        <v>110</v>
      </c>
      <c r="C1687" t="s">
        <v>14</v>
      </c>
      <c r="D1687" s="18" t="s">
        <v>37</v>
      </c>
      <c r="E1687">
        <v>13.2</v>
      </c>
      <c r="F1687">
        <v>12.6</v>
      </c>
      <c r="G1687">
        <v>13.1</v>
      </c>
      <c r="H1687">
        <v>12.5</v>
      </c>
      <c r="I1687">
        <v>13.1</v>
      </c>
      <c r="J1687">
        <v>13.1</v>
      </c>
      <c r="K1687">
        <v>13.5</v>
      </c>
      <c r="L1687">
        <f>Tableau1[[#This Row],[Final_time]]-SUM(Tableau1[[#This Row],[0_100m]:[600_700m]])</f>
        <v>13.990000000000009</v>
      </c>
      <c r="M1687">
        <v>105.09</v>
      </c>
      <c r="N1687">
        <f>SUM(Tableau1[[#This Row],[0_100m]:[700_800m]])</f>
        <v>105.09</v>
      </c>
      <c r="O1687" s="16">
        <f>ABS(Tableau1[[#This Row],[Final_time]]-Tableau1[[#This Row],[Sum_time]])</f>
        <v>0</v>
      </c>
      <c r="P1687" s="8"/>
      <c r="Q1687" s="16" t="str">
        <f>_xlfn.CONCAT(Tableau1[[#This Row],[Competition]],"_",Tableau1[[#This Row],[Championship_step]],"_",Tableau1[[#This Row],[Competition_date]],"_",Tableau1[[#This Row],[Gender]])</f>
        <v>Diamond League Paris__46201_Male</v>
      </c>
      <c r="R1687" t="s">
        <v>1931</v>
      </c>
      <c r="S1687" s="1" t="s">
        <v>68</v>
      </c>
      <c r="U1687" s="1" t="s">
        <v>69</v>
      </c>
      <c r="V1687" s="1">
        <v>46201</v>
      </c>
      <c r="W1687" s="4">
        <f>YEAR(Tableau1[[#This Row],[Competition_date]])</f>
        <v>2026</v>
      </c>
      <c r="X1687" s="4">
        <v>30</v>
      </c>
      <c r="Y1687" s="6">
        <v>0.39</v>
      </c>
      <c r="Z1687" s="4" t="s">
        <v>80</v>
      </c>
    </row>
    <row r="1688" spans="1:27" hidden="1" x14ac:dyDescent="0.35">
      <c r="A1688" t="str">
        <f>_xlfn.CONCAT(Tableau1[[#This Row],[Athletes]],"_",Tableau1[[#This Row],[Nationality]],"_",Tableau1[[#This Row],[Competition_year]])</f>
        <v>Audrey WERRO_SUI_2026</v>
      </c>
      <c r="B1688" t="s">
        <v>329</v>
      </c>
      <c r="C1688" t="s">
        <v>29</v>
      </c>
      <c r="D1688" s="18" t="s">
        <v>73</v>
      </c>
      <c r="E1688">
        <v>14</v>
      </c>
      <c r="F1688">
        <v>13</v>
      </c>
      <c r="G1688">
        <v>14</v>
      </c>
      <c r="H1688">
        <v>14.8</v>
      </c>
      <c r="I1688">
        <v>14.7</v>
      </c>
      <c r="J1688">
        <v>14.8</v>
      </c>
      <c r="K1688">
        <v>14.3</v>
      </c>
      <c r="L1688">
        <f>Tableau1[[#This Row],[Final_time]]-SUM(Tableau1[[#This Row],[0_100m]:[600_700m]])</f>
        <v>14.200000000000003</v>
      </c>
      <c r="M1688">
        <v>113.8</v>
      </c>
      <c r="N1688">
        <f>SUM(Tableau1[[#This Row],[0_100m]:[700_800m]])</f>
        <v>113.8</v>
      </c>
      <c r="O1688" s="16">
        <f>ABS(Tableau1[[#This Row],[Final_time]]-Tableau1[[#This Row],[Sum_time]])</f>
        <v>0</v>
      </c>
      <c r="P1688" s="8"/>
      <c r="Q1688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88" t="s">
        <v>1931</v>
      </c>
      <c r="S1688" s="1" t="s">
        <v>68</v>
      </c>
      <c r="U1688" s="1" t="s">
        <v>69</v>
      </c>
      <c r="V1688" s="1">
        <v>46201</v>
      </c>
      <c r="W1688" s="4">
        <f>YEAR(Tableau1[[#This Row],[Competition_date]])</f>
        <v>2026</v>
      </c>
      <c r="X1688" s="4">
        <v>29</v>
      </c>
      <c r="Y1688" s="6">
        <v>0.45</v>
      </c>
      <c r="Z1688" s="4" t="s">
        <v>80</v>
      </c>
      <c r="AA1688" t="s">
        <v>1932</v>
      </c>
    </row>
    <row r="1689" spans="1:27" hidden="1" x14ac:dyDescent="0.35">
      <c r="A1689" t="str">
        <f>_xlfn.CONCAT(Tableau1[[#This Row],[Athletes]],"_",Tableau1[[#This Row],[Nationality]],"_",Tableau1[[#This Row],[Competition_year]])</f>
        <v>Femke BROEDERS-BOL_NED_2026</v>
      </c>
      <c r="B1689" t="s">
        <v>1915</v>
      </c>
      <c r="C1689" t="s">
        <v>29</v>
      </c>
      <c r="D1689" s="18" t="s">
        <v>158</v>
      </c>
      <c r="E1689">
        <v>14</v>
      </c>
      <c r="F1689">
        <v>13.2</v>
      </c>
      <c r="G1689">
        <v>14.2</v>
      </c>
      <c r="H1689">
        <v>14.8</v>
      </c>
      <c r="I1689">
        <v>14.7</v>
      </c>
      <c r="J1689">
        <v>14.8</v>
      </c>
      <c r="K1689">
        <v>14.5</v>
      </c>
      <c r="L1689">
        <f>Tableau1[[#This Row],[Final_time]]-SUM(Tableau1[[#This Row],[0_100m]:[600_700m]])</f>
        <v>15.399999999999991</v>
      </c>
      <c r="M1689">
        <v>115.6</v>
      </c>
      <c r="N1689">
        <f>SUM(Tableau1[[#This Row],[0_100m]:[700_800m]])</f>
        <v>115.6</v>
      </c>
      <c r="O1689" s="16">
        <f>ABS(Tableau1[[#This Row],[Final_time]]-Tableau1[[#This Row],[Sum_time]])</f>
        <v>0</v>
      </c>
      <c r="P1689" s="8"/>
      <c r="Q1689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89" t="s">
        <v>1931</v>
      </c>
      <c r="S1689" s="1" t="s">
        <v>68</v>
      </c>
      <c r="U1689" s="1" t="s">
        <v>69</v>
      </c>
      <c r="V1689" s="1">
        <v>46201</v>
      </c>
      <c r="W1689" s="4">
        <f>YEAR(Tableau1[[#This Row],[Competition_date]])</f>
        <v>2026</v>
      </c>
      <c r="X1689" s="4">
        <v>29</v>
      </c>
      <c r="Y1689" s="6">
        <v>0.45</v>
      </c>
      <c r="Z1689" s="4" t="s">
        <v>80</v>
      </c>
    </row>
    <row r="1690" spans="1:27" hidden="1" x14ac:dyDescent="0.35">
      <c r="A1690" t="str">
        <f>_xlfn.CONCAT(Tableau1[[#This Row],[Athletes]],"_",Tableau1[[#This Row],[Nationality]],"_",Tableau1[[#This Row],[Competition_year]])</f>
        <v>Anaïs BOURGOIN_FRA_2026</v>
      </c>
      <c r="B1690" t="s">
        <v>1375</v>
      </c>
      <c r="C1690" t="s">
        <v>29</v>
      </c>
      <c r="D1690" s="18" t="s">
        <v>17</v>
      </c>
      <c r="E1690">
        <v>14.3</v>
      </c>
      <c r="F1690">
        <v>13.1</v>
      </c>
      <c r="G1690">
        <v>14.2</v>
      </c>
      <c r="H1690">
        <v>14.8</v>
      </c>
      <c r="I1690">
        <v>14.7</v>
      </c>
      <c r="J1690">
        <v>14.6</v>
      </c>
      <c r="K1690">
        <v>14.5</v>
      </c>
      <c r="L1690">
        <f>Tableau1[[#This Row],[Final_time]]-SUM(Tableau1[[#This Row],[0_100m]:[600_700m]])</f>
        <v>15.450000000000017</v>
      </c>
      <c r="M1690">
        <v>115.65</v>
      </c>
      <c r="N1690">
        <f>SUM(Tableau1[[#This Row],[0_100m]:[700_800m]])</f>
        <v>115.65</v>
      </c>
      <c r="O1690" s="16">
        <f>ABS(Tableau1[[#This Row],[Final_time]]-Tableau1[[#This Row],[Sum_time]])</f>
        <v>0</v>
      </c>
      <c r="P1690" s="8"/>
      <c r="Q1690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0" t="s">
        <v>1931</v>
      </c>
      <c r="S1690" s="1" t="s">
        <v>68</v>
      </c>
      <c r="U1690" s="1" t="s">
        <v>69</v>
      </c>
      <c r="V1690" s="1">
        <v>46201</v>
      </c>
      <c r="W1690" s="4">
        <f>YEAR(Tableau1[[#This Row],[Competition_date]])</f>
        <v>2026</v>
      </c>
      <c r="X1690" s="4">
        <v>29</v>
      </c>
      <c r="Y1690" s="6">
        <v>0.45</v>
      </c>
      <c r="Z1690" s="4" t="s">
        <v>80</v>
      </c>
    </row>
    <row r="1691" spans="1:27" hidden="1" x14ac:dyDescent="0.35">
      <c r="A1691" t="str">
        <f>_xlfn.CONCAT(Tableau1[[#This Row],[Athletes]],"_",Tableau1[[#This Row],[Nationality]],"_",Tableau1[[#This Row],[Competition_year]])</f>
        <v>Prudence SEKGODISO_RSA_2026</v>
      </c>
      <c r="B1691" t="s">
        <v>235</v>
      </c>
      <c r="C1691" t="s">
        <v>29</v>
      </c>
      <c r="D1691" s="18" t="s">
        <v>96</v>
      </c>
      <c r="E1691">
        <v>14.1</v>
      </c>
      <c r="F1691">
        <v>13.5</v>
      </c>
      <c r="G1691">
        <v>14.7</v>
      </c>
      <c r="H1691">
        <v>14.7</v>
      </c>
      <c r="I1691">
        <v>15.1</v>
      </c>
      <c r="J1691">
        <v>14.2</v>
      </c>
      <c r="K1691">
        <v>14.9</v>
      </c>
      <c r="L1691">
        <f>Tableau1[[#This Row],[Final_time]]-SUM(Tableau1[[#This Row],[0_100m]:[600_700m]])</f>
        <v>15.629999999999995</v>
      </c>
      <c r="M1691">
        <v>116.83</v>
      </c>
      <c r="N1691">
        <f>SUM(Tableau1[[#This Row],[0_100m]:[700_800m]])</f>
        <v>116.83</v>
      </c>
      <c r="O1691" s="16">
        <f>ABS(Tableau1[[#This Row],[Final_time]]-Tableau1[[#This Row],[Sum_time]])</f>
        <v>0</v>
      </c>
      <c r="P1691" s="8"/>
      <c r="Q1691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1" t="s">
        <v>1931</v>
      </c>
      <c r="S1691" s="1" t="s">
        <v>68</v>
      </c>
      <c r="U1691" s="1" t="s">
        <v>69</v>
      </c>
      <c r="V1691" s="1">
        <v>46201</v>
      </c>
      <c r="W1691" s="4">
        <f>YEAR(Tableau1[[#This Row],[Competition_date]])</f>
        <v>2026</v>
      </c>
      <c r="X1691" s="4">
        <v>29</v>
      </c>
      <c r="Y1691" s="6">
        <v>0.45</v>
      </c>
      <c r="Z1691" s="4" t="s">
        <v>80</v>
      </c>
    </row>
    <row r="1692" spans="1:27" hidden="1" x14ac:dyDescent="0.35">
      <c r="A1692" t="str">
        <f>_xlfn.CONCAT(Tableau1[[#This Row],[Athletes]],"_",Tableau1[[#This Row],[Nationality]],"_",Tableau1[[#This Row],[Competition_year]])</f>
        <v>Rénelle LAMOTE_FRA_2026</v>
      </c>
      <c r="B1692" t="s">
        <v>225</v>
      </c>
      <c r="C1692" t="s">
        <v>29</v>
      </c>
      <c r="D1692" s="18" t="s">
        <v>17</v>
      </c>
      <c r="E1692">
        <v>13.9</v>
      </c>
      <c r="F1692">
        <v>13.6</v>
      </c>
      <c r="G1692">
        <v>14.6</v>
      </c>
      <c r="H1692">
        <v>14.8</v>
      </c>
      <c r="I1692">
        <v>14.8</v>
      </c>
      <c r="J1692">
        <v>14.7</v>
      </c>
      <c r="K1692">
        <v>15.2</v>
      </c>
      <c r="L1692">
        <f>Tableau1[[#This Row],[Final_time]]-SUM(Tableau1[[#This Row],[0_100m]:[600_700m]])</f>
        <v>15.329999999999998</v>
      </c>
      <c r="M1692">
        <v>116.93</v>
      </c>
      <c r="N1692">
        <f>SUM(Tableau1[[#This Row],[0_100m]:[700_800m]])</f>
        <v>116.93</v>
      </c>
      <c r="O1692" s="16">
        <f>ABS(Tableau1[[#This Row],[Final_time]]-Tableau1[[#This Row],[Sum_time]])</f>
        <v>0</v>
      </c>
      <c r="P1692" s="8"/>
      <c r="Q1692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2" t="s">
        <v>1931</v>
      </c>
      <c r="S1692" s="1" t="s">
        <v>68</v>
      </c>
      <c r="U1692" s="1" t="s">
        <v>69</v>
      </c>
      <c r="V1692" s="1">
        <v>46201</v>
      </c>
      <c r="W1692" s="4">
        <f>YEAR(Tableau1[[#This Row],[Competition_date]])</f>
        <v>2026</v>
      </c>
      <c r="X1692" s="4">
        <v>29</v>
      </c>
      <c r="Y1692" s="6">
        <v>0.45</v>
      </c>
      <c r="Z1692" s="4" t="s">
        <v>80</v>
      </c>
    </row>
    <row r="1693" spans="1:27" hidden="1" x14ac:dyDescent="0.35">
      <c r="A1693" t="str">
        <f>_xlfn.CONCAT(Tableau1[[#This Row],[Athletes]],"_",Tableau1[[#This Row],[Nationality]],"_",Tableau1[[#This Row],[Competition_year]])</f>
        <v>Sarah BILLINGS_AUS_2026</v>
      </c>
      <c r="B1693" t="s">
        <v>1213</v>
      </c>
      <c r="C1693" t="s">
        <v>29</v>
      </c>
      <c r="D1693" s="18" t="s">
        <v>36</v>
      </c>
      <c r="E1693">
        <v>14.4</v>
      </c>
      <c r="F1693">
        <v>13.6</v>
      </c>
      <c r="G1693">
        <v>14.9</v>
      </c>
      <c r="H1693">
        <v>14.9</v>
      </c>
      <c r="I1693">
        <v>14.9</v>
      </c>
      <c r="J1693">
        <v>14.5</v>
      </c>
      <c r="K1693">
        <v>14.7</v>
      </c>
      <c r="L1693">
        <f>Tableau1[[#This Row],[Final_time]]-SUM(Tableau1[[#This Row],[0_100m]:[600_700m]])</f>
        <v>15.11</v>
      </c>
      <c r="M1693">
        <v>117.01</v>
      </c>
      <c r="N1693">
        <f>SUM(Tableau1[[#This Row],[0_100m]:[700_800m]])</f>
        <v>117.01</v>
      </c>
      <c r="O1693" s="16">
        <f>ABS(Tableau1[[#This Row],[Final_time]]-Tableau1[[#This Row],[Sum_time]])</f>
        <v>0</v>
      </c>
      <c r="P1693" s="8"/>
      <c r="Q1693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3" t="s">
        <v>1931</v>
      </c>
      <c r="S1693" s="1" t="s">
        <v>68</v>
      </c>
      <c r="U1693" s="1" t="s">
        <v>69</v>
      </c>
      <c r="V1693" s="1">
        <v>46201</v>
      </c>
      <c r="W1693" s="4">
        <f>YEAR(Tableau1[[#This Row],[Competition_date]])</f>
        <v>2026</v>
      </c>
      <c r="X1693" s="4">
        <v>29</v>
      </c>
      <c r="Y1693" s="6">
        <v>0.45</v>
      </c>
      <c r="Z1693" s="4" t="s">
        <v>80</v>
      </c>
    </row>
    <row r="1694" spans="1:27" hidden="1" x14ac:dyDescent="0.35">
      <c r="A1694" t="str">
        <f>_xlfn.CONCAT(Tableau1[[#This Row],[Athletes]],"_",Tableau1[[#This Row],[Nationality]],"_",Tableau1[[#This Row],[Competition_year]])</f>
        <v>Oratile NOWE_BOT_2026</v>
      </c>
      <c r="B1694" t="s">
        <v>1352</v>
      </c>
      <c r="C1694" t="s">
        <v>29</v>
      </c>
      <c r="D1694" s="18" t="s">
        <v>44</v>
      </c>
      <c r="E1694">
        <v>14.1</v>
      </c>
      <c r="F1694">
        <v>13.7</v>
      </c>
      <c r="G1694">
        <v>14.7</v>
      </c>
      <c r="H1694">
        <v>14.7</v>
      </c>
      <c r="I1694">
        <v>14.8</v>
      </c>
      <c r="J1694">
        <v>14.7</v>
      </c>
      <c r="K1694">
        <v>15</v>
      </c>
      <c r="L1694">
        <f>Tableau1[[#This Row],[Final_time]]-SUM(Tableau1[[#This Row],[0_100m]:[600_700m]])</f>
        <v>15.759999999999991</v>
      </c>
      <c r="M1694">
        <v>117.46</v>
      </c>
      <c r="N1694">
        <f>SUM(Tableau1[[#This Row],[0_100m]:[700_800m]])</f>
        <v>117.46</v>
      </c>
      <c r="O1694" s="16">
        <f>ABS(Tableau1[[#This Row],[Final_time]]-Tableau1[[#This Row],[Sum_time]])</f>
        <v>0</v>
      </c>
      <c r="P1694" s="8"/>
      <c r="Q1694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4" t="s">
        <v>1931</v>
      </c>
      <c r="S1694" s="1" t="s">
        <v>68</v>
      </c>
      <c r="U1694" s="1" t="s">
        <v>69</v>
      </c>
      <c r="V1694" s="1">
        <v>46201</v>
      </c>
      <c r="W1694" s="4">
        <f>YEAR(Tableau1[[#This Row],[Competition_date]])</f>
        <v>2026</v>
      </c>
      <c r="X1694" s="4">
        <v>29</v>
      </c>
      <c r="Y1694" s="6">
        <v>0.45</v>
      </c>
      <c r="Z1694" s="4" t="s">
        <v>80</v>
      </c>
    </row>
    <row r="1695" spans="1:27" hidden="1" x14ac:dyDescent="0.35">
      <c r="A1695" t="str">
        <f>_xlfn.CONCAT(Tableau1[[#This Row],[Athletes]],"_",Tableau1[[#This Row],[Nationality]],"_",Tableau1[[#This Row],[Competition_year]])</f>
        <v>Clara LIBERMAN_FRA_2026</v>
      </c>
      <c r="B1695" t="s">
        <v>1382</v>
      </c>
      <c r="C1695" t="s">
        <v>29</v>
      </c>
      <c r="D1695" s="18" t="s">
        <v>17</v>
      </c>
      <c r="E1695">
        <v>14</v>
      </c>
      <c r="F1695">
        <v>13.9</v>
      </c>
      <c r="G1695">
        <v>14.8</v>
      </c>
      <c r="H1695">
        <v>14.7</v>
      </c>
      <c r="I1695">
        <v>14.7</v>
      </c>
      <c r="J1695">
        <v>14.9</v>
      </c>
      <c r="K1695">
        <v>15.2</v>
      </c>
      <c r="L1695">
        <f>Tableau1[[#This Row],[Final_time]]-SUM(Tableau1[[#This Row],[0_100m]:[600_700m]])</f>
        <v>16.139999999999986</v>
      </c>
      <c r="M1695">
        <v>118.34</v>
      </c>
      <c r="N1695">
        <f>SUM(Tableau1[[#This Row],[0_100m]:[700_800m]])</f>
        <v>118.34</v>
      </c>
      <c r="O1695" s="16">
        <f>ABS(Tableau1[[#This Row],[Final_time]]-Tableau1[[#This Row],[Sum_time]])</f>
        <v>0</v>
      </c>
      <c r="P1695" s="8"/>
      <c r="Q1695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5" t="s">
        <v>1931</v>
      </c>
      <c r="S1695" s="1" t="s">
        <v>68</v>
      </c>
      <c r="U1695" s="1" t="s">
        <v>69</v>
      </c>
      <c r="V1695" s="1">
        <v>46201</v>
      </c>
      <c r="W1695" s="4">
        <f>YEAR(Tableau1[[#This Row],[Competition_date]])</f>
        <v>2026</v>
      </c>
      <c r="X1695" s="4">
        <v>29</v>
      </c>
      <c r="Y1695" s="6">
        <v>0.45</v>
      </c>
      <c r="Z1695" s="4" t="s">
        <v>80</v>
      </c>
    </row>
    <row r="1696" spans="1:27" hidden="1" x14ac:dyDescent="0.35">
      <c r="A1696" t="str">
        <f>_xlfn.CONCAT(Tableau1[[#This Row],[Athletes]],"_",Tableau1[[#This Row],[Nationality]],"_",Tableau1[[#This Row],[Competition_year]])</f>
        <v>Roisin WILLIS_USA_2026</v>
      </c>
      <c r="B1696" t="s">
        <v>1429</v>
      </c>
      <c r="C1696" t="s">
        <v>29</v>
      </c>
      <c r="D1696" s="18" t="s">
        <v>35</v>
      </c>
      <c r="E1696">
        <v>14.3</v>
      </c>
      <c r="F1696">
        <v>13.2</v>
      </c>
      <c r="G1696">
        <v>14.4</v>
      </c>
      <c r="H1696">
        <v>14.9</v>
      </c>
      <c r="I1696">
        <v>15.1</v>
      </c>
      <c r="J1696">
        <v>15.2</v>
      </c>
      <c r="K1696">
        <v>15.7</v>
      </c>
      <c r="L1696">
        <f>Tableau1[[#This Row],[Final_time]]-SUM(Tableau1[[#This Row],[0_100m]:[600_700m]])</f>
        <v>15.86</v>
      </c>
      <c r="M1696">
        <v>118.66</v>
      </c>
      <c r="N1696">
        <f>SUM(Tableau1[[#This Row],[0_100m]:[700_800m]])</f>
        <v>118.66</v>
      </c>
      <c r="O1696" s="16">
        <f>ABS(Tableau1[[#This Row],[Final_time]]-Tableau1[[#This Row],[Sum_time]])</f>
        <v>0</v>
      </c>
      <c r="P1696" s="8"/>
      <c r="Q1696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6" t="s">
        <v>1931</v>
      </c>
      <c r="S1696" s="1" t="s">
        <v>68</v>
      </c>
      <c r="U1696" s="1" t="s">
        <v>69</v>
      </c>
      <c r="V1696" s="1">
        <v>46201</v>
      </c>
      <c r="W1696" s="4">
        <f>YEAR(Tableau1[[#This Row],[Competition_date]])</f>
        <v>2026</v>
      </c>
      <c r="X1696" s="4">
        <v>29</v>
      </c>
      <c r="Y1696" s="6">
        <v>0.45</v>
      </c>
      <c r="Z1696" s="4" t="s">
        <v>80</v>
      </c>
    </row>
    <row r="1697" spans="1:26" hidden="1" x14ac:dyDescent="0.35">
      <c r="A1697" t="str">
        <f>_xlfn.CONCAT(Tableau1[[#This Row],[Athletes]],"_",Tableau1[[#This Row],[Nationality]],"_",Tableau1[[#This Row],[Competition_year]])</f>
        <v>Souad ELHADDAD_MAR_2026</v>
      </c>
      <c r="B1697" t="s">
        <v>1246</v>
      </c>
      <c r="C1697" t="s">
        <v>29</v>
      </c>
      <c r="D1697" s="18" t="s">
        <v>21</v>
      </c>
      <c r="E1697">
        <v>14.3</v>
      </c>
      <c r="F1697">
        <v>13.8</v>
      </c>
      <c r="G1697">
        <v>15</v>
      </c>
      <c r="H1697">
        <v>14.6</v>
      </c>
      <c r="I1697">
        <v>14.8</v>
      </c>
      <c r="J1697">
        <v>14.9</v>
      </c>
      <c r="K1697">
        <v>15.5</v>
      </c>
      <c r="L1697">
        <f>Tableau1[[#This Row],[Final_time]]-SUM(Tableau1[[#This Row],[0_100m]:[600_700m]])</f>
        <v>16</v>
      </c>
      <c r="M1697">
        <v>118.9</v>
      </c>
      <c r="N1697">
        <f>SUM(Tableau1[[#This Row],[0_100m]:[700_800m]])</f>
        <v>118.9</v>
      </c>
      <c r="O1697" s="16">
        <f>ABS(Tableau1[[#This Row],[Final_time]]-Tableau1[[#This Row],[Sum_time]])</f>
        <v>0</v>
      </c>
      <c r="P1697" s="8"/>
      <c r="Q1697" s="16" t="str">
        <f>_xlfn.CONCAT(Tableau1[[#This Row],[Competition]],"_",Tableau1[[#This Row],[Championship_step]],"_",Tableau1[[#This Row],[Competition_date]],"_",Tableau1[[#This Row],[Gender]])</f>
        <v>Diamond League Paris__46201_Female</v>
      </c>
      <c r="R1697" t="s">
        <v>1931</v>
      </c>
      <c r="S1697" s="1" t="s">
        <v>68</v>
      </c>
      <c r="U1697" s="1" t="s">
        <v>69</v>
      </c>
      <c r="V1697" s="1">
        <v>46201</v>
      </c>
      <c r="W1697" s="4">
        <f>YEAR(Tableau1[[#This Row],[Competition_date]])</f>
        <v>2026</v>
      </c>
      <c r="X1697" s="4">
        <v>29</v>
      </c>
      <c r="Y1697" s="6">
        <v>0.45</v>
      </c>
      <c r="Z1697" s="4" t="s">
        <v>80</v>
      </c>
    </row>
  </sheetData>
  <phoneticPr fontId="2" type="noConversion"/>
  <conditionalFormatting sqref="O2:O1697">
    <cfRule type="cellIs" dxfId="4" priority="7" operator="greaterThan">
      <formula>0.1</formula>
    </cfRule>
  </conditionalFormatting>
  <conditionalFormatting sqref="W2:W1697">
    <cfRule type="cellIs" dxfId="3" priority="5" operator="notBetween">
      <formula>2021</formula>
      <formula>2025</formula>
    </cfRule>
  </conditionalFormatting>
  <conditionalFormatting sqref="X2:X1697">
    <cfRule type="cellIs" dxfId="2" priority="3" operator="lessThan">
      <formula>10</formula>
    </cfRule>
    <cfRule type="cellIs" dxfId="1" priority="4" operator="greaterThan">
      <formula>40</formula>
    </cfRule>
  </conditionalFormatting>
  <conditionalFormatting sqref="Y2:Y1697">
    <cfRule type="cellIs" dxfId="0" priority="2" operator="greaterThan">
      <formula>1</formula>
    </cfRule>
  </conditionalFormatting>
  <hyperlinks>
    <hyperlink ref="AA119" r:id="rId1" xr:uid="{02A7A11C-D6B6-48F2-BA72-26C98B2A1A79}"/>
    <hyperlink ref="AA860" r:id="rId2" xr:uid="{E377346C-FFD8-40EB-AF40-6ED0781A91D3}"/>
  </hyperlinks>
  <pageMargins left="0.7" right="0.7" top="0.75" bottom="0.75" header="0.3" footer="0.3"/>
  <ignoredErrors>
    <ignoredError sqref="W1 A2:A109 A1408:A1541 A1542:A1552" calculatedColumn="1"/>
  </ignoredError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EDE-C2BD-431C-8730-9A9DDD9967B2}">
  <dimension ref="A1:F816"/>
  <sheetViews>
    <sheetView topLeftCell="A779" workbookViewId="0">
      <selection activeCell="E15" sqref="E15"/>
    </sheetView>
  </sheetViews>
  <sheetFormatPr baseColWidth="10" defaultRowHeight="14.5" x14ac:dyDescent="0.35"/>
  <cols>
    <col min="1" max="1" width="29.81640625" bestFit="1" customWidth="1"/>
    <col min="2" max="2" width="11.81640625" bestFit="1" customWidth="1"/>
    <col min="3" max="3" width="14.81640625" bestFit="1" customWidth="1"/>
    <col min="4" max="4" width="28.90625" bestFit="1" customWidth="1"/>
    <col min="5" max="5" width="29.81640625" bestFit="1" customWidth="1"/>
    <col min="6" max="6" width="15.54296875" bestFit="1" customWidth="1"/>
  </cols>
  <sheetData>
    <row r="1" spans="1:6" x14ac:dyDescent="0.35">
      <c r="A1" s="17" t="s">
        <v>74</v>
      </c>
      <c r="B1" s="17" t="s">
        <v>2</v>
      </c>
      <c r="C1" s="17" t="s">
        <v>1</v>
      </c>
      <c r="D1" s="17" t="s">
        <v>498</v>
      </c>
      <c r="E1" s="17" t="s">
        <v>1884</v>
      </c>
      <c r="F1" s="17" t="s">
        <v>1885</v>
      </c>
    </row>
    <row r="2" spans="1:6" x14ac:dyDescent="0.35">
      <c r="A2" t="s">
        <v>499</v>
      </c>
      <c r="B2" t="s">
        <v>14</v>
      </c>
      <c r="C2" t="s">
        <v>15</v>
      </c>
      <c r="D2" t="s">
        <v>1458</v>
      </c>
      <c r="E2" t="s">
        <v>499</v>
      </c>
      <c r="F2" t="s">
        <v>15</v>
      </c>
    </row>
    <row r="3" spans="1:6" x14ac:dyDescent="0.35">
      <c r="A3" t="s">
        <v>500</v>
      </c>
      <c r="B3" t="s">
        <v>29</v>
      </c>
      <c r="C3" t="s">
        <v>21</v>
      </c>
      <c r="D3" t="s">
        <v>501</v>
      </c>
      <c r="E3" t="s">
        <v>500</v>
      </c>
      <c r="F3" t="s">
        <v>21</v>
      </c>
    </row>
    <row r="4" spans="1:6" x14ac:dyDescent="0.35">
      <c r="A4" t="s">
        <v>232</v>
      </c>
      <c r="B4" t="s">
        <v>29</v>
      </c>
      <c r="C4" t="s">
        <v>36</v>
      </c>
      <c r="D4" t="s">
        <v>502</v>
      </c>
      <c r="E4" t="s">
        <v>232</v>
      </c>
      <c r="F4" t="s">
        <v>36</v>
      </c>
    </row>
    <row r="5" spans="1:6" x14ac:dyDescent="0.35">
      <c r="A5" t="s">
        <v>112</v>
      </c>
      <c r="B5" t="s">
        <v>14</v>
      </c>
      <c r="C5" t="s">
        <v>21</v>
      </c>
      <c r="D5" t="s">
        <v>503</v>
      </c>
      <c r="E5" t="s">
        <v>112</v>
      </c>
      <c r="F5" t="s">
        <v>21</v>
      </c>
    </row>
    <row r="6" spans="1:6" x14ac:dyDescent="0.35">
      <c r="A6" t="s">
        <v>505</v>
      </c>
      <c r="B6" t="s">
        <v>14</v>
      </c>
      <c r="C6" t="s">
        <v>28</v>
      </c>
      <c r="D6" t="s">
        <v>504</v>
      </c>
      <c r="E6" t="s">
        <v>505</v>
      </c>
      <c r="F6" t="s">
        <v>28</v>
      </c>
    </row>
    <row r="7" spans="1:6" x14ac:dyDescent="0.35">
      <c r="A7" t="s">
        <v>389</v>
      </c>
      <c r="B7" t="s">
        <v>14</v>
      </c>
      <c r="C7" t="s">
        <v>21</v>
      </c>
      <c r="D7" t="s">
        <v>506</v>
      </c>
      <c r="E7" t="s">
        <v>389</v>
      </c>
      <c r="F7" t="s">
        <v>21</v>
      </c>
    </row>
    <row r="8" spans="1:6" x14ac:dyDescent="0.35">
      <c r="A8" t="s">
        <v>507</v>
      </c>
      <c r="B8" t="s">
        <v>14</v>
      </c>
      <c r="C8" t="s">
        <v>21</v>
      </c>
      <c r="D8" t="s">
        <v>1459</v>
      </c>
      <c r="E8" t="s">
        <v>507</v>
      </c>
      <c r="F8" t="s">
        <v>21</v>
      </c>
    </row>
    <row r="9" spans="1:6" x14ac:dyDescent="0.35">
      <c r="A9" t="s">
        <v>510</v>
      </c>
      <c r="B9" t="s">
        <v>14</v>
      </c>
      <c r="C9" t="s">
        <v>21</v>
      </c>
      <c r="D9" t="s">
        <v>1460</v>
      </c>
      <c r="E9" t="s">
        <v>510</v>
      </c>
      <c r="F9" t="s">
        <v>21</v>
      </c>
    </row>
    <row r="10" spans="1:6" x14ac:dyDescent="0.35">
      <c r="A10" t="s">
        <v>508</v>
      </c>
      <c r="B10" t="s">
        <v>14</v>
      </c>
      <c r="C10" t="s">
        <v>21</v>
      </c>
      <c r="D10" t="s">
        <v>509</v>
      </c>
      <c r="E10" t="s">
        <v>508</v>
      </c>
      <c r="F10" t="s">
        <v>21</v>
      </c>
    </row>
    <row r="11" spans="1:6" x14ac:dyDescent="0.35">
      <c r="A11" t="s">
        <v>511</v>
      </c>
      <c r="B11" t="s">
        <v>14</v>
      </c>
      <c r="C11" t="s">
        <v>21</v>
      </c>
      <c r="D11" t="s">
        <v>512</v>
      </c>
      <c r="E11" t="s">
        <v>511</v>
      </c>
      <c r="F11" t="s">
        <v>21</v>
      </c>
    </row>
    <row r="12" spans="1:6" x14ac:dyDescent="0.35">
      <c r="A12" t="s">
        <v>513</v>
      </c>
      <c r="B12" t="s">
        <v>14</v>
      </c>
      <c r="C12" t="s">
        <v>21</v>
      </c>
      <c r="D12" t="s">
        <v>514</v>
      </c>
      <c r="E12" t="s">
        <v>513</v>
      </c>
      <c r="F12" t="s">
        <v>21</v>
      </c>
    </row>
    <row r="13" spans="1:6" x14ac:dyDescent="0.35">
      <c r="A13" t="s">
        <v>1426</v>
      </c>
      <c r="B13" t="s">
        <v>14</v>
      </c>
      <c r="C13" t="s">
        <v>21</v>
      </c>
      <c r="D13" t="s">
        <v>1461</v>
      </c>
      <c r="E13" t="s">
        <v>1426</v>
      </c>
      <c r="F13" t="s">
        <v>21</v>
      </c>
    </row>
    <row r="14" spans="1:6" x14ac:dyDescent="0.35">
      <c r="A14" t="s">
        <v>390</v>
      </c>
      <c r="B14" t="s">
        <v>14</v>
      </c>
      <c r="C14" t="s">
        <v>21</v>
      </c>
      <c r="D14" t="s">
        <v>515</v>
      </c>
      <c r="E14" t="s">
        <v>390</v>
      </c>
      <c r="F14" t="s">
        <v>21</v>
      </c>
    </row>
    <row r="15" spans="1:6" x14ac:dyDescent="0.35">
      <c r="A15" t="s">
        <v>202</v>
      </c>
      <c r="B15" t="s">
        <v>14</v>
      </c>
      <c r="C15" t="s">
        <v>124</v>
      </c>
      <c r="D15" t="s">
        <v>516</v>
      </c>
      <c r="E15" t="s">
        <v>202</v>
      </c>
      <c r="F15" t="s">
        <v>124</v>
      </c>
    </row>
    <row r="16" spans="1:6" x14ac:dyDescent="0.35">
      <c r="A16" t="s">
        <v>1338</v>
      </c>
      <c r="B16" t="s">
        <v>14</v>
      </c>
      <c r="C16" t="s">
        <v>1339</v>
      </c>
      <c r="D16" t="s">
        <v>1462</v>
      </c>
      <c r="E16" t="s">
        <v>1338</v>
      </c>
      <c r="F16" t="s">
        <v>1339</v>
      </c>
    </row>
    <row r="17" spans="1:6" x14ac:dyDescent="0.35">
      <c r="A17" t="s">
        <v>284</v>
      </c>
      <c r="B17" t="s">
        <v>14</v>
      </c>
      <c r="C17" t="s">
        <v>57</v>
      </c>
      <c r="D17" t="s">
        <v>517</v>
      </c>
      <c r="E17" t="s">
        <v>284</v>
      </c>
      <c r="F17" t="s">
        <v>57</v>
      </c>
    </row>
    <row r="18" spans="1:6" x14ac:dyDescent="0.35">
      <c r="A18" t="s">
        <v>518</v>
      </c>
      <c r="B18" t="s">
        <v>14</v>
      </c>
      <c r="C18" t="s">
        <v>60</v>
      </c>
      <c r="D18" t="s">
        <v>1463</v>
      </c>
      <c r="E18" t="s">
        <v>518</v>
      </c>
      <c r="F18" t="s">
        <v>60</v>
      </c>
    </row>
    <row r="19" spans="1:6" x14ac:dyDescent="0.35">
      <c r="A19" t="s">
        <v>519</v>
      </c>
      <c r="B19" t="s">
        <v>14</v>
      </c>
      <c r="C19" t="s">
        <v>123</v>
      </c>
      <c r="D19" t="s">
        <v>1464</v>
      </c>
      <c r="E19" t="s">
        <v>519</v>
      </c>
      <c r="F19" t="s">
        <v>123</v>
      </c>
    </row>
    <row r="20" spans="1:6" x14ac:dyDescent="0.35">
      <c r="A20" t="s">
        <v>198</v>
      </c>
      <c r="B20" t="s">
        <v>14</v>
      </c>
      <c r="C20" t="s">
        <v>19</v>
      </c>
      <c r="D20" t="s">
        <v>520</v>
      </c>
      <c r="E20" t="s">
        <v>198</v>
      </c>
      <c r="F20" t="s">
        <v>19</v>
      </c>
    </row>
    <row r="21" spans="1:6" x14ac:dyDescent="0.35">
      <c r="A21" t="s">
        <v>204</v>
      </c>
      <c r="B21" t="s">
        <v>14</v>
      </c>
      <c r="C21" t="s">
        <v>120</v>
      </c>
      <c r="D21" t="s">
        <v>1465</v>
      </c>
      <c r="E21" t="s">
        <v>204</v>
      </c>
      <c r="F21" t="s">
        <v>120</v>
      </c>
    </row>
    <row r="22" spans="1:6" x14ac:dyDescent="0.35">
      <c r="A22" t="s">
        <v>522</v>
      </c>
      <c r="B22" t="s">
        <v>14</v>
      </c>
      <c r="C22" t="s">
        <v>15</v>
      </c>
      <c r="D22" t="s">
        <v>521</v>
      </c>
      <c r="E22" t="s">
        <v>522</v>
      </c>
      <c r="F22" t="s">
        <v>15</v>
      </c>
    </row>
    <row r="23" spans="1:6" x14ac:dyDescent="0.35">
      <c r="A23" t="s">
        <v>365</v>
      </c>
      <c r="B23" t="s">
        <v>29</v>
      </c>
      <c r="C23" t="s">
        <v>30</v>
      </c>
      <c r="D23" t="s">
        <v>523</v>
      </c>
      <c r="E23" t="s">
        <v>365</v>
      </c>
      <c r="F23" t="s">
        <v>30</v>
      </c>
    </row>
    <row r="24" spans="1:6" x14ac:dyDescent="0.35">
      <c r="A24" t="s">
        <v>524</v>
      </c>
      <c r="B24" t="s">
        <v>14</v>
      </c>
      <c r="C24" t="s">
        <v>525</v>
      </c>
      <c r="D24" t="s">
        <v>526</v>
      </c>
      <c r="E24" t="s">
        <v>524</v>
      </c>
      <c r="F24" t="s">
        <v>525</v>
      </c>
    </row>
    <row r="25" spans="1:6" x14ac:dyDescent="0.35">
      <c r="A25" t="s">
        <v>437</v>
      </c>
      <c r="B25" t="s">
        <v>14</v>
      </c>
      <c r="C25" t="s">
        <v>57</v>
      </c>
      <c r="D25" t="s">
        <v>527</v>
      </c>
      <c r="E25" t="s">
        <v>437</v>
      </c>
      <c r="F25" t="s">
        <v>57</v>
      </c>
    </row>
    <row r="26" spans="1:6" x14ac:dyDescent="0.35">
      <c r="A26" t="s">
        <v>529</v>
      </c>
      <c r="B26" t="s">
        <v>14</v>
      </c>
      <c r="C26" t="s">
        <v>57</v>
      </c>
      <c r="D26" t="s">
        <v>528</v>
      </c>
      <c r="E26" t="s">
        <v>529</v>
      </c>
      <c r="F26" t="s">
        <v>57</v>
      </c>
    </row>
    <row r="27" spans="1:6" x14ac:dyDescent="0.35">
      <c r="A27" t="s">
        <v>530</v>
      </c>
      <c r="B27" t="s">
        <v>14</v>
      </c>
      <c r="C27" t="s">
        <v>30</v>
      </c>
      <c r="D27" t="s">
        <v>1466</v>
      </c>
      <c r="E27" t="s">
        <v>530</v>
      </c>
      <c r="F27" t="s">
        <v>30</v>
      </c>
    </row>
    <row r="28" spans="1:6" x14ac:dyDescent="0.35">
      <c r="A28" t="s">
        <v>531</v>
      </c>
      <c r="B28" t="s">
        <v>14</v>
      </c>
      <c r="C28" t="s">
        <v>36</v>
      </c>
      <c r="D28" t="s">
        <v>532</v>
      </c>
      <c r="E28" t="s">
        <v>531</v>
      </c>
      <c r="F28" t="s">
        <v>36</v>
      </c>
    </row>
    <row r="29" spans="1:6" x14ac:dyDescent="0.35">
      <c r="A29" t="s">
        <v>533</v>
      </c>
      <c r="B29" t="s">
        <v>29</v>
      </c>
      <c r="C29" t="s">
        <v>35</v>
      </c>
      <c r="D29" t="s">
        <v>1467</v>
      </c>
      <c r="E29" t="s">
        <v>533</v>
      </c>
      <c r="F29" t="s">
        <v>35</v>
      </c>
    </row>
    <row r="30" spans="1:6" x14ac:dyDescent="0.35">
      <c r="A30" t="s">
        <v>271</v>
      </c>
      <c r="B30" t="s">
        <v>29</v>
      </c>
      <c r="C30" t="s">
        <v>19</v>
      </c>
      <c r="D30" t="s">
        <v>534</v>
      </c>
      <c r="E30" t="s">
        <v>271</v>
      </c>
      <c r="F30" t="s">
        <v>19</v>
      </c>
    </row>
    <row r="31" spans="1:6" x14ac:dyDescent="0.35">
      <c r="A31" t="s">
        <v>535</v>
      </c>
      <c r="B31" t="s">
        <v>14</v>
      </c>
      <c r="C31" t="s">
        <v>37</v>
      </c>
      <c r="D31" t="s">
        <v>536</v>
      </c>
      <c r="E31" t="s">
        <v>535</v>
      </c>
      <c r="F31" t="s">
        <v>37</v>
      </c>
    </row>
    <row r="32" spans="1:6" x14ac:dyDescent="0.35">
      <c r="A32" t="s">
        <v>231</v>
      </c>
      <c r="B32" t="s">
        <v>29</v>
      </c>
      <c r="C32" t="s">
        <v>33</v>
      </c>
      <c r="D32" t="s">
        <v>537</v>
      </c>
      <c r="E32" t="s">
        <v>231</v>
      </c>
      <c r="F32" t="s">
        <v>33</v>
      </c>
    </row>
    <row r="33" spans="1:6" x14ac:dyDescent="0.35">
      <c r="A33" t="s">
        <v>538</v>
      </c>
      <c r="B33" t="s">
        <v>14</v>
      </c>
      <c r="C33" t="s">
        <v>49</v>
      </c>
      <c r="D33" t="s">
        <v>539</v>
      </c>
      <c r="E33" t="s">
        <v>538</v>
      </c>
      <c r="F33" t="s">
        <v>49</v>
      </c>
    </row>
    <row r="34" spans="1:6" x14ac:dyDescent="0.35">
      <c r="A34" t="s">
        <v>184</v>
      </c>
      <c r="B34" t="s">
        <v>14</v>
      </c>
      <c r="C34" t="s">
        <v>37</v>
      </c>
      <c r="D34" t="s">
        <v>1468</v>
      </c>
      <c r="E34" t="s">
        <v>184</v>
      </c>
      <c r="F34" t="s">
        <v>37</v>
      </c>
    </row>
    <row r="35" spans="1:6" x14ac:dyDescent="0.35">
      <c r="A35" t="s">
        <v>540</v>
      </c>
      <c r="B35" t="s">
        <v>29</v>
      </c>
      <c r="C35" t="s">
        <v>88</v>
      </c>
      <c r="D35" t="s">
        <v>1469</v>
      </c>
      <c r="E35" t="s">
        <v>540</v>
      </c>
      <c r="F35" t="s">
        <v>88</v>
      </c>
    </row>
    <row r="36" spans="1:6" x14ac:dyDescent="0.35">
      <c r="A36" t="s">
        <v>541</v>
      </c>
      <c r="B36" t="s">
        <v>29</v>
      </c>
      <c r="C36" t="s">
        <v>17</v>
      </c>
      <c r="D36" t="s">
        <v>542</v>
      </c>
      <c r="E36" t="s">
        <v>541</v>
      </c>
      <c r="F36" t="s">
        <v>17</v>
      </c>
    </row>
    <row r="37" spans="1:6" x14ac:dyDescent="0.35">
      <c r="A37" t="s">
        <v>377</v>
      </c>
      <c r="B37" t="s">
        <v>29</v>
      </c>
      <c r="C37" t="s">
        <v>17</v>
      </c>
      <c r="D37" t="s">
        <v>1470</v>
      </c>
      <c r="E37" t="s">
        <v>377</v>
      </c>
      <c r="F37" t="s">
        <v>17</v>
      </c>
    </row>
    <row r="38" spans="1:6" x14ac:dyDescent="0.35">
      <c r="A38" t="s">
        <v>543</v>
      </c>
      <c r="B38" t="s">
        <v>29</v>
      </c>
      <c r="C38" t="s">
        <v>37</v>
      </c>
      <c r="D38" t="s">
        <v>1471</v>
      </c>
      <c r="E38" t="s">
        <v>543</v>
      </c>
      <c r="F38" t="s">
        <v>37</v>
      </c>
    </row>
    <row r="39" spans="1:6" x14ac:dyDescent="0.35">
      <c r="A39" t="s">
        <v>544</v>
      </c>
      <c r="B39" t="s">
        <v>14</v>
      </c>
      <c r="C39" t="s">
        <v>21</v>
      </c>
      <c r="D39" t="s">
        <v>1472</v>
      </c>
      <c r="E39" t="s">
        <v>544</v>
      </c>
      <c r="F39" t="s">
        <v>21</v>
      </c>
    </row>
    <row r="40" spans="1:6" x14ac:dyDescent="0.35">
      <c r="A40" t="s">
        <v>1342</v>
      </c>
      <c r="B40" t="s">
        <v>14</v>
      </c>
      <c r="C40" t="s">
        <v>21</v>
      </c>
      <c r="D40" t="s">
        <v>1473</v>
      </c>
      <c r="E40" t="s">
        <v>1342</v>
      </c>
      <c r="F40" t="s">
        <v>21</v>
      </c>
    </row>
    <row r="41" spans="1:6" x14ac:dyDescent="0.35">
      <c r="A41" t="s">
        <v>545</v>
      </c>
      <c r="B41" t="s">
        <v>14</v>
      </c>
      <c r="C41" t="s">
        <v>35</v>
      </c>
      <c r="D41" t="s">
        <v>1474</v>
      </c>
      <c r="E41" t="s">
        <v>545</v>
      </c>
      <c r="F41" t="s">
        <v>35</v>
      </c>
    </row>
    <row r="42" spans="1:6" x14ac:dyDescent="0.35">
      <c r="A42" t="s">
        <v>546</v>
      </c>
      <c r="B42" t="s">
        <v>14</v>
      </c>
      <c r="C42" t="s">
        <v>547</v>
      </c>
      <c r="D42" t="s">
        <v>548</v>
      </c>
      <c r="E42" t="s">
        <v>546</v>
      </c>
      <c r="F42" t="s">
        <v>547</v>
      </c>
    </row>
    <row r="43" spans="1:6" x14ac:dyDescent="0.35">
      <c r="A43" t="s">
        <v>549</v>
      </c>
      <c r="B43" t="s">
        <v>29</v>
      </c>
      <c r="C43" t="s">
        <v>35</v>
      </c>
      <c r="D43" t="s">
        <v>1475</v>
      </c>
      <c r="E43" t="s">
        <v>549</v>
      </c>
      <c r="F43" t="s">
        <v>35</v>
      </c>
    </row>
    <row r="44" spans="1:6" x14ac:dyDescent="0.35">
      <c r="A44" t="s">
        <v>550</v>
      </c>
      <c r="B44" t="s">
        <v>29</v>
      </c>
      <c r="C44" t="s">
        <v>88</v>
      </c>
      <c r="D44" t="s">
        <v>1476</v>
      </c>
      <c r="E44" t="s">
        <v>550</v>
      </c>
      <c r="F44" t="s">
        <v>88</v>
      </c>
    </row>
    <row r="45" spans="1:6" x14ac:dyDescent="0.35">
      <c r="A45" t="s">
        <v>1427</v>
      </c>
      <c r="B45" t="s">
        <v>14</v>
      </c>
      <c r="C45" t="s">
        <v>1428</v>
      </c>
      <c r="D45" t="s">
        <v>1477</v>
      </c>
      <c r="E45" t="s">
        <v>1427</v>
      </c>
      <c r="F45" t="s">
        <v>1428</v>
      </c>
    </row>
    <row r="46" spans="1:6" x14ac:dyDescent="0.35">
      <c r="A46" t="s">
        <v>130</v>
      </c>
      <c r="B46" t="s">
        <v>14</v>
      </c>
      <c r="C46" t="s">
        <v>131</v>
      </c>
      <c r="D46" t="s">
        <v>551</v>
      </c>
      <c r="E46" t="s">
        <v>130</v>
      </c>
      <c r="F46" t="s">
        <v>131</v>
      </c>
    </row>
    <row r="47" spans="1:6" x14ac:dyDescent="0.35">
      <c r="A47" t="s">
        <v>290</v>
      </c>
      <c r="B47" t="s">
        <v>14</v>
      </c>
      <c r="C47" t="s">
        <v>30</v>
      </c>
      <c r="D47" t="s">
        <v>552</v>
      </c>
      <c r="E47" t="s">
        <v>290</v>
      </c>
      <c r="F47" t="s">
        <v>30</v>
      </c>
    </row>
    <row r="48" spans="1:6" x14ac:dyDescent="0.35">
      <c r="A48" t="s">
        <v>182</v>
      </c>
      <c r="B48" t="s">
        <v>14</v>
      </c>
      <c r="C48" t="s">
        <v>15</v>
      </c>
      <c r="D48" t="s">
        <v>553</v>
      </c>
      <c r="E48" t="s">
        <v>182</v>
      </c>
      <c r="F48" t="s">
        <v>15</v>
      </c>
    </row>
    <row r="49" spans="1:6" x14ac:dyDescent="0.35">
      <c r="A49" t="s">
        <v>322</v>
      </c>
      <c r="B49" t="s">
        <v>14</v>
      </c>
      <c r="C49" t="s">
        <v>28</v>
      </c>
      <c r="D49" t="s">
        <v>554</v>
      </c>
      <c r="E49" t="s">
        <v>322</v>
      </c>
      <c r="F49" t="s">
        <v>28</v>
      </c>
    </row>
    <row r="50" spans="1:6" x14ac:dyDescent="0.35">
      <c r="A50" t="s">
        <v>556</v>
      </c>
      <c r="B50" t="s">
        <v>14</v>
      </c>
      <c r="C50" t="s">
        <v>28</v>
      </c>
      <c r="D50" t="s">
        <v>555</v>
      </c>
      <c r="E50" t="s">
        <v>556</v>
      </c>
      <c r="F50" t="s">
        <v>28</v>
      </c>
    </row>
    <row r="51" spans="1:6" x14ac:dyDescent="0.35">
      <c r="A51" t="s">
        <v>1417</v>
      </c>
      <c r="B51" t="s">
        <v>14</v>
      </c>
      <c r="C51" t="s">
        <v>139</v>
      </c>
      <c r="D51" t="s">
        <v>1478</v>
      </c>
      <c r="E51" t="s">
        <v>1417</v>
      </c>
      <c r="F51" t="s">
        <v>139</v>
      </c>
    </row>
    <row r="52" spans="1:6" x14ac:dyDescent="0.35">
      <c r="A52" t="s">
        <v>268</v>
      </c>
      <c r="B52" t="s">
        <v>29</v>
      </c>
      <c r="C52" t="s">
        <v>30</v>
      </c>
      <c r="D52" t="s">
        <v>557</v>
      </c>
      <c r="E52" t="s">
        <v>268</v>
      </c>
      <c r="F52" t="s">
        <v>30</v>
      </c>
    </row>
    <row r="53" spans="1:6" x14ac:dyDescent="0.35">
      <c r="A53" t="s">
        <v>386</v>
      </c>
      <c r="B53" t="s">
        <v>14</v>
      </c>
      <c r="C53" t="s">
        <v>21</v>
      </c>
      <c r="D53" t="s">
        <v>558</v>
      </c>
      <c r="E53" t="s">
        <v>386</v>
      </c>
      <c r="F53" t="s">
        <v>21</v>
      </c>
    </row>
    <row r="54" spans="1:6" x14ac:dyDescent="0.35">
      <c r="A54" t="s">
        <v>1343</v>
      </c>
      <c r="B54" t="s">
        <v>14</v>
      </c>
      <c r="C54" t="s">
        <v>1344</v>
      </c>
      <c r="D54" t="s">
        <v>1479</v>
      </c>
      <c r="E54" t="s">
        <v>1343</v>
      </c>
      <c r="F54" t="s">
        <v>1344</v>
      </c>
    </row>
    <row r="55" spans="1:6" x14ac:dyDescent="0.35">
      <c r="A55" t="s">
        <v>197</v>
      </c>
      <c r="B55" t="s">
        <v>14</v>
      </c>
      <c r="C55" t="s">
        <v>121</v>
      </c>
      <c r="D55" t="s">
        <v>559</v>
      </c>
      <c r="E55" t="s">
        <v>197</v>
      </c>
      <c r="F55" t="s">
        <v>121</v>
      </c>
    </row>
    <row r="56" spans="1:6" x14ac:dyDescent="0.35">
      <c r="A56" t="s">
        <v>345</v>
      </c>
      <c r="B56" t="s">
        <v>29</v>
      </c>
      <c r="C56" t="s">
        <v>35</v>
      </c>
      <c r="D56" t="s">
        <v>560</v>
      </c>
      <c r="E56" t="s">
        <v>345</v>
      </c>
      <c r="F56" t="s">
        <v>35</v>
      </c>
    </row>
    <row r="57" spans="1:6" x14ac:dyDescent="0.35">
      <c r="A57" t="s">
        <v>561</v>
      </c>
      <c r="B57" t="s">
        <v>29</v>
      </c>
      <c r="C57" t="s">
        <v>159</v>
      </c>
      <c r="D57" t="s">
        <v>562</v>
      </c>
      <c r="E57" t="s">
        <v>561</v>
      </c>
      <c r="F57" t="s">
        <v>159</v>
      </c>
    </row>
    <row r="58" spans="1:6" x14ac:dyDescent="0.35">
      <c r="A58" t="s">
        <v>237</v>
      </c>
      <c r="B58" t="s">
        <v>14</v>
      </c>
      <c r="C58" t="s">
        <v>37</v>
      </c>
      <c r="D58" t="s">
        <v>1480</v>
      </c>
      <c r="E58" t="s">
        <v>237</v>
      </c>
      <c r="F58" t="s">
        <v>37</v>
      </c>
    </row>
    <row r="59" spans="1:6" x14ac:dyDescent="0.35">
      <c r="A59" t="s">
        <v>563</v>
      </c>
      <c r="B59" t="s">
        <v>29</v>
      </c>
      <c r="C59" t="s">
        <v>123</v>
      </c>
      <c r="D59" t="s">
        <v>1481</v>
      </c>
      <c r="E59" t="s">
        <v>563</v>
      </c>
      <c r="F59" t="s">
        <v>123</v>
      </c>
    </row>
    <row r="60" spans="1:6" x14ac:dyDescent="0.35">
      <c r="A60" t="s">
        <v>196</v>
      </c>
      <c r="B60" t="s">
        <v>14</v>
      </c>
      <c r="C60" t="s">
        <v>120</v>
      </c>
      <c r="D60" t="s">
        <v>564</v>
      </c>
      <c r="E60" t="s">
        <v>196</v>
      </c>
      <c r="F60" t="s">
        <v>120</v>
      </c>
    </row>
    <row r="61" spans="1:6" x14ac:dyDescent="0.35">
      <c r="A61" t="s">
        <v>565</v>
      </c>
      <c r="B61" t="s">
        <v>14</v>
      </c>
      <c r="C61" t="s">
        <v>21</v>
      </c>
      <c r="D61" t="s">
        <v>1482</v>
      </c>
      <c r="E61" t="s">
        <v>565</v>
      </c>
      <c r="F61" t="s">
        <v>21</v>
      </c>
    </row>
    <row r="62" spans="1:6" x14ac:dyDescent="0.35">
      <c r="A62" t="s">
        <v>1483</v>
      </c>
      <c r="B62" t="s">
        <v>29</v>
      </c>
      <c r="C62" t="s">
        <v>158</v>
      </c>
      <c r="D62" t="s">
        <v>1484</v>
      </c>
      <c r="E62" t="s">
        <v>1483</v>
      </c>
      <c r="F62" t="s">
        <v>158</v>
      </c>
    </row>
    <row r="63" spans="1:6" x14ac:dyDescent="0.35">
      <c r="A63" t="s">
        <v>566</v>
      </c>
      <c r="B63" t="s">
        <v>14</v>
      </c>
      <c r="C63" t="s">
        <v>139</v>
      </c>
      <c r="D63" t="s">
        <v>567</v>
      </c>
      <c r="E63" t="s">
        <v>566</v>
      </c>
      <c r="F63" t="s">
        <v>139</v>
      </c>
    </row>
    <row r="64" spans="1:6" x14ac:dyDescent="0.35">
      <c r="A64" t="s">
        <v>1375</v>
      </c>
      <c r="B64" t="s">
        <v>29</v>
      </c>
      <c r="C64" t="s">
        <v>17</v>
      </c>
      <c r="D64" t="s">
        <v>1485</v>
      </c>
      <c r="E64" t="s">
        <v>1375</v>
      </c>
      <c r="F64" t="s">
        <v>17</v>
      </c>
    </row>
    <row r="65" spans="1:6" x14ac:dyDescent="0.35">
      <c r="A65" t="s">
        <v>1486</v>
      </c>
      <c r="B65" t="s">
        <v>14</v>
      </c>
      <c r="C65" t="s">
        <v>17</v>
      </c>
      <c r="D65" t="s">
        <v>1487</v>
      </c>
      <c r="E65" t="s">
        <v>1486</v>
      </c>
      <c r="F65" t="s">
        <v>17</v>
      </c>
    </row>
    <row r="66" spans="1:6" x14ac:dyDescent="0.35">
      <c r="A66" t="s">
        <v>568</v>
      </c>
      <c r="B66" t="s">
        <v>14</v>
      </c>
      <c r="C66" t="s">
        <v>21</v>
      </c>
      <c r="D66" t="s">
        <v>569</v>
      </c>
      <c r="E66" t="s">
        <v>568</v>
      </c>
      <c r="F66" t="s">
        <v>21</v>
      </c>
    </row>
    <row r="67" spans="1:6" x14ac:dyDescent="0.35">
      <c r="A67" t="s">
        <v>570</v>
      </c>
      <c r="B67" t="s">
        <v>14</v>
      </c>
      <c r="C67" t="s">
        <v>123</v>
      </c>
      <c r="D67" t="s">
        <v>571</v>
      </c>
      <c r="E67" t="s">
        <v>570</v>
      </c>
      <c r="F67" t="s">
        <v>123</v>
      </c>
    </row>
    <row r="68" spans="1:6" x14ac:dyDescent="0.35">
      <c r="A68" t="s">
        <v>572</v>
      </c>
      <c r="B68" t="s">
        <v>14</v>
      </c>
      <c r="C68" t="s">
        <v>28</v>
      </c>
      <c r="D68" t="s">
        <v>573</v>
      </c>
      <c r="E68" t="s">
        <v>572</v>
      </c>
      <c r="F68" t="s">
        <v>28</v>
      </c>
    </row>
    <row r="69" spans="1:6" x14ac:dyDescent="0.35">
      <c r="A69" t="s">
        <v>575</v>
      </c>
      <c r="B69" t="s">
        <v>14</v>
      </c>
      <c r="C69" t="s">
        <v>123</v>
      </c>
      <c r="D69" t="s">
        <v>574</v>
      </c>
      <c r="E69" t="s">
        <v>575</v>
      </c>
      <c r="F69" t="s">
        <v>123</v>
      </c>
    </row>
    <row r="70" spans="1:6" x14ac:dyDescent="0.35">
      <c r="A70" t="s">
        <v>186</v>
      </c>
      <c r="B70" t="s">
        <v>14</v>
      </c>
      <c r="C70" t="s">
        <v>28</v>
      </c>
      <c r="D70" t="s">
        <v>576</v>
      </c>
      <c r="E70" t="s">
        <v>186</v>
      </c>
      <c r="F70" t="s">
        <v>28</v>
      </c>
    </row>
    <row r="71" spans="1:6" x14ac:dyDescent="0.35">
      <c r="A71" t="s">
        <v>578</v>
      </c>
      <c r="B71" t="s">
        <v>14</v>
      </c>
      <c r="C71" t="s">
        <v>333</v>
      </c>
      <c r="D71" t="s">
        <v>577</v>
      </c>
      <c r="E71" t="s">
        <v>578</v>
      </c>
      <c r="F71" t="s">
        <v>333</v>
      </c>
    </row>
    <row r="72" spans="1:6" x14ac:dyDescent="0.35">
      <c r="A72" t="s">
        <v>435</v>
      </c>
      <c r="B72" t="s">
        <v>14</v>
      </c>
      <c r="C72" t="s">
        <v>119</v>
      </c>
      <c r="D72" t="s">
        <v>1488</v>
      </c>
      <c r="E72" t="s">
        <v>435</v>
      </c>
      <c r="F72" t="s">
        <v>119</v>
      </c>
    </row>
    <row r="73" spans="1:6" x14ac:dyDescent="0.35">
      <c r="A73" t="s">
        <v>579</v>
      </c>
      <c r="B73" t="s">
        <v>14</v>
      </c>
      <c r="C73" t="s">
        <v>66</v>
      </c>
      <c r="D73" t="s">
        <v>580</v>
      </c>
      <c r="E73" t="s">
        <v>579</v>
      </c>
      <c r="F73" t="s">
        <v>66</v>
      </c>
    </row>
    <row r="74" spans="1:6" x14ac:dyDescent="0.35">
      <c r="A74" t="s">
        <v>581</v>
      </c>
      <c r="B74" t="s">
        <v>14</v>
      </c>
      <c r="C74" t="s">
        <v>73</v>
      </c>
      <c r="D74" t="s">
        <v>1489</v>
      </c>
      <c r="E74" t="s">
        <v>581</v>
      </c>
      <c r="F74" t="s">
        <v>73</v>
      </c>
    </row>
    <row r="75" spans="1:6" x14ac:dyDescent="0.35">
      <c r="A75" t="s">
        <v>582</v>
      </c>
      <c r="B75" t="s">
        <v>29</v>
      </c>
      <c r="C75" t="s">
        <v>88</v>
      </c>
      <c r="D75" t="s">
        <v>583</v>
      </c>
      <c r="E75" t="s">
        <v>582</v>
      </c>
      <c r="F75" t="s">
        <v>88</v>
      </c>
    </row>
    <row r="76" spans="1:6" x14ac:dyDescent="0.35">
      <c r="A76" t="s">
        <v>442</v>
      </c>
      <c r="B76" t="s">
        <v>29</v>
      </c>
      <c r="C76" t="s">
        <v>88</v>
      </c>
      <c r="D76" t="s">
        <v>584</v>
      </c>
      <c r="E76" t="s">
        <v>442</v>
      </c>
      <c r="F76" t="s">
        <v>88</v>
      </c>
    </row>
    <row r="77" spans="1:6" x14ac:dyDescent="0.35">
      <c r="A77" t="s">
        <v>218</v>
      </c>
      <c r="B77" t="s">
        <v>29</v>
      </c>
      <c r="C77" t="s">
        <v>53</v>
      </c>
      <c r="D77" t="s">
        <v>585</v>
      </c>
      <c r="E77" t="s">
        <v>218</v>
      </c>
      <c r="F77" t="s">
        <v>53</v>
      </c>
    </row>
    <row r="78" spans="1:6" x14ac:dyDescent="0.35">
      <c r="A78" t="s">
        <v>586</v>
      </c>
      <c r="B78" t="s">
        <v>29</v>
      </c>
      <c r="C78" t="s">
        <v>73</v>
      </c>
      <c r="D78" t="s">
        <v>1490</v>
      </c>
      <c r="E78" t="s">
        <v>586</v>
      </c>
      <c r="F78" t="s">
        <v>73</v>
      </c>
    </row>
    <row r="79" spans="1:6" x14ac:dyDescent="0.35">
      <c r="A79" t="s">
        <v>410</v>
      </c>
      <c r="B79" t="s">
        <v>29</v>
      </c>
      <c r="C79" t="s">
        <v>28</v>
      </c>
      <c r="D79" t="s">
        <v>587</v>
      </c>
      <c r="E79" t="s">
        <v>410</v>
      </c>
      <c r="F79" t="s">
        <v>28</v>
      </c>
    </row>
    <row r="80" spans="1:6" x14ac:dyDescent="0.35">
      <c r="A80" t="s">
        <v>276</v>
      </c>
      <c r="B80" t="s">
        <v>29</v>
      </c>
      <c r="C80" t="s">
        <v>88</v>
      </c>
      <c r="D80" t="s">
        <v>588</v>
      </c>
      <c r="E80" t="s">
        <v>276</v>
      </c>
      <c r="F80" t="s">
        <v>88</v>
      </c>
    </row>
    <row r="81" spans="1:6" x14ac:dyDescent="0.35">
      <c r="A81" t="s">
        <v>1491</v>
      </c>
      <c r="B81" t="s">
        <v>29</v>
      </c>
      <c r="C81" t="s">
        <v>123</v>
      </c>
      <c r="D81" t="s">
        <v>1492</v>
      </c>
      <c r="E81" t="s">
        <v>1491</v>
      </c>
      <c r="F81" t="s">
        <v>123</v>
      </c>
    </row>
    <row r="82" spans="1:6" x14ac:dyDescent="0.35">
      <c r="A82" t="s">
        <v>332</v>
      </c>
      <c r="B82" t="s">
        <v>29</v>
      </c>
      <c r="C82" t="s">
        <v>333</v>
      </c>
      <c r="D82" t="s">
        <v>589</v>
      </c>
      <c r="E82" t="s">
        <v>332</v>
      </c>
      <c r="F82" t="s">
        <v>333</v>
      </c>
    </row>
    <row r="83" spans="1:6" x14ac:dyDescent="0.35">
      <c r="A83" t="s">
        <v>590</v>
      </c>
      <c r="B83" t="s">
        <v>14</v>
      </c>
      <c r="C83" t="s">
        <v>73</v>
      </c>
      <c r="D83" t="s">
        <v>1493</v>
      </c>
      <c r="E83" t="s">
        <v>590</v>
      </c>
      <c r="F83" t="s">
        <v>73</v>
      </c>
    </row>
    <row r="84" spans="1:6" x14ac:dyDescent="0.35">
      <c r="A84" t="s">
        <v>294</v>
      </c>
      <c r="B84" t="s">
        <v>14</v>
      </c>
      <c r="C84" t="s">
        <v>30</v>
      </c>
      <c r="D84" t="s">
        <v>591</v>
      </c>
      <c r="E84" t="s">
        <v>294</v>
      </c>
      <c r="F84" t="s">
        <v>30</v>
      </c>
    </row>
    <row r="85" spans="1:6" x14ac:dyDescent="0.35">
      <c r="A85" t="s">
        <v>593</v>
      </c>
      <c r="B85" t="s">
        <v>14</v>
      </c>
      <c r="C85" t="s">
        <v>73</v>
      </c>
      <c r="D85" t="s">
        <v>1494</v>
      </c>
      <c r="E85" t="s">
        <v>593</v>
      </c>
      <c r="F85" t="s">
        <v>73</v>
      </c>
    </row>
    <row r="86" spans="1:6" x14ac:dyDescent="0.35">
      <c r="A86" t="s">
        <v>592</v>
      </c>
      <c r="B86" t="s">
        <v>14</v>
      </c>
      <c r="C86" t="s">
        <v>73</v>
      </c>
      <c r="D86" t="s">
        <v>1495</v>
      </c>
      <c r="E86" t="s">
        <v>592</v>
      </c>
      <c r="F86" t="s">
        <v>73</v>
      </c>
    </row>
    <row r="87" spans="1:6" x14ac:dyDescent="0.35">
      <c r="A87" t="s">
        <v>16</v>
      </c>
      <c r="B87" t="s">
        <v>14</v>
      </c>
      <c r="C87" t="s">
        <v>19</v>
      </c>
      <c r="D87" t="s">
        <v>1025</v>
      </c>
      <c r="E87" t="s">
        <v>16</v>
      </c>
      <c r="F87" t="s">
        <v>19</v>
      </c>
    </row>
    <row r="88" spans="1:6" x14ac:dyDescent="0.35">
      <c r="A88" t="s">
        <v>393</v>
      </c>
      <c r="B88" t="s">
        <v>29</v>
      </c>
      <c r="C88" t="s">
        <v>21</v>
      </c>
      <c r="D88" t="s">
        <v>594</v>
      </c>
      <c r="E88" t="s">
        <v>393</v>
      </c>
      <c r="F88" t="s">
        <v>21</v>
      </c>
    </row>
    <row r="89" spans="1:6" x14ac:dyDescent="0.35">
      <c r="A89" t="s">
        <v>265</v>
      </c>
      <c r="B89" t="s">
        <v>29</v>
      </c>
      <c r="C89" t="s">
        <v>21</v>
      </c>
      <c r="D89" t="s">
        <v>595</v>
      </c>
      <c r="E89" t="s">
        <v>265</v>
      </c>
      <c r="F89" t="s">
        <v>21</v>
      </c>
    </row>
    <row r="90" spans="1:6" x14ac:dyDescent="0.35">
      <c r="A90" t="s">
        <v>229</v>
      </c>
      <c r="B90" t="s">
        <v>29</v>
      </c>
      <c r="C90" t="s">
        <v>35</v>
      </c>
      <c r="D90" t="s">
        <v>596</v>
      </c>
      <c r="E90" t="s">
        <v>1376</v>
      </c>
      <c r="F90" t="s">
        <v>35</v>
      </c>
    </row>
    <row r="91" spans="1:6" x14ac:dyDescent="0.35">
      <c r="A91" t="s">
        <v>1376</v>
      </c>
      <c r="B91" t="s">
        <v>29</v>
      </c>
      <c r="C91" t="s">
        <v>35</v>
      </c>
      <c r="D91" t="s">
        <v>1496</v>
      </c>
      <c r="E91" t="s">
        <v>1376</v>
      </c>
      <c r="F91" t="s">
        <v>35</v>
      </c>
    </row>
    <row r="92" spans="1:6" x14ac:dyDescent="0.35">
      <c r="A92" t="s">
        <v>329</v>
      </c>
      <c r="B92" t="s">
        <v>29</v>
      </c>
      <c r="C92" t="s">
        <v>73</v>
      </c>
      <c r="D92" t="s">
        <v>597</v>
      </c>
      <c r="E92" t="s">
        <v>329</v>
      </c>
      <c r="F92" t="s">
        <v>73</v>
      </c>
    </row>
    <row r="93" spans="1:6" x14ac:dyDescent="0.35">
      <c r="A93" t="s">
        <v>598</v>
      </c>
      <c r="B93" t="s">
        <v>14</v>
      </c>
      <c r="C93" t="s">
        <v>123</v>
      </c>
      <c r="D93" t="s">
        <v>1497</v>
      </c>
      <c r="E93" t="s">
        <v>598</v>
      </c>
      <c r="F93" t="s">
        <v>123</v>
      </c>
    </row>
    <row r="94" spans="1:6" x14ac:dyDescent="0.35">
      <c r="A94" t="s">
        <v>464</v>
      </c>
      <c r="B94" t="s">
        <v>14</v>
      </c>
      <c r="C94" t="s">
        <v>18</v>
      </c>
      <c r="D94" t="s">
        <v>599</v>
      </c>
      <c r="E94" t="s">
        <v>464</v>
      </c>
      <c r="F94" t="s">
        <v>18</v>
      </c>
    </row>
    <row r="95" spans="1:6" x14ac:dyDescent="0.35">
      <c r="A95" t="s">
        <v>601</v>
      </c>
      <c r="B95" t="s">
        <v>29</v>
      </c>
      <c r="C95" t="s">
        <v>17</v>
      </c>
      <c r="D95" t="s">
        <v>600</v>
      </c>
      <c r="E95" t="s">
        <v>601</v>
      </c>
      <c r="F95" t="s">
        <v>17</v>
      </c>
    </row>
    <row r="96" spans="1:6" x14ac:dyDescent="0.35">
      <c r="A96" t="s">
        <v>603</v>
      </c>
      <c r="B96" t="s">
        <v>29</v>
      </c>
      <c r="C96" t="s">
        <v>49</v>
      </c>
      <c r="D96" t="s">
        <v>602</v>
      </c>
      <c r="E96" t="s">
        <v>603</v>
      </c>
      <c r="F96" t="s">
        <v>49</v>
      </c>
    </row>
    <row r="97" spans="1:6" x14ac:dyDescent="0.35">
      <c r="A97" t="s">
        <v>607</v>
      </c>
      <c r="B97" t="s">
        <v>29</v>
      </c>
      <c r="C97" t="s">
        <v>21</v>
      </c>
      <c r="D97" t="s">
        <v>1498</v>
      </c>
      <c r="E97" t="s">
        <v>607</v>
      </c>
      <c r="F97" t="s">
        <v>21</v>
      </c>
    </row>
    <row r="98" spans="1:6" x14ac:dyDescent="0.35">
      <c r="A98" t="s">
        <v>604</v>
      </c>
      <c r="B98" t="s">
        <v>29</v>
      </c>
      <c r="C98" t="s">
        <v>21</v>
      </c>
      <c r="D98" t="s">
        <v>605</v>
      </c>
      <c r="E98" t="s">
        <v>604</v>
      </c>
      <c r="F98" t="s">
        <v>21</v>
      </c>
    </row>
    <row r="99" spans="1:6" x14ac:dyDescent="0.35">
      <c r="A99" t="s">
        <v>395</v>
      </c>
      <c r="B99" t="s">
        <v>29</v>
      </c>
      <c r="C99" t="s">
        <v>21</v>
      </c>
      <c r="D99" t="s">
        <v>606</v>
      </c>
      <c r="E99" t="s">
        <v>395</v>
      </c>
      <c r="F99" t="s">
        <v>21</v>
      </c>
    </row>
    <row r="100" spans="1:6" x14ac:dyDescent="0.35">
      <c r="A100" t="s">
        <v>608</v>
      </c>
      <c r="B100" t="s">
        <v>29</v>
      </c>
      <c r="C100" t="s">
        <v>49</v>
      </c>
      <c r="D100" t="s">
        <v>609</v>
      </c>
      <c r="E100" t="s">
        <v>608</v>
      </c>
      <c r="F100" t="s">
        <v>49</v>
      </c>
    </row>
    <row r="101" spans="1:6" x14ac:dyDescent="0.35">
      <c r="A101" t="s">
        <v>610</v>
      </c>
      <c r="B101" t="s">
        <v>14</v>
      </c>
      <c r="C101" t="s">
        <v>611</v>
      </c>
      <c r="D101" t="s">
        <v>612</v>
      </c>
      <c r="E101" t="s">
        <v>610</v>
      </c>
      <c r="F101" t="s">
        <v>611</v>
      </c>
    </row>
    <row r="102" spans="1:6" x14ac:dyDescent="0.35">
      <c r="A102" t="s">
        <v>613</v>
      </c>
      <c r="B102" t="s">
        <v>14</v>
      </c>
      <c r="C102" t="s">
        <v>21</v>
      </c>
      <c r="D102" t="s">
        <v>614</v>
      </c>
      <c r="E102" t="s">
        <v>613</v>
      </c>
      <c r="F102" t="s">
        <v>21</v>
      </c>
    </row>
    <row r="103" spans="1:6" x14ac:dyDescent="0.35">
      <c r="A103" t="s">
        <v>309</v>
      </c>
      <c r="B103" t="s">
        <v>14</v>
      </c>
      <c r="C103" t="s">
        <v>17</v>
      </c>
      <c r="D103" t="s">
        <v>615</v>
      </c>
      <c r="E103" t="s">
        <v>309</v>
      </c>
      <c r="F103" t="s">
        <v>17</v>
      </c>
    </row>
    <row r="104" spans="1:6" x14ac:dyDescent="0.35">
      <c r="A104" t="s">
        <v>616</v>
      </c>
      <c r="B104" t="s">
        <v>29</v>
      </c>
      <c r="C104" t="s">
        <v>21</v>
      </c>
      <c r="D104" t="s">
        <v>1499</v>
      </c>
      <c r="E104" t="s">
        <v>616</v>
      </c>
      <c r="F104" t="s">
        <v>21</v>
      </c>
    </row>
    <row r="105" spans="1:6" x14ac:dyDescent="0.35">
      <c r="A105" t="s">
        <v>208</v>
      </c>
      <c r="B105" t="s">
        <v>14</v>
      </c>
      <c r="C105" t="s">
        <v>117</v>
      </c>
      <c r="D105" t="s">
        <v>1500</v>
      </c>
      <c r="E105" t="s">
        <v>208</v>
      </c>
      <c r="F105" t="s">
        <v>117</v>
      </c>
    </row>
    <row r="106" spans="1:6" x14ac:dyDescent="0.35">
      <c r="A106" t="s">
        <v>617</v>
      </c>
      <c r="B106" t="s">
        <v>14</v>
      </c>
      <c r="C106" t="s">
        <v>17</v>
      </c>
      <c r="D106" t="s">
        <v>618</v>
      </c>
      <c r="E106" t="s">
        <v>617</v>
      </c>
      <c r="F106" t="s">
        <v>17</v>
      </c>
    </row>
    <row r="107" spans="1:6" x14ac:dyDescent="0.35">
      <c r="A107" t="s">
        <v>1456</v>
      </c>
      <c r="B107" t="s">
        <v>14</v>
      </c>
      <c r="C107" t="s">
        <v>37</v>
      </c>
      <c r="D107" t="s">
        <v>1501</v>
      </c>
      <c r="E107" t="s">
        <v>1456</v>
      </c>
      <c r="F107" t="s">
        <v>37</v>
      </c>
    </row>
    <row r="108" spans="1:6" x14ac:dyDescent="0.35">
      <c r="A108" t="s">
        <v>619</v>
      </c>
      <c r="B108" t="s">
        <v>14</v>
      </c>
      <c r="C108" t="s">
        <v>88</v>
      </c>
      <c r="D108" t="s">
        <v>1502</v>
      </c>
      <c r="E108" t="s">
        <v>619</v>
      </c>
      <c r="F108" t="s">
        <v>88</v>
      </c>
    </row>
    <row r="109" spans="1:6" x14ac:dyDescent="0.35">
      <c r="A109" t="s">
        <v>1503</v>
      </c>
      <c r="B109" t="s">
        <v>29</v>
      </c>
      <c r="C109" t="s">
        <v>49</v>
      </c>
      <c r="D109" t="s">
        <v>1504</v>
      </c>
      <c r="E109" t="s">
        <v>1503</v>
      </c>
      <c r="F109" t="s">
        <v>49</v>
      </c>
    </row>
    <row r="110" spans="1:6" x14ac:dyDescent="0.35">
      <c r="A110" t="s">
        <v>1505</v>
      </c>
      <c r="B110" t="s">
        <v>29</v>
      </c>
      <c r="C110" t="s">
        <v>15</v>
      </c>
      <c r="D110" t="s">
        <v>1506</v>
      </c>
      <c r="E110" t="s">
        <v>1505</v>
      </c>
      <c r="F110" t="s">
        <v>15</v>
      </c>
    </row>
    <row r="111" spans="1:6" x14ac:dyDescent="0.35">
      <c r="A111" t="s">
        <v>108</v>
      </c>
      <c r="B111" t="s">
        <v>14</v>
      </c>
      <c r="C111" t="s">
        <v>30</v>
      </c>
      <c r="D111" t="s">
        <v>620</v>
      </c>
      <c r="E111" t="s">
        <v>108</v>
      </c>
      <c r="F111" t="s">
        <v>30</v>
      </c>
    </row>
    <row r="112" spans="1:6" x14ac:dyDescent="0.35">
      <c r="A112" t="s">
        <v>1393</v>
      </c>
      <c r="B112" t="s">
        <v>29</v>
      </c>
      <c r="C112" t="s">
        <v>36</v>
      </c>
      <c r="D112" t="s">
        <v>1507</v>
      </c>
      <c r="E112" t="s">
        <v>1393</v>
      </c>
      <c r="F112" t="s">
        <v>36</v>
      </c>
    </row>
    <row r="113" spans="1:6" x14ac:dyDescent="0.35">
      <c r="A113" t="s">
        <v>622</v>
      </c>
      <c r="B113" t="s">
        <v>14</v>
      </c>
      <c r="C113" t="s">
        <v>28</v>
      </c>
      <c r="D113" t="s">
        <v>1508</v>
      </c>
      <c r="E113" t="s">
        <v>622</v>
      </c>
      <c r="F113" t="s">
        <v>28</v>
      </c>
    </row>
    <row r="114" spans="1:6" x14ac:dyDescent="0.35">
      <c r="A114" t="s">
        <v>623</v>
      </c>
      <c r="B114" t="s">
        <v>14</v>
      </c>
      <c r="C114" t="s">
        <v>123</v>
      </c>
      <c r="D114" t="s">
        <v>624</v>
      </c>
      <c r="E114" t="s">
        <v>623</v>
      </c>
      <c r="F114" t="s">
        <v>123</v>
      </c>
    </row>
    <row r="115" spans="1:6" x14ac:dyDescent="0.35">
      <c r="A115" t="s">
        <v>111</v>
      </c>
      <c r="B115" t="s">
        <v>14</v>
      </c>
      <c r="C115" t="s">
        <v>17</v>
      </c>
      <c r="D115" t="s">
        <v>625</v>
      </c>
      <c r="E115" t="s">
        <v>111</v>
      </c>
      <c r="F115" t="s">
        <v>17</v>
      </c>
    </row>
    <row r="116" spans="1:6" x14ac:dyDescent="0.35">
      <c r="A116" t="s">
        <v>627</v>
      </c>
      <c r="B116" t="s">
        <v>14</v>
      </c>
      <c r="C116" t="s">
        <v>15</v>
      </c>
      <c r="D116" t="s">
        <v>626</v>
      </c>
      <c r="E116" t="s">
        <v>627</v>
      </c>
      <c r="F116" t="s">
        <v>15</v>
      </c>
    </row>
    <row r="117" spans="1:6" x14ac:dyDescent="0.35">
      <c r="A117" t="s">
        <v>450</v>
      </c>
      <c r="B117" t="s">
        <v>29</v>
      </c>
      <c r="C117" t="s">
        <v>117</v>
      </c>
      <c r="D117" t="s">
        <v>1509</v>
      </c>
      <c r="E117" t="s">
        <v>450</v>
      </c>
      <c r="F117" t="s">
        <v>117</v>
      </c>
    </row>
    <row r="118" spans="1:6" x14ac:dyDescent="0.35">
      <c r="A118" t="s">
        <v>227</v>
      </c>
      <c r="B118" t="s">
        <v>29</v>
      </c>
      <c r="C118" t="s">
        <v>117</v>
      </c>
      <c r="D118" t="s">
        <v>1510</v>
      </c>
      <c r="E118" t="s">
        <v>227</v>
      </c>
      <c r="F118" t="s">
        <v>117</v>
      </c>
    </row>
    <row r="119" spans="1:6" x14ac:dyDescent="0.35">
      <c r="A119" t="s">
        <v>628</v>
      </c>
      <c r="B119" t="s">
        <v>29</v>
      </c>
      <c r="C119" t="s">
        <v>49</v>
      </c>
      <c r="D119" t="s">
        <v>629</v>
      </c>
      <c r="E119" t="s">
        <v>628</v>
      </c>
      <c r="F119" t="s">
        <v>49</v>
      </c>
    </row>
    <row r="120" spans="1:6" x14ac:dyDescent="0.35">
      <c r="A120" t="s">
        <v>406</v>
      </c>
      <c r="B120" t="s">
        <v>14</v>
      </c>
      <c r="C120" t="s">
        <v>28</v>
      </c>
      <c r="D120" t="s">
        <v>1511</v>
      </c>
      <c r="E120" t="s">
        <v>406</v>
      </c>
      <c r="F120" t="s">
        <v>28</v>
      </c>
    </row>
    <row r="121" spans="1:6" x14ac:dyDescent="0.35">
      <c r="A121" t="s">
        <v>631</v>
      </c>
      <c r="B121" t="s">
        <v>14</v>
      </c>
      <c r="C121" t="s">
        <v>123</v>
      </c>
      <c r="D121" t="s">
        <v>630</v>
      </c>
      <c r="E121" t="s">
        <v>631</v>
      </c>
      <c r="F121" t="s">
        <v>123</v>
      </c>
    </row>
    <row r="122" spans="1:6" x14ac:dyDescent="0.35">
      <c r="A122" t="s">
        <v>632</v>
      </c>
      <c r="B122" t="s">
        <v>14</v>
      </c>
      <c r="C122" t="s">
        <v>15</v>
      </c>
      <c r="D122" t="s">
        <v>1512</v>
      </c>
      <c r="E122" t="s">
        <v>632</v>
      </c>
      <c r="F122" t="s">
        <v>15</v>
      </c>
    </row>
    <row r="123" spans="1:6" x14ac:dyDescent="0.35">
      <c r="A123" t="s">
        <v>189</v>
      </c>
      <c r="B123" t="s">
        <v>14</v>
      </c>
      <c r="C123" t="s">
        <v>116</v>
      </c>
      <c r="D123" t="s">
        <v>633</v>
      </c>
      <c r="E123" t="s">
        <v>189</v>
      </c>
      <c r="F123" t="s">
        <v>116</v>
      </c>
    </row>
    <row r="124" spans="1:6" x14ac:dyDescent="0.35">
      <c r="A124" t="s">
        <v>634</v>
      </c>
      <c r="B124" t="s">
        <v>14</v>
      </c>
      <c r="C124" t="s">
        <v>21</v>
      </c>
      <c r="D124" t="s">
        <v>1513</v>
      </c>
      <c r="E124" t="s">
        <v>634</v>
      </c>
      <c r="F124" t="s">
        <v>21</v>
      </c>
    </row>
    <row r="125" spans="1:6" x14ac:dyDescent="0.35">
      <c r="A125" t="s">
        <v>635</v>
      </c>
      <c r="B125" t="s">
        <v>14</v>
      </c>
      <c r="C125" t="s">
        <v>21</v>
      </c>
      <c r="D125" t="s">
        <v>1514</v>
      </c>
      <c r="E125" t="s">
        <v>635</v>
      </c>
      <c r="F125" t="s">
        <v>21</v>
      </c>
    </row>
    <row r="126" spans="1:6" x14ac:dyDescent="0.35">
      <c r="A126" t="s">
        <v>305</v>
      </c>
      <c r="B126" t="s">
        <v>14</v>
      </c>
      <c r="C126" t="s">
        <v>158</v>
      </c>
      <c r="D126" t="s">
        <v>636</v>
      </c>
      <c r="E126" t="s">
        <v>305</v>
      </c>
      <c r="F126" t="s">
        <v>158</v>
      </c>
    </row>
    <row r="127" spans="1:6" x14ac:dyDescent="0.35">
      <c r="A127" t="s">
        <v>246</v>
      </c>
      <c r="B127" t="s">
        <v>14</v>
      </c>
      <c r="C127" t="s">
        <v>19</v>
      </c>
      <c r="D127" t="s">
        <v>637</v>
      </c>
      <c r="E127" t="s">
        <v>246</v>
      </c>
      <c r="F127" t="s">
        <v>19</v>
      </c>
    </row>
    <row r="128" spans="1:6" x14ac:dyDescent="0.35">
      <c r="A128" t="s">
        <v>248</v>
      </c>
      <c r="B128" t="s">
        <v>14</v>
      </c>
      <c r="C128" t="s">
        <v>35</v>
      </c>
      <c r="D128" t="s">
        <v>638</v>
      </c>
      <c r="E128" t="s">
        <v>248</v>
      </c>
      <c r="F128" t="s">
        <v>35</v>
      </c>
    </row>
    <row r="129" spans="1:6" x14ac:dyDescent="0.35">
      <c r="A129" t="s">
        <v>1454</v>
      </c>
      <c r="B129" t="s">
        <v>14</v>
      </c>
      <c r="C129" t="s">
        <v>35</v>
      </c>
      <c r="D129" t="s">
        <v>1515</v>
      </c>
      <c r="E129" t="s">
        <v>1454</v>
      </c>
      <c r="F129" t="s">
        <v>35</v>
      </c>
    </row>
    <row r="130" spans="1:6" x14ac:dyDescent="0.35">
      <c r="A130" t="s">
        <v>639</v>
      </c>
      <c r="B130" t="s">
        <v>14</v>
      </c>
      <c r="C130" t="s">
        <v>15</v>
      </c>
      <c r="D130" t="s">
        <v>1516</v>
      </c>
      <c r="E130" t="s">
        <v>639</v>
      </c>
      <c r="F130" t="s">
        <v>15</v>
      </c>
    </row>
    <row r="131" spans="1:6" x14ac:dyDescent="0.35">
      <c r="A131" t="s">
        <v>640</v>
      </c>
      <c r="B131" t="s">
        <v>14</v>
      </c>
      <c r="C131" t="s">
        <v>15</v>
      </c>
      <c r="D131" t="s">
        <v>1517</v>
      </c>
      <c r="E131" t="s">
        <v>640</v>
      </c>
      <c r="F131" t="s">
        <v>15</v>
      </c>
    </row>
    <row r="132" spans="1:6" x14ac:dyDescent="0.35">
      <c r="A132" t="s">
        <v>367</v>
      </c>
      <c r="B132" t="s">
        <v>29</v>
      </c>
      <c r="C132" t="s">
        <v>35</v>
      </c>
      <c r="D132" t="s">
        <v>641</v>
      </c>
      <c r="E132" t="s">
        <v>367</v>
      </c>
      <c r="F132" t="s">
        <v>35</v>
      </c>
    </row>
    <row r="133" spans="1:6" x14ac:dyDescent="0.35">
      <c r="A133" t="s">
        <v>173</v>
      </c>
      <c r="B133" t="s">
        <v>14</v>
      </c>
      <c r="C133" t="s">
        <v>35</v>
      </c>
      <c r="D133" t="s">
        <v>642</v>
      </c>
      <c r="E133" t="s">
        <v>173</v>
      </c>
      <c r="F133" t="s">
        <v>35</v>
      </c>
    </row>
    <row r="134" spans="1:6" x14ac:dyDescent="0.35">
      <c r="A134" t="s">
        <v>87</v>
      </c>
      <c r="B134" t="s">
        <v>14</v>
      </c>
      <c r="C134" t="s">
        <v>30</v>
      </c>
      <c r="D134" t="s">
        <v>1046</v>
      </c>
      <c r="E134" t="s">
        <v>87</v>
      </c>
      <c r="F134" t="s">
        <v>30</v>
      </c>
    </row>
    <row r="135" spans="1:6" x14ac:dyDescent="0.35">
      <c r="A135" t="s">
        <v>643</v>
      </c>
      <c r="B135" t="s">
        <v>14</v>
      </c>
      <c r="C135" t="s">
        <v>35</v>
      </c>
      <c r="D135" t="s">
        <v>644</v>
      </c>
      <c r="E135" t="s">
        <v>643</v>
      </c>
      <c r="F135" t="s">
        <v>35</v>
      </c>
    </row>
    <row r="136" spans="1:6" x14ac:dyDescent="0.35">
      <c r="A136" t="s">
        <v>1518</v>
      </c>
      <c r="B136" t="s">
        <v>14</v>
      </c>
      <c r="C136" t="s">
        <v>36</v>
      </c>
      <c r="D136" t="s">
        <v>1519</v>
      </c>
      <c r="E136" t="s">
        <v>1518</v>
      </c>
      <c r="F136" t="s">
        <v>36</v>
      </c>
    </row>
    <row r="137" spans="1:6" x14ac:dyDescent="0.35">
      <c r="A137" t="s">
        <v>646</v>
      </c>
      <c r="B137" t="s">
        <v>14</v>
      </c>
      <c r="C137" t="s">
        <v>36</v>
      </c>
      <c r="D137" t="s">
        <v>645</v>
      </c>
      <c r="E137" t="s">
        <v>646</v>
      </c>
      <c r="F137" t="s">
        <v>36</v>
      </c>
    </row>
    <row r="138" spans="1:6" x14ac:dyDescent="0.35">
      <c r="A138" t="s">
        <v>647</v>
      </c>
      <c r="B138" t="s">
        <v>14</v>
      </c>
      <c r="C138" t="s">
        <v>19</v>
      </c>
      <c r="D138" t="s">
        <v>648</v>
      </c>
      <c r="E138" t="s">
        <v>647</v>
      </c>
      <c r="F138" t="s">
        <v>19</v>
      </c>
    </row>
    <row r="139" spans="1:6" x14ac:dyDescent="0.35">
      <c r="A139" t="s">
        <v>649</v>
      </c>
      <c r="B139" t="s">
        <v>29</v>
      </c>
      <c r="C139" t="s">
        <v>18</v>
      </c>
      <c r="D139" t="s">
        <v>1520</v>
      </c>
      <c r="E139" t="s">
        <v>649</v>
      </c>
      <c r="F139" t="s">
        <v>18</v>
      </c>
    </row>
    <row r="140" spans="1:6" x14ac:dyDescent="0.35">
      <c r="A140" t="s">
        <v>650</v>
      </c>
      <c r="B140" t="s">
        <v>29</v>
      </c>
      <c r="C140" t="s">
        <v>96</v>
      </c>
      <c r="D140" t="s">
        <v>651</v>
      </c>
      <c r="E140" t="s">
        <v>650</v>
      </c>
      <c r="F140" t="s">
        <v>96</v>
      </c>
    </row>
    <row r="141" spans="1:6" x14ac:dyDescent="0.35">
      <c r="A141" t="s">
        <v>1521</v>
      </c>
      <c r="B141" t="s">
        <v>14</v>
      </c>
      <c r="C141" t="s">
        <v>37</v>
      </c>
      <c r="D141" t="s">
        <v>1522</v>
      </c>
      <c r="E141" t="s">
        <v>1521</v>
      </c>
      <c r="F141" t="s">
        <v>37</v>
      </c>
    </row>
    <row r="142" spans="1:6" x14ac:dyDescent="0.35">
      <c r="A142" t="s">
        <v>1392</v>
      </c>
      <c r="B142" t="s">
        <v>29</v>
      </c>
      <c r="C142" t="s">
        <v>956</v>
      </c>
      <c r="D142" t="s">
        <v>1523</v>
      </c>
      <c r="E142" t="s">
        <v>1392</v>
      </c>
      <c r="F142" t="s">
        <v>956</v>
      </c>
    </row>
    <row r="143" spans="1:6" x14ac:dyDescent="0.35">
      <c r="A143" t="s">
        <v>179</v>
      </c>
      <c r="B143" t="s">
        <v>14</v>
      </c>
      <c r="C143" t="s">
        <v>20</v>
      </c>
      <c r="D143" t="s">
        <v>652</v>
      </c>
      <c r="E143" t="s">
        <v>179</v>
      </c>
      <c r="F143" t="s">
        <v>20</v>
      </c>
    </row>
    <row r="144" spans="1:6" x14ac:dyDescent="0.35">
      <c r="A144" t="s">
        <v>653</v>
      </c>
      <c r="B144" t="s">
        <v>29</v>
      </c>
      <c r="C144" t="s">
        <v>139</v>
      </c>
      <c r="D144" t="s">
        <v>654</v>
      </c>
      <c r="E144" t="s">
        <v>653</v>
      </c>
      <c r="F144" t="s">
        <v>139</v>
      </c>
    </row>
    <row r="145" spans="1:6" x14ac:dyDescent="0.35">
      <c r="A145" t="s">
        <v>1524</v>
      </c>
      <c r="B145" t="s">
        <v>14</v>
      </c>
      <c r="C145" t="s">
        <v>66</v>
      </c>
      <c r="D145" t="s">
        <v>1525</v>
      </c>
      <c r="E145" t="s">
        <v>1524</v>
      </c>
      <c r="F145" t="s">
        <v>66</v>
      </c>
    </row>
    <row r="146" spans="1:6" x14ac:dyDescent="0.35">
      <c r="A146" t="s">
        <v>217</v>
      </c>
      <c r="B146" t="s">
        <v>29</v>
      </c>
      <c r="C146" t="s">
        <v>36</v>
      </c>
      <c r="D146" t="s">
        <v>655</v>
      </c>
      <c r="E146" t="s">
        <v>217</v>
      </c>
      <c r="F146" t="s">
        <v>36</v>
      </c>
    </row>
    <row r="147" spans="1:6" x14ac:dyDescent="0.35">
      <c r="A147" t="s">
        <v>656</v>
      </c>
      <c r="B147" t="s">
        <v>29</v>
      </c>
      <c r="C147" t="s">
        <v>21</v>
      </c>
      <c r="D147" t="s">
        <v>657</v>
      </c>
      <c r="E147" t="s">
        <v>656</v>
      </c>
      <c r="F147" t="s">
        <v>21</v>
      </c>
    </row>
    <row r="148" spans="1:6" x14ac:dyDescent="0.35">
      <c r="A148" t="s">
        <v>313</v>
      </c>
      <c r="B148" t="s">
        <v>14</v>
      </c>
      <c r="C148" t="s">
        <v>21</v>
      </c>
      <c r="D148" t="s">
        <v>658</v>
      </c>
      <c r="E148" t="s">
        <v>313</v>
      </c>
      <c r="F148" t="s">
        <v>21</v>
      </c>
    </row>
    <row r="149" spans="1:6" x14ac:dyDescent="0.35">
      <c r="A149" t="s">
        <v>659</v>
      </c>
      <c r="B149" t="s">
        <v>14</v>
      </c>
      <c r="C149" t="s">
        <v>15</v>
      </c>
      <c r="D149" t="s">
        <v>660</v>
      </c>
      <c r="E149" t="s">
        <v>659</v>
      </c>
      <c r="F149" t="s">
        <v>15</v>
      </c>
    </row>
    <row r="150" spans="1:6" x14ac:dyDescent="0.35">
      <c r="A150" t="s">
        <v>663</v>
      </c>
      <c r="B150" t="s">
        <v>14</v>
      </c>
      <c r="C150" t="s">
        <v>661</v>
      </c>
      <c r="D150" t="s">
        <v>662</v>
      </c>
      <c r="E150" t="s">
        <v>663</v>
      </c>
      <c r="F150" t="s">
        <v>661</v>
      </c>
    </row>
    <row r="151" spans="1:6" x14ac:dyDescent="0.35">
      <c r="A151" t="s">
        <v>664</v>
      </c>
      <c r="B151" t="s">
        <v>14</v>
      </c>
      <c r="C151" t="s">
        <v>19</v>
      </c>
      <c r="D151" t="s">
        <v>1526</v>
      </c>
      <c r="E151" t="s">
        <v>664</v>
      </c>
      <c r="F151" t="s">
        <v>19</v>
      </c>
    </row>
    <row r="152" spans="1:6" x14ac:dyDescent="0.35">
      <c r="A152" t="s">
        <v>666</v>
      </c>
      <c r="B152" t="s">
        <v>14</v>
      </c>
      <c r="C152" t="s">
        <v>30</v>
      </c>
      <c r="D152" t="s">
        <v>1527</v>
      </c>
      <c r="E152" t="s">
        <v>666</v>
      </c>
      <c r="F152" t="s">
        <v>30</v>
      </c>
    </row>
    <row r="153" spans="1:6" x14ac:dyDescent="0.35">
      <c r="A153" t="s">
        <v>424</v>
      </c>
      <c r="B153" t="s">
        <v>14</v>
      </c>
      <c r="C153" t="s">
        <v>36</v>
      </c>
      <c r="D153" t="s">
        <v>665</v>
      </c>
      <c r="E153" t="s">
        <v>424</v>
      </c>
      <c r="F153" t="s">
        <v>36</v>
      </c>
    </row>
    <row r="154" spans="1:6" x14ac:dyDescent="0.35">
      <c r="A154" t="s">
        <v>1391</v>
      </c>
      <c r="B154" t="s">
        <v>29</v>
      </c>
      <c r="C154" t="s">
        <v>17</v>
      </c>
      <c r="D154" t="s">
        <v>1528</v>
      </c>
      <c r="E154" t="s">
        <v>1391</v>
      </c>
      <c r="F154" t="s">
        <v>17</v>
      </c>
    </row>
    <row r="155" spans="1:6" x14ac:dyDescent="0.35">
      <c r="A155" t="s">
        <v>272</v>
      </c>
      <c r="B155" t="s">
        <v>29</v>
      </c>
      <c r="C155" t="s">
        <v>33</v>
      </c>
      <c r="D155" t="s">
        <v>1529</v>
      </c>
      <c r="E155" t="s">
        <v>272</v>
      </c>
      <c r="F155" t="s">
        <v>33</v>
      </c>
    </row>
    <row r="156" spans="1:6" x14ac:dyDescent="0.35">
      <c r="A156" t="s">
        <v>667</v>
      </c>
      <c r="B156" t="s">
        <v>14</v>
      </c>
      <c r="C156" t="s">
        <v>35</v>
      </c>
      <c r="D156" t="s">
        <v>668</v>
      </c>
      <c r="E156" t="s">
        <v>667</v>
      </c>
      <c r="F156" t="s">
        <v>35</v>
      </c>
    </row>
    <row r="157" spans="1:6" x14ac:dyDescent="0.35">
      <c r="A157" t="s">
        <v>226</v>
      </c>
      <c r="B157" t="s">
        <v>29</v>
      </c>
      <c r="C157" t="s">
        <v>139</v>
      </c>
      <c r="D157" t="s">
        <v>669</v>
      </c>
      <c r="E157" t="s">
        <v>226</v>
      </c>
      <c r="F157" t="s">
        <v>139</v>
      </c>
    </row>
    <row r="158" spans="1:6" x14ac:dyDescent="0.35">
      <c r="A158" t="s">
        <v>670</v>
      </c>
      <c r="B158" t="s">
        <v>14</v>
      </c>
      <c r="C158" t="s">
        <v>139</v>
      </c>
      <c r="D158" t="s">
        <v>671</v>
      </c>
      <c r="E158" t="s">
        <v>670</v>
      </c>
      <c r="F158" t="s">
        <v>139</v>
      </c>
    </row>
    <row r="159" spans="1:6" x14ac:dyDescent="0.35">
      <c r="A159" t="s">
        <v>457</v>
      </c>
      <c r="B159" t="s">
        <v>29</v>
      </c>
      <c r="C159" t="s">
        <v>64</v>
      </c>
      <c r="D159" t="s">
        <v>672</v>
      </c>
      <c r="E159" t="s">
        <v>457</v>
      </c>
      <c r="F159" t="s">
        <v>64</v>
      </c>
    </row>
    <row r="160" spans="1:6" x14ac:dyDescent="0.35">
      <c r="A160" t="s">
        <v>1415</v>
      </c>
      <c r="B160" t="s">
        <v>14</v>
      </c>
      <c r="C160" t="s">
        <v>66</v>
      </c>
      <c r="D160" t="s">
        <v>1530</v>
      </c>
      <c r="E160" t="s">
        <v>1415</v>
      </c>
      <c r="F160" t="s">
        <v>66</v>
      </c>
    </row>
    <row r="161" spans="1:6" x14ac:dyDescent="0.35">
      <c r="A161" t="s">
        <v>674</v>
      </c>
      <c r="B161" t="s">
        <v>29</v>
      </c>
      <c r="C161" t="s">
        <v>66</v>
      </c>
      <c r="D161" t="s">
        <v>673</v>
      </c>
      <c r="E161" t="s">
        <v>674</v>
      </c>
      <c r="F161" t="s">
        <v>66</v>
      </c>
    </row>
    <row r="162" spans="1:6" x14ac:dyDescent="0.35">
      <c r="A162" t="s">
        <v>1382</v>
      </c>
      <c r="B162" t="s">
        <v>29</v>
      </c>
      <c r="C162" t="s">
        <v>17</v>
      </c>
      <c r="D162" t="s">
        <v>1531</v>
      </c>
      <c r="E162" t="s">
        <v>1382</v>
      </c>
      <c r="F162" t="s">
        <v>17</v>
      </c>
    </row>
    <row r="163" spans="1:6" x14ac:dyDescent="0.35">
      <c r="A163" t="s">
        <v>275</v>
      </c>
      <c r="B163" t="s">
        <v>29</v>
      </c>
      <c r="C163" t="s">
        <v>36</v>
      </c>
      <c r="D163" t="s">
        <v>675</v>
      </c>
      <c r="E163" t="s">
        <v>275</v>
      </c>
      <c r="F163" t="s">
        <v>36</v>
      </c>
    </row>
    <row r="164" spans="1:6" x14ac:dyDescent="0.35">
      <c r="A164" t="s">
        <v>676</v>
      </c>
      <c r="B164" t="s">
        <v>29</v>
      </c>
      <c r="C164" t="s">
        <v>677</v>
      </c>
      <c r="D164" t="s">
        <v>678</v>
      </c>
      <c r="E164" t="s">
        <v>676</v>
      </c>
      <c r="F164" t="s">
        <v>677</v>
      </c>
    </row>
    <row r="165" spans="1:6" x14ac:dyDescent="0.35">
      <c r="A165" t="s">
        <v>203</v>
      </c>
      <c r="B165" t="s">
        <v>14</v>
      </c>
      <c r="C165" t="s">
        <v>35</v>
      </c>
      <c r="D165" t="s">
        <v>679</v>
      </c>
      <c r="E165" t="s">
        <v>203</v>
      </c>
      <c r="F165" t="s">
        <v>35</v>
      </c>
    </row>
    <row r="166" spans="1:6" x14ac:dyDescent="0.35">
      <c r="A166" t="s">
        <v>680</v>
      </c>
      <c r="B166" t="s">
        <v>14</v>
      </c>
      <c r="C166" t="s">
        <v>35</v>
      </c>
      <c r="D166" t="s">
        <v>681</v>
      </c>
      <c r="E166" t="s">
        <v>680</v>
      </c>
      <c r="F166" t="s">
        <v>35</v>
      </c>
    </row>
    <row r="167" spans="1:6" x14ac:dyDescent="0.35">
      <c r="A167" t="s">
        <v>682</v>
      </c>
      <c r="B167" t="s">
        <v>14</v>
      </c>
      <c r="C167" t="s">
        <v>35</v>
      </c>
      <c r="D167" t="s">
        <v>683</v>
      </c>
      <c r="E167" t="s">
        <v>682</v>
      </c>
      <c r="F167" t="s">
        <v>35</v>
      </c>
    </row>
    <row r="168" spans="1:6" x14ac:dyDescent="0.35">
      <c r="A168" t="s">
        <v>340</v>
      </c>
      <c r="B168" t="s">
        <v>14</v>
      </c>
      <c r="C168" t="s">
        <v>15</v>
      </c>
      <c r="D168" t="s">
        <v>684</v>
      </c>
      <c r="E168" t="s">
        <v>340</v>
      </c>
      <c r="F168" t="s">
        <v>15</v>
      </c>
    </row>
    <row r="169" spans="1:6" x14ac:dyDescent="0.35">
      <c r="A169" t="s">
        <v>685</v>
      </c>
      <c r="B169" t="s">
        <v>29</v>
      </c>
      <c r="C169" t="s">
        <v>73</v>
      </c>
      <c r="D169" t="s">
        <v>686</v>
      </c>
      <c r="E169" t="s">
        <v>685</v>
      </c>
      <c r="F169" t="s">
        <v>73</v>
      </c>
    </row>
    <row r="170" spans="1:6" x14ac:dyDescent="0.35">
      <c r="A170" t="s">
        <v>1411</v>
      </c>
      <c r="B170" t="s">
        <v>14</v>
      </c>
      <c r="C170" t="s">
        <v>35</v>
      </c>
      <c r="D170" t="s">
        <v>1532</v>
      </c>
      <c r="E170" t="s">
        <v>1411</v>
      </c>
      <c r="F170" t="s">
        <v>35</v>
      </c>
    </row>
    <row r="171" spans="1:6" x14ac:dyDescent="0.35">
      <c r="A171" t="s">
        <v>687</v>
      </c>
      <c r="B171" t="s">
        <v>14</v>
      </c>
      <c r="C171" t="s">
        <v>35</v>
      </c>
      <c r="D171" t="s">
        <v>688</v>
      </c>
      <c r="E171" t="s">
        <v>687</v>
      </c>
      <c r="F171" t="s">
        <v>35</v>
      </c>
    </row>
    <row r="172" spans="1:6" x14ac:dyDescent="0.35">
      <c r="A172" t="s">
        <v>1389</v>
      </c>
      <c r="B172" t="s">
        <v>14</v>
      </c>
      <c r="C172" t="s">
        <v>17</v>
      </c>
      <c r="D172" t="s">
        <v>1533</v>
      </c>
      <c r="E172" t="s">
        <v>1389</v>
      </c>
      <c r="F172" t="s">
        <v>17</v>
      </c>
    </row>
    <row r="173" spans="1:6" x14ac:dyDescent="0.35">
      <c r="A173" t="s">
        <v>1388</v>
      </c>
      <c r="B173" t="s">
        <v>14</v>
      </c>
      <c r="C173" t="s">
        <v>17</v>
      </c>
      <c r="D173" t="s">
        <v>1534</v>
      </c>
      <c r="E173" t="s">
        <v>1388</v>
      </c>
      <c r="F173" t="s">
        <v>17</v>
      </c>
    </row>
    <row r="174" spans="1:6" x14ac:dyDescent="0.35">
      <c r="A174" t="s">
        <v>463</v>
      </c>
      <c r="B174" t="s">
        <v>14</v>
      </c>
      <c r="C174" t="s">
        <v>15</v>
      </c>
      <c r="D174" t="s">
        <v>689</v>
      </c>
      <c r="E174" t="s">
        <v>463</v>
      </c>
      <c r="F174" t="s">
        <v>15</v>
      </c>
    </row>
    <row r="175" spans="1:6" x14ac:dyDescent="0.35">
      <c r="A175" t="s">
        <v>691</v>
      </c>
      <c r="B175" t="s">
        <v>29</v>
      </c>
      <c r="C175" t="s">
        <v>35</v>
      </c>
      <c r="D175" t="s">
        <v>690</v>
      </c>
      <c r="E175" t="s">
        <v>691</v>
      </c>
      <c r="F175" t="s">
        <v>35</v>
      </c>
    </row>
    <row r="176" spans="1:6" x14ac:dyDescent="0.35">
      <c r="A176" t="s">
        <v>1440</v>
      </c>
      <c r="B176" t="s">
        <v>29</v>
      </c>
      <c r="C176" t="s">
        <v>165</v>
      </c>
      <c r="D176" t="s">
        <v>1535</v>
      </c>
      <c r="E176" t="s">
        <v>1440</v>
      </c>
      <c r="F176" t="s">
        <v>165</v>
      </c>
    </row>
    <row r="177" spans="1:6" x14ac:dyDescent="0.35">
      <c r="A177" t="s">
        <v>362</v>
      </c>
      <c r="B177" t="s">
        <v>14</v>
      </c>
      <c r="C177" t="s">
        <v>30</v>
      </c>
      <c r="D177" t="s">
        <v>692</v>
      </c>
      <c r="E177" t="s">
        <v>362</v>
      </c>
      <c r="F177" t="s">
        <v>30</v>
      </c>
    </row>
    <row r="178" spans="1:6" x14ac:dyDescent="0.35">
      <c r="A178" t="s">
        <v>190</v>
      </c>
      <c r="B178" t="s">
        <v>14</v>
      </c>
      <c r="C178" t="s">
        <v>117</v>
      </c>
      <c r="D178" t="s">
        <v>1536</v>
      </c>
      <c r="E178" t="s">
        <v>190</v>
      </c>
      <c r="F178" t="s">
        <v>117</v>
      </c>
    </row>
    <row r="179" spans="1:6" x14ac:dyDescent="0.35">
      <c r="A179" t="s">
        <v>172</v>
      </c>
      <c r="B179" t="s">
        <v>14</v>
      </c>
      <c r="C179" t="s">
        <v>30</v>
      </c>
      <c r="D179" t="s">
        <v>693</v>
      </c>
      <c r="E179" t="s">
        <v>172</v>
      </c>
      <c r="F179" t="s">
        <v>30</v>
      </c>
    </row>
    <row r="180" spans="1:6" x14ac:dyDescent="0.35">
      <c r="A180" t="s">
        <v>1390</v>
      </c>
      <c r="B180" t="s">
        <v>29</v>
      </c>
      <c r="C180" t="s">
        <v>37</v>
      </c>
      <c r="D180" t="s">
        <v>1537</v>
      </c>
      <c r="E180" t="s">
        <v>1390</v>
      </c>
      <c r="F180" t="s">
        <v>37</v>
      </c>
    </row>
    <row r="181" spans="1:6" x14ac:dyDescent="0.35">
      <c r="A181" t="s">
        <v>694</v>
      </c>
      <c r="B181" t="s">
        <v>29</v>
      </c>
      <c r="C181" t="s">
        <v>35</v>
      </c>
      <c r="D181" t="s">
        <v>695</v>
      </c>
      <c r="E181" t="s">
        <v>694</v>
      </c>
      <c r="F181" t="s">
        <v>35</v>
      </c>
    </row>
    <row r="182" spans="1:6" x14ac:dyDescent="0.35">
      <c r="A182" t="s">
        <v>696</v>
      </c>
      <c r="B182" t="s">
        <v>29</v>
      </c>
      <c r="C182" t="s">
        <v>35</v>
      </c>
      <c r="D182" t="s">
        <v>697</v>
      </c>
      <c r="E182" t="s">
        <v>696</v>
      </c>
      <c r="F182" t="s">
        <v>35</v>
      </c>
    </row>
    <row r="183" spans="1:6" x14ac:dyDescent="0.35">
      <c r="A183" t="s">
        <v>698</v>
      </c>
      <c r="B183" t="s">
        <v>29</v>
      </c>
      <c r="C183" t="s">
        <v>73</v>
      </c>
      <c r="D183" t="s">
        <v>699</v>
      </c>
      <c r="E183" t="s">
        <v>698</v>
      </c>
      <c r="F183" t="s">
        <v>73</v>
      </c>
    </row>
    <row r="184" spans="1:6" x14ac:dyDescent="0.35">
      <c r="A184" t="s">
        <v>1400</v>
      </c>
      <c r="B184" t="s">
        <v>14</v>
      </c>
      <c r="C184" t="s">
        <v>37</v>
      </c>
      <c r="D184" t="s">
        <v>1538</v>
      </c>
      <c r="E184" t="s">
        <v>1400</v>
      </c>
      <c r="F184" t="s">
        <v>37</v>
      </c>
    </row>
    <row r="185" spans="1:6" x14ac:dyDescent="0.35">
      <c r="A185" t="s">
        <v>700</v>
      </c>
      <c r="B185" t="s">
        <v>14</v>
      </c>
      <c r="C185" t="s">
        <v>73</v>
      </c>
      <c r="D185" t="s">
        <v>1539</v>
      </c>
      <c r="E185" t="s">
        <v>700</v>
      </c>
      <c r="F185" t="s">
        <v>73</v>
      </c>
    </row>
    <row r="186" spans="1:6" x14ac:dyDescent="0.35">
      <c r="A186" t="s">
        <v>258</v>
      </c>
      <c r="B186" t="s">
        <v>29</v>
      </c>
      <c r="C186" t="s">
        <v>163</v>
      </c>
      <c r="D186" t="s">
        <v>1540</v>
      </c>
      <c r="E186" t="s">
        <v>258</v>
      </c>
      <c r="F186" t="s">
        <v>163</v>
      </c>
    </row>
    <row r="187" spans="1:6" x14ac:dyDescent="0.35">
      <c r="A187" t="s">
        <v>456</v>
      </c>
      <c r="B187" t="s">
        <v>29</v>
      </c>
      <c r="C187" t="s">
        <v>73</v>
      </c>
      <c r="D187" t="s">
        <v>701</v>
      </c>
      <c r="E187" t="s">
        <v>456</v>
      </c>
      <c r="F187" t="s">
        <v>73</v>
      </c>
    </row>
    <row r="188" spans="1:6" x14ac:dyDescent="0.35">
      <c r="A188" t="s">
        <v>436</v>
      </c>
      <c r="B188" t="s">
        <v>14</v>
      </c>
      <c r="C188" t="s">
        <v>433</v>
      </c>
      <c r="D188" t="s">
        <v>702</v>
      </c>
      <c r="E188" t="s">
        <v>436</v>
      </c>
      <c r="F188" t="s">
        <v>433</v>
      </c>
    </row>
    <row r="189" spans="1:6" x14ac:dyDescent="0.35">
      <c r="A189" t="s">
        <v>703</v>
      </c>
      <c r="B189" t="s">
        <v>14</v>
      </c>
      <c r="C189" t="s">
        <v>64</v>
      </c>
      <c r="D189" t="s">
        <v>1541</v>
      </c>
      <c r="E189" t="s">
        <v>703</v>
      </c>
      <c r="F189" t="s">
        <v>64</v>
      </c>
    </row>
    <row r="190" spans="1:6" x14ac:dyDescent="0.35">
      <c r="A190" t="s">
        <v>704</v>
      </c>
      <c r="B190" t="s">
        <v>29</v>
      </c>
      <c r="C190" t="s">
        <v>303</v>
      </c>
      <c r="D190" t="s">
        <v>1542</v>
      </c>
      <c r="E190" t="s">
        <v>704</v>
      </c>
      <c r="F190" t="s">
        <v>303</v>
      </c>
    </row>
    <row r="191" spans="1:6" x14ac:dyDescent="0.35">
      <c r="A191" t="s">
        <v>705</v>
      </c>
      <c r="B191" t="s">
        <v>14</v>
      </c>
      <c r="C191" t="s">
        <v>706</v>
      </c>
      <c r="D191" t="s">
        <v>707</v>
      </c>
      <c r="E191" t="s">
        <v>705</v>
      </c>
      <c r="F191" t="s">
        <v>706</v>
      </c>
    </row>
    <row r="192" spans="1:6" x14ac:dyDescent="0.35">
      <c r="A192" t="s">
        <v>359</v>
      </c>
      <c r="B192" t="s">
        <v>14</v>
      </c>
      <c r="C192" t="s">
        <v>73</v>
      </c>
      <c r="D192" t="s">
        <v>708</v>
      </c>
      <c r="E192" t="s">
        <v>359</v>
      </c>
      <c r="F192" t="s">
        <v>73</v>
      </c>
    </row>
    <row r="193" spans="1:6" x14ac:dyDescent="0.35">
      <c r="A193" t="s">
        <v>709</v>
      </c>
      <c r="B193" t="s">
        <v>14</v>
      </c>
      <c r="C193" t="s">
        <v>73</v>
      </c>
      <c r="D193" t="s">
        <v>1543</v>
      </c>
      <c r="E193" t="s">
        <v>709</v>
      </c>
      <c r="F193" t="s">
        <v>73</v>
      </c>
    </row>
    <row r="194" spans="1:6" x14ac:dyDescent="0.35">
      <c r="A194" t="s">
        <v>255</v>
      </c>
      <c r="B194" t="s">
        <v>29</v>
      </c>
      <c r="C194" t="s">
        <v>49</v>
      </c>
      <c r="D194" t="s">
        <v>710</v>
      </c>
      <c r="E194" t="s">
        <v>255</v>
      </c>
      <c r="F194" t="s">
        <v>49</v>
      </c>
    </row>
    <row r="195" spans="1:6" x14ac:dyDescent="0.35">
      <c r="A195" t="s">
        <v>170</v>
      </c>
      <c r="B195" t="s">
        <v>14</v>
      </c>
      <c r="C195" t="s">
        <v>24</v>
      </c>
      <c r="D195" t="s">
        <v>711</v>
      </c>
      <c r="E195" t="s">
        <v>170</v>
      </c>
      <c r="F195" t="s">
        <v>24</v>
      </c>
    </row>
    <row r="196" spans="1:6" x14ac:dyDescent="0.35">
      <c r="A196" t="s">
        <v>713</v>
      </c>
      <c r="B196" t="s">
        <v>29</v>
      </c>
      <c r="C196" t="s">
        <v>454</v>
      </c>
      <c r="D196" t="s">
        <v>1544</v>
      </c>
      <c r="E196" t="s">
        <v>713</v>
      </c>
      <c r="F196" t="s">
        <v>454</v>
      </c>
    </row>
    <row r="197" spans="1:6" x14ac:dyDescent="0.35">
      <c r="A197" t="s">
        <v>714</v>
      </c>
      <c r="B197" t="s">
        <v>14</v>
      </c>
      <c r="C197" t="s">
        <v>73</v>
      </c>
      <c r="D197" t="s">
        <v>1545</v>
      </c>
      <c r="E197" t="s">
        <v>714</v>
      </c>
      <c r="F197" t="s">
        <v>73</v>
      </c>
    </row>
    <row r="198" spans="1:6" x14ac:dyDescent="0.35">
      <c r="A198" t="s">
        <v>242</v>
      </c>
      <c r="B198" t="s">
        <v>14</v>
      </c>
      <c r="C198" t="s">
        <v>35</v>
      </c>
      <c r="D198" t="s">
        <v>715</v>
      </c>
      <c r="E198" t="s">
        <v>242</v>
      </c>
      <c r="F198" t="s">
        <v>35</v>
      </c>
    </row>
    <row r="199" spans="1:6" x14ac:dyDescent="0.35">
      <c r="A199" t="s">
        <v>1546</v>
      </c>
      <c r="B199" t="s">
        <v>29</v>
      </c>
      <c r="C199" t="s">
        <v>15</v>
      </c>
      <c r="D199" t="s">
        <v>1547</v>
      </c>
      <c r="E199" t="s">
        <v>1546</v>
      </c>
      <c r="F199" t="s">
        <v>15</v>
      </c>
    </row>
    <row r="200" spans="1:6" x14ac:dyDescent="0.35">
      <c r="A200" t="s">
        <v>394</v>
      </c>
      <c r="B200" t="s">
        <v>29</v>
      </c>
      <c r="C200" t="s">
        <v>21</v>
      </c>
      <c r="D200" t="s">
        <v>716</v>
      </c>
      <c r="E200" t="s">
        <v>394</v>
      </c>
      <c r="F200" t="s">
        <v>21</v>
      </c>
    </row>
    <row r="201" spans="1:6" x14ac:dyDescent="0.35">
      <c r="A201" t="s">
        <v>48</v>
      </c>
      <c r="B201" t="s">
        <v>29</v>
      </c>
      <c r="C201" t="s">
        <v>49</v>
      </c>
      <c r="D201" t="s">
        <v>1282</v>
      </c>
      <c r="E201" t="s">
        <v>48</v>
      </c>
      <c r="F201" t="s">
        <v>49</v>
      </c>
    </row>
    <row r="202" spans="1:6" x14ac:dyDescent="0.35">
      <c r="A202" t="s">
        <v>194</v>
      </c>
      <c r="B202" t="s">
        <v>14</v>
      </c>
      <c r="C202" t="s">
        <v>118</v>
      </c>
      <c r="D202" t="s">
        <v>717</v>
      </c>
      <c r="E202" t="s">
        <v>194</v>
      </c>
      <c r="F202" t="s">
        <v>118</v>
      </c>
    </row>
    <row r="203" spans="1:6" x14ac:dyDescent="0.35">
      <c r="A203" t="s">
        <v>718</v>
      </c>
      <c r="B203" t="s">
        <v>29</v>
      </c>
      <c r="C203" t="s">
        <v>15</v>
      </c>
      <c r="D203" t="s">
        <v>719</v>
      </c>
      <c r="E203" t="s">
        <v>718</v>
      </c>
      <c r="F203" t="s">
        <v>15</v>
      </c>
    </row>
    <row r="204" spans="1:6" x14ac:dyDescent="0.35">
      <c r="A204" t="s">
        <v>209</v>
      </c>
      <c r="B204" t="s">
        <v>14</v>
      </c>
      <c r="C204" t="s">
        <v>134</v>
      </c>
      <c r="D204" t="s">
        <v>720</v>
      </c>
      <c r="E204" t="s">
        <v>209</v>
      </c>
      <c r="F204" t="s">
        <v>134</v>
      </c>
    </row>
    <row r="205" spans="1:6" x14ac:dyDescent="0.35">
      <c r="A205" t="s">
        <v>721</v>
      </c>
      <c r="B205" t="s">
        <v>29</v>
      </c>
      <c r="C205" t="s">
        <v>15</v>
      </c>
      <c r="D205" t="s">
        <v>1548</v>
      </c>
      <c r="E205" t="s">
        <v>721</v>
      </c>
      <c r="F205" t="s">
        <v>15</v>
      </c>
    </row>
    <row r="206" spans="1:6" x14ac:dyDescent="0.35">
      <c r="A206" t="s">
        <v>723</v>
      </c>
      <c r="B206" t="s">
        <v>29</v>
      </c>
      <c r="C206" t="s">
        <v>30</v>
      </c>
      <c r="D206" t="s">
        <v>722</v>
      </c>
      <c r="E206" t="s">
        <v>723</v>
      </c>
      <c r="F206" t="s">
        <v>30</v>
      </c>
    </row>
    <row r="207" spans="1:6" x14ac:dyDescent="0.35">
      <c r="A207" t="s">
        <v>724</v>
      </c>
      <c r="B207" t="s">
        <v>14</v>
      </c>
      <c r="C207" t="s">
        <v>123</v>
      </c>
      <c r="D207" t="s">
        <v>1549</v>
      </c>
      <c r="E207" t="s">
        <v>724</v>
      </c>
      <c r="F207" t="s">
        <v>123</v>
      </c>
    </row>
    <row r="208" spans="1:6" x14ac:dyDescent="0.35">
      <c r="A208" t="s">
        <v>725</v>
      </c>
      <c r="B208" t="s">
        <v>14</v>
      </c>
      <c r="C208" t="s">
        <v>57</v>
      </c>
      <c r="D208" t="s">
        <v>1550</v>
      </c>
      <c r="E208" t="s">
        <v>725</v>
      </c>
      <c r="F208" t="s">
        <v>57</v>
      </c>
    </row>
    <row r="209" spans="1:6" x14ac:dyDescent="0.35">
      <c r="A209" t="s">
        <v>726</v>
      </c>
      <c r="B209" t="s">
        <v>14</v>
      </c>
      <c r="C209" t="s">
        <v>21</v>
      </c>
      <c r="D209" t="s">
        <v>1551</v>
      </c>
      <c r="E209" t="s">
        <v>726</v>
      </c>
      <c r="F209" t="s">
        <v>21</v>
      </c>
    </row>
    <row r="210" spans="1:6" x14ac:dyDescent="0.35">
      <c r="A210" t="s">
        <v>727</v>
      </c>
      <c r="B210" t="s">
        <v>29</v>
      </c>
      <c r="C210" t="s">
        <v>35</v>
      </c>
      <c r="D210" t="s">
        <v>728</v>
      </c>
      <c r="E210" t="s">
        <v>727</v>
      </c>
      <c r="F210" t="s">
        <v>35</v>
      </c>
    </row>
    <row r="211" spans="1:6" x14ac:dyDescent="0.35">
      <c r="A211" t="s">
        <v>261</v>
      </c>
      <c r="B211" t="s">
        <v>29</v>
      </c>
      <c r="C211" t="s">
        <v>20</v>
      </c>
      <c r="D211" t="s">
        <v>1552</v>
      </c>
      <c r="E211" t="s">
        <v>261</v>
      </c>
      <c r="F211" t="s">
        <v>20</v>
      </c>
    </row>
    <row r="212" spans="1:6" x14ac:dyDescent="0.35">
      <c r="A212" t="s">
        <v>729</v>
      </c>
      <c r="B212" t="s">
        <v>29</v>
      </c>
      <c r="C212" t="s">
        <v>73</v>
      </c>
      <c r="D212" t="s">
        <v>730</v>
      </c>
      <c r="E212" t="s">
        <v>729</v>
      </c>
      <c r="F212" t="s">
        <v>73</v>
      </c>
    </row>
    <row r="213" spans="1:6" x14ac:dyDescent="0.35">
      <c r="A213" t="s">
        <v>236</v>
      </c>
      <c r="B213" t="s">
        <v>14</v>
      </c>
      <c r="C213" t="s">
        <v>21</v>
      </c>
      <c r="D213" t="s">
        <v>731</v>
      </c>
      <c r="E213" t="s">
        <v>236</v>
      </c>
      <c r="F213" t="s">
        <v>21</v>
      </c>
    </row>
    <row r="214" spans="1:6" x14ac:dyDescent="0.35">
      <c r="A214" t="s">
        <v>732</v>
      </c>
      <c r="B214" t="s">
        <v>14</v>
      </c>
      <c r="C214" t="s">
        <v>15</v>
      </c>
      <c r="D214" t="s">
        <v>1553</v>
      </c>
      <c r="E214" t="s">
        <v>732</v>
      </c>
      <c r="F214" t="s">
        <v>15</v>
      </c>
    </row>
    <row r="215" spans="1:6" x14ac:dyDescent="0.35">
      <c r="A215" t="s">
        <v>1357</v>
      </c>
      <c r="B215" t="s">
        <v>29</v>
      </c>
      <c r="C215" t="s">
        <v>17</v>
      </c>
      <c r="D215" t="s">
        <v>1554</v>
      </c>
      <c r="E215" t="s">
        <v>1357</v>
      </c>
      <c r="F215" t="s">
        <v>17</v>
      </c>
    </row>
    <row r="216" spans="1:6" x14ac:dyDescent="0.35">
      <c r="A216" t="s">
        <v>244</v>
      </c>
      <c r="B216" t="s">
        <v>14</v>
      </c>
      <c r="C216" t="s">
        <v>18</v>
      </c>
      <c r="D216" t="s">
        <v>733</v>
      </c>
      <c r="E216" t="s">
        <v>244</v>
      </c>
      <c r="F216" t="s">
        <v>18</v>
      </c>
    </row>
    <row r="217" spans="1:6" x14ac:dyDescent="0.35">
      <c r="A217" t="s">
        <v>735</v>
      </c>
      <c r="B217" t="s">
        <v>29</v>
      </c>
      <c r="C217" t="s">
        <v>20</v>
      </c>
      <c r="D217" t="s">
        <v>734</v>
      </c>
      <c r="E217" t="s">
        <v>735</v>
      </c>
      <c r="F217" t="s">
        <v>20</v>
      </c>
    </row>
    <row r="218" spans="1:6" x14ac:dyDescent="0.35">
      <c r="A218" t="s">
        <v>737</v>
      </c>
      <c r="B218" t="s">
        <v>29</v>
      </c>
      <c r="C218" t="s">
        <v>35</v>
      </c>
      <c r="D218" t="s">
        <v>736</v>
      </c>
      <c r="E218" t="s">
        <v>737</v>
      </c>
      <c r="F218" t="s">
        <v>35</v>
      </c>
    </row>
    <row r="219" spans="1:6" x14ac:dyDescent="0.35">
      <c r="A219" t="s">
        <v>1359</v>
      </c>
      <c r="B219" t="s">
        <v>29</v>
      </c>
      <c r="C219" t="s">
        <v>17</v>
      </c>
      <c r="D219" t="s">
        <v>1555</v>
      </c>
      <c r="E219" t="s">
        <v>1359</v>
      </c>
      <c r="F219" t="s">
        <v>17</v>
      </c>
    </row>
    <row r="220" spans="1:6" x14ac:dyDescent="0.35">
      <c r="A220" t="s">
        <v>739</v>
      </c>
      <c r="B220" t="s">
        <v>29</v>
      </c>
      <c r="C220" t="s">
        <v>18</v>
      </c>
      <c r="D220" t="s">
        <v>738</v>
      </c>
      <c r="E220" t="s">
        <v>739</v>
      </c>
      <c r="F220" t="s">
        <v>18</v>
      </c>
    </row>
    <row r="221" spans="1:6" x14ac:dyDescent="0.35">
      <c r="A221" t="s">
        <v>741</v>
      </c>
      <c r="B221" t="s">
        <v>29</v>
      </c>
      <c r="C221" t="s">
        <v>88</v>
      </c>
      <c r="D221" t="s">
        <v>740</v>
      </c>
      <c r="E221" t="s">
        <v>741</v>
      </c>
      <c r="F221" t="s">
        <v>88</v>
      </c>
    </row>
    <row r="222" spans="1:6" x14ac:dyDescent="0.35">
      <c r="A222" t="s">
        <v>742</v>
      </c>
      <c r="B222" t="s">
        <v>29</v>
      </c>
      <c r="C222" t="s">
        <v>35</v>
      </c>
      <c r="D222" t="s">
        <v>743</v>
      </c>
      <c r="E222" t="s">
        <v>742</v>
      </c>
      <c r="F222" t="s">
        <v>35</v>
      </c>
    </row>
    <row r="223" spans="1:6" x14ac:dyDescent="0.35">
      <c r="A223" t="s">
        <v>262</v>
      </c>
      <c r="B223" t="s">
        <v>29</v>
      </c>
      <c r="C223" t="s">
        <v>30</v>
      </c>
      <c r="D223" t="s">
        <v>744</v>
      </c>
      <c r="E223" t="s">
        <v>262</v>
      </c>
      <c r="F223" t="s">
        <v>30</v>
      </c>
    </row>
    <row r="224" spans="1:6" x14ac:dyDescent="0.35">
      <c r="A224" t="s">
        <v>383</v>
      </c>
      <c r="B224" t="s">
        <v>14</v>
      </c>
      <c r="C224" t="s">
        <v>30</v>
      </c>
      <c r="D224" t="s">
        <v>745</v>
      </c>
      <c r="E224" t="s">
        <v>383</v>
      </c>
      <c r="F224" t="s">
        <v>30</v>
      </c>
    </row>
    <row r="225" spans="1:6" x14ac:dyDescent="0.35">
      <c r="A225" t="s">
        <v>746</v>
      </c>
      <c r="B225" t="s">
        <v>14</v>
      </c>
      <c r="C225" t="s">
        <v>18</v>
      </c>
      <c r="D225" t="s">
        <v>1556</v>
      </c>
      <c r="E225" t="s">
        <v>746</v>
      </c>
      <c r="F225" t="s">
        <v>18</v>
      </c>
    </row>
    <row r="226" spans="1:6" x14ac:dyDescent="0.35">
      <c r="A226" t="s">
        <v>747</v>
      </c>
      <c r="B226" t="s">
        <v>14</v>
      </c>
      <c r="C226" t="s">
        <v>123</v>
      </c>
      <c r="D226" t="s">
        <v>748</v>
      </c>
      <c r="E226" t="s">
        <v>747</v>
      </c>
      <c r="F226" t="s">
        <v>123</v>
      </c>
    </row>
    <row r="227" spans="1:6" x14ac:dyDescent="0.35">
      <c r="A227" t="s">
        <v>233</v>
      </c>
      <c r="B227" t="s">
        <v>29</v>
      </c>
      <c r="C227" t="s">
        <v>20</v>
      </c>
      <c r="D227" t="s">
        <v>749</v>
      </c>
      <c r="E227" t="s">
        <v>233</v>
      </c>
      <c r="F227" t="s">
        <v>20</v>
      </c>
    </row>
    <row r="228" spans="1:6" x14ac:dyDescent="0.35">
      <c r="A228" t="s">
        <v>1557</v>
      </c>
      <c r="B228" t="s">
        <v>29</v>
      </c>
      <c r="C228" t="s">
        <v>49</v>
      </c>
      <c r="D228" t="s">
        <v>1558</v>
      </c>
      <c r="E228" t="s">
        <v>1557</v>
      </c>
      <c r="F228" t="s">
        <v>49</v>
      </c>
    </row>
    <row r="229" spans="1:6" x14ac:dyDescent="0.35">
      <c r="A229" t="s">
        <v>411</v>
      </c>
      <c r="B229" t="s">
        <v>29</v>
      </c>
      <c r="C229" t="s">
        <v>28</v>
      </c>
      <c r="D229" t="s">
        <v>750</v>
      </c>
      <c r="E229" t="s">
        <v>411</v>
      </c>
      <c r="F229" t="s">
        <v>28</v>
      </c>
    </row>
    <row r="230" spans="1:6" x14ac:dyDescent="0.35">
      <c r="A230" t="s">
        <v>751</v>
      </c>
      <c r="B230" t="s">
        <v>14</v>
      </c>
      <c r="C230" t="s">
        <v>752</v>
      </c>
      <c r="D230" t="s">
        <v>1559</v>
      </c>
      <c r="E230" t="s">
        <v>751</v>
      </c>
      <c r="F230" t="s">
        <v>752</v>
      </c>
    </row>
    <row r="231" spans="1:6" x14ac:dyDescent="0.35">
      <c r="A231" t="s">
        <v>1356</v>
      </c>
      <c r="B231" t="s">
        <v>29</v>
      </c>
      <c r="C231" t="s">
        <v>17</v>
      </c>
      <c r="D231" t="s">
        <v>1560</v>
      </c>
      <c r="E231" t="s">
        <v>1356</v>
      </c>
      <c r="F231" t="s">
        <v>17</v>
      </c>
    </row>
    <row r="232" spans="1:6" x14ac:dyDescent="0.35">
      <c r="A232" t="s">
        <v>753</v>
      </c>
      <c r="B232" t="s">
        <v>14</v>
      </c>
      <c r="C232" t="s">
        <v>28</v>
      </c>
      <c r="D232" t="s">
        <v>754</v>
      </c>
      <c r="E232" t="s">
        <v>753</v>
      </c>
      <c r="F232" t="s">
        <v>28</v>
      </c>
    </row>
    <row r="233" spans="1:6" x14ac:dyDescent="0.35">
      <c r="A233" t="s">
        <v>460</v>
      </c>
      <c r="B233" t="s">
        <v>29</v>
      </c>
      <c r="C233" t="s">
        <v>15</v>
      </c>
      <c r="D233" t="s">
        <v>755</v>
      </c>
      <c r="E233" t="s">
        <v>460</v>
      </c>
      <c r="F233" t="s">
        <v>15</v>
      </c>
    </row>
    <row r="234" spans="1:6" x14ac:dyDescent="0.35">
      <c r="A234" t="s">
        <v>756</v>
      </c>
      <c r="B234" t="s">
        <v>29</v>
      </c>
      <c r="C234" t="s">
        <v>35</v>
      </c>
      <c r="D234" t="s">
        <v>757</v>
      </c>
      <c r="E234" t="s">
        <v>756</v>
      </c>
      <c r="F234" t="s">
        <v>35</v>
      </c>
    </row>
    <row r="235" spans="1:6" x14ac:dyDescent="0.35">
      <c r="A235" t="s">
        <v>1354</v>
      </c>
      <c r="B235" t="s">
        <v>29</v>
      </c>
      <c r="C235" t="s">
        <v>17</v>
      </c>
      <c r="D235" t="s">
        <v>1561</v>
      </c>
      <c r="E235" t="s">
        <v>1354</v>
      </c>
      <c r="F235" t="s">
        <v>17</v>
      </c>
    </row>
    <row r="236" spans="1:6" x14ac:dyDescent="0.35">
      <c r="A236" t="s">
        <v>201</v>
      </c>
      <c r="B236" t="s">
        <v>14</v>
      </c>
      <c r="C236" t="s">
        <v>15</v>
      </c>
      <c r="D236" t="s">
        <v>758</v>
      </c>
      <c r="E236" t="s">
        <v>201</v>
      </c>
      <c r="F236" t="s">
        <v>15</v>
      </c>
    </row>
    <row r="237" spans="1:6" x14ac:dyDescent="0.35">
      <c r="A237" t="s">
        <v>183</v>
      </c>
      <c r="B237" t="s">
        <v>14</v>
      </c>
      <c r="C237" t="s">
        <v>15</v>
      </c>
      <c r="D237" t="s">
        <v>759</v>
      </c>
      <c r="E237" t="s">
        <v>183</v>
      </c>
      <c r="F237" t="s">
        <v>15</v>
      </c>
    </row>
    <row r="238" spans="1:6" x14ac:dyDescent="0.35">
      <c r="A238" t="s">
        <v>65</v>
      </c>
      <c r="B238" t="s">
        <v>14</v>
      </c>
      <c r="C238" t="s">
        <v>66</v>
      </c>
      <c r="D238" t="s">
        <v>1032</v>
      </c>
      <c r="E238" t="s">
        <v>65</v>
      </c>
      <c r="F238" t="s">
        <v>66</v>
      </c>
    </row>
    <row r="239" spans="1:6" x14ac:dyDescent="0.35">
      <c r="A239" t="s">
        <v>1366</v>
      </c>
      <c r="B239" t="s">
        <v>14</v>
      </c>
      <c r="C239" t="s">
        <v>17</v>
      </c>
      <c r="D239" t="s">
        <v>1562</v>
      </c>
      <c r="E239" t="s">
        <v>1366</v>
      </c>
      <c r="F239" t="s">
        <v>17</v>
      </c>
    </row>
    <row r="240" spans="1:6" x14ac:dyDescent="0.35">
      <c r="A240" t="s">
        <v>434</v>
      </c>
      <c r="B240" t="s">
        <v>14</v>
      </c>
      <c r="C240" t="s">
        <v>432</v>
      </c>
      <c r="D240" t="s">
        <v>760</v>
      </c>
      <c r="E240" t="s">
        <v>434</v>
      </c>
      <c r="F240" t="s">
        <v>432</v>
      </c>
    </row>
    <row r="241" spans="1:6" x14ac:dyDescent="0.35">
      <c r="A241" t="s">
        <v>342</v>
      </c>
      <c r="B241" t="s">
        <v>14</v>
      </c>
      <c r="C241" t="s">
        <v>35</v>
      </c>
      <c r="D241" t="s">
        <v>761</v>
      </c>
      <c r="E241" t="s">
        <v>342</v>
      </c>
      <c r="F241" t="s">
        <v>35</v>
      </c>
    </row>
    <row r="242" spans="1:6" x14ac:dyDescent="0.35">
      <c r="A242" t="s">
        <v>762</v>
      </c>
      <c r="B242" t="s">
        <v>29</v>
      </c>
      <c r="C242" t="s">
        <v>30</v>
      </c>
      <c r="D242" t="s">
        <v>763</v>
      </c>
      <c r="E242" t="s">
        <v>762</v>
      </c>
      <c r="F242" t="s">
        <v>30</v>
      </c>
    </row>
    <row r="243" spans="1:6" x14ac:dyDescent="0.35">
      <c r="A243" t="s">
        <v>238</v>
      </c>
      <c r="B243" t="s">
        <v>14</v>
      </c>
      <c r="C243" t="s">
        <v>49</v>
      </c>
      <c r="D243" t="s">
        <v>764</v>
      </c>
      <c r="E243" t="s">
        <v>238</v>
      </c>
      <c r="F243" t="s">
        <v>49</v>
      </c>
    </row>
    <row r="244" spans="1:6" x14ac:dyDescent="0.35">
      <c r="A244" t="s">
        <v>1371</v>
      </c>
      <c r="B244" t="s">
        <v>14</v>
      </c>
      <c r="C244" t="s">
        <v>17</v>
      </c>
      <c r="D244" t="s">
        <v>1563</v>
      </c>
      <c r="E244" t="s">
        <v>1371</v>
      </c>
      <c r="F244" t="s">
        <v>17</v>
      </c>
    </row>
    <row r="245" spans="1:6" x14ac:dyDescent="0.35">
      <c r="A245" t="s">
        <v>765</v>
      </c>
      <c r="B245" t="s">
        <v>14</v>
      </c>
      <c r="C245" t="s">
        <v>123</v>
      </c>
      <c r="D245" t="s">
        <v>1564</v>
      </c>
      <c r="E245" t="s">
        <v>765</v>
      </c>
      <c r="F245" t="s">
        <v>123</v>
      </c>
    </row>
    <row r="246" spans="1:6" x14ac:dyDescent="0.35">
      <c r="A246" t="s">
        <v>767</v>
      </c>
      <c r="B246" t="s">
        <v>29</v>
      </c>
      <c r="C246" t="s">
        <v>37</v>
      </c>
      <c r="D246" t="s">
        <v>766</v>
      </c>
      <c r="E246" t="s">
        <v>767</v>
      </c>
      <c r="F246" t="s">
        <v>37</v>
      </c>
    </row>
    <row r="247" spans="1:6" x14ac:dyDescent="0.35">
      <c r="A247" t="s">
        <v>293</v>
      </c>
      <c r="B247" t="s">
        <v>14</v>
      </c>
      <c r="C247" t="s">
        <v>30</v>
      </c>
      <c r="D247" t="s">
        <v>768</v>
      </c>
      <c r="E247" t="s">
        <v>293</v>
      </c>
      <c r="F247" t="s">
        <v>30</v>
      </c>
    </row>
    <row r="248" spans="1:6" x14ac:dyDescent="0.35">
      <c r="A248" t="s">
        <v>1565</v>
      </c>
      <c r="B248" t="s">
        <v>14</v>
      </c>
      <c r="C248" t="s">
        <v>35</v>
      </c>
      <c r="D248" t="s">
        <v>1566</v>
      </c>
      <c r="E248" t="s">
        <v>1565</v>
      </c>
      <c r="F248" t="s">
        <v>35</v>
      </c>
    </row>
    <row r="249" spans="1:6" x14ac:dyDescent="0.35">
      <c r="A249" t="s">
        <v>445</v>
      </c>
      <c r="B249" t="s">
        <v>29</v>
      </c>
      <c r="C249" t="s">
        <v>15</v>
      </c>
      <c r="D249" t="s">
        <v>769</v>
      </c>
      <c r="E249" t="s">
        <v>445</v>
      </c>
      <c r="F249" t="s">
        <v>15</v>
      </c>
    </row>
    <row r="250" spans="1:6" x14ac:dyDescent="0.35">
      <c r="A250" t="s">
        <v>216</v>
      </c>
      <c r="B250" t="s">
        <v>29</v>
      </c>
      <c r="C250" t="s">
        <v>85</v>
      </c>
      <c r="D250" t="s">
        <v>1567</v>
      </c>
      <c r="E250" t="s">
        <v>216</v>
      </c>
      <c r="F250" t="s">
        <v>85</v>
      </c>
    </row>
    <row r="251" spans="1:6" x14ac:dyDescent="0.35">
      <c r="A251" t="s">
        <v>770</v>
      </c>
      <c r="B251" t="s">
        <v>14</v>
      </c>
      <c r="C251" t="s">
        <v>123</v>
      </c>
      <c r="D251" t="s">
        <v>771</v>
      </c>
      <c r="E251" t="s">
        <v>770</v>
      </c>
      <c r="F251" t="s">
        <v>123</v>
      </c>
    </row>
    <row r="252" spans="1:6" x14ac:dyDescent="0.35">
      <c r="A252" t="s">
        <v>474</v>
      </c>
      <c r="B252" t="s">
        <v>29</v>
      </c>
      <c r="C252" t="s">
        <v>15</v>
      </c>
      <c r="D252" t="s">
        <v>772</v>
      </c>
      <c r="E252" t="s">
        <v>474</v>
      </c>
      <c r="F252" t="s">
        <v>15</v>
      </c>
    </row>
    <row r="253" spans="1:6" x14ac:dyDescent="0.35">
      <c r="A253" t="s">
        <v>773</v>
      </c>
      <c r="B253" t="s">
        <v>29</v>
      </c>
      <c r="C253" t="s">
        <v>21</v>
      </c>
      <c r="D253" t="s">
        <v>1568</v>
      </c>
      <c r="E253" t="s">
        <v>773</v>
      </c>
      <c r="F253" t="s">
        <v>21</v>
      </c>
    </row>
    <row r="254" spans="1:6" x14ac:dyDescent="0.35">
      <c r="A254" t="s">
        <v>206</v>
      </c>
      <c r="B254" t="s">
        <v>14</v>
      </c>
      <c r="C254" t="s">
        <v>125</v>
      </c>
      <c r="D254" t="s">
        <v>774</v>
      </c>
      <c r="E254" t="s">
        <v>206</v>
      </c>
      <c r="F254" t="s">
        <v>125</v>
      </c>
    </row>
    <row r="255" spans="1:6" x14ac:dyDescent="0.35">
      <c r="A255" t="s">
        <v>775</v>
      </c>
      <c r="B255" t="s">
        <v>14</v>
      </c>
      <c r="C255" t="s">
        <v>59</v>
      </c>
      <c r="D255" t="s">
        <v>1569</v>
      </c>
      <c r="E255" t="s">
        <v>775</v>
      </c>
      <c r="F255" t="s">
        <v>59</v>
      </c>
    </row>
    <row r="256" spans="1:6" x14ac:dyDescent="0.35">
      <c r="A256" t="s">
        <v>776</v>
      </c>
      <c r="B256" t="s">
        <v>29</v>
      </c>
      <c r="C256" t="s">
        <v>20</v>
      </c>
      <c r="D256" t="s">
        <v>777</v>
      </c>
      <c r="E256" t="s">
        <v>776</v>
      </c>
      <c r="F256" t="s">
        <v>20</v>
      </c>
    </row>
    <row r="257" spans="1:6" x14ac:dyDescent="0.35">
      <c r="A257" t="s">
        <v>778</v>
      </c>
      <c r="B257" t="s">
        <v>14</v>
      </c>
      <c r="C257" t="s">
        <v>20</v>
      </c>
      <c r="D257" t="s">
        <v>1570</v>
      </c>
      <c r="E257" t="s">
        <v>778</v>
      </c>
      <c r="F257" t="s">
        <v>20</v>
      </c>
    </row>
    <row r="258" spans="1:6" x14ac:dyDescent="0.35">
      <c r="A258" t="s">
        <v>403</v>
      </c>
      <c r="B258" t="s">
        <v>14</v>
      </c>
      <c r="C258" t="s">
        <v>28</v>
      </c>
      <c r="D258" t="s">
        <v>779</v>
      </c>
      <c r="E258" t="s">
        <v>403</v>
      </c>
      <c r="F258" t="s">
        <v>28</v>
      </c>
    </row>
    <row r="259" spans="1:6" x14ac:dyDescent="0.35">
      <c r="A259" t="s">
        <v>780</v>
      </c>
      <c r="B259" t="s">
        <v>14</v>
      </c>
      <c r="C259" t="s">
        <v>123</v>
      </c>
      <c r="D259" t="s">
        <v>781</v>
      </c>
      <c r="E259" t="s">
        <v>780</v>
      </c>
      <c r="F259" t="s">
        <v>123</v>
      </c>
    </row>
    <row r="260" spans="1:6" x14ac:dyDescent="0.35">
      <c r="A260" t="s">
        <v>199</v>
      </c>
      <c r="B260" t="s">
        <v>14</v>
      </c>
      <c r="C260" t="s">
        <v>15</v>
      </c>
      <c r="D260" t="s">
        <v>782</v>
      </c>
      <c r="E260" t="s">
        <v>199</v>
      </c>
      <c r="F260" t="s">
        <v>15</v>
      </c>
    </row>
    <row r="261" spans="1:6" x14ac:dyDescent="0.35">
      <c r="A261" t="s">
        <v>1571</v>
      </c>
      <c r="B261" t="s">
        <v>14</v>
      </c>
      <c r="C261" t="s">
        <v>15</v>
      </c>
      <c r="D261" t="s">
        <v>1572</v>
      </c>
      <c r="E261" t="s">
        <v>1571</v>
      </c>
      <c r="F261" t="s">
        <v>15</v>
      </c>
    </row>
    <row r="262" spans="1:6" x14ac:dyDescent="0.35">
      <c r="A262" t="s">
        <v>181</v>
      </c>
      <c r="B262" t="s">
        <v>14</v>
      </c>
      <c r="C262" t="s">
        <v>88</v>
      </c>
      <c r="D262" t="s">
        <v>783</v>
      </c>
      <c r="E262" t="s">
        <v>181</v>
      </c>
      <c r="F262" t="s">
        <v>88</v>
      </c>
    </row>
    <row r="263" spans="1:6" x14ac:dyDescent="0.35">
      <c r="A263" t="s">
        <v>1573</v>
      </c>
      <c r="B263" t="s">
        <v>14</v>
      </c>
      <c r="C263" t="s">
        <v>88</v>
      </c>
      <c r="D263" t="s">
        <v>1574</v>
      </c>
      <c r="E263" t="s">
        <v>1573</v>
      </c>
      <c r="F263" t="s">
        <v>88</v>
      </c>
    </row>
    <row r="264" spans="1:6" x14ac:dyDescent="0.35">
      <c r="A264" t="s">
        <v>784</v>
      </c>
      <c r="B264" t="s">
        <v>14</v>
      </c>
      <c r="C264" t="s">
        <v>303</v>
      </c>
      <c r="D264" t="s">
        <v>786</v>
      </c>
      <c r="E264" t="s">
        <v>784</v>
      </c>
      <c r="F264" t="s">
        <v>303</v>
      </c>
    </row>
    <row r="265" spans="1:6" x14ac:dyDescent="0.35">
      <c r="A265" t="s">
        <v>785</v>
      </c>
      <c r="B265" t="s">
        <v>14</v>
      </c>
      <c r="C265" t="s">
        <v>303</v>
      </c>
      <c r="D265" t="s">
        <v>1575</v>
      </c>
      <c r="E265" t="s">
        <v>785</v>
      </c>
      <c r="F265" t="s">
        <v>303</v>
      </c>
    </row>
    <row r="266" spans="1:6" x14ac:dyDescent="0.35">
      <c r="A266" t="s">
        <v>787</v>
      </c>
      <c r="B266" t="s">
        <v>14</v>
      </c>
      <c r="C266" t="s">
        <v>73</v>
      </c>
      <c r="D266" t="s">
        <v>1576</v>
      </c>
      <c r="E266" t="s">
        <v>787</v>
      </c>
      <c r="F266" t="s">
        <v>73</v>
      </c>
    </row>
    <row r="267" spans="1:6" x14ac:dyDescent="0.35">
      <c r="A267" t="s">
        <v>788</v>
      </c>
      <c r="B267" t="s">
        <v>29</v>
      </c>
      <c r="C267" t="s">
        <v>73</v>
      </c>
      <c r="D267" t="s">
        <v>1577</v>
      </c>
      <c r="E267" t="s">
        <v>788</v>
      </c>
      <c r="F267" t="s">
        <v>73</v>
      </c>
    </row>
    <row r="268" spans="1:6" x14ac:dyDescent="0.35">
      <c r="A268" t="s">
        <v>219</v>
      </c>
      <c r="B268" t="s">
        <v>29</v>
      </c>
      <c r="C268" t="s">
        <v>134</v>
      </c>
      <c r="D268" t="s">
        <v>789</v>
      </c>
      <c r="E268" t="s">
        <v>219</v>
      </c>
      <c r="F268" t="s">
        <v>134</v>
      </c>
    </row>
    <row r="269" spans="1:6" x14ac:dyDescent="0.35">
      <c r="A269" t="s">
        <v>1578</v>
      </c>
      <c r="B269" t="s">
        <v>14</v>
      </c>
      <c r="C269" t="s">
        <v>17</v>
      </c>
      <c r="D269" t="s">
        <v>1579</v>
      </c>
      <c r="E269" t="s">
        <v>1578</v>
      </c>
      <c r="F269" t="s">
        <v>17</v>
      </c>
    </row>
    <row r="270" spans="1:6" x14ac:dyDescent="0.35">
      <c r="A270" t="s">
        <v>1580</v>
      </c>
      <c r="B270" t="s">
        <v>14</v>
      </c>
      <c r="C270" t="s">
        <v>19</v>
      </c>
      <c r="D270" t="s">
        <v>1581</v>
      </c>
      <c r="E270" t="s">
        <v>1580</v>
      </c>
      <c r="F270" t="s">
        <v>19</v>
      </c>
    </row>
    <row r="271" spans="1:6" x14ac:dyDescent="0.35">
      <c r="A271" t="s">
        <v>1582</v>
      </c>
      <c r="B271" t="s">
        <v>14</v>
      </c>
      <c r="C271" t="s">
        <v>21</v>
      </c>
      <c r="D271" t="s">
        <v>1583</v>
      </c>
      <c r="E271" t="s">
        <v>1582</v>
      </c>
      <c r="F271" t="s">
        <v>21</v>
      </c>
    </row>
    <row r="272" spans="1:6" x14ac:dyDescent="0.35">
      <c r="A272" t="s">
        <v>126</v>
      </c>
      <c r="B272" t="s">
        <v>14</v>
      </c>
      <c r="C272" t="s">
        <v>20</v>
      </c>
      <c r="D272" t="s">
        <v>790</v>
      </c>
      <c r="E272" t="s">
        <v>126</v>
      </c>
      <c r="F272" t="s">
        <v>20</v>
      </c>
    </row>
    <row r="273" spans="1:6" x14ac:dyDescent="0.35">
      <c r="A273" t="s">
        <v>791</v>
      </c>
      <c r="B273" t="s">
        <v>14</v>
      </c>
      <c r="C273" t="s">
        <v>423</v>
      </c>
      <c r="D273" t="s">
        <v>1584</v>
      </c>
      <c r="E273" t="s">
        <v>791</v>
      </c>
      <c r="F273" t="s">
        <v>423</v>
      </c>
    </row>
    <row r="274" spans="1:6" x14ac:dyDescent="0.35">
      <c r="A274" t="s">
        <v>267</v>
      </c>
      <c r="B274" t="s">
        <v>29</v>
      </c>
      <c r="C274" t="s">
        <v>49</v>
      </c>
      <c r="D274" t="s">
        <v>792</v>
      </c>
      <c r="E274" t="s">
        <v>267</v>
      </c>
      <c r="F274" t="s">
        <v>49</v>
      </c>
    </row>
    <row r="275" spans="1:6" x14ac:dyDescent="0.35">
      <c r="A275" t="s">
        <v>1443</v>
      </c>
      <c r="B275" t="s">
        <v>29</v>
      </c>
      <c r="C275" t="s">
        <v>1444</v>
      </c>
      <c r="D275" t="s">
        <v>1585</v>
      </c>
      <c r="E275" t="s">
        <v>1443</v>
      </c>
      <c r="F275" t="s">
        <v>1444</v>
      </c>
    </row>
    <row r="276" spans="1:6" x14ac:dyDescent="0.35">
      <c r="A276" t="s">
        <v>180</v>
      </c>
      <c r="B276" t="s">
        <v>14</v>
      </c>
      <c r="C276" t="s">
        <v>17</v>
      </c>
      <c r="D276" t="s">
        <v>793</v>
      </c>
      <c r="E276" t="s">
        <v>180</v>
      </c>
      <c r="F276" t="s">
        <v>17</v>
      </c>
    </row>
    <row r="277" spans="1:6" x14ac:dyDescent="0.35">
      <c r="A277" t="s">
        <v>795</v>
      </c>
      <c r="B277" t="s">
        <v>29</v>
      </c>
      <c r="C277" t="s">
        <v>19</v>
      </c>
      <c r="D277" t="s">
        <v>1586</v>
      </c>
      <c r="E277" t="s">
        <v>795</v>
      </c>
      <c r="F277" t="s">
        <v>19</v>
      </c>
    </row>
    <row r="278" spans="1:6" x14ac:dyDescent="0.35">
      <c r="A278" t="s">
        <v>349</v>
      </c>
      <c r="B278" t="s">
        <v>29</v>
      </c>
      <c r="C278" t="s">
        <v>100</v>
      </c>
      <c r="D278" t="s">
        <v>1587</v>
      </c>
      <c r="E278" t="s">
        <v>349</v>
      </c>
      <c r="F278" t="s">
        <v>100</v>
      </c>
    </row>
    <row r="279" spans="1:6" x14ac:dyDescent="0.35">
      <c r="A279" t="s">
        <v>372</v>
      </c>
      <c r="B279" t="s">
        <v>29</v>
      </c>
      <c r="C279" t="s">
        <v>20</v>
      </c>
      <c r="D279" t="s">
        <v>796</v>
      </c>
      <c r="E279" t="s">
        <v>372</v>
      </c>
      <c r="F279" t="s">
        <v>20</v>
      </c>
    </row>
    <row r="280" spans="1:6" x14ac:dyDescent="0.35">
      <c r="A280" t="s">
        <v>260</v>
      </c>
      <c r="B280" t="s">
        <v>29</v>
      </c>
      <c r="C280" t="s">
        <v>164</v>
      </c>
      <c r="D280" t="s">
        <v>797</v>
      </c>
      <c r="E280" t="s">
        <v>260</v>
      </c>
      <c r="F280" t="s">
        <v>164</v>
      </c>
    </row>
    <row r="281" spans="1:6" x14ac:dyDescent="0.35">
      <c r="A281" t="s">
        <v>798</v>
      </c>
      <c r="B281" t="s">
        <v>14</v>
      </c>
      <c r="C281" t="s">
        <v>116</v>
      </c>
      <c r="D281" t="s">
        <v>1588</v>
      </c>
      <c r="E281" t="s">
        <v>798</v>
      </c>
      <c r="F281" t="s">
        <v>116</v>
      </c>
    </row>
    <row r="282" spans="1:6" x14ac:dyDescent="0.35">
      <c r="A282" t="s">
        <v>351</v>
      </c>
      <c r="B282" t="s">
        <v>14</v>
      </c>
      <c r="C282" t="s">
        <v>30</v>
      </c>
      <c r="D282" t="s">
        <v>799</v>
      </c>
      <c r="E282" t="s">
        <v>351</v>
      </c>
      <c r="F282" t="s">
        <v>30</v>
      </c>
    </row>
    <row r="283" spans="1:6" x14ac:dyDescent="0.35">
      <c r="A283" t="s">
        <v>800</v>
      </c>
      <c r="B283" t="s">
        <v>29</v>
      </c>
      <c r="C283" t="s">
        <v>30</v>
      </c>
      <c r="D283" t="s">
        <v>1589</v>
      </c>
      <c r="E283" t="s">
        <v>1351</v>
      </c>
      <c r="F283" t="s">
        <v>30</v>
      </c>
    </row>
    <row r="284" spans="1:6" x14ac:dyDescent="0.35">
      <c r="A284" t="s">
        <v>801</v>
      </c>
      <c r="B284" t="s">
        <v>29</v>
      </c>
      <c r="C284" t="s">
        <v>36</v>
      </c>
      <c r="D284" t="s">
        <v>802</v>
      </c>
      <c r="E284" t="s">
        <v>801</v>
      </c>
      <c r="F284" t="s">
        <v>36</v>
      </c>
    </row>
    <row r="285" spans="1:6" x14ac:dyDescent="0.35">
      <c r="A285" t="s">
        <v>1351</v>
      </c>
      <c r="B285" t="s">
        <v>29</v>
      </c>
      <c r="C285" t="s">
        <v>30</v>
      </c>
      <c r="D285" t="s">
        <v>1590</v>
      </c>
      <c r="E285" t="s">
        <v>1351</v>
      </c>
      <c r="F285" t="s">
        <v>30</v>
      </c>
    </row>
    <row r="286" spans="1:6" x14ac:dyDescent="0.35">
      <c r="A286" t="s">
        <v>370</v>
      </c>
      <c r="B286" t="s">
        <v>29</v>
      </c>
      <c r="C286" t="s">
        <v>66</v>
      </c>
      <c r="D286" t="s">
        <v>803</v>
      </c>
      <c r="E286" t="s">
        <v>370</v>
      </c>
      <c r="F286" t="s">
        <v>66</v>
      </c>
    </row>
    <row r="287" spans="1:6" x14ac:dyDescent="0.35">
      <c r="A287" t="s">
        <v>804</v>
      </c>
      <c r="B287" t="s">
        <v>14</v>
      </c>
      <c r="C287" t="s">
        <v>73</v>
      </c>
      <c r="D287" t="s">
        <v>1591</v>
      </c>
      <c r="E287" t="s">
        <v>804</v>
      </c>
      <c r="F287" t="s">
        <v>73</v>
      </c>
    </row>
    <row r="288" spans="1:6" x14ac:dyDescent="0.35">
      <c r="A288" t="s">
        <v>1405</v>
      </c>
      <c r="B288" t="s">
        <v>14</v>
      </c>
      <c r="C288" t="s">
        <v>20</v>
      </c>
      <c r="D288" t="s">
        <v>1592</v>
      </c>
      <c r="E288" t="s">
        <v>1405</v>
      </c>
      <c r="F288" t="s">
        <v>20</v>
      </c>
    </row>
    <row r="289" spans="1:6" x14ac:dyDescent="0.35">
      <c r="A289" t="s">
        <v>805</v>
      </c>
      <c r="B289" t="s">
        <v>29</v>
      </c>
      <c r="C289" t="s">
        <v>73</v>
      </c>
      <c r="D289" t="s">
        <v>1593</v>
      </c>
      <c r="E289" t="s">
        <v>805</v>
      </c>
      <c r="F289" t="s">
        <v>73</v>
      </c>
    </row>
    <row r="290" spans="1:6" x14ac:dyDescent="0.35">
      <c r="A290" t="s">
        <v>806</v>
      </c>
      <c r="B290" t="s">
        <v>14</v>
      </c>
      <c r="C290" t="s">
        <v>37</v>
      </c>
      <c r="D290" t="s">
        <v>1594</v>
      </c>
      <c r="E290" t="s">
        <v>806</v>
      </c>
      <c r="F290" t="s">
        <v>37</v>
      </c>
    </row>
    <row r="291" spans="1:6" x14ac:dyDescent="0.35">
      <c r="A291" t="s">
        <v>807</v>
      </c>
      <c r="B291" t="s">
        <v>14</v>
      </c>
      <c r="C291" t="s">
        <v>17</v>
      </c>
      <c r="D291" t="s">
        <v>808</v>
      </c>
      <c r="E291" t="s">
        <v>807</v>
      </c>
      <c r="F291" t="s">
        <v>17</v>
      </c>
    </row>
    <row r="292" spans="1:6" x14ac:dyDescent="0.35">
      <c r="A292" t="s">
        <v>809</v>
      </c>
      <c r="B292" t="s">
        <v>29</v>
      </c>
      <c r="C292" t="s">
        <v>419</v>
      </c>
      <c r="D292" t="s">
        <v>1595</v>
      </c>
      <c r="E292" t="s">
        <v>809</v>
      </c>
      <c r="F292" t="s">
        <v>419</v>
      </c>
    </row>
    <row r="293" spans="1:6" x14ac:dyDescent="0.35">
      <c r="A293" t="s">
        <v>810</v>
      </c>
      <c r="B293" t="s">
        <v>29</v>
      </c>
      <c r="C293" t="s">
        <v>49</v>
      </c>
      <c r="D293" t="s">
        <v>811</v>
      </c>
      <c r="E293" t="s">
        <v>810</v>
      </c>
      <c r="F293" t="s">
        <v>49</v>
      </c>
    </row>
    <row r="294" spans="1:6" x14ac:dyDescent="0.35">
      <c r="A294" t="s">
        <v>812</v>
      </c>
      <c r="B294" t="s">
        <v>14</v>
      </c>
      <c r="C294" t="s">
        <v>73</v>
      </c>
      <c r="D294" t="s">
        <v>1596</v>
      </c>
      <c r="E294" t="s">
        <v>812</v>
      </c>
      <c r="F294" t="s">
        <v>73</v>
      </c>
    </row>
    <row r="295" spans="1:6" x14ac:dyDescent="0.35">
      <c r="A295" t="s">
        <v>814</v>
      </c>
      <c r="B295" t="s">
        <v>14</v>
      </c>
      <c r="C295" t="s">
        <v>28</v>
      </c>
      <c r="D295" t="s">
        <v>813</v>
      </c>
      <c r="E295" t="s">
        <v>814</v>
      </c>
      <c r="F295" t="s">
        <v>28</v>
      </c>
    </row>
    <row r="296" spans="1:6" x14ac:dyDescent="0.35">
      <c r="A296" t="s">
        <v>291</v>
      </c>
      <c r="B296" t="s">
        <v>14</v>
      </c>
      <c r="C296" t="s">
        <v>30</v>
      </c>
      <c r="D296" t="s">
        <v>815</v>
      </c>
      <c r="E296" t="s">
        <v>291</v>
      </c>
      <c r="F296" t="s">
        <v>30</v>
      </c>
    </row>
    <row r="297" spans="1:6" x14ac:dyDescent="0.35">
      <c r="A297" t="s">
        <v>223</v>
      </c>
      <c r="B297" t="s">
        <v>29</v>
      </c>
      <c r="C297" t="s">
        <v>49</v>
      </c>
      <c r="D297" t="s">
        <v>816</v>
      </c>
      <c r="E297" t="s">
        <v>223</v>
      </c>
      <c r="F297" t="s">
        <v>49</v>
      </c>
    </row>
    <row r="298" spans="1:6" x14ac:dyDescent="0.35">
      <c r="A298" t="s">
        <v>326</v>
      </c>
      <c r="B298" t="s">
        <v>14</v>
      </c>
      <c r="C298" t="s">
        <v>325</v>
      </c>
      <c r="D298" t="s">
        <v>817</v>
      </c>
      <c r="E298" t="s">
        <v>326</v>
      </c>
      <c r="F298" t="s">
        <v>325</v>
      </c>
    </row>
    <row r="299" spans="1:6" x14ac:dyDescent="0.35">
      <c r="A299" t="s">
        <v>818</v>
      </c>
      <c r="B299" t="s">
        <v>14</v>
      </c>
      <c r="C299" t="s">
        <v>21</v>
      </c>
      <c r="D299" t="s">
        <v>819</v>
      </c>
      <c r="E299" t="s">
        <v>818</v>
      </c>
      <c r="F299" t="s">
        <v>21</v>
      </c>
    </row>
    <row r="300" spans="1:6" x14ac:dyDescent="0.35">
      <c r="A300" t="s">
        <v>1450</v>
      </c>
      <c r="B300" t="s">
        <v>14</v>
      </c>
      <c r="C300" t="s">
        <v>44</v>
      </c>
      <c r="D300" t="s">
        <v>1597</v>
      </c>
      <c r="E300" t="s">
        <v>1450</v>
      </c>
      <c r="F300" t="s">
        <v>44</v>
      </c>
    </row>
    <row r="301" spans="1:6" x14ac:dyDescent="0.35">
      <c r="A301" t="s">
        <v>820</v>
      </c>
      <c r="B301" t="s">
        <v>14</v>
      </c>
      <c r="C301" t="s">
        <v>123</v>
      </c>
      <c r="D301" t="s">
        <v>1598</v>
      </c>
      <c r="E301" t="s">
        <v>820</v>
      </c>
      <c r="F301" t="s">
        <v>123</v>
      </c>
    </row>
    <row r="302" spans="1:6" x14ac:dyDescent="0.35">
      <c r="A302" t="s">
        <v>230</v>
      </c>
      <c r="B302" t="s">
        <v>29</v>
      </c>
      <c r="C302" t="s">
        <v>34</v>
      </c>
      <c r="D302" t="s">
        <v>821</v>
      </c>
      <c r="E302" t="s">
        <v>230</v>
      </c>
      <c r="F302" t="s">
        <v>34</v>
      </c>
    </row>
    <row r="303" spans="1:6" x14ac:dyDescent="0.35">
      <c r="A303" t="s">
        <v>822</v>
      </c>
      <c r="B303" t="s">
        <v>14</v>
      </c>
      <c r="C303" t="s">
        <v>123</v>
      </c>
      <c r="D303" t="s">
        <v>1599</v>
      </c>
      <c r="E303" t="s">
        <v>822</v>
      </c>
      <c r="F303" t="s">
        <v>123</v>
      </c>
    </row>
    <row r="304" spans="1:6" x14ac:dyDescent="0.35">
      <c r="A304" t="s">
        <v>824</v>
      </c>
      <c r="B304" t="s">
        <v>14</v>
      </c>
      <c r="C304" t="s">
        <v>57</v>
      </c>
      <c r="D304" t="s">
        <v>823</v>
      </c>
      <c r="E304" t="s">
        <v>824</v>
      </c>
      <c r="F304" t="s">
        <v>57</v>
      </c>
    </row>
    <row r="305" spans="1:6" x14ac:dyDescent="0.35">
      <c r="A305" t="s">
        <v>129</v>
      </c>
      <c r="B305" t="s">
        <v>14</v>
      </c>
      <c r="C305" t="s">
        <v>72</v>
      </c>
      <c r="D305" t="s">
        <v>825</v>
      </c>
      <c r="E305" t="s">
        <v>129</v>
      </c>
      <c r="F305" t="s">
        <v>72</v>
      </c>
    </row>
    <row r="306" spans="1:6" x14ac:dyDescent="0.35">
      <c r="A306" t="s">
        <v>475</v>
      </c>
      <c r="B306" t="s">
        <v>29</v>
      </c>
      <c r="C306" t="s">
        <v>35</v>
      </c>
      <c r="D306" t="s">
        <v>826</v>
      </c>
      <c r="E306" t="s">
        <v>475</v>
      </c>
      <c r="F306" t="s">
        <v>35</v>
      </c>
    </row>
    <row r="307" spans="1:6" x14ac:dyDescent="0.35">
      <c r="A307" t="s">
        <v>827</v>
      </c>
      <c r="B307" t="s">
        <v>29</v>
      </c>
      <c r="C307" t="s">
        <v>28</v>
      </c>
      <c r="D307" t="s">
        <v>828</v>
      </c>
      <c r="E307" t="s">
        <v>827</v>
      </c>
      <c r="F307" t="s">
        <v>28</v>
      </c>
    </row>
    <row r="308" spans="1:6" x14ac:dyDescent="0.35">
      <c r="A308" t="s">
        <v>830</v>
      </c>
      <c r="B308" t="s">
        <v>29</v>
      </c>
      <c r="C308" t="s">
        <v>139</v>
      </c>
      <c r="D308" t="s">
        <v>829</v>
      </c>
      <c r="E308" t="s">
        <v>830</v>
      </c>
      <c r="F308" t="s">
        <v>139</v>
      </c>
    </row>
    <row r="309" spans="1:6" x14ac:dyDescent="0.35">
      <c r="A309" t="s">
        <v>831</v>
      </c>
      <c r="B309" t="s">
        <v>29</v>
      </c>
      <c r="C309" t="s">
        <v>21</v>
      </c>
      <c r="D309" t="s">
        <v>832</v>
      </c>
      <c r="E309" t="s">
        <v>831</v>
      </c>
      <c r="F309" t="s">
        <v>21</v>
      </c>
    </row>
    <row r="310" spans="1:6" x14ac:dyDescent="0.35">
      <c r="A310" t="s">
        <v>833</v>
      </c>
      <c r="B310" t="s">
        <v>14</v>
      </c>
      <c r="C310" t="s">
        <v>21</v>
      </c>
      <c r="D310" t="s">
        <v>1600</v>
      </c>
      <c r="E310" t="s">
        <v>833</v>
      </c>
      <c r="F310" t="s">
        <v>21</v>
      </c>
    </row>
    <row r="311" spans="1:6" x14ac:dyDescent="0.35">
      <c r="A311" t="s">
        <v>391</v>
      </c>
      <c r="B311" t="s">
        <v>14</v>
      </c>
      <c r="C311" t="s">
        <v>21</v>
      </c>
      <c r="D311" t="s">
        <v>834</v>
      </c>
      <c r="E311" t="s">
        <v>391</v>
      </c>
      <c r="F311" t="s">
        <v>21</v>
      </c>
    </row>
    <row r="312" spans="1:6" x14ac:dyDescent="0.35">
      <c r="A312" t="s">
        <v>835</v>
      </c>
      <c r="B312" t="s">
        <v>29</v>
      </c>
      <c r="C312" t="s">
        <v>21</v>
      </c>
      <c r="D312" t="s">
        <v>1601</v>
      </c>
      <c r="E312" t="s">
        <v>835</v>
      </c>
      <c r="F312" t="s">
        <v>21</v>
      </c>
    </row>
    <row r="313" spans="1:6" x14ac:dyDescent="0.35">
      <c r="A313" t="s">
        <v>1335</v>
      </c>
      <c r="B313" t="s">
        <v>14</v>
      </c>
      <c r="C313" t="s">
        <v>57</v>
      </c>
      <c r="D313" t="s">
        <v>1602</v>
      </c>
      <c r="E313" t="s">
        <v>1335</v>
      </c>
      <c r="F313" t="s">
        <v>57</v>
      </c>
    </row>
    <row r="314" spans="1:6" x14ac:dyDescent="0.35">
      <c r="A314" t="s">
        <v>837</v>
      </c>
      <c r="B314" t="s">
        <v>29</v>
      </c>
      <c r="C314" t="s">
        <v>35</v>
      </c>
      <c r="D314" t="s">
        <v>836</v>
      </c>
      <c r="E314" t="s">
        <v>837</v>
      </c>
      <c r="F314" t="s">
        <v>35</v>
      </c>
    </row>
    <row r="315" spans="1:6" x14ac:dyDescent="0.35">
      <c r="A315" t="s">
        <v>1603</v>
      </c>
      <c r="B315" t="s">
        <v>29</v>
      </c>
      <c r="C315" t="s">
        <v>35</v>
      </c>
      <c r="D315" t="s">
        <v>836</v>
      </c>
      <c r="E315" t="s">
        <v>1603</v>
      </c>
      <c r="F315" t="s">
        <v>35</v>
      </c>
    </row>
    <row r="316" spans="1:6" x14ac:dyDescent="0.35">
      <c r="A316" t="s">
        <v>281</v>
      </c>
      <c r="B316" t="s">
        <v>29</v>
      </c>
      <c r="C316" t="s">
        <v>123</v>
      </c>
      <c r="D316" t="s">
        <v>838</v>
      </c>
      <c r="E316" t="s">
        <v>281</v>
      </c>
      <c r="F316" t="s">
        <v>123</v>
      </c>
    </row>
    <row r="317" spans="1:6" x14ac:dyDescent="0.35">
      <c r="A317" t="s">
        <v>1413</v>
      </c>
      <c r="B317" t="s">
        <v>14</v>
      </c>
      <c r="C317" t="s">
        <v>1414</v>
      </c>
      <c r="D317" t="s">
        <v>1604</v>
      </c>
      <c r="E317" t="s">
        <v>1413</v>
      </c>
      <c r="F317" t="s">
        <v>1414</v>
      </c>
    </row>
    <row r="318" spans="1:6" x14ac:dyDescent="0.35">
      <c r="A318" t="s">
        <v>1605</v>
      </c>
      <c r="B318" t="s">
        <v>14</v>
      </c>
      <c r="C318" t="s">
        <v>24</v>
      </c>
      <c r="D318" t="s">
        <v>1606</v>
      </c>
      <c r="E318" t="s">
        <v>1605</v>
      </c>
      <c r="F318" t="s">
        <v>24</v>
      </c>
    </row>
    <row r="319" spans="1:6" x14ac:dyDescent="0.35">
      <c r="A319" t="s">
        <v>839</v>
      </c>
      <c r="B319" t="s">
        <v>29</v>
      </c>
      <c r="C319" t="s">
        <v>35</v>
      </c>
      <c r="D319" t="s">
        <v>840</v>
      </c>
      <c r="E319" t="s">
        <v>839</v>
      </c>
      <c r="F319" t="s">
        <v>35</v>
      </c>
    </row>
    <row r="320" spans="1:6" x14ac:dyDescent="0.35">
      <c r="A320" t="s">
        <v>841</v>
      </c>
      <c r="B320" t="s">
        <v>29</v>
      </c>
      <c r="C320" t="s">
        <v>21</v>
      </c>
      <c r="D320" t="s">
        <v>842</v>
      </c>
      <c r="E320" t="s">
        <v>841</v>
      </c>
      <c r="F320" t="s">
        <v>21</v>
      </c>
    </row>
    <row r="321" spans="1:6" x14ac:dyDescent="0.35">
      <c r="A321" t="s">
        <v>843</v>
      </c>
      <c r="B321" t="s">
        <v>14</v>
      </c>
      <c r="C321" t="s">
        <v>21</v>
      </c>
      <c r="D321" t="s">
        <v>844</v>
      </c>
      <c r="E321" t="s">
        <v>843</v>
      </c>
      <c r="F321" t="s">
        <v>21</v>
      </c>
    </row>
    <row r="322" spans="1:6" x14ac:dyDescent="0.35">
      <c r="A322" t="s">
        <v>845</v>
      </c>
      <c r="B322" t="s">
        <v>14</v>
      </c>
      <c r="C322" t="s">
        <v>21</v>
      </c>
      <c r="D322" t="s">
        <v>846</v>
      </c>
      <c r="E322" t="s">
        <v>845</v>
      </c>
      <c r="F322" t="s">
        <v>21</v>
      </c>
    </row>
    <row r="323" spans="1:6" x14ac:dyDescent="0.35">
      <c r="A323" t="s">
        <v>848</v>
      </c>
      <c r="B323" t="s">
        <v>29</v>
      </c>
      <c r="C323" t="s">
        <v>49</v>
      </c>
      <c r="D323" t="s">
        <v>847</v>
      </c>
      <c r="E323" t="s">
        <v>848</v>
      </c>
      <c r="F323" t="s">
        <v>49</v>
      </c>
    </row>
    <row r="324" spans="1:6" x14ac:dyDescent="0.35">
      <c r="A324" t="s">
        <v>849</v>
      </c>
      <c r="B324" t="s">
        <v>14</v>
      </c>
      <c r="C324" t="s">
        <v>35</v>
      </c>
      <c r="D324" t="s">
        <v>850</v>
      </c>
      <c r="E324" t="s">
        <v>849</v>
      </c>
      <c r="F324" t="s">
        <v>35</v>
      </c>
    </row>
    <row r="325" spans="1:6" x14ac:dyDescent="0.35">
      <c r="A325" t="s">
        <v>1441</v>
      </c>
      <c r="B325" t="s">
        <v>29</v>
      </c>
      <c r="C325" t="s">
        <v>64</v>
      </c>
      <c r="D325" t="s">
        <v>1607</v>
      </c>
      <c r="E325" t="s">
        <v>1441</v>
      </c>
      <c r="F325" t="s">
        <v>64</v>
      </c>
    </row>
    <row r="326" spans="1:6" x14ac:dyDescent="0.35">
      <c r="A326" t="s">
        <v>851</v>
      </c>
      <c r="B326" t="s">
        <v>29</v>
      </c>
      <c r="C326" t="s">
        <v>21</v>
      </c>
      <c r="D326" t="s">
        <v>1608</v>
      </c>
      <c r="E326" t="s">
        <v>851</v>
      </c>
      <c r="F326" t="s">
        <v>21</v>
      </c>
    </row>
    <row r="327" spans="1:6" x14ac:dyDescent="0.35">
      <c r="A327" t="s">
        <v>1609</v>
      </c>
      <c r="B327" t="s">
        <v>14</v>
      </c>
      <c r="C327" t="s">
        <v>1610</v>
      </c>
      <c r="D327" t="s">
        <v>1611</v>
      </c>
      <c r="E327" t="s">
        <v>1609</v>
      </c>
      <c r="F327" t="s">
        <v>1610</v>
      </c>
    </row>
    <row r="328" spans="1:6" x14ac:dyDescent="0.35">
      <c r="A328" t="s">
        <v>1334</v>
      </c>
      <c r="B328" t="s">
        <v>14</v>
      </c>
      <c r="C328" t="s">
        <v>57</v>
      </c>
      <c r="D328" t="s">
        <v>1612</v>
      </c>
      <c r="E328" t="s">
        <v>1334</v>
      </c>
      <c r="F328" t="s">
        <v>57</v>
      </c>
    </row>
    <row r="329" spans="1:6" x14ac:dyDescent="0.35">
      <c r="A329" t="s">
        <v>1402</v>
      </c>
      <c r="B329" t="s">
        <v>14</v>
      </c>
      <c r="C329" t="s">
        <v>57</v>
      </c>
      <c r="D329" t="s">
        <v>1613</v>
      </c>
      <c r="E329" t="s">
        <v>1334</v>
      </c>
      <c r="F329" t="s">
        <v>57</v>
      </c>
    </row>
    <row r="330" spans="1:6" x14ac:dyDescent="0.35">
      <c r="A330" t="s">
        <v>1614</v>
      </c>
      <c r="B330" t="s">
        <v>14</v>
      </c>
      <c r="C330" t="s">
        <v>123</v>
      </c>
      <c r="D330" t="s">
        <v>1615</v>
      </c>
      <c r="E330" t="s">
        <v>1614</v>
      </c>
      <c r="F330" t="s">
        <v>123</v>
      </c>
    </row>
    <row r="331" spans="1:6" x14ac:dyDescent="0.35">
      <c r="A331" t="s">
        <v>853</v>
      </c>
      <c r="B331" t="s">
        <v>14</v>
      </c>
      <c r="C331" t="s">
        <v>37</v>
      </c>
      <c r="D331" t="s">
        <v>852</v>
      </c>
      <c r="E331" t="s">
        <v>853</v>
      </c>
      <c r="F331" t="s">
        <v>37</v>
      </c>
    </row>
    <row r="332" spans="1:6" x14ac:dyDescent="0.35">
      <c r="A332" t="s">
        <v>854</v>
      </c>
      <c r="B332" t="s">
        <v>14</v>
      </c>
      <c r="C332" t="s">
        <v>58</v>
      </c>
      <c r="D332" t="s">
        <v>1616</v>
      </c>
      <c r="E332" t="s">
        <v>854</v>
      </c>
      <c r="F332" t="s">
        <v>58</v>
      </c>
    </row>
    <row r="333" spans="1:6" x14ac:dyDescent="0.35">
      <c r="A333" t="s">
        <v>855</v>
      </c>
      <c r="B333" t="s">
        <v>29</v>
      </c>
      <c r="C333" t="s">
        <v>21</v>
      </c>
      <c r="D333" t="s">
        <v>1617</v>
      </c>
      <c r="E333" t="s">
        <v>855</v>
      </c>
      <c r="F333" t="s">
        <v>21</v>
      </c>
    </row>
    <row r="334" spans="1:6" x14ac:dyDescent="0.35">
      <c r="A334" t="s">
        <v>856</v>
      </c>
      <c r="B334" t="s">
        <v>14</v>
      </c>
      <c r="C334" t="s">
        <v>21</v>
      </c>
      <c r="D334" t="s">
        <v>857</v>
      </c>
      <c r="E334" t="s">
        <v>856</v>
      </c>
      <c r="F334" t="s">
        <v>21</v>
      </c>
    </row>
    <row r="335" spans="1:6" x14ac:dyDescent="0.35">
      <c r="A335" t="s">
        <v>858</v>
      </c>
      <c r="B335" t="s">
        <v>14</v>
      </c>
      <c r="C335" t="s">
        <v>21</v>
      </c>
      <c r="D335" t="s">
        <v>1618</v>
      </c>
      <c r="E335" t="s">
        <v>858</v>
      </c>
      <c r="F335" t="s">
        <v>21</v>
      </c>
    </row>
    <row r="336" spans="1:6" x14ac:dyDescent="0.35">
      <c r="A336" t="s">
        <v>1619</v>
      </c>
      <c r="B336" t="s">
        <v>29</v>
      </c>
      <c r="C336" t="s">
        <v>123</v>
      </c>
      <c r="D336" t="s">
        <v>1620</v>
      </c>
      <c r="E336" t="s">
        <v>1619</v>
      </c>
      <c r="F336" t="s">
        <v>123</v>
      </c>
    </row>
    <row r="337" spans="1:6" x14ac:dyDescent="0.35">
      <c r="A337" t="s">
        <v>368</v>
      </c>
      <c r="B337" t="s">
        <v>29</v>
      </c>
      <c r="C337" t="s">
        <v>30</v>
      </c>
      <c r="D337" t="s">
        <v>859</v>
      </c>
      <c r="E337" t="s">
        <v>368</v>
      </c>
      <c r="F337" t="s">
        <v>30</v>
      </c>
    </row>
    <row r="338" spans="1:6" x14ac:dyDescent="0.35">
      <c r="A338" t="s">
        <v>860</v>
      </c>
      <c r="B338" t="s">
        <v>14</v>
      </c>
      <c r="C338" t="s">
        <v>861</v>
      </c>
      <c r="D338" t="s">
        <v>862</v>
      </c>
      <c r="E338" t="s">
        <v>860</v>
      </c>
      <c r="F338" t="s">
        <v>861</v>
      </c>
    </row>
    <row r="339" spans="1:6" x14ac:dyDescent="0.35">
      <c r="A339" t="s">
        <v>364</v>
      </c>
      <c r="B339" t="s">
        <v>29</v>
      </c>
      <c r="C339" t="s">
        <v>30</v>
      </c>
      <c r="D339" t="s">
        <v>863</v>
      </c>
      <c r="E339" t="s">
        <v>364</v>
      </c>
      <c r="F339" t="s">
        <v>30</v>
      </c>
    </row>
    <row r="340" spans="1:6" x14ac:dyDescent="0.35">
      <c r="A340" t="s">
        <v>192</v>
      </c>
      <c r="B340" t="s">
        <v>14</v>
      </c>
      <c r="C340" t="s">
        <v>35</v>
      </c>
      <c r="D340" t="s">
        <v>864</v>
      </c>
      <c r="E340" t="s">
        <v>192</v>
      </c>
      <c r="F340" t="s">
        <v>35</v>
      </c>
    </row>
    <row r="341" spans="1:6" x14ac:dyDescent="0.35">
      <c r="A341" t="s">
        <v>415</v>
      </c>
      <c r="B341" t="s">
        <v>14</v>
      </c>
      <c r="C341" t="s">
        <v>35</v>
      </c>
      <c r="D341" t="s">
        <v>865</v>
      </c>
      <c r="E341" t="s">
        <v>415</v>
      </c>
      <c r="F341" t="s">
        <v>35</v>
      </c>
    </row>
    <row r="342" spans="1:6" x14ac:dyDescent="0.35">
      <c r="A342" t="s">
        <v>866</v>
      </c>
      <c r="B342" t="s">
        <v>14</v>
      </c>
      <c r="C342" t="s">
        <v>18</v>
      </c>
      <c r="D342" t="s">
        <v>867</v>
      </c>
      <c r="E342" t="s">
        <v>866</v>
      </c>
      <c r="F342" t="s">
        <v>18</v>
      </c>
    </row>
    <row r="343" spans="1:6" x14ac:dyDescent="0.35">
      <c r="A343" t="s">
        <v>868</v>
      </c>
      <c r="B343" t="s">
        <v>14</v>
      </c>
      <c r="C343" t="s">
        <v>21</v>
      </c>
      <c r="D343" t="s">
        <v>869</v>
      </c>
      <c r="E343" t="s">
        <v>868</v>
      </c>
      <c r="F343" t="s">
        <v>21</v>
      </c>
    </row>
    <row r="344" spans="1:6" x14ac:dyDescent="0.35">
      <c r="A344" t="s">
        <v>1370</v>
      </c>
      <c r="B344" t="s">
        <v>14</v>
      </c>
      <c r="C344" t="s">
        <v>17</v>
      </c>
      <c r="D344" t="s">
        <v>1621</v>
      </c>
      <c r="E344" t="s">
        <v>1370</v>
      </c>
      <c r="F344" t="s">
        <v>17</v>
      </c>
    </row>
    <row r="345" spans="1:6" x14ac:dyDescent="0.35">
      <c r="A345" t="s">
        <v>870</v>
      </c>
      <c r="B345" t="s">
        <v>14</v>
      </c>
      <c r="C345" t="s">
        <v>117</v>
      </c>
      <c r="D345" t="s">
        <v>1622</v>
      </c>
      <c r="E345" t="s">
        <v>870</v>
      </c>
      <c r="F345" t="s">
        <v>117</v>
      </c>
    </row>
    <row r="346" spans="1:6" x14ac:dyDescent="0.35">
      <c r="A346" t="s">
        <v>354</v>
      </c>
      <c r="B346" t="s">
        <v>14</v>
      </c>
      <c r="C346" t="s">
        <v>73</v>
      </c>
      <c r="D346" t="s">
        <v>871</v>
      </c>
      <c r="E346" t="s">
        <v>354</v>
      </c>
      <c r="F346" t="s">
        <v>73</v>
      </c>
    </row>
    <row r="347" spans="1:6" x14ac:dyDescent="0.35">
      <c r="A347" t="s">
        <v>489</v>
      </c>
      <c r="B347" t="s">
        <v>14</v>
      </c>
      <c r="C347" t="s">
        <v>30</v>
      </c>
      <c r="D347" t="s">
        <v>872</v>
      </c>
      <c r="E347" t="s">
        <v>489</v>
      </c>
      <c r="F347" t="s">
        <v>30</v>
      </c>
    </row>
    <row r="348" spans="1:6" x14ac:dyDescent="0.35">
      <c r="A348" t="s">
        <v>339</v>
      </c>
      <c r="B348" t="s">
        <v>14</v>
      </c>
      <c r="C348" t="s">
        <v>30</v>
      </c>
      <c r="D348" t="s">
        <v>873</v>
      </c>
      <c r="E348" t="s">
        <v>339</v>
      </c>
      <c r="F348" t="s">
        <v>30</v>
      </c>
    </row>
    <row r="349" spans="1:6" x14ac:dyDescent="0.35">
      <c r="A349" t="s">
        <v>875</v>
      </c>
      <c r="B349" t="s">
        <v>14</v>
      </c>
      <c r="C349" t="s">
        <v>123</v>
      </c>
      <c r="D349" t="s">
        <v>874</v>
      </c>
      <c r="E349" t="s">
        <v>875</v>
      </c>
      <c r="F349" t="s">
        <v>123</v>
      </c>
    </row>
    <row r="350" spans="1:6" x14ac:dyDescent="0.35">
      <c r="A350" t="s">
        <v>1425</v>
      </c>
      <c r="B350" t="s">
        <v>14</v>
      </c>
      <c r="C350" t="s">
        <v>303</v>
      </c>
      <c r="D350" t="s">
        <v>1623</v>
      </c>
      <c r="E350" t="s">
        <v>1425</v>
      </c>
      <c r="F350" t="s">
        <v>303</v>
      </c>
    </row>
    <row r="351" spans="1:6" x14ac:dyDescent="0.35">
      <c r="A351" t="s">
        <v>876</v>
      </c>
      <c r="B351" t="s">
        <v>14</v>
      </c>
      <c r="C351" t="s">
        <v>57</v>
      </c>
      <c r="D351" t="s">
        <v>1624</v>
      </c>
      <c r="E351" t="s">
        <v>876</v>
      </c>
      <c r="F351" t="s">
        <v>57</v>
      </c>
    </row>
    <row r="352" spans="1:6" x14ac:dyDescent="0.35">
      <c r="A352" t="s">
        <v>426</v>
      </c>
      <c r="B352" t="s">
        <v>14</v>
      </c>
      <c r="C352" t="s">
        <v>427</v>
      </c>
      <c r="D352" t="s">
        <v>877</v>
      </c>
      <c r="E352" t="s">
        <v>426</v>
      </c>
      <c r="F352" t="s">
        <v>427</v>
      </c>
    </row>
    <row r="353" spans="1:6" x14ac:dyDescent="0.35">
      <c r="A353" t="s">
        <v>128</v>
      </c>
      <c r="B353" t="s">
        <v>14</v>
      </c>
      <c r="C353" t="s">
        <v>116</v>
      </c>
      <c r="D353" t="s">
        <v>878</v>
      </c>
      <c r="E353" t="s">
        <v>128</v>
      </c>
      <c r="F353" t="s">
        <v>116</v>
      </c>
    </row>
    <row r="354" spans="1:6" x14ac:dyDescent="0.35">
      <c r="A354" t="s">
        <v>879</v>
      </c>
      <c r="B354" t="s">
        <v>14</v>
      </c>
      <c r="C354" t="s">
        <v>30</v>
      </c>
      <c r="D354" t="s">
        <v>880</v>
      </c>
      <c r="E354" t="s">
        <v>879</v>
      </c>
      <c r="F354" t="s">
        <v>30</v>
      </c>
    </row>
    <row r="355" spans="1:6" x14ac:dyDescent="0.35">
      <c r="A355" t="s">
        <v>360</v>
      </c>
      <c r="B355" t="s">
        <v>14</v>
      </c>
      <c r="C355" t="s">
        <v>30</v>
      </c>
      <c r="D355" t="s">
        <v>881</v>
      </c>
      <c r="E355" t="s">
        <v>360</v>
      </c>
      <c r="F355" t="s">
        <v>30</v>
      </c>
    </row>
    <row r="356" spans="1:6" x14ac:dyDescent="0.35">
      <c r="A356" t="s">
        <v>882</v>
      </c>
      <c r="B356" t="s">
        <v>29</v>
      </c>
      <c r="C356" t="s">
        <v>134</v>
      </c>
      <c r="D356" t="s">
        <v>883</v>
      </c>
      <c r="E356" t="s">
        <v>882</v>
      </c>
      <c r="F356" t="s">
        <v>134</v>
      </c>
    </row>
    <row r="357" spans="1:6" x14ac:dyDescent="0.35">
      <c r="A357" t="s">
        <v>1403</v>
      </c>
      <c r="B357" t="s">
        <v>14</v>
      </c>
      <c r="C357" t="s">
        <v>1404</v>
      </c>
      <c r="D357" t="s">
        <v>1625</v>
      </c>
      <c r="E357" t="s">
        <v>1403</v>
      </c>
      <c r="F357" t="s">
        <v>1404</v>
      </c>
    </row>
    <row r="358" spans="1:6" x14ac:dyDescent="0.35">
      <c r="A358" t="s">
        <v>257</v>
      </c>
      <c r="B358" t="s">
        <v>29</v>
      </c>
      <c r="C358" t="s">
        <v>15</v>
      </c>
      <c r="D358" t="s">
        <v>884</v>
      </c>
      <c r="E358" t="s">
        <v>257</v>
      </c>
      <c r="F358" t="s">
        <v>15</v>
      </c>
    </row>
    <row r="359" spans="1:6" x14ac:dyDescent="0.35">
      <c r="A359" t="s">
        <v>234</v>
      </c>
      <c r="B359" t="s">
        <v>29</v>
      </c>
      <c r="C359" t="s">
        <v>19</v>
      </c>
      <c r="D359" t="s">
        <v>885</v>
      </c>
      <c r="E359" t="s">
        <v>234</v>
      </c>
      <c r="F359" t="s">
        <v>19</v>
      </c>
    </row>
    <row r="360" spans="1:6" x14ac:dyDescent="0.35">
      <c r="A360" t="s">
        <v>429</v>
      </c>
      <c r="B360" t="s">
        <v>14</v>
      </c>
      <c r="C360" t="s">
        <v>36</v>
      </c>
      <c r="D360" t="s">
        <v>886</v>
      </c>
      <c r="E360" t="s">
        <v>429</v>
      </c>
      <c r="F360" t="s">
        <v>36</v>
      </c>
    </row>
    <row r="361" spans="1:6" x14ac:dyDescent="0.35">
      <c r="A361" t="s">
        <v>220</v>
      </c>
      <c r="B361" t="s">
        <v>29</v>
      </c>
      <c r="C361" t="s">
        <v>30</v>
      </c>
      <c r="D361" t="s">
        <v>887</v>
      </c>
      <c r="E361" t="s">
        <v>220</v>
      </c>
      <c r="F361" t="s">
        <v>30</v>
      </c>
    </row>
    <row r="362" spans="1:6" x14ac:dyDescent="0.35">
      <c r="A362" t="s">
        <v>366</v>
      </c>
      <c r="B362" t="s">
        <v>29</v>
      </c>
      <c r="C362" t="s">
        <v>30</v>
      </c>
      <c r="D362" t="s">
        <v>888</v>
      </c>
      <c r="E362" t="s">
        <v>366</v>
      </c>
      <c r="F362" t="s">
        <v>30</v>
      </c>
    </row>
    <row r="363" spans="1:6" x14ac:dyDescent="0.35">
      <c r="A363" t="s">
        <v>279</v>
      </c>
      <c r="B363" t="s">
        <v>29</v>
      </c>
      <c r="C363" t="s">
        <v>53</v>
      </c>
      <c r="D363" t="s">
        <v>889</v>
      </c>
      <c r="E363" t="s">
        <v>279</v>
      </c>
      <c r="F363" t="s">
        <v>53</v>
      </c>
    </row>
    <row r="364" spans="1:6" x14ac:dyDescent="0.35">
      <c r="A364" t="s">
        <v>891</v>
      </c>
      <c r="B364" t="s">
        <v>29</v>
      </c>
      <c r="C364" t="s">
        <v>36</v>
      </c>
      <c r="D364" t="s">
        <v>890</v>
      </c>
      <c r="E364" t="s">
        <v>891</v>
      </c>
      <c r="F364" t="s">
        <v>36</v>
      </c>
    </row>
    <row r="365" spans="1:6" x14ac:dyDescent="0.35">
      <c r="A365" t="s">
        <v>893</v>
      </c>
      <c r="B365" t="s">
        <v>14</v>
      </c>
      <c r="C365" t="s">
        <v>159</v>
      </c>
      <c r="D365" t="s">
        <v>892</v>
      </c>
      <c r="E365" t="s">
        <v>893</v>
      </c>
      <c r="F365" t="s">
        <v>159</v>
      </c>
    </row>
    <row r="366" spans="1:6" x14ac:dyDescent="0.35">
      <c r="A366" t="s">
        <v>369</v>
      </c>
      <c r="B366" t="s">
        <v>29</v>
      </c>
      <c r="C366" t="s">
        <v>30</v>
      </c>
      <c r="D366" t="s">
        <v>894</v>
      </c>
      <c r="E366" t="s">
        <v>369</v>
      </c>
      <c r="F366" t="s">
        <v>30</v>
      </c>
    </row>
    <row r="367" spans="1:6" x14ac:dyDescent="0.35">
      <c r="A367" t="s">
        <v>895</v>
      </c>
      <c r="B367" t="s">
        <v>14</v>
      </c>
      <c r="C367" t="s">
        <v>17</v>
      </c>
      <c r="D367" t="s">
        <v>896</v>
      </c>
      <c r="E367" t="s">
        <v>895</v>
      </c>
      <c r="F367" t="s">
        <v>17</v>
      </c>
    </row>
    <row r="368" spans="1:6" x14ac:dyDescent="0.35">
      <c r="A368" t="s">
        <v>405</v>
      </c>
      <c r="B368" t="s">
        <v>14</v>
      </c>
      <c r="C368" t="s">
        <v>28</v>
      </c>
      <c r="D368" t="s">
        <v>897</v>
      </c>
      <c r="E368" t="s">
        <v>405</v>
      </c>
      <c r="F368" t="s">
        <v>28</v>
      </c>
    </row>
    <row r="369" spans="1:6" x14ac:dyDescent="0.35">
      <c r="A369" t="s">
        <v>448</v>
      </c>
      <c r="B369" t="s">
        <v>29</v>
      </c>
      <c r="C369" t="s">
        <v>88</v>
      </c>
      <c r="D369" t="s">
        <v>1626</v>
      </c>
      <c r="E369" t="s">
        <v>448</v>
      </c>
      <c r="F369" t="s">
        <v>88</v>
      </c>
    </row>
    <row r="370" spans="1:6" x14ac:dyDescent="0.35">
      <c r="A370" t="s">
        <v>898</v>
      </c>
      <c r="B370" t="s">
        <v>14</v>
      </c>
      <c r="C370" t="s">
        <v>20</v>
      </c>
      <c r="D370" t="s">
        <v>899</v>
      </c>
      <c r="E370" t="s">
        <v>898</v>
      </c>
      <c r="F370" t="s">
        <v>20</v>
      </c>
    </row>
    <row r="371" spans="1:6" x14ac:dyDescent="0.35">
      <c r="A371" t="s">
        <v>900</v>
      </c>
      <c r="B371" t="s">
        <v>14</v>
      </c>
      <c r="C371" t="s">
        <v>158</v>
      </c>
      <c r="D371" t="s">
        <v>901</v>
      </c>
      <c r="E371" t="s">
        <v>900</v>
      </c>
      <c r="F371" t="s">
        <v>158</v>
      </c>
    </row>
    <row r="372" spans="1:6" x14ac:dyDescent="0.35">
      <c r="A372" t="s">
        <v>902</v>
      </c>
      <c r="B372" t="s">
        <v>29</v>
      </c>
      <c r="C372" t="s">
        <v>73</v>
      </c>
      <c r="D372" t="s">
        <v>1627</v>
      </c>
      <c r="E372" t="s">
        <v>902</v>
      </c>
      <c r="F372" t="s">
        <v>73</v>
      </c>
    </row>
    <row r="373" spans="1:6" x14ac:dyDescent="0.35">
      <c r="A373" t="s">
        <v>904</v>
      </c>
      <c r="B373" t="s">
        <v>14</v>
      </c>
      <c r="C373" t="s">
        <v>18</v>
      </c>
      <c r="D373" t="s">
        <v>903</v>
      </c>
      <c r="E373" t="s">
        <v>904</v>
      </c>
      <c r="F373" t="s">
        <v>18</v>
      </c>
    </row>
    <row r="374" spans="1:6" x14ac:dyDescent="0.35">
      <c r="A374" t="s">
        <v>905</v>
      </c>
      <c r="B374" t="s">
        <v>14</v>
      </c>
      <c r="C374" t="s">
        <v>35</v>
      </c>
      <c r="D374" t="s">
        <v>906</v>
      </c>
      <c r="E374" t="s">
        <v>905</v>
      </c>
      <c r="F374" t="s">
        <v>35</v>
      </c>
    </row>
    <row r="375" spans="1:6" x14ac:dyDescent="0.35">
      <c r="A375" t="s">
        <v>907</v>
      </c>
      <c r="B375" t="s">
        <v>14</v>
      </c>
      <c r="C375" t="s">
        <v>333</v>
      </c>
      <c r="D375" t="s">
        <v>1628</v>
      </c>
      <c r="E375" t="s">
        <v>907</v>
      </c>
      <c r="F375" t="s">
        <v>333</v>
      </c>
    </row>
    <row r="376" spans="1:6" x14ac:dyDescent="0.35">
      <c r="A376" t="s">
        <v>490</v>
      </c>
      <c r="B376" t="s">
        <v>14</v>
      </c>
      <c r="C376" t="s">
        <v>28</v>
      </c>
      <c r="D376" t="s">
        <v>908</v>
      </c>
      <c r="E376" t="s">
        <v>490</v>
      </c>
      <c r="F376" t="s">
        <v>28</v>
      </c>
    </row>
    <row r="377" spans="1:6" x14ac:dyDescent="0.35">
      <c r="A377" t="s">
        <v>193</v>
      </c>
      <c r="B377" t="s">
        <v>14</v>
      </c>
      <c r="C377" t="s">
        <v>66</v>
      </c>
      <c r="D377" t="s">
        <v>909</v>
      </c>
      <c r="E377" t="s">
        <v>193</v>
      </c>
      <c r="F377" t="s">
        <v>66</v>
      </c>
    </row>
    <row r="378" spans="1:6" x14ac:dyDescent="0.35">
      <c r="A378" t="s">
        <v>910</v>
      </c>
      <c r="B378" t="s">
        <v>14</v>
      </c>
      <c r="C378" t="s">
        <v>35</v>
      </c>
      <c r="D378" t="s">
        <v>911</v>
      </c>
      <c r="E378" t="s">
        <v>910</v>
      </c>
      <c r="F378" t="s">
        <v>35</v>
      </c>
    </row>
    <row r="379" spans="1:6" x14ac:dyDescent="0.35">
      <c r="A379" t="s">
        <v>195</v>
      </c>
      <c r="B379" t="s">
        <v>14</v>
      </c>
      <c r="C379" t="s">
        <v>119</v>
      </c>
      <c r="D379" t="s">
        <v>912</v>
      </c>
      <c r="E379" t="s">
        <v>195</v>
      </c>
      <c r="F379" t="s">
        <v>119</v>
      </c>
    </row>
    <row r="380" spans="1:6" x14ac:dyDescent="0.35">
      <c r="A380" t="s">
        <v>1629</v>
      </c>
      <c r="B380" t="s">
        <v>29</v>
      </c>
      <c r="C380" t="s">
        <v>139</v>
      </c>
      <c r="D380" t="s">
        <v>1630</v>
      </c>
      <c r="E380" t="s">
        <v>1629</v>
      </c>
      <c r="F380" t="s">
        <v>139</v>
      </c>
    </row>
    <row r="381" spans="1:6" x14ac:dyDescent="0.35">
      <c r="A381" t="s">
        <v>1631</v>
      </c>
      <c r="B381" t="s">
        <v>14</v>
      </c>
      <c r="C381" t="s">
        <v>35</v>
      </c>
      <c r="D381" t="s">
        <v>1632</v>
      </c>
      <c r="E381" t="s">
        <v>1631</v>
      </c>
      <c r="F381" t="s">
        <v>35</v>
      </c>
    </row>
    <row r="382" spans="1:6" x14ac:dyDescent="0.35">
      <c r="A382" t="s">
        <v>913</v>
      </c>
      <c r="B382" t="s">
        <v>14</v>
      </c>
      <c r="C382" t="s">
        <v>73</v>
      </c>
      <c r="D382" t="s">
        <v>914</v>
      </c>
      <c r="E382" t="s">
        <v>913</v>
      </c>
      <c r="F382" t="s">
        <v>73</v>
      </c>
    </row>
    <row r="383" spans="1:6" x14ac:dyDescent="0.35">
      <c r="A383" t="s">
        <v>915</v>
      </c>
      <c r="B383" t="s">
        <v>14</v>
      </c>
      <c r="C383" t="s">
        <v>73</v>
      </c>
      <c r="D383" t="s">
        <v>1633</v>
      </c>
      <c r="E383" t="s">
        <v>915</v>
      </c>
      <c r="F383" t="s">
        <v>73</v>
      </c>
    </row>
    <row r="384" spans="1:6" x14ac:dyDescent="0.35">
      <c r="A384" t="s">
        <v>917</v>
      </c>
      <c r="B384" t="s">
        <v>14</v>
      </c>
      <c r="C384" t="s">
        <v>28</v>
      </c>
      <c r="D384" t="s">
        <v>916</v>
      </c>
      <c r="E384" t="s">
        <v>917</v>
      </c>
      <c r="F384" t="s">
        <v>28</v>
      </c>
    </row>
    <row r="385" spans="1:6" x14ac:dyDescent="0.35">
      <c r="A385" t="s">
        <v>487</v>
      </c>
      <c r="B385" t="s">
        <v>14</v>
      </c>
      <c r="C385" t="s">
        <v>15</v>
      </c>
      <c r="D385" t="s">
        <v>918</v>
      </c>
      <c r="E385" t="s">
        <v>487</v>
      </c>
      <c r="F385" t="s">
        <v>15</v>
      </c>
    </row>
    <row r="386" spans="1:6" x14ac:dyDescent="0.35">
      <c r="A386" t="s">
        <v>919</v>
      </c>
      <c r="B386" t="s">
        <v>14</v>
      </c>
      <c r="C386" t="s">
        <v>73</v>
      </c>
      <c r="D386" t="s">
        <v>1634</v>
      </c>
      <c r="E386" t="s">
        <v>919</v>
      </c>
      <c r="F386" t="s">
        <v>73</v>
      </c>
    </row>
    <row r="387" spans="1:6" x14ac:dyDescent="0.35">
      <c r="A387" t="s">
        <v>207</v>
      </c>
      <c r="B387" t="s">
        <v>14</v>
      </c>
      <c r="C387" t="s">
        <v>85</v>
      </c>
      <c r="D387" t="s">
        <v>920</v>
      </c>
      <c r="E387" t="s">
        <v>207</v>
      </c>
      <c r="F387" t="s">
        <v>85</v>
      </c>
    </row>
    <row r="388" spans="1:6" x14ac:dyDescent="0.35">
      <c r="A388" t="s">
        <v>1635</v>
      </c>
      <c r="B388" t="s">
        <v>14</v>
      </c>
      <c r="C388" t="s">
        <v>861</v>
      </c>
      <c r="D388" t="s">
        <v>1636</v>
      </c>
      <c r="E388" t="s">
        <v>1635</v>
      </c>
      <c r="F388" t="s">
        <v>861</v>
      </c>
    </row>
    <row r="389" spans="1:6" x14ac:dyDescent="0.35">
      <c r="A389" t="s">
        <v>1637</v>
      </c>
      <c r="B389" t="s">
        <v>14</v>
      </c>
      <c r="C389" t="s">
        <v>861</v>
      </c>
      <c r="D389" t="s">
        <v>1636</v>
      </c>
      <c r="E389" t="s">
        <v>1637</v>
      </c>
      <c r="F389" t="s">
        <v>861</v>
      </c>
    </row>
    <row r="390" spans="1:6" x14ac:dyDescent="0.35">
      <c r="A390" t="s">
        <v>338</v>
      </c>
      <c r="B390" t="s">
        <v>29</v>
      </c>
      <c r="C390" t="s">
        <v>123</v>
      </c>
      <c r="D390" t="s">
        <v>921</v>
      </c>
      <c r="E390" t="s">
        <v>338</v>
      </c>
      <c r="F390" t="s">
        <v>123</v>
      </c>
    </row>
    <row r="391" spans="1:6" x14ac:dyDescent="0.35">
      <c r="A391" t="s">
        <v>113</v>
      </c>
      <c r="B391" t="s">
        <v>14</v>
      </c>
      <c r="C391" t="s">
        <v>36</v>
      </c>
      <c r="D391" t="s">
        <v>922</v>
      </c>
      <c r="E391" t="s">
        <v>113</v>
      </c>
      <c r="F391" t="s">
        <v>36</v>
      </c>
    </row>
    <row r="392" spans="1:6" x14ac:dyDescent="0.35">
      <c r="A392" t="s">
        <v>1638</v>
      </c>
      <c r="B392" t="s">
        <v>14</v>
      </c>
      <c r="C392" t="s">
        <v>30</v>
      </c>
      <c r="D392" t="s">
        <v>1639</v>
      </c>
      <c r="E392" t="s">
        <v>1638</v>
      </c>
      <c r="F392" t="s">
        <v>30</v>
      </c>
    </row>
    <row r="393" spans="1:6" x14ac:dyDescent="0.35">
      <c r="A393" t="s">
        <v>923</v>
      </c>
      <c r="B393" t="s">
        <v>29</v>
      </c>
      <c r="C393" t="s">
        <v>35</v>
      </c>
      <c r="D393" t="s">
        <v>924</v>
      </c>
      <c r="E393" t="s">
        <v>923</v>
      </c>
      <c r="F393" t="s">
        <v>35</v>
      </c>
    </row>
    <row r="394" spans="1:6" x14ac:dyDescent="0.35">
      <c r="A394" t="s">
        <v>1372</v>
      </c>
      <c r="B394" t="s">
        <v>14</v>
      </c>
      <c r="C394" t="s">
        <v>35</v>
      </c>
      <c r="D394" t="s">
        <v>1640</v>
      </c>
      <c r="E394" t="s">
        <v>1372</v>
      </c>
      <c r="F394" t="s">
        <v>35</v>
      </c>
    </row>
    <row r="395" spans="1:6" x14ac:dyDescent="0.35">
      <c r="A395" t="s">
        <v>926</v>
      </c>
      <c r="B395" t="s">
        <v>14</v>
      </c>
      <c r="C395" t="s">
        <v>30</v>
      </c>
      <c r="D395" t="s">
        <v>925</v>
      </c>
      <c r="E395" t="s">
        <v>926</v>
      </c>
      <c r="F395" t="s">
        <v>30</v>
      </c>
    </row>
    <row r="396" spans="1:6" x14ac:dyDescent="0.35">
      <c r="A396" t="s">
        <v>927</v>
      </c>
      <c r="B396" t="s">
        <v>14</v>
      </c>
      <c r="C396" t="s">
        <v>35</v>
      </c>
      <c r="D396" t="s">
        <v>928</v>
      </c>
      <c r="E396" t="s">
        <v>927</v>
      </c>
      <c r="F396" t="s">
        <v>35</v>
      </c>
    </row>
    <row r="397" spans="1:6" x14ac:dyDescent="0.35">
      <c r="A397" t="s">
        <v>929</v>
      </c>
      <c r="B397" t="s">
        <v>14</v>
      </c>
      <c r="C397" t="s">
        <v>158</v>
      </c>
      <c r="D397" t="s">
        <v>1641</v>
      </c>
      <c r="E397" t="s">
        <v>929</v>
      </c>
      <c r="F397" t="s">
        <v>158</v>
      </c>
    </row>
    <row r="398" spans="1:6" x14ac:dyDescent="0.35">
      <c r="A398" t="s">
        <v>1642</v>
      </c>
      <c r="B398" t="s">
        <v>14</v>
      </c>
      <c r="C398" t="s">
        <v>36</v>
      </c>
      <c r="D398" t="s">
        <v>1643</v>
      </c>
      <c r="E398" t="s">
        <v>1642</v>
      </c>
      <c r="F398" t="s">
        <v>36</v>
      </c>
    </row>
    <row r="399" spans="1:6" x14ac:dyDescent="0.35">
      <c r="A399" t="s">
        <v>336</v>
      </c>
      <c r="B399" t="s">
        <v>29</v>
      </c>
      <c r="C399" t="s">
        <v>28</v>
      </c>
      <c r="D399" t="s">
        <v>930</v>
      </c>
      <c r="E399" t="s">
        <v>336</v>
      </c>
      <c r="F399" t="s">
        <v>28</v>
      </c>
    </row>
    <row r="400" spans="1:6" x14ac:dyDescent="0.35">
      <c r="A400" t="s">
        <v>931</v>
      </c>
      <c r="B400" t="s">
        <v>14</v>
      </c>
      <c r="C400" t="s">
        <v>17</v>
      </c>
      <c r="D400" t="s">
        <v>932</v>
      </c>
      <c r="E400" t="s">
        <v>931</v>
      </c>
      <c r="F400" t="s">
        <v>17</v>
      </c>
    </row>
    <row r="401" spans="1:6" x14ac:dyDescent="0.35">
      <c r="A401" t="s">
        <v>933</v>
      </c>
      <c r="B401" t="s">
        <v>29</v>
      </c>
      <c r="C401" t="s">
        <v>19</v>
      </c>
      <c r="D401" t="s">
        <v>934</v>
      </c>
      <c r="E401" t="s">
        <v>933</v>
      </c>
      <c r="F401" t="s">
        <v>19</v>
      </c>
    </row>
    <row r="402" spans="1:6" x14ac:dyDescent="0.35">
      <c r="A402" t="s">
        <v>935</v>
      </c>
      <c r="B402" t="s">
        <v>14</v>
      </c>
      <c r="C402" t="s">
        <v>73</v>
      </c>
      <c r="D402" t="s">
        <v>1644</v>
      </c>
      <c r="E402" t="s">
        <v>935</v>
      </c>
      <c r="F402" t="s">
        <v>73</v>
      </c>
    </row>
    <row r="403" spans="1:6" x14ac:dyDescent="0.35">
      <c r="A403" t="s">
        <v>936</v>
      </c>
      <c r="B403" t="s">
        <v>29</v>
      </c>
      <c r="C403" t="s">
        <v>73</v>
      </c>
      <c r="D403" t="s">
        <v>1645</v>
      </c>
      <c r="E403" t="s">
        <v>936</v>
      </c>
      <c r="F403" t="s">
        <v>73</v>
      </c>
    </row>
    <row r="404" spans="1:6" x14ac:dyDescent="0.35">
      <c r="A404" t="s">
        <v>937</v>
      </c>
      <c r="B404" t="s">
        <v>14</v>
      </c>
      <c r="C404" t="s">
        <v>158</v>
      </c>
      <c r="D404" t="s">
        <v>938</v>
      </c>
      <c r="E404" t="s">
        <v>937</v>
      </c>
      <c r="F404" t="s">
        <v>158</v>
      </c>
    </row>
    <row r="405" spans="1:6" x14ac:dyDescent="0.35">
      <c r="A405" t="s">
        <v>132</v>
      </c>
      <c r="B405" t="s">
        <v>14</v>
      </c>
      <c r="C405" t="s">
        <v>133</v>
      </c>
      <c r="D405" t="s">
        <v>939</v>
      </c>
      <c r="E405" t="s">
        <v>132</v>
      </c>
      <c r="F405" t="s">
        <v>133</v>
      </c>
    </row>
    <row r="406" spans="1:6" x14ac:dyDescent="0.35">
      <c r="A406" t="s">
        <v>1406</v>
      </c>
      <c r="B406" t="s">
        <v>14</v>
      </c>
      <c r="C406" t="s">
        <v>19</v>
      </c>
      <c r="D406" t="s">
        <v>1646</v>
      </c>
      <c r="E406" t="s">
        <v>1406</v>
      </c>
      <c r="F406" t="s">
        <v>19</v>
      </c>
    </row>
    <row r="407" spans="1:6" x14ac:dyDescent="0.35">
      <c r="A407" t="s">
        <v>402</v>
      </c>
      <c r="B407" t="s">
        <v>14</v>
      </c>
      <c r="C407" t="s">
        <v>36</v>
      </c>
      <c r="D407" t="s">
        <v>940</v>
      </c>
      <c r="E407" t="s">
        <v>402</v>
      </c>
      <c r="F407" t="s">
        <v>36</v>
      </c>
    </row>
    <row r="408" spans="1:6" x14ac:dyDescent="0.35">
      <c r="A408" t="s">
        <v>942</v>
      </c>
      <c r="B408" t="s">
        <v>14</v>
      </c>
      <c r="C408" t="s">
        <v>28</v>
      </c>
      <c r="D408" t="s">
        <v>941</v>
      </c>
      <c r="E408" t="s">
        <v>942</v>
      </c>
      <c r="F408" t="s">
        <v>28</v>
      </c>
    </row>
    <row r="409" spans="1:6" x14ac:dyDescent="0.35">
      <c r="A409" t="s">
        <v>944</v>
      </c>
      <c r="B409" t="s">
        <v>14</v>
      </c>
      <c r="C409" t="s">
        <v>15</v>
      </c>
      <c r="D409" t="s">
        <v>943</v>
      </c>
      <c r="E409" t="s">
        <v>944</v>
      </c>
      <c r="F409" t="s">
        <v>15</v>
      </c>
    </row>
    <row r="410" spans="1:6" x14ac:dyDescent="0.35">
      <c r="A410" t="s">
        <v>945</v>
      </c>
      <c r="B410" t="s">
        <v>14</v>
      </c>
      <c r="C410" t="s">
        <v>30</v>
      </c>
      <c r="D410" t="s">
        <v>1647</v>
      </c>
      <c r="E410" t="s">
        <v>945</v>
      </c>
      <c r="F410" t="s">
        <v>30</v>
      </c>
    </row>
    <row r="411" spans="1:6" x14ac:dyDescent="0.35">
      <c r="A411" t="s">
        <v>946</v>
      </c>
      <c r="B411" t="s">
        <v>29</v>
      </c>
      <c r="C411" t="s">
        <v>21</v>
      </c>
      <c r="D411" t="s">
        <v>947</v>
      </c>
      <c r="E411" t="s">
        <v>946</v>
      </c>
      <c r="F411" t="s">
        <v>21</v>
      </c>
    </row>
    <row r="412" spans="1:6" x14ac:dyDescent="0.35">
      <c r="A412" t="s">
        <v>948</v>
      </c>
      <c r="B412" t="s">
        <v>29</v>
      </c>
      <c r="C412" t="s">
        <v>21</v>
      </c>
      <c r="D412" t="s">
        <v>949</v>
      </c>
      <c r="E412" t="s">
        <v>948</v>
      </c>
      <c r="F412" t="s">
        <v>21</v>
      </c>
    </row>
    <row r="413" spans="1:6" x14ac:dyDescent="0.35">
      <c r="A413" t="s">
        <v>950</v>
      </c>
      <c r="B413" t="s">
        <v>29</v>
      </c>
      <c r="C413" t="s">
        <v>123</v>
      </c>
      <c r="D413" t="s">
        <v>1648</v>
      </c>
      <c r="E413" t="s">
        <v>950</v>
      </c>
      <c r="F413" t="s">
        <v>123</v>
      </c>
    </row>
    <row r="414" spans="1:6" x14ac:dyDescent="0.35">
      <c r="A414" t="s">
        <v>1649</v>
      </c>
      <c r="B414" t="s">
        <v>29</v>
      </c>
      <c r="C414" t="s">
        <v>19</v>
      </c>
      <c r="D414" t="s">
        <v>1650</v>
      </c>
      <c r="E414" t="s">
        <v>1649</v>
      </c>
      <c r="F414" t="s">
        <v>19</v>
      </c>
    </row>
    <row r="415" spans="1:6" x14ac:dyDescent="0.35">
      <c r="A415" t="s">
        <v>468</v>
      </c>
      <c r="B415" t="s">
        <v>29</v>
      </c>
      <c r="C415" t="s">
        <v>35</v>
      </c>
      <c r="D415" t="s">
        <v>951</v>
      </c>
      <c r="E415" t="s">
        <v>468</v>
      </c>
      <c r="F415" t="s">
        <v>35</v>
      </c>
    </row>
    <row r="416" spans="1:6" x14ac:dyDescent="0.35">
      <c r="A416" t="s">
        <v>373</v>
      </c>
      <c r="B416" t="s">
        <v>29</v>
      </c>
      <c r="C416" t="s">
        <v>139</v>
      </c>
      <c r="D416" t="s">
        <v>952</v>
      </c>
      <c r="E416" t="s">
        <v>373</v>
      </c>
      <c r="F416" t="s">
        <v>139</v>
      </c>
    </row>
    <row r="417" spans="1:6" x14ac:dyDescent="0.35">
      <c r="A417" t="s">
        <v>300</v>
      </c>
      <c r="B417" t="s">
        <v>29</v>
      </c>
      <c r="C417" t="s">
        <v>30</v>
      </c>
      <c r="D417" t="s">
        <v>953</v>
      </c>
      <c r="E417" t="s">
        <v>300</v>
      </c>
      <c r="F417" t="s">
        <v>30</v>
      </c>
    </row>
    <row r="418" spans="1:6" x14ac:dyDescent="0.35">
      <c r="A418" t="s">
        <v>1651</v>
      </c>
      <c r="B418" t="s">
        <v>14</v>
      </c>
      <c r="C418" t="s">
        <v>167</v>
      </c>
      <c r="D418" t="s">
        <v>1652</v>
      </c>
      <c r="E418" t="s">
        <v>1651</v>
      </c>
      <c r="F418" t="s">
        <v>167</v>
      </c>
    </row>
    <row r="419" spans="1:6" x14ac:dyDescent="0.35">
      <c r="A419" t="s">
        <v>954</v>
      </c>
      <c r="B419" t="s">
        <v>14</v>
      </c>
      <c r="C419" t="s">
        <v>73</v>
      </c>
      <c r="D419" t="s">
        <v>1653</v>
      </c>
      <c r="E419" t="s">
        <v>954</v>
      </c>
      <c r="F419" t="s">
        <v>73</v>
      </c>
    </row>
    <row r="420" spans="1:6" x14ac:dyDescent="0.35">
      <c r="A420" t="s">
        <v>1452</v>
      </c>
      <c r="B420" t="s">
        <v>14</v>
      </c>
      <c r="C420" t="s">
        <v>15</v>
      </c>
      <c r="D420" t="s">
        <v>1654</v>
      </c>
      <c r="E420" t="s">
        <v>1452</v>
      </c>
      <c r="F420" t="s">
        <v>15</v>
      </c>
    </row>
    <row r="421" spans="1:6" x14ac:dyDescent="0.35">
      <c r="A421" t="s">
        <v>212</v>
      </c>
      <c r="B421" t="s">
        <v>29</v>
      </c>
      <c r="C421" t="s">
        <v>30</v>
      </c>
      <c r="D421" t="s">
        <v>955</v>
      </c>
      <c r="E421" t="s">
        <v>212</v>
      </c>
      <c r="F421" t="s">
        <v>30</v>
      </c>
    </row>
    <row r="422" spans="1:6" x14ac:dyDescent="0.35">
      <c r="A422" t="s">
        <v>1435</v>
      </c>
      <c r="B422" t="s">
        <v>29</v>
      </c>
      <c r="C422" t="s">
        <v>33</v>
      </c>
      <c r="D422" t="s">
        <v>1655</v>
      </c>
      <c r="E422" t="s">
        <v>1435</v>
      </c>
      <c r="F422" t="s">
        <v>33</v>
      </c>
    </row>
    <row r="423" spans="1:6" x14ac:dyDescent="0.35">
      <c r="A423" t="s">
        <v>1408</v>
      </c>
      <c r="B423" t="s">
        <v>14</v>
      </c>
      <c r="C423" t="s">
        <v>15</v>
      </c>
      <c r="D423" t="s">
        <v>1656</v>
      </c>
      <c r="E423" t="s">
        <v>1408</v>
      </c>
      <c r="F423" t="s">
        <v>15</v>
      </c>
    </row>
    <row r="424" spans="1:6" x14ac:dyDescent="0.35">
      <c r="A424" t="s">
        <v>1401</v>
      </c>
      <c r="B424" t="s">
        <v>14</v>
      </c>
      <c r="C424" t="s">
        <v>44</v>
      </c>
      <c r="D424" t="s">
        <v>1657</v>
      </c>
      <c r="E424" t="s">
        <v>1401</v>
      </c>
      <c r="F424" t="s">
        <v>44</v>
      </c>
    </row>
    <row r="425" spans="1:6" x14ac:dyDescent="0.35">
      <c r="A425" t="s">
        <v>957</v>
      </c>
      <c r="B425" t="s">
        <v>14</v>
      </c>
      <c r="C425" t="s">
        <v>956</v>
      </c>
      <c r="D425" t="s">
        <v>1658</v>
      </c>
      <c r="E425" t="s">
        <v>957</v>
      </c>
      <c r="F425" t="s">
        <v>956</v>
      </c>
    </row>
    <row r="426" spans="1:6" x14ac:dyDescent="0.35">
      <c r="A426" t="s">
        <v>958</v>
      </c>
      <c r="B426" t="s">
        <v>14</v>
      </c>
      <c r="C426" t="s">
        <v>158</v>
      </c>
      <c r="D426" t="s">
        <v>1659</v>
      </c>
      <c r="E426" t="s">
        <v>958</v>
      </c>
      <c r="F426" t="s">
        <v>158</v>
      </c>
    </row>
    <row r="427" spans="1:6" x14ac:dyDescent="0.35">
      <c r="A427" t="s">
        <v>959</v>
      </c>
      <c r="B427" t="s">
        <v>29</v>
      </c>
      <c r="C427" t="s">
        <v>21</v>
      </c>
      <c r="D427" t="s">
        <v>1660</v>
      </c>
      <c r="E427" t="s">
        <v>959</v>
      </c>
      <c r="F427" t="s">
        <v>21</v>
      </c>
    </row>
    <row r="428" spans="1:6" x14ac:dyDescent="0.35">
      <c r="A428" t="s">
        <v>318</v>
      </c>
      <c r="B428" t="s">
        <v>29</v>
      </c>
      <c r="C428" t="s">
        <v>21</v>
      </c>
      <c r="D428" t="s">
        <v>960</v>
      </c>
      <c r="E428" t="s">
        <v>318</v>
      </c>
      <c r="F428" t="s">
        <v>21</v>
      </c>
    </row>
    <row r="429" spans="1:6" x14ac:dyDescent="0.35">
      <c r="A429" t="s">
        <v>471</v>
      </c>
      <c r="B429" t="s">
        <v>14</v>
      </c>
      <c r="C429" t="s">
        <v>118</v>
      </c>
      <c r="D429" t="s">
        <v>961</v>
      </c>
      <c r="E429" t="s">
        <v>471</v>
      </c>
      <c r="F429" t="s">
        <v>118</v>
      </c>
    </row>
    <row r="430" spans="1:6" x14ac:dyDescent="0.35">
      <c r="A430" t="s">
        <v>311</v>
      </c>
      <c r="B430" t="s">
        <v>14</v>
      </c>
      <c r="C430" t="s">
        <v>21</v>
      </c>
      <c r="D430" t="s">
        <v>962</v>
      </c>
      <c r="E430" t="s">
        <v>311</v>
      </c>
      <c r="F430" t="s">
        <v>21</v>
      </c>
    </row>
    <row r="431" spans="1:6" x14ac:dyDescent="0.35">
      <c r="A431" t="s">
        <v>963</v>
      </c>
      <c r="B431" t="s">
        <v>14</v>
      </c>
      <c r="C431" t="s">
        <v>19</v>
      </c>
      <c r="D431" t="s">
        <v>964</v>
      </c>
      <c r="E431" t="s">
        <v>963</v>
      </c>
      <c r="F431" t="s">
        <v>19</v>
      </c>
    </row>
    <row r="432" spans="1:6" x14ac:dyDescent="0.35">
      <c r="A432" t="s">
        <v>965</v>
      </c>
      <c r="B432" t="s">
        <v>14</v>
      </c>
      <c r="C432" t="s">
        <v>123</v>
      </c>
      <c r="D432" t="s">
        <v>1661</v>
      </c>
      <c r="E432" t="s">
        <v>965</v>
      </c>
      <c r="F432" t="s">
        <v>123</v>
      </c>
    </row>
    <row r="433" spans="1:6" x14ac:dyDescent="0.35">
      <c r="A433" t="s">
        <v>967</v>
      </c>
      <c r="B433" t="s">
        <v>29</v>
      </c>
      <c r="C433" t="s">
        <v>88</v>
      </c>
      <c r="D433" t="s">
        <v>966</v>
      </c>
      <c r="E433" t="s">
        <v>967</v>
      </c>
      <c r="F433" t="s">
        <v>88</v>
      </c>
    </row>
    <row r="434" spans="1:6" x14ac:dyDescent="0.35">
      <c r="A434" t="s">
        <v>1662</v>
      </c>
      <c r="B434" t="s">
        <v>29</v>
      </c>
      <c r="C434" t="s">
        <v>34</v>
      </c>
      <c r="D434" t="s">
        <v>1663</v>
      </c>
      <c r="E434" t="s">
        <v>1662</v>
      </c>
      <c r="F434" t="s">
        <v>34</v>
      </c>
    </row>
    <row r="435" spans="1:6" x14ac:dyDescent="0.35">
      <c r="A435" t="s">
        <v>1422</v>
      </c>
      <c r="B435" t="s">
        <v>14</v>
      </c>
      <c r="C435" t="s">
        <v>167</v>
      </c>
      <c r="D435" t="s">
        <v>1664</v>
      </c>
      <c r="E435" t="s">
        <v>1422</v>
      </c>
      <c r="F435" t="s">
        <v>167</v>
      </c>
    </row>
    <row r="436" spans="1:6" x14ac:dyDescent="0.35">
      <c r="A436" t="s">
        <v>968</v>
      </c>
      <c r="B436" t="s">
        <v>29</v>
      </c>
      <c r="C436" t="s">
        <v>139</v>
      </c>
      <c r="D436" t="s">
        <v>969</v>
      </c>
      <c r="E436" t="s">
        <v>968</v>
      </c>
      <c r="F436" t="s">
        <v>139</v>
      </c>
    </row>
    <row r="437" spans="1:6" x14ac:dyDescent="0.35">
      <c r="A437" t="s">
        <v>970</v>
      </c>
      <c r="B437" t="s">
        <v>14</v>
      </c>
      <c r="C437" t="s">
        <v>333</v>
      </c>
      <c r="D437" t="s">
        <v>971</v>
      </c>
      <c r="E437" t="s">
        <v>970</v>
      </c>
      <c r="F437" t="s">
        <v>333</v>
      </c>
    </row>
    <row r="438" spans="1:6" x14ac:dyDescent="0.35">
      <c r="A438" t="s">
        <v>972</v>
      </c>
      <c r="B438" t="s">
        <v>29</v>
      </c>
      <c r="C438" t="s">
        <v>303</v>
      </c>
      <c r="D438" t="s">
        <v>1665</v>
      </c>
      <c r="E438" t="s">
        <v>972</v>
      </c>
      <c r="F438" t="s">
        <v>303</v>
      </c>
    </row>
    <row r="439" spans="1:6" x14ac:dyDescent="0.35">
      <c r="A439" t="s">
        <v>973</v>
      </c>
      <c r="B439" t="s">
        <v>14</v>
      </c>
      <c r="C439" t="s">
        <v>123</v>
      </c>
      <c r="D439" t="s">
        <v>1666</v>
      </c>
      <c r="E439" t="s">
        <v>973</v>
      </c>
      <c r="F439" t="s">
        <v>123</v>
      </c>
    </row>
    <row r="440" spans="1:6" x14ac:dyDescent="0.35">
      <c r="A440" t="s">
        <v>974</v>
      </c>
      <c r="B440" t="s">
        <v>14</v>
      </c>
      <c r="C440" t="s">
        <v>15</v>
      </c>
      <c r="D440" t="s">
        <v>975</v>
      </c>
      <c r="E440" t="s">
        <v>974</v>
      </c>
      <c r="F440" t="s">
        <v>15</v>
      </c>
    </row>
    <row r="441" spans="1:6" x14ac:dyDescent="0.35">
      <c r="A441" t="s">
        <v>240</v>
      </c>
      <c r="B441" t="s">
        <v>14</v>
      </c>
      <c r="C441" t="s">
        <v>30</v>
      </c>
      <c r="D441" t="s">
        <v>976</v>
      </c>
      <c r="E441" t="s">
        <v>240</v>
      </c>
      <c r="F441" t="s">
        <v>30</v>
      </c>
    </row>
    <row r="442" spans="1:6" x14ac:dyDescent="0.35">
      <c r="A442" t="s">
        <v>1336</v>
      </c>
      <c r="B442" t="s">
        <v>14</v>
      </c>
      <c r="C442" t="s">
        <v>15</v>
      </c>
      <c r="D442" t="s">
        <v>1667</v>
      </c>
      <c r="E442" t="s">
        <v>1336</v>
      </c>
      <c r="F442" t="s">
        <v>15</v>
      </c>
    </row>
    <row r="443" spans="1:6" x14ac:dyDescent="0.35">
      <c r="A443" t="s">
        <v>977</v>
      </c>
      <c r="B443" t="s">
        <v>14</v>
      </c>
      <c r="C443" t="s">
        <v>49</v>
      </c>
      <c r="D443" t="s">
        <v>978</v>
      </c>
      <c r="E443" t="s">
        <v>977</v>
      </c>
      <c r="F443" t="s">
        <v>49</v>
      </c>
    </row>
    <row r="444" spans="1:6" x14ac:dyDescent="0.35">
      <c r="A444" t="s">
        <v>979</v>
      </c>
      <c r="B444" t="s">
        <v>29</v>
      </c>
      <c r="C444" t="s">
        <v>21</v>
      </c>
      <c r="D444" t="s">
        <v>1668</v>
      </c>
      <c r="E444" t="s">
        <v>979</v>
      </c>
      <c r="F444" t="s">
        <v>21</v>
      </c>
    </row>
    <row r="445" spans="1:6" x14ac:dyDescent="0.35">
      <c r="A445" t="s">
        <v>980</v>
      </c>
      <c r="B445" t="s">
        <v>29</v>
      </c>
      <c r="C445" t="s">
        <v>21</v>
      </c>
      <c r="D445" t="s">
        <v>981</v>
      </c>
      <c r="E445" t="s">
        <v>980</v>
      </c>
      <c r="F445" t="s">
        <v>21</v>
      </c>
    </row>
    <row r="446" spans="1:6" x14ac:dyDescent="0.35">
      <c r="A446" t="s">
        <v>982</v>
      </c>
      <c r="B446" t="s">
        <v>29</v>
      </c>
      <c r="C446" t="s">
        <v>159</v>
      </c>
      <c r="D446" t="s">
        <v>1669</v>
      </c>
      <c r="E446" t="s">
        <v>982</v>
      </c>
      <c r="F446" t="s">
        <v>159</v>
      </c>
    </row>
    <row r="447" spans="1:6" x14ac:dyDescent="0.35">
      <c r="A447" t="s">
        <v>328</v>
      </c>
      <c r="B447" t="s">
        <v>29</v>
      </c>
      <c r="C447" t="s">
        <v>30</v>
      </c>
      <c r="D447" t="s">
        <v>983</v>
      </c>
      <c r="E447" t="s">
        <v>328</v>
      </c>
      <c r="F447" t="s">
        <v>30</v>
      </c>
    </row>
    <row r="448" spans="1:6" x14ac:dyDescent="0.35">
      <c r="A448" t="s">
        <v>1670</v>
      </c>
      <c r="B448" t="s">
        <v>29</v>
      </c>
      <c r="C448" t="s">
        <v>66</v>
      </c>
      <c r="D448" t="s">
        <v>1671</v>
      </c>
      <c r="E448" t="s">
        <v>1670</v>
      </c>
      <c r="F448" t="s">
        <v>66</v>
      </c>
    </row>
    <row r="449" spans="1:6" x14ac:dyDescent="0.35">
      <c r="A449" t="s">
        <v>481</v>
      </c>
      <c r="B449" t="s">
        <v>29</v>
      </c>
      <c r="C449" t="s">
        <v>73</v>
      </c>
      <c r="D449" t="s">
        <v>984</v>
      </c>
      <c r="E449" t="s">
        <v>481</v>
      </c>
      <c r="F449" t="s">
        <v>73</v>
      </c>
    </row>
    <row r="450" spans="1:6" x14ac:dyDescent="0.35">
      <c r="A450" t="s">
        <v>986</v>
      </c>
      <c r="B450" t="s">
        <v>29</v>
      </c>
      <c r="C450" t="s">
        <v>49</v>
      </c>
      <c r="D450" t="s">
        <v>985</v>
      </c>
      <c r="E450" t="s">
        <v>986</v>
      </c>
      <c r="F450" t="s">
        <v>49</v>
      </c>
    </row>
    <row r="451" spans="1:6" x14ac:dyDescent="0.35">
      <c r="A451" t="s">
        <v>1394</v>
      </c>
      <c r="B451" t="s">
        <v>29</v>
      </c>
      <c r="C451" t="s">
        <v>17</v>
      </c>
      <c r="D451" t="s">
        <v>1672</v>
      </c>
      <c r="E451" t="s">
        <v>1394</v>
      </c>
      <c r="F451" t="s">
        <v>17</v>
      </c>
    </row>
    <row r="452" spans="1:6" x14ac:dyDescent="0.35">
      <c r="A452" t="s">
        <v>987</v>
      </c>
      <c r="B452" t="s">
        <v>29</v>
      </c>
      <c r="C452" t="s">
        <v>17</v>
      </c>
      <c r="D452" t="s">
        <v>1672</v>
      </c>
      <c r="E452" t="s">
        <v>987</v>
      </c>
      <c r="F452" t="s">
        <v>17</v>
      </c>
    </row>
    <row r="453" spans="1:6" x14ac:dyDescent="0.35">
      <c r="A453" t="s">
        <v>988</v>
      </c>
      <c r="B453" t="s">
        <v>14</v>
      </c>
      <c r="C453" t="s">
        <v>73</v>
      </c>
      <c r="D453" t="s">
        <v>1673</v>
      </c>
      <c r="E453" t="s">
        <v>988</v>
      </c>
      <c r="F453" t="s">
        <v>73</v>
      </c>
    </row>
    <row r="454" spans="1:6" x14ac:dyDescent="0.35">
      <c r="A454" t="s">
        <v>989</v>
      </c>
      <c r="B454" t="s">
        <v>29</v>
      </c>
      <c r="C454" t="s">
        <v>73</v>
      </c>
      <c r="D454" t="s">
        <v>990</v>
      </c>
      <c r="E454" t="s">
        <v>989</v>
      </c>
      <c r="F454" t="s">
        <v>73</v>
      </c>
    </row>
    <row r="455" spans="1:6" x14ac:dyDescent="0.35">
      <c r="A455" t="s">
        <v>991</v>
      </c>
      <c r="B455" t="s">
        <v>29</v>
      </c>
      <c r="C455" t="s">
        <v>73</v>
      </c>
      <c r="D455" t="s">
        <v>992</v>
      </c>
      <c r="E455" t="s">
        <v>991</v>
      </c>
      <c r="F455" t="s">
        <v>73</v>
      </c>
    </row>
    <row r="456" spans="1:6" x14ac:dyDescent="0.35">
      <c r="A456" t="s">
        <v>993</v>
      </c>
      <c r="B456" t="s">
        <v>29</v>
      </c>
      <c r="C456" t="s">
        <v>117</v>
      </c>
      <c r="D456" t="s">
        <v>1674</v>
      </c>
      <c r="E456" t="s">
        <v>993</v>
      </c>
      <c r="F456" t="s">
        <v>117</v>
      </c>
    </row>
    <row r="457" spans="1:6" x14ac:dyDescent="0.35">
      <c r="A457" t="s">
        <v>1381</v>
      </c>
      <c r="B457" t="s">
        <v>29</v>
      </c>
      <c r="C457" t="s">
        <v>15</v>
      </c>
      <c r="D457" t="s">
        <v>1675</v>
      </c>
      <c r="E457" t="s">
        <v>1381</v>
      </c>
      <c r="F457" t="s">
        <v>15</v>
      </c>
    </row>
    <row r="458" spans="1:6" x14ac:dyDescent="0.35">
      <c r="A458" t="s">
        <v>480</v>
      </c>
      <c r="B458" t="s">
        <v>29</v>
      </c>
      <c r="C458" t="s">
        <v>73</v>
      </c>
      <c r="D458" t="s">
        <v>1676</v>
      </c>
      <c r="E458" t="s">
        <v>480</v>
      </c>
      <c r="F458" t="s">
        <v>73</v>
      </c>
    </row>
    <row r="459" spans="1:6" x14ac:dyDescent="0.35">
      <c r="A459" t="s">
        <v>376</v>
      </c>
      <c r="B459" t="s">
        <v>29</v>
      </c>
      <c r="C459" t="s">
        <v>36</v>
      </c>
      <c r="D459" t="s">
        <v>994</v>
      </c>
      <c r="E459" t="s">
        <v>376</v>
      </c>
      <c r="F459" t="s">
        <v>36</v>
      </c>
    </row>
    <row r="460" spans="1:6" x14ac:dyDescent="0.35">
      <c r="A460" t="s">
        <v>256</v>
      </c>
      <c r="B460" t="s">
        <v>29</v>
      </c>
      <c r="C460" t="s">
        <v>19</v>
      </c>
      <c r="D460" t="s">
        <v>995</v>
      </c>
      <c r="E460" t="s">
        <v>256</v>
      </c>
      <c r="F460" t="s">
        <v>19</v>
      </c>
    </row>
    <row r="461" spans="1:6" x14ac:dyDescent="0.35">
      <c r="A461" t="s">
        <v>996</v>
      </c>
      <c r="B461" t="s">
        <v>29</v>
      </c>
      <c r="C461" t="s">
        <v>28</v>
      </c>
      <c r="D461" t="s">
        <v>1677</v>
      </c>
      <c r="E461" t="s">
        <v>996</v>
      </c>
      <c r="F461" t="s">
        <v>28</v>
      </c>
    </row>
    <row r="462" spans="1:6" x14ac:dyDescent="0.35">
      <c r="A462" t="s">
        <v>998</v>
      </c>
      <c r="B462" t="s">
        <v>29</v>
      </c>
      <c r="C462" t="s">
        <v>73</v>
      </c>
      <c r="D462" t="s">
        <v>997</v>
      </c>
      <c r="E462" t="s">
        <v>998</v>
      </c>
      <c r="F462" t="s">
        <v>73</v>
      </c>
    </row>
    <row r="463" spans="1:6" x14ac:dyDescent="0.35">
      <c r="A463" t="s">
        <v>1678</v>
      </c>
      <c r="B463" t="s">
        <v>29</v>
      </c>
      <c r="C463" t="s">
        <v>1679</v>
      </c>
      <c r="D463" t="s">
        <v>1680</v>
      </c>
      <c r="E463" t="s">
        <v>1678</v>
      </c>
      <c r="F463" t="s">
        <v>1679</v>
      </c>
    </row>
    <row r="464" spans="1:6" x14ac:dyDescent="0.35">
      <c r="A464" t="s">
        <v>1364</v>
      </c>
      <c r="B464" t="s">
        <v>14</v>
      </c>
      <c r="C464" t="s">
        <v>17</v>
      </c>
      <c r="D464" t="s">
        <v>1681</v>
      </c>
      <c r="E464" t="s">
        <v>1364</v>
      </c>
      <c r="F464" t="s">
        <v>17</v>
      </c>
    </row>
    <row r="465" spans="1:6" x14ac:dyDescent="0.35">
      <c r="A465" t="s">
        <v>447</v>
      </c>
      <c r="B465" t="s">
        <v>29</v>
      </c>
      <c r="C465" t="s">
        <v>427</v>
      </c>
      <c r="D465" t="s">
        <v>999</v>
      </c>
      <c r="E465" t="s">
        <v>447</v>
      </c>
      <c r="F465" t="s">
        <v>427</v>
      </c>
    </row>
    <row r="466" spans="1:6" x14ac:dyDescent="0.35">
      <c r="A466" t="s">
        <v>224</v>
      </c>
      <c r="B466" t="s">
        <v>29</v>
      </c>
      <c r="C466" t="s">
        <v>73</v>
      </c>
      <c r="D466" t="s">
        <v>1000</v>
      </c>
      <c r="E466" t="s">
        <v>224</v>
      </c>
      <c r="F466" t="s">
        <v>73</v>
      </c>
    </row>
    <row r="467" spans="1:6" x14ac:dyDescent="0.35">
      <c r="A467" t="s">
        <v>1001</v>
      </c>
      <c r="B467" t="s">
        <v>29</v>
      </c>
      <c r="C467" t="s">
        <v>37</v>
      </c>
      <c r="D467" t="s">
        <v>1682</v>
      </c>
      <c r="E467" t="s">
        <v>1001</v>
      </c>
      <c r="F467" t="s">
        <v>37</v>
      </c>
    </row>
    <row r="468" spans="1:6" x14ac:dyDescent="0.35">
      <c r="A468" t="s">
        <v>1002</v>
      </c>
      <c r="B468" t="s">
        <v>14</v>
      </c>
      <c r="C468" t="s">
        <v>139</v>
      </c>
      <c r="D468" t="s">
        <v>1683</v>
      </c>
      <c r="E468" t="s">
        <v>1002</v>
      </c>
      <c r="F468" t="s">
        <v>139</v>
      </c>
    </row>
    <row r="469" spans="1:6" x14ac:dyDescent="0.35">
      <c r="A469" t="s">
        <v>1457</v>
      </c>
      <c r="B469" t="s">
        <v>14</v>
      </c>
      <c r="C469" t="s">
        <v>15</v>
      </c>
      <c r="D469" t="s">
        <v>1684</v>
      </c>
      <c r="E469" t="s">
        <v>1457</v>
      </c>
      <c r="F469" t="s">
        <v>15</v>
      </c>
    </row>
    <row r="470" spans="1:6" x14ac:dyDescent="0.35">
      <c r="A470" t="s">
        <v>1003</v>
      </c>
      <c r="B470" t="s">
        <v>29</v>
      </c>
      <c r="C470" t="s">
        <v>21</v>
      </c>
      <c r="D470" t="s">
        <v>1685</v>
      </c>
      <c r="E470" t="s">
        <v>1003</v>
      </c>
      <c r="F470" t="s">
        <v>21</v>
      </c>
    </row>
    <row r="471" spans="1:6" x14ac:dyDescent="0.35">
      <c r="A471" t="s">
        <v>1386</v>
      </c>
      <c r="B471" t="s">
        <v>14</v>
      </c>
      <c r="C471" t="s">
        <v>17</v>
      </c>
      <c r="D471" t="s">
        <v>1686</v>
      </c>
      <c r="E471" t="s">
        <v>1386</v>
      </c>
      <c r="F471" t="s">
        <v>17</v>
      </c>
    </row>
    <row r="472" spans="1:6" x14ac:dyDescent="0.35">
      <c r="A472" t="s">
        <v>1687</v>
      </c>
      <c r="B472" t="s">
        <v>14</v>
      </c>
      <c r="C472" t="s">
        <v>17</v>
      </c>
      <c r="D472" t="s">
        <v>1688</v>
      </c>
      <c r="E472" t="s">
        <v>1687</v>
      </c>
      <c r="F472" t="s">
        <v>17</v>
      </c>
    </row>
    <row r="473" spans="1:6" x14ac:dyDescent="0.35">
      <c r="A473" t="s">
        <v>356</v>
      </c>
      <c r="B473" t="s">
        <v>14</v>
      </c>
      <c r="C473" t="s">
        <v>73</v>
      </c>
      <c r="D473" t="s">
        <v>1689</v>
      </c>
      <c r="E473" t="s">
        <v>356</v>
      </c>
      <c r="F473" t="s">
        <v>73</v>
      </c>
    </row>
    <row r="474" spans="1:6" x14ac:dyDescent="0.35">
      <c r="A474" t="s">
        <v>278</v>
      </c>
      <c r="B474" t="s">
        <v>29</v>
      </c>
      <c r="C474" t="s">
        <v>66</v>
      </c>
      <c r="D474" t="s">
        <v>1004</v>
      </c>
      <c r="E474" t="s">
        <v>278</v>
      </c>
      <c r="F474" t="s">
        <v>66</v>
      </c>
    </row>
    <row r="475" spans="1:6" x14ac:dyDescent="0.35">
      <c r="A475" t="s">
        <v>408</v>
      </c>
      <c r="B475" t="s">
        <v>29</v>
      </c>
      <c r="C475" t="s">
        <v>28</v>
      </c>
      <c r="D475" t="s">
        <v>1005</v>
      </c>
      <c r="E475" t="s">
        <v>408</v>
      </c>
      <c r="F475" t="s">
        <v>28</v>
      </c>
    </row>
    <row r="476" spans="1:6" x14ac:dyDescent="0.35">
      <c r="A476" t="s">
        <v>378</v>
      </c>
      <c r="B476" t="s">
        <v>29</v>
      </c>
      <c r="C476" t="s">
        <v>28</v>
      </c>
      <c r="D476" t="s">
        <v>1006</v>
      </c>
      <c r="E476" t="s">
        <v>378</v>
      </c>
      <c r="F476" t="s">
        <v>28</v>
      </c>
    </row>
    <row r="477" spans="1:6" x14ac:dyDescent="0.35">
      <c r="A477" t="s">
        <v>1007</v>
      </c>
      <c r="B477" t="s">
        <v>29</v>
      </c>
      <c r="C477" t="s">
        <v>19</v>
      </c>
      <c r="D477" t="s">
        <v>1008</v>
      </c>
      <c r="E477" t="s">
        <v>1007</v>
      </c>
      <c r="F477" t="s">
        <v>19</v>
      </c>
    </row>
    <row r="478" spans="1:6" x14ac:dyDescent="0.35">
      <c r="A478" t="s">
        <v>1009</v>
      </c>
      <c r="B478" t="s">
        <v>29</v>
      </c>
      <c r="C478" t="s">
        <v>20</v>
      </c>
      <c r="D478" t="s">
        <v>1010</v>
      </c>
      <c r="E478" t="s">
        <v>1009</v>
      </c>
      <c r="F478" t="s">
        <v>20</v>
      </c>
    </row>
    <row r="479" spans="1:6" x14ac:dyDescent="0.35">
      <c r="A479" t="s">
        <v>1423</v>
      </c>
      <c r="B479" t="s">
        <v>14</v>
      </c>
      <c r="C479" t="s">
        <v>36</v>
      </c>
      <c r="D479" t="s">
        <v>1690</v>
      </c>
      <c r="E479" t="s">
        <v>1423</v>
      </c>
      <c r="F479" t="s">
        <v>36</v>
      </c>
    </row>
    <row r="480" spans="1:6" x14ac:dyDescent="0.35">
      <c r="A480" t="s">
        <v>1012</v>
      </c>
      <c r="B480" t="s">
        <v>14</v>
      </c>
      <c r="C480" t="s">
        <v>66</v>
      </c>
      <c r="D480" t="s">
        <v>1011</v>
      </c>
      <c r="E480" t="s">
        <v>1012</v>
      </c>
      <c r="F480" t="s">
        <v>66</v>
      </c>
    </row>
    <row r="481" spans="1:6" x14ac:dyDescent="0.35">
      <c r="A481" t="s">
        <v>1410</v>
      </c>
      <c r="B481" t="s">
        <v>14</v>
      </c>
      <c r="C481" t="s">
        <v>88</v>
      </c>
      <c r="D481" t="s">
        <v>1691</v>
      </c>
      <c r="E481" t="s">
        <v>1410</v>
      </c>
      <c r="F481" t="s">
        <v>88</v>
      </c>
    </row>
    <row r="482" spans="1:6" x14ac:dyDescent="0.35">
      <c r="A482" t="s">
        <v>273</v>
      </c>
      <c r="B482" t="s">
        <v>29</v>
      </c>
      <c r="C482" t="s">
        <v>19</v>
      </c>
      <c r="D482" t="s">
        <v>1013</v>
      </c>
      <c r="E482" t="s">
        <v>273</v>
      </c>
      <c r="F482" t="s">
        <v>19</v>
      </c>
    </row>
    <row r="483" spans="1:6" x14ac:dyDescent="0.35">
      <c r="A483" t="s">
        <v>1014</v>
      </c>
      <c r="B483" t="s">
        <v>14</v>
      </c>
      <c r="C483" t="s">
        <v>17</v>
      </c>
      <c r="D483" t="s">
        <v>1692</v>
      </c>
      <c r="E483" t="s">
        <v>1014</v>
      </c>
      <c r="F483" t="s">
        <v>17</v>
      </c>
    </row>
    <row r="484" spans="1:6" x14ac:dyDescent="0.35">
      <c r="A484" t="s">
        <v>1446</v>
      </c>
      <c r="B484" t="s">
        <v>29</v>
      </c>
      <c r="C484" t="s">
        <v>19</v>
      </c>
      <c r="D484" t="s">
        <v>1693</v>
      </c>
      <c r="E484" t="s">
        <v>1446</v>
      </c>
      <c r="F484" t="s">
        <v>19</v>
      </c>
    </row>
    <row r="485" spans="1:6" x14ac:dyDescent="0.35">
      <c r="A485" t="s">
        <v>1434</v>
      </c>
      <c r="B485" t="s">
        <v>29</v>
      </c>
      <c r="C485" t="s">
        <v>35</v>
      </c>
      <c r="D485" t="s">
        <v>1694</v>
      </c>
      <c r="E485" t="s">
        <v>1434</v>
      </c>
      <c r="F485" t="s">
        <v>35</v>
      </c>
    </row>
    <row r="486" spans="1:6" x14ac:dyDescent="0.35">
      <c r="A486" t="s">
        <v>277</v>
      </c>
      <c r="B486" t="s">
        <v>29</v>
      </c>
      <c r="C486" t="s">
        <v>139</v>
      </c>
      <c r="D486" t="s">
        <v>1015</v>
      </c>
      <c r="E486" t="s">
        <v>277</v>
      </c>
      <c r="F486" t="s">
        <v>139</v>
      </c>
    </row>
    <row r="487" spans="1:6" x14ac:dyDescent="0.35">
      <c r="A487" t="s">
        <v>1016</v>
      </c>
      <c r="B487" t="s">
        <v>29</v>
      </c>
      <c r="C487" t="s">
        <v>21</v>
      </c>
      <c r="D487" t="s">
        <v>1695</v>
      </c>
      <c r="E487" t="s">
        <v>1016</v>
      </c>
      <c r="F487" t="s">
        <v>21</v>
      </c>
    </row>
    <row r="488" spans="1:6" x14ac:dyDescent="0.35">
      <c r="A488" t="s">
        <v>1017</v>
      </c>
      <c r="B488" t="s">
        <v>29</v>
      </c>
      <c r="C488" t="s">
        <v>73</v>
      </c>
      <c r="D488" t="s">
        <v>1018</v>
      </c>
      <c r="E488" t="s">
        <v>1017</v>
      </c>
      <c r="F488" t="s">
        <v>73</v>
      </c>
    </row>
    <row r="489" spans="1:6" x14ac:dyDescent="0.35">
      <c r="A489" t="s">
        <v>1019</v>
      </c>
      <c r="B489" t="s">
        <v>14</v>
      </c>
      <c r="C489" t="s">
        <v>145</v>
      </c>
      <c r="D489" t="s">
        <v>1696</v>
      </c>
      <c r="E489" t="s">
        <v>1019</v>
      </c>
      <c r="F489" t="s">
        <v>145</v>
      </c>
    </row>
    <row r="490" spans="1:6" x14ac:dyDescent="0.35">
      <c r="A490" t="s">
        <v>469</v>
      </c>
      <c r="B490" t="s">
        <v>14</v>
      </c>
      <c r="C490" t="s">
        <v>37</v>
      </c>
      <c r="D490" t="s">
        <v>1020</v>
      </c>
      <c r="E490" t="s">
        <v>469</v>
      </c>
      <c r="F490" t="s">
        <v>37</v>
      </c>
    </row>
    <row r="491" spans="1:6" x14ac:dyDescent="0.35">
      <c r="A491" t="s">
        <v>239</v>
      </c>
      <c r="B491" t="s">
        <v>14</v>
      </c>
      <c r="C491" t="s">
        <v>139</v>
      </c>
      <c r="D491" t="s">
        <v>1021</v>
      </c>
      <c r="E491" t="s">
        <v>239</v>
      </c>
      <c r="F491" t="s">
        <v>139</v>
      </c>
    </row>
    <row r="492" spans="1:6" x14ac:dyDescent="0.35">
      <c r="A492" t="s">
        <v>1022</v>
      </c>
      <c r="B492" t="s">
        <v>14</v>
      </c>
      <c r="C492" t="s">
        <v>30</v>
      </c>
      <c r="D492" t="s">
        <v>1023</v>
      </c>
      <c r="E492" t="s">
        <v>1022</v>
      </c>
      <c r="F492" t="s">
        <v>30</v>
      </c>
    </row>
    <row r="493" spans="1:6" x14ac:dyDescent="0.35">
      <c r="A493" t="s">
        <v>177</v>
      </c>
      <c r="B493" t="s">
        <v>14</v>
      </c>
      <c r="C493" t="s">
        <v>19</v>
      </c>
      <c r="D493" t="s">
        <v>1024</v>
      </c>
      <c r="E493" t="s">
        <v>177</v>
      </c>
      <c r="F493" t="s">
        <v>19</v>
      </c>
    </row>
    <row r="494" spans="1:6" x14ac:dyDescent="0.35">
      <c r="A494" t="s">
        <v>1026</v>
      </c>
      <c r="B494" t="s">
        <v>29</v>
      </c>
      <c r="C494" t="s">
        <v>88</v>
      </c>
      <c r="D494" t="s">
        <v>1697</v>
      </c>
      <c r="E494" t="s">
        <v>1026</v>
      </c>
      <c r="F494" t="s">
        <v>88</v>
      </c>
    </row>
    <row r="495" spans="1:6" x14ac:dyDescent="0.35">
      <c r="A495" t="s">
        <v>334</v>
      </c>
      <c r="B495" t="s">
        <v>29</v>
      </c>
      <c r="C495" t="s">
        <v>28</v>
      </c>
      <c r="D495" t="s">
        <v>1027</v>
      </c>
      <c r="E495" t="s">
        <v>334</v>
      </c>
      <c r="F495" t="s">
        <v>28</v>
      </c>
    </row>
    <row r="496" spans="1:6" x14ac:dyDescent="0.35">
      <c r="A496" t="s">
        <v>1698</v>
      </c>
      <c r="B496" t="s">
        <v>29</v>
      </c>
      <c r="C496" t="s">
        <v>163</v>
      </c>
      <c r="D496" t="s">
        <v>1699</v>
      </c>
      <c r="E496" t="s">
        <v>1698</v>
      </c>
      <c r="F496" t="s">
        <v>163</v>
      </c>
    </row>
    <row r="497" spans="1:6" x14ac:dyDescent="0.35">
      <c r="A497" t="s">
        <v>241</v>
      </c>
      <c r="B497" t="s">
        <v>14</v>
      </c>
      <c r="C497" t="s">
        <v>37</v>
      </c>
      <c r="D497" t="s">
        <v>1700</v>
      </c>
      <c r="E497" t="s">
        <v>241</v>
      </c>
      <c r="F497" t="s">
        <v>37</v>
      </c>
    </row>
    <row r="498" spans="1:6" x14ac:dyDescent="0.35">
      <c r="A498" t="s">
        <v>259</v>
      </c>
      <c r="B498" t="s">
        <v>29</v>
      </c>
      <c r="C498" t="s">
        <v>159</v>
      </c>
      <c r="D498" t="s">
        <v>1028</v>
      </c>
      <c r="E498" t="s">
        <v>259</v>
      </c>
      <c r="F498" t="s">
        <v>159</v>
      </c>
    </row>
    <row r="499" spans="1:6" x14ac:dyDescent="0.35">
      <c r="A499" t="s">
        <v>200</v>
      </c>
      <c r="B499" t="s">
        <v>14</v>
      </c>
      <c r="C499" t="s">
        <v>122</v>
      </c>
      <c r="D499" t="s">
        <v>1029</v>
      </c>
      <c r="E499" t="s">
        <v>200</v>
      </c>
      <c r="F499" t="s">
        <v>122</v>
      </c>
    </row>
    <row r="500" spans="1:6" x14ac:dyDescent="0.35">
      <c r="A500" t="s">
        <v>1030</v>
      </c>
      <c r="B500" t="s">
        <v>14</v>
      </c>
      <c r="C500" t="s">
        <v>37</v>
      </c>
      <c r="D500" t="s">
        <v>1701</v>
      </c>
      <c r="E500" t="s">
        <v>1030</v>
      </c>
      <c r="F500" t="s">
        <v>37</v>
      </c>
    </row>
    <row r="501" spans="1:6" x14ac:dyDescent="0.35">
      <c r="A501" t="s">
        <v>1702</v>
      </c>
      <c r="B501" t="s">
        <v>29</v>
      </c>
      <c r="C501" t="s">
        <v>158</v>
      </c>
      <c r="D501" t="s">
        <v>1703</v>
      </c>
      <c r="E501" t="s">
        <v>1702</v>
      </c>
      <c r="F501" t="s">
        <v>158</v>
      </c>
    </row>
    <row r="502" spans="1:6" x14ac:dyDescent="0.35">
      <c r="A502" t="s">
        <v>187</v>
      </c>
      <c r="B502" t="s">
        <v>14</v>
      </c>
      <c r="C502" t="s">
        <v>66</v>
      </c>
      <c r="D502" t="s">
        <v>1031</v>
      </c>
      <c r="E502" t="s">
        <v>187</v>
      </c>
      <c r="F502" t="s">
        <v>66</v>
      </c>
    </row>
    <row r="503" spans="1:6" x14ac:dyDescent="0.35">
      <c r="A503" t="s">
        <v>1704</v>
      </c>
      <c r="B503" t="s">
        <v>14</v>
      </c>
      <c r="C503" t="s">
        <v>333</v>
      </c>
      <c r="D503" t="s">
        <v>1705</v>
      </c>
      <c r="E503" t="s">
        <v>1704</v>
      </c>
      <c r="F503" t="s">
        <v>333</v>
      </c>
    </row>
    <row r="504" spans="1:6" x14ac:dyDescent="0.35">
      <c r="A504" t="s">
        <v>1033</v>
      </c>
      <c r="B504" t="s">
        <v>29</v>
      </c>
      <c r="C504" t="s">
        <v>37</v>
      </c>
      <c r="D504" t="s">
        <v>1706</v>
      </c>
      <c r="E504" t="s">
        <v>1033</v>
      </c>
      <c r="F504" t="s">
        <v>37</v>
      </c>
    </row>
    <row r="505" spans="1:6" x14ac:dyDescent="0.35">
      <c r="A505" t="s">
        <v>1430</v>
      </c>
      <c r="B505" t="s">
        <v>29</v>
      </c>
      <c r="C505" t="s">
        <v>37</v>
      </c>
      <c r="D505" t="s">
        <v>1707</v>
      </c>
      <c r="E505" t="s">
        <v>1430</v>
      </c>
      <c r="F505" t="s">
        <v>37</v>
      </c>
    </row>
    <row r="506" spans="1:6" x14ac:dyDescent="0.35">
      <c r="A506" t="s">
        <v>1034</v>
      </c>
      <c r="B506" t="s">
        <v>29</v>
      </c>
      <c r="C506" t="s">
        <v>861</v>
      </c>
      <c r="D506" t="s">
        <v>1035</v>
      </c>
      <c r="E506" t="s">
        <v>1034</v>
      </c>
      <c r="F506" t="s">
        <v>861</v>
      </c>
    </row>
    <row r="507" spans="1:6" x14ac:dyDescent="0.35">
      <c r="A507" t="s">
        <v>1036</v>
      </c>
      <c r="B507" t="s">
        <v>29</v>
      </c>
      <c r="C507" t="s">
        <v>37</v>
      </c>
      <c r="D507" t="s">
        <v>1708</v>
      </c>
      <c r="E507" t="s">
        <v>1036</v>
      </c>
      <c r="F507" t="s">
        <v>37</v>
      </c>
    </row>
    <row r="508" spans="1:6" x14ac:dyDescent="0.35">
      <c r="A508" t="s">
        <v>1709</v>
      </c>
      <c r="B508" t="s">
        <v>29</v>
      </c>
      <c r="C508" t="s">
        <v>20</v>
      </c>
      <c r="D508" t="s">
        <v>1710</v>
      </c>
      <c r="E508" t="s">
        <v>1709</v>
      </c>
      <c r="F508" t="s">
        <v>20</v>
      </c>
    </row>
    <row r="509" spans="1:6" x14ac:dyDescent="0.35">
      <c r="A509" t="s">
        <v>1037</v>
      </c>
      <c r="B509" t="s">
        <v>29</v>
      </c>
      <c r="C509" t="s">
        <v>21</v>
      </c>
      <c r="D509" t="s">
        <v>1038</v>
      </c>
      <c r="E509" t="s">
        <v>1037</v>
      </c>
      <c r="F509" t="s">
        <v>21</v>
      </c>
    </row>
    <row r="510" spans="1:6" x14ac:dyDescent="0.35">
      <c r="A510" t="s">
        <v>228</v>
      </c>
      <c r="B510" t="s">
        <v>29</v>
      </c>
      <c r="C510" t="s">
        <v>15</v>
      </c>
      <c r="D510" t="s">
        <v>1039</v>
      </c>
      <c r="E510" t="s">
        <v>228</v>
      </c>
      <c r="F510" t="s">
        <v>15</v>
      </c>
    </row>
    <row r="511" spans="1:6" x14ac:dyDescent="0.35">
      <c r="A511" t="s">
        <v>109</v>
      </c>
      <c r="B511" t="s">
        <v>14</v>
      </c>
      <c r="C511" t="s">
        <v>88</v>
      </c>
      <c r="D511" t="s">
        <v>1040</v>
      </c>
      <c r="E511" t="s">
        <v>109</v>
      </c>
      <c r="F511" t="s">
        <v>88</v>
      </c>
    </row>
    <row r="512" spans="1:6" x14ac:dyDescent="0.35">
      <c r="A512" t="s">
        <v>1412</v>
      </c>
      <c r="B512" t="s">
        <v>14</v>
      </c>
      <c r="C512" t="s">
        <v>19</v>
      </c>
      <c r="D512" t="s">
        <v>1711</v>
      </c>
      <c r="E512" t="s">
        <v>1412</v>
      </c>
      <c r="F512" t="s">
        <v>19</v>
      </c>
    </row>
    <row r="513" spans="1:6" x14ac:dyDescent="0.35">
      <c r="A513" t="s">
        <v>1042</v>
      </c>
      <c r="B513" t="s">
        <v>14</v>
      </c>
      <c r="C513" t="s">
        <v>36</v>
      </c>
      <c r="D513" t="s">
        <v>1041</v>
      </c>
      <c r="E513" t="s">
        <v>1042</v>
      </c>
      <c r="F513" t="s">
        <v>36</v>
      </c>
    </row>
    <row r="514" spans="1:6" x14ac:dyDescent="0.35">
      <c r="A514" t="s">
        <v>1043</v>
      </c>
      <c r="B514" t="s">
        <v>14</v>
      </c>
      <c r="C514" t="s">
        <v>30</v>
      </c>
      <c r="D514" t="s">
        <v>1044</v>
      </c>
      <c r="E514" t="s">
        <v>1043</v>
      </c>
      <c r="F514" t="s">
        <v>30</v>
      </c>
    </row>
    <row r="515" spans="1:6" x14ac:dyDescent="0.35">
      <c r="A515" t="s">
        <v>188</v>
      </c>
      <c r="B515" t="s">
        <v>14</v>
      </c>
      <c r="C515" t="s">
        <v>30</v>
      </c>
      <c r="D515" t="s">
        <v>1045</v>
      </c>
      <c r="E515" t="s">
        <v>188</v>
      </c>
      <c r="F515" t="s">
        <v>30</v>
      </c>
    </row>
    <row r="516" spans="1:6" x14ac:dyDescent="0.35">
      <c r="A516" t="s">
        <v>1047</v>
      </c>
      <c r="B516" t="s">
        <v>14</v>
      </c>
      <c r="C516" t="s">
        <v>73</v>
      </c>
      <c r="D516" t="s">
        <v>1712</v>
      </c>
      <c r="E516" t="s">
        <v>1047</v>
      </c>
      <c r="F516" t="s">
        <v>73</v>
      </c>
    </row>
    <row r="517" spans="1:6" x14ac:dyDescent="0.35">
      <c r="A517" t="s">
        <v>1048</v>
      </c>
      <c r="B517" t="s">
        <v>14</v>
      </c>
      <c r="C517" t="s">
        <v>73</v>
      </c>
      <c r="D517" t="s">
        <v>1713</v>
      </c>
      <c r="E517" t="s">
        <v>1048</v>
      </c>
      <c r="F517" t="s">
        <v>73</v>
      </c>
    </row>
    <row r="518" spans="1:6" x14ac:dyDescent="0.35">
      <c r="A518" t="s">
        <v>1049</v>
      </c>
      <c r="B518" t="s">
        <v>14</v>
      </c>
      <c r="C518" t="s">
        <v>73</v>
      </c>
      <c r="D518" t="s">
        <v>1714</v>
      </c>
      <c r="E518" t="s">
        <v>1049</v>
      </c>
      <c r="F518" t="s">
        <v>73</v>
      </c>
    </row>
    <row r="519" spans="1:6" x14ac:dyDescent="0.35">
      <c r="A519" t="s">
        <v>1347</v>
      </c>
      <c r="B519" t="s">
        <v>14</v>
      </c>
      <c r="C519" t="s">
        <v>124</v>
      </c>
      <c r="D519" t="s">
        <v>1715</v>
      </c>
      <c r="E519" t="s">
        <v>1347</v>
      </c>
      <c r="F519" t="s">
        <v>124</v>
      </c>
    </row>
    <row r="520" spans="1:6" x14ac:dyDescent="0.35">
      <c r="A520" t="s">
        <v>407</v>
      </c>
      <c r="B520" t="s">
        <v>29</v>
      </c>
      <c r="C520" t="s">
        <v>35</v>
      </c>
      <c r="D520" t="s">
        <v>1050</v>
      </c>
      <c r="E520" t="s">
        <v>407</v>
      </c>
      <c r="F520" t="s">
        <v>35</v>
      </c>
    </row>
    <row r="521" spans="1:6" x14ac:dyDescent="0.35">
      <c r="A521" t="s">
        <v>1453</v>
      </c>
      <c r="B521" t="s">
        <v>14</v>
      </c>
      <c r="C521" t="s">
        <v>66</v>
      </c>
      <c r="D521" t="s">
        <v>1716</v>
      </c>
      <c r="E521" t="s">
        <v>1453</v>
      </c>
      <c r="F521" t="s">
        <v>66</v>
      </c>
    </row>
    <row r="522" spans="1:6" x14ac:dyDescent="0.35">
      <c r="A522" t="s">
        <v>1717</v>
      </c>
      <c r="B522" t="s">
        <v>29</v>
      </c>
      <c r="C522" t="s">
        <v>49</v>
      </c>
      <c r="D522" t="s">
        <v>1718</v>
      </c>
      <c r="E522" t="s">
        <v>1717</v>
      </c>
      <c r="F522" t="s">
        <v>49</v>
      </c>
    </row>
    <row r="523" spans="1:6" x14ac:dyDescent="0.35">
      <c r="A523" t="s">
        <v>425</v>
      </c>
      <c r="B523" t="s">
        <v>14</v>
      </c>
      <c r="C523" t="s">
        <v>49</v>
      </c>
      <c r="D523" t="s">
        <v>1051</v>
      </c>
      <c r="E523" t="s">
        <v>425</v>
      </c>
      <c r="F523" t="s">
        <v>49</v>
      </c>
    </row>
    <row r="524" spans="1:6" x14ac:dyDescent="0.35">
      <c r="A524" t="s">
        <v>1052</v>
      </c>
      <c r="B524" t="s">
        <v>29</v>
      </c>
      <c r="C524" t="s">
        <v>73</v>
      </c>
      <c r="D524" t="s">
        <v>1719</v>
      </c>
      <c r="E524" t="s">
        <v>1052</v>
      </c>
      <c r="F524" t="s">
        <v>73</v>
      </c>
    </row>
    <row r="525" spans="1:6" x14ac:dyDescent="0.35">
      <c r="A525" t="s">
        <v>449</v>
      </c>
      <c r="B525" t="s">
        <v>29</v>
      </c>
      <c r="C525" t="s">
        <v>19</v>
      </c>
      <c r="D525" t="s">
        <v>1720</v>
      </c>
      <c r="E525" t="s">
        <v>449</v>
      </c>
      <c r="F525" t="s">
        <v>19</v>
      </c>
    </row>
    <row r="526" spans="1:6" x14ac:dyDescent="0.35">
      <c r="A526" t="s">
        <v>1053</v>
      </c>
      <c r="B526" t="s">
        <v>29</v>
      </c>
      <c r="C526" t="s">
        <v>30</v>
      </c>
      <c r="D526" t="s">
        <v>1721</v>
      </c>
      <c r="E526" t="s">
        <v>1053</v>
      </c>
      <c r="F526" t="s">
        <v>30</v>
      </c>
    </row>
    <row r="527" spans="1:6" x14ac:dyDescent="0.35">
      <c r="A527" t="s">
        <v>1054</v>
      </c>
      <c r="B527" t="s">
        <v>29</v>
      </c>
      <c r="C527" t="s">
        <v>21</v>
      </c>
      <c r="D527" t="s">
        <v>1722</v>
      </c>
      <c r="E527" t="s">
        <v>1054</v>
      </c>
      <c r="F527" t="s">
        <v>21</v>
      </c>
    </row>
    <row r="528" spans="1:6" x14ac:dyDescent="0.35">
      <c r="A528" t="s">
        <v>1055</v>
      </c>
      <c r="B528" t="s">
        <v>29</v>
      </c>
      <c r="C528" t="s">
        <v>21</v>
      </c>
      <c r="D528" t="s">
        <v>1723</v>
      </c>
      <c r="E528" t="s">
        <v>1055</v>
      </c>
      <c r="F528" t="s">
        <v>21</v>
      </c>
    </row>
    <row r="529" spans="1:6" x14ac:dyDescent="0.35">
      <c r="A529" t="s">
        <v>1724</v>
      </c>
      <c r="B529" t="s">
        <v>29</v>
      </c>
      <c r="C529" t="s">
        <v>28</v>
      </c>
      <c r="D529" t="s">
        <v>1725</v>
      </c>
      <c r="E529" t="s">
        <v>1724</v>
      </c>
      <c r="F529" t="s">
        <v>28</v>
      </c>
    </row>
    <row r="530" spans="1:6" x14ac:dyDescent="0.35">
      <c r="A530" t="s">
        <v>1360</v>
      </c>
      <c r="B530" t="s">
        <v>29</v>
      </c>
      <c r="C530" t="s">
        <v>17</v>
      </c>
      <c r="D530" t="s">
        <v>1726</v>
      </c>
      <c r="E530" t="s">
        <v>1360</v>
      </c>
      <c r="F530" t="s">
        <v>17</v>
      </c>
    </row>
    <row r="531" spans="1:6" x14ac:dyDescent="0.35">
      <c r="A531" t="s">
        <v>1727</v>
      </c>
      <c r="B531" t="s">
        <v>29</v>
      </c>
      <c r="C531" t="s">
        <v>706</v>
      </c>
      <c r="D531" t="s">
        <v>1728</v>
      </c>
      <c r="E531" t="s">
        <v>1727</v>
      </c>
      <c r="F531" t="s">
        <v>706</v>
      </c>
    </row>
    <row r="532" spans="1:6" x14ac:dyDescent="0.35">
      <c r="A532" t="s">
        <v>397</v>
      </c>
      <c r="B532" t="s">
        <v>14</v>
      </c>
      <c r="C532" t="s">
        <v>15</v>
      </c>
      <c r="D532" t="s">
        <v>1056</v>
      </c>
      <c r="E532" t="s">
        <v>397</v>
      </c>
      <c r="F532" t="s">
        <v>15</v>
      </c>
    </row>
    <row r="533" spans="1:6" x14ac:dyDescent="0.35">
      <c r="A533" t="s">
        <v>346</v>
      </c>
      <c r="B533" t="s">
        <v>29</v>
      </c>
      <c r="C533" t="s">
        <v>35</v>
      </c>
      <c r="D533" t="s">
        <v>1057</v>
      </c>
      <c r="E533" t="s">
        <v>346</v>
      </c>
      <c r="F533" t="s">
        <v>35</v>
      </c>
    </row>
    <row r="534" spans="1:6" x14ac:dyDescent="0.35">
      <c r="A534" t="s">
        <v>1058</v>
      </c>
      <c r="B534" t="s">
        <v>14</v>
      </c>
      <c r="C534" t="s">
        <v>88</v>
      </c>
      <c r="D534" t="s">
        <v>1059</v>
      </c>
      <c r="E534" t="s">
        <v>1058</v>
      </c>
      <c r="F534" t="s">
        <v>88</v>
      </c>
    </row>
    <row r="535" spans="1:6" x14ac:dyDescent="0.35">
      <c r="A535" t="s">
        <v>1368</v>
      </c>
      <c r="B535" t="s">
        <v>14</v>
      </c>
      <c r="C535" t="s">
        <v>17</v>
      </c>
      <c r="D535" t="s">
        <v>1729</v>
      </c>
      <c r="E535" t="s">
        <v>1368</v>
      </c>
      <c r="F535" t="s">
        <v>17</v>
      </c>
    </row>
    <row r="536" spans="1:6" x14ac:dyDescent="0.35">
      <c r="A536" t="s">
        <v>1730</v>
      </c>
      <c r="B536" t="s">
        <v>14</v>
      </c>
      <c r="C536" t="s">
        <v>37</v>
      </c>
      <c r="D536" t="s">
        <v>1731</v>
      </c>
      <c r="E536" t="s">
        <v>1730</v>
      </c>
      <c r="F536" t="s">
        <v>37</v>
      </c>
    </row>
    <row r="537" spans="1:6" x14ac:dyDescent="0.35">
      <c r="A537" t="s">
        <v>1060</v>
      </c>
      <c r="B537" t="s">
        <v>14</v>
      </c>
      <c r="C537" t="s">
        <v>73</v>
      </c>
      <c r="D537" t="s">
        <v>1732</v>
      </c>
      <c r="E537" t="s">
        <v>1060</v>
      </c>
      <c r="F537" t="s">
        <v>73</v>
      </c>
    </row>
    <row r="538" spans="1:6" x14ac:dyDescent="0.35">
      <c r="A538" t="s">
        <v>1061</v>
      </c>
      <c r="B538" t="s">
        <v>14</v>
      </c>
      <c r="C538" t="s">
        <v>123</v>
      </c>
      <c r="D538" t="s">
        <v>1733</v>
      </c>
      <c r="E538" t="s">
        <v>1061</v>
      </c>
      <c r="F538" t="s">
        <v>123</v>
      </c>
    </row>
    <row r="539" spans="1:6" x14ac:dyDescent="0.35">
      <c r="A539" t="s">
        <v>1062</v>
      </c>
      <c r="B539" t="s">
        <v>14</v>
      </c>
      <c r="C539" t="s">
        <v>123</v>
      </c>
      <c r="D539" t="s">
        <v>1063</v>
      </c>
      <c r="E539" t="s">
        <v>1062</v>
      </c>
      <c r="F539" t="s">
        <v>123</v>
      </c>
    </row>
    <row r="540" spans="1:6" x14ac:dyDescent="0.35">
      <c r="A540" t="s">
        <v>282</v>
      </c>
      <c r="B540" t="s">
        <v>14</v>
      </c>
      <c r="C540" t="s">
        <v>21</v>
      </c>
      <c r="D540" t="s">
        <v>1064</v>
      </c>
      <c r="E540" t="s">
        <v>282</v>
      </c>
      <c r="F540" t="s">
        <v>21</v>
      </c>
    </row>
    <row r="541" spans="1:6" x14ac:dyDescent="0.35">
      <c r="A541" t="s">
        <v>1065</v>
      </c>
      <c r="B541" t="s">
        <v>14</v>
      </c>
      <c r="C541" t="s">
        <v>57</v>
      </c>
      <c r="D541" t="s">
        <v>1734</v>
      </c>
      <c r="E541" t="s">
        <v>1065</v>
      </c>
      <c r="F541" t="s">
        <v>57</v>
      </c>
    </row>
    <row r="542" spans="1:6" x14ac:dyDescent="0.35">
      <c r="A542" t="s">
        <v>312</v>
      </c>
      <c r="B542" t="s">
        <v>14</v>
      </c>
      <c r="C542" t="s">
        <v>21</v>
      </c>
      <c r="D542" t="s">
        <v>1066</v>
      </c>
      <c r="E542" t="s">
        <v>312</v>
      </c>
      <c r="F542" t="s">
        <v>21</v>
      </c>
    </row>
    <row r="543" spans="1:6" x14ac:dyDescent="0.35">
      <c r="A543" t="s">
        <v>381</v>
      </c>
      <c r="B543" t="s">
        <v>14</v>
      </c>
      <c r="C543" t="s">
        <v>24</v>
      </c>
      <c r="D543" t="s">
        <v>1067</v>
      </c>
      <c r="E543" t="s">
        <v>381</v>
      </c>
      <c r="F543" t="s">
        <v>24</v>
      </c>
    </row>
    <row r="544" spans="1:6" x14ac:dyDescent="0.35">
      <c r="A544" t="s">
        <v>110</v>
      </c>
      <c r="B544" t="s">
        <v>14</v>
      </c>
      <c r="C544" t="s">
        <v>37</v>
      </c>
      <c r="D544" t="s">
        <v>1068</v>
      </c>
      <c r="E544" t="s">
        <v>110</v>
      </c>
      <c r="F544" t="s">
        <v>37</v>
      </c>
    </row>
    <row r="545" spans="1:6" x14ac:dyDescent="0.35">
      <c r="A545" t="s">
        <v>1070</v>
      </c>
      <c r="B545" t="s">
        <v>14</v>
      </c>
      <c r="C545" t="s">
        <v>37</v>
      </c>
      <c r="D545" t="s">
        <v>1069</v>
      </c>
      <c r="E545" t="s">
        <v>1070</v>
      </c>
      <c r="F545" t="s">
        <v>37</v>
      </c>
    </row>
    <row r="546" spans="1:6" x14ac:dyDescent="0.35">
      <c r="A546" t="s">
        <v>316</v>
      </c>
      <c r="B546" t="s">
        <v>14</v>
      </c>
      <c r="C546" t="s">
        <v>21</v>
      </c>
      <c r="D546" t="s">
        <v>1071</v>
      </c>
      <c r="E546" t="s">
        <v>316</v>
      </c>
      <c r="F546" t="s">
        <v>21</v>
      </c>
    </row>
    <row r="547" spans="1:6" x14ac:dyDescent="0.35">
      <c r="A547" t="s">
        <v>1349</v>
      </c>
      <c r="B547" t="s">
        <v>14</v>
      </c>
      <c r="C547" t="s">
        <v>57</v>
      </c>
      <c r="D547" t="s">
        <v>1735</v>
      </c>
      <c r="E547" t="s">
        <v>1349</v>
      </c>
      <c r="F547" t="s">
        <v>57</v>
      </c>
    </row>
    <row r="548" spans="1:6" x14ac:dyDescent="0.35">
      <c r="A548" t="s">
        <v>1072</v>
      </c>
      <c r="B548" t="s">
        <v>14</v>
      </c>
      <c r="C548" t="s">
        <v>21</v>
      </c>
      <c r="D548" t="s">
        <v>1736</v>
      </c>
      <c r="E548" t="s">
        <v>1072</v>
      </c>
      <c r="F548" t="s">
        <v>21</v>
      </c>
    </row>
    <row r="549" spans="1:6" x14ac:dyDescent="0.35">
      <c r="A549" t="s">
        <v>404</v>
      </c>
      <c r="B549" t="s">
        <v>14</v>
      </c>
      <c r="C549" t="s">
        <v>61</v>
      </c>
      <c r="D549" t="s">
        <v>1737</v>
      </c>
      <c r="E549" t="s">
        <v>404</v>
      </c>
      <c r="F549" t="s">
        <v>61</v>
      </c>
    </row>
    <row r="550" spans="1:6" x14ac:dyDescent="0.35">
      <c r="A550" t="s">
        <v>211</v>
      </c>
      <c r="B550" t="s">
        <v>14</v>
      </c>
      <c r="C550" t="s">
        <v>135</v>
      </c>
      <c r="D550" t="s">
        <v>1073</v>
      </c>
      <c r="E550" t="s">
        <v>211</v>
      </c>
      <c r="F550" t="s">
        <v>135</v>
      </c>
    </row>
    <row r="551" spans="1:6" x14ac:dyDescent="0.35">
      <c r="A551" t="s">
        <v>387</v>
      </c>
      <c r="B551" t="s">
        <v>14</v>
      </c>
      <c r="C551" t="s">
        <v>21</v>
      </c>
      <c r="D551" t="s">
        <v>1074</v>
      </c>
      <c r="E551" t="s">
        <v>387</v>
      </c>
      <c r="F551" t="s">
        <v>21</v>
      </c>
    </row>
    <row r="552" spans="1:6" x14ac:dyDescent="0.35">
      <c r="A552" t="s">
        <v>443</v>
      </c>
      <c r="B552" t="s">
        <v>29</v>
      </c>
      <c r="C552" t="s">
        <v>36</v>
      </c>
      <c r="D552" t="s">
        <v>1075</v>
      </c>
      <c r="E552" t="s">
        <v>443</v>
      </c>
      <c r="F552" t="s">
        <v>36</v>
      </c>
    </row>
    <row r="553" spans="1:6" x14ac:dyDescent="0.35">
      <c r="A553" t="s">
        <v>1076</v>
      </c>
      <c r="B553" t="s">
        <v>14</v>
      </c>
      <c r="C553" t="s">
        <v>73</v>
      </c>
      <c r="D553" t="s">
        <v>1738</v>
      </c>
      <c r="E553" t="s">
        <v>1076</v>
      </c>
      <c r="F553" t="s">
        <v>73</v>
      </c>
    </row>
    <row r="554" spans="1:6" x14ac:dyDescent="0.35">
      <c r="A554" t="s">
        <v>396</v>
      </c>
      <c r="B554" t="s">
        <v>14</v>
      </c>
      <c r="C554" t="s">
        <v>21</v>
      </c>
      <c r="D554" t="s">
        <v>1077</v>
      </c>
      <c r="E554" t="s">
        <v>396</v>
      </c>
      <c r="F554" t="s">
        <v>21</v>
      </c>
    </row>
    <row r="555" spans="1:6" x14ac:dyDescent="0.35">
      <c r="A555" t="s">
        <v>1078</v>
      </c>
      <c r="B555" t="s">
        <v>14</v>
      </c>
      <c r="C555" t="s">
        <v>21</v>
      </c>
      <c r="D555" t="s">
        <v>1739</v>
      </c>
      <c r="E555" t="s">
        <v>1078</v>
      </c>
      <c r="F555" t="s">
        <v>21</v>
      </c>
    </row>
    <row r="556" spans="1:6" x14ac:dyDescent="0.35">
      <c r="A556" t="s">
        <v>45</v>
      </c>
      <c r="B556" t="s">
        <v>14</v>
      </c>
      <c r="C556" t="s">
        <v>24</v>
      </c>
      <c r="D556" t="s">
        <v>1236</v>
      </c>
      <c r="E556" t="s">
        <v>103</v>
      </c>
      <c r="F556" t="s">
        <v>24</v>
      </c>
    </row>
    <row r="557" spans="1:6" x14ac:dyDescent="0.35">
      <c r="A557" t="s">
        <v>1079</v>
      </c>
      <c r="B557" t="s">
        <v>14</v>
      </c>
      <c r="C557" t="s">
        <v>60</v>
      </c>
      <c r="D557" t="s">
        <v>1740</v>
      </c>
      <c r="E557" t="s">
        <v>1079</v>
      </c>
      <c r="F557" t="s">
        <v>60</v>
      </c>
    </row>
    <row r="558" spans="1:6" x14ac:dyDescent="0.35">
      <c r="A558" t="s">
        <v>1741</v>
      </c>
      <c r="B558" t="s">
        <v>14</v>
      </c>
      <c r="C558" t="s">
        <v>1742</v>
      </c>
      <c r="D558" t="s">
        <v>1743</v>
      </c>
      <c r="E558" t="s">
        <v>1741</v>
      </c>
      <c r="F558" t="s">
        <v>1742</v>
      </c>
    </row>
    <row r="559" spans="1:6" x14ac:dyDescent="0.35">
      <c r="A559" t="s">
        <v>418</v>
      </c>
      <c r="B559" t="s">
        <v>14</v>
      </c>
      <c r="C559" t="s">
        <v>419</v>
      </c>
      <c r="D559" t="s">
        <v>1080</v>
      </c>
      <c r="E559" t="s">
        <v>418</v>
      </c>
      <c r="F559" t="s">
        <v>419</v>
      </c>
    </row>
    <row r="560" spans="1:6" x14ac:dyDescent="0.35">
      <c r="A560" t="s">
        <v>1081</v>
      </c>
      <c r="B560" t="s">
        <v>14</v>
      </c>
      <c r="C560" t="s">
        <v>427</v>
      </c>
      <c r="D560" t="s">
        <v>1744</v>
      </c>
      <c r="E560" t="s">
        <v>1081</v>
      </c>
      <c r="F560" t="s">
        <v>427</v>
      </c>
    </row>
    <row r="561" spans="1:6" x14ac:dyDescent="0.35">
      <c r="A561" t="s">
        <v>283</v>
      </c>
      <c r="B561" t="s">
        <v>14</v>
      </c>
      <c r="C561" t="s">
        <v>57</v>
      </c>
      <c r="D561" t="s">
        <v>1082</v>
      </c>
      <c r="E561" t="s">
        <v>283</v>
      </c>
      <c r="F561" t="s">
        <v>57</v>
      </c>
    </row>
    <row r="562" spans="1:6" x14ac:dyDescent="0.35">
      <c r="A562" t="s">
        <v>1083</v>
      </c>
      <c r="B562" t="s">
        <v>29</v>
      </c>
      <c r="C562" t="s">
        <v>20</v>
      </c>
      <c r="D562" t="s">
        <v>1745</v>
      </c>
      <c r="E562" t="s">
        <v>1083</v>
      </c>
      <c r="F562" t="s">
        <v>20</v>
      </c>
    </row>
    <row r="563" spans="1:6" x14ac:dyDescent="0.35">
      <c r="A563" t="s">
        <v>446</v>
      </c>
      <c r="B563" t="s">
        <v>29</v>
      </c>
      <c r="C563" t="s">
        <v>66</v>
      </c>
      <c r="D563" t="s">
        <v>1084</v>
      </c>
      <c r="E563" t="s">
        <v>446</v>
      </c>
      <c r="F563" t="s">
        <v>66</v>
      </c>
    </row>
    <row r="564" spans="1:6" x14ac:dyDescent="0.35">
      <c r="A564" t="s">
        <v>337</v>
      </c>
      <c r="B564" t="s">
        <v>29</v>
      </c>
      <c r="C564" t="s">
        <v>28</v>
      </c>
      <c r="D564" t="s">
        <v>1085</v>
      </c>
      <c r="E564" t="s">
        <v>337</v>
      </c>
      <c r="F564" t="s">
        <v>28</v>
      </c>
    </row>
    <row r="565" spans="1:6" x14ac:dyDescent="0.35">
      <c r="A565" t="s">
        <v>269</v>
      </c>
      <c r="B565" t="s">
        <v>29</v>
      </c>
      <c r="C565" t="s">
        <v>15</v>
      </c>
      <c r="D565" t="s">
        <v>1086</v>
      </c>
      <c r="E565" t="s">
        <v>269</v>
      </c>
      <c r="F565" t="s">
        <v>15</v>
      </c>
    </row>
    <row r="566" spans="1:6" x14ac:dyDescent="0.35">
      <c r="A566" t="s">
        <v>1087</v>
      </c>
      <c r="B566" t="s">
        <v>14</v>
      </c>
      <c r="C566" t="s">
        <v>123</v>
      </c>
      <c r="D566" t="s">
        <v>1746</v>
      </c>
      <c r="E566" t="s">
        <v>1087</v>
      </c>
      <c r="F566" t="s">
        <v>123</v>
      </c>
    </row>
    <row r="567" spans="1:6" x14ac:dyDescent="0.35">
      <c r="A567" t="s">
        <v>1345</v>
      </c>
      <c r="B567" t="s">
        <v>14</v>
      </c>
      <c r="C567" t="s">
        <v>21</v>
      </c>
      <c r="D567" t="s">
        <v>1747</v>
      </c>
      <c r="E567" t="s">
        <v>1345</v>
      </c>
      <c r="F567" t="s">
        <v>21</v>
      </c>
    </row>
    <row r="568" spans="1:6" x14ac:dyDescent="0.35">
      <c r="A568" t="s">
        <v>459</v>
      </c>
      <c r="B568" t="s">
        <v>29</v>
      </c>
      <c r="C568" t="s">
        <v>37</v>
      </c>
      <c r="D568" t="s">
        <v>1088</v>
      </c>
      <c r="E568" t="s">
        <v>459</v>
      </c>
      <c r="F568" t="s">
        <v>37</v>
      </c>
    </row>
    <row r="569" spans="1:6" x14ac:dyDescent="0.35">
      <c r="A569" t="s">
        <v>1089</v>
      </c>
      <c r="B569" t="s">
        <v>29</v>
      </c>
      <c r="C569" t="s">
        <v>166</v>
      </c>
      <c r="D569" t="s">
        <v>1748</v>
      </c>
      <c r="E569" t="s">
        <v>1089</v>
      </c>
      <c r="F569" t="s">
        <v>166</v>
      </c>
    </row>
    <row r="570" spans="1:6" x14ac:dyDescent="0.35">
      <c r="A570" t="s">
        <v>1090</v>
      </c>
      <c r="B570" t="s">
        <v>29</v>
      </c>
      <c r="C570" t="s">
        <v>85</v>
      </c>
      <c r="D570" t="s">
        <v>1091</v>
      </c>
      <c r="E570" t="s">
        <v>1090</v>
      </c>
      <c r="F570" t="s">
        <v>85</v>
      </c>
    </row>
    <row r="571" spans="1:6" x14ac:dyDescent="0.35">
      <c r="A571" t="s">
        <v>1365</v>
      </c>
      <c r="B571" t="s">
        <v>14</v>
      </c>
      <c r="C571" t="s">
        <v>17</v>
      </c>
      <c r="D571" t="s">
        <v>1749</v>
      </c>
      <c r="E571" t="s">
        <v>1365</v>
      </c>
      <c r="F571" t="s">
        <v>17</v>
      </c>
    </row>
    <row r="572" spans="1:6" x14ac:dyDescent="0.35">
      <c r="A572" t="s">
        <v>222</v>
      </c>
      <c r="B572" t="s">
        <v>29</v>
      </c>
      <c r="C572" t="s">
        <v>33</v>
      </c>
      <c r="D572" t="s">
        <v>1750</v>
      </c>
      <c r="E572" t="s">
        <v>222</v>
      </c>
      <c r="F572" t="s">
        <v>33</v>
      </c>
    </row>
    <row r="573" spans="1:6" x14ac:dyDescent="0.35">
      <c r="A573" t="s">
        <v>245</v>
      </c>
      <c r="B573" t="s">
        <v>14</v>
      </c>
      <c r="C573" t="s">
        <v>33</v>
      </c>
      <c r="D573" t="s">
        <v>1092</v>
      </c>
      <c r="E573" t="s">
        <v>245</v>
      </c>
      <c r="F573" t="s">
        <v>33</v>
      </c>
    </row>
    <row r="574" spans="1:6" x14ac:dyDescent="0.35">
      <c r="A574" t="s">
        <v>1093</v>
      </c>
      <c r="B574" t="s">
        <v>14</v>
      </c>
      <c r="C574" t="s">
        <v>73</v>
      </c>
      <c r="D574" t="s">
        <v>1751</v>
      </c>
      <c r="E574" t="s">
        <v>1093</v>
      </c>
      <c r="F574" t="s">
        <v>73</v>
      </c>
    </row>
    <row r="575" spans="1:6" x14ac:dyDescent="0.35">
      <c r="A575" t="s">
        <v>1094</v>
      </c>
      <c r="B575" t="s">
        <v>14</v>
      </c>
      <c r="C575" t="s">
        <v>30</v>
      </c>
      <c r="D575" t="s">
        <v>1095</v>
      </c>
      <c r="E575" t="s">
        <v>1094</v>
      </c>
      <c r="F575" t="s">
        <v>30</v>
      </c>
    </row>
    <row r="576" spans="1:6" x14ac:dyDescent="0.35">
      <c r="A576" t="s">
        <v>1752</v>
      </c>
      <c r="B576" t="s">
        <v>29</v>
      </c>
      <c r="C576" t="s">
        <v>139</v>
      </c>
      <c r="D576" t="s">
        <v>1753</v>
      </c>
      <c r="E576" t="s">
        <v>1752</v>
      </c>
      <c r="F576" t="s">
        <v>139</v>
      </c>
    </row>
    <row r="577" spans="1:6" x14ac:dyDescent="0.35">
      <c r="A577" t="s">
        <v>1096</v>
      </c>
      <c r="B577" t="s">
        <v>29</v>
      </c>
      <c r="C577" t="s">
        <v>15</v>
      </c>
      <c r="D577" t="s">
        <v>1097</v>
      </c>
      <c r="E577" t="s">
        <v>1096</v>
      </c>
      <c r="F577" t="s">
        <v>15</v>
      </c>
    </row>
    <row r="578" spans="1:6" x14ac:dyDescent="0.35">
      <c r="A578" t="s">
        <v>1436</v>
      </c>
      <c r="B578" t="s">
        <v>29</v>
      </c>
      <c r="C578" t="s">
        <v>1437</v>
      </c>
      <c r="D578" t="s">
        <v>1754</v>
      </c>
      <c r="E578" t="s">
        <v>1436</v>
      </c>
      <c r="F578" t="s">
        <v>1437</v>
      </c>
    </row>
    <row r="579" spans="1:6" x14ac:dyDescent="0.35">
      <c r="A579" t="s">
        <v>451</v>
      </c>
      <c r="B579" t="s">
        <v>29</v>
      </c>
      <c r="C579" t="s">
        <v>49</v>
      </c>
      <c r="D579" t="s">
        <v>1098</v>
      </c>
      <c r="E579" t="s">
        <v>451</v>
      </c>
      <c r="F579" t="s">
        <v>49</v>
      </c>
    </row>
    <row r="580" spans="1:6" x14ac:dyDescent="0.35">
      <c r="A580" t="s">
        <v>213</v>
      </c>
      <c r="B580" t="s">
        <v>29</v>
      </c>
      <c r="C580" t="s">
        <v>35</v>
      </c>
      <c r="D580" t="s">
        <v>1099</v>
      </c>
      <c r="E580" t="s">
        <v>213</v>
      </c>
      <c r="F580" t="s">
        <v>35</v>
      </c>
    </row>
    <row r="581" spans="1:6" x14ac:dyDescent="0.35">
      <c r="A581" t="s">
        <v>1100</v>
      </c>
      <c r="B581" t="s">
        <v>14</v>
      </c>
      <c r="D581" t="s">
        <v>1101</v>
      </c>
      <c r="E581" t="s">
        <v>1100</v>
      </c>
      <c r="F581" t="s">
        <v>66</v>
      </c>
    </row>
    <row r="582" spans="1:6" x14ac:dyDescent="0.35">
      <c r="A582" t="s">
        <v>1373</v>
      </c>
      <c r="B582" t="s">
        <v>14</v>
      </c>
      <c r="C582" t="s">
        <v>15</v>
      </c>
      <c r="D582" t="s">
        <v>1755</v>
      </c>
      <c r="E582" t="s">
        <v>1398</v>
      </c>
      <c r="F582" t="s">
        <v>15</v>
      </c>
    </row>
    <row r="583" spans="1:6" x14ac:dyDescent="0.35">
      <c r="A583" t="s">
        <v>1398</v>
      </c>
      <c r="B583" t="s">
        <v>14</v>
      </c>
      <c r="C583" t="s">
        <v>15</v>
      </c>
      <c r="D583" t="s">
        <v>1756</v>
      </c>
      <c r="E583" t="s">
        <v>1398</v>
      </c>
      <c r="F583" t="s">
        <v>15</v>
      </c>
    </row>
    <row r="584" spans="1:6" x14ac:dyDescent="0.35">
      <c r="A584" t="s">
        <v>1102</v>
      </c>
      <c r="B584" t="s">
        <v>14</v>
      </c>
      <c r="C584" t="s">
        <v>116</v>
      </c>
      <c r="D584" t="s">
        <v>1103</v>
      </c>
      <c r="E584" t="s">
        <v>1102</v>
      </c>
      <c r="F584" t="s">
        <v>116</v>
      </c>
    </row>
    <row r="585" spans="1:6" x14ac:dyDescent="0.35">
      <c r="A585" t="s">
        <v>301</v>
      </c>
      <c r="B585" t="s">
        <v>14</v>
      </c>
      <c r="C585" t="s">
        <v>158</v>
      </c>
      <c r="D585" t="s">
        <v>1104</v>
      </c>
      <c r="E585" t="s">
        <v>301</v>
      </c>
      <c r="F585" t="s">
        <v>158</v>
      </c>
    </row>
    <row r="586" spans="1:6" x14ac:dyDescent="0.35">
      <c r="A586" t="s">
        <v>1105</v>
      </c>
      <c r="B586" t="s">
        <v>29</v>
      </c>
      <c r="C586" t="s">
        <v>49</v>
      </c>
      <c r="D586" t="s">
        <v>1757</v>
      </c>
      <c r="E586" t="s">
        <v>1105</v>
      </c>
      <c r="F586" t="s">
        <v>49</v>
      </c>
    </row>
    <row r="587" spans="1:6" x14ac:dyDescent="0.35">
      <c r="A587" t="s">
        <v>384</v>
      </c>
      <c r="B587" t="s">
        <v>14</v>
      </c>
      <c r="C587" t="s">
        <v>44</v>
      </c>
      <c r="D587" t="s">
        <v>1106</v>
      </c>
      <c r="E587" t="s">
        <v>384</v>
      </c>
      <c r="F587" t="s">
        <v>44</v>
      </c>
    </row>
    <row r="588" spans="1:6" x14ac:dyDescent="0.35">
      <c r="A588" t="s">
        <v>1107</v>
      </c>
      <c r="B588" t="s">
        <v>29</v>
      </c>
      <c r="C588" t="s">
        <v>35</v>
      </c>
      <c r="D588" t="s">
        <v>1108</v>
      </c>
      <c r="E588" t="s">
        <v>1107</v>
      </c>
      <c r="F588" t="s">
        <v>35</v>
      </c>
    </row>
    <row r="589" spans="1:6" x14ac:dyDescent="0.35">
      <c r="A589" t="s">
        <v>453</v>
      </c>
      <c r="B589" t="s">
        <v>29</v>
      </c>
      <c r="C589" t="s">
        <v>164</v>
      </c>
      <c r="D589" t="s">
        <v>1109</v>
      </c>
      <c r="E589" t="s">
        <v>453</v>
      </c>
      <c r="F589" t="s">
        <v>164</v>
      </c>
    </row>
    <row r="590" spans="1:6" x14ac:dyDescent="0.35">
      <c r="A590" t="s">
        <v>1110</v>
      </c>
      <c r="B590" t="s">
        <v>14</v>
      </c>
      <c r="C590" t="s">
        <v>21</v>
      </c>
      <c r="D590" t="s">
        <v>1758</v>
      </c>
      <c r="E590" t="s">
        <v>1110</v>
      </c>
      <c r="F590" t="s">
        <v>21</v>
      </c>
    </row>
    <row r="591" spans="1:6" x14ac:dyDescent="0.35">
      <c r="A591" t="s">
        <v>1111</v>
      </c>
      <c r="B591" t="s">
        <v>14</v>
      </c>
      <c r="C591" t="s">
        <v>158</v>
      </c>
      <c r="D591" t="s">
        <v>1759</v>
      </c>
      <c r="E591" t="s">
        <v>1111</v>
      </c>
      <c r="F591" t="s">
        <v>158</v>
      </c>
    </row>
    <row r="592" spans="1:6" x14ac:dyDescent="0.35">
      <c r="A592" t="s">
        <v>250</v>
      </c>
      <c r="B592" t="s">
        <v>14</v>
      </c>
      <c r="C592" t="s">
        <v>15</v>
      </c>
      <c r="D592" t="s">
        <v>1112</v>
      </c>
      <c r="E592" t="s">
        <v>250</v>
      </c>
      <c r="F592" t="s">
        <v>15</v>
      </c>
    </row>
    <row r="593" spans="1:6" x14ac:dyDescent="0.35">
      <c r="A593" t="s">
        <v>214</v>
      </c>
      <c r="B593" t="s">
        <v>29</v>
      </c>
      <c r="C593" t="s">
        <v>52</v>
      </c>
      <c r="D593" t="s">
        <v>1760</v>
      </c>
      <c r="E593" t="s">
        <v>214</v>
      </c>
      <c r="F593" t="s">
        <v>52</v>
      </c>
    </row>
    <row r="594" spans="1:6" x14ac:dyDescent="0.35">
      <c r="A594" t="s">
        <v>1355</v>
      </c>
      <c r="B594" t="s">
        <v>29</v>
      </c>
      <c r="C594" t="s">
        <v>17</v>
      </c>
      <c r="D594" t="s">
        <v>1761</v>
      </c>
      <c r="E594" t="s">
        <v>1355</v>
      </c>
      <c r="F594" t="s">
        <v>17</v>
      </c>
    </row>
    <row r="595" spans="1:6" x14ac:dyDescent="0.35">
      <c r="A595" t="s">
        <v>1113</v>
      </c>
      <c r="B595" t="s">
        <v>14</v>
      </c>
      <c r="C595" t="s">
        <v>58</v>
      </c>
      <c r="D595" t="s">
        <v>1762</v>
      </c>
      <c r="E595" t="s">
        <v>1113</v>
      </c>
      <c r="F595" t="s">
        <v>58</v>
      </c>
    </row>
    <row r="596" spans="1:6" x14ac:dyDescent="0.35">
      <c r="A596" t="s">
        <v>280</v>
      </c>
      <c r="B596" t="s">
        <v>29</v>
      </c>
      <c r="C596" t="s">
        <v>167</v>
      </c>
      <c r="D596" t="s">
        <v>1114</v>
      </c>
      <c r="E596" t="s">
        <v>280</v>
      </c>
      <c r="F596" t="s">
        <v>167</v>
      </c>
    </row>
    <row r="597" spans="1:6" x14ac:dyDescent="0.35">
      <c r="A597" t="s">
        <v>1763</v>
      </c>
      <c r="B597" t="s">
        <v>14</v>
      </c>
      <c r="C597" t="s">
        <v>861</v>
      </c>
      <c r="D597" t="s">
        <v>1764</v>
      </c>
      <c r="E597" t="s">
        <v>1763</v>
      </c>
      <c r="F597" t="s">
        <v>861</v>
      </c>
    </row>
    <row r="598" spans="1:6" x14ac:dyDescent="0.35">
      <c r="A598" t="s">
        <v>1369</v>
      </c>
      <c r="B598" t="s">
        <v>14</v>
      </c>
      <c r="C598" t="s">
        <v>17</v>
      </c>
      <c r="D598" t="s">
        <v>1765</v>
      </c>
      <c r="E598" t="s">
        <v>1369</v>
      </c>
      <c r="F598" t="s">
        <v>17</v>
      </c>
    </row>
    <row r="599" spans="1:6" x14ac:dyDescent="0.35">
      <c r="A599" t="s">
        <v>1115</v>
      </c>
      <c r="B599" t="s">
        <v>14</v>
      </c>
      <c r="C599" t="s">
        <v>123</v>
      </c>
      <c r="D599" t="s">
        <v>1766</v>
      </c>
      <c r="E599" t="s">
        <v>1115</v>
      </c>
      <c r="F599" t="s">
        <v>123</v>
      </c>
    </row>
    <row r="600" spans="1:6" x14ac:dyDescent="0.35">
      <c r="A600" t="s">
        <v>264</v>
      </c>
      <c r="B600" t="s">
        <v>29</v>
      </c>
      <c r="C600" t="s">
        <v>166</v>
      </c>
      <c r="D600" t="s">
        <v>1116</v>
      </c>
      <c r="E600" t="s">
        <v>264</v>
      </c>
      <c r="F600" t="s">
        <v>166</v>
      </c>
    </row>
    <row r="601" spans="1:6" x14ac:dyDescent="0.35">
      <c r="A601" t="s">
        <v>422</v>
      </c>
      <c r="B601" t="s">
        <v>14</v>
      </c>
      <c r="C601" t="s">
        <v>30</v>
      </c>
      <c r="D601" t="s">
        <v>1117</v>
      </c>
      <c r="E601" t="s">
        <v>422</v>
      </c>
      <c r="F601" t="s">
        <v>30</v>
      </c>
    </row>
    <row r="602" spans="1:6" x14ac:dyDescent="0.35">
      <c r="A602" t="s">
        <v>1119</v>
      </c>
      <c r="B602" t="s">
        <v>14</v>
      </c>
      <c r="C602" t="s">
        <v>36</v>
      </c>
      <c r="D602" t="s">
        <v>1118</v>
      </c>
      <c r="E602" t="s">
        <v>1119</v>
      </c>
      <c r="F602" t="s">
        <v>36</v>
      </c>
    </row>
    <row r="603" spans="1:6" x14ac:dyDescent="0.35">
      <c r="A603" t="s">
        <v>375</v>
      </c>
      <c r="B603" t="s">
        <v>29</v>
      </c>
      <c r="C603" t="s">
        <v>35</v>
      </c>
      <c r="D603" t="s">
        <v>1120</v>
      </c>
      <c r="E603" t="s">
        <v>375</v>
      </c>
      <c r="F603" t="s">
        <v>35</v>
      </c>
    </row>
    <row r="604" spans="1:6" x14ac:dyDescent="0.35">
      <c r="A604" t="s">
        <v>409</v>
      </c>
      <c r="B604" t="s">
        <v>29</v>
      </c>
      <c r="C604" t="s">
        <v>28</v>
      </c>
      <c r="D604" t="s">
        <v>1121</v>
      </c>
      <c r="E604" t="s">
        <v>409</v>
      </c>
      <c r="F604" t="s">
        <v>28</v>
      </c>
    </row>
    <row r="605" spans="1:6" x14ac:dyDescent="0.35">
      <c r="A605" t="s">
        <v>1352</v>
      </c>
      <c r="B605" t="s">
        <v>29</v>
      </c>
      <c r="C605" t="s">
        <v>44</v>
      </c>
      <c r="D605" t="s">
        <v>1767</v>
      </c>
      <c r="E605" t="s">
        <v>1352</v>
      </c>
      <c r="F605" t="s">
        <v>44</v>
      </c>
    </row>
    <row r="606" spans="1:6" x14ac:dyDescent="0.35">
      <c r="A606" t="s">
        <v>1122</v>
      </c>
      <c r="B606" t="s">
        <v>14</v>
      </c>
      <c r="C606" t="s">
        <v>20</v>
      </c>
      <c r="D606" t="s">
        <v>1123</v>
      </c>
      <c r="E606" t="s">
        <v>1122</v>
      </c>
      <c r="F606" t="s">
        <v>20</v>
      </c>
    </row>
    <row r="607" spans="1:6" x14ac:dyDescent="0.35">
      <c r="A607" t="s">
        <v>1124</v>
      </c>
      <c r="B607" t="s">
        <v>14</v>
      </c>
      <c r="C607" t="s">
        <v>21</v>
      </c>
      <c r="D607" t="s">
        <v>1125</v>
      </c>
      <c r="E607" t="s">
        <v>1124</v>
      </c>
      <c r="F607" t="s">
        <v>21</v>
      </c>
    </row>
    <row r="608" spans="1:6" x14ac:dyDescent="0.35">
      <c r="A608" t="s">
        <v>210</v>
      </c>
      <c r="B608" t="s">
        <v>14</v>
      </c>
      <c r="C608" t="s">
        <v>21</v>
      </c>
      <c r="D608" t="s">
        <v>1126</v>
      </c>
      <c r="E608" t="s">
        <v>210</v>
      </c>
      <c r="F608" t="s">
        <v>21</v>
      </c>
    </row>
    <row r="609" spans="1:6" x14ac:dyDescent="0.35">
      <c r="A609" t="s">
        <v>1127</v>
      </c>
      <c r="B609" t="s">
        <v>14</v>
      </c>
      <c r="C609" t="s">
        <v>37</v>
      </c>
      <c r="D609" t="s">
        <v>1768</v>
      </c>
      <c r="E609" t="s">
        <v>1127</v>
      </c>
      <c r="F609" t="s">
        <v>37</v>
      </c>
    </row>
    <row r="610" spans="1:6" x14ac:dyDescent="0.35">
      <c r="A610" t="s">
        <v>1128</v>
      </c>
      <c r="B610" t="s">
        <v>14</v>
      </c>
      <c r="C610" t="s">
        <v>73</v>
      </c>
      <c r="D610" t="s">
        <v>1769</v>
      </c>
      <c r="E610" t="s">
        <v>1128</v>
      </c>
      <c r="F610" t="s">
        <v>73</v>
      </c>
    </row>
    <row r="611" spans="1:6" x14ac:dyDescent="0.35">
      <c r="A611" t="s">
        <v>253</v>
      </c>
      <c r="B611" t="s">
        <v>14</v>
      </c>
      <c r="C611" t="s">
        <v>88</v>
      </c>
      <c r="D611" t="s">
        <v>1129</v>
      </c>
      <c r="E611" t="s">
        <v>253</v>
      </c>
      <c r="F611" t="s">
        <v>88</v>
      </c>
    </row>
    <row r="612" spans="1:6" x14ac:dyDescent="0.35">
      <c r="A612" t="s">
        <v>243</v>
      </c>
      <c r="B612" t="s">
        <v>14</v>
      </c>
      <c r="C612" t="s">
        <v>88</v>
      </c>
      <c r="D612" t="s">
        <v>1130</v>
      </c>
      <c r="E612" t="s">
        <v>243</v>
      </c>
      <c r="F612" t="s">
        <v>88</v>
      </c>
    </row>
    <row r="613" spans="1:6" x14ac:dyDescent="0.35">
      <c r="A613" t="s">
        <v>39</v>
      </c>
      <c r="B613" t="s">
        <v>14</v>
      </c>
      <c r="C613" t="s">
        <v>30</v>
      </c>
      <c r="D613" t="s">
        <v>621</v>
      </c>
      <c r="E613" t="s">
        <v>39</v>
      </c>
      <c r="F613" t="s">
        <v>30</v>
      </c>
    </row>
    <row r="614" spans="1:6" x14ac:dyDescent="0.35">
      <c r="A614" t="s">
        <v>1770</v>
      </c>
      <c r="B614" t="s">
        <v>14</v>
      </c>
      <c r="C614" t="s">
        <v>17</v>
      </c>
      <c r="D614" t="s">
        <v>1771</v>
      </c>
      <c r="E614" t="s">
        <v>1770</v>
      </c>
      <c r="F614" t="s">
        <v>17</v>
      </c>
    </row>
    <row r="615" spans="1:6" x14ac:dyDescent="0.35">
      <c r="A615" t="s">
        <v>1131</v>
      </c>
      <c r="B615" t="s">
        <v>14</v>
      </c>
      <c r="C615" t="s">
        <v>73</v>
      </c>
      <c r="D615" t="s">
        <v>1772</v>
      </c>
      <c r="E615" t="s">
        <v>1131</v>
      </c>
      <c r="F615" t="s">
        <v>73</v>
      </c>
    </row>
    <row r="616" spans="1:6" x14ac:dyDescent="0.35">
      <c r="A616" t="s">
        <v>1358</v>
      </c>
      <c r="B616" t="s">
        <v>29</v>
      </c>
      <c r="C616" t="s">
        <v>17</v>
      </c>
      <c r="D616" t="s">
        <v>1773</v>
      </c>
      <c r="E616" t="s">
        <v>1358</v>
      </c>
      <c r="F616" t="s">
        <v>17</v>
      </c>
    </row>
    <row r="617" spans="1:6" x14ac:dyDescent="0.35">
      <c r="A617" t="s">
        <v>1361</v>
      </c>
      <c r="B617" t="s">
        <v>29</v>
      </c>
      <c r="C617" t="s">
        <v>17</v>
      </c>
      <c r="D617" t="s">
        <v>1774</v>
      </c>
      <c r="E617" t="s">
        <v>1361</v>
      </c>
      <c r="F617" t="s">
        <v>17</v>
      </c>
    </row>
    <row r="618" spans="1:6" x14ac:dyDescent="0.35">
      <c r="A618" t="s">
        <v>1132</v>
      </c>
      <c r="B618" t="s">
        <v>14</v>
      </c>
      <c r="C618" t="s">
        <v>427</v>
      </c>
      <c r="D618" t="s">
        <v>1133</v>
      </c>
      <c r="E618" t="s">
        <v>1132</v>
      </c>
      <c r="F618" t="s">
        <v>427</v>
      </c>
    </row>
    <row r="619" spans="1:6" x14ac:dyDescent="0.35">
      <c r="A619" t="s">
        <v>1431</v>
      </c>
      <c r="B619" t="s">
        <v>29</v>
      </c>
      <c r="C619" t="s">
        <v>427</v>
      </c>
      <c r="D619" t="s">
        <v>1775</v>
      </c>
      <c r="E619" t="s">
        <v>1431</v>
      </c>
      <c r="F619" t="s">
        <v>427</v>
      </c>
    </row>
    <row r="620" spans="1:6" x14ac:dyDescent="0.35">
      <c r="A620" t="s">
        <v>1455</v>
      </c>
      <c r="B620" t="s">
        <v>14</v>
      </c>
      <c r="C620" t="s">
        <v>20</v>
      </c>
      <c r="D620" t="s">
        <v>1776</v>
      </c>
      <c r="E620" t="s">
        <v>1455</v>
      </c>
      <c r="F620" t="s">
        <v>20</v>
      </c>
    </row>
    <row r="621" spans="1:6" x14ac:dyDescent="0.35">
      <c r="A621" t="s">
        <v>127</v>
      </c>
      <c r="B621" t="s">
        <v>14</v>
      </c>
      <c r="C621" t="s">
        <v>36</v>
      </c>
      <c r="D621" t="s">
        <v>1134</v>
      </c>
      <c r="E621" t="s">
        <v>127</v>
      </c>
      <c r="F621" t="s">
        <v>36</v>
      </c>
    </row>
    <row r="622" spans="1:6" x14ac:dyDescent="0.35">
      <c r="A622" t="s">
        <v>1420</v>
      </c>
      <c r="B622" t="s">
        <v>14</v>
      </c>
      <c r="C622" t="s">
        <v>36</v>
      </c>
      <c r="D622" t="s">
        <v>1777</v>
      </c>
      <c r="E622" t="s">
        <v>1420</v>
      </c>
      <c r="F622" t="s">
        <v>36</v>
      </c>
    </row>
    <row r="623" spans="1:6" x14ac:dyDescent="0.35">
      <c r="A623" t="s">
        <v>1778</v>
      </c>
      <c r="B623" t="s">
        <v>14</v>
      </c>
      <c r="C623" t="s">
        <v>15</v>
      </c>
      <c r="D623" t="s">
        <v>1779</v>
      </c>
      <c r="E623" t="s">
        <v>1778</v>
      </c>
      <c r="F623" t="s">
        <v>15</v>
      </c>
    </row>
    <row r="624" spans="1:6" x14ac:dyDescent="0.35">
      <c r="A624" t="s">
        <v>1780</v>
      </c>
      <c r="B624" t="s">
        <v>14</v>
      </c>
      <c r="C624" t="s">
        <v>15</v>
      </c>
      <c r="D624" t="s">
        <v>1781</v>
      </c>
      <c r="E624" t="s">
        <v>1778</v>
      </c>
      <c r="F624" t="s">
        <v>15</v>
      </c>
    </row>
    <row r="625" spans="1:6" x14ac:dyDescent="0.35">
      <c r="A625" t="s">
        <v>1135</v>
      </c>
      <c r="B625" t="s">
        <v>14</v>
      </c>
      <c r="C625" t="s">
        <v>73</v>
      </c>
      <c r="D625" t="s">
        <v>1782</v>
      </c>
      <c r="E625" t="s">
        <v>1135</v>
      </c>
      <c r="F625" t="s">
        <v>73</v>
      </c>
    </row>
    <row r="626" spans="1:6" x14ac:dyDescent="0.35">
      <c r="A626" t="s">
        <v>382</v>
      </c>
      <c r="B626" t="s">
        <v>14</v>
      </c>
      <c r="C626" t="s">
        <v>17</v>
      </c>
      <c r="D626" t="s">
        <v>1783</v>
      </c>
      <c r="E626" t="s">
        <v>382</v>
      </c>
      <c r="F626" t="s">
        <v>17</v>
      </c>
    </row>
    <row r="627" spans="1:6" x14ac:dyDescent="0.35">
      <c r="A627" t="s">
        <v>1784</v>
      </c>
      <c r="B627" t="s">
        <v>14</v>
      </c>
      <c r="C627" t="s">
        <v>17</v>
      </c>
      <c r="D627" t="s">
        <v>1785</v>
      </c>
      <c r="E627" t="s">
        <v>1784</v>
      </c>
      <c r="F627" t="s">
        <v>17</v>
      </c>
    </row>
    <row r="628" spans="1:6" x14ac:dyDescent="0.35">
      <c r="A628" t="s">
        <v>488</v>
      </c>
      <c r="B628" t="s">
        <v>14</v>
      </c>
      <c r="C628" t="s">
        <v>30</v>
      </c>
      <c r="D628" t="s">
        <v>1136</v>
      </c>
      <c r="E628" t="s">
        <v>488</v>
      </c>
      <c r="F628" t="s">
        <v>30</v>
      </c>
    </row>
    <row r="629" spans="1:6" x14ac:dyDescent="0.35">
      <c r="A629" t="s">
        <v>466</v>
      </c>
      <c r="B629" t="s">
        <v>14</v>
      </c>
      <c r="C629" t="s">
        <v>18</v>
      </c>
      <c r="D629" t="s">
        <v>1137</v>
      </c>
      <c r="E629" t="s">
        <v>466</v>
      </c>
      <c r="F629" t="s">
        <v>18</v>
      </c>
    </row>
    <row r="630" spans="1:6" x14ac:dyDescent="0.35">
      <c r="A630" t="s">
        <v>1138</v>
      </c>
      <c r="B630" t="s">
        <v>14</v>
      </c>
      <c r="C630" t="s">
        <v>20</v>
      </c>
      <c r="D630" t="s">
        <v>1139</v>
      </c>
      <c r="E630" t="s">
        <v>1138</v>
      </c>
      <c r="F630" t="s">
        <v>20</v>
      </c>
    </row>
    <row r="631" spans="1:6" x14ac:dyDescent="0.35">
      <c r="A631" t="s">
        <v>416</v>
      </c>
      <c r="B631" t="s">
        <v>14</v>
      </c>
      <c r="C631" t="s">
        <v>417</v>
      </c>
      <c r="D631" t="s">
        <v>1140</v>
      </c>
      <c r="E631" t="s">
        <v>416</v>
      </c>
      <c r="F631" t="s">
        <v>417</v>
      </c>
    </row>
    <row r="632" spans="1:6" x14ac:dyDescent="0.35">
      <c r="A632" t="s">
        <v>1786</v>
      </c>
      <c r="B632" t="s">
        <v>14</v>
      </c>
      <c r="C632" t="s">
        <v>37</v>
      </c>
      <c r="D632" t="s">
        <v>1787</v>
      </c>
      <c r="E632" t="s">
        <v>1786</v>
      </c>
      <c r="F632" t="s">
        <v>37</v>
      </c>
    </row>
    <row r="633" spans="1:6" x14ac:dyDescent="0.35">
      <c r="A633" t="s">
        <v>1445</v>
      </c>
      <c r="B633" t="s">
        <v>29</v>
      </c>
      <c r="C633" t="s">
        <v>547</v>
      </c>
      <c r="D633" t="s">
        <v>1788</v>
      </c>
      <c r="E633" t="s">
        <v>1445</v>
      </c>
      <c r="F633" t="s">
        <v>547</v>
      </c>
    </row>
    <row r="634" spans="1:6" x14ac:dyDescent="0.35">
      <c r="A634" t="s">
        <v>235</v>
      </c>
      <c r="B634" t="s">
        <v>29</v>
      </c>
      <c r="C634" t="s">
        <v>96</v>
      </c>
      <c r="D634" t="s">
        <v>1141</v>
      </c>
      <c r="E634" t="s">
        <v>235</v>
      </c>
      <c r="F634" t="s">
        <v>96</v>
      </c>
    </row>
    <row r="635" spans="1:6" x14ac:dyDescent="0.35">
      <c r="A635" t="s">
        <v>1142</v>
      </c>
      <c r="B635" t="s">
        <v>29</v>
      </c>
      <c r="C635" t="s">
        <v>15</v>
      </c>
      <c r="D635" t="s">
        <v>1143</v>
      </c>
      <c r="E635" t="s">
        <v>1142</v>
      </c>
      <c r="F635" t="s">
        <v>15</v>
      </c>
    </row>
    <row r="636" spans="1:6" x14ac:dyDescent="0.35">
      <c r="A636" t="s">
        <v>455</v>
      </c>
      <c r="B636" t="s">
        <v>29</v>
      </c>
      <c r="C636" t="s">
        <v>21</v>
      </c>
      <c r="D636" t="s">
        <v>1144</v>
      </c>
      <c r="E636" t="s">
        <v>455</v>
      </c>
      <c r="F636" t="s">
        <v>21</v>
      </c>
    </row>
    <row r="637" spans="1:6" x14ac:dyDescent="0.35">
      <c r="A637" t="s">
        <v>470</v>
      </c>
      <c r="B637" t="s">
        <v>14</v>
      </c>
      <c r="C637" t="s">
        <v>57</v>
      </c>
      <c r="D637" t="s">
        <v>1145</v>
      </c>
      <c r="E637" t="s">
        <v>470</v>
      </c>
      <c r="F637" t="s">
        <v>57</v>
      </c>
    </row>
    <row r="638" spans="1:6" x14ac:dyDescent="0.35">
      <c r="A638" t="s">
        <v>1146</v>
      </c>
      <c r="B638" t="s">
        <v>29</v>
      </c>
      <c r="C638" t="s">
        <v>73</v>
      </c>
      <c r="D638" t="s">
        <v>1789</v>
      </c>
      <c r="E638" t="s">
        <v>1146</v>
      </c>
      <c r="F638" t="s">
        <v>73</v>
      </c>
    </row>
    <row r="639" spans="1:6" x14ac:dyDescent="0.35">
      <c r="A639" t="s">
        <v>221</v>
      </c>
      <c r="B639" t="s">
        <v>29</v>
      </c>
      <c r="C639" t="s">
        <v>35</v>
      </c>
      <c r="D639" t="s">
        <v>1147</v>
      </c>
      <c r="E639" t="s">
        <v>221</v>
      </c>
      <c r="F639" t="s">
        <v>35</v>
      </c>
    </row>
    <row r="640" spans="1:6" x14ac:dyDescent="0.35">
      <c r="A640" t="s">
        <v>1148</v>
      </c>
      <c r="B640" t="s">
        <v>29</v>
      </c>
      <c r="C640" t="s">
        <v>21</v>
      </c>
      <c r="D640" t="s">
        <v>1149</v>
      </c>
      <c r="E640" t="s">
        <v>1148</v>
      </c>
      <c r="F640" t="s">
        <v>21</v>
      </c>
    </row>
    <row r="641" spans="1:6" x14ac:dyDescent="0.35">
      <c r="A641" t="s">
        <v>355</v>
      </c>
      <c r="B641" t="s">
        <v>14</v>
      </c>
      <c r="C641" t="s">
        <v>73</v>
      </c>
      <c r="D641" t="s">
        <v>1150</v>
      </c>
      <c r="E641" t="s">
        <v>355</v>
      </c>
      <c r="F641" t="s">
        <v>73</v>
      </c>
    </row>
    <row r="642" spans="1:6" x14ac:dyDescent="0.35">
      <c r="A642" t="s">
        <v>1151</v>
      </c>
      <c r="B642" t="s">
        <v>14</v>
      </c>
      <c r="C642" t="s">
        <v>956</v>
      </c>
      <c r="D642" t="s">
        <v>1152</v>
      </c>
      <c r="E642" t="s">
        <v>1151</v>
      </c>
      <c r="F642" t="s">
        <v>956</v>
      </c>
    </row>
    <row r="643" spans="1:6" x14ac:dyDescent="0.35">
      <c r="A643" t="s">
        <v>1153</v>
      </c>
      <c r="B643" t="s">
        <v>29</v>
      </c>
      <c r="C643" t="s">
        <v>35</v>
      </c>
      <c r="D643" t="s">
        <v>1154</v>
      </c>
      <c r="E643" t="s">
        <v>1153</v>
      </c>
      <c r="F643" t="s">
        <v>35</v>
      </c>
    </row>
    <row r="644" spans="1:6" x14ac:dyDescent="0.35">
      <c r="A644" t="s">
        <v>295</v>
      </c>
      <c r="B644" t="s">
        <v>14</v>
      </c>
      <c r="C644" t="s">
        <v>30</v>
      </c>
      <c r="D644" t="s">
        <v>1790</v>
      </c>
      <c r="E644" t="s">
        <v>295</v>
      </c>
      <c r="F644" t="s">
        <v>30</v>
      </c>
    </row>
    <row r="645" spans="1:6" x14ac:dyDescent="0.35">
      <c r="A645" t="s">
        <v>225</v>
      </c>
      <c r="B645" t="s">
        <v>29</v>
      </c>
      <c r="C645" t="s">
        <v>17</v>
      </c>
      <c r="D645" t="s">
        <v>1155</v>
      </c>
      <c r="E645" t="s">
        <v>225</v>
      </c>
      <c r="F645" t="s">
        <v>17</v>
      </c>
    </row>
    <row r="646" spans="1:6" x14ac:dyDescent="0.35">
      <c r="A646" t="s">
        <v>331</v>
      </c>
      <c r="B646" t="s">
        <v>29</v>
      </c>
      <c r="C646" t="s">
        <v>30</v>
      </c>
      <c r="D646" t="s">
        <v>1791</v>
      </c>
      <c r="E646" t="s">
        <v>331</v>
      </c>
      <c r="F646" t="s">
        <v>30</v>
      </c>
    </row>
    <row r="647" spans="1:6" x14ac:dyDescent="0.35">
      <c r="A647" t="s">
        <v>1156</v>
      </c>
      <c r="B647" t="s">
        <v>14</v>
      </c>
      <c r="C647" t="s">
        <v>15</v>
      </c>
      <c r="D647" t="s">
        <v>1792</v>
      </c>
      <c r="E647" t="s">
        <v>1156</v>
      </c>
      <c r="F647" t="s">
        <v>15</v>
      </c>
    </row>
    <row r="648" spans="1:6" x14ac:dyDescent="0.35">
      <c r="A648" t="s">
        <v>1157</v>
      </c>
      <c r="B648" t="s">
        <v>14</v>
      </c>
      <c r="C648" t="s">
        <v>158</v>
      </c>
      <c r="D648" t="s">
        <v>1793</v>
      </c>
      <c r="E648" t="s">
        <v>1157</v>
      </c>
      <c r="F648" t="s">
        <v>158</v>
      </c>
    </row>
    <row r="649" spans="1:6" x14ac:dyDescent="0.35">
      <c r="A649" t="s">
        <v>205</v>
      </c>
      <c r="B649" t="s">
        <v>14</v>
      </c>
      <c r="C649" t="s">
        <v>36</v>
      </c>
      <c r="D649" t="s">
        <v>1158</v>
      </c>
      <c r="E649" t="s">
        <v>205</v>
      </c>
      <c r="F649" t="s">
        <v>36</v>
      </c>
    </row>
    <row r="650" spans="1:6" x14ac:dyDescent="0.35">
      <c r="A650" t="s">
        <v>1438</v>
      </c>
      <c r="B650" t="s">
        <v>29</v>
      </c>
      <c r="C650" t="s">
        <v>167</v>
      </c>
      <c r="D650" t="s">
        <v>1794</v>
      </c>
      <c r="E650" t="s">
        <v>1438</v>
      </c>
      <c r="F650" t="s">
        <v>167</v>
      </c>
    </row>
    <row r="651" spans="1:6" x14ac:dyDescent="0.35">
      <c r="A651" t="s">
        <v>1159</v>
      </c>
      <c r="B651" t="s">
        <v>14</v>
      </c>
      <c r="C651" t="s">
        <v>119</v>
      </c>
      <c r="D651" t="s">
        <v>1160</v>
      </c>
      <c r="E651" t="s">
        <v>1159</v>
      </c>
      <c r="F651" t="s">
        <v>119</v>
      </c>
    </row>
    <row r="652" spans="1:6" x14ac:dyDescent="0.35">
      <c r="A652" t="s">
        <v>1161</v>
      </c>
      <c r="B652" t="s">
        <v>14</v>
      </c>
      <c r="C652" t="s">
        <v>139</v>
      </c>
      <c r="D652" t="s">
        <v>1162</v>
      </c>
      <c r="E652" t="s">
        <v>1161</v>
      </c>
      <c r="F652" t="s">
        <v>139</v>
      </c>
    </row>
    <row r="653" spans="1:6" x14ac:dyDescent="0.35">
      <c r="A653" t="s">
        <v>353</v>
      </c>
      <c r="B653" t="s">
        <v>14</v>
      </c>
      <c r="C653" t="s">
        <v>73</v>
      </c>
      <c r="D653" t="s">
        <v>1163</v>
      </c>
      <c r="E653" t="s">
        <v>353</v>
      </c>
      <c r="F653" t="s">
        <v>73</v>
      </c>
    </row>
    <row r="654" spans="1:6" x14ac:dyDescent="0.35">
      <c r="A654" t="s">
        <v>361</v>
      </c>
      <c r="B654" t="s">
        <v>14</v>
      </c>
      <c r="C654" t="s">
        <v>30</v>
      </c>
      <c r="D654" t="s">
        <v>1795</v>
      </c>
      <c r="E654" t="s">
        <v>361</v>
      </c>
      <c r="F654" t="s">
        <v>30</v>
      </c>
    </row>
    <row r="655" spans="1:6" x14ac:dyDescent="0.35">
      <c r="A655" t="s">
        <v>1433</v>
      </c>
      <c r="B655" t="s">
        <v>29</v>
      </c>
      <c r="C655" t="s">
        <v>37</v>
      </c>
      <c r="D655" t="s">
        <v>1796</v>
      </c>
      <c r="E655" t="s">
        <v>1433</v>
      </c>
      <c r="F655" t="s">
        <v>37</v>
      </c>
    </row>
    <row r="656" spans="1:6" x14ac:dyDescent="0.35">
      <c r="A656" t="s">
        <v>1429</v>
      </c>
      <c r="B656" t="s">
        <v>29</v>
      </c>
      <c r="C656" t="s">
        <v>35</v>
      </c>
      <c r="D656" t="s">
        <v>1797</v>
      </c>
      <c r="E656" t="s">
        <v>1429</v>
      </c>
      <c r="F656" t="s">
        <v>35</v>
      </c>
    </row>
    <row r="657" spans="1:6" x14ac:dyDescent="0.35">
      <c r="A657" t="s">
        <v>1164</v>
      </c>
      <c r="B657" t="s">
        <v>14</v>
      </c>
      <c r="C657" t="s">
        <v>73</v>
      </c>
      <c r="D657" t="s">
        <v>1798</v>
      </c>
      <c r="E657" t="s">
        <v>1164</v>
      </c>
      <c r="F657" t="s">
        <v>73</v>
      </c>
    </row>
    <row r="658" spans="1:6" x14ac:dyDescent="0.35">
      <c r="A658" t="s">
        <v>1799</v>
      </c>
      <c r="B658" t="s">
        <v>14</v>
      </c>
      <c r="C658" t="s">
        <v>17</v>
      </c>
      <c r="D658" t="s">
        <v>1800</v>
      </c>
      <c r="E658" t="s">
        <v>1799</v>
      </c>
      <c r="F658" t="s">
        <v>17</v>
      </c>
    </row>
    <row r="659" spans="1:6" x14ac:dyDescent="0.35">
      <c r="A659" t="s">
        <v>1165</v>
      </c>
      <c r="B659" t="s">
        <v>29</v>
      </c>
      <c r="C659" t="s">
        <v>73</v>
      </c>
      <c r="D659" t="s">
        <v>1166</v>
      </c>
      <c r="E659" t="s">
        <v>1165</v>
      </c>
      <c r="F659" t="s">
        <v>73</v>
      </c>
    </row>
    <row r="660" spans="1:6" x14ac:dyDescent="0.35">
      <c r="A660" t="s">
        <v>1167</v>
      </c>
      <c r="B660" t="s">
        <v>14</v>
      </c>
      <c r="D660" t="s">
        <v>1168</v>
      </c>
      <c r="E660" t="s">
        <v>1167</v>
      </c>
      <c r="F660" t="s">
        <v>15</v>
      </c>
    </row>
    <row r="661" spans="1:6" x14ac:dyDescent="0.35">
      <c r="A661" t="s">
        <v>1170</v>
      </c>
      <c r="B661" t="s">
        <v>14</v>
      </c>
      <c r="D661" t="s">
        <v>1169</v>
      </c>
      <c r="E661" t="s">
        <v>1170</v>
      </c>
      <c r="F661" t="s">
        <v>34</v>
      </c>
    </row>
    <row r="662" spans="1:6" x14ac:dyDescent="0.35">
      <c r="A662" t="s">
        <v>263</v>
      </c>
      <c r="B662" t="s">
        <v>29</v>
      </c>
      <c r="C662" t="s">
        <v>165</v>
      </c>
      <c r="D662" t="s">
        <v>1171</v>
      </c>
      <c r="E662" t="s">
        <v>263</v>
      </c>
      <c r="F662" t="s">
        <v>165</v>
      </c>
    </row>
    <row r="663" spans="1:6" x14ac:dyDescent="0.35">
      <c r="A663" t="s">
        <v>465</v>
      </c>
      <c r="B663" t="s">
        <v>14</v>
      </c>
      <c r="C663" t="s">
        <v>18</v>
      </c>
      <c r="D663" t="s">
        <v>1172</v>
      </c>
      <c r="E663" t="s">
        <v>465</v>
      </c>
      <c r="F663" t="s">
        <v>18</v>
      </c>
    </row>
    <row r="664" spans="1:6" x14ac:dyDescent="0.35">
      <c r="A664" t="s">
        <v>302</v>
      </c>
      <c r="B664" t="s">
        <v>14</v>
      </c>
      <c r="C664" t="s">
        <v>158</v>
      </c>
      <c r="D664" t="s">
        <v>1173</v>
      </c>
      <c r="E664" t="s">
        <v>302</v>
      </c>
      <c r="F664" t="s">
        <v>158</v>
      </c>
    </row>
    <row r="665" spans="1:6" x14ac:dyDescent="0.35">
      <c r="A665" t="s">
        <v>1175</v>
      </c>
      <c r="B665" t="s">
        <v>14</v>
      </c>
      <c r="C665" t="s">
        <v>36</v>
      </c>
      <c r="D665" t="s">
        <v>1174</v>
      </c>
      <c r="E665" t="s">
        <v>1175</v>
      </c>
      <c r="F665" t="s">
        <v>36</v>
      </c>
    </row>
    <row r="666" spans="1:6" x14ac:dyDescent="0.35">
      <c r="A666" t="s">
        <v>1176</v>
      </c>
      <c r="B666" t="s">
        <v>14</v>
      </c>
      <c r="C666" t="s">
        <v>96</v>
      </c>
      <c r="D666" t="s">
        <v>1177</v>
      </c>
      <c r="E666" t="s">
        <v>1176</v>
      </c>
      <c r="F666" t="s">
        <v>96</v>
      </c>
    </row>
    <row r="667" spans="1:6" x14ac:dyDescent="0.35">
      <c r="A667" t="s">
        <v>431</v>
      </c>
      <c r="B667" t="s">
        <v>14</v>
      </c>
      <c r="C667" t="s">
        <v>119</v>
      </c>
      <c r="D667" t="s">
        <v>1801</v>
      </c>
      <c r="E667" t="s">
        <v>431</v>
      </c>
      <c r="F667" t="s">
        <v>119</v>
      </c>
    </row>
    <row r="668" spans="1:6" x14ac:dyDescent="0.35">
      <c r="A668" t="s">
        <v>1340</v>
      </c>
      <c r="B668" t="s">
        <v>14</v>
      </c>
      <c r="C668" t="s">
        <v>21</v>
      </c>
      <c r="D668" t="s">
        <v>1802</v>
      </c>
      <c r="E668" t="s">
        <v>1340</v>
      </c>
      <c r="F668" t="s">
        <v>21</v>
      </c>
    </row>
    <row r="669" spans="1:6" x14ac:dyDescent="0.35">
      <c r="A669" t="s">
        <v>371</v>
      </c>
      <c r="B669" t="s">
        <v>29</v>
      </c>
      <c r="C669" t="s">
        <v>30</v>
      </c>
      <c r="D669" t="s">
        <v>1178</v>
      </c>
      <c r="E669" t="s">
        <v>371</v>
      </c>
      <c r="F669" t="s">
        <v>30</v>
      </c>
    </row>
    <row r="670" spans="1:6" x14ac:dyDescent="0.35">
      <c r="A670" t="s">
        <v>477</v>
      </c>
      <c r="B670" t="s">
        <v>29</v>
      </c>
      <c r="C670" t="s">
        <v>35</v>
      </c>
      <c r="D670" t="s">
        <v>1179</v>
      </c>
      <c r="E670" t="s">
        <v>477</v>
      </c>
      <c r="F670" t="s">
        <v>35</v>
      </c>
    </row>
    <row r="671" spans="1:6" x14ac:dyDescent="0.35">
      <c r="A671" t="s">
        <v>1362</v>
      </c>
      <c r="B671" t="s">
        <v>29</v>
      </c>
      <c r="C671" t="s">
        <v>17</v>
      </c>
      <c r="D671" t="s">
        <v>1803</v>
      </c>
      <c r="E671" t="s">
        <v>1362</v>
      </c>
      <c r="F671" t="s">
        <v>17</v>
      </c>
    </row>
    <row r="672" spans="1:6" x14ac:dyDescent="0.35">
      <c r="A672" t="s">
        <v>412</v>
      </c>
      <c r="B672" t="s">
        <v>29</v>
      </c>
      <c r="C672" t="s">
        <v>28</v>
      </c>
      <c r="D672" t="s">
        <v>1180</v>
      </c>
      <c r="E672" t="s">
        <v>412</v>
      </c>
      <c r="F672" t="s">
        <v>28</v>
      </c>
    </row>
    <row r="673" spans="1:6" x14ac:dyDescent="0.35">
      <c r="A673" t="s">
        <v>289</v>
      </c>
      <c r="B673" t="s">
        <v>29</v>
      </c>
      <c r="C673" t="s">
        <v>35</v>
      </c>
      <c r="D673" t="s">
        <v>1804</v>
      </c>
      <c r="E673" t="s">
        <v>289</v>
      </c>
      <c r="F673" t="s">
        <v>35</v>
      </c>
    </row>
    <row r="674" spans="1:6" x14ac:dyDescent="0.35">
      <c r="A674" t="s">
        <v>1181</v>
      </c>
      <c r="B674" t="s">
        <v>29</v>
      </c>
      <c r="C674" t="s">
        <v>21</v>
      </c>
      <c r="D674" t="s">
        <v>1805</v>
      </c>
      <c r="E674" t="s">
        <v>1181</v>
      </c>
      <c r="F674" t="s">
        <v>21</v>
      </c>
    </row>
    <row r="675" spans="1:6" x14ac:dyDescent="0.35">
      <c r="A675" t="s">
        <v>1182</v>
      </c>
      <c r="B675" t="s">
        <v>14</v>
      </c>
      <c r="C675" t="s">
        <v>21</v>
      </c>
      <c r="D675" t="s">
        <v>1806</v>
      </c>
      <c r="E675" t="s">
        <v>1182</v>
      </c>
      <c r="F675" t="s">
        <v>21</v>
      </c>
    </row>
    <row r="676" spans="1:6" x14ac:dyDescent="0.35">
      <c r="A676" t="s">
        <v>1183</v>
      </c>
      <c r="B676" t="s">
        <v>14</v>
      </c>
      <c r="C676" t="s">
        <v>34</v>
      </c>
      <c r="D676" t="s">
        <v>1807</v>
      </c>
      <c r="E676" t="s">
        <v>1183</v>
      </c>
      <c r="F676" t="s">
        <v>34</v>
      </c>
    </row>
    <row r="677" spans="1:6" x14ac:dyDescent="0.35">
      <c r="A677" t="s">
        <v>1186</v>
      </c>
      <c r="B677" t="s">
        <v>14</v>
      </c>
      <c r="C677" t="s">
        <v>21</v>
      </c>
      <c r="D677" t="s">
        <v>1808</v>
      </c>
      <c r="E677" t="s">
        <v>1186</v>
      </c>
      <c r="F677" t="s">
        <v>21</v>
      </c>
    </row>
    <row r="678" spans="1:6" x14ac:dyDescent="0.35">
      <c r="A678" t="s">
        <v>1184</v>
      </c>
      <c r="B678" t="s">
        <v>14</v>
      </c>
      <c r="C678" t="s">
        <v>24</v>
      </c>
      <c r="D678" t="s">
        <v>1185</v>
      </c>
      <c r="E678" t="s">
        <v>1184</v>
      </c>
      <c r="F678" t="s">
        <v>24</v>
      </c>
    </row>
    <row r="679" spans="1:6" x14ac:dyDescent="0.35">
      <c r="A679" t="s">
        <v>1187</v>
      </c>
      <c r="B679" t="s">
        <v>29</v>
      </c>
      <c r="C679" t="s">
        <v>21</v>
      </c>
      <c r="D679" t="s">
        <v>1809</v>
      </c>
      <c r="E679" t="s">
        <v>1187</v>
      </c>
      <c r="F679" t="s">
        <v>21</v>
      </c>
    </row>
    <row r="680" spans="1:6" x14ac:dyDescent="0.35">
      <c r="A680" t="s">
        <v>1188</v>
      </c>
      <c r="B680" t="s">
        <v>29</v>
      </c>
      <c r="C680" t="s">
        <v>861</v>
      </c>
      <c r="D680" t="s">
        <v>1810</v>
      </c>
      <c r="E680" t="s">
        <v>1188</v>
      </c>
      <c r="F680" t="s">
        <v>861</v>
      </c>
    </row>
    <row r="681" spans="1:6" x14ac:dyDescent="0.35">
      <c r="A681" t="s">
        <v>1189</v>
      </c>
      <c r="B681" t="s">
        <v>14</v>
      </c>
      <c r="C681" t="s">
        <v>60</v>
      </c>
      <c r="D681" t="s">
        <v>1811</v>
      </c>
      <c r="E681" t="s">
        <v>1189</v>
      </c>
      <c r="F681" t="s">
        <v>60</v>
      </c>
    </row>
    <row r="682" spans="1:6" x14ac:dyDescent="0.35">
      <c r="A682" t="s">
        <v>1346</v>
      </c>
      <c r="B682" t="s">
        <v>14</v>
      </c>
      <c r="C682" t="s">
        <v>57</v>
      </c>
      <c r="D682" t="s">
        <v>1812</v>
      </c>
      <c r="E682" t="s">
        <v>1346</v>
      </c>
      <c r="F682" t="s">
        <v>57</v>
      </c>
    </row>
    <row r="683" spans="1:6" x14ac:dyDescent="0.35">
      <c r="A683" t="s">
        <v>1190</v>
      </c>
      <c r="B683" t="s">
        <v>14</v>
      </c>
      <c r="C683" t="s">
        <v>59</v>
      </c>
      <c r="D683" t="s">
        <v>1813</v>
      </c>
      <c r="E683" t="s">
        <v>1190</v>
      </c>
      <c r="F683" t="s">
        <v>59</v>
      </c>
    </row>
    <row r="684" spans="1:6" x14ac:dyDescent="0.35">
      <c r="A684" t="s">
        <v>1814</v>
      </c>
      <c r="B684" t="s">
        <v>29</v>
      </c>
      <c r="C684" t="s">
        <v>49</v>
      </c>
      <c r="D684" t="s">
        <v>1815</v>
      </c>
      <c r="E684" t="s">
        <v>1814</v>
      </c>
      <c r="F684" t="s">
        <v>49</v>
      </c>
    </row>
    <row r="685" spans="1:6" x14ac:dyDescent="0.35">
      <c r="A685" t="s">
        <v>1397</v>
      </c>
      <c r="B685" t="s">
        <v>14</v>
      </c>
      <c r="C685" t="s">
        <v>158</v>
      </c>
      <c r="D685" t="s">
        <v>1816</v>
      </c>
      <c r="E685" t="s">
        <v>1397</v>
      </c>
      <c r="F685" t="s">
        <v>158</v>
      </c>
    </row>
    <row r="686" spans="1:6" x14ac:dyDescent="0.35">
      <c r="A686" t="s">
        <v>1191</v>
      </c>
      <c r="B686" t="s">
        <v>14</v>
      </c>
      <c r="C686" t="s">
        <v>28</v>
      </c>
      <c r="D686" t="s">
        <v>1817</v>
      </c>
      <c r="E686" t="s">
        <v>1191</v>
      </c>
      <c r="F686" t="s">
        <v>28</v>
      </c>
    </row>
    <row r="687" spans="1:6" x14ac:dyDescent="0.35">
      <c r="A687" t="s">
        <v>1192</v>
      </c>
      <c r="B687" t="s">
        <v>14</v>
      </c>
      <c r="C687" t="s">
        <v>35</v>
      </c>
      <c r="D687" t="s">
        <v>1193</v>
      </c>
      <c r="E687" t="s">
        <v>1192</v>
      </c>
      <c r="F687" t="s">
        <v>35</v>
      </c>
    </row>
    <row r="688" spans="1:6" x14ac:dyDescent="0.35">
      <c r="A688" t="s">
        <v>296</v>
      </c>
      <c r="B688" t="s">
        <v>14</v>
      </c>
      <c r="C688" t="s">
        <v>30</v>
      </c>
      <c r="D688" t="s">
        <v>1194</v>
      </c>
      <c r="E688" t="s">
        <v>296</v>
      </c>
      <c r="F688" t="s">
        <v>30</v>
      </c>
    </row>
    <row r="689" spans="1:6" x14ac:dyDescent="0.35">
      <c r="A689" t="s">
        <v>1195</v>
      </c>
      <c r="B689" t="s">
        <v>14</v>
      </c>
      <c r="C689" t="s">
        <v>116</v>
      </c>
      <c r="D689" t="s">
        <v>1196</v>
      </c>
      <c r="E689" t="s">
        <v>1195</v>
      </c>
      <c r="F689" t="s">
        <v>116</v>
      </c>
    </row>
    <row r="690" spans="1:6" x14ac:dyDescent="0.35">
      <c r="A690" t="s">
        <v>1198</v>
      </c>
      <c r="B690" t="s">
        <v>14</v>
      </c>
      <c r="C690" t="s">
        <v>49</v>
      </c>
      <c r="D690" t="s">
        <v>1197</v>
      </c>
      <c r="E690" t="s">
        <v>1198</v>
      </c>
      <c r="F690" t="s">
        <v>49</v>
      </c>
    </row>
    <row r="691" spans="1:6" x14ac:dyDescent="0.35">
      <c r="A691" t="s">
        <v>1200</v>
      </c>
      <c r="B691" t="s">
        <v>14</v>
      </c>
      <c r="C691" t="s">
        <v>49</v>
      </c>
      <c r="D691" t="s">
        <v>1199</v>
      </c>
      <c r="E691" t="s">
        <v>1200</v>
      </c>
      <c r="F691" t="s">
        <v>49</v>
      </c>
    </row>
    <row r="692" spans="1:6" x14ac:dyDescent="0.35">
      <c r="A692" t="s">
        <v>1395</v>
      </c>
      <c r="B692" t="s">
        <v>29</v>
      </c>
      <c r="C692" t="s">
        <v>17</v>
      </c>
      <c r="D692" t="s">
        <v>1818</v>
      </c>
      <c r="E692" t="s">
        <v>1395</v>
      </c>
      <c r="F692" t="s">
        <v>17</v>
      </c>
    </row>
    <row r="693" spans="1:6" x14ac:dyDescent="0.35">
      <c r="A693" t="s">
        <v>1201</v>
      </c>
      <c r="B693" t="s">
        <v>29</v>
      </c>
      <c r="C693" t="s">
        <v>21</v>
      </c>
      <c r="D693" t="s">
        <v>1202</v>
      </c>
      <c r="E693" t="s">
        <v>1201</v>
      </c>
      <c r="F693" t="s">
        <v>21</v>
      </c>
    </row>
    <row r="694" spans="1:6" x14ac:dyDescent="0.35">
      <c r="A694" t="s">
        <v>1203</v>
      </c>
      <c r="B694" t="s">
        <v>14</v>
      </c>
      <c r="C694" t="s">
        <v>163</v>
      </c>
      <c r="D694" t="s">
        <v>1204</v>
      </c>
      <c r="E694" t="s">
        <v>1203</v>
      </c>
      <c r="F694" t="s">
        <v>163</v>
      </c>
    </row>
    <row r="695" spans="1:6" x14ac:dyDescent="0.35">
      <c r="A695" t="s">
        <v>1206</v>
      </c>
      <c r="B695" t="s">
        <v>29</v>
      </c>
      <c r="C695" t="s">
        <v>139</v>
      </c>
      <c r="D695" t="s">
        <v>1205</v>
      </c>
      <c r="E695" t="s">
        <v>1206</v>
      </c>
      <c r="F695" t="s">
        <v>139</v>
      </c>
    </row>
    <row r="696" spans="1:6" x14ac:dyDescent="0.35">
      <c r="A696" t="s">
        <v>1207</v>
      </c>
      <c r="B696" t="s">
        <v>29</v>
      </c>
      <c r="C696" t="s">
        <v>28</v>
      </c>
      <c r="D696" t="s">
        <v>1819</v>
      </c>
      <c r="E696" t="s">
        <v>1207</v>
      </c>
      <c r="F696" t="s">
        <v>28</v>
      </c>
    </row>
    <row r="697" spans="1:6" x14ac:dyDescent="0.35">
      <c r="A697" t="s">
        <v>458</v>
      </c>
      <c r="B697" t="s">
        <v>29</v>
      </c>
      <c r="C697" t="s">
        <v>85</v>
      </c>
      <c r="D697" t="s">
        <v>1208</v>
      </c>
      <c r="E697" t="s">
        <v>458</v>
      </c>
      <c r="F697" t="s">
        <v>85</v>
      </c>
    </row>
    <row r="698" spans="1:6" x14ac:dyDescent="0.35">
      <c r="A698" t="s">
        <v>1209</v>
      </c>
      <c r="B698" t="s">
        <v>29</v>
      </c>
      <c r="C698" t="s">
        <v>35</v>
      </c>
      <c r="D698" t="s">
        <v>1210</v>
      </c>
      <c r="E698" t="s">
        <v>1209</v>
      </c>
      <c r="F698" t="s">
        <v>35</v>
      </c>
    </row>
    <row r="699" spans="1:6" x14ac:dyDescent="0.35">
      <c r="A699" t="s">
        <v>1211</v>
      </c>
      <c r="B699" t="s">
        <v>29</v>
      </c>
      <c r="C699" t="s">
        <v>21</v>
      </c>
      <c r="D699" t="s">
        <v>1212</v>
      </c>
      <c r="E699" t="s">
        <v>1211</v>
      </c>
      <c r="F699" t="s">
        <v>21</v>
      </c>
    </row>
    <row r="700" spans="1:6" x14ac:dyDescent="0.35">
      <c r="A700" t="s">
        <v>1213</v>
      </c>
      <c r="B700" t="s">
        <v>29</v>
      </c>
      <c r="C700" t="s">
        <v>36</v>
      </c>
      <c r="D700" t="s">
        <v>1820</v>
      </c>
      <c r="E700" t="s">
        <v>1213</v>
      </c>
      <c r="F700" t="s">
        <v>36</v>
      </c>
    </row>
    <row r="701" spans="1:6" x14ac:dyDescent="0.35">
      <c r="A701" t="s">
        <v>1215</v>
      </c>
      <c r="B701" t="s">
        <v>29</v>
      </c>
      <c r="C701" t="s">
        <v>66</v>
      </c>
      <c r="D701" t="s">
        <v>1214</v>
      </c>
      <c r="E701" t="s">
        <v>1215</v>
      </c>
      <c r="F701" t="s">
        <v>66</v>
      </c>
    </row>
    <row r="702" spans="1:6" x14ac:dyDescent="0.35">
      <c r="A702" t="s">
        <v>1216</v>
      </c>
      <c r="B702" t="s">
        <v>29</v>
      </c>
      <c r="C702" t="s">
        <v>28</v>
      </c>
      <c r="D702" t="s">
        <v>1217</v>
      </c>
      <c r="E702" t="s">
        <v>1216</v>
      </c>
      <c r="F702" t="s">
        <v>28</v>
      </c>
    </row>
    <row r="703" spans="1:6" x14ac:dyDescent="0.35">
      <c r="A703" t="s">
        <v>1821</v>
      </c>
      <c r="B703" t="s">
        <v>29</v>
      </c>
      <c r="C703" t="s">
        <v>17</v>
      </c>
      <c r="D703" t="s">
        <v>1822</v>
      </c>
      <c r="E703" t="s">
        <v>1821</v>
      </c>
      <c r="F703" t="s">
        <v>17</v>
      </c>
    </row>
    <row r="704" spans="1:6" x14ac:dyDescent="0.35">
      <c r="A704" t="s">
        <v>1439</v>
      </c>
      <c r="B704" t="s">
        <v>29</v>
      </c>
      <c r="C704" t="s">
        <v>15</v>
      </c>
      <c r="D704" t="s">
        <v>1823</v>
      </c>
      <c r="E704" t="s">
        <v>1439</v>
      </c>
      <c r="F704" t="s">
        <v>15</v>
      </c>
    </row>
    <row r="705" spans="1:6" x14ac:dyDescent="0.35">
      <c r="A705" t="s">
        <v>1218</v>
      </c>
      <c r="B705" t="s">
        <v>29</v>
      </c>
      <c r="C705" t="s">
        <v>49</v>
      </c>
      <c r="D705" t="s">
        <v>1219</v>
      </c>
      <c r="E705" t="s">
        <v>1218</v>
      </c>
      <c r="F705" t="s">
        <v>49</v>
      </c>
    </row>
    <row r="706" spans="1:6" x14ac:dyDescent="0.35">
      <c r="A706" t="s">
        <v>178</v>
      </c>
      <c r="B706" t="s">
        <v>14</v>
      </c>
      <c r="C706" t="s">
        <v>37</v>
      </c>
      <c r="D706" t="s">
        <v>1824</v>
      </c>
      <c r="E706" t="s">
        <v>178</v>
      </c>
      <c r="F706" t="s">
        <v>37</v>
      </c>
    </row>
    <row r="707" spans="1:6" x14ac:dyDescent="0.35">
      <c r="A707" t="s">
        <v>23</v>
      </c>
      <c r="B707" t="s">
        <v>14</v>
      </c>
      <c r="C707" t="s">
        <v>24</v>
      </c>
      <c r="D707" t="s">
        <v>712</v>
      </c>
      <c r="E707" t="s">
        <v>23</v>
      </c>
      <c r="F707" t="s">
        <v>24</v>
      </c>
    </row>
    <row r="708" spans="1:6" x14ac:dyDescent="0.35">
      <c r="A708" t="s">
        <v>1825</v>
      </c>
      <c r="B708" t="s">
        <v>14</v>
      </c>
      <c r="C708" t="s">
        <v>49</v>
      </c>
      <c r="D708" t="s">
        <v>1826</v>
      </c>
      <c r="E708" t="s">
        <v>1825</v>
      </c>
      <c r="F708" t="s">
        <v>49</v>
      </c>
    </row>
    <row r="709" spans="1:6" x14ac:dyDescent="0.35">
      <c r="A709" t="s">
        <v>270</v>
      </c>
      <c r="B709" t="s">
        <v>29</v>
      </c>
      <c r="C709" t="s">
        <v>72</v>
      </c>
      <c r="D709" t="s">
        <v>1220</v>
      </c>
      <c r="E709" t="s">
        <v>270</v>
      </c>
      <c r="F709" t="s">
        <v>72</v>
      </c>
    </row>
    <row r="710" spans="1:6" x14ac:dyDescent="0.35">
      <c r="A710" t="s">
        <v>1221</v>
      </c>
      <c r="B710" t="s">
        <v>29</v>
      </c>
      <c r="C710" t="s">
        <v>35</v>
      </c>
      <c r="D710" t="s">
        <v>1827</v>
      </c>
      <c r="E710" t="s">
        <v>1221</v>
      </c>
      <c r="F710" t="s">
        <v>35</v>
      </c>
    </row>
    <row r="711" spans="1:6" x14ac:dyDescent="0.35">
      <c r="A711" t="s">
        <v>1828</v>
      </c>
      <c r="B711" t="s">
        <v>29</v>
      </c>
      <c r="C711" t="s">
        <v>35</v>
      </c>
      <c r="D711" t="s">
        <v>1829</v>
      </c>
      <c r="E711" t="s">
        <v>1828</v>
      </c>
      <c r="F711" t="s">
        <v>35</v>
      </c>
    </row>
    <row r="712" spans="1:6" x14ac:dyDescent="0.35">
      <c r="A712" t="s">
        <v>1223</v>
      </c>
      <c r="B712" t="s">
        <v>29</v>
      </c>
      <c r="C712" t="s">
        <v>158</v>
      </c>
      <c r="D712" t="s">
        <v>1222</v>
      </c>
      <c r="E712" t="s">
        <v>1223</v>
      </c>
      <c r="F712" t="s">
        <v>158</v>
      </c>
    </row>
    <row r="713" spans="1:6" x14ac:dyDescent="0.35">
      <c r="A713" t="s">
        <v>1224</v>
      </c>
      <c r="B713" t="s">
        <v>14</v>
      </c>
      <c r="C713" t="s">
        <v>123</v>
      </c>
      <c r="D713" t="s">
        <v>1225</v>
      </c>
      <c r="E713" t="s">
        <v>1224</v>
      </c>
      <c r="F713" t="s">
        <v>123</v>
      </c>
    </row>
    <row r="714" spans="1:6" x14ac:dyDescent="0.35">
      <c r="A714" t="s">
        <v>1226</v>
      </c>
      <c r="B714" t="s">
        <v>29</v>
      </c>
      <c r="C714" t="s">
        <v>1227</v>
      </c>
      <c r="D714" t="s">
        <v>1830</v>
      </c>
      <c r="E714" t="s">
        <v>1226</v>
      </c>
      <c r="F714" t="s">
        <v>1227</v>
      </c>
    </row>
    <row r="715" spans="1:6" x14ac:dyDescent="0.35">
      <c r="A715" t="s">
        <v>1229</v>
      </c>
      <c r="B715" t="s">
        <v>14</v>
      </c>
      <c r="C715" t="s">
        <v>17</v>
      </c>
      <c r="D715" t="s">
        <v>1228</v>
      </c>
      <c r="E715" t="s">
        <v>1229</v>
      </c>
      <c r="F715" t="s">
        <v>17</v>
      </c>
    </row>
    <row r="716" spans="1:6" x14ac:dyDescent="0.35">
      <c r="A716" t="s">
        <v>1367</v>
      </c>
      <c r="B716" t="s">
        <v>14</v>
      </c>
      <c r="C716" t="s">
        <v>17</v>
      </c>
      <c r="D716" t="s">
        <v>1831</v>
      </c>
      <c r="E716" t="s">
        <v>1367</v>
      </c>
      <c r="F716" t="s">
        <v>17</v>
      </c>
    </row>
    <row r="717" spans="1:6" x14ac:dyDescent="0.35">
      <c r="A717" t="s">
        <v>185</v>
      </c>
      <c r="B717" t="s">
        <v>14</v>
      </c>
      <c r="C717" t="s">
        <v>20</v>
      </c>
      <c r="D717" t="s">
        <v>1230</v>
      </c>
      <c r="E717" t="s">
        <v>185</v>
      </c>
      <c r="F717" t="s">
        <v>20</v>
      </c>
    </row>
    <row r="718" spans="1:6" x14ac:dyDescent="0.35">
      <c r="A718" t="s">
        <v>348</v>
      </c>
      <c r="B718" t="s">
        <v>29</v>
      </c>
      <c r="C718" t="s">
        <v>35</v>
      </c>
      <c r="D718" t="s">
        <v>1231</v>
      </c>
      <c r="E718" t="s">
        <v>348</v>
      </c>
      <c r="F718" t="s">
        <v>35</v>
      </c>
    </row>
    <row r="719" spans="1:6" x14ac:dyDescent="0.35">
      <c r="A719" t="s">
        <v>1232</v>
      </c>
      <c r="B719" t="s">
        <v>29</v>
      </c>
      <c r="C719" t="s">
        <v>20</v>
      </c>
      <c r="D719" t="s">
        <v>1233</v>
      </c>
      <c r="E719" t="s">
        <v>1232</v>
      </c>
      <c r="F719" t="s">
        <v>20</v>
      </c>
    </row>
    <row r="720" spans="1:6" x14ac:dyDescent="0.35">
      <c r="A720" t="s">
        <v>452</v>
      </c>
      <c r="B720" t="s">
        <v>29</v>
      </c>
      <c r="C720" t="s">
        <v>66</v>
      </c>
      <c r="D720" t="s">
        <v>1832</v>
      </c>
      <c r="E720" t="s">
        <v>452</v>
      </c>
      <c r="F720" t="s">
        <v>66</v>
      </c>
    </row>
    <row r="721" spans="1:6" x14ac:dyDescent="0.35">
      <c r="A721" t="s">
        <v>1234</v>
      </c>
      <c r="B721" t="s">
        <v>14</v>
      </c>
      <c r="C721" t="s">
        <v>73</v>
      </c>
      <c r="D721" t="s">
        <v>1833</v>
      </c>
      <c r="E721" t="s">
        <v>1234</v>
      </c>
      <c r="F721" t="s">
        <v>73</v>
      </c>
    </row>
    <row r="722" spans="1:6" x14ac:dyDescent="0.35">
      <c r="A722" t="s">
        <v>1834</v>
      </c>
      <c r="B722" t="s">
        <v>14</v>
      </c>
      <c r="C722" t="s">
        <v>123</v>
      </c>
      <c r="D722" t="s">
        <v>1835</v>
      </c>
      <c r="E722" t="s">
        <v>1834</v>
      </c>
      <c r="F722" t="s">
        <v>123</v>
      </c>
    </row>
    <row r="723" spans="1:6" x14ac:dyDescent="0.35">
      <c r="A723" t="s">
        <v>103</v>
      </c>
      <c r="B723" t="s">
        <v>14</v>
      </c>
      <c r="C723" t="s">
        <v>24</v>
      </c>
      <c r="D723" t="s">
        <v>1235</v>
      </c>
      <c r="E723" t="s">
        <v>103</v>
      </c>
      <c r="F723" t="s">
        <v>24</v>
      </c>
    </row>
    <row r="724" spans="1:6" x14ac:dyDescent="0.35">
      <c r="A724" t="s">
        <v>1442</v>
      </c>
      <c r="B724" t="s">
        <v>29</v>
      </c>
      <c r="C724" t="s">
        <v>139</v>
      </c>
      <c r="D724" t="s">
        <v>1836</v>
      </c>
      <c r="E724" t="s">
        <v>1442</v>
      </c>
      <c r="F724" t="s">
        <v>139</v>
      </c>
    </row>
    <row r="725" spans="1:6" x14ac:dyDescent="0.35">
      <c r="A725" t="s">
        <v>1237</v>
      </c>
      <c r="B725" t="s">
        <v>14</v>
      </c>
      <c r="C725" t="s">
        <v>56</v>
      </c>
      <c r="D725" t="s">
        <v>1837</v>
      </c>
      <c r="E725" t="s">
        <v>1237</v>
      </c>
      <c r="F725" t="s">
        <v>56</v>
      </c>
    </row>
    <row r="726" spans="1:6" x14ac:dyDescent="0.35">
      <c r="A726" t="s">
        <v>1238</v>
      </c>
      <c r="B726" t="s">
        <v>29</v>
      </c>
      <c r="C726" t="s">
        <v>88</v>
      </c>
      <c r="D726" t="s">
        <v>1239</v>
      </c>
      <c r="E726" t="s">
        <v>1238</v>
      </c>
      <c r="F726" t="s">
        <v>88</v>
      </c>
    </row>
    <row r="727" spans="1:6" x14ac:dyDescent="0.35">
      <c r="A727" t="s">
        <v>1240</v>
      </c>
      <c r="B727" t="s">
        <v>29</v>
      </c>
      <c r="C727" t="s">
        <v>333</v>
      </c>
      <c r="D727" t="s">
        <v>1241</v>
      </c>
      <c r="E727" t="s">
        <v>1240</v>
      </c>
      <c r="F727" t="s">
        <v>333</v>
      </c>
    </row>
    <row r="728" spans="1:6" x14ac:dyDescent="0.35">
      <c r="A728" t="s">
        <v>1242</v>
      </c>
      <c r="B728" t="s">
        <v>14</v>
      </c>
      <c r="C728" t="s">
        <v>123</v>
      </c>
      <c r="D728" t="s">
        <v>1243</v>
      </c>
      <c r="E728" t="s">
        <v>1242</v>
      </c>
      <c r="F728" t="s">
        <v>123</v>
      </c>
    </row>
    <row r="729" spans="1:6" x14ac:dyDescent="0.35">
      <c r="A729" t="s">
        <v>1244</v>
      </c>
      <c r="B729" t="s">
        <v>29</v>
      </c>
      <c r="C729" t="s">
        <v>73</v>
      </c>
      <c r="D729" t="s">
        <v>1245</v>
      </c>
      <c r="E729" t="s">
        <v>1244</v>
      </c>
      <c r="F729" t="s">
        <v>73</v>
      </c>
    </row>
    <row r="730" spans="1:6" x14ac:dyDescent="0.35">
      <c r="A730" t="s">
        <v>1838</v>
      </c>
      <c r="B730" t="s">
        <v>29</v>
      </c>
      <c r="C730" t="s">
        <v>66</v>
      </c>
      <c r="D730" t="s">
        <v>1839</v>
      </c>
      <c r="E730" t="s">
        <v>1838</v>
      </c>
      <c r="F730" t="s">
        <v>66</v>
      </c>
    </row>
    <row r="731" spans="1:6" x14ac:dyDescent="0.35">
      <c r="A731" t="s">
        <v>1246</v>
      </c>
      <c r="B731" t="s">
        <v>29</v>
      </c>
      <c r="C731" t="s">
        <v>21</v>
      </c>
      <c r="D731" t="s">
        <v>1840</v>
      </c>
      <c r="E731" t="s">
        <v>1246</v>
      </c>
      <c r="F731" t="s">
        <v>21</v>
      </c>
    </row>
    <row r="732" spans="1:6" x14ac:dyDescent="0.35">
      <c r="A732" t="s">
        <v>1248</v>
      </c>
      <c r="B732" t="s">
        <v>14</v>
      </c>
      <c r="C732" t="s">
        <v>21</v>
      </c>
      <c r="D732" t="s">
        <v>1247</v>
      </c>
      <c r="E732" t="s">
        <v>1248</v>
      </c>
      <c r="F732" t="s">
        <v>21</v>
      </c>
    </row>
    <row r="733" spans="1:6" x14ac:dyDescent="0.35">
      <c r="A733" t="s">
        <v>1250</v>
      </c>
      <c r="B733" t="s">
        <v>14</v>
      </c>
      <c r="C733" t="s">
        <v>21</v>
      </c>
      <c r="D733" t="s">
        <v>1841</v>
      </c>
      <c r="E733" t="s">
        <v>1250</v>
      </c>
      <c r="F733" t="s">
        <v>21</v>
      </c>
    </row>
    <row r="734" spans="1:6" x14ac:dyDescent="0.35">
      <c r="A734" t="s">
        <v>314</v>
      </c>
      <c r="B734" t="s">
        <v>14</v>
      </c>
      <c r="C734" t="s">
        <v>21</v>
      </c>
      <c r="D734" t="s">
        <v>1249</v>
      </c>
      <c r="E734" t="s">
        <v>314</v>
      </c>
      <c r="F734" t="s">
        <v>21</v>
      </c>
    </row>
    <row r="735" spans="1:6" x14ac:dyDescent="0.35">
      <c r="A735" t="s">
        <v>398</v>
      </c>
      <c r="B735" t="s">
        <v>29</v>
      </c>
      <c r="C735" t="s">
        <v>21</v>
      </c>
      <c r="D735" t="s">
        <v>1251</v>
      </c>
      <c r="E735" t="s">
        <v>398</v>
      </c>
      <c r="F735" t="s">
        <v>21</v>
      </c>
    </row>
    <row r="736" spans="1:6" x14ac:dyDescent="0.35">
      <c r="A736" t="s">
        <v>1252</v>
      </c>
      <c r="B736" t="s">
        <v>14</v>
      </c>
      <c r="C736" t="s">
        <v>158</v>
      </c>
      <c r="D736" t="s">
        <v>1842</v>
      </c>
      <c r="E736" t="s">
        <v>1252</v>
      </c>
      <c r="F736" t="s">
        <v>158</v>
      </c>
    </row>
    <row r="737" spans="1:6" x14ac:dyDescent="0.35">
      <c r="A737" t="s">
        <v>1418</v>
      </c>
      <c r="B737" t="s">
        <v>14</v>
      </c>
      <c r="C737" t="s">
        <v>1419</v>
      </c>
      <c r="D737" t="s">
        <v>1843</v>
      </c>
      <c r="E737" t="s">
        <v>1418</v>
      </c>
      <c r="F737" t="s">
        <v>1419</v>
      </c>
    </row>
    <row r="738" spans="1:6" x14ac:dyDescent="0.35">
      <c r="A738" t="s">
        <v>1254</v>
      </c>
      <c r="B738" t="s">
        <v>14</v>
      </c>
      <c r="C738" t="s">
        <v>36</v>
      </c>
      <c r="D738" t="s">
        <v>1253</v>
      </c>
      <c r="E738" t="s">
        <v>1254</v>
      </c>
      <c r="F738" t="s">
        <v>36</v>
      </c>
    </row>
    <row r="739" spans="1:6" x14ac:dyDescent="0.35">
      <c r="A739" t="s">
        <v>1255</v>
      </c>
      <c r="B739" t="s">
        <v>29</v>
      </c>
      <c r="C739" t="s">
        <v>15</v>
      </c>
      <c r="D739" t="s">
        <v>1844</v>
      </c>
      <c r="E739" t="s">
        <v>1255</v>
      </c>
      <c r="F739" t="s">
        <v>15</v>
      </c>
    </row>
    <row r="740" spans="1:6" x14ac:dyDescent="0.35">
      <c r="A740" t="s">
        <v>1256</v>
      </c>
      <c r="B740" t="s">
        <v>14</v>
      </c>
      <c r="C740" t="s">
        <v>73</v>
      </c>
      <c r="D740" t="s">
        <v>1845</v>
      </c>
      <c r="E740" t="s">
        <v>1256</v>
      </c>
      <c r="F740" t="s">
        <v>73</v>
      </c>
    </row>
    <row r="741" spans="1:6" x14ac:dyDescent="0.35">
      <c r="A741" t="s">
        <v>1257</v>
      </c>
      <c r="B741" t="s">
        <v>29</v>
      </c>
      <c r="C741" t="s">
        <v>73</v>
      </c>
      <c r="D741" t="s">
        <v>1258</v>
      </c>
      <c r="E741" t="s">
        <v>1257</v>
      </c>
      <c r="F741" t="s">
        <v>73</v>
      </c>
    </row>
    <row r="742" spans="1:6" x14ac:dyDescent="0.35">
      <c r="A742" t="s">
        <v>317</v>
      </c>
      <c r="B742" t="s">
        <v>14</v>
      </c>
      <c r="C742" t="s">
        <v>21</v>
      </c>
      <c r="D742" t="s">
        <v>1259</v>
      </c>
      <c r="E742" t="s">
        <v>317</v>
      </c>
      <c r="F742" t="s">
        <v>21</v>
      </c>
    </row>
    <row r="743" spans="1:6" x14ac:dyDescent="0.35">
      <c r="A743" t="s">
        <v>1348</v>
      </c>
      <c r="B743" t="s">
        <v>14</v>
      </c>
      <c r="C743" t="s">
        <v>21</v>
      </c>
      <c r="D743" t="s">
        <v>1846</v>
      </c>
      <c r="E743" t="s">
        <v>1348</v>
      </c>
      <c r="F743" t="s">
        <v>21</v>
      </c>
    </row>
    <row r="744" spans="1:6" x14ac:dyDescent="0.35">
      <c r="A744" t="s">
        <v>1451</v>
      </c>
      <c r="B744" t="s">
        <v>14</v>
      </c>
      <c r="C744" t="s">
        <v>33</v>
      </c>
      <c r="D744" t="s">
        <v>1847</v>
      </c>
      <c r="E744" t="s">
        <v>1451</v>
      </c>
      <c r="F744" t="s">
        <v>33</v>
      </c>
    </row>
    <row r="745" spans="1:6" x14ac:dyDescent="0.35">
      <c r="A745" t="s">
        <v>1260</v>
      </c>
      <c r="B745" t="s">
        <v>14</v>
      </c>
      <c r="C745" t="s">
        <v>49</v>
      </c>
      <c r="D745" t="s">
        <v>1261</v>
      </c>
      <c r="E745" t="s">
        <v>1260</v>
      </c>
      <c r="F745" t="s">
        <v>49</v>
      </c>
    </row>
    <row r="746" spans="1:6" x14ac:dyDescent="0.35">
      <c r="A746" t="s">
        <v>1848</v>
      </c>
      <c r="B746" t="s">
        <v>29</v>
      </c>
      <c r="C746" t="s">
        <v>15</v>
      </c>
      <c r="D746" t="s">
        <v>1849</v>
      </c>
      <c r="E746" t="s">
        <v>1848</v>
      </c>
      <c r="F746" t="s">
        <v>15</v>
      </c>
    </row>
    <row r="747" spans="1:6" x14ac:dyDescent="0.35">
      <c r="A747" t="s">
        <v>266</v>
      </c>
      <c r="B747" t="s">
        <v>29</v>
      </c>
      <c r="C747" t="s">
        <v>36</v>
      </c>
      <c r="D747" t="s">
        <v>1850</v>
      </c>
      <c r="E747" t="s">
        <v>266</v>
      </c>
      <c r="F747" t="s">
        <v>36</v>
      </c>
    </row>
    <row r="748" spans="1:6" x14ac:dyDescent="0.35">
      <c r="A748" t="s">
        <v>430</v>
      </c>
      <c r="B748" t="s">
        <v>14</v>
      </c>
      <c r="C748" t="s">
        <v>134</v>
      </c>
      <c r="D748" t="s">
        <v>1851</v>
      </c>
      <c r="E748" t="s">
        <v>430</v>
      </c>
      <c r="F748" t="s">
        <v>134</v>
      </c>
    </row>
    <row r="749" spans="1:6" x14ac:dyDescent="0.35">
      <c r="A749" t="s">
        <v>1267</v>
      </c>
      <c r="B749" t="s">
        <v>14</v>
      </c>
      <c r="C749" t="s">
        <v>73</v>
      </c>
      <c r="D749" t="s">
        <v>1852</v>
      </c>
      <c r="E749" t="s">
        <v>1267</v>
      </c>
      <c r="F749" t="s">
        <v>73</v>
      </c>
    </row>
    <row r="750" spans="1:6" x14ac:dyDescent="0.35">
      <c r="A750" t="s">
        <v>1263</v>
      </c>
      <c r="B750" t="s">
        <v>14</v>
      </c>
      <c r="C750" t="s">
        <v>30</v>
      </c>
      <c r="D750" t="s">
        <v>1262</v>
      </c>
      <c r="E750" t="s">
        <v>1263</v>
      </c>
      <c r="F750" t="s">
        <v>30</v>
      </c>
    </row>
    <row r="751" spans="1:6" x14ac:dyDescent="0.35">
      <c r="A751" t="s">
        <v>1387</v>
      </c>
      <c r="B751" t="s">
        <v>14</v>
      </c>
      <c r="C751" t="s">
        <v>17</v>
      </c>
      <c r="D751" t="s">
        <v>1853</v>
      </c>
      <c r="E751" t="s">
        <v>1387</v>
      </c>
      <c r="F751" t="s">
        <v>17</v>
      </c>
    </row>
    <row r="752" spans="1:6" x14ac:dyDescent="0.35">
      <c r="A752" t="s">
        <v>292</v>
      </c>
      <c r="B752" t="s">
        <v>14</v>
      </c>
      <c r="C752" t="s">
        <v>30</v>
      </c>
      <c r="D752" t="s">
        <v>1264</v>
      </c>
      <c r="E752" t="s">
        <v>292</v>
      </c>
      <c r="F752" t="s">
        <v>30</v>
      </c>
    </row>
    <row r="753" spans="1:6" x14ac:dyDescent="0.35">
      <c r="A753" t="s">
        <v>1265</v>
      </c>
      <c r="B753" t="s">
        <v>14</v>
      </c>
      <c r="C753" t="s">
        <v>35</v>
      </c>
      <c r="D753" t="s">
        <v>1266</v>
      </c>
      <c r="E753" t="s">
        <v>1265</v>
      </c>
      <c r="F753" t="s">
        <v>35</v>
      </c>
    </row>
    <row r="754" spans="1:6" x14ac:dyDescent="0.35">
      <c r="A754" t="s">
        <v>1409</v>
      </c>
      <c r="B754" t="s">
        <v>14</v>
      </c>
      <c r="C754" t="s">
        <v>30</v>
      </c>
      <c r="D754" t="s">
        <v>1854</v>
      </c>
      <c r="E754" t="s">
        <v>1409</v>
      </c>
      <c r="F754" t="s">
        <v>30</v>
      </c>
    </row>
    <row r="755" spans="1:6" x14ac:dyDescent="0.35">
      <c r="A755" t="s">
        <v>1269</v>
      </c>
      <c r="B755" t="s">
        <v>14</v>
      </c>
      <c r="C755" t="s">
        <v>18</v>
      </c>
      <c r="D755" t="s">
        <v>1268</v>
      </c>
      <c r="E755" t="s">
        <v>1269</v>
      </c>
      <c r="F755" t="s">
        <v>18</v>
      </c>
    </row>
    <row r="756" spans="1:6" x14ac:dyDescent="0.35">
      <c r="A756" t="s">
        <v>399</v>
      </c>
      <c r="B756" t="s">
        <v>29</v>
      </c>
      <c r="C756" t="s">
        <v>49</v>
      </c>
      <c r="D756" t="s">
        <v>1270</v>
      </c>
      <c r="E756" t="s">
        <v>399</v>
      </c>
      <c r="F756" t="s">
        <v>49</v>
      </c>
    </row>
    <row r="757" spans="1:6" x14ac:dyDescent="0.35">
      <c r="A757" t="s">
        <v>1271</v>
      </c>
      <c r="B757" t="s">
        <v>29</v>
      </c>
      <c r="C757" t="s">
        <v>49</v>
      </c>
      <c r="D757" t="s">
        <v>1272</v>
      </c>
      <c r="E757" t="s">
        <v>1271</v>
      </c>
      <c r="F757" t="s">
        <v>49</v>
      </c>
    </row>
    <row r="758" spans="1:6" x14ac:dyDescent="0.35">
      <c r="A758" t="s">
        <v>1274</v>
      </c>
      <c r="B758" t="s">
        <v>14</v>
      </c>
      <c r="C758" t="s">
        <v>15</v>
      </c>
      <c r="D758" t="s">
        <v>1273</v>
      </c>
      <c r="E758" t="s">
        <v>1274</v>
      </c>
      <c r="F758" t="s">
        <v>15</v>
      </c>
    </row>
    <row r="759" spans="1:6" x14ac:dyDescent="0.35">
      <c r="A759" t="s">
        <v>1275</v>
      </c>
      <c r="B759" t="s">
        <v>14</v>
      </c>
      <c r="C759" t="s">
        <v>73</v>
      </c>
      <c r="D759" t="s">
        <v>1855</v>
      </c>
      <c r="E759" t="s">
        <v>1275</v>
      </c>
      <c r="F759" t="s">
        <v>73</v>
      </c>
    </row>
    <row r="760" spans="1:6" x14ac:dyDescent="0.35">
      <c r="A760" t="s">
        <v>1421</v>
      </c>
      <c r="B760" t="s">
        <v>14</v>
      </c>
      <c r="C760" t="s">
        <v>123</v>
      </c>
      <c r="D760" t="s">
        <v>1856</v>
      </c>
      <c r="E760" t="s">
        <v>1421</v>
      </c>
      <c r="F760" t="s">
        <v>123</v>
      </c>
    </row>
    <row r="761" spans="1:6" x14ac:dyDescent="0.35">
      <c r="A761" t="s">
        <v>252</v>
      </c>
      <c r="B761" t="s">
        <v>14</v>
      </c>
      <c r="C761" t="s">
        <v>49</v>
      </c>
      <c r="D761" t="s">
        <v>1276</v>
      </c>
      <c r="E761" t="s">
        <v>252</v>
      </c>
      <c r="F761" t="s">
        <v>49</v>
      </c>
    </row>
    <row r="762" spans="1:6" x14ac:dyDescent="0.35">
      <c r="A762" t="s">
        <v>191</v>
      </c>
      <c r="B762" t="s">
        <v>14</v>
      </c>
      <c r="C762" t="s">
        <v>34</v>
      </c>
      <c r="D762" t="s">
        <v>1277</v>
      </c>
      <c r="E762" t="s">
        <v>191</v>
      </c>
      <c r="F762" t="s">
        <v>34</v>
      </c>
    </row>
    <row r="763" spans="1:6" x14ac:dyDescent="0.35">
      <c r="A763" t="s">
        <v>352</v>
      </c>
      <c r="B763" t="s">
        <v>14</v>
      </c>
      <c r="C763" t="s">
        <v>73</v>
      </c>
      <c r="D763" t="s">
        <v>1278</v>
      </c>
      <c r="E763" t="s">
        <v>352</v>
      </c>
      <c r="F763" t="s">
        <v>73</v>
      </c>
    </row>
    <row r="764" spans="1:6" x14ac:dyDescent="0.35">
      <c r="A764" t="s">
        <v>1857</v>
      </c>
      <c r="B764" t="s">
        <v>29</v>
      </c>
      <c r="C764" t="s">
        <v>167</v>
      </c>
      <c r="D764" t="s">
        <v>1858</v>
      </c>
      <c r="E764" t="s">
        <v>1857</v>
      </c>
      <c r="F764" t="s">
        <v>167</v>
      </c>
    </row>
    <row r="765" spans="1:6" x14ac:dyDescent="0.35">
      <c r="A765" t="s">
        <v>247</v>
      </c>
      <c r="B765" t="s">
        <v>14</v>
      </c>
      <c r="C765" t="s">
        <v>158</v>
      </c>
      <c r="D765" t="s">
        <v>1279</v>
      </c>
      <c r="E765" t="s">
        <v>247</v>
      </c>
      <c r="F765" t="s">
        <v>158</v>
      </c>
    </row>
    <row r="766" spans="1:6" x14ac:dyDescent="0.35">
      <c r="A766" t="s">
        <v>107</v>
      </c>
      <c r="B766" t="s">
        <v>14</v>
      </c>
      <c r="C766" t="s">
        <v>44</v>
      </c>
      <c r="D766" t="s">
        <v>1280</v>
      </c>
      <c r="E766" t="s">
        <v>107</v>
      </c>
      <c r="F766" t="s">
        <v>44</v>
      </c>
    </row>
    <row r="767" spans="1:6" x14ac:dyDescent="0.35">
      <c r="A767" t="s">
        <v>249</v>
      </c>
      <c r="B767" t="s">
        <v>14</v>
      </c>
      <c r="C767" t="s">
        <v>96</v>
      </c>
      <c r="D767" t="s">
        <v>1281</v>
      </c>
      <c r="E767" t="s">
        <v>249</v>
      </c>
      <c r="F767" t="s">
        <v>96</v>
      </c>
    </row>
    <row r="768" spans="1:6" x14ac:dyDescent="0.35">
      <c r="A768" t="s">
        <v>1283</v>
      </c>
      <c r="B768" t="s">
        <v>29</v>
      </c>
      <c r="C768" t="s">
        <v>49</v>
      </c>
      <c r="D768" t="s">
        <v>1859</v>
      </c>
      <c r="E768" t="s">
        <v>1283</v>
      </c>
      <c r="F768" t="s">
        <v>49</v>
      </c>
    </row>
    <row r="769" spans="1:6" x14ac:dyDescent="0.35">
      <c r="A769" t="s">
        <v>38</v>
      </c>
      <c r="B769" t="s">
        <v>14</v>
      </c>
      <c r="C769" t="s">
        <v>17</v>
      </c>
      <c r="D769" t="s">
        <v>794</v>
      </c>
      <c r="E769" t="s">
        <v>38</v>
      </c>
      <c r="F769" t="s">
        <v>17</v>
      </c>
    </row>
    <row r="770" spans="1:6" x14ac:dyDescent="0.35">
      <c r="A770" t="s">
        <v>1416</v>
      </c>
      <c r="B770" t="s">
        <v>14</v>
      </c>
      <c r="C770" t="s">
        <v>33</v>
      </c>
      <c r="D770" t="s">
        <v>1860</v>
      </c>
      <c r="E770" t="s">
        <v>1416</v>
      </c>
      <c r="F770" t="s">
        <v>33</v>
      </c>
    </row>
    <row r="771" spans="1:6" x14ac:dyDescent="0.35">
      <c r="A771" t="s">
        <v>350</v>
      </c>
      <c r="B771" t="s">
        <v>29</v>
      </c>
      <c r="C771" t="s">
        <v>73</v>
      </c>
      <c r="D771" t="s">
        <v>1284</v>
      </c>
      <c r="E771" t="s">
        <v>350</v>
      </c>
      <c r="F771" t="s">
        <v>73</v>
      </c>
    </row>
    <row r="772" spans="1:6" x14ac:dyDescent="0.35">
      <c r="A772" t="s">
        <v>1285</v>
      </c>
      <c r="B772" t="s">
        <v>29</v>
      </c>
      <c r="C772" t="s">
        <v>73</v>
      </c>
      <c r="D772" t="s">
        <v>1861</v>
      </c>
      <c r="E772" t="s">
        <v>1285</v>
      </c>
      <c r="F772" t="s">
        <v>73</v>
      </c>
    </row>
    <row r="773" spans="1:6" x14ac:dyDescent="0.35">
      <c r="A773" t="s">
        <v>274</v>
      </c>
      <c r="B773" t="s">
        <v>29</v>
      </c>
      <c r="C773" t="s">
        <v>18</v>
      </c>
      <c r="D773" t="s">
        <v>1286</v>
      </c>
      <c r="E773" t="s">
        <v>274</v>
      </c>
      <c r="F773" t="s">
        <v>18</v>
      </c>
    </row>
    <row r="774" spans="1:6" x14ac:dyDescent="0.35">
      <c r="A774" t="s">
        <v>1287</v>
      </c>
      <c r="B774" t="s">
        <v>29</v>
      </c>
      <c r="C774" t="s">
        <v>661</v>
      </c>
      <c r="D774" t="s">
        <v>1862</v>
      </c>
      <c r="E774" t="s">
        <v>1287</v>
      </c>
      <c r="F774" t="s">
        <v>661</v>
      </c>
    </row>
    <row r="775" spans="1:6" x14ac:dyDescent="0.35">
      <c r="A775" t="s">
        <v>1863</v>
      </c>
      <c r="B775" t="s">
        <v>29</v>
      </c>
      <c r="C775" t="s">
        <v>28</v>
      </c>
      <c r="D775" t="s">
        <v>1864</v>
      </c>
      <c r="E775" t="s">
        <v>1863</v>
      </c>
      <c r="F775" t="s">
        <v>28</v>
      </c>
    </row>
    <row r="776" spans="1:6" x14ac:dyDescent="0.35">
      <c r="A776" t="s">
        <v>1432</v>
      </c>
      <c r="B776" t="s">
        <v>29</v>
      </c>
      <c r="C776" t="s">
        <v>73</v>
      </c>
      <c r="D776" t="s">
        <v>1865</v>
      </c>
      <c r="E776" t="s">
        <v>1432</v>
      </c>
      <c r="F776" t="s">
        <v>73</v>
      </c>
    </row>
    <row r="777" spans="1:6" x14ac:dyDescent="0.35">
      <c r="A777" t="s">
        <v>1866</v>
      </c>
      <c r="B777" t="s">
        <v>14</v>
      </c>
      <c r="C777" t="s">
        <v>123</v>
      </c>
      <c r="D777" t="s">
        <v>1867</v>
      </c>
      <c r="E777" t="s">
        <v>1866</v>
      </c>
      <c r="F777" t="s">
        <v>123</v>
      </c>
    </row>
    <row r="778" spans="1:6" x14ac:dyDescent="0.35">
      <c r="A778" t="s">
        <v>358</v>
      </c>
      <c r="B778" t="s">
        <v>14</v>
      </c>
      <c r="C778" t="s">
        <v>17</v>
      </c>
      <c r="D778" t="s">
        <v>1288</v>
      </c>
      <c r="E778" t="s">
        <v>358</v>
      </c>
      <c r="F778" t="s">
        <v>17</v>
      </c>
    </row>
    <row r="779" spans="1:6" x14ac:dyDescent="0.35">
      <c r="A779" t="s">
        <v>323</v>
      </c>
      <c r="B779" t="s">
        <v>14</v>
      </c>
      <c r="C779" t="s">
        <v>28</v>
      </c>
      <c r="D779" t="s">
        <v>1289</v>
      </c>
      <c r="E779" t="s">
        <v>323</v>
      </c>
      <c r="F779" t="s">
        <v>28</v>
      </c>
    </row>
    <row r="780" spans="1:6" x14ac:dyDescent="0.35">
      <c r="A780" t="s">
        <v>1290</v>
      </c>
      <c r="B780" t="s">
        <v>29</v>
      </c>
      <c r="C780" t="s">
        <v>117</v>
      </c>
      <c r="D780" t="s">
        <v>1868</v>
      </c>
      <c r="E780" t="s">
        <v>1290</v>
      </c>
      <c r="F780" t="s">
        <v>117</v>
      </c>
    </row>
    <row r="781" spans="1:6" x14ac:dyDescent="0.35">
      <c r="A781" t="s">
        <v>1291</v>
      </c>
      <c r="B781" t="s">
        <v>14</v>
      </c>
      <c r="C781" t="s">
        <v>35</v>
      </c>
      <c r="D781" t="s">
        <v>1292</v>
      </c>
      <c r="E781" t="s">
        <v>1291</v>
      </c>
      <c r="F781" t="s">
        <v>35</v>
      </c>
    </row>
    <row r="782" spans="1:6" x14ac:dyDescent="0.35">
      <c r="A782" t="s">
        <v>1294</v>
      </c>
      <c r="B782" t="s">
        <v>14</v>
      </c>
      <c r="C782" t="s">
        <v>15</v>
      </c>
      <c r="D782" t="s">
        <v>1293</v>
      </c>
      <c r="E782" t="s">
        <v>1294</v>
      </c>
      <c r="F782" t="s">
        <v>15</v>
      </c>
    </row>
    <row r="783" spans="1:6" x14ac:dyDescent="0.35">
      <c r="A783" t="s">
        <v>1296</v>
      </c>
      <c r="B783" t="s">
        <v>14</v>
      </c>
      <c r="C783" t="s">
        <v>15</v>
      </c>
      <c r="D783" t="s">
        <v>1295</v>
      </c>
      <c r="E783" t="s">
        <v>1296</v>
      </c>
      <c r="F783" t="s">
        <v>15</v>
      </c>
    </row>
    <row r="784" spans="1:6" x14ac:dyDescent="0.35">
      <c r="A784" t="s">
        <v>357</v>
      </c>
      <c r="B784" t="s">
        <v>14</v>
      </c>
      <c r="C784" t="s">
        <v>73</v>
      </c>
      <c r="D784" t="s">
        <v>1297</v>
      </c>
      <c r="E784" t="s">
        <v>357</v>
      </c>
      <c r="F784" t="s">
        <v>73</v>
      </c>
    </row>
    <row r="785" spans="1:6" x14ac:dyDescent="0.35">
      <c r="A785" t="s">
        <v>1298</v>
      </c>
      <c r="B785" t="s">
        <v>29</v>
      </c>
      <c r="C785" t="s">
        <v>15</v>
      </c>
      <c r="D785" t="s">
        <v>1869</v>
      </c>
      <c r="E785" t="s">
        <v>1298</v>
      </c>
      <c r="F785" t="s">
        <v>15</v>
      </c>
    </row>
    <row r="786" spans="1:6" x14ac:dyDescent="0.35">
      <c r="A786" t="s">
        <v>1299</v>
      </c>
      <c r="B786" t="s">
        <v>29</v>
      </c>
      <c r="C786" t="s">
        <v>21</v>
      </c>
      <c r="D786" t="s">
        <v>1870</v>
      </c>
      <c r="E786" t="s">
        <v>1299</v>
      </c>
      <c r="F786" t="s">
        <v>21</v>
      </c>
    </row>
    <row r="787" spans="1:6" x14ac:dyDescent="0.35">
      <c r="A787" t="s">
        <v>1300</v>
      </c>
      <c r="B787" t="s">
        <v>14</v>
      </c>
      <c r="C787" t="s">
        <v>21</v>
      </c>
      <c r="D787" t="s">
        <v>1301</v>
      </c>
      <c r="E787" t="s">
        <v>1300</v>
      </c>
      <c r="F787" t="s">
        <v>21</v>
      </c>
    </row>
    <row r="788" spans="1:6" x14ac:dyDescent="0.35">
      <c r="A788" t="s">
        <v>1302</v>
      </c>
      <c r="B788" t="s">
        <v>29</v>
      </c>
      <c r="C788" t="s">
        <v>88</v>
      </c>
      <c r="D788" t="s">
        <v>1303</v>
      </c>
      <c r="E788" t="s">
        <v>1302</v>
      </c>
      <c r="F788" t="s">
        <v>88</v>
      </c>
    </row>
    <row r="789" spans="1:6" x14ac:dyDescent="0.35">
      <c r="A789" t="s">
        <v>438</v>
      </c>
      <c r="B789" t="s">
        <v>14</v>
      </c>
      <c r="C789" t="s">
        <v>119</v>
      </c>
      <c r="D789" t="s">
        <v>1871</v>
      </c>
      <c r="E789" t="s">
        <v>438</v>
      </c>
      <c r="F789" t="s">
        <v>119</v>
      </c>
    </row>
    <row r="790" spans="1:6" x14ac:dyDescent="0.35">
      <c r="A790" t="s">
        <v>1872</v>
      </c>
      <c r="B790" t="s">
        <v>14</v>
      </c>
      <c r="C790" t="s">
        <v>88</v>
      </c>
      <c r="D790" t="s">
        <v>1873</v>
      </c>
      <c r="E790" t="s">
        <v>1872</v>
      </c>
      <c r="F790" t="s">
        <v>88</v>
      </c>
    </row>
    <row r="791" spans="1:6" x14ac:dyDescent="0.35">
      <c r="A791" t="s">
        <v>1304</v>
      </c>
      <c r="B791" t="s">
        <v>14</v>
      </c>
      <c r="C791" t="s">
        <v>19</v>
      </c>
      <c r="D791" t="s">
        <v>1305</v>
      </c>
      <c r="E791" t="s">
        <v>1304</v>
      </c>
      <c r="F791" t="s">
        <v>19</v>
      </c>
    </row>
    <row r="792" spans="1:6" x14ac:dyDescent="0.35">
      <c r="A792" t="s">
        <v>1306</v>
      </c>
      <c r="B792" t="s">
        <v>29</v>
      </c>
      <c r="C792" t="s">
        <v>28</v>
      </c>
      <c r="D792" t="s">
        <v>1874</v>
      </c>
      <c r="E792" t="s">
        <v>1306</v>
      </c>
      <c r="F792" t="s">
        <v>28</v>
      </c>
    </row>
    <row r="793" spans="1:6" x14ac:dyDescent="0.35">
      <c r="A793" t="s">
        <v>441</v>
      </c>
      <c r="B793" t="s">
        <v>29</v>
      </c>
      <c r="C793" t="s">
        <v>34</v>
      </c>
      <c r="D793" t="s">
        <v>1307</v>
      </c>
      <c r="E793" t="s">
        <v>441</v>
      </c>
      <c r="F793" t="s">
        <v>34</v>
      </c>
    </row>
    <row r="794" spans="1:6" x14ac:dyDescent="0.35">
      <c r="A794" t="s">
        <v>1309</v>
      </c>
      <c r="B794" t="s">
        <v>29</v>
      </c>
      <c r="C794" t="s">
        <v>15</v>
      </c>
      <c r="D794" t="s">
        <v>1308</v>
      </c>
      <c r="E794" t="s">
        <v>1309</v>
      </c>
      <c r="F794" t="s">
        <v>15</v>
      </c>
    </row>
    <row r="795" spans="1:6" x14ac:dyDescent="0.35">
      <c r="A795" t="s">
        <v>1310</v>
      </c>
      <c r="B795" t="s">
        <v>14</v>
      </c>
      <c r="C795" t="s">
        <v>73</v>
      </c>
      <c r="D795" t="s">
        <v>1875</v>
      </c>
      <c r="E795" t="s">
        <v>1310</v>
      </c>
      <c r="F795" t="s">
        <v>73</v>
      </c>
    </row>
    <row r="796" spans="1:6" x14ac:dyDescent="0.35">
      <c r="A796" t="s">
        <v>215</v>
      </c>
      <c r="B796" t="s">
        <v>29</v>
      </c>
      <c r="C796" t="s">
        <v>49</v>
      </c>
      <c r="D796" t="s">
        <v>1311</v>
      </c>
      <c r="E796" t="s">
        <v>215</v>
      </c>
      <c r="F796" t="s">
        <v>49</v>
      </c>
    </row>
    <row r="797" spans="1:6" x14ac:dyDescent="0.35">
      <c r="A797" t="s">
        <v>174</v>
      </c>
      <c r="B797" t="s">
        <v>14</v>
      </c>
      <c r="C797" t="s">
        <v>15</v>
      </c>
      <c r="D797" t="s">
        <v>1312</v>
      </c>
      <c r="E797" t="s">
        <v>174</v>
      </c>
      <c r="F797" t="s">
        <v>15</v>
      </c>
    </row>
    <row r="798" spans="1:6" x14ac:dyDescent="0.35">
      <c r="A798" t="s">
        <v>1449</v>
      </c>
      <c r="B798" t="s">
        <v>14</v>
      </c>
      <c r="C798" t="s">
        <v>88</v>
      </c>
      <c r="D798" t="s">
        <v>1876</v>
      </c>
      <c r="E798" t="s">
        <v>1449</v>
      </c>
      <c r="F798" t="s">
        <v>88</v>
      </c>
    </row>
    <row r="799" spans="1:6" x14ac:dyDescent="0.35">
      <c r="A799" t="s">
        <v>1341</v>
      </c>
      <c r="B799" t="s">
        <v>14</v>
      </c>
      <c r="C799" t="s">
        <v>24</v>
      </c>
      <c r="D799" t="s">
        <v>1877</v>
      </c>
      <c r="E799" t="s">
        <v>1341</v>
      </c>
      <c r="F799" t="s">
        <v>24</v>
      </c>
    </row>
    <row r="800" spans="1:6" x14ac:dyDescent="0.35">
      <c r="A800" t="s">
        <v>171</v>
      </c>
      <c r="B800" t="s">
        <v>14</v>
      </c>
      <c r="C800" t="s">
        <v>17</v>
      </c>
      <c r="D800" t="s">
        <v>1313</v>
      </c>
      <c r="E800" t="s">
        <v>171</v>
      </c>
      <c r="F800" t="s">
        <v>17</v>
      </c>
    </row>
    <row r="801" spans="1:6" x14ac:dyDescent="0.35">
      <c r="A801" t="s">
        <v>324</v>
      </c>
      <c r="B801" t="s">
        <v>14</v>
      </c>
      <c r="C801" t="s">
        <v>325</v>
      </c>
      <c r="D801" t="s">
        <v>1314</v>
      </c>
      <c r="E801" t="s">
        <v>324</v>
      </c>
      <c r="F801" t="s">
        <v>325</v>
      </c>
    </row>
    <row r="802" spans="1:6" x14ac:dyDescent="0.35">
      <c r="A802" t="s">
        <v>1315</v>
      </c>
      <c r="B802" t="s">
        <v>14</v>
      </c>
      <c r="C802" t="s">
        <v>35</v>
      </c>
      <c r="D802" t="s">
        <v>1316</v>
      </c>
      <c r="E802" t="s">
        <v>1315</v>
      </c>
      <c r="F802" t="s">
        <v>35</v>
      </c>
    </row>
    <row r="803" spans="1:6" x14ac:dyDescent="0.35">
      <c r="A803" t="s">
        <v>315</v>
      </c>
      <c r="B803" t="s">
        <v>14</v>
      </c>
      <c r="C803" t="s">
        <v>21</v>
      </c>
      <c r="D803" t="s">
        <v>1317</v>
      </c>
      <c r="E803" t="s">
        <v>315</v>
      </c>
      <c r="F803" t="s">
        <v>21</v>
      </c>
    </row>
    <row r="804" spans="1:6" x14ac:dyDescent="0.35">
      <c r="A804" t="s">
        <v>251</v>
      </c>
      <c r="B804" t="s">
        <v>14</v>
      </c>
      <c r="C804" t="s">
        <v>24</v>
      </c>
      <c r="D804" t="s">
        <v>1318</v>
      </c>
      <c r="E804" t="s">
        <v>251</v>
      </c>
      <c r="F804" t="s">
        <v>24</v>
      </c>
    </row>
    <row r="805" spans="1:6" x14ac:dyDescent="0.35">
      <c r="A805" t="s">
        <v>1319</v>
      </c>
      <c r="B805" t="s">
        <v>14</v>
      </c>
      <c r="C805" t="s">
        <v>1320</v>
      </c>
      <c r="D805" t="s">
        <v>1321</v>
      </c>
      <c r="E805" t="s">
        <v>1319</v>
      </c>
      <c r="F805" t="s">
        <v>1320</v>
      </c>
    </row>
    <row r="806" spans="1:6" x14ac:dyDescent="0.35">
      <c r="A806" t="s">
        <v>1878</v>
      </c>
      <c r="B806" t="s">
        <v>14</v>
      </c>
      <c r="C806" t="s">
        <v>1879</v>
      </c>
      <c r="D806" t="s">
        <v>1880</v>
      </c>
      <c r="E806" t="s">
        <v>1878</v>
      </c>
      <c r="F806" t="s">
        <v>1879</v>
      </c>
    </row>
    <row r="807" spans="1:6" x14ac:dyDescent="0.35">
      <c r="A807" t="s">
        <v>1424</v>
      </c>
      <c r="B807" t="s">
        <v>14</v>
      </c>
      <c r="C807" t="s">
        <v>49</v>
      </c>
      <c r="D807" t="s">
        <v>1881</v>
      </c>
      <c r="E807" t="s">
        <v>1424</v>
      </c>
      <c r="F807" t="s">
        <v>49</v>
      </c>
    </row>
    <row r="808" spans="1:6" x14ac:dyDescent="0.35">
      <c r="A808" t="s">
        <v>335</v>
      </c>
      <c r="B808" t="s">
        <v>29</v>
      </c>
      <c r="C808" t="s">
        <v>28</v>
      </c>
      <c r="D808" t="s">
        <v>1322</v>
      </c>
      <c r="E808" t="s">
        <v>335</v>
      </c>
      <c r="F808" t="s">
        <v>28</v>
      </c>
    </row>
    <row r="809" spans="1:6" x14ac:dyDescent="0.35">
      <c r="A809" t="s">
        <v>1324</v>
      </c>
      <c r="B809" t="s">
        <v>14</v>
      </c>
      <c r="C809" t="s">
        <v>49</v>
      </c>
      <c r="D809" t="s">
        <v>1323</v>
      </c>
      <c r="E809" t="s">
        <v>1324</v>
      </c>
      <c r="F809" t="s">
        <v>49</v>
      </c>
    </row>
    <row r="810" spans="1:6" x14ac:dyDescent="0.35">
      <c r="A810" t="s">
        <v>304</v>
      </c>
      <c r="B810" t="s">
        <v>14</v>
      </c>
      <c r="C810" t="s">
        <v>17</v>
      </c>
      <c r="D810" t="s">
        <v>1325</v>
      </c>
      <c r="E810" t="s">
        <v>304</v>
      </c>
      <c r="F810" t="s">
        <v>17</v>
      </c>
    </row>
    <row r="811" spans="1:6" x14ac:dyDescent="0.35">
      <c r="A811" t="s">
        <v>297</v>
      </c>
      <c r="B811" t="s">
        <v>14</v>
      </c>
      <c r="C811" t="s">
        <v>30</v>
      </c>
      <c r="D811" t="s">
        <v>1326</v>
      </c>
      <c r="E811" t="s">
        <v>297</v>
      </c>
      <c r="F811" t="s">
        <v>30</v>
      </c>
    </row>
    <row r="812" spans="1:6" x14ac:dyDescent="0.35">
      <c r="A812" t="s">
        <v>1328</v>
      </c>
      <c r="B812" t="s">
        <v>14</v>
      </c>
      <c r="C812" t="s">
        <v>57</v>
      </c>
      <c r="D812" t="s">
        <v>1882</v>
      </c>
      <c r="E812" t="s">
        <v>1328</v>
      </c>
      <c r="F812" t="s">
        <v>57</v>
      </c>
    </row>
    <row r="813" spans="1:6" x14ac:dyDescent="0.35">
      <c r="A813" t="s">
        <v>388</v>
      </c>
      <c r="B813" t="s">
        <v>14</v>
      </c>
      <c r="C813" t="s">
        <v>21</v>
      </c>
      <c r="D813" t="s">
        <v>1327</v>
      </c>
      <c r="E813" t="s">
        <v>388</v>
      </c>
      <c r="F813" t="s">
        <v>21</v>
      </c>
    </row>
    <row r="814" spans="1:6" x14ac:dyDescent="0.35">
      <c r="A814" t="s">
        <v>254</v>
      </c>
      <c r="B814" t="s">
        <v>14</v>
      </c>
      <c r="C814" t="s">
        <v>53</v>
      </c>
      <c r="D814" t="s">
        <v>1883</v>
      </c>
      <c r="E814" t="s">
        <v>254</v>
      </c>
      <c r="F814" t="s">
        <v>53</v>
      </c>
    </row>
    <row r="815" spans="1:6" x14ac:dyDescent="0.35">
      <c r="A815" t="s">
        <v>1329</v>
      </c>
      <c r="B815" t="s">
        <v>29</v>
      </c>
      <c r="C815" t="s">
        <v>73</v>
      </c>
      <c r="D815" t="s">
        <v>1330</v>
      </c>
      <c r="E815" t="s">
        <v>1329</v>
      </c>
      <c r="F815" t="s">
        <v>73</v>
      </c>
    </row>
    <row r="816" spans="1:6" x14ac:dyDescent="0.35">
      <c r="A816" t="s">
        <v>1331</v>
      </c>
      <c r="B816" t="s">
        <v>14</v>
      </c>
      <c r="C816" t="s">
        <v>21</v>
      </c>
      <c r="D816" t="s">
        <v>1332</v>
      </c>
      <c r="E816" t="s">
        <v>1331</v>
      </c>
      <c r="F81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800m</vt:lpstr>
      <vt:lpstr>Clean_names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Walt</dc:creator>
  <cp:lastModifiedBy>Maxime Walt</cp:lastModifiedBy>
  <dcterms:created xsi:type="dcterms:W3CDTF">2024-07-23T14:22:37Z</dcterms:created>
  <dcterms:modified xsi:type="dcterms:W3CDTF">2026-08-07T15:08:47Z</dcterms:modified>
</cp:coreProperties>
</file>