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Documents\UNIL - Doctorat\1_Research_data\3_Pacing_profiles\Splits data\"/>
    </mc:Choice>
  </mc:AlternateContent>
  <xr:revisionPtr revIDLastSave="0" documentId="13_ncr:1_{A3C5D187-169C-4286-AF68-4AE2D281DCB8}" xr6:coauthVersionLast="47" xr6:coauthVersionMax="47" xr10:uidLastSave="{00000000-0000-0000-0000-000000000000}"/>
  <bookViews>
    <workbookView xWindow="-28920" yWindow="-90" windowWidth="29040" windowHeight="15720" xr2:uid="{07650FD1-535F-4FE1-93FF-1109ED12481B}"/>
  </bookViews>
  <sheets>
    <sheet name="1500m" sheetId="1" r:id="rId1"/>
    <sheet name="Names_clea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99" i="1" l="1"/>
  <c r="S1700" i="1"/>
  <c r="S1701" i="1"/>
  <c r="U1701" i="1" s="1"/>
  <c r="V1701" i="1" s="1"/>
  <c r="S1702" i="1"/>
  <c r="U1702" i="1" s="1"/>
  <c r="V1702" i="1" s="1"/>
  <c r="S1703" i="1"/>
  <c r="U1703" i="1" s="1"/>
  <c r="V1703" i="1" s="1"/>
  <c r="S1704" i="1"/>
  <c r="U1704" i="1" s="1"/>
  <c r="V1704" i="1" s="1"/>
  <c r="S1705" i="1"/>
  <c r="U1705" i="1" s="1"/>
  <c r="V1705" i="1" s="1"/>
  <c r="S1706" i="1"/>
  <c r="U1706" i="1" s="1"/>
  <c r="V1706" i="1" s="1"/>
  <c r="S1707" i="1"/>
  <c r="U1707" i="1" s="1"/>
  <c r="V1707" i="1" s="1"/>
  <c r="S1708" i="1"/>
  <c r="U1708" i="1" s="1"/>
  <c r="V1708" i="1" s="1"/>
  <c r="S1709" i="1"/>
  <c r="U1709" i="1" s="1"/>
  <c r="V1709" i="1" s="1"/>
  <c r="S1710" i="1"/>
  <c r="U1710" i="1" s="1"/>
  <c r="V1710" i="1" s="1"/>
  <c r="S1711" i="1"/>
  <c r="U1711" i="1" s="1"/>
  <c r="V1711" i="1" s="1"/>
  <c r="S1712" i="1"/>
  <c r="U1712" i="1" s="1"/>
  <c r="V1712" i="1" s="1"/>
  <c r="S1713" i="1"/>
  <c r="U1713" i="1" s="1"/>
  <c r="V1713" i="1" s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U1699" i="1"/>
  <c r="V1699" i="1" s="1"/>
  <c r="U1700" i="1"/>
  <c r="V1700" i="1" s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S1685" i="1"/>
  <c r="U1685" i="1" s="1"/>
  <c r="V1685" i="1" s="1"/>
  <c r="S1686" i="1"/>
  <c r="U1686" i="1" s="1"/>
  <c r="V1686" i="1" s="1"/>
  <c r="S1687" i="1"/>
  <c r="U1687" i="1" s="1"/>
  <c r="V1687" i="1" s="1"/>
  <c r="S1688" i="1"/>
  <c r="U1688" i="1" s="1"/>
  <c r="V1688" i="1" s="1"/>
  <c r="S1689" i="1"/>
  <c r="U1689" i="1" s="1"/>
  <c r="V1689" i="1" s="1"/>
  <c r="S1690" i="1"/>
  <c r="U1690" i="1" s="1"/>
  <c r="V1690" i="1" s="1"/>
  <c r="S1691" i="1"/>
  <c r="U1691" i="1" s="1"/>
  <c r="V1691" i="1" s="1"/>
  <c r="S1692" i="1"/>
  <c r="U1692" i="1" s="1"/>
  <c r="V1692" i="1" s="1"/>
  <c r="S1693" i="1"/>
  <c r="U1693" i="1" s="1"/>
  <c r="V1693" i="1" s="1"/>
  <c r="S1694" i="1"/>
  <c r="U1694" i="1" s="1"/>
  <c r="V1694" i="1" s="1"/>
  <c r="S1695" i="1"/>
  <c r="U1695" i="1" s="1"/>
  <c r="V1695" i="1" s="1"/>
  <c r="S1696" i="1"/>
  <c r="U1696" i="1" s="1"/>
  <c r="V1696" i="1" s="1"/>
  <c r="S1697" i="1"/>
  <c r="U1697" i="1" s="1"/>
  <c r="V1697" i="1" s="1"/>
  <c r="S1698" i="1"/>
  <c r="U1698" i="1" s="1"/>
  <c r="V1698" i="1" s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S1669" i="1"/>
  <c r="U1669" i="1" s="1"/>
  <c r="V1669" i="1" s="1"/>
  <c r="S1670" i="1"/>
  <c r="U1670" i="1" s="1"/>
  <c r="V1670" i="1" s="1"/>
  <c r="S1671" i="1"/>
  <c r="U1671" i="1" s="1"/>
  <c r="V1671" i="1" s="1"/>
  <c r="S1672" i="1"/>
  <c r="U1672" i="1" s="1"/>
  <c r="V1672" i="1" s="1"/>
  <c r="S1673" i="1"/>
  <c r="U1673" i="1" s="1"/>
  <c r="V1673" i="1" s="1"/>
  <c r="S1674" i="1"/>
  <c r="U1674" i="1" s="1"/>
  <c r="V1674" i="1" s="1"/>
  <c r="S1675" i="1"/>
  <c r="U1675" i="1" s="1"/>
  <c r="V1675" i="1" s="1"/>
  <c r="S1676" i="1"/>
  <c r="U1676" i="1" s="1"/>
  <c r="V1676" i="1" s="1"/>
  <c r="S1677" i="1"/>
  <c r="U1677" i="1" s="1"/>
  <c r="V1677" i="1" s="1"/>
  <c r="S1678" i="1"/>
  <c r="U1678" i="1" s="1"/>
  <c r="V1678" i="1" s="1"/>
  <c r="S1679" i="1"/>
  <c r="U1679" i="1" s="1"/>
  <c r="V1679" i="1" s="1"/>
  <c r="S1680" i="1"/>
  <c r="U1680" i="1" s="1"/>
  <c r="V1680" i="1" s="1"/>
  <c r="S1681" i="1"/>
  <c r="U1681" i="1" s="1"/>
  <c r="V1681" i="1" s="1"/>
  <c r="S1682" i="1"/>
  <c r="U1682" i="1" s="1"/>
  <c r="V1682" i="1" s="1"/>
  <c r="S1683" i="1"/>
  <c r="U1683" i="1" s="1"/>
  <c r="V1683" i="1" s="1"/>
  <c r="S1684" i="1"/>
  <c r="U1684" i="1" s="1"/>
  <c r="V1684" i="1" s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S1655" i="1"/>
  <c r="U1655" i="1" s="1"/>
  <c r="V1655" i="1" s="1"/>
  <c r="S1656" i="1"/>
  <c r="U1656" i="1" s="1"/>
  <c r="V1656" i="1" s="1"/>
  <c r="S1657" i="1"/>
  <c r="U1657" i="1" s="1"/>
  <c r="V1657" i="1" s="1"/>
  <c r="S1658" i="1"/>
  <c r="U1658" i="1" s="1"/>
  <c r="V1658" i="1" s="1"/>
  <c r="S1659" i="1"/>
  <c r="U1659" i="1" s="1"/>
  <c r="V1659" i="1" s="1"/>
  <c r="S1660" i="1"/>
  <c r="U1660" i="1" s="1"/>
  <c r="V1660" i="1" s="1"/>
  <c r="S1661" i="1"/>
  <c r="U1661" i="1" s="1"/>
  <c r="V1661" i="1" s="1"/>
  <c r="S1662" i="1"/>
  <c r="U1662" i="1" s="1"/>
  <c r="V1662" i="1" s="1"/>
  <c r="S1663" i="1"/>
  <c r="U1663" i="1" s="1"/>
  <c r="V1663" i="1" s="1"/>
  <c r="S1664" i="1"/>
  <c r="U1664" i="1" s="1"/>
  <c r="V1664" i="1" s="1"/>
  <c r="S1665" i="1"/>
  <c r="U1665" i="1" s="1"/>
  <c r="V1665" i="1" s="1"/>
  <c r="S1666" i="1"/>
  <c r="U1666" i="1" s="1"/>
  <c r="V1666" i="1" s="1"/>
  <c r="S1667" i="1"/>
  <c r="U1667" i="1" s="1"/>
  <c r="V1667" i="1" s="1"/>
  <c r="S1668" i="1"/>
  <c r="U1668" i="1" s="1"/>
  <c r="V1668" i="1" s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S1641" i="1"/>
  <c r="U1641" i="1" s="1"/>
  <c r="V1641" i="1" s="1"/>
  <c r="S1642" i="1"/>
  <c r="U1642" i="1" s="1"/>
  <c r="V1642" i="1" s="1"/>
  <c r="S1643" i="1"/>
  <c r="U1643" i="1" s="1"/>
  <c r="V1643" i="1" s="1"/>
  <c r="S1644" i="1"/>
  <c r="U1644" i="1" s="1"/>
  <c r="V1644" i="1" s="1"/>
  <c r="S1645" i="1"/>
  <c r="U1645" i="1" s="1"/>
  <c r="V1645" i="1" s="1"/>
  <c r="S1646" i="1"/>
  <c r="U1646" i="1" s="1"/>
  <c r="V1646" i="1" s="1"/>
  <c r="S1647" i="1"/>
  <c r="U1647" i="1" s="1"/>
  <c r="V1647" i="1" s="1"/>
  <c r="S1648" i="1"/>
  <c r="U1648" i="1" s="1"/>
  <c r="V1648" i="1" s="1"/>
  <c r="S1649" i="1"/>
  <c r="U1649" i="1" s="1"/>
  <c r="V1649" i="1" s="1"/>
  <c r="S1650" i="1"/>
  <c r="U1650" i="1" s="1"/>
  <c r="V1650" i="1" s="1"/>
  <c r="S1651" i="1"/>
  <c r="U1651" i="1" s="1"/>
  <c r="V1651" i="1" s="1"/>
  <c r="S1652" i="1"/>
  <c r="U1652" i="1" s="1"/>
  <c r="V1652" i="1" s="1"/>
  <c r="S1653" i="1"/>
  <c r="U1653" i="1" s="1"/>
  <c r="V1653" i="1" s="1"/>
  <c r="S1654" i="1"/>
  <c r="U1654" i="1" s="1"/>
  <c r="V1654" i="1" s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S1624" i="1"/>
  <c r="U1624" i="1" s="1"/>
  <c r="V1624" i="1" s="1"/>
  <c r="S1625" i="1"/>
  <c r="S1626" i="1"/>
  <c r="U1626" i="1" s="1"/>
  <c r="V1626" i="1" s="1"/>
  <c r="S1627" i="1"/>
  <c r="S1628" i="1"/>
  <c r="U1628" i="1" s="1"/>
  <c r="V1628" i="1" s="1"/>
  <c r="S1629" i="1"/>
  <c r="U1629" i="1" s="1"/>
  <c r="V1629" i="1" s="1"/>
  <c r="S1630" i="1"/>
  <c r="U1630" i="1" s="1"/>
  <c r="V1630" i="1" s="1"/>
  <c r="S1631" i="1"/>
  <c r="U1631" i="1" s="1"/>
  <c r="V1631" i="1" s="1"/>
  <c r="S1632" i="1"/>
  <c r="U1632" i="1" s="1"/>
  <c r="V1632" i="1" s="1"/>
  <c r="S1633" i="1"/>
  <c r="U1633" i="1" s="1"/>
  <c r="V1633" i="1" s="1"/>
  <c r="S1634" i="1"/>
  <c r="U1634" i="1" s="1"/>
  <c r="V1634" i="1" s="1"/>
  <c r="S1635" i="1"/>
  <c r="U1635" i="1" s="1"/>
  <c r="V1635" i="1" s="1"/>
  <c r="S1636" i="1"/>
  <c r="U1636" i="1" s="1"/>
  <c r="V1636" i="1" s="1"/>
  <c r="S1637" i="1"/>
  <c r="U1637" i="1" s="1"/>
  <c r="V1637" i="1" s="1"/>
  <c r="S1638" i="1"/>
  <c r="U1638" i="1" s="1"/>
  <c r="V1638" i="1" s="1"/>
  <c r="S1639" i="1"/>
  <c r="U1639" i="1" s="1"/>
  <c r="V1639" i="1" s="1"/>
  <c r="S1640" i="1"/>
  <c r="U1640" i="1" s="1"/>
  <c r="V1640" i="1" s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U1625" i="1"/>
  <c r="V1625" i="1" s="1"/>
  <c r="U1627" i="1"/>
  <c r="V1627" i="1" s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S1609" i="1"/>
  <c r="U1609" i="1" s="1"/>
  <c r="V1609" i="1" s="1"/>
  <c r="S1610" i="1"/>
  <c r="U1610" i="1" s="1"/>
  <c r="V1610" i="1" s="1"/>
  <c r="S1611" i="1"/>
  <c r="U1611" i="1" s="1"/>
  <c r="V1611" i="1" s="1"/>
  <c r="S1612" i="1"/>
  <c r="U1612" i="1" s="1"/>
  <c r="V1612" i="1" s="1"/>
  <c r="S1613" i="1"/>
  <c r="U1613" i="1" s="1"/>
  <c r="V1613" i="1" s="1"/>
  <c r="S1614" i="1"/>
  <c r="U1614" i="1" s="1"/>
  <c r="V1614" i="1" s="1"/>
  <c r="S1615" i="1"/>
  <c r="U1615" i="1" s="1"/>
  <c r="V1615" i="1" s="1"/>
  <c r="S1616" i="1"/>
  <c r="U1616" i="1" s="1"/>
  <c r="V1616" i="1" s="1"/>
  <c r="S1617" i="1"/>
  <c r="U1617" i="1" s="1"/>
  <c r="V1617" i="1" s="1"/>
  <c r="S1618" i="1"/>
  <c r="U1618" i="1" s="1"/>
  <c r="V1618" i="1" s="1"/>
  <c r="S1619" i="1"/>
  <c r="U1619" i="1" s="1"/>
  <c r="V1619" i="1" s="1"/>
  <c r="S1620" i="1"/>
  <c r="U1620" i="1" s="1"/>
  <c r="V1620" i="1" s="1"/>
  <c r="S1621" i="1"/>
  <c r="U1621" i="1" s="1"/>
  <c r="V1621" i="1" s="1"/>
  <c r="S1622" i="1"/>
  <c r="U1622" i="1" s="1"/>
  <c r="V1622" i="1" s="1"/>
  <c r="S1623" i="1"/>
  <c r="U1623" i="1" s="1"/>
  <c r="V1623" i="1" s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S1593" i="1"/>
  <c r="U1593" i="1" s="1"/>
  <c r="V1593" i="1" s="1"/>
  <c r="S1594" i="1"/>
  <c r="U1594" i="1" s="1"/>
  <c r="V1594" i="1" s="1"/>
  <c r="S1595" i="1"/>
  <c r="U1595" i="1" s="1"/>
  <c r="V1595" i="1" s="1"/>
  <c r="S1596" i="1"/>
  <c r="U1596" i="1" s="1"/>
  <c r="V1596" i="1" s="1"/>
  <c r="S1597" i="1"/>
  <c r="U1597" i="1" s="1"/>
  <c r="V1597" i="1" s="1"/>
  <c r="S1598" i="1"/>
  <c r="U1598" i="1" s="1"/>
  <c r="V1598" i="1" s="1"/>
  <c r="S1599" i="1"/>
  <c r="U1599" i="1" s="1"/>
  <c r="V1599" i="1" s="1"/>
  <c r="S1600" i="1"/>
  <c r="U1600" i="1" s="1"/>
  <c r="V1600" i="1" s="1"/>
  <c r="S1601" i="1"/>
  <c r="U1601" i="1" s="1"/>
  <c r="V1601" i="1" s="1"/>
  <c r="S1602" i="1"/>
  <c r="U1602" i="1" s="1"/>
  <c r="V1602" i="1" s="1"/>
  <c r="S1603" i="1"/>
  <c r="U1603" i="1" s="1"/>
  <c r="V1603" i="1" s="1"/>
  <c r="S1604" i="1"/>
  <c r="U1604" i="1" s="1"/>
  <c r="V1604" i="1" s="1"/>
  <c r="S1605" i="1"/>
  <c r="U1605" i="1" s="1"/>
  <c r="V1605" i="1" s="1"/>
  <c r="S1606" i="1"/>
  <c r="U1606" i="1" s="1"/>
  <c r="V1606" i="1" s="1"/>
  <c r="S1607" i="1"/>
  <c r="U1607" i="1" s="1"/>
  <c r="V1607" i="1" s="1"/>
  <c r="S1608" i="1"/>
  <c r="U1608" i="1" s="1"/>
  <c r="V1608" i="1" s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S1578" i="1"/>
  <c r="U1578" i="1" s="1"/>
  <c r="V1578" i="1" s="1"/>
  <c r="S1579" i="1"/>
  <c r="U1579" i="1" s="1"/>
  <c r="V1579" i="1" s="1"/>
  <c r="S1580" i="1"/>
  <c r="U1580" i="1" s="1"/>
  <c r="V1580" i="1" s="1"/>
  <c r="S1581" i="1"/>
  <c r="U1581" i="1" s="1"/>
  <c r="V1581" i="1" s="1"/>
  <c r="S1582" i="1"/>
  <c r="U1582" i="1" s="1"/>
  <c r="V1582" i="1" s="1"/>
  <c r="S1583" i="1"/>
  <c r="U1583" i="1" s="1"/>
  <c r="V1583" i="1" s="1"/>
  <c r="S1584" i="1"/>
  <c r="U1584" i="1" s="1"/>
  <c r="V1584" i="1" s="1"/>
  <c r="S1585" i="1"/>
  <c r="U1585" i="1" s="1"/>
  <c r="V1585" i="1" s="1"/>
  <c r="S1586" i="1"/>
  <c r="U1586" i="1" s="1"/>
  <c r="V1586" i="1" s="1"/>
  <c r="S1587" i="1"/>
  <c r="U1587" i="1" s="1"/>
  <c r="V1587" i="1" s="1"/>
  <c r="S1588" i="1"/>
  <c r="U1588" i="1" s="1"/>
  <c r="V1588" i="1" s="1"/>
  <c r="S1589" i="1"/>
  <c r="U1589" i="1" s="1"/>
  <c r="V1589" i="1" s="1"/>
  <c r="S1590" i="1"/>
  <c r="U1590" i="1" s="1"/>
  <c r="V1590" i="1" s="1"/>
  <c r="S1591" i="1"/>
  <c r="U1591" i="1" s="1"/>
  <c r="V1591" i="1" s="1"/>
  <c r="S1592" i="1"/>
  <c r="U1592" i="1" s="1"/>
  <c r="V1592" i="1" s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S1563" i="1"/>
  <c r="U1563" i="1" s="1"/>
  <c r="V1563" i="1" s="1"/>
  <c r="S1564" i="1"/>
  <c r="U1564" i="1" s="1"/>
  <c r="V1564" i="1" s="1"/>
  <c r="S1565" i="1"/>
  <c r="U1565" i="1" s="1"/>
  <c r="V1565" i="1" s="1"/>
  <c r="S1566" i="1"/>
  <c r="U1566" i="1" s="1"/>
  <c r="V1566" i="1" s="1"/>
  <c r="S1567" i="1"/>
  <c r="U1567" i="1" s="1"/>
  <c r="V1567" i="1" s="1"/>
  <c r="S1568" i="1"/>
  <c r="U1568" i="1" s="1"/>
  <c r="V1568" i="1" s="1"/>
  <c r="S1569" i="1"/>
  <c r="U1569" i="1" s="1"/>
  <c r="V1569" i="1" s="1"/>
  <c r="S1570" i="1"/>
  <c r="U1570" i="1" s="1"/>
  <c r="V1570" i="1" s="1"/>
  <c r="S1571" i="1"/>
  <c r="U1571" i="1" s="1"/>
  <c r="V1571" i="1" s="1"/>
  <c r="S1572" i="1"/>
  <c r="U1572" i="1" s="1"/>
  <c r="V1572" i="1" s="1"/>
  <c r="S1573" i="1"/>
  <c r="U1573" i="1" s="1"/>
  <c r="V1573" i="1" s="1"/>
  <c r="S1574" i="1"/>
  <c r="U1574" i="1" s="1"/>
  <c r="V1574" i="1" s="1"/>
  <c r="S1575" i="1"/>
  <c r="U1575" i="1" s="1"/>
  <c r="V1575" i="1" s="1"/>
  <c r="S1576" i="1"/>
  <c r="U1576" i="1" s="1"/>
  <c r="V1576" i="1" s="1"/>
  <c r="S1577" i="1"/>
  <c r="U1577" i="1" s="1"/>
  <c r="V1577" i="1" s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2" i="1"/>
  <c r="S754" i="1" l="1"/>
  <c r="U209" i="1" l="1"/>
  <c r="V209" i="1" s="1"/>
  <c r="U1113" i="1"/>
  <c r="V1113" i="1" s="1"/>
  <c r="U976" i="1"/>
  <c r="V976" i="1" s="1"/>
  <c r="U156" i="1"/>
  <c r="V156" i="1" s="1"/>
  <c r="U725" i="1"/>
  <c r="V725" i="1" s="1"/>
  <c r="U526" i="1"/>
  <c r="V526" i="1" s="1"/>
  <c r="U236" i="1"/>
  <c r="V236" i="1" s="1"/>
  <c r="U237" i="1"/>
  <c r="V237" i="1" s="1"/>
  <c r="U422" i="1"/>
  <c r="V422" i="1" s="1"/>
  <c r="U1001" i="1"/>
  <c r="V1001" i="1" s="1"/>
  <c r="X643" i="1"/>
  <c r="S647" i="1"/>
  <c r="U647" i="1" s="1"/>
  <c r="V647" i="1" s="1"/>
  <c r="S513" i="1"/>
  <c r="U513" i="1" s="1"/>
  <c r="V513" i="1" s="1"/>
  <c r="S510" i="1"/>
  <c r="U510" i="1" s="1"/>
  <c r="V510" i="1" s="1"/>
  <c r="S511" i="1"/>
  <c r="U511" i="1" s="1"/>
  <c r="V511" i="1" s="1"/>
  <c r="S504" i="1"/>
  <c r="U504" i="1" s="1"/>
  <c r="V504" i="1" s="1"/>
  <c r="S508" i="1"/>
  <c r="U508" i="1" s="1"/>
  <c r="V508" i="1" s="1"/>
  <c r="S509" i="1"/>
  <c r="U509" i="1" s="1"/>
  <c r="V509" i="1" s="1"/>
  <c r="S507" i="1"/>
  <c r="U507" i="1" s="1"/>
  <c r="V507" i="1" s="1"/>
  <c r="S505" i="1"/>
  <c r="U505" i="1" s="1"/>
  <c r="V505" i="1" s="1"/>
  <c r="S503" i="1"/>
  <c r="U503" i="1" s="1"/>
  <c r="V503" i="1" s="1"/>
  <c r="S506" i="1"/>
  <c r="U506" i="1" s="1"/>
  <c r="V506" i="1" s="1"/>
  <c r="S501" i="1"/>
  <c r="U501" i="1" s="1"/>
  <c r="V501" i="1" s="1"/>
  <c r="S502" i="1"/>
  <c r="U502" i="1" s="1"/>
  <c r="V502" i="1" s="1"/>
  <c r="S880" i="1"/>
  <c r="U880" i="1" s="1"/>
  <c r="V880" i="1" s="1"/>
  <c r="S879" i="1"/>
  <c r="U879" i="1" s="1"/>
  <c r="V879" i="1" s="1"/>
  <c r="S878" i="1"/>
  <c r="U878" i="1" s="1"/>
  <c r="V878" i="1" s="1"/>
  <c r="S877" i="1"/>
  <c r="U877" i="1" s="1"/>
  <c r="V877" i="1" s="1"/>
  <c r="S876" i="1"/>
  <c r="U876" i="1" s="1"/>
  <c r="V876" i="1" s="1"/>
  <c r="S875" i="1"/>
  <c r="U875" i="1" s="1"/>
  <c r="V875" i="1" s="1"/>
  <c r="S874" i="1"/>
  <c r="U874" i="1" s="1"/>
  <c r="V874" i="1" s="1"/>
  <c r="S873" i="1"/>
  <c r="U873" i="1" s="1"/>
  <c r="V873" i="1" s="1"/>
  <c r="S872" i="1"/>
  <c r="U872" i="1" s="1"/>
  <c r="V872" i="1" s="1"/>
  <c r="S871" i="1"/>
  <c r="S870" i="1"/>
  <c r="U870" i="1" s="1"/>
  <c r="V870" i="1" s="1"/>
  <c r="S869" i="1"/>
  <c r="U869" i="1" s="1"/>
  <c r="V869" i="1" s="1"/>
  <c r="S893" i="1"/>
  <c r="U893" i="1" s="1"/>
  <c r="V893" i="1" s="1"/>
  <c r="S892" i="1"/>
  <c r="U892" i="1" s="1"/>
  <c r="V892" i="1" s="1"/>
  <c r="S891" i="1"/>
  <c r="U891" i="1" s="1"/>
  <c r="V891" i="1" s="1"/>
  <c r="S890" i="1"/>
  <c r="U890" i="1" s="1"/>
  <c r="V890" i="1" s="1"/>
  <c r="S889" i="1"/>
  <c r="U889" i="1" s="1"/>
  <c r="V889" i="1" s="1"/>
  <c r="S888" i="1"/>
  <c r="U888" i="1" s="1"/>
  <c r="V888" i="1" s="1"/>
  <c r="S887" i="1"/>
  <c r="U887" i="1" s="1"/>
  <c r="V887" i="1" s="1"/>
  <c r="S886" i="1"/>
  <c r="U886" i="1" s="1"/>
  <c r="V886" i="1" s="1"/>
  <c r="S885" i="1"/>
  <c r="U885" i="1" s="1"/>
  <c r="V885" i="1" s="1"/>
  <c r="S884" i="1"/>
  <c r="U884" i="1" s="1"/>
  <c r="V884" i="1" s="1"/>
  <c r="S883" i="1"/>
  <c r="U883" i="1" s="1"/>
  <c r="V883" i="1" s="1"/>
  <c r="S882" i="1"/>
  <c r="U882" i="1" s="1"/>
  <c r="V882" i="1" s="1"/>
  <c r="S881" i="1"/>
  <c r="U881" i="1" s="1"/>
  <c r="V881" i="1" s="1"/>
  <c r="S539" i="1"/>
  <c r="S538" i="1"/>
  <c r="U538" i="1" s="1"/>
  <c r="V538" i="1" s="1"/>
  <c r="S537" i="1"/>
  <c r="U537" i="1" s="1"/>
  <c r="V537" i="1" s="1"/>
  <c r="S536" i="1"/>
  <c r="U536" i="1" s="1"/>
  <c r="V536" i="1" s="1"/>
  <c r="S535" i="1"/>
  <c r="U535" i="1" s="1"/>
  <c r="V535" i="1" s="1"/>
  <c r="S534" i="1"/>
  <c r="U534" i="1" s="1"/>
  <c r="V534" i="1" s="1"/>
  <c r="S533" i="1"/>
  <c r="U533" i="1" s="1"/>
  <c r="V533" i="1" s="1"/>
  <c r="S532" i="1"/>
  <c r="U532" i="1" s="1"/>
  <c r="V532" i="1" s="1"/>
  <c r="S531" i="1"/>
  <c r="U531" i="1" s="1"/>
  <c r="V531" i="1" s="1"/>
  <c r="S530" i="1"/>
  <c r="U530" i="1" s="1"/>
  <c r="V530" i="1" s="1"/>
  <c r="S529" i="1"/>
  <c r="U529" i="1" s="1"/>
  <c r="V529" i="1" s="1"/>
  <c r="S528" i="1"/>
  <c r="U528" i="1" s="1"/>
  <c r="V528" i="1" s="1"/>
  <c r="S527" i="1"/>
  <c r="U527" i="1" s="1"/>
  <c r="V527" i="1" s="1"/>
  <c r="S456" i="1"/>
  <c r="U456" i="1" s="1"/>
  <c r="V456" i="1" s="1"/>
  <c r="S455" i="1"/>
  <c r="U455" i="1" s="1"/>
  <c r="V455" i="1" s="1"/>
  <c r="S454" i="1"/>
  <c r="U454" i="1" s="1"/>
  <c r="V454" i="1" s="1"/>
  <c r="S453" i="1"/>
  <c r="U453" i="1" s="1"/>
  <c r="V453" i="1" s="1"/>
  <c r="S452" i="1"/>
  <c r="U452" i="1" s="1"/>
  <c r="V452" i="1" s="1"/>
  <c r="S451" i="1"/>
  <c r="U451" i="1" s="1"/>
  <c r="V451" i="1" s="1"/>
  <c r="S450" i="1"/>
  <c r="U450" i="1" s="1"/>
  <c r="V450" i="1" s="1"/>
  <c r="S449" i="1"/>
  <c r="U449" i="1" s="1"/>
  <c r="V449" i="1" s="1"/>
  <c r="S448" i="1"/>
  <c r="U448" i="1" s="1"/>
  <c r="V448" i="1" s="1"/>
  <c r="S447" i="1"/>
  <c r="U447" i="1" s="1"/>
  <c r="V447" i="1" s="1"/>
  <c r="S354" i="1"/>
  <c r="U354" i="1" s="1"/>
  <c r="V354" i="1" s="1"/>
  <c r="S353" i="1"/>
  <c r="U353" i="1" s="1"/>
  <c r="V353" i="1" s="1"/>
  <c r="S352" i="1"/>
  <c r="U352" i="1" s="1"/>
  <c r="V352" i="1" s="1"/>
  <c r="S351" i="1"/>
  <c r="U351" i="1" s="1"/>
  <c r="V351" i="1" s="1"/>
  <c r="S350" i="1"/>
  <c r="U350" i="1" s="1"/>
  <c r="V350" i="1" s="1"/>
  <c r="S349" i="1"/>
  <c r="U349" i="1" s="1"/>
  <c r="V349" i="1" s="1"/>
  <c r="S348" i="1"/>
  <c r="U348" i="1" s="1"/>
  <c r="V348" i="1" s="1"/>
  <c r="S347" i="1"/>
  <c r="U347" i="1" s="1"/>
  <c r="V347" i="1" s="1"/>
  <c r="S346" i="1"/>
  <c r="U346" i="1" s="1"/>
  <c r="V346" i="1" s="1"/>
  <c r="S345" i="1"/>
  <c r="U345" i="1" s="1"/>
  <c r="V345" i="1" s="1"/>
  <c r="S344" i="1"/>
  <c r="S343" i="1"/>
  <c r="U343" i="1" s="1"/>
  <c r="V343" i="1" s="1"/>
  <c r="S342" i="1"/>
  <c r="U342" i="1" s="1"/>
  <c r="V342" i="1" s="1"/>
  <c r="S367" i="1"/>
  <c r="U367" i="1" s="1"/>
  <c r="V367" i="1" s="1"/>
  <c r="S366" i="1"/>
  <c r="U366" i="1" s="1"/>
  <c r="V366" i="1" s="1"/>
  <c r="S365" i="1"/>
  <c r="U365" i="1" s="1"/>
  <c r="V365" i="1" s="1"/>
  <c r="S364" i="1"/>
  <c r="U364" i="1" s="1"/>
  <c r="V364" i="1" s="1"/>
  <c r="S363" i="1"/>
  <c r="U363" i="1" s="1"/>
  <c r="V363" i="1" s="1"/>
  <c r="S362" i="1"/>
  <c r="U362" i="1" s="1"/>
  <c r="V362" i="1" s="1"/>
  <c r="S361" i="1"/>
  <c r="U361" i="1" s="1"/>
  <c r="V361" i="1" s="1"/>
  <c r="S360" i="1"/>
  <c r="U360" i="1" s="1"/>
  <c r="V360" i="1" s="1"/>
  <c r="S359" i="1"/>
  <c r="U359" i="1" s="1"/>
  <c r="V359" i="1" s="1"/>
  <c r="S358" i="1"/>
  <c r="U358" i="1" s="1"/>
  <c r="V358" i="1" s="1"/>
  <c r="S357" i="1"/>
  <c r="U357" i="1" s="1"/>
  <c r="V357" i="1" s="1"/>
  <c r="S356" i="1"/>
  <c r="U356" i="1" s="1"/>
  <c r="V356" i="1" s="1"/>
  <c r="S355" i="1"/>
  <c r="U355" i="1" s="1"/>
  <c r="V355" i="1" s="1"/>
  <c r="S781" i="1"/>
  <c r="S780" i="1"/>
  <c r="U780" i="1" s="1"/>
  <c r="V780" i="1" s="1"/>
  <c r="S779" i="1"/>
  <c r="U779" i="1" s="1"/>
  <c r="V779" i="1" s="1"/>
  <c r="S778" i="1"/>
  <c r="U778" i="1" s="1"/>
  <c r="V778" i="1" s="1"/>
  <c r="S777" i="1"/>
  <c r="U777" i="1" s="1"/>
  <c r="V777" i="1" s="1"/>
  <c r="S776" i="1"/>
  <c r="U776" i="1" s="1"/>
  <c r="V776" i="1" s="1"/>
  <c r="S775" i="1"/>
  <c r="U775" i="1" s="1"/>
  <c r="V775" i="1" s="1"/>
  <c r="S774" i="1"/>
  <c r="U774" i="1" s="1"/>
  <c r="V774" i="1" s="1"/>
  <c r="S773" i="1"/>
  <c r="U773" i="1" s="1"/>
  <c r="V773" i="1" s="1"/>
  <c r="S772" i="1"/>
  <c r="U772" i="1" s="1"/>
  <c r="V772" i="1" s="1"/>
  <c r="S771" i="1"/>
  <c r="U771" i="1" s="1"/>
  <c r="V771" i="1" s="1"/>
  <c r="S770" i="1"/>
  <c r="U770" i="1" s="1"/>
  <c r="V770" i="1" s="1"/>
  <c r="S769" i="1"/>
  <c r="U769" i="1" s="1"/>
  <c r="V769" i="1" s="1"/>
  <c r="S694" i="1"/>
  <c r="U694" i="1" s="1"/>
  <c r="V694" i="1" s="1"/>
  <c r="S693" i="1"/>
  <c r="U693" i="1" s="1"/>
  <c r="V693" i="1" s="1"/>
  <c r="S692" i="1"/>
  <c r="S691" i="1"/>
  <c r="U691" i="1" s="1"/>
  <c r="V691" i="1" s="1"/>
  <c r="S690" i="1"/>
  <c r="U690" i="1" s="1"/>
  <c r="V690" i="1" s="1"/>
  <c r="S689" i="1"/>
  <c r="U689" i="1" s="1"/>
  <c r="V689" i="1" s="1"/>
  <c r="S688" i="1"/>
  <c r="U688" i="1" s="1"/>
  <c r="V688" i="1" s="1"/>
  <c r="S687" i="1"/>
  <c r="U687" i="1" s="1"/>
  <c r="V687" i="1" s="1"/>
  <c r="S686" i="1"/>
  <c r="U686" i="1" s="1"/>
  <c r="V686" i="1" s="1"/>
  <c r="S685" i="1"/>
  <c r="U685" i="1" s="1"/>
  <c r="V685" i="1" s="1"/>
  <c r="S684" i="1"/>
  <c r="U684" i="1" s="1"/>
  <c r="V684" i="1" s="1"/>
  <c r="S683" i="1"/>
  <c r="U683" i="1" s="1"/>
  <c r="V683" i="1" s="1"/>
  <c r="S682" i="1"/>
  <c r="U682" i="1" s="1"/>
  <c r="V682" i="1" s="1"/>
  <c r="S681" i="1"/>
  <c r="U681" i="1" s="1"/>
  <c r="V681" i="1" s="1"/>
  <c r="S680" i="1"/>
  <c r="U680" i="1" s="1"/>
  <c r="V680" i="1" s="1"/>
  <c r="S990" i="1"/>
  <c r="U990" i="1" s="1"/>
  <c r="V990" i="1" s="1"/>
  <c r="S989" i="1"/>
  <c r="U989" i="1" s="1"/>
  <c r="V989" i="1" s="1"/>
  <c r="S988" i="1"/>
  <c r="U988" i="1" s="1"/>
  <c r="V988" i="1" s="1"/>
  <c r="S981" i="1"/>
  <c r="U981" i="1" s="1"/>
  <c r="V981" i="1" s="1"/>
  <c r="S984" i="1"/>
  <c r="U984" i="1" s="1"/>
  <c r="V984" i="1" s="1"/>
  <c r="S980" i="1"/>
  <c r="U980" i="1" s="1"/>
  <c r="V980" i="1" s="1"/>
  <c r="S985" i="1"/>
  <c r="U985" i="1" s="1"/>
  <c r="V985" i="1" s="1"/>
  <c r="S987" i="1"/>
  <c r="U987" i="1" s="1"/>
  <c r="V987" i="1" s="1"/>
  <c r="S983" i="1"/>
  <c r="U983" i="1" s="1"/>
  <c r="V983" i="1" s="1"/>
  <c r="S986" i="1"/>
  <c r="U986" i="1" s="1"/>
  <c r="V986" i="1" s="1"/>
  <c r="S979" i="1"/>
  <c r="U979" i="1" s="1"/>
  <c r="V979" i="1" s="1"/>
  <c r="S978" i="1"/>
  <c r="U978" i="1" s="1"/>
  <c r="V978" i="1" s="1"/>
  <c r="S977" i="1"/>
  <c r="U977" i="1" s="1"/>
  <c r="V977" i="1" s="1"/>
  <c r="S982" i="1"/>
  <c r="U982" i="1" s="1"/>
  <c r="V982" i="1" s="1"/>
  <c r="S39" i="1"/>
  <c r="U39" i="1" s="1"/>
  <c r="V39" i="1" s="1"/>
  <c r="S38" i="1"/>
  <c r="U38" i="1" s="1"/>
  <c r="V38" i="1" s="1"/>
  <c r="S37" i="1"/>
  <c r="U37" i="1" s="1"/>
  <c r="V37" i="1" s="1"/>
  <c r="S36" i="1"/>
  <c r="U36" i="1" s="1"/>
  <c r="V36" i="1" s="1"/>
  <c r="S35" i="1"/>
  <c r="U35" i="1" s="1"/>
  <c r="V35" i="1" s="1"/>
  <c r="S34" i="1"/>
  <c r="S33" i="1"/>
  <c r="U33" i="1" s="1"/>
  <c r="V33" i="1" s="1"/>
  <c r="S32" i="1"/>
  <c r="U32" i="1" s="1"/>
  <c r="V32" i="1" s="1"/>
  <c r="S31" i="1"/>
  <c r="U31" i="1" s="1"/>
  <c r="V31" i="1" s="1"/>
  <c r="S30" i="1"/>
  <c r="U30" i="1" s="1"/>
  <c r="V30" i="1" s="1"/>
  <c r="S29" i="1"/>
  <c r="U29" i="1" s="1"/>
  <c r="V29" i="1" s="1"/>
  <c r="S47" i="1"/>
  <c r="U47" i="1" s="1"/>
  <c r="V47" i="1" s="1"/>
  <c r="S50" i="1"/>
  <c r="U50" i="1" s="1"/>
  <c r="V50" i="1" s="1"/>
  <c r="S49" i="1"/>
  <c r="U49" i="1" s="1"/>
  <c r="V49" i="1" s="1"/>
  <c r="S44" i="1"/>
  <c r="U44" i="1" s="1"/>
  <c r="V44" i="1" s="1"/>
  <c r="S46" i="1"/>
  <c r="U46" i="1" s="1"/>
  <c r="V46" i="1" s="1"/>
  <c r="S43" i="1"/>
  <c r="U43" i="1" s="1"/>
  <c r="V43" i="1" s="1"/>
  <c r="S48" i="1"/>
  <c r="U48" i="1" s="1"/>
  <c r="V48" i="1" s="1"/>
  <c r="S45" i="1"/>
  <c r="U45" i="1" s="1"/>
  <c r="V45" i="1" s="1"/>
  <c r="S42" i="1"/>
  <c r="U42" i="1" s="1"/>
  <c r="V42" i="1" s="1"/>
  <c r="S41" i="1"/>
  <c r="U41" i="1" s="1"/>
  <c r="V41" i="1" s="1"/>
  <c r="S40" i="1"/>
  <c r="S144" i="1"/>
  <c r="U144" i="1" s="1"/>
  <c r="V144" i="1" s="1"/>
  <c r="S150" i="1"/>
  <c r="U150" i="1" s="1"/>
  <c r="V150" i="1" s="1"/>
  <c r="S149" i="1"/>
  <c r="U149" i="1" s="1"/>
  <c r="V149" i="1" s="1"/>
  <c r="S145" i="1"/>
  <c r="U145" i="1" s="1"/>
  <c r="V145" i="1" s="1"/>
  <c r="S148" i="1"/>
  <c r="U148" i="1" s="1"/>
  <c r="V148" i="1" s="1"/>
  <c r="S151" i="1"/>
  <c r="U151" i="1" s="1"/>
  <c r="V151" i="1" s="1"/>
  <c r="S155" i="1"/>
  <c r="U155" i="1" s="1"/>
  <c r="V155" i="1" s="1"/>
  <c r="S146" i="1"/>
  <c r="U146" i="1" s="1"/>
  <c r="V146" i="1" s="1"/>
  <c r="S152" i="1"/>
  <c r="U152" i="1" s="1"/>
  <c r="V152" i="1" s="1"/>
  <c r="S153" i="1"/>
  <c r="U153" i="1" s="1"/>
  <c r="V153" i="1" s="1"/>
  <c r="S147" i="1"/>
  <c r="U147" i="1" s="1"/>
  <c r="V147" i="1" s="1"/>
  <c r="S154" i="1"/>
  <c r="U154" i="1" s="1"/>
  <c r="V154" i="1" s="1"/>
  <c r="S697" i="1"/>
  <c r="U697" i="1" s="1"/>
  <c r="V697" i="1" s="1"/>
  <c r="S696" i="1"/>
  <c r="U696" i="1" s="1"/>
  <c r="V696" i="1" s="1"/>
  <c r="S695" i="1"/>
  <c r="U695" i="1" s="1"/>
  <c r="V695" i="1" s="1"/>
  <c r="S699" i="1"/>
  <c r="S703" i="1"/>
  <c r="S698" i="1"/>
  <c r="S700" i="1"/>
  <c r="U700" i="1" s="1"/>
  <c r="V700" i="1" s="1"/>
  <c r="S705" i="1"/>
  <c r="U705" i="1" s="1"/>
  <c r="V705" i="1" s="1"/>
  <c r="S704" i="1"/>
  <c r="U704" i="1" s="1"/>
  <c r="V704" i="1" s="1"/>
  <c r="S707" i="1"/>
  <c r="U707" i="1" s="1"/>
  <c r="V707" i="1" s="1"/>
  <c r="S702" i="1"/>
  <c r="U702" i="1" s="1"/>
  <c r="V702" i="1" s="1"/>
  <c r="S701" i="1"/>
  <c r="U701" i="1" s="1"/>
  <c r="V701" i="1" s="1"/>
  <c r="S706" i="1"/>
  <c r="U706" i="1" s="1"/>
  <c r="V706" i="1" s="1"/>
  <c r="S708" i="1"/>
  <c r="U708" i="1" s="1"/>
  <c r="V708" i="1" s="1"/>
  <c r="S709" i="1"/>
  <c r="U709" i="1" s="1"/>
  <c r="V709" i="1" s="1"/>
  <c r="S710" i="1"/>
  <c r="U710" i="1" s="1"/>
  <c r="V710" i="1" s="1"/>
  <c r="S711" i="1"/>
  <c r="U711" i="1" s="1"/>
  <c r="V711" i="1" s="1"/>
  <c r="S715" i="1"/>
  <c r="U715" i="1" s="1"/>
  <c r="V715" i="1" s="1"/>
  <c r="S717" i="1"/>
  <c r="U717" i="1" s="1"/>
  <c r="V717" i="1" s="1"/>
  <c r="S713" i="1"/>
  <c r="U713" i="1" s="1"/>
  <c r="V713" i="1" s="1"/>
  <c r="S718" i="1"/>
  <c r="U718" i="1" s="1"/>
  <c r="V718" i="1" s="1"/>
  <c r="S722" i="1"/>
  <c r="U722" i="1" s="1"/>
  <c r="V722" i="1" s="1"/>
  <c r="S712" i="1"/>
  <c r="U712" i="1" s="1"/>
  <c r="V712" i="1" s="1"/>
  <c r="S719" i="1"/>
  <c r="U719" i="1" s="1"/>
  <c r="V719" i="1" s="1"/>
  <c r="S714" i="1"/>
  <c r="U714" i="1" s="1"/>
  <c r="V714" i="1" s="1"/>
  <c r="S721" i="1"/>
  <c r="U721" i="1" s="1"/>
  <c r="V721" i="1" s="1"/>
  <c r="S716" i="1"/>
  <c r="U716" i="1" s="1"/>
  <c r="V716" i="1" s="1"/>
  <c r="S724" i="1"/>
  <c r="U724" i="1" s="1"/>
  <c r="V724" i="1" s="1"/>
  <c r="S723" i="1"/>
  <c r="U723" i="1" s="1"/>
  <c r="V723" i="1" s="1"/>
  <c r="S720" i="1"/>
  <c r="U720" i="1" s="1"/>
  <c r="V720" i="1" s="1"/>
  <c r="S517" i="1"/>
  <c r="U517" i="1" s="1"/>
  <c r="V517" i="1" s="1"/>
  <c r="S516" i="1"/>
  <c r="U516" i="1" s="1"/>
  <c r="V516" i="1" s="1"/>
  <c r="S515" i="1"/>
  <c r="U515" i="1" s="1"/>
  <c r="V515" i="1" s="1"/>
  <c r="S518" i="1"/>
  <c r="U518" i="1" s="1"/>
  <c r="V518" i="1" s="1"/>
  <c r="S519" i="1"/>
  <c r="U519" i="1" s="1"/>
  <c r="V519" i="1" s="1"/>
  <c r="S521" i="1"/>
  <c r="U521" i="1" s="1"/>
  <c r="V521" i="1" s="1"/>
  <c r="S520" i="1"/>
  <c r="U520" i="1" s="1"/>
  <c r="V520" i="1" s="1"/>
  <c r="S522" i="1"/>
  <c r="U522" i="1" s="1"/>
  <c r="V522" i="1" s="1"/>
  <c r="S524" i="1"/>
  <c r="U524" i="1" s="1"/>
  <c r="V524" i="1" s="1"/>
  <c r="S525" i="1"/>
  <c r="U525" i="1" s="1"/>
  <c r="V525" i="1" s="1"/>
  <c r="S523" i="1"/>
  <c r="U523" i="1" s="1"/>
  <c r="V523" i="1" s="1"/>
  <c r="S540" i="1"/>
  <c r="U540" i="1" s="1"/>
  <c r="V540" i="1" s="1"/>
  <c r="S541" i="1"/>
  <c r="U541" i="1" s="1"/>
  <c r="S542" i="1"/>
  <c r="U542" i="1" s="1"/>
  <c r="V542" i="1" s="1"/>
  <c r="S543" i="1"/>
  <c r="U543" i="1" s="1"/>
  <c r="V543" i="1" s="1"/>
  <c r="S544" i="1"/>
  <c r="U544" i="1" s="1"/>
  <c r="V544" i="1" s="1"/>
  <c r="S545" i="1"/>
  <c r="U545" i="1" s="1"/>
  <c r="V545" i="1" s="1"/>
  <c r="S546" i="1"/>
  <c r="U546" i="1" s="1"/>
  <c r="V546" i="1" s="1"/>
  <c r="S547" i="1"/>
  <c r="U547" i="1" s="1"/>
  <c r="V547" i="1" s="1"/>
  <c r="S548" i="1"/>
  <c r="U548" i="1" s="1"/>
  <c r="V548" i="1" s="1"/>
  <c r="S549" i="1"/>
  <c r="U549" i="1" s="1"/>
  <c r="V549" i="1" s="1"/>
  <c r="S550" i="1"/>
  <c r="U550" i="1" s="1"/>
  <c r="V550" i="1" s="1"/>
  <c r="S551" i="1"/>
  <c r="U551" i="1" s="1"/>
  <c r="V551" i="1" s="1"/>
  <c r="S552" i="1"/>
  <c r="U552" i="1" s="1"/>
  <c r="V552" i="1" s="1"/>
  <c r="S553" i="1"/>
  <c r="U553" i="1" s="1"/>
  <c r="V553" i="1" s="1"/>
  <c r="S554" i="1"/>
  <c r="U554" i="1" s="1"/>
  <c r="V554" i="1" s="1"/>
  <c r="S555" i="1"/>
  <c r="U555" i="1" s="1"/>
  <c r="V555" i="1" s="1"/>
  <c r="S223" i="1"/>
  <c r="U223" i="1" s="1"/>
  <c r="V223" i="1" s="1"/>
  <c r="S224" i="1"/>
  <c r="U224" i="1" s="1"/>
  <c r="S231" i="1"/>
  <c r="U231" i="1" s="1"/>
  <c r="V231" i="1" s="1"/>
  <c r="S226" i="1"/>
  <c r="U226" i="1" s="1"/>
  <c r="V226" i="1" s="1"/>
  <c r="S228" i="1"/>
  <c r="U228" i="1" s="1"/>
  <c r="V228" i="1" s="1"/>
  <c r="S225" i="1"/>
  <c r="U225" i="1" s="1"/>
  <c r="V225" i="1" s="1"/>
  <c r="S227" i="1"/>
  <c r="U227" i="1" s="1"/>
  <c r="V227" i="1" s="1"/>
  <c r="S229" i="1"/>
  <c r="U229" i="1" s="1"/>
  <c r="V229" i="1" s="1"/>
  <c r="S232" i="1"/>
  <c r="U232" i="1" s="1"/>
  <c r="V232" i="1" s="1"/>
  <c r="S233" i="1"/>
  <c r="U233" i="1" s="1"/>
  <c r="V233" i="1" s="1"/>
  <c r="S230" i="1"/>
  <c r="U230" i="1" s="1"/>
  <c r="V230" i="1" s="1"/>
  <c r="S234" i="1"/>
  <c r="U234" i="1" s="1"/>
  <c r="V234" i="1" s="1"/>
  <c r="S235" i="1"/>
  <c r="U235" i="1" s="1"/>
  <c r="V235" i="1" s="1"/>
  <c r="S556" i="1"/>
  <c r="U556" i="1" s="1"/>
  <c r="V556" i="1" s="1"/>
  <c r="S557" i="1"/>
  <c r="U557" i="1" s="1"/>
  <c r="V557" i="1" s="1"/>
  <c r="S559" i="1"/>
  <c r="U559" i="1" s="1"/>
  <c r="V559" i="1" s="1"/>
  <c r="S560" i="1"/>
  <c r="U560" i="1" s="1"/>
  <c r="V560" i="1" s="1"/>
  <c r="S564" i="1"/>
  <c r="U564" i="1" s="1"/>
  <c r="V564" i="1" s="1"/>
  <c r="S558" i="1"/>
  <c r="U558" i="1" s="1"/>
  <c r="V558" i="1" s="1"/>
  <c r="S567" i="1"/>
  <c r="U567" i="1" s="1"/>
  <c r="V567" i="1" s="1"/>
  <c r="S568" i="1"/>
  <c r="U568" i="1" s="1"/>
  <c r="V568" i="1" s="1"/>
  <c r="S569" i="1"/>
  <c r="U569" i="1" s="1"/>
  <c r="V569" i="1" s="1"/>
  <c r="S565" i="1"/>
  <c r="U565" i="1" s="1"/>
  <c r="V565" i="1" s="1"/>
  <c r="S561" i="1"/>
  <c r="U561" i="1" s="1"/>
  <c r="V561" i="1" s="1"/>
  <c r="S563" i="1"/>
  <c r="U563" i="1" s="1"/>
  <c r="V563" i="1" s="1"/>
  <c r="S566" i="1"/>
  <c r="U566" i="1" s="1"/>
  <c r="V566" i="1" s="1"/>
  <c r="S562" i="1"/>
  <c r="U562" i="1" s="1"/>
  <c r="V562" i="1" s="1"/>
  <c r="S788" i="1"/>
  <c r="U788" i="1" s="1"/>
  <c r="V788" i="1" s="1"/>
  <c r="S784" i="1"/>
  <c r="U784" i="1" s="1"/>
  <c r="V784" i="1" s="1"/>
  <c r="S782" i="1"/>
  <c r="U782" i="1" s="1"/>
  <c r="V782" i="1" s="1"/>
  <c r="S783" i="1"/>
  <c r="U783" i="1" s="1"/>
  <c r="V783" i="1" s="1"/>
  <c r="S791" i="1"/>
  <c r="U791" i="1" s="1"/>
  <c r="S785" i="1"/>
  <c r="U785" i="1" s="1"/>
  <c r="V785" i="1" s="1"/>
  <c r="S789" i="1"/>
  <c r="U789" i="1" s="1"/>
  <c r="V789" i="1" s="1"/>
  <c r="S787" i="1"/>
  <c r="U787" i="1" s="1"/>
  <c r="V787" i="1" s="1"/>
  <c r="S790" i="1"/>
  <c r="U790" i="1" s="1"/>
  <c r="V790" i="1" s="1"/>
  <c r="S792" i="1"/>
  <c r="U792" i="1" s="1"/>
  <c r="V792" i="1" s="1"/>
  <c r="S786" i="1"/>
  <c r="U786" i="1" s="1"/>
  <c r="V786" i="1" s="1"/>
  <c r="S794" i="1"/>
  <c r="U794" i="1" s="1"/>
  <c r="V794" i="1" s="1"/>
  <c r="S793" i="1"/>
  <c r="U793" i="1" s="1"/>
  <c r="V793" i="1" s="1"/>
  <c r="S795" i="1"/>
  <c r="U795" i="1" s="1"/>
  <c r="V795" i="1" s="1"/>
  <c r="S409" i="1"/>
  <c r="U409" i="1" s="1"/>
  <c r="V409" i="1" s="1"/>
  <c r="S410" i="1"/>
  <c r="U410" i="1" s="1"/>
  <c r="V410" i="1" s="1"/>
  <c r="S411" i="1"/>
  <c r="U411" i="1" s="1"/>
  <c r="V411" i="1" s="1"/>
  <c r="S412" i="1"/>
  <c r="U412" i="1" s="1"/>
  <c r="V412" i="1" s="1"/>
  <c r="S413" i="1"/>
  <c r="U413" i="1" s="1"/>
  <c r="V413" i="1" s="1"/>
  <c r="S414" i="1"/>
  <c r="U414" i="1" s="1"/>
  <c r="V414" i="1" s="1"/>
  <c r="S415" i="1"/>
  <c r="U415" i="1" s="1"/>
  <c r="V415" i="1" s="1"/>
  <c r="S416" i="1"/>
  <c r="U416" i="1" s="1"/>
  <c r="V416" i="1" s="1"/>
  <c r="S417" i="1"/>
  <c r="U417" i="1" s="1"/>
  <c r="V417" i="1" s="1"/>
  <c r="S418" i="1"/>
  <c r="U418" i="1" s="1"/>
  <c r="V418" i="1" s="1"/>
  <c r="S419" i="1"/>
  <c r="U419" i="1" s="1"/>
  <c r="V419" i="1" s="1"/>
  <c r="S420" i="1"/>
  <c r="U420" i="1" s="1"/>
  <c r="V420" i="1" s="1"/>
  <c r="S421" i="1"/>
  <c r="U421" i="1" s="1"/>
  <c r="V421" i="1" s="1"/>
  <c r="S799" i="1"/>
  <c r="U799" i="1" s="1"/>
  <c r="V799" i="1" s="1"/>
  <c r="S797" i="1"/>
  <c r="U797" i="1" s="1"/>
  <c r="V797" i="1" s="1"/>
  <c r="S800" i="1"/>
  <c r="U800" i="1" s="1"/>
  <c r="V800" i="1" s="1"/>
  <c r="S796" i="1"/>
  <c r="U796" i="1" s="1"/>
  <c r="V796" i="1" s="1"/>
  <c r="S802" i="1"/>
  <c r="U802" i="1" s="1"/>
  <c r="V802" i="1" s="1"/>
  <c r="S801" i="1"/>
  <c r="U801" i="1" s="1"/>
  <c r="V801" i="1" s="1"/>
  <c r="S798" i="1"/>
  <c r="U798" i="1" s="1"/>
  <c r="V798" i="1" s="1"/>
  <c r="S808" i="1"/>
  <c r="U808" i="1" s="1"/>
  <c r="V808" i="1" s="1"/>
  <c r="S806" i="1"/>
  <c r="U806" i="1" s="1"/>
  <c r="V806" i="1" s="1"/>
  <c r="S805" i="1"/>
  <c r="U805" i="1" s="1"/>
  <c r="V805" i="1" s="1"/>
  <c r="S803" i="1"/>
  <c r="U803" i="1" s="1"/>
  <c r="V803" i="1" s="1"/>
  <c r="S804" i="1"/>
  <c r="U804" i="1" s="1"/>
  <c r="V804" i="1" s="1"/>
  <c r="S809" i="1"/>
  <c r="U809" i="1" s="1"/>
  <c r="V809" i="1" s="1"/>
  <c r="S810" i="1"/>
  <c r="U810" i="1" s="1"/>
  <c r="V810" i="1" s="1"/>
  <c r="S807" i="1"/>
  <c r="U807" i="1" s="1"/>
  <c r="V807" i="1" s="1"/>
  <c r="S811" i="1"/>
  <c r="U811" i="1" s="1"/>
  <c r="V811" i="1" s="1"/>
  <c r="S999" i="1"/>
  <c r="U999" i="1" s="1"/>
  <c r="V999" i="1" s="1"/>
  <c r="S997" i="1"/>
  <c r="U997" i="1" s="1"/>
  <c r="V997" i="1" s="1"/>
  <c r="S995" i="1"/>
  <c r="U995" i="1" s="1"/>
  <c r="V995" i="1" s="1"/>
  <c r="S994" i="1"/>
  <c r="U994" i="1" s="1"/>
  <c r="V994" i="1" s="1"/>
  <c r="S992" i="1"/>
  <c r="U992" i="1" s="1"/>
  <c r="V992" i="1" s="1"/>
  <c r="S998" i="1"/>
  <c r="U998" i="1" s="1"/>
  <c r="V998" i="1" s="1"/>
  <c r="S996" i="1"/>
  <c r="U996" i="1" s="1"/>
  <c r="V996" i="1" s="1"/>
  <c r="S991" i="1"/>
  <c r="U991" i="1" s="1"/>
  <c r="S993" i="1"/>
  <c r="U993" i="1" s="1"/>
  <c r="V993" i="1" s="1"/>
  <c r="S1000" i="1"/>
  <c r="U1000" i="1" s="1"/>
  <c r="V1000" i="1" s="1"/>
  <c r="S1002" i="1"/>
  <c r="U1002" i="1" s="1"/>
  <c r="V1002" i="1" s="1"/>
  <c r="S1003" i="1"/>
  <c r="U1003" i="1" s="1"/>
  <c r="V1003" i="1" s="1"/>
  <c r="S1006" i="1"/>
  <c r="U1006" i="1" s="1"/>
  <c r="V1006" i="1" s="1"/>
  <c r="S1004" i="1"/>
  <c r="U1004" i="1" s="1"/>
  <c r="V1004" i="1" s="1"/>
  <c r="S1008" i="1"/>
  <c r="U1008" i="1" s="1"/>
  <c r="V1008" i="1" s="1"/>
  <c r="S1007" i="1"/>
  <c r="U1007" i="1" s="1"/>
  <c r="V1007" i="1" s="1"/>
  <c r="S1010" i="1"/>
  <c r="U1010" i="1" s="1"/>
  <c r="V1010" i="1" s="1"/>
  <c r="S1005" i="1"/>
  <c r="U1005" i="1" s="1"/>
  <c r="V1005" i="1" s="1"/>
  <c r="S1009" i="1"/>
  <c r="U1009" i="1" s="1"/>
  <c r="V1009" i="1" s="1"/>
  <c r="S1011" i="1"/>
  <c r="U1011" i="1" s="1"/>
  <c r="V1011" i="1" s="1"/>
  <c r="S51" i="1"/>
  <c r="U51" i="1" s="1"/>
  <c r="V51" i="1" s="1"/>
  <c r="S56" i="1"/>
  <c r="U56" i="1" s="1"/>
  <c r="V56" i="1" s="1"/>
  <c r="S54" i="1"/>
  <c r="U54" i="1" s="1"/>
  <c r="V54" i="1" s="1"/>
  <c r="S53" i="1"/>
  <c r="U53" i="1" s="1"/>
  <c r="S52" i="1"/>
  <c r="U52" i="1" s="1"/>
  <c r="V52" i="1" s="1"/>
  <c r="S58" i="1"/>
  <c r="U58" i="1" s="1"/>
  <c r="V58" i="1" s="1"/>
  <c r="S57" i="1"/>
  <c r="U57" i="1" s="1"/>
  <c r="V57" i="1" s="1"/>
  <c r="S55" i="1"/>
  <c r="U55" i="1" s="1"/>
  <c r="V55" i="1" s="1"/>
  <c r="S60" i="1"/>
  <c r="U60" i="1" s="1"/>
  <c r="V60" i="1" s="1"/>
  <c r="S59" i="1"/>
  <c r="U59" i="1" s="1"/>
  <c r="V59" i="1" s="1"/>
  <c r="S61" i="1"/>
  <c r="U61" i="1" s="1"/>
  <c r="V61" i="1" s="1"/>
  <c r="S62" i="1"/>
  <c r="U62" i="1" s="1"/>
  <c r="V62" i="1" s="1"/>
  <c r="S63" i="1"/>
  <c r="U63" i="1" s="1"/>
  <c r="V63" i="1" s="1"/>
  <c r="S66" i="1"/>
  <c r="U66" i="1" s="1"/>
  <c r="V66" i="1" s="1"/>
  <c r="S65" i="1"/>
  <c r="U65" i="1" s="1"/>
  <c r="V65" i="1" s="1"/>
  <c r="S68" i="1"/>
  <c r="U68" i="1" s="1"/>
  <c r="V68" i="1" s="1"/>
  <c r="S64" i="1"/>
  <c r="U64" i="1" s="1"/>
  <c r="V64" i="1" s="1"/>
  <c r="S71" i="1"/>
  <c r="U71" i="1" s="1"/>
  <c r="V71" i="1" s="1"/>
  <c r="S70" i="1"/>
  <c r="U70" i="1" s="1"/>
  <c r="V70" i="1" s="1"/>
  <c r="S67" i="1"/>
  <c r="U67" i="1" s="1"/>
  <c r="V67" i="1" s="1"/>
  <c r="S75" i="1"/>
  <c r="U75" i="1" s="1"/>
  <c r="V75" i="1" s="1"/>
  <c r="S69" i="1"/>
  <c r="U69" i="1" s="1"/>
  <c r="V69" i="1" s="1"/>
  <c r="S72" i="1"/>
  <c r="U72" i="1" s="1"/>
  <c r="V72" i="1" s="1"/>
  <c r="S73" i="1"/>
  <c r="U73" i="1" s="1"/>
  <c r="V73" i="1" s="1"/>
  <c r="S76" i="1"/>
  <c r="U76" i="1" s="1"/>
  <c r="V76" i="1" s="1"/>
  <c r="S77" i="1"/>
  <c r="U77" i="1" s="1"/>
  <c r="V77" i="1" s="1"/>
  <c r="S74" i="1"/>
  <c r="U74" i="1" s="1"/>
  <c r="V74" i="1" s="1"/>
  <c r="S1415" i="1"/>
  <c r="U1415" i="1" s="1"/>
  <c r="V1415" i="1" s="1"/>
  <c r="S1416" i="1"/>
  <c r="U1416" i="1" s="1"/>
  <c r="V1416" i="1" s="1"/>
  <c r="S1417" i="1"/>
  <c r="U1417" i="1" s="1"/>
  <c r="V1417" i="1" s="1"/>
  <c r="S1419" i="1"/>
  <c r="U1419" i="1" s="1"/>
  <c r="V1419" i="1" s="1"/>
  <c r="S1418" i="1"/>
  <c r="U1418" i="1" s="1"/>
  <c r="V1418" i="1" s="1"/>
  <c r="S1420" i="1"/>
  <c r="U1420" i="1" s="1"/>
  <c r="V1420" i="1" s="1"/>
  <c r="S1421" i="1"/>
  <c r="U1421" i="1" s="1"/>
  <c r="V1421" i="1" s="1"/>
  <c r="S1422" i="1"/>
  <c r="U1422" i="1" s="1"/>
  <c r="V1422" i="1" s="1"/>
  <c r="S1423" i="1"/>
  <c r="U1423" i="1" s="1"/>
  <c r="S1424" i="1"/>
  <c r="U1424" i="1" s="1"/>
  <c r="V1424" i="1" s="1"/>
  <c r="S1425" i="1"/>
  <c r="U1425" i="1" s="1"/>
  <c r="V1425" i="1" s="1"/>
  <c r="S1426" i="1"/>
  <c r="U1426" i="1" s="1"/>
  <c r="V1426" i="1" s="1"/>
  <c r="S1427" i="1"/>
  <c r="U1427" i="1" s="1"/>
  <c r="V1427" i="1" s="1"/>
  <c r="S1428" i="1"/>
  <c r="U1428" i="1" s="1"/>
  <c r="V1428" i="1" s="1"/>
  <c r="S1429" i="1"/>
  <c r="U1429" i="1" s="1"/>
  <c r="V1429" i="1" s="1"/>
  <c r="S1445" i="1"/>
  <c r="U1445" i="1" s="1"/>
  <c r="V1445" i="1" s="1"/>
  <c r="S1447" i="1"/>
  <c r="U1447" i="1" s="1"/>
  <c r="V1447" i="1" s="1"/>
  <c r="S1452" i="1"/>
  <c r="U1452" i="1" s="1"/>
  <c r="V1452" i="1" s="1"/>
  <c r="S1444" i="1"/>
  <c r="U1444" i="1" s="1"/>
  <c r="V1444" i="1" s="1"/>
  <c r="S1451" i="1"/>
  <c r="U1451" i="1" s="1"/>
  <c r="V1451" i="1" s="1"/>
  <c r="S1446" i="1"/>
  <c r="U1446" i="1" s="1"/>
  <c r="V1446" i="1" s="1"/>
  <c r="S1450" i="1"/>
  <c r="U1450" i="1" s="1"/>
  <c r="V1450" i="1" s="1"/>
  <c r="S1448" i="1"/>
  <c r="U1448" i="1" s="1"/>
  <c r="V1448" i="1" s="1"/>
  <c r="S1449" i="1"/>
  <c r="U1449" i="1" s="1"/>
  <c r="V1449" i="1" s="1"/>
  <c r="S1455" i="1"/>
  <c r="U1455" i="1" s="1"/>
  <c r="S1453" i="1"/>
  <c r="U1453" i="1" s="1"/>
  <c r="V1453" i="1" s="1"/>
  <c r="S1454" i="1"/>
  <c r="U1454" i="1" s="1"/>
  <c r="V1454" i="1" s="1"/>
  <c r="S1456" i="1"/>
  <c r="U1456" i="1" s="1"/>
  <c r="V1456" i="1" s="1"/>
  <c r="S1457" i="1"/>
  <c r="U1457" i="1" s="1"/>
  <c r="V1457" i="1" s="1"/>
  <c r="S1458" i="1"/>
  <c r="U1458" i="1" s="1"/>
  <c r="V1458" i="1" s="1"/>
  <c r="S1478" i="1"/>
  <c r="U1478" i="1" s="1"/>
  <c r="V1478" i="1" s="1"/>
  <c r="S1480" i="1"/>
  <c r="U1480" i="1" s="1"/>
  <c r="V1480" i="1" s="1"/>
  <c r="S1479" i="1"/>
  <c r="U1479" i="1" s="1"/>
  <c r="V1479" i="1" s="1"/>
  <c r="S1477" i="1"/>
  <c r="U1477" i="1" s="1"/>
  <c r="V1477" i="1" s="1"/>
  <c r="S1474" i="1"/>
  <c r="U1474" i="1" s="1"/>
  <c r="V1474" i="1" s="1"/>
  <c r="S1473" i="1"/>
  <c r="U1473" i="1" s="1"/>
  <c r="V1473" i="1" s="1"/>
  <c r="S1476" i="1"/>
  <c r="U1476" i="1" s="1"/>
  <c r="V1476" i="1" s="1"/>
  <c r="S1482" i="1"/>
  <c r="U1482" i="1" s="1"/>
  <c r="V1482" i="1" s="1"/>
  <c r="S1475" i="1"/>
  <c r="U1475" i="1" s="1"/>
  <c r="V1475" i="1" s="1"/>
  <c r="S1481" i="1"/>
  <c r="U1481" i="1" s="1"/>
  <c r="V1481" i="1" s="1"/>
  <c r="S1484" i="1"/>
  <c r="U1484" i="1" s="1"/>
  <c r="S1483" i="1"/>
  <c r="U1483" i="1" s="1"/>
  <c r="V1483" i="1" s="1"/>
  <c r="S1485" i="1"/>
  <c r="U1485" i="1" s="1"/>
  <c r="V1485" i="1" s="1"/>
  <c r="S1486" i="1"/>
  <c r="U1486" i="1" s="1"/>
  <c r="V1486" i="1" s="1"/>
  <c r="S1487" i="1"/>
  <c r="U1487" i="1" s="1"/>
  <c r="V1487" i="1" s="1"/>
  <c r="S1507" i="1"/>
  <c r="U1507" i="1" s="1"/>
  <c r="V1507" i="1" s="1"/>
  <c r="S1506" i="1"/>
  <c r="U1506" i="1" s="1"/>
  <c r="V1506" i="1" s="1"/>
  <c r="S1505" i="1"/>
  <c r="U1505" i="1" s="1"/>
  <c r="V1505" i="1" s="1"/>
  <c r="S1503" i="1"/>
  <c r="U1503" i="1" s="1"/>
  <c r="V1503" i="1" s="1"/>
  <c r="S1510" i="1"/>
  <c r="U1510" i="1" s="1"/>
  <c r="V1510" i="1" s="1"/>
  <c r="S1504" i="1"/>
  <c r="U1504" i="1" s="1"/>
  <c r="V1504" i="1" s="1"/>
  <c r="S1508" i="1"/>
  <c r="U1508" i="1" s="1"/>
  <c r="V1508" i="1" s="1"/>
  <c r="S1509" i="1"/>
  <c r="U1509" i="1" s="1"/>
  <c r="V1509" i="1" s="1"/>
  <c r="S1511" i="1"/>
  <c r="U1511" i="1" s="1"/>
  <c r="V1511" i="1" s="1"/>
  <c r="S1512" i="1"/>
  <c r="U1512" i="1" s="1"/>
  <c r="V1512" i="1" s="1"/>
  <c r="S1513" i="1"/>
  <c r="U1513" i="1" s="1"/>
  <c r="V1513" i="1" s="1"/>
  <c r="S1516" i="1"/>
  <c r="U1516" i="1" s="1"/>
  <c r="S1515" i="1"/>
  <c r="U1515" i="1" s="1"/>
  <c r="V1515" i="1" s="1"/>
  <c r="S1514" i="1"/>
  <c r="U1514" i="1" s="1"/>
  <c r="V1514" i="1" s="1"/>
  <c r="S1517" i="1"/>
  <c r="U1517" i="1" s="1"/>
  <c r="V1517" i="1" s="1"/>
  <c r="S1536" i="1"/>
  <c r="U1536" i="1" s="1"/>
  <c r="V1536" i="1" s="1"/>
  <c r="S1538" i="1"/>
  <c r="U1538" i="1" s="1"/>
  <c r="V1538" i="1" s="1"/>
  <c r="S1535" i="1"/>
  <c r="U1535" i="1" s="1"/>
  <c r="V1535" i="1" s="1"/>
  <c r="S1537" i="1"/>
  <c r="U1537" i="1" s="1"/>
  <c r="V1537" i="1" s="1"/>
  <c r="S1532" i="1"/>
  <c r="U1532" i="1" s="1"/>
  <c r="V1532" i="1" s="1"/>
  <c r="S1534" i="1"/>
  <c r="U1534" i="1" s="1"/>
  <c r="V1534" i="1" s="1"/>
  <c r="S1531" i="1"/>
  <c r="U1531" i="1" s="1"/>
  <c r="V1531" i="1" s="1"/>
  <c r="S1530" i="1"/>
  <c r="U1530" i="1" s="1"/>
  <c r="V1530" i="1" s="1"/>
  <c r="S1540" i="1"/>
  <c r="U1540" i="1" s="1"/>
  <c r="V1540" i="1" s="1"/>
  <c r="S1533" i="1"/>
  <c r="U1533" i="1" s="1"/>
  <c r="V1533" i="1" s="1"/>
  <c r="S1539" i="1"/>
  <c r="U1539" i="1" s="1"/>
  <c r="V1539" i="1" s="1"/>
  <c r="S1541" i="1"/>
  <c r="U1541" i="1" s="1"/>
  <c r="V1541" i="1" s="1"/>
  <c r="S1554" i="1"/>
  <c r="U1554" i="1" s="1"/>
  <c r="V1554" i="1" s="1"/>
  <c r="S1558" i="1"/>
  <c r="U1558" i="1" s="1"/>
  <c r="V1558" i="1" s="1"/>
  <c r="S1555" i="1"/>
  <c r="U1555" i="1" s="1"/>
  <c r="V1555" i="1" s="1"/>
  <c r="S1553" i="1"/>
  <c r="U1553" i="1" s="1"/>
  <c r="V1553" i="1" s="1"/>
  <c r="S1556" i="1"/>
  <c r="U1556" i="1" s="1"/>
  <c r="V1556" i="1" s="1"/>
  <c r="S1557" i="1"/>
  <c r="U1557" i="1" s="1"/>
  <c r="V1557" i="1" s="1"/>
  <c r="S1559" i="1"/>
  <c r="U1559" i="1" s="1"/>
  <c r="V1559" i="1" s="1"/>
  <c r="S1560" i="1"/>
  <c r="U1560" i="1" s="1"/>
  <c r="V1560" i="1" s="1"/>
  <c r="S1561" i="1"/>
  <c r="U1561" i="1" s="1"/>
  <c r="V1561" i="1" s="1"/>
  <c r="S1562" i="1"/>
  <c r="U1562" i="1" s="1"/>
  <c r="V1562" i="1" s="1"/>
  <c r="S1387" i="1"/>
  <c r="U1387" i="1" s="1"/>
  <c r="V1387" i="1" s="1"/>
  <c r="S1390" i="1"/>
  <c r="U1390" i="1" s="1"/>
  <c r="V1390" i="1" s="1"/>
  <c r="S1388" i="1"/>
  <c r="U1388" i="1" s="1"/>
  <c r="V1388" i="1" s="1"/>
  <c r="S1391" i="1"/>
  <c r="U1391" i="1" s="1"/>
  <c r="V1391" i="1" s="1"/>
  <c r="S1394" i="1"/>
  <c r="U1394" i="1" s="1"/>
  <c r="V1394" i="1" s="1"/>
  <c r="S1389" i="1"/>
  <c r="U1389" i="1" s="1"/>
  <c r="V1389" i="1" s="1"/>
  <c r="S1395" i="1"/>
  <c r="U1395" i="1" s="1"/>
  <c r="V1395" i="1" s="1"/>
  <c r="S1396" i="1"/>
  <c r="U1396" i="1" s="1"/>
  <c r="V1396" i="1" s="1"/>
  <c r="S1392" i="1"/>
  <c r="U1392" i="1" s="1"/>
  <c r="V1392" i="1" s="1"/>
  <c r="S1398" i="1"/>
  <c r="U1398" i="1" s="1"/>
  <c r="V1398" i="1" s="1"/>
  <c r="S1393" i="1"/>
  <c r="U1393" i="1" s="1"/>
  <c r="V1393" i="1" s="1"/>
  <c r="S1397" i="1"/>
  <c r="U1397" i="1" s="1"/>
  <c r="V1397" i="1" s="1"/>
  <c r="S1399" i="1"/>
  <c r="U1399" i="1" s="1"/>
  <c r="V1399" i="1" s="1"/>
  <c r="S1400" i="1"/>
  <c r="U1400" i="1" s="1"/>
  <c r="V1400" i="1" s="1"/>
  <c r="S1401" i="1"/>
  <c r="U1401" i="1" s="1"/>
  <c r="V1401" i="1" s="1"/>
  <c r="S1402" i="1"/>
  <c r="U1402" i="1" s="1"/>
  <c r="V1402" i="1" s="1"/>
  <c r="S1405" i="1"/>
  <c r="U1405" i="1" s="1"/>
  <c r="V1405" i="1" s="1"/>
  <c r="S1403" i="1"/>
  <c r="S1404" i="1"/>
  <c r="U1404" i="1" s="1"/>
  <c r="V1404" i="1" s="1"/>
  <c r="S1406" i="1"/>
  <c r="S1408" i="1"/>
  <c r="U1408" i="1" s="1"/>
  <c r="V1408" i="1" s="1"/>
  <c r="S1407" i="1"/>
  <c r="U1407" i="1" s="1"/>
  <c r="S1409" i="1"/>
  <c r="U1409" i="1" s="1"/>
  <c r="V1409" i="1" s="1"/>
  <c r="S1410" i="1"/>
  <c r="U1410" i="1" s="1"/>
  <c r="V1410" i="1" s="1"/>
  <c r="S1411" i="1"/>
  <c r="U1411" i="1" s="1"/>
  <c r="S1413" i="1"/>
  <c r="U1413" i="1" s="1"/>
  <c r="S1412" i="1"/>
  <c r="U1412" i="1" s="1"/>
  <c r="S1414" i="1"/>
  <c r="U1414" i="1" s="1"/>
  <c r="V1414" i="1" s="1"/>
  <c r="S1430" i="1"/>
  <c r="U1430" i="1" s="1"/>
  <c r="V1430" i="1" s="1"/>
  <c r="S1431" i="1"/>
  <c r="U1431" i="1" s="1"/>
  <c r="V1431" i="1" s="1"/>
  <c r="S1433" i="1"/>
  <c r="U1433" i="1" s="1"/>
  <c r="V1433" i="1" s="1"/>
  <c r="S1435" i="1"/>
  <c r="U1435" i="1" s="1"/>
  <c r="V1435" i="1" s="1"/>
  <c r="S1436" i="1"/>
  <c r="S1437" i="1"/>
  <c r="S1434" i="1"/>
  <c r="S1432" i="1"/>
  <c r="S1438" i="1"/>
  <c r="U1438" i="1" s="1"/>
  <c r="V1438" i="1" s="1"/>
  <c r="S1441" i="1"/>
  <c r="U1441" i="1" s="1"/>
  <c r="S1439" i="1"/>
  <c r="U1439" i="1" s="1"/>
  <c r="V1439" i="1" s="1"/>
  <c r="S1442" i="1"/>
  <c r="U1442" i="1" s="1"/>
  <c r="V1442" i="1" s="1"/>
  <c r="S1440" i="1"/>
  <c r="U1440" i="1" s="1"/>
  <c r="V1440" i="1" s="1"/>
  <c r="S1443" i="1"/>
  <c r="U1443" i="1" s="1"/>
  <c r="S1461" i="1"/>
  <c r="U1461" i="1" s="1"/>
  <c r="S1460" i="1"/>
  <c r="U1460" i="1" s="1"/>
  <c r="V1460" i="1" s="1"/>
  <c r="S1464" i="1"/>
  <c r="U1464" i="1" s="1"/>
  <c r="V1464" i="1" s="1"/>
  <c r="S1465" i="1"/>
  <c r="U1465" i="1" s="1"/>
  <c r="V1465" i="1" s="1"/>
  <c r="S1462" i="1"/>
  <c r="U1462" i="1" s="1"/>
  <c r="V1462" i="1" s="1"/>
  <c r="S1459" i="1"/>
  <c r="U1459" i="1" s="1"/>
  <c r="V1459" i="1" s="1"/>
  <c r="S1463" i="1"/>
  <c r="U1463" i="1" s="1"/>
  <c r="V1463" i="1" s="1"/>
  <c r="S1466" i="1"/>
  <c r="S1468" i="1"/>
  <c r="U1468" i="1" s="1"/>
  <c r="V1468" i="1" s="1"/>
  <c r="S1471" i="1"/>
  <c r="S1467" i="1"/>
  <c r="U1467" i="1" s="1"/>
  <c r="V1467" i="1" s="1"/>
  <c r="S1472" i="1"/>
  <c r="U1472" i="1" s="1"/>
  <c r="S1469" i="1"/>
  <c r="U1469" i="1" s="1"/>
  <c r="V1469" i="1" s="1"/>
  <c r="S1470" i="1"/>
  <c r="U1470" i="1" s="1"/>
  <c r="V1470" i="1" s="1"/>
  <c r="S1490" i="1"/>
  <c r="U1490" i="1" s="1"/>
  <c r="V1490" i="1" s="1"/>
  <c r="S1491" i="1"/>
  <c r="U1491" i="1" s="1"/>
  <c r="V1491" i="1" s="1"/>
  <c r="S1489" i="1"/>
  <c r="U1489" i="1" s="1"/>
  <c r="V1489" i="1" s="1"/>
  <c r="S1492" i="1"/>
  <c r="U1492" i="1" s="1"/>
  <c r="V1492" i="1" s="1"/>
  <c r="S1488" i="1"/>
  <c r="U1488" i="1" s="1"/>
  <c r="V1488" i="1" s="1"/>
  <c r="S1493" i="1"/>
  <c r="U1493" i="1" s="1"/>
  <c r="V1493" i="1" s="1"/>
  <c r="S1494" i="1"/>
  <c r="U1494" i="1" s="1"/>
  <c r="V1494" i="1" s="1"/>
  <c r="S1499" i="1"/>
  <c r="U1499" i="1" s="1"/>
  <c r="V1499" i="1" s="1"/>
  <c r="S1496" i="1"/>
  <c r="U1496" i="1" s="1"/>
  <c r="V1496" i="1" s="1"/>
  <c r="S1497" i="1"/>
  <c r="U1497" i="1" s="1"/>
  <c r="V1497" i="1" s="1"/>
  <c r="S1498" i="1"/>
  <c r="S1495" i="1"/>
  <c r="S1501" i="1"/>
  <c r="U1501" i="1" s="1"/>
  <c r="V1501" i="1" s="1"/>
  <c r="S1500" i="1"/>
  <c r="U1500" i="1" s="1"/>
  <c r="S1502" i="1"/>
  <c r="U1502" i="1" s="1"/>
  <c r="V1502" i="1" s="1"/>
  <c r="S1523" i="1"/>
  <c r="U1523" i="1" s="1"/>
  <c r="V1523" i="1" s="1"/>
  <c r="S1524" i="1"/>
  <c r="U1524" i="1" s="1"/>
  <c r="S1518" i="1"/>
  <c r="U1518" i="1" s="1"/>
  <c r="S1522" i="1"/>
  <c r="U1522" i="1" s="1"/>
  <c r="S1520" i="1"/>
  <c r="U1520" i="1" s="1"/>
  <c r="V1520" i="1" s="1"/>
  <c r="S1521" i="1"/>
  <c r="U1521" i="1" s="1"/>
  <c r="V1521" i="1" s="1"/>
  <c r="S1526" i="1"/>
  <c r="U1526" i="1" s="1"/>
  <c r="V1526" i="1" s="1"/>
  <c r="S1519" i="1"/>
  <c r="U1519" i="1" s="1"/>
  <c r="V1519" i="1" s="1"/>
  <c r="S1525" i="1"/>
  <c r="U1525" i="1" s="1"/>
  <c r="V1525" i="1" s="1"/>
  <c r="S1527" i="1"/>
  <c r="U1527" i="1" s="1"/>
  <c r="V1527" i="1" s="1"/>
  <c r="S1529" i="1"/>
  <c r="S1528" i="1"/>
  <c r="U1528" i="1" s="1"/>
  <c r="V1528" i="1" s="1"/>
  <c r="S1544" i="1"/>
  <c r="S1542" i="1"/>
  <c r="U1542" i="1" s="1"/>
  <c r="V1542" i="1" s="1"/>
  <c r="S1543" i="1"/>
  <c r="U1543" i="1" s="1"/>
  <c r="S1547" i="1"/>
  <c r="U1547" i="1" s="1"/>
  <c r="V1547" i="1" s="1"/>
  <c r="S1545" i="1"/>
  <c r="U1545" i="1" s="1"/>
  <c r="V1545" i="1" s="1"/>
  <c r="S1546" i="1"/>
  <c r="U1546" i="1" s="1"/>
  <c r="S1549" i="1"/>
  <c r="U1549" i="1" s="1"/>
  <c r="S1548" i="1"/>
  <c r="U1548" i="1" s="1"/>
  <c r="S1550" i="1"/>
  <c r="U1550" i="1" s="1"/>
  <c r="V1550" i="1" s="1"/>
  <c r="S1552" i="1"/>
  <c r="U1552" i="1" s="1"/>
  <c r="V1552" i="1" s="1"/>
  <c r="S1551" i="1"/>
  <c r="U1551" i="1" s="1"/>
  <c r="V1551" i="1" s="1"/>
  <c r="S1373" i="1"/>
  <c r="U1373" i="1" s="1"/>
  <c r="V1373" i="1" s="1"/>
  <c r="S1376" i="1"/>
  <c r="S1382" i="1"/>
  <c r="S1380" i="1"/>
  <c r="S1377" i="1"/>
  <c r="S1381" i="1"/>
  <c r="S1375" i="1"/>
  <c r="U1375" i="1" s="1"/>
  <c r="V1375" i="1" s="1"/>
  <c r="S1374" i="1"/>
  <c r="U1374" i="1" s="1"/>
  <c r="S1378" i="1"/>
  <c r="U1378" i="1" s="1"/>
  <c r="V1378" i="1" s="1"/>
  <c r="S1379" i="1"/>
  <c r="U1379" i="1" s="1"/>
  <c r="V1379" i="1" s="1"/>
  <c r="S1385" i="1"/>
  <c r="U1385" i="1" s="1"/>
  <c r="S1383" i="1"/>
  <c r="U1383" i="1" s="1"/>
  <c r="V1383" i="1" s="1"/>
  <c r="S1384" i="1"/>
  <c r="U1384" i="1" s="1"/>
  <c r="S1386" i="1"/>
  <c r="U1386" i="1" s="1"/>
  <c r="V1386" i="1" s="1"/>
  <c r="X1373" i="1"/>
  <c r="X1376" i="1"/>
  <c r="X1382" i="1"/>
  <c r="X1380" i="1"/>
  <c r="X1377" i="1"/>
  <c r="X1381" i="1"/>
  <c r="X1375" i="1"/>
  <c r="X1374" i="1"/>
  <c r="X1378" i="1"/>
  <c r="X1379" i="1"/>
  <c r="X1385" i="1"/>
  <c r="X1383" i="1"/>
  <c r="X1384" i="1"/>
  <c r="X1386" i="1"/>
  <c r="X1544" i="1"/>
  <c r="X1542" i="1"/>
  <c r="X1543" i="1"/>
  <c r="X1547" i="1"/>
  <c r="X1545" i="1"/>
  <c r="X1546" i="1"/>
  <c r="X1549" i="1"/>
  <c r="X1548" i="1"/>
  <c r="X1550" i="1"/>
  <c r="X1552" i="1"/>
  <c r="X1551" i="1"/>
  <c r="X1523" i="1"/>
  <c r="X1524" i="1"/>
  <c r="X1518" i="1"/>
  <c r="X1522" i="1"/>
  <c r="X1520" i="1"/>
  <c r="X1521" i="1"/>
  <c r="X1526" i="1"/>
  <c r="X1519" i="1"/>
  <c r="X1525" i="1"/>
  <c r="X1527" i="1"/>
  <c r="X1529" i="1"/>
  <c r="X1528" i="1"/>
  <c r="X1490" i="1"/>
  <c r="X1491" i="1"/>
  <c r="X1489" i="1"/>
  <c r="X1492" i="1"/>
  <c r="X1488" i="1"/>
  <c r="X1493" i="1"/>
  <c r="X1494" i="1"/>
  <c r="X1499" i="1"/>
  <c r="X1496" i="1"/>
  <c r="X1497" i="1"/>
  <c r="X1498" i="1"/>
  <c r="X1495" i="1"/>
  <c r="X1501" i="1"/>
  <c r="X1500" i="1"/>
  <c r="X1502" i="1"/>
  <c r="X1461" i="1"/>
  <c r="X1460" i="1"/>
  <c r="X1464" i="1"/>
  <c r="X1465" i="1"/>
  <c r="X1462" i="1"/>
  <c r="X1459" i="1"/>
  <c r="X1463" i="1"/>
  <c r="X1466" i="1"/>
  <c r="X1468" i="1"/>
  <c r="X1471" i="1"/>
  <c r="X1467" i="1"/>
  <c r="X1472" i="1"/>
  <c r="X1469" i="1"/>
  <c r="X1470" i="1"/>
  <c r="X1430" i="1"/>
  <c r="X1431" i="1"/>
  <c r="X1433" i="1"/>
  <c r="X1435" i="1"/>
  <c r="X1436" i="1"/>
  <c r="X1437" i="1"/>
  <c r="X1434" i="1"/>
  <c r="X1432" i="1"/>
  <c r="X1438" i="1"/>
  <c r="X1441" i="1"/>
  <c r="X1439" i="1"/>
  <c r="X1442" i="1"/>
  <c r="X1440" i="1"/>
  <c r="X1443" i="1"/>
  <c r="X1401" i="1"/>
  <c r="X1402" i="1"/>
  <c r="X1405" i="1"/>
  <c r="X1403" i="1"/>
  <c r="X1404" i="1"/>
  <c r="X1406" i="1"/>
  <c r="X1408" i="1"/>
  <c r="X1407" i="1"/>
  <c r="X1409" i="1"/>
  <c r="X1410" i="1"/>
  <c r="X1411" i="1"/>
  <c r="X1413" i="1"/>
  <c r="X1412" i="1"/>
  <c r="X1414" i="1"/>
  <c r="X1387" i="1"/>
  <c r="X1390" i="1"/>
  <c r="X1388" i="1"/>
  <c r="X1391" i="1"/>
  <c r="X1394" i="1"/>
  <c r="X1389" i="1"/>
  <c r="X1395" i="1"/>
  <c r="X1396" i="1"/>
  <c r="X1392" i="1"/>
  <c r="X1398" i="1"/>
  <c r="X1393" i="1"/>
  <c r="X1397" i="1"/>
  <c r="X1399" i="1"/>
  <c r="X1400" i="1"/>
  <c r="X1554" i="1"/>
  <c r="X1558" i="1"/>
  <c r="X1555" i="1"/>
  <c r="X1553" i="1"/>
  <c r="X1556" i="1"/>
  <c r="X1557" i="1"/>
  <c r="X1559" i="1"/>
  <c r="X1560" i="1"/>
  <c r="X1561" i="1"/>
  <c r="X1562" i="1"/>
  <c r="X1536" i="1"/>
  <c r="X1538" i="1"/>
  <c r="X1535" i="1"/>
  <c r="X1537" i="1"/>
  <c r="X1532" i="1"/>
  <c r="X1534" i="1"/>
  <c r="X1531" i="1"/>
  <c r="X1530" i="1"/>
  <c r="X1540" i="1"/>
  <c r="X1533" i="1"/>
  <c r="X1539" i="1"/>
  <c r="X1541" i="1"/>
  <c r="X1507" i="1"/>
  <c r="X1506" i="1"/>
  <c r="X1505" i="1"/>
  <c r="X1503" i="1"/>
  <c r="X1510" i="1"/>
  <c r="X1504" i="1"/>
  <c r="X1508" i="1"/>
  <c r="X1509" i="1"/>
  <c r="X1511" i="1"/>
  <c r="X1512" i="1"/>
  <c r="X1513" i="1"/>
  <c r="X1516" i="1"/>
  <c r="X1515" i="1"/>
  <c r="X1514" i="1"/>
  <c r="X1517" i="1"/>
  <c r="X1478" i="1"/>
  <c r="X1480" i="1"/>
  <c r="X1479" i="1"/>
  <c r="X1477" i="1"/>
  <c r="X1474" i="1"/>
  <c r="X1473" i="1"/>
  <c r="X1476" i="1"/>
  <c r="X1482" i="1"/>
  <c r="X1475" i="1"/>
  <c r="X1481" i="1"/>
  <c r="X1484" i="1"/>
  <c r="X1483" i="1"/>
  <c r="X1485" i="1"/>
  <c r="X1486" i="1"/>
  <c r="X1487" i="1"/>
  <c r="X1445" i="1"/>
  <c r="X1447" i="1"/>
  <c r="X1452" i="1"/>
  <c r="X1444" i="1"/>
  <c r="X1451" i="1"/>
  <c r="X1446" i="1"/>
  <c r="X1450" i="1"/>
  <c r="X1448" i="1"/>
  <c r="X1449" i="1"/>
  <c r="X1455" i="1"/>
  <c r="X1453" i="1"/>
  <c r="X1454" i="1"/>
  <c r="X1456" i="1"/>
  <c r="X1457" i="1"/>
  <c r="X1458" i="1"/>
  <c r="X1415" i="1"/>
  <c r="X1416" i="1"/>
  <c r="X1417" i="1"/>
  <c r="X1419" i="1"/>
  <c r="X1418" i="1"/>
  <c r="X1420" i="1"/>
  <c r="X1421" i="1"/>
  <c r="X1422" i="1"/>
  <c r="X1423" i="1"/>
  <c r="X1424" i="1"/>
  <c r="X1425" i="1"/>
  <c r="X1426" i="1"/>
  <c r="X1427" i="1"/>
  <c r="X1428" i="1"/>
  <c r="X1429" i="1"/>
  <c r="X63" i="1"/>
  <c r="X66" i="1"/>
  <c r="X65" i="1"/>
  <c r="X68" i="1"/>
  <c r="X64" i="1"/>
  <c r="X71" i="1"/>
  <c r="X70" i="1"/>
  <c r="X67" i="1"/>
  <c r="X75" i="1"/>
  <c r="X69" i="1"/>
  <c r="X72" i="1"/>
  <c r="X73" i="1"/>
  <c r="X76" i="1"/>
  <c r="X77" i="1"/>
  <c r="X74" i="1"/>
  <c r="X51" i="1"/>
  <c r="X56" i="1"/>
  <c r="X54" i="1"/>
  <c r="X53" i="1"/>
  <c r="X52" i="1"/>
  <c r="X58" i="1"/>
  <c r="X57" i="1"/>
  <c r="X55" i="1"/>
  <c r="X60" i="1"/>
  <c r="X59" i="1"/>
  <c r="X61" i="1"/>
  <c r="X62" i="1"/>
  <c r="X1002" i="1"/>
  <c r="X1003" i="1"/>
  <c r="X1006" i="1"/>
  <c r="X1004" i="1"/>
  <c r="X1008" i="1"/>
  <c r="X1007" i="1"/>
  <c r="X1010" i="1"/>
  <c r="X1005" i="1"/>
  <c r="X1009" i="1"/>
  <c r="X1011" i="1"/>
  <c r="X999" i="1"/>
  <c r="X1001" i="1"/>
  <c r="X997" i="1"/>
  <c r="X995" i="1"/>
  <c r="X994" i="1"/>
  <c r="X992" i="1"/>
  <c r="X998" i="1"/>
  <c r="X996" i="1"/>
  <c r="X991" i="1"/>
  <c r="X993" i="1"/>
  <c r="X1000" i="1"/>
  <c r="X799" i="1"/>
  <c r="X797" i="1"/>
  <c r="X800" i="1"/>
  <c r="X796" i="1"/>
  <c r="X802" i="1"/>
  <c r="X801" i="1"/>
  <c r="X798" i="1"/>
  <c r="X808" i="1"/>
  <c r="X806" i="1"/>
  <c r="X805" i="1"/>
  <c r="X803" i="1"/>
  <c r="X804" i="1"/>
  <c r="X809" i="1"/>
  <c r="X810" i="1"/>
  <c r="X807" i="1"/>
  <c r="X811" i="1"/>
  <c r="U699" i="1"/>
  <c r="V699" i="1" s="1"/>
  <c r="U703" i="1"/>
  <c r="V703" i="1" s="1"/>
  <c r="U698" i="1"/>
  <c r="V698" i="1" s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795" i="1"/>
  <c r="X793" i="1"/>
  <c r="X794" i="1"/>
  <c r="X786" i="1"/>
  <c r="X792" i="1"/>
  <c r="X790" i="1"/>
  <c r="X787" i="1"/>
  <c r="X789" i="1"/>
  <c r="X785" i="1"/>
  <c r="X791" i="1"/>
  <c r="X783" i="1"/>
  <c r="X782" i="1"/>
  <c r="X784" i="1"/>
  <c r="X788" i="1"/>
  <c r="X556" i="1"/>
  <c r="X557" i="1"/>
  <c r="X559" i="1"/>
  <c r="X560" i="1"/>
  <c r="X564" i="1"/>
  <c r="X558" i="1"/>
  <c r="X567" i="1"/>
  <c r="X568" i="1"/>
  <c r="X569" i="1"/>
  <c r="X565" i="1"/>
  <c r="X561" i="1"/>
  <c r="X563" i="1"/>
  <c r="X566" i="1"/>
  <c r="X562" i="1"/>
  <c r="X223" i="1"/>
  <c r="X224" i="1"/>
  <c r="X231" i="1"/>
  <c r="X237" i="1"/>
  <c r="X236" i="1"/>
  <c r="X226" i="1"/>
  <c r="X228" i="1"/>
  <c r="X225" i="1"/>
  <c r="X227" i="1"/>
  <c r="X229" i="1"/>
  <c r="X232" i="1"/>
  <c r="X233" i="1"/>
  <c r="X230" i="1"/>
  <c r="X234" i="1"/>
  <c r="X235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17" i="1"/>
  <c r="X516" i="1"/>
  <c r="X515" i="1"/>
  <c r="X518" i="1"/>
  <c r="X526" i="1"/>
  <c r="X519" i="1"/>
  <c r="X521" i="1"/>
  <c r="X520" i="1"/>
  <c r="X522" i="1"/>
  <c r="X524" i="1"/>
  <c r="X525" i="1"/>
  <c r="X523" i="1"/>
  <c r="X710" i="1"/>
  <c r="X711" i="1"/>
  <c r="X715" i="1"/>
  <c r="X725" i="1"/>
  <c r="X717" i="1"/>
  <c r="X713" i="1"/>
  <c r="X718" i="1"/>
  <c r="X722" i="1"/>
  <c r="X712" i="1"/>
  <c r="X719" i="1"/>
  <c r="X714" i="1"/>
  <c r="X721" i="1"/>
  <c r="X716" i="1"/>
  <c r="X724" i="1"/>
  <c r="X723" i="1"/>
  <c r="X720" i="1"/>
  <c r="X697" i="1"/>
  <c r="X696" i="1"/>
  <c r="X695" i="1"/>
  <c r="X699" i="1"/>
  <c r="X703" i="1"/>
  <c r="X698" i="1"/>
  <c r="X700" i="1"/>
  <c r="X705" i="1"/>
  <c r="X704" i="1"/>
  <c r="X707" i="1"/>
  <c r="X702" i="1"/>
  <c r="X701" i="1"/>
  <c r="X706" i="1"/>
  <c r="X708" i="1"/>
  <c r="X709" i="1"/>
  <c r="X144" i="1"/>
  <c r="X156" i="1"/>
  <c r="X150" i="1"/>
  <c r="X149" i="1"/>
  <c r="X145" i="1"/>
  <c r="X148" i="1"/>
  <c r="X151" i="1"/>
  <c r="X155" i="1"/>
  <c r="X146" i="1"/>
  <c r="X152" i="1"/>
  <c r="X153" i="1"/>
  <c r="X147" i="1"/>
  <c r="X154" i="1"/>
  <c r="S255" i="1"/>
  <c r="S253" i="1"/>
  <c r="S252" i="1"/>
  <c r="S257" i="1"/>
  <c r="S254" i="1"/>
  <c r="S260" i="1"/>
  <c r="S256" i="1"/>
  <c r="S258" i="1"/>
  <c r="S261" i="1"/>
  <c r="S263" i="1"/>
  <c r="S259" i="1"/>
  <c r="S264" i="1"/>
  <c r="U264" i="1" s="1"/>
  <c r="V264" i="1" s="1"/>
  <c r="S265" i="1"/>
  <c r="S266" i="1"/>
  <c r="S268" i="1"/>
  <c r="S267" i="1"/>
  <c r="S270" i="1"/>
  <c r="S269" i="1"/>
  <c r="S273" i="1"/>
  <c r="S271" i="1"/>
  <c r="S272" i="1"/>
  <c r="S274" i="1"/>
  <c r="S276" i="1"/>
  <c r="S78" i="1"/>
  <c r="S80" i="1"/>
  <c r="S81" i="1"/>
  <c r="S88" i="1"/>
  <c r="S83" i="1"/>
  <c r="S85" i="1"/>
  <c r="S86" i="1"/>
  <c r="S79" i="1"/>
  <c r="S89" i="1"/>
  <c r="S84" i="1"/>
  <c r="S90" i="1"/>
  <c r="S87" i="1"/>
  <c r="S238" i="1"/>
  <c r="S239" i="1"/>
  <c r="S240" i="1"/>
  <c r="S241" i="1"/>
  <c r="S242" i="1"/>
  <c r="S245" i="1"/>
  <c r="S246" i="1"/>
  <c r="S247" i="1"/>
  <c r="S243" i="1"/>
  <c r="S250" i="1"/>
  <c r="S248" i="1"/>
  <c r="S244" i="1"/>
  <c r="S825" i="1"/>
  <c r="U825" i="1" s="1"/>
  <c r="V825" i="1" s="1"/>
  <c r="S826" i="1"/>
  <c r="U826" i="1" s="1"/>
  <c r="V826" i="1" s="1"/>
  <c r="S828" i="1"/>
  <c r="S829" i="1"/>
  <c r="S830" i="1"/>
  <c r="S831" i="1"/>
  <c r="S832" i="1"/>
  <c r="S833" i="1"/>
  <c r="S812" i="1"/>
  <c r="S815" i="1"/>
  <c r="S816" i="1"/>
  <c r="S818" i="1"/>
  <c r="S820" i="1"/>
  <c r="S822" i="1"/>
  <c r="S423" i="1"/>
  <c r="S432" i="1"/>
  <c r="S431" i="1"/>
  <c r="S429" i="1"/>
  <c r="S425" i="1"/>
  <c r="S424" i="1"/>
  <c r="S428" i="1"/>
  <c r="S426" i="1"/>
  <c r="S427" i="1"/>
  <c r="S430" i="1"/>
  <c r="S434" i="1"/>
  <c r="S433" i="1"/>
  <c r="S1040" i="1"/>
  <c r="U1040" i="1" s="1"/>
  <c r="V1040" i="1" s="1"/>
  <c r="S1043" i="1"/>
  <c r="U1043" i="1" s="1"/>
  <c r="V1043" i="1" s="1"/>
  <c r="S1039" i="1"/>
  <c r="U1039" i="1" s="1"/>
  <c r="V1039" i="1" s="1"/>
  <c r="S1038" i="1"/>
  <c r="U1038" i="1" s="1"/>
  <c r="V1038" i="1" s="1"/>
  <c r="S1041" i="1"/>
  <c r="U1041" i="1" s="1"/>
  <c r="V1041" i="1" s="1"/>
  <c r="S1044" i="1"/>
  <c r="U1044" i="1" s="1"/>
  <c r="V1044" i="1" s="1"/>
  <c r="S1042" i="1"/>
  <c r="U1042" i="1" s="1"/>
  <c r="V1042" i="1" s="1"/>
  <c r="S1045" i="1"/>
  <c r="U1045" i="1" s="1"/>
  <c r="V1045" i="1" s="1"/>
  <c r="S1048" i="1"/>
  <c r="U1048" i="1" s="1"/>
  <c r="V1048" i="1" s="1"/>
  <c r="S1051" i="1"/>
  <c r="U1051" i="1" s="1"/>
  <c r="V1051" i="1" s="1"/>
  <c r="S1046" i="1"/>
  <c r="U1046" i="1" s="1"/>
  <c r="V1046" i="1" s="1"/>
  <c r="S1052" i="1"/>
  <c r="U1052" i="1" s="1"/>
  <c r="V1052" i="1" s="1"/>
  <c r="S1050" i="1"/>
  <c r="U1050" i="1" s="1"/>
  <c r="V1050" i="1" s="1"/>
  <c r="S1047" i="1"/>
  <c r="U1047" i="1" s="1"/>
  <c r="V1047" i="1" s="1"/>
  <c r="S1049" i="1"/>
  <c r="U1049" i="1" s="1"/>
  <c r="V1049" i="1" s="1"/>
  <c r="S1059" i="1"/>
  <c r="S1053" i="1"/>
  <c r="U1053" i="1" s="1"/>
  <c r="V1053" i="1" s="1"/>
  <c r="S1061" i="1"/>
  <c r="S1054" i="1"/>
  <c r="U1054" i="1" s="1"/>
  <c r="V1054" i="1" s="1"/>
  <c r="S1058" i="1"/>
  <c r="S1056" i="1"/>
  <c r="S1057" i="1"/>
  <c r="S1055" i="1"/>
  <c r="U1055" i="1" s="1"/>
  <c r="V1055" i="1" s="1"/>
  <c r="S1060" i="1"/>
  <c r="S1062" i="1"/>
  <c r="S1063" i="1"/>
  <c r="S1064" i="1"/>
  <c r="S1065" i="1"/>
  <c r="S1077" i="1"/>
  <c r="S1078" i="1"/>
  <c r="S1086" i="1"/>
  <c r="S1080" i="1"/>
  <c r="S1079" i="1"/>
  <c r="S1083" i="1"/>
  <c r="S1081" i="1"/>
  <c r="S1085" i="1"/>
  <c r="S1084" i="1"/>
  <c r="S1082" i="1"/>
  <c r="S1089" i="1"/>
  <c r="S1087" i="1"/>
  <c r="S1088" i="1"/>
  <c r="S1066" i="1"/>
  <c r="U1066" i="1" s="1"/>
  <c r="V1066" i="1" s="1"/>
  <c r="S1067" i="1"/>
  <c r="U1067" i="1" s="1"/>
  <c r="V1067" i="1" s="1"/>
  <c r="S1070" i="1"/>
  <c r="U1070" i="1" s="1"/>
  <c r="V1070" i="1" s="1"/>
  <c r="S1068" i="1"/>
  <c r="U1068" i="1" s="1"/>
  <c r="V1068" i="1" s="1"/>
  <c r="S1071" i="1"/>
  <c r="U1071" i="1" s="1"/>
  <c r="V1071" i="1" s="1"/>
  <c r="S1074" i="1"/>
  <c r="U1074" i="1" s="1"/>
  <c r="V1074" i="1" s="1"/>
  <c r="S1075" i="1"/>
  <c r="U1075" i="1" s="1"/>
  <c r="V1075" i="1" s="1"/>
  <c r="S1012" i="1"/>
  <c r="U1012" i="1" s="1"/>
  <c r="V1012" i="1" s="1"/>
  <c r="S1014" i="1"/>
  <c r="U1014" i="1" s="1"/>
  <c r="V1014" i="1" s="1"/>
  <c r="S1021" i="1"/>
  <c r="U1021" i="1" s="1"/>
  <c r="V1021" i="1" s="1"/>
  <c r="S1019" i="1"/>
  <c r="U1019" i="1" s="1"/>
  <c r="V1019" i="1" s="1"/>
  <c r="S1022" i="1"/>
  <c r="U1022" i="1" s="1"/>
  <c r="V1022" i="1" s="1"/>
  <c r="S1015" i="1"/>
  <c r="U1015" i="1" s="1"/>
  <c r="V1015" i="1" s="1"/>
  <c r="S1016" i="1"/>
  <c r="U1016" i="1" s="1"/>
  <c r="V1016" i="1" s="1"/>
  <c r="S1018" i="1"/>
  <c r="U1018" i="1" s="1"/>
  <c r="V1018" i="1" s="1"/>
  <c r="S1017" i="1"/>
  <c r="U1017" i="1" s="1"/>
  <c r="V1017" i="1" s="1"/>
  <c r="S1013" i="1"/>
  <c r="U1013" i="1" s="1"/>
  <c r="V1013" i="1" s="1"/>
  <c r="S1020" i="1"/>
  <c r="U1020" i="1" s="1"/>
  <c r="V1020" i="1" s="1"/>
  <c r="S1023" i="1"/>
  <c r="U1023" i="1" s="1"/>
  <c r="V1023" i="1" s="1"/>
  <c r="S1024" i="1"/>
  <c r="U1024" i="1" s="1"/>
  <c r="V1024" i="1" s="1"/>
  <c r="S1025" i="1"/>
  <c r="U1025" i="1" s="1"/>
  <c r="V1025" i="1" s="1"/>
  <c r="S1028" i="1"/>
  <c r="U1028" i="1" s="1"/>
  <c r="V1028" i="1" s="1"/>
  <c r="S1026" i="1"/>
  <c r="U1026" i="1" s="1"/>
  <c r="V1026" i="1" s="1"/>
  <c r="S1029" i="1"/>
  <c r="U1029" i="1" s="1"/>
  <c r="V1029" i="1" s="1"/>
  <c r="S1031" i="1"/>
  <c r="U1031" i="1" s="1"/>
  <c r="V1031" i="1" s="1"/>
  <c r="S1027" i="1"/>
  <c r="U1027" i="1" s="1"/>
  <c r="V1027" i="1" s="1"/>
  <c r="S1034" i="1"/>
  <c r="U1034" i="1" s="1"/>
  <c r="V1034" i="1" s="1"/>
  <c r="S1033" i="1"/>
  <c r="U1033" i="1" s="1"/>
  <c r="V1033" i="1" s="1"/>
  <c r="S1030" i="1"/>
  <c r="U1030" i="1" s="1"/>
  <c r="V1030" i="1" s="1"/>
  <c r="S1035" i="1"/>
  <c r="U1035" i="1" s="1"/>
  <c r="V1035" i="1" s="1"/>
  <c r="S1032" i="1"/>
  <c r="U1032" i="1" s="1"/>
  <c r="V1032" i="1" s="1"/>
  <c r="S1037" i="1"/>
  <c r="U1037" i="1" s="1"/>
  <c r="V1037" i="1" s="1"/>
  <c r="S1036" i="1"/>
  <c r="U1036" i="1" s="1"/>
  <c r="V1036" i="1" s="1"/>
  <c r="S157" i="1"/>
  <c r="S158" i="1"/>
  <c r="S161" i="1"/>
  <c r="S164" i="1"/>
  <c r="S166" i="1"/>
  <c r="S167" i="1"/>
  <c r="S171" i="1"/>
  <c r="S169" i="1"/>
  <c r="S168" i="1"/>
  <c r="S173" i="1"/>
  <c r="S174" i="1"/>
  <c r="S178" i="1"/>
  <c r="S175" i="1"/>
  <c r="S170" i="1"/>
  <c r="S177" i="1"/>
  <c r="S172" i="1"/>
  <c r="S176" i="1"/>
  <c r="S179" i="1"/>
  <c r="S305" i="1"/>
  <c r="S311" i="1"/>
  <c r="S306" i="1"/>
  <c r="S307" i="1"/>
  <c r="S310" i="1"/>
  <c r="S308" i="1"/>
  <c r="S309" i="1"/>
  <c r="S312" i="1"/>
  <c r="S313" i="1"/>
  <c r="S314" i="1"/>
  <c r="S316" i="1"/>
  <c r="S315" i="1"/>
  <c r="S297" i="1"/>
  <c r="S289" i="1"/>
  <c r="U289" i="1" s="1"/>
  <c r="V289" i="1" s="1"/>
  <c r="S291" i="1"/>
  <c r="S294" i="1"/>
  <c r="S296" i="1"/>
  <c r="S299" i="1"/>
  <c r="S298" i="1"/>
  <c r="S295" i="1"/>
  <c r="S300" i="1"/>
  <c r="S301" i="1"/>
  <c r="S302" i="1"/>
  <c r="S304" i="1"/>
  <c r="S284" i="1"/>
  <c r="S279" i="1"/>
  <c r="S283" i="1"/>
  <c r="S277" i="1"/>
  <c r="S278" i="1"/>
  <c r="S287" i="1"/>
  <c r="S282" i="1"/>
  <c r="S281" i="1"/>
  <c r="S280" i="1"/>
  <c r="S285" i="1"/>
  <c r="S286" i="1"/>
  <c r="S288" i="1"/>
  <c r="S3" i="1"/>
  <c r="S6" i="1"/>
  <c r="S5" i="1"/>
  <c r="S7" i="1"/>
  <c r="S2" i="1"/>
  <c r="S4" i="1"/>
  <c r="S10" i="1"/>
  <c r="S8" i="1"/>
  <c r="S9" i="1"/>
  <c r="S11" i="1"/>
  <c r="S12" i="1"/>
  <c r="S13" i="1"/>
  <c r="S924" i="1"/>
  <c r="S925" i="1"/>
  <c r="S926" i="1"/>
  <c r="S927" i="1"/>
  <c r="S928" i="1"/>
  <c r="S929" i="1"/>
  <c r="S930" i="1"/>
  <c r="S931" i="1"/>
  <c r="S932" i="1"/>
  <c r="S933" i="1"/>
  <c r="S935" i="1"/>
  <c r="U935" i="1" s="1"/>
  <c r="V935" i="1" s="1"/>
  <c r="S934" i="1"/>
  <c r="U934" i="1" s="1"/>
  <c r="V934" i="1" s="1"/>
  <c r="S936" i="1"/>
  <c r="U936" i="1" s="1"/>
  <c r="V936" i="1" s="1"/>
  <c r="S937" i="1"/>
  <c r="S940" i="1"/>
  <c r="S941" i="1"/>
  <c r="S938" i="1"/>
  <c r="S939" i="1"/>
  <c r="S942" i="1"/>
  <c r="S91" i="1"/>
  <c r="U91" i="1" s="1"/>
  <c r="V91" i="1" s="1"/>
  <c r="S92" i="1"/>
  <c r="U92" i="1" s="1"/>
  <c r="V92" i="1" s="1"/>
  <c r="S93" i="1"/>
  <c r="S94" i="1"/>
  <c r="S95" i="1"/>
  <c r="U95" i="1" s="1"/>
  <c r="V95" i="1" s="1"/>
  <c r="S96" i="1"/>
  <c r="U96" i="1" s="1"/>
  <c r="V96" i="1" s="1"/>
  <c r="S97" i="1"/>
  <c r="S98" i="1"/>
  <c r="S99" i="1"/>
  <c r="S100" i="1"/>
  <c r="S101" i="1"/>
  <c r="S370" i="1"/>
  <c r="U370" i="1" s="1"/>
  <c r="V370" i="1" s="1"/>
  <c r="S371" i="1"/>
  <c r="U371" i="1" s="1"/>
  <c r="V371" i="1" s="1"/>
  <c r="S368" i="1"/>
  <c r="U368" i="1" s="1"/>
  <c r="V368" i="1" s="1"/>
  <c r="S369" i="1"/>
  <c r="U369" i="1" s="1"/>
  <c r="V369" i="1" s="1"/>
  <c r="S372" i="1"/>
  <c r="U372" i="1" s="1"/>
  <c r="V372" i="1" s="1"/>
  <c r="S373" i="1"/>
  <c r="U373" i="1" s="1"/>
  <c r="V373" i="1" s="1"/>
  <c r="S375" i="1"/>
  <c r="U375" i="1" s="1"/>
  <c r="V375" i="1" s="1"/>
  <c r="S374" i="1"/>
  <c r="U374" i="1" s="1"/>
  <c r="V374" i="1" s="1"/>
  <c r="S377" i="1"/>
  <c r="U377" i="1" s="1"/>
  <c r="V377" i="1" s="1"/>
  <c r="S378" i="1"/>
  <c r="U378" i="1" s="1"/>
  <c r="V378" i="1" s="1"/>
  <c r="S376" i="1"/>
  <c r="U376" i="1" s="1"/>
  <c r="V376" i="1" s="1"/>
  <c r="S379" i="1"/>
  <c r="U379" i="1" s="1"/>
  <c r="V379" i="1" s="1"/>
  <c r="S380" i="1"/>
  <c r="U380" i="1" s="1"/>
  <c r="V380" i="1" s="1"/>
  <c r="S381" i="1"/>
  <c r="U381" i="1" s="1"/>
  <c r="V381" i="1" s="1"/>
  <c r="S382" i="1"/>
  <c r="U382" i="1" s="1"/>
  <c r="V382" i="1" s="1"/>
  <c r="S383" i="1"/>
  <c r="U383" i="1" s="1"/>
  <c r="V383" i="1" s="1"/>
  <c r="S384" i="1"/>
  <c r="U384" i="1" s="1"/>
  <c r="V384" i="1" s="1"/>
  <c r="S385" i="1"/>
  <c r="U385" i="1" s="1"/>
  <c r="V385" i="1" s="1"/>
  <c r="S386" i="1"/>
  <c r="U386" i="1" s="1"/>
  <c r="V386" i="1" s="1"/>
  <c r="S387" i="1"/>
  <c r="U387" i="1" s="1"/>
  <c r="V387" i="1" s="1"/>
  <c r="S388" i="1"/>
  <c r="U388" i="1" s="1"/>
  <c r="V388" i="1" s="1"/>
  <c r="S389" i="1"/>
  <c r="U389" i="1" s="1"/>
  <c r="V389" i="1" s="1"/>
  <c r="S390" i="1"/>
  <c r="U390" i="1" s="1"/>
  <c r="V390" i="1" s="1"/>
  <c r="S391" i="1"/>
  <c r="U391" i="1" s="1"/>
  <c r="V391" i="1" s="1"/>
  <c r="S392" i="1"/>
  <c r="U392" i="1" s="1"/>
  <c r="V392" i="1" s="1"/>
  <c r="S393" i="1"/>
  <c r="U393" i="1" s="1"/>
  <c r="V393" i="1" s="1"/>
  <c r="S181" i="1"/>
  <c r="U181" i="1" s="1"/>
  <c r="V181" i="1" s="1"/>
  <c r="S183" i="1"/>
  <c r="U183" i="1" s="1"/>
  <c r="V183" i="1" s="1"/>
  <c r="S185" i="1"/>
  <c r="U185" i="1" s="1"/>
  <c r="V185" i="1" s="1"/>
  <c r="S182" i="1"/>
  <c r="U182" i="1" s="1"/>
  <c r="V182" i="1" s="1"/>
  <c r="S186" i="1"/>
  <c r="U186" i="1" s="1"/>
  <c r="V186" i="1" s="1"/>
  <c r="S184" i="1"/>
  <c r="U184" i="1" s="1"/>
  <c r="V184" i="1" s="1"/>
  <c r="S190" i="1"/>
  <c r="U190" i="1" s="1"/>
  <c r="V190" i="1" s="1"/>
  <c r="S188" i="1"/>
  <c r="U188" i="1" s="1"/>
  <c r="V188" i="1" s="1"/>
  <c r="S187" i="1"/>
  <c r="U187" i="1" s="1"/>
  <c r="V187" i="1" s="1"/>
  <c r="S189" i="1"/>
  <c r="U189" i="1" s="1"/>
  <c r="V189" i="1" s="1"/>
  <c r="S195" i="1"/>
  <c r="U195" i="1" s="1"/>
  <c r="V195" i="1" s="1"/>
  <c r="S191" i="1"/>
  <c r="U191" i="1" s="1"/>
  <c r="V191" i="1" s="1"/>
  <c r="S193" i="1"/>
  <c r="U193" i="1" s="1"/>
  <c r="V193" i="1" s="1"/>
  <c r="S192" i="1"/>
  <c r="U192" i="1" s="1"/>
  <c r="V192" i="1" s="1"/>
  <c r="S194" i="1"/>
  <c r="U194" i="1" s="1"/>
  <c r="V194" i="1" s="1"/>
  <c r="S196" i="1"/>
  <c r="U196" i="1" s="1"/>
  <c r="V196" i="1" s="1"/>
  <c r="S199" i="1"/>
  <c r="U199" i="1" s="1"/>
  <c r="V199" i="1" s="1"/>
  <c r="S200" i="1"/>
  <c r="U200" i="1" s="1"/>
  <c r="V200" i="1" s="1"/>
  <c r="S201" i="1"/>
  <c r="U201" i="1" s="1"/>
  <c r="V201" i="1" s="1"/>
  <c r="S198" i="1"/>
  <c r="U198" i="1" s="1"/>
  <c r="V198" i="1" s="1"/>
  <c r="S203" i="1"/>
  <c r="U203" i="1" s="1"/>
  <c r="V203" i="1" s="1"/>
  <c r="S205" i="1"/>
  <c r="U205" i="1" s="1"/>
  <c r="V205" i="1" s="1"/>
  <c r="S197" i="1"/>
  <c r="U197" i="1" s="1"/>
  <c r="V197" i="1" s="1"/>
  <c r="S202" i="1"/>
  <c r="U202" i="1" s="1"/>
  <c r="V202" i="1" s="1"/>
  <c r="S206" i="1"/>
  <c r="U206" i="1" s="1"/>
  <c r="V206" i="1" s="1"/>
  <c r="S207" i="1"/>
  <c r="U207" i="1" s="1"/>
  <c r="V207" i="1" s="1"/>
  <c r="S204" i="1"/>
  <c r="U204" i="1" s="1"/>
  <c r="V204" i="1" s="1"/>
  <c r="S208" i="1"/>
  <c r="U208" i="1" s="1"/>
  <c r="V208" i="1" s="1"/>
  <c r="S572" i="1"/>
  <c r="U572" i="1" s="1"/>
  <c r="V572" i="1" s="1"/>
  <c r="S571" i="1"/>
  <c r="U571" i="1" s="1"/>
  <c r="V571" i="1" s="1"/>
  <c r="S574" i="1"/>
  <c r="U574" i="1" s="1"/>
  <c r="V574" i="1" s="1"/>
  <c r="S577" i="1"/>
  <c r="U577" i="1" s="1"/>
  <c r="V577" i="1" s="1"/>
  <c r="S573" i="1"/>
  <c r="U573" i="1" s="1"/>
  <c r="V573" i="1" s="1"/>
  <c r="S570" i="1"/>
  <c r="U570" i="1" s="1"/>
  <c r="V570" i="1" s="1"/>
  <c r="S575" i="1"/>
  <c r="U575" i="1" s="1"/>
  <c r="V575" i="1" s="1"/>
  <c r="S583" i="1"/>
  <c r="U583" i="1" s="1"/>
  <c r="V583" i="1" s="1"/>
  <c r="S578" i="1"/>
  <c r="U578" i="1" s="1"/>
  <c r="V578" i="1" s="1"/>
  <c r="S581" i="1"/>
  <c r="U581" i="1" s="1"/>
  <c r="V581" i="1" s="1"/>
  <c r="S576" i="1"/>
  <c r="U576" i="1" s="1"/>
  <c r="V576" i="1" s="1"/>
  <c r="S580" i="1"/>
  <c r="U580" i="1" s="1"/>
  <c r="V580" i="1" s="1"/>
  <c r="S579" i="1"/>
  <c r="U579" i="1" s="1"/>
  <c r="V579" i="1" s="1"/>
  <c r="S582" i="1"/>
  <c r="U582" i="1" s="1"/>
  <c r="V582" i="1" s="1"/>
  <c r="S594" i="1"/>
  <c r="U594" i="1" s="1"/>
  <c r="V594" i="1" s="1"/>
  <c r="S597" i="1"/>
  <c r="U597" i="1" s="1"/>
  <c r="V597" i="1" s="1"/>
  <c r="S595" i="1"/>
  <c r="U595" i="1" s="1"/>
  <c r="V595" i="1" s="1"/>
  <c r="S604" i="1"/>
  <c r="U604" i="1" s="1"/>
  <c r="V604" i="1" s="1"/>
  <c r="S596" i="1"/>
  <c r="U596" i="1" s="1"/>
  <c r="V596" i="1" s="1"/>
  <c r="S599" i="1"/>
  <c r="U599" i="1" s="1"/>
  <c r="V599" i="1" s="1"/>
  <c r="S603" i="1"/>
  <c r="U603" i="1" s="1"/>
  <c r="V603" i="1" s="1"/>
  <c r="S600" i="1"/>
  <c r="U600" i="1" s="1"/>
  <c r="V600" i="1" s="1"/>
  <c r="S601" i="1"/>
  <c r="U601" i="1" s="1"/>
  <c r="V601" i="1" s="1"/>
  <c r="S598" i="1"/>
  <c r="U598" i="1" s="1"/>
  <c r="V598" i="1" s="1"/>
  <c r="S605" i="1"/>
  <c r="U605" i="1" s="1"/>
  <c r="V605" i="1" s="1"/>
  <c r="S606" i="1"/>
  <c r="U606" i="1" s="1"/>
  <c r="V606" i="1" s="1"/>
  <c r="S602" i="1"/>
  <c r="U602" i="1" s="1"/>
  <c r="V602" i="1" s="1"/>
  <c r="S607" i="1"/>
  <c r="U607" i="1" s="1"/>
  <c r="V607" i="1" s="1"/>
  <c r="S608" i="1"/>
  <c r="U608" i="1" s="1"/>
  <c r="V608" i="1" s="1"/>
  <c r="S609" i="1"/>
  <c r="U609" i="1" s="1"/>
  <c r="V609" i="1" s="1"/>
  <c r="S610" i="1"/>
  <c r="U610" i="1" s="1"/>
  <c r="V610" i="1" s="1"/>
  <c r="S611" i="1"/>
  <c r="U611" i="1" s="1"/>
  <c r="V611" i="1" s="1"/>
  <c r="S612" i="1"/>
  <c r="U612" i="1" s="1"/>
  <c r="V612" i="1" s="1"/>
  <c r="S613" i="1"/>
  <c r="U613" i="1" s="1"/>
  <c r="V613" i="1" s="1"/>
  <c r="S614" i="1"/>
  <c r="U614" i="1" s="1"/>
  <c r="V614" i="1" s="1"/>
  <c r="S615" i="1"/>
  <c r="U615" i="1" s="1"/>
  <c r="V615" i="1" s="1"/>
  <c r="S616" i="1"/>
  <c r="U616" i="1" s="1"/>
  <c r="V616" i="1" s="1"/>
  <c r="S617" i="1"/>
  <c r="U617" i="1" s="1"/>
  <c r="V617" i="1" s="1"/>
  <c r="S618" i="1"/>
  <c r="U618" i="1" s="1"/>
  <c r="V618" i="1" s="1"/>
  <c r="S619" i="1"/>
  <c r="U619" i="1" s="1"/>
  <c r="V619" i="1" s="1"/>
  <c r="S620" i="1"/>
  <c r="U620" i="1" s="1"/>
  <c r="V620" i="1" s="1"/>
  <c r="S621" i="1"/>
  <c r="U621" i="1" s="1"/>
  <c r="V621" i="1" s="1"/>
  <c r="S622" i="1"/>
  <c r="U622" i="1" s="1"/>
  <c r="V622" i="1" s="1"/>
  <c r="S623" i="1"/>
  <c r="U623" i="1" s="1"/>
  <c r="V623" i="1" s="1"/>
  <c r="S584" i="1"/>
  <c r="U584" i="1" s="1"/>
  <c r="V584" i="1" s="1"/>
  <c r="S593" i="1"/>
  <c r="U593" i="1" s="1"/>
  <c r="V593" i="1" s="1"/>
  <c r="S588" i="1"/>
  <c r="U588" i="1" s="1"/>
  <c r="V588" i="1" s="1"/>
  <c r="S591" i="1"/>
  <c r="U591" i="1" s="1"/>
  <c r="V591" i="1" s="1"/>
  <c r="S585" i="1"/>
  <c r="U585" i="1" s="1"/>
  <c r="V585" i="1" s="1"/>
  <c r="S587" i="1"/>
  <c r="U587" i="1" s="1"/>
  <c r="V587" i="1" s="1"/>
  <c r="S586" i="1"/>
  <c r="U586" i="1" s="1"/>
  <c r="V586" i="1" s="1"/>
  <c r="S589" i="1"/>
  <c r="U589" i="1" s="1"/>
  <c r="V589" i="1" s="1"/>
  <c r="S590" i="1"/>
  <c r="U590" i="1" s="1"/>
  <c r="V590" i="1" s="1"/>
  <c r="S592" i="1"/>
  <c r="U592" i="1" s="1"/>
  <c r="V592" i="1" s="1"/>
  <c r="S652" i="1"/>
  <c r="S653" i="1"/>
  <c r="S656" i="1"/>
  <c r="S658" i="1"/>
  <c r="S662" i="1"/>
  <c r="S657" i="1"/>
  <c r="S655" i="1"/>
  <c r="S660" i="1"/>
  <c r="S663" i="1"/>
  <c r="S661" i="1"/>
  <c r="S654" i="1"/>
  <c r="S665" i="1"/>
  <c r="S458" i="1"/>
  <c r="U458" i="1" s="1"/>
  <c r="V458" i="1" s="1"/>
  <c r="S463" i="1"/>
  <c r="U463" i="1" s="1"/>
  <c r="V463" i="1" s="1"/>
  <c r="S457" i="1"/>
  <c r="U457" i="1" s="1"/>
  <c r="V457" i="1" s="1"/>
  <c r="S460" i="1"/>
  <c r="U460" i="1" s="1"/>
  <c r="V460" i="1" s="1"/>
  <c r="S464" i="1"/>
  <c r="U464" i="1" s="1"/>
  <c r="V464" i="1" s="1"/>
  <c r="S462" i="1"/>
  <c r="U462" i="1" s="1"/>
  <c r="V462" i="1" s="1"/>
  <c r="S466" i="1"/>
  <c r="U466" i="1" s="1"/>
  <c r="V466" i="1" s="1"/>
  <c r="S461" i="1"/>
  <c r="U461" i="1" s="1"/>
  <c r="V461" i="1" s="1"/>
  <c r="S467" i="1"/>
  <c r="U467" i="1" s="1"/>
  <c r="V467" i="1" s="1"/>
  <c r="S470" i="1"/>
  <c r="U470" i="1" s="1"/>
  <c r="V470" i="1" s="1"/>
  <c r="S459" i="1"/>
  <c r="U459" i="1" s="1"/>
  <c r="V459" i="1" s="1"/>
  <c r="S469" i="1"/>
  <c r="U469" i="1" s="1"/>
  <c r="V469" i="1" s="1"/>
  <c r="S468" i="1"/>
  <c r="U468" i="1" s="1"/>
  <c r="V468" i="1" s="1"/>
  <c r="S465" i="1"/>
  <c r="U465" i="1" s="1"/>
  <c r="V465" i="1" s="1"/>
  <c r="S471" i="1"/>
  <c r="U471" i="1" s="1"/>
  <c r="V471" i="1" s="1"/>
  <c r="S836" i="1"/>
  <c r="S838" i="1"/>
  <c r="S839" i="1"/>
  <c r="S840" i="1"/>
  <c r="S844" i="1"/>
  <c r="S837" i="1"/>
  <c r="S841" i="1"/>
  <c r="S835" i="1"/>
  <c r="S843" i="1"/>
  <c r="S842" i="1"/>
  <c r="S845" i="1"/>
  <c r="S846" i="1"/>
  <c r="U846" i="1" s="1"/>
  <c r="V846" i="1" s="1"/>
  <c r="S849" i="1"/>
  <c r="U849" i="1" s="1"/>
  <c r="V849" i="1" s="1"/>
  <c r="S847" i="1"/>
  <c r="U847" i="1" s="1"/>
  <c r="V847" i="1" s="1"/>
  <c r="S848" i="1"/>
  <c r="U848" i="1" s="1"/>
  <c r="V848" i="1" s="1"/>
  <c r="S851" i="1"/>
  <c r="S850" i="1"/>
  <c r="S854" i="1"/>
  <c r="S853" i="1"/>
  <c r="S852" i="1"/>
  <c r="S855" i="1"/>
  <c r="S856" i="1"/>
  <c r="S1302" i="1"/>
  <c r="S1300" i="1"/>
  <c r="S1303" i="1"/>
  <c r="S1299" i="1"/>
  <c r="S1305" i="1"/>
  <c r="S1307" i="1"/>
  <c r="S1306" i="1"/>
  <c r="S1308" i="1"/>
  <c r="S1304" i="1"/>
  <c r="S1311" i="1"/>
  <c r="S1301" i="1"/>
  <c r="S1309" i="1"/>
  <c r="S1312" i="1"/>
  <c r="S1310" i="1"/>
  <c r="S1328" i="1"/>
  <c r="S1330" i="1"/>
  <c r="S1329" i="1"/>
  <c r="S1332" i="1"/>
  <c r="S1333" i="1"/>
  <c r="S1335" i="1"/>
  <c r="S1331" i="1"/>
  <c r="S1327" i="1"/>
  <c r="S1336" i="1"/>
  <c r="S1334" i="1"/>
  <c r="S1337" i="1"/>
  <c r="S1338" i="1"/>
  <c r="S1353" i="1"/>
  <c r="S1351" i="1"/>
  <c r="S1354" i="1"/>
  <c r="S1357" i="1"/>
  <c r="S1352" i="1"/>
  <c r="S1356" i="1"/>
  <c r="S1355" i="1"/>
  <c r="S1360" i="1"/>
  <c r="S1358" i="1"/>
  <c r="S1359" i="1"/>
  <c r="S1276" i="1"/>
  <c r="S1278" i="1"/>
  <c r="S1274" i="1"/>
  <c r="U1274" i="1" s="1"/>
  <c r="V1274" i="1" s="1"/>
  <c r="S1277" i="1"/>
  <c r="S1281" i="1"/>
  <c r="S1273" i="1"/>
  <c r="U1273" i="1" s="1"/>
  <c r="V1273" i="1" s="1"/>
  <c r="S1279" i="1"/>
  <c r="S1272" i="1"/>
  <c r="U1272" i="1" s="1"/>
  <c r="V1272" i="1" s="1"/>
  <c r="S1275" i="1"/>
  <c r="S1280" i="1"/>
  <c r="S1282" i="1"/>
  <c r="S1283" i="1"/>
  <c r="S1285" i="1"/>
  <c r="S1284" i="1"/>
  <c r="S1289" i="1"/>
  <c r="S1288" i="1"/>
  <c r="S1291" i="1"/>
  <c r="S1292" i="1"/>
  <c r="S1290" i="1"/>
  <c r="S1287" i="1"/>
  <c r="S1286" i="1"/>
  <c r="S1294" i="1"/>
  <c r="S1293" i="1"/>
  <c r="S1296" i="1"/>
  <c r="S1297" i="1"/>
  <c r="S1295" i="1"/>
  <c r="S1298" i="1"/>
  <c r="S1318" i="1"/>
  <c r="U1318" i="1" s="1"/>
  <c r="V1318" i="1" s="1"/>
  <c r="S1313" i="1"/>
  <c r="U1313" i="1" s="1"/>
  <c r="V1313" i="1" s="1"/>
  <c r="S1319" i="1"/>
  <c r="U1319" i="1" s="1"/>
  <c r="V1319" i="1" s="1"/>
  <c r="S1316" i="1"/>
  <c r="U1316" i="1" s="1"/>
  <c r="V1316" i="1" s="1"/>
  <c r="S1320" i="1"/>
  <c r="U1320" i="1" s="1"/>
  <c r="V1320" i="1" s="1"/>
  <c r="S1321" i="1"/>
  <c r="U1321" i="1" s="1"/>
  <c r="V1321" i="1" s="1"/>
  <c r="S1315" i="1"/>
  <c r="U1315" i="1" s="1"/>
  <c r="V1315" i="1" s="1"/>
  <c r="S1317" i="1"/>
  <c r="U1317" i="1" s="1"/>
  <c r="V1317" i="1" s="1"/>
  <c r="S1322" i="1"/>
  <c r="S1314" i="1"/>
  <c r="U1314" i="1" s="1"/>
  <c r="V1314" i="1" s="1"/>
  <c r="S1323" i="1"/>
  <c r="S1325" i="1"/>
  <c r="S1324" i="1"/>
  <c r="S1326" i="1"/>
  <c r="S1339" i="1"/>
  <c r="U1339" i="1" s="1"/>
  <c r="V1339" i="1" s="1"/>
  <c r="S1341" i="1"/>
  <c r="U1341" i="1" s="1"/>
  <c r="V1341" i="1" s="1"/>
  <c r="S1345" i="1"/>
  <c r="S1344" i="1"/>
  <c r="S1340" i="1"/>
  <c r="U1340" i="1" s="1"/>
  <c r="V1340" i="1" s="1"/>
  <c r="S1346" i="1"/>
  <c r="S1342" i="1"/>
  <c r="S1343" i="1"/>
  <c r="S1347" i="1"/>
  <c r="S1348" i="1"/>
  <c r="S1349" i="1"/>
  <c r="S1350" i="1"/>
  <c r="S1363" i="1"/>
  <c r="S1364" i="1"/>
  <c r="S1366" i="1"/>
  <c r="S1362" i="1"/>
  <c r="S1367" i="1"/>
  <c r="S1365" i="1"/>
  <c r="S1361" i="1"/>
  <c r="S1368" i="1"/>
  <c r="S1369" i="1"/>
  <c r="S1370" i="1"/>
  <c r="S1372" i="1"/>
  <c r="S1371" i="1"/>
  <c r="S1248" i="1"/>
  <c r="S1251" i="1"/>
  <c r="S1255" i="1"/>
  <c r="S1249" i="1"/>
  <c r="S1247" i="1"/>
  <c r="S1250" i="1"/>
  <c r="S1253" i="1"/>
  <c r="S1252" i="1"/>
  <c r="S1254" i="1"/>
  <c r="S1257" i="1"/>
  <c r="S1256" i="1"/>
  <c r="S1258" i="1"/>
  <c r="S1259" i="1"/>
  <c r="S1260" i="1"/>
  <c r="S1262" i="1"/>
  <c r="S1264" i="1"/>
  <c r="S1261" i="1"/>
  <c r="S1267" i="1"/>
  <c r="S1268" i="1"/>
  <c r="S1270" i="1"/>
  <c r="S1271" i="1"/>
  <c r="S1269" i="1"/>
  <c r="S1263" i="1"/>
  <c r="S1265" i="1"/>
  <c r="S1266" i="1"/>
  <c r="S726" i="1"/>
  <c r="S733" i="1"/>
  <c r="S737" i="1"/>
  <c r="S728" i="1"/>
  <c r="S730" i="1"/>
  <c r="S732" i="1"/>
  <c r="S734" i="1"/>
  <c r="S731" i="1"/>
  <c r="S736" i="1"/>
  <c r="S727" i="1"/>
  <c r="S729" i="1"/>
  <c r="S735" i="1"/>
  <c r="S436" i="1"/>
  <c r="S435" i="1"/>
  <c r="S439" i="1"/>
  <c r="S441" i="1"/>
  <c r="S437" i="1"/>
  <c r="S438" i="1"/>
  <c r="S446" i="1"/>
  <c r="S440" i="1"/>
  <c r="S442" i="1"/>
  <c r="S443" i="1"/>
  <c r="S444" i="1"/>
  <c r="S445" i="1"/>
  <c r="S319" i="1"/>
  <c r="S317" i="1"/>
  <c r="S318" i="1"/>
  <c r="S324" i="1"/>
  <c r="S321" i="1"/>
  <c r="S323" i="1"/>
  <c r="S322" i="1"/>
  <c r="S326" i="1"/>
  <c r="S327" i="1"/>
  <c r="S320" i="1"/>
  <c r="S325" i="1"/>
  <c r="S329" i="1"/>
  <c r="S15" i="1"/>
  <c r="S14" i="1"/>
  <c r="S16" i="1"/>
  <c r="S23" i="1"/>
  <c r="S18" i="1"/>
  <c r="S20" i="1"/>
  <c r="S17" i="1"/>
  <c r="S21" i="1"/>
  <c r="S19" i="1"/>
  <c r="S27" i="1"/>
  <c r="S22" i="1"/>
  <c r="S24" i="1"/>
  <c r="S25" i="1"/>
  <c r="U25" i="1" s="1"/>
  <c r="V25" i="1" s="1"/>
  <c r="S28" i="1"/>
  <c r="U28" i="1" s="1"/>
  <c r="V28" i="1" s="1"/>
  <c r="S26" i="1"/>
  <c r="U26" i="1" s="1"/>
  <c r="V26" i="1" s="1"/>
  <c r="S943" i="1"/>
  <c r="S946" i="1"/>
  <c r="S948" i="1"/>
  <c r="S944" i="1"/>
  <c r="S947" i="1"/>
  <c r="S945" i="1"/>
  <c r="S949" i="1"/>
  <c r="S951" i="1"/>
  <c r="S950" i="1"/>
  <c r="S952" i="1"/>
  <c r="S953" i="1"/>
  <c r="S956" i="1"/>
  <c r="S954" i="1"/>
  <c r="S959" i="1"/>
  <c r="S955" i="1"/>
  <c r="S958" i="1"/>
  <c r="S962" i="1"/>
  <c r="S957" i="1"/>
  <c r="S961" i="1"/>
  <c r="S960" i="1"/>
  <c r="S102" i="1"/>
  <c r="U102" i="1" s="1"/>
  <c r="V102" i="1" s="1"/>
  <c r="S105" i="1"/>
  <c r="U105" i="1" s="1"/>
  <c r="V105" i="1" s="1"/>
  <c r="S103" i="1"/>
  <c r="U103" i="1" s="1"/>
  <c r="V103" i="1" s="1"/>
  <c r="S106" i="1"/>
  <c r="U106" i="1" s="1"/>
  <c r="V106" i="1" s="1"/>
  <c r="S104" i="1"/>
  <c r="U104" i="1" s="1"/>
  <c r="V104" i="1" s="1"/>
  <c r="S107" i="1"/>
  <c r="U107" i="1" s="1"/>
  <c r="V107" i="1" s="1"/>
  <c r="S109" i="1"/>
  <c r="U109" i="1" s="1"/>
  <c r="V109" i="1" s="1"/>
  <c r="S108" i="1"/>
  <c r="U108" i="1" s="1"/>
  <c r="V108" i="1" s="1"/>
  <c r="S110" i="1"/>
  <c r="U110" i="1" s="1"/>
  <c r="V110" i="1" s="1"/>
  <c r="S111" i="1"/>
  <c r="U111" i="1" s="1"/>
  <c r="V111" i="1" s="1"/>
  <c r="S113" i="1"/>
  <c r="U113" i="1" s="1"/>
  <c r="V113" i="1" s="1"/>
  <c r="S115" i="1"/>
  <c r="U115" i="1" s="1"/>
  <c r="V115" i="1" s="1"/>
  <c r="S114" i="1"/>
  <c r="U114" i="1" s="1"/>
  <c r="V114" i="1" s="1"/>
  <c r="S112" i="1"/>
  <c r="U112" i="1" s="1"/>
  <c r="V112" i="1" s="1"/>
  <c r="S624" i="1"/>
  <c r="U624" i="1" s="1"/>
  <c r="V624" i="1" s="1"/>
  <c r="S625" i="1"/>
  <c r="U625" i="1" s="1"/>
  <c r="V625" i="1" s="1"/>
  <c r="S631" i="1"/>
  <c r="U631" i="1" s="1"/>
  <c r="V631" i="1" s="1"/>
  <c r="S627" i="1"/>
  <c r="U627" i="1" s="1"/>
  <c r="V627" i="1" s="1"/>
  <c r="S626" i="1"/>
  <c r="U626" i="1" s="1"/>
  <c r="V626" i="1" s="1"/>
  <c r="S630" i="1"/>
  <c r="U630" i="1" s="1"/>
  <c r="V630" i="1" s="1"/>
  <c r="S633" i="1"/>
  <c r="U633" i="1" s="1"/>
  <c r="V633" i="1" s="1"/>
  <c r="S628" i="1"/>
  <c r="U628" i="1" s="1"/>
  <c r="V628" i="1" s="1"/>
  <c r="S634" i="1"/>
  <c r="U634" i="1" s="1"/>
  <c r="V634" i="1" s="1"/>
  <c r="S632" i="1"/>
  <c r="U632" i="1" s="1"/>
  <c r="V632" i="1" s="1"/>
  <c r="S629" i="1"/>
  <c r="U629" i="1" s="1"/>
  <c r="V629" i="1" s="1"/>
  <c r="S636" i="1"/>
  <c r="U636" i="1" s="1"/>
  <c r="V636" i="1" s="1"/>
  <c r="S635" i="1"/>
  <c r="U635" i="1" s="1"/>
  <c r="V635" i="1" s="1"/>
  <c r="S638" i="1"/>
  <c r="U638" i="1" s="1"/>
  <c r="V638" i="1" s="1"/>
  <c r="S637" i="1"/>
  <c r="U637" i="1" s="1"/>
  <c r="V637" i="1" s="1"/>
  <c r="S639" i="1"/>
  <c r="U639" i="1" s="1"/>
  <c r="V639" i="1" s="1"/>
  <c r="S640" i="1"/>
  <c r="U640" i="1" s="1"/>
  <c r="V640" i="1" s="1"/>
  <c r="S646" i="1"/>
  <c r="U646" i="1" s="1"/>
  <c r="V646" i="1" s="1"/>
  <c r="S641" i="1"/>
  <c r="U641" i="1" s="1"/>
  <c r="V641" i="1" s="1"/>
  <c r="S642" i="1"/>
  <c r="U642" i="1" s="1"/>
  <c r="V642" i="1" s="1"/>
  <c r="S648" i="1"/>
  <c r="U648" i="1" s="1"/>
  <c r="V648" i="1" s="1"/>
  <c r="S645" i="1"/>
  <c r="U645" i="1" s="1"/>
  <c r="V645" i="1" s="1"/>
  <c r="S643" i="1"/>
  <c r="U643" i="1" s="1"/>
  <c r="V643" i="1" s="1"/>
  <c r="S644" i="1"/>
  <c r="U644" i="1" s="1"/>
  <c r="V644" i="1" s="1"/>
  <c r="S649" i="1"/>
  <c r="U649" i="1" s="1"/>
  <c r="V649" i="1" s="1"/>
  <c r="S651" i="1"/>
  <c r="U651" i="1" s="1"/>
  <c r="V651" i="1" s="1"/>
  <c r="S650" i="1"/>
  <c r="U650" i="1" s="1"/>
  <c r="V650" i="1" s="1"/>
  <c r="S666" i="1"/>
  <c r="U666" i="1" s="1"/>
  <c r="V666" i="1" s="1"/>
  <c r="S667" i="1"/>
  <c r="U667" i="1" s="1"/>
  <c r="V667" i="1" s="1"/>
  <c r="S668" i="1"/>
  <c r="U668" i="1" s="1"/>
  <c r="V668" i="1" s="1"/>
  <c r="S669" i="1"/>
  <c r="U669" i="1" s="1"/>
  <c r="V669" i="1" s="1"/>
  <c r="S670" i="1"/>
  <c r="U670" i="1" s="1"/>
  <c r="V670" i="1" s="1"/>
  <c r="S671" i="1"/>
  <c r="U671" i="1" s="1"/>
  <c r="V671" i="1" s="1"/>
  <c r="S672" i="1"/>
  <c r="U672" i="1" s="1"/>
  <c r="V672" i="1" s="1"/>
  <c r="S673" i="1"/>
  <c r="U673" i="1" s="1"/>
  <c r="V673" i="1" s="1"/>
  <c r="S674" i="1"/>
  <c r="U674" i="1" s="1"/>
  <c r="V674" i="1" s="1"/>
  <c r="S675" i="1"/>
  <c r="U675" i="1" s="1"/>
  <c r="V675" i="1" s="1"/>
  <c r="S676" i="1"/>
  <c r="U676" i="1" s="1"/>
  <c r="V676" i="1" s="1"/>
  <c r="S677" i="1"/>
  <c r="U677" i="1" s="1"/>
  <c r="V677" i="1" s="1"/>
  <c r="S678" i="1"/>
  <c r="U678" i="1" s="1"/>
  <c r="V678" i="1" s="1"/>
  <c r="S679" i="1"/>
  <c r="U679" i="1" s="1"/>
  <c r="V679" i="1" s="1"/>
  <c r="S472" i="1"/>
  <c r="U472" i="1" s="1"/>
  <c r="V472" i="1" s="1"/>
  <c r="S473" i="1"/>
  <c r="U473" i="1" s="1"/>
  <c r="V473" i="1" s="1"/>
  <c r="S474" i="1"/>
  <c r="U474" i="1" s="1"/>
  <c r="V474" i="1" s="1"/>
  <c r="S475" i="1"/>
  <c r="U475" i="1" s="1"/>
  <c r="V475" i="1" s="1"/>
  <c r="S476" i="1"/>
  <c r="U476" i="1" s="1"/>
  <c r="V476" i="1" s="1"/>
  <c r="S477" i="1"/>
  <c r="U477" i="1" s="1"/>
  <c r="V477" i="1" s="1"/>
  <c r="S478" i="1"/>
  <c r="U478" i="1" s="1"/>
  <c r="V478" i="1" s="1"/>
  <c r="S479" i="1"/>
  <c r="U479" i="1" s="1"/>
  <c r="V479" i="1" s="1"/>
  <c r="S480" i="1"/>
  <c r="U480" i="1" s="1"/>
  <c r="V480" i="1" s="1"/>
  <c r="S481" i="1"/>
  <c r="U481" i="1" s="1"/>
  <c r="V481" i="1" s="1"/>
  <c r="S482" i="1"/>
  <c r="U482" i="1" s="1"/>
  <c r="V482" i="1" s="1"/>
  <c r="S483" i="1"/>
  <c r="U483" i="1" s="1"/>
  <c r="V483" i="1" s="1"/>
  <c r="S484" i="1"/>
  <c r="U484" i="1" s="1"/>
  <c r="V484" i="1" s="1"/>
  <c r="S485" i="1"/>
  <c r="U485" i="1" s="1"/>
  <c r="V485" i="1" s="1"/>
  <c r="S331" i="1"/>
  <c r="U331" i="1" s="1"/>
  <c r="V331" i="1" s="1"/>
  <c r="S332" i="1"/>
  <c r="U332" i="1" s="1"/>
  <c r="V332" i="1" s="1"/>
  <c r="S333" i="1"/>
  <c r="U333" i="1" s="1"/>
  <c r="V333" i="1" s="1"/>
  <c r="S334" i="1"/>
  <c r="U334" i="1" s="1"/>
  <c r="V334" i="1" s="1"/>
  <c r="S337" i="1"/>
  <c r="U337" i="1" s="1"/>
  <c r="V337" i="1" s="1"/>
  <c r="S336" i="1"/>
  <c r="U336" i="1" s="1"/>
  <c r="V336" i="1" s="1"/>
  <c r="S340" i="1"/>
  <c r="U340" i="1" s="1"/>
  <c r="V340" i="1" s="1"/>
  <c r="S338" i="1"/>
  <c r="U338" i="1" s="1"/>
  <c r="V338" i="1" s="1"/>
  <c r="S339" i="1"/>
  <c r="U339" i="1" s="1"/>
  <c r="V339" i="1" s="1"/>
  <c r="S335" i="1"/>
  <c r="U335" i="1" s="1"/>
  <c r="V335" i="1" s="1"/>
  <c r="S341" i="1"/>
  <c r="U341" i="1" s="1"/>
  <c r="V341" i="1" s="1"/>
  <c r="S858" i="1"/>
  <c r="U858" i="1" s="1"/>
  <c r="V858" i="1" s="1"/>
  <c r="S860" i="1"/>
  <c r="U860" i="1" s="1"/>
  <c r="V860" i="1" s="1"/>
  <c r="S861" i="1"/>
  <c r="U861" i="1" s="1"/>
  <c r="V861" i="1" s="1"/>
  <c r="S857" i="1"/>
  <c r="U857" i="1" s="1"/>
  <c r="V857" i="1" s="1"/>
  <c r="S859" i="1"/>
  <c r="U859" i="1" s="1"/>
  <c r="V859" i="1" s="1"/>
  <c r="S864" i="1"/>
  <c r="U864" i="1" s="1"/>
  <c r="V864" i="1" s="1"/>
  <c r="S867" i="1"/>
  <c r="U867" i="1" s="1"/>
  <c r="V867" i="1" s="1"/>
  <c r="S862" i="1"/>
  <c r="U862" i="1" s="1"/>
  <c r="V862" i="1" s="1"/>
  <c r="S868" i="1"/>
  <c r="U868" i="1" s="1"/>
  <c r="V868" i="1" s="1"/>
  <c r="S863" i="1"/>
  <c r="U863" i="1" s="1"/>
  <c r="V863" i="1" s="1"/>
  <c r="S865" i="1"/>
  <c r="U865" i="1" s="1"/>
  <c r="V865" i="1" s="1"/>
  <c r="S866" i="1"/>
  <c r="U866" i="1" s="1"/>
  <c r="V866" i="1" s="1"/>
  <c r="S755" i="1"/>
  <c r="U755" i="1" s="1"/>
  <c r="V755" i="1" s="1"/>
  <c r="S760" i="1"/>
  <c r="U760" i="1" s="1"/>
  <c r="V760" i="1" s="1"/>
  <c r="S759" i="1"/>
  <c r="U759" i="1" s="1"/>
  <c r="V759" i="1" s="1"/>
  <c r="S757" i="1"/>
  <c r="U757" i="1" s="1"/>
  <c r="V757" i="1" s="1"/>
  <c r="S758" i="1"/>
  <c r="U758" i="1" s="1"/>
  <c r="V758" i="1" s="1"/>
  <c r="S765" i="1"/>
  <c r="U765" i="1" s="1"/>
  <c r="V765" i="1" s="1"/>
  <c r="S756" i="1"/>
  <c r="U756" i="1" s="1"/>
  <c r="V756" i="1" s="1"/>
  <c r="S762" i="1"/>
  <c r="U762" i="1" s="1"/>
  <c r="V762" i="1" s="1"/>
  <c r="S767" i="1"/>
  <c r="U767" i="1" s="1"/>
  <c r="V767" i="1" s="1"/>
  <c r="S766" i="1"/>
  <c r="U766" i="1" s="1"/>
  <c r="V766" i="1" s="1"/>
  <c r="S763" i="1"/>
  <c r="U763" i="1" s="1"/>
  <c r="V763" i="1" s="1"/>
  <c r="S764" i="1"/>
  <c r="U764" i="1" s="1"/>
  <c r="V764" i="1" s="1"/>
  <c r="S761" i="1"/>
  <c r="U761" i="1" s="1"/>
  <c r="V761" i="1" s="1"/>
  <c r="S768" i="1"/>
  <c r="U768" i="1" s="1"/>
  <c r="V768" i="1" s="1"/>
  <c r="S740" i="1"/>
  <c r="U740" i="1" s="1"/>
  <c r="V740" i="1" s="1"/>
  <c r="S741" i="1"/>
  <c r="U741" i="1" s="1"/>
  <c r="V741" i="1" s="1"/>
  <c r="S742" i="1"/>
  <c r="U742" i="1" s="1"/>
  <c r="V742" i="1" s="1"/>
  <c r="S743" i="1"/>
  <c r="U743" i="1" s="1"/>
  <c r="V743" i="1" s="1"/>
  <c r="S744" i="1"/>
  <c r="U744" i="1" s="1"/>
  <c r="V744" i="1" s="1"/>
  <c r="S745" i="1"/>
  <c r="U745" i="1" s="1"/>
  <c r="V745" i="1" s="1"/>
  <c r="S746" i="1"/>
  <c r="U746" i="1" s="1"/>
  <c r="V746" i="1" s="1"/>
  <c r="S747" i="1"/>
  <c r="U747" i="1" s="1"/>
  <c r="V747" i="1" s="1"/>
  <c r="S748" i="1"/>
  <c r="U748" i="1" s="1"/>
  <c r="V748" i="1" s="1"/>
  <c r="S749" i="1"/>
  <c r="U749" i="1" s="1"/>
  <c r="V749" i="1" s="1"/>
  <c r="S750" i="1"/>
  <c r="U750" i="1" s="1"/>
  <c r="V750" i="1" s="1"/>
  <c r="S751" i="1"/>
  <c r="U751" i="1" s="1"/>
  <c r="V751" i="1" s="1"/>
  <c r="S752" i="1"/>
  <c r="U752" i="1" s="1"/>
  <c r="V752" i="1" s="1"/>
  <c r="S753" i="1"/>
  <c r="U753" i="1" s="1"/>
  <c r="V753" i="1" s="1"/>
  <c r="U754" i="1"/>
  <c r="V754" i="1" s="1"/>
  <c r="S397" i="1"/>
  <c r="U397" i="1" s="1"/>
  <c r="V397" i="1" s="1"/>
  <c r="S401" i="1"/>
  <c r="U401" i="1" s="1"/>
  <c r="V401" i="1" s="1"/>
  <c r="S395" i="1"/>
  <c r="U395" i="1" s="1"/>
  <c r="V395" i="1" s="1"/>
  <c r="S394" i="1"/>
  <c r="U394" i="1" s="1"/>
  <c r="V394" i="1" s="1"/>
  <c r="S396" i="1"/>
  <c r="U396" i="1" s="1"/>
  <c r="V396" i="1" s="1"/>
  <c r="S402" i="1"/>
  <c r="U402" i="1" s="1"/>
  <c r="V402" i="1" s="1"/>
  <c r="S399" i="1"/>
  <c r="U399" i="1" s="1"/>
  <c r="V399" i="1" s="1"/>
  <c r="S406" i="1"/>
  <c r="U406" i="1" s="1"/>
  <c r="V406" i="1" s="1"/>
  <c r="S403" i="1"/>
  <c r="U403" i="1" s="1"/>
  <c r="V403" i="1" s="1"/>
  <c r="S398" i="1"/>
  <c r="U398" i="1" s="1"/>
  <c r="V398" i="1" s="1"/>
  <c r="S404" i="1"/>
  <c r="U404" i="1" s="1"/>
  <c r="V404" i="1" s="1"/>
  <c r="S400" i="1"/>
  <c r="U400" i="1" s="1"/>
  <c r="V400" i="1" s="1"/>
  <c r="S407" i="1"/>
  <c r="U407" i="1" s="1"/>
  <c r="V407" i="1" s="1"/>
  <c r="S405" i="1"/>
  <c r="U405" i="1" s="1"/>
  <c r="V405" i="1" s="1"/>
  <c r="S408" i="1"/>
  <c r="U408" i="1" s="1"/>
  <c r="V408" i="1" s="1"/>
  <c r="S1115" i="1"/>
  <c r="U1115" i="1" s="1"/>
  <c r="V1115" i="1" s="1"/>
  <c r="S1117" i="1"/>
  <c r="U1117" i="1" s="1"/>
  <c r="V1117" i="1" s="1"/>
  <c r="S1116" i="1"/>
  <c r="U1116" i="1" s="1"/>
  <c r="V1116" i="1" s="1"/>
  <c r="S1120" i="1"/>
  <c r="U1120" i="1" s="1"/>
  <c r="V1120" i="1" s="1"/>
  <c r="S1118" i="1"/>
  <c r="U1118" i="1" s="1"/>
  <c r="V1118" i="1" s="1"/>
  <c r="S1122" i="1"/>
  <c r="U1122" i="1" s="1"/>
  <c r="V1122" i="1" s="1"/>
  <c r="S1123" i="1"/>
  <c r="U1123" i="1" s="1"/>
  <c r="V1123" i="1" s="1"/>
  <c r="S1114" i="1"/>
  <c r="U1114" i="1" s="1"/>
  <c r="V1114" i="1" s="1"/>
  <c r="S1121" i="1"/>
  <c r="U1121" i="1" s="1"/>
  <c r="V1121" i="1" s="1"/>
  <c r="S1119" i="1"/>
  <c r="U1119" i="1" s="1"/>
  <c r="V1119" i="1" s="1"/>
  <c r="S1124" i="1"/>
  <c r="U1124" i="1" s="1"/>
  <c r="V1124" i="1" s="1"/>
  <c r="S1126" i="1"/>
  <c r="U1126" i="1" s="1"/>
  <c r="V1126" i="1" s="1"/>
  <c r="S1125" i="1"/>
  <c r="U1125" i="1" s="1"/>
  <c r="V1125" i="1" s="1"/>
  <c r="S1143" i="1"/>
  <c r="U1143" i="1" s="1"/>
  <c r="V1143" i="1" s="1"/>
  <c r="S1144" i="1"/>
  <c r="U1144" i="1" s="1"/>
  <c r="V1144" i="1" s="1"/>
  <c r="S1142" i="1"/>
  <c r="U1142" i="1" s="1"/>
  <c r="V1142" i="1" s="1"/>
  <c r="S1145" i="1"/>
  <c r="U1145" i="1" s="1"/>
  <c r="V1145" i="1" s="1"/>
  <c r="S1146" i="1"/>
  <c r="U1146" i="1" s="1"/>
  <c r="V1146" i="1" s="1"/>
  <c r="S1148" i="1"/>
  <c r="U1148" i="1" s="1"/>
  <c r="V1148" i="1" s="1"/>
  <c r="S1147" i="1"/>
  <c r="U1147" i="1" s="1"/>
  <c r="V1147" i="1" s="1"/>
  <c r="S1150" i="1"/>
  <c r="U1150" i="1" s="1"/>
  <c r="V1150" i="1" s="1"/>
  <c r="S1152" i="1"/>
  <c r="U1152" i="1" s="1"/>
  <c r="V1152" i="1" s="1"/>
  <c r="S1149" i="1"/>
  <c r="U1149" i="1" s="1"/>
  <c r="V1149" i="1" s="1"/>
  <c r="S1151" i="1"/>
  <c r="U1151" i="1" s="1"/>
  <c r="V1151" i="1" s="1"/>
  <c r="S1154" i="1"/>
  <c r="U1154" i="1" s="1"/>
  <c r="V1154" i="1" s="1"/>
  <c r="S1153" i="1"/>
  <c r="U1153" i="1" s="1"/>
  <c r="V1153" i="1" s="1"/>
  <c r="S1155" i="1"/>
  <c r="U1155" i="1" s="1"/>
  <c r="V1155" i="1" s="1"/>
  <c r="S1128" i="1"/>
  <c r="U1128" i="1" s="1"/>
  <c r="V1128" i="1" s="1"/>
  <c r="S1131" i="1"/>
  <c r="U1131" i="1" s="1"/>
  <c r="V1131" i="1" s="1"/>
  <c r="S1127" i="1"/>
  <c r="U1127" i="1" s="1"/>
  <c r="V1127" i="1" s="1"/>
  <c r="S1133" i="1"/>
  <c r="U1133" i="1" s="1"/>
  <c r="V1133" i="1" s="1"/>
  <c r="S1132" i="1"/>
  <c r="U1132" i="1" s="1"/>
  <c r="V1132" i="1" s="1"/>
  <c r="S1130" i="1"/>
  <c r="U1130" i="1" s="1"/>
  <c r="V1130" i="1" s="1"/>
  <c r="S1129" i="1"/>
  <c r="U1129" i="1" s="1"/>
  <c r="V1129" i="1" s="1"/>
  <c r="S1136" i="1"/>
  <c r="U1136" i="1" s="1"/>
  <c r="V1136" i="1" s="1"/>
  <c r="S1137" i="1"/>
  <c r="U1137" i="1" s="1"/>
  <c r="V1137" i="1" s="1"/>
  <c r="S1141" i="1"/>
  <c r="U1141" i="1" s="1"/>
  <c r="V1141" i="1" s="1"/>
  <c r="S1135" i="1"/>
  <c r="U1135" i="1" s="1"/>
  <c r="V1135" i="1" s="1"/>
  <c r="S1139" i="1"/>
  <c r="U1139" i="1" s="1"/>
  <c r="V1139" i="1" s="1"/>
  <c r="S1138" i="1"/>
  <c r="U1138" i="1" s="1"/>
  <c r="V1138" i="1" s="1"/>
  <c r="S1134" i="1"/>
  <c r="U1134" i="1" s="1"/>
  <c r="V1134" i="1" s="1"/>
  <c r="S1140" i="1"/>
  <c r="U1140" i="1" s="1"/>
  <c r="V1140" i="1" s="1"/>
  <c r="S1157" i="1"/>
  <c r="U1157" i="1" s="1"/>
  <c r="V1157" i="1" s="1"/>
  <c r="S1156" i="1"/>
  <c r="U1156" i="1" s="1"/>
  <c r="V1156" i="1" s="1"/>
  <c r="S1158" i="1"/>
  <c r="U1158" i="1" s="1"/>
  <c r="V1158" i="1" s="1"/>
  <c r="S1160" i="1"/>
  <c r="U1160" i="1" s="1"/>
  <c r="V1160" i="1" s="1"/>
  <c r="S1163" i="1"/>
  <c r="U1163" i="1" s="1"/>
  <c r="V1163" i="1" s="1"/>
  <c r="S1165" i="1"/>
  <c r="U1165" i="1" s="1"/>
  <c r="V1165" i="1" s="1"/>
  <c r="S1161" i="1"/>
  <c r="U1161" i="1" s="1"/>
  <c r="V1161" i="1" s="1"/>
  <c r="S1162" i="1"/>
  <c r="U1162" i="1" s="1"/>
  <c r="V1162" i="1" s="1"/>
  <c r="S1164" i="1"/>
  <c r="U1164" i="1" s="1"/>
  <c r="V1164" i="1" s="1"/>
  <c r="S1167" i="1"/>
  <c r="U1167" i="1" s="1"/>
  <c r="V1167" i="1" s="1"/>
  <c r="S1166" i="1"/>
  <c r="U1166" i="1" s="1"/>
  <c r="V1166" i="1" s="1"/>
  <c r="S1168" i="1"/>
  <c r="U1168" i="1" s="1"/>
  <c r="V1168" i="1" s="1"/>
  <c r="S1169" i="1"/>
  <c r="U1169" i="1" s="1"/>
  <c r="V1169" i="1" s="1"/>
  <c r="S1159" i="1"/>
  <c r="U1159" i="1" s="1"/>
  <c r="V1159" i="1" s="1"/>
  <c r="S1170" i="1"/>
  <c r="U1170" i="1" s="1"/>
  <c r="V1170" i="1" s="1"/>
  <c r="S1178" i="1"/>
  <c r="U1178" i="1" s="1"/>
  <c r="V1178" i="1" s="1"/>
  <c r="S1173" i="1"/>
  <c r="U1173" i="1" s="1"/>
  <c r="V1173" i="1" s="1"/>
  <c r="S1171" i="1"/>
  <c r="U1171" i="1" s="1"/>
  <c r="V1171" i="1" s="1"/>
  <c r="S1175" i="1"/>
  <c r="U1175" i="1" s="1"/>
  <c r="V1175" i="1" s="1"/>
  <c r="S1180" i="1"/>
  <c r="U1180" i="1" s="1"/>
  <c r="V1180" i="1" s="1"/>
  <c r="S1177" i="1"/>
  <c r="U1177" i="1" s="1"/>
  <c r="V1177" i="1" s="1"/>
  <c r="S1184" i="1"/>
  <c r="U1184" i="1" s="1"/>
  <c r="V1184" i="1" s="1"/>
  <c r="S1174" i="1"/>
  <c r="U1174" i="1" s="1"/>
  <c r="V1174" i="1" s="1"/>
  <c r="S1183" i="1"/>
  <c r="U1183" i="1" s="1"/>
  <c r="V1183" i="1" s="1"/>
  <c r="S1182" i="1"/>
  <c r="U1182" i="1" s="1"/>
  <c r="V1182" i="1" s="1"/>
  <c r="S1179" i="1"/>
  <c r="U1179" i="1" s="1"/>
  <c r="V1179" i="1" s="1"/>
  <c r="S1172" i="1"/>
  <c r="U1172" i="1" s="1"/>
  <c r="V1172" i="1" s="1"/>
  <c r="S1181" i="1"/>
  <c r="U1181" i="1" s="1"/>
  <c r="V1181" i="1" s="1"/>
  <c r="S1176" i="1"/>
  <c r="U1176" i="1" s="1"/>
  <c r="V1176" i="1" s="1"/>
  <c r="S1187" i="1"/>
  <c r="U1187" i="1" s="1"/>
  <c r="V1187" i="1" s="1"/>
  <c r="S1186" i="1"/>
  <c r="U1186" i="1" s="1"/>
  <c r="V1186" i="1" s="1"/>
  <c r="S1185" i="1"/>
  <c r="U1185" i="1" s="1"/>
  <c r="V1185" i="1" s="1"/>
  <c r="S1188" i="1"/>
  <c r="U1188" i="1" s="1"/>
  <c r="V1188" i="1" s="1"/>
  <c r="S1189" i="1"/>
  <c r="U1189" i="1" s="1"/>
  <c r="V1189" i="1" s="1"/>
  <c r="S1190" i="1"/>
  <c r="U1190" i="1" s="1"/>
  <c r="V1190" i="1" s="1"/>
  <c r="S1193" i="1"/>
  <c r="U1193" i="1" s="1"/>
  <c r="V1193" i="1" s="1"/>
  <c r="S1192" i="1"/>
  <c r="U1192" i="1" s="1"/>
  <c r="V1192" i="1" s="1"/>
  <c r="S1194" i="1"/>
  <c r="U1194" i="1" s="1"/>
  <c r="V1194" i="1" s="1"/>
  <c r="S1195" i="1"/>
  <c r="U1195" i="1" s="1"/>
  <c r="V1195" i="1" s="1"/>
  <c r="S1191" i="1"/>
  <c r="U1191" i="1" s="1"/>
  <c r="V1191" i="1" s="1"/>
  <c r="S1196" i="1"/>
  <c r="U1196" i="1" s="1"/>
  <c r="V1196" i="1" s="1"/>
  <c r="S1197" i="1"/>
  <c r="U1197" i="1" s="1"/>
  <c r="V1197" i="1" s="1"/>
  <c r="S1201" i="1"/>
  <c r="U1201" i="1" s="1"/>
  <c r="V1201" i="1" s="1"/>
  <c r="S1203" i="1"/>
  <c r="U1203" i="1" s="1"/>
  <c r="V1203" i="1" s="1"/>
  <c r="S1202" i="1"/>
  <c r="U1202" i="1" s="1"/>
  <c r="V1202" i="1" s="1"/>
  <c r="S1204" i="1"/>
  <c r="U1204" i="1" s="1"/>
  <c r="V1204" i="1" s="1"/>
  <c r="S1199" i="1"/>
  <c r="U1199" i="1" s="1"/>
  <c r="V1199" i="1" s="1"/>
  <c r="S1198" i="1"/>
  <c r="U1198" i="1" s="1"/>
  <c r="V1198" i="1" s="1"/>
  <c r="S1200" i="1"/>
  <c r="U1200" i="1" s="1"/>
  <c r="V1200" i="1" s="1"/>
  <c r="S1206" i="1"/>
  <c r="U1206" i="1" s="1"/>
  <c r="V1206" i="1" s="1"/>
  <c r="S1205" i="1"/>
  <c r="U1205" i="1" s="1"/>
  <c r="V1205" i="1" s="1"/>
  <c r="S1208" i="1"/>
  <c r="U1208" i="1" s="1"/>
  <c r="V1208" i="1" s="1"/>
  <c r="S1207" i="1"/>
  <c r="U1207" i="1" s="1"/>
  <c r="V1207" i="1" s="1"/>
  <c r="S1224" i="1"/>
  <c r="U1224" i="1" s="1"/>
  <c r="V1224" i="1" s="1"/>
  <c r="S1223" i="1"/>
  <c r="U1223" i="1" s="1"/>
  <c r="V1223" i="1" s="1"/>
  <c r="S1227" i="1"/>
  <c r="U1227" i="1" s="1"/>
  <c r="V1227" i="1" s="1"/>
  <c r="S1229" i="1"/>
  <c r="U1229" i="1" s="1"/>
  <c r="V1229" i="1" s="1"/>
  <c r="S1225" i="1"/>
  <c r="U1225" i="1" s="1"/>
  <c r="V1225" i="1" s="1"/>
  <c r="S1233" i="1"/>
  <c r="U1233" i="1" s="1"/>
  <c r="V1233" i="1" s="1"/>
  <c r="S1231" i="1"/>
  <c r="U1231" i="1" s="1"/>
  <c r="V1231" i="1" s="1"/>
  <c r="S1226" i="1"/>
  <c r="U1226" i="1" s="1"/>
  <c r="V1226" i="1" s="1"/>
  <c r="S1228" i="1"/>
  <c r="U1228" i="1" s="1"/>
  <c r="V1228" i="1" s="1"/>
  <c r="S1230" i="1"/>
  <c r="U1230" i="1" s="1"/>
  <c r="V1230" i="1" s="1"/>
  <c r="S1232" i="1"/>
  <c r="U1232" i="1" s="1"/>
  <c r="V1232" i="1" s="1"/>
  <c r="S1217" i="1"/>
  <c r="U1217" i="1" s="1"/>
  <c r="V1217" i="1" s="1"/>
  <c r="S1215" i="1"/>
  <c r="U1215" i="1" s="1"/>
  <c r="V1215" i="1" s="1"/>
  <c r="S1214" i="1"/>
  <c r="U1214" i="1" s="1"/>
  <c r="V1214" i="1" s="1"/>
  <c r="S1216" i="1"/>
  <c r="U1216" i="1" s="1"/>
  <c r="V1216" i="1" s="1"/>
  <c r="S1213" i="1"/>
  <c r="U1213" i="1" s="1"/>
  <c r="V1213" i="1" s="1"/>
  <c r="S1212" i="1"/>
  <c r="U1212" i="1" s="1"/>
  <c r="V1212" i="1" s="1"/>
  <c r="S1211" i="1"/>
  <c r="U1211" i="1" s="1"/>
  <c r="V1211" i="1" s="1"/>
  <c r="S1210" i="1"/>
  <c r="U1210" i="1" s="1"/>
  <c r="V1210" i="1" s="1"/>
  <c r="S1219" i="1"/>
  <c r="U1219" i="1" s="1"/>
  <c r="V1219" i="1" s="1"/>
  <c r="S1221" i="1"/>
  <c r="U1221" i="1" s="1"/>
  <c r="V1221" i="1" s="1"/>
  <c r="S1218" i="1"/>
  <c r="U1218" i="1" s="1"/>
  <c r="V1218" i="1" s="1"/>
  <c r="S1209" i="1"/>
  <c r="U1209" i="1" s="1"/>
  <c r="V1209" i="1" s="1"/>
  <c r="S1220" i="1"/>
  <c r="U1220" i="1" s="1"/>
  <c r="V1220" i="1" s="1"/>
  <c r="S1222" i="1"/>
  <c r="U1222" i="1" s="1"/>
  <c r="V1222" i="1" s="1"/>
  <c r="S1234" i="1"/>
  <c r="U1234" i="1" s="1"/>
  <c r="V1234" i="1" s="1"/>
  <c r="S1237" i="1"/>
  <c r="U1237" i="1" s="1"/>
  <c r="V1237" i="1" s="1"/>
  <c r="S1239" i="1"/>
  <c r="U1239" i="1" s="1"/>
  <c r="V1239" i="1" s="1"/>
  <c r="S1236" i="1"/>
  <c r="U1236" i="1" s="1"/>
  <c r="V1236" i="1" s="1"/>
  <c r="S1238" i="1"/>
  <c r="U1238" i="1" s="1"/>
  <c r="V1238" i="1" s="1"/>
  <c r="S1235" i="1"/>
  <c r="U1235" i="1" s="1"/>
  <c r="V1235" i="1" s="1"/>
  <c r="S1241" i="1"/>
  <c r="U1241" i="1" s="1"/>
  <c r="V1241" i="1" s="1"/>
  <c r="S1240" i="1"/>
  <c r="U1240" i="1" s="1"/>
  <c r="V1240" i="1" s="1"/>
  <c r="S1243" i="1"/>
  <c r="U1243" i="1" s="1"/>
  <c r="V1243" i="1" s="1"/>
  <c r="S1242" i="1"/>
  <c r="U1242" i="1" s="1"/>
  <c r="V1242" i="1" s="1"/>
  <c r="S1244" i="1"/>
  <c r="U1244" i="1" s="1"/>
  <c r="V1244" i="1" s="1"/>
  <c r="S1246" i="1"/>
  <c r="U1246" i="1" s="1"/>
  <c r="V1246" i="1" s="1"/>
  <c r="S1245" i="1"/>
  <c r="U1245" i="1" s="1"/>
  <c r="V1245" i="1" s="1"/>
  <c r="S1090" i="1"/>
  <c r="U1090" i="1" s="1"/>
  <c r="V1090" i="1" s="1"/>
  <c r="S1091" i="1"/>
  <c r="U1091" i="1" s="1"/>
  <c r="V1091" i="1" s="1"/>
  <c r="S1093" i="1"/>
  <c r="U1093" i="1" s="1"/>
  <c r="V1093" i="1" s="1"/>
  <c r="S1096" i="1"/>
  <c r="U1096" i="1" s="1"/>
  <c r="V1096" i="1" s="1"/>
  <c r="S1099" i="1"/>
  <c r="U1099" i="1" s="1"/>
  <c r="V1099" i="1" s="1"/>
  <c r="S1095" i="1"/>
  <c r="U1095" i="1" s="1"/>
  <c r="V1095" i="1" s="1"/>
  <c r="S1098" i="1"/>
  <c r="U1098" i="1" s="1"/>
  <c r="V1098" i="1" s="1"/>
  <c r="S1097" i="1"/>
  <c r="U1097" i="1" s="1"/>
  <c r="V1097" i="1" s="1"/>
  <c r="S1100" i="1"/>
  <c r="U1100" i="1" s="1"/>
  <c r="V1100" i="1" s="1"/>
  <c r="S1101" i="1"/>
  <c r="U1101" i="1" s="1"/>
  <c r="V1101" i="1" s="1"/>
  <c r="S1092" i="1"/>
  <c r="U1092" i="1" s="1"/>
  <c r="V1092" i="1" s="1"/>
  <c r="S1094" i="1"/>
  <c r="U1094" i="1" s="1"/>
  <c r="V1094" i="1" s="1"/>
  <c r="S1107" i="1"/>
  <c r="U1107" i="1" s="1"/>
  <c r="V1107" i="1" s="1"/>
  <c r="S1102" i="1"/>
  <c r="U1102" i="1" s="1"/>
  <c r="V1102" i="1" s="1"/>
  <c r="S1105" i="1"/>
  <c r="U1105" i="1" s="1"/>
  <c r="V1105" i="1" s="1"/>
  <c r="S1103" i="1"/>
  <c r="U1103" i="1" s="1"/>
  <c r="V1103" i="1" s="1"/>
  <c r="S1104" i="1"/>
  <c r="U1104" i="1" s="1"/>
  <c r="V1104" i="1" s="1"/>
  <c r="S1109" i="1"/>
  <c r="U1109" i="1" s="1"/>
  <c r="V1109" i="1" s="1"/>
  <c r="S1110" i="1"/>
  <c r="U1110" i="1" s="1"/>
  <c r="V1110" i="1" s="1"/>
  <c r="S1111" i="1"/>
  <c r="U1111" i="1" s="1"/>
  <c r="V1111" i="1" s="1"/>
  <c r="S1112" i="1"/>
  <c r="U1112" i="1" s="1"/>
  <c r="V1112" i="1" s="1"/>
  <c r="S963" i="1"/>
  <c r="U963" i="1" s="1"/>
  <c r="V963" i="1" s="1"/>
  <c r="S968" i="1"/>
  <c r="U968" i="1" s="1"/>
  <c r="V968" i="1" s="1"/>
  <c r="S965" i="1"/>
  <c r="U965" i="1" s="1"/>
  <c r="V965" i="1" s="1"/>
  <c r="S966" i="1"/>
  <c r="U966" i="1" s="1"/>
  <c r="V966" i="1" s="1"/>
  <c r="S964" i="1"/>
  <c r="U964" i="1" s="1"/>
  <c r="V964" i="1" s="1"/>
  <c r="S970" i="1"/>
  <c r="U970" i="1" s="1"/>
  <c r="V970" i="1" s="1"/>
  <c r="S967" i="1"/>
  <c r="U967" i="1" s="1"/>
  <c r="V967" i="1" s="1"/>
  <c r="S972" i="1"/>
  <c r="U972" i="1" s="1"/>
  <c r="V972" i="1" s="1"/>
  <c r="S969" i="1"/>
  <c r="U969" i="1" s="1"/>
  <c r="V969" i="1" s="1"/>
  <c r="S971" i="1"/>
  <c r="U971" i="1" s="1"/>
  <c r="V971" i="1" s="1"/>
  <c r="S973" i="1"/>
  <c r="U973" i="1" s="1"/>
  <c r="V973" i="1" s="1"/>
  <c r="S975" i="1"/>
  <c r="U975" i="1" s="1"/>
  <c r="V975" i="1" s="1"/>
  <c r="S974" i="1"/>
  <c r="U974" i="1" s="1"/>
  <c r="V974" i="1" s="1"/>
  <c r="S894" i="1"/>
  <c r="U894" i="1" s="1"/>
  <c r="V894" i="1" s="1"/>
  <c r="S895" i="1"/>
  <c r="U895" i="1" s="1"/>
  <c r="V895" i="1" s="1"/>
  <c r="S899" i="1"/>
  <c r="U899" i="1" s="1"/>
  <c r="V899" i="1" s="1"/>
  <c r="S896" i="1"/>
  <c r="U896" i="1" s="1"/>
  <c r="V896" i="1" s="1"/>
  <c r="S906" i="1"/>
  <c r="U906" i="1" s="1"/>
  <c r="V906" i="1" s="1"/>
  <c r="S903" i="1"/>
  <c r="U903" i="1" s="1"/>
  <c r="V903" i="1" s="1"/>
  <c r="S898" i="1"/>
  <c r="U898" i="1" s="1"/>
  <c r="V898" i="1" s="1"/>
  <c r="S908" i="1"/>
  <c r="U908" i="1" s="1"/>
  <c r="V908" i="1" s="1"/>
  <c r="S897" i="1"/>
  <c r="U897" i="1" s="1"/>
  <c r="V897" i="1" s="1"/>
  <c r="S902" i="1"/>
  <c r="U902" i="1" s="1"/>
  <c r="V902" i="1" s="1"/>
  <c r="S905" i="1"/>
  <c r="U905" i="1" s="1"/>
  <c r="V905" i="1" s="1"/>
  <c r="S904" i="1"/>
  <c r="U904" i="1" s="1"/>
  <c r="V904" i="1" s="1"/>
  <c r="S901" i="1"/>
  <c r="U901" i="1" s="1"/>
  <c r="V901" i="1" s="1"/>
  <c r="S907" i="1"/>
  <c r="U907" i="1" s="1"/>
  <c r="V907" i="1" s="1"/>
  <c r="S909" i="1"/>
  <c r="U909" i="1" s="1"/>
  <c r="V909" i="1" s="1"/>
  <c r="S900" i="1"/>
  <c r="U900" i="1" s="1"/>
  <c r="V900" i="1" s="1"/>
  <c r="S211" i="1"/>
  <c r="U211" i="1" s="1"/>
  <c r="V211" i="1" s="1"/>
  <c r="S210" i="1"/>
  <c r="U210" i="1" s="1"/>
  <c r="V210" i="1" s="1"/>
  <c r="S212" i="1"/>
  <c r="U212" i="1" s="1"/>
  <c r="V212" i="1" s="1"/>
  <c r="S214" i="1"/>
  <c r="U214" i="1" s="1"/>
  <c r="V214" i="1" s="1"/>
  <c r="S213" i="1"/>
  <c r="U213" i="1" s="1"/>
  <c r="V213" i="1" s="1"/>
  <c r="S216" i="1"/>
  <c r="U216" i="1" s="1"/>
  <c r="V216" i="1" s="1"/>
  <c r="S215" i="1"/>
  <c r="U215" i="1" s="1"/>
  <c r="V215" i="1" s="1"/>
  <c r="S218" i="1"/>
  <c r="U218" i="1" s="1"/>
  <c r="V218" i="1" s="1"/>
  <c r="S219" i="1"/>
  <c r="U219" i="1" s="1"/>
  <c r="V219" i="1" s="1"/>
  <c r="S222" i="1"/>
  <c r="U222" i="1" s="1"/>
  <c r="V222" i="1" s="1"/>
  <c r="S221" i="1"/>
  <c r="U221" i="1" s="1"/>
  <c r="V221" i="1" s="1"/>
  <c r="S220" i="1"/>
  <c r="U220" i="1" s="1"/>
  <c r="V220" i="1" s="1"/>
  <c r="S217" i="1"/>
  <c r="U217" i="1" s="1"/>
  <c r="V217" i="1" s="1"/>
  <c r="S915" i="1"/>
  <c r="U915" i="1" s="1"/>
  <c r="V915" i="1" s="1"/>
  <c r="S919" i="1"/>
  <c r="U919" i="1" s="1"/>
  <c r="V919" i="1" s="1"/>
  <c r="S910" i="1"/>
  <c r="U910" i="1" s="1"/>
  <c r="V910" i="1" s="1"/>
  <c r="S911" i="1"/>
  <c r="U911" i="1" s="1"/>
  <c r="V911" i="1" s="1"/>
  <c r="S914" i="1"/>
  <c r="U914" i="1" s="1"/>
  <c r="V914" i="1" s="1"/>
  <c r="S916" i="1"/>
  <c r="U916" i="1" s="1"/>
  <c r="V916" i="1" s="1"/>
  <c r="S913" i="1"/>
  <c r="U913" i="1" s="1"/>
  <c r="V913" i="1" s="1"/>
  <c r="S917" i="1"/>
  <c r="U917" i="1" s="1"/>
  <c r="V917" i="1" s="1"/>
  <c r="S912" i="1"/>
  <c r="U912" i="1" s="1"/>
  <c r="V912" i="1" s="1"/>
  <c r="S918" i="1"/>
  <c r="U918" i="1" s="1"/>
  <c r="V918" i="1" s="1"/>
  <c r="S922" i="1"/>
  <c r="U922" i="1" s="1"/>
  <c r="V922" i="1" s="1"/>
  <c r="S920" i="1"/>
  <c r="U920" i="1" s="1"/>
  <c r="V920" i="1" s="1"/>
  <c r="S921" i="1"/>
  <c r="U921" i="1" s="1"/>
  <c r="V921" i="1" s="1"/>
  <c r="S923" i="1"/>
  <c r="U923" i="1" s="1"/>
  <c r="V923" i="1" s="1"/>
  <c r="S131" i="1"/>
  <c r="U131" i="1" s="1"/>
  <c r="V131" i="1" s="1"/>
  <c r="S135" i="1"/>
  <c r="U135" i="1" s="1"/>
  <c r="V135" i="1" s="1"/>
  <c r="S133" i="1"/>
  <c r="U133" i="1" s="1"/>
  <c r="V133" i="1" s="1"/>
  <c r="S134" i="1"/>
  <c r="U134" i="1" s="1"/>
  <c r="V134" i="1" s="1"/>
  <c r="S132" i="1"/>
  <c r="U132" i="1" s="1"/>
  <c r="V132" i="1" s="1"/>
  <c r="S130" i="1"/>
  <c r="U130" i="1" s="1"/>
  <c r="V130" i="1" s="1"/>
  <c r="S137" i="1"/>
  <c r="U137" i="1" s="1"/>
  <c r="V137" i="1" s="1"/>
  <c r="S136" i="1"/>
  <c r="U136" i="1" s="1"/>
  <c r="V136" i="1" s="1"/>
  <c r="S141" i="1"/>
  <c r="U141" i="1" s="1"/>
  <c r="V141" i="1" s="1"/>
  <c r="S138" i="1"/>
  <c r="U138" i="1" s="1"/>
  <c r="V138" i="1" s="1"/>
  <c r="S139" i="1"/>
  <c r="U139" i="1" s="1"/>
  <c r="V139" i="1" s="1"/>
  <c r="S142" i="1"/>
  <c r="U142" i="1" s="1"/>
  <c r="V142" i="1" s="1"/>
  <c r="S140" i="1"/>
  <c r="U140" i="1" s="1"/>
  <c r="V140" i="1" s="1"/>
  <c r="S143" i="1"/>
  <c r="U143" i="1" s="1"/>
  <c r="V143" i="1" s="1"/>
  <c r="S124" i="1"/>
  <c r="U124" i="1" s="1"/>
  <c r="V124" i="1" s="1"/>
  <c r="S116" i="1"/>
  <c r="U116" i="1" s="1"/>
  <c r="V116" i="1" s="1"/>
  <c r="S117" i="1"/>
  <c r="U117" i="1" s="1"/>
  <c r="V117" i="1" s="1"/>
  <c r="S120" i="1"/>
  <c r="U120" i="1" s="1"/>
  <c r="V120" i="1" s="1"/>
  <c r="S123" i="1"/>
  <c r="U123" i="1" s="1"/>
  <c r="V123" i="1" s="1"/>
  <c r="S118" i="1"/>
  <c r="U118" i="1" s="1"/>
  <c r="V118" i="1" s="1"/>
  <c r="S121" i="1"/>
  <c r="U121" i="1" s="1"/>
  <c r="V121" i="1" s="1"/>
  <c r="S127" i="1"/>
  <c r="U127" i="1" s="1"/>
  <c r="V127" i="1" s="1"/>
  <c r="S122" i="1"/>
  <c r="U122" i="1" s="1"/>
  <c r="V122" i="1" s="1"/>
  <c r="S125" i="1"/>
  <c r="U125" i="1" s="1"/>
  <c r="V125" i="1" s="1"/>
  <c r="S126" i="1"/>
  <c r="U126" i="1" s="1"/>
  <c r="V126" i="1" s="1"/>
  <c r="S119" i="1"/>
  <c r="U119" i="1" s="1"/>
  <c r="V119" i="1" s="1"/>
  <c r="S129" i="1"/>
  <c r="U129" i="1" s="1"/>
  <c r="V129" i="1" s="1"/>
  <c r="S128" i="1"/>
  <c r="U128" i="1" s="1"/>
  <c r="V128" i="1" s="1"/>
  <c r="S512" i="1"/>
  <c r="U512" i="1" s="1"/>
  <c r="V512" i="1" s="1"/>
  <c r="S514" i="1"/>
  <c r="U514" i="1" s="1"/>
  <c r="V514" i="1" s="1"/>
  <c r="S486" i="1"/>
  <c r="U486" i="1" s="1"/>
  <c r="V486" i="1" s="1"/>
  <c r="S489" i="1"/>
  <c r="U489" i="1" s="1"/>
  <c r="V489" i="1" s="1"/>
  <c r="S493" i="1"/>
  <c r="U493" i="1" s="1"/>
  <c r="V493" i="1" s="1"/>
  <c r="S495" i="1"/>
  <c r="U495" i="1" s="1"/>
  <c r="V495" i="1" s="1"/>
  <c r="S490" i="1"/>
  <c r="U490" i="1" s="1"/>
  <c r="V490" i="1" s="1"/>
  <c r="S491" i="1"/>
  <c r="U491" i="1" s="1"/>
  <c r="V491" i="1" s="1"/>
  <c r="S497" i="1"/>
  <c r="U497" i="1" s="1"/>
  <c r="V497" i="1" s="1"/>
  <c r="S496" i="1"/>
  <c r="U496" i="1" s="1"/>
  <c r="V496" i="1" s="1"/>
  <c r="S488" i="1"/>
  <c r="U488" i="1" s="1"/>
  <c r="V488" i="1" s="1"/>
  <c r="S498" i="1"/>
  <c r="U498" i="1" s="1"/>
  <c r="V498" i="1" s="1"/>
  <c r="S494" i="1"/>
  <c r="U494" i="1" s="1"/>
  <c r="V494" i="1" s="1"/>
  <c r="S499" i="1"/>
  <c r="U499" i="1" s="1"/>
  <c r="V499" i="1" s="1"/>
  <c r="S487" i="1"/>
  <c r="U487" i="1" s="1"/>
  <c r="V487" i="1" s="1"/>
  <c r="S492" i="1"/>
  <c r="U492" i="1" s="1"/>
  <c r="V492" i="1" s="1"/>
  <c r="S500" i="1"/>
  <c r="U500" i="1" s="1"/>
  <c r="V500" i="1" s="1"/>
  <c r="U871" i="1"/>
  <c r="V871" i="1" s="1"/>
  <c r="U539" i="1"/>
  <c r="V539" i="1" s="1"/>
  <c r="U344" i="1"/>
  <c r="V344" i="1" s="1"/>
  <c r="U781" i="1"/>
  <c r="V781" i="1" s="1"/>
  <c r="U692" i="1"/>
  <c r="V692" i="1" s="1"/>
  <c r="U34" i="1"/>
  <c r="V34" i="1" s="1"/>
  <c r="U40" i="1"/>
  <c r="V40" i="1" s="1"/>
  <c r="S251" i="1"/>
  <c r="X251" i="1"/>
  <c r="X255" i="1"/>
  <c r="X253" i="1"/>
  <c r="X252" i="1"/>
  <c r="X257" i="1"/>
  <c r="X254" i="1"/>
  <c r="X260" i="1"/>
  <c r="X256" i="1"/>
  <c r="X258" i="1"/>
  <c r="X261" i="1"/>
  <c r="X263" i="1"/>
  <c r="X259" i="1"/>
  <c r="X262" i="1"/>
  <c r="X264" i="1"/>
  <c r="X265" i="1"/>
  <c r="X266" i="1"/>
  <c r="X268" i="1"/>
  <c r="X267" i="1"/>
  <c r="X270" i="1"/>
  <c r="X269" i="1"/>
  <c r="X273" i="1"/>
  <c r="X271" i="1"/>
  <c r="X272" i="1"/>
  <c r="X274" i="1"/>
  <c r="X276" i="1"/>
  <c r="X275" i="1"/>
  <c r="X78" i="1"/>
  <c r="X80" i="1"/>
  <c r="X81" i="1"/>
  <c r="X88" i="1"/>
  <c r="X83" i="1"/>
  <c r="X85" i="1"/>
  <c r="X86" i="1"/>
  <c r="X79" i="1"/>
  <c r="X89" i="1"/>
  <c r="X84" i="1"/>
  <c r="X90" i="1"/>
  <c r="X87" i="1"/>
  <c r="X82" i="1"/>
  <c r="X238" i="1"/>
  <c r="X239" i="1"/>
  <c r="X240" i="1"/>
  <c r="X241" i="1"/>
  <c r="X242" i="1"/>
  <c r="X245" i="1"/>
  <c r="X246" i="1"/>
  <c r="X247" i="1"/>
  <c r="X243" i="1"/>
  <c r="X250" i="1"/>
  <c r="X248" i="1"/>
  <c r="X244" i="1"/>
  <c r="X249" i="1"/>
  <c r="X825" i="1"/>
  <c r="X826" i="1"/>
  <c r="X827" i="1"/>
  <c r="X828" i="1"/>
  <c r="X829" i="1"/>
  <c r="X830" i="1"/>
  <c r="X831" i="1"/>
  <c r="X832" i="1"/>
  <c r="X833" i="1"/>
  <c r="X834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423" i="1"/>
  <c r="X432" i="1"/>
  <c r="X431" i="1"/>
  <c r="X429" i="1"/>
  <c r="X425" i="1"/>
  <c r="X424" i="1"/>
  <c r="X428" i="1"/>
  <c r="X426" i="1"/>
  <c r="X427" i="1"/>
  <c r="X430" i="1"/>
  <c r="X434" i="1"/>
  <c r="X433" i="1"/>
  <c r="X1040" i="1"/>
  <c r="X1043" i="1"/>
  <c r="X1039" i="1"/>
  <c r="X1038" i="1"/>
  <c r="X1041" i="1"/>
  <c r="X1044" i="1"/>
  <c r="X1042" i="1"/>
  <c r="X1045" i="1"/>
  <c r="X1048" i="1"/>
  <c r="X1051" i="1"/>
  <c r="X1046" i="1"/>
  <c r="X1052" i="1"/>
  <c r="X1050" i="1"/>
  <c r="X1047" i="1"/>
  <c r="X1049" i="1"/>
  <c r="X1059" i="1"/>
  <c r="X1053" i="1"/>
  <c r="X1061" i="1"/>
  <c r="X1054" i="1"/>
  <c r="X1058" i="1"/>
  <c r="X1056" i="1"/>
  <c r="X1057" i="1"/>
  <c r="X1055" i="1"/>
  <c r="X1060" i="1"/>
  <c r="X1062" i="1"/>
  <c r="X1063" i="1"/>
  <c r="X1064" i="1"/>
  <c r="X1065" i="1"/>
  <c r="X1077" i="1"/>
  <c r="X1078" i="1"/>
  <c r="X1086" i="1"/>
  <c r="X1080" i="1"/>
  <c r="X1079" i="1"/>
  <c r="X1083" i="1"/>
  <c r="X1081" i="1"/>
  <c r="X1085" i="1"/>
  <c r="X1084" i="1"/>
  <c r="X1082" i="1"/>
  <c r="X1089" i="1"/>
  <c r="X1087" i="1"/>
  <c r="X1088" i="1"/>
  <c r="X1066" i="1"/>
  <c r="X1067" i="1"/>
  <c r="X1070" i="1"/>
  <c r="X1068" i="1"/>
  <c r="X1071" i="1"/>
  <c r="X1069" i="1"/>
  <c r="X1072" i="1"/>
  <c r="X1073" i="1"/>
  <c r="X1074" i="1"/>
  <c r="X1075" i="1"/>
  <c r="X1076" i="1"/>
  <c r="X1012" i="1"/>
  <c r="X1014" i="1"/>
  <c r="X1021" i="1"/>
  <c r="X1019" i="1"/>
  <c r="X1022" i="1"/>
  <c r="X1015" i="1"/>
  <c r="X1016" i="1"/>
  <c r="X1018" i="1"/>
  <c r="X1017" i="1"/>
  <c r="X1013" i="1"/>
  <c r="X1020" i="1"/>
  <c r="X1023" i="1"/>
  <c r="X1024" i="1"/>
  <c r="X1025" i="1"/>
  <c r="X1028" i="1"/>
  <c r="X1026" i="1"/>
  <c r="X1029" i="1"/>
  <c r="X1031" i="1"/>
  <c r="X1027" i="1"/>
  <c r="X1034" i="1"/>
  <c r="X1033" i="1"/>
  <c r="X1030" i="1"/>
  <c r="X1035" i="1"/>
  <c r="X1032" i="1"/>
  <c r="X1037" i="1"/>
  <c r="X1036" i="1"/>
  <c r="X157" i="1"/>
  <c r="X158" i="1"/>
  <c r="X159" i="1"/>
  <c r="X160" i="1"/>
  <c r="X161" i="1"/>
  <c r="X162" i="1"/>
  <c r="X163" i="1"/>
  <c r="X164" i="1"/>
  <c r="X165" i="1"/>
  <c r="X166" i="1"/>
  <c r="X167" i="1"/>
  <c r="X171" i="1"/>
  <c r="X169" i="1"/>
  <c r="X168" i="1"/>
  <c r="X173" i="1"/>
  <c r="X174" i="1"/>
  <c r="X178" i="1"/>
  <c r="X175" i="1"/>
  <c r="X170" i="1"/>
  <c r="X177" i="1"/>
  <c r="X172" i="1"/>
  <c r="X176" i="1"/>
  <c r="X179" i="1"/>
  <c r="X180" i="1"/>
  <c r="X305" i="1"/>
  <c r="X311" i="1"/>
  <c r="X306" i="1"/>
  <c r="X307" i="1"/>
  <c r="X310" i="1"/>
  <c r="X308" i="1"/>
  <c r="X309" i="1"/>
  <c r="X312" i="1"/>
  <c r="X313" i="1"/>
  <c r="X314" i="1"/>
  <c r="X316" i="1"/>
  <c r="X315" i="1"/>
  <c r="X297" i="1"/>
  <c r="X289" i="1"/>
  <c r="X291" i="1"/>
  <c r="X290" i="1"/>
  <c r="X294" i="1"/>
  <c r="X292" i="1"/>
  <c r="X296" i="1"/>
  <c r="X299" i="1"/>
  <c r="X298" i="1"/>
  <c r="X293" i="1"/>
  <c r="X295" i="1"/>
  <c r="X300" i="1"/>
  <c r="X301" i="1"/>
  <c r="X302" i="1"/>
  <c r="X303" i="1"/>
  <c r="X304" i="1"/>
  <c r="X284" i="1"/>
  <c r="X279" i="1"/>
  <c r="X283" i="1"/>
  <c r="X277" i="1"/>
  <c r="X278" i="1"/>
  <c r="X287" i="1"/>
  <c r="X282" i="1"/>
  <c r="X281" i="1"/>
  <c r="X280" i="1"/>
  <c r="X285" i="1"/>
  <c r="X286" i="1"/>
  <c r="X288" i="1"/>
  <c r="X3" i="1"/>
  <c r="X6" i="1"/>
  <c r="X5" i="1"/>
  <c r="X7" i="1"/>
  <c r="X2" i="1"/>
  <c r="X4" i="1"/>
  <c r="X10" i="1"/>
  <c r="X8" i="1"/>
  <c r="X9" i="1"/>
  <c r="X11" i="1"/>
  <c r="X12" i="1"/>
  <c r="X13" i="1"/>
  <c r="X924" i="1"/>
  <c r="X925" i="1"/>
  <c r="X926" i="1"/>
  <c r="X927" i="1"/>
  <c r="X928" i="1"/>
  <c r="X929" i="1"/>
  <c r="X930" i="1"/>
  <c r="X931" i="1"/>
  <c r="X932" i="1"/>
  <c r="X933" i="1"/>
  <c r="X935" i="1"/>
  <c r="X934" i="1"/>
  <c r="X936" i="1"/>
  <c r="X937" i="1"/>
  <c r="X940" i="1"/>
  <c r="X941" i="1"/>
  <c r="X938" i="1"/>
  <c r="X939" i="1"/>
  <c r="X942" i="1"/>
  <c r="X91" i="1"/>
  <c r="X92" i="1"/>
  <c r="X93" i="1"/>
  <c r="X94" i="1"/>
  <c r="X95" i="1"/>
  <c r="X96" i="1"/>
  <c r="X97" i="1"/>
  <c r="X98" i="1"/>
  <c r="X99" i="1"/>
  <c r="X100" i="1"/>
  <c r="X101" i="1"/>
  <c r="X370" i="1"/>
  <c r="X371" i="1"/>
  <c r="X368" i="1"/>
  <c r="X369" i="1"/>
  <c r="X372" i="1"/>
  <c r="X373" i="1"/>
  <c r="X375" i="1"/>
  <c r="X374" i="1"/>
  <c r="X377" i="1"/>
  <c r="X378" i="1"/>
  <c r="X376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181" i="1"/>
  <c r="X183" i="1"/>
  <c r="X185" i="1"/>
  <c r="X182" i="1"/>
  <c r="X186" i="1"/>
  <c r="X184" i="1"/>
  <c r="X190" i="1"/>
  <c r="X188" i="1"/>
  <c r="X187" i="1"/>
  <c r="X189" i="1"/>
  <c r="X195" i="1"/>
  <c r="X191" i="1"/>
  <c r="X193" i="1"/>
  <c r="X192" i="1"/>
  <c r="X194" i="1"/>
  <c r="X196" i="1"/>
  <c r="X199" i="1"/>
  <c r="X200" i="1"/>
  <c r="X201" i="1"/>
  <c r="X198" i="1"/>
  <c r="X209" i="1"/>
  <c r="X203" i="1"/>
  <c r="X205" i="1"/>
  <c r="X197" i="1"/>
  <c r="X202" i="1"/>
  <c r="X206" i="1"/>
  <c r="X207" i="1"/>
  <c r="X204" i="1"/>
  <c r="X208" i="1"/>
  <c r="X572" i="1"/>
  <c r="X571" i="1"/>
  <c r="X574" i="1"/>
  <c r="X577" i="1"/>
  <c r="X573" i="1"/>
  <c r="X570" i="1"/>
  <c r="X575" i="1"/>
  <c r="X583" i="1"/>
  <c r="X578" i="1"/>
  <c r="X581" i="1"/>
  <c r="X576" i="1"/>
  <c r="X580" i="1"/>
  <c r="X579" i="1"/>
  <c r="X582" i="1"/>
  <c r="X594" i="1"/>
  <c r="X597" i="1"/>
  <c r="X595" i="1"/>
  <c r="X604" i="1"/>
  <c r="X596" i="1"/>
  <c r="X599" i="1"/>
  <c r="X603" i="1"/>
  <c r="X600" i="1"/>
  <c r="X601" i="1"/>
  <c r="X598" i="1"/>
  <c r="X605" i="1"/>
  <c r="X606" i="1"/>
  <c r="X602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584" i="1"/>
  <c r="X593" i="1"/>
  <c r="X588" i="1"/>
  <c r="X591" i="1"/>
  <c r="X585" i="1"/>
  <c r="X587" i="1"/>
  <c r="X586" i="1"/>
  <c r="X589" i="1"/>
  <c r="X590" i="1"/>
  <c r="X592" i="1"/>
  <c r="X652" i="1"/>
  <c r="X653" i="1"/>
  <c r="X656" i="1"/>
  <c r="X658" i="1"/>
  <c r="X662" i="1"/>
  <c r="X657" i="1"/>
  <c r="X655" i="1"/>
  <c r="X660" i="1"/>
  <c r="X663" i="1"/>
  <c r="X661" i="1"/>
  <c r="X654" i="1"/>
  <c r="X665" i="1"/>
  <c r="X659" i="1"/>
  <c r="X664" i="1"/>
  <c r="X458" i="1"/>
  <c r="X463" i="1"/>
  <c r="X457" i="1"/>
  <c r="X460" i="1"/>
  <c r="X464" i="1"/>
  <c r="X462" i="1"/>
  <c r="X466" i="1"/>
  <c r="X461" i="1"/>
  <c r="X467" i="1"/>
  <c r="X470" i="1"/>
  <c r="X459" i="1"/>
  <c r="X469" i="1"/>
  <c r="X468" i="1"/>
  <c r="X465" i="1"/>
  <c r="X471" i="1"/>
  <c r="X836" i="1"/>
  <c r="X838" i="1"/>
  <c r="X839" i="1"/>
  <c r="X840" i="1"/>
  <c r="X844" i="1"/>
  <c r="X837" i="1"/>
  <c r="X841" i="1"/>
  <c r="X835" i="1"/>
  <c r="X843" i="1"/>
  <c r="X842" i="1"/>
  <c r="X845" i="1"/>
  <c r="X846" i="1"/>
  <c r="X849" i="1"/>
  <c r="X847" i="1"/>
  <c r="X848" i="1"/>
  <c r="X851" i="1"/>
  <c r="X850" i="1"/>
  <c r="X854" i="1"/>
  <c r="X853" i="1"/>
  <c r="X852" i="1"/>
  <c r="X855" i="1"/>
  <c r="X856" i="1"/>
  <c r="X1302" i="1"/>
  <c r="X1300" i="1"/>
  <c r="X1303" i="1"/>
  <c r="X1299" i="1"/>
  <c r="X1305" i="1"/>
  <c r="X1307" i="1"/>
  <c r="X1306" i="1"/>
  <c r="X1308" i="1"/>
  <c r="X1304" i="1"/>
  <c r="X1311" i="1"/>
  <c r="X1301" i="1"/>
  <c r="X1309" i="1"/>
  <c r="X1312" i="1"/>
  <c r="X1310" i="1"/>
  <c r="X1328" i="1"/>
  <c r="X1330" i="1"/>
  <c r="X1329" i="1"/>
  <c r="X1332" i="1"/>
  <c r="X1333" i="1"/>
  <c r="X1335" i="1"/>
  <c r="X1331" i="1"/>
  <c r="X1327" i="1"/>
  <c r="X1336" i="1"/>
  <c r="X1334" i="1"/>
  <c r="X1337" i="1"/>
  <c r="X1338" i="1"/>
  <c r="X1353" i="1"/>
  <c r="X1351" i="1"/>
  <c r="X1354" i="1"/>
  <c r="X1357" i="1"/>
  <c r="X1352" i="1"/>
  <c r="X1356" i="1"/>
  <c r="X1355" i="1"/>
  <c r="X1360" i="1"/>
  <c r="X1358" i="1"/>
  <c r="X1359" i="1"/>
  <c r="X1276" i="1"/>
  <c r="X1278" i="1"/>
  <c r="X1274" i="1"/>
  <c r="X1277" i="1"/>
  <c r="X1281" i="1"/>
  <c r="X1273" i="1"/>
  <c r="X1279" i="1"/>
  <c r="X1272" i="1"/>
  <c r="X1275" i="1"/>
  <c r="X1280" i="1"/>
  <c r="X1282" i="1"/>
  <c r="X1283" i="1"/>
  <c r="X1285" i="1"/>
  <c r="X1284" i="1"/>
  <c r="X1289" i="1"/>
  <c r="X1288" i="1"/>
  <c r="X1291" i="1"/>
  <c r="X1292" i="1"/>
  <c r="X1290" i="1"/>
  <c r="X1287" i="1"/>
  <c r="X1286" i="1"/>
  <c r="X1294" i="1"/>
  <c r="X1293" i="1"/>
  <c r="X1296" i="1"/>
  <c r="X1297" i="1"/>
  <c r="X1295" i="1"/>
  <c r="X1298" i="1"/>
  <c r="X1318" i="1"/>
  <c r="X1313" i="1"/>
  <c r="X1319" i="1"/>
  <c r="X1316" i="1"/>
  <c r="X1320" i="1"/>
  <c r="X1321" i="1"/>
  <c r="X1315" i="1"/>
  <c r="X1317" i="1"/>
  <c r="X1322" i="1"/>
  <c r="X1314" i="1"/>
  <c r="X1323" i="1"/>
  <c r="X1325" i="1"/>
  <c r="X1324" i="1"/>
  <c r="X1326" i="1"/>
  <c r="X1339" i="1"/>
  <c r="X1341" i="1"/>
  <c r="X1345" i="1"/>
  <c r="X1344" i="1"/>
  <c r="X1340" i="1"/>
  <c r="X1346" i="1"/>
  <c r="X1342" i="1"/>
  <c r="X1343" i="1"/>
  <c r="X1347" i="1"/>
  <c r="X1348" i="1"/>
  <c r="X1349" i="1"/>
  <c r="X1350" i="1"/>
  <c r="X1363" i="1"/>
  <c r="X1364" i="1"/>
  <c r="X1366" i="1"/>
  <c r="X1362" i="1"/>
  <c r="X1367" i="1"/>
  <c r="X1365" i="1"/>
  <c r="X1361" i="1"/>
  <c r="X1368" i="1"/>
  <c r="X1369" i="1"/>
  <c r="X1370" i="1"/>
  <c r="X1372" i="1"/>
  <c r="X1371" i="1"/>
  <c r="X1248" i="1"/>
  <c r="X1251" i="1"/>
  <c r="X1255" i="1"/>
  <c r="X1249" i="1"/>
  <c r="X1247" i="1"/>
  <c r="X1250" i="1"/>
  <c r="X1253" i="1"/>
  <c r="X1252" i="1"/>
  <c r="X1254" i="1"/>
  <c r="X1257" i="1"/>
  <c r="X1256" i="1"/>
  <c r="X1258" i="1"/>
  <c r="X1259" i="1"/>
  <c r="X1260" i="1"/>
  <c r="X1262" i="1"/>
  <c r="X1264" i="1"/>
  <c r="X1261" i="1"/>
  <c r="X1267" i="1"/>
  <c r="X1268" i="1"/>
  <c r="X1270" i="1"/>
  <c r="X1271" i="1"/>
  <c r="X1269" i="1"/>
  <c r="X1263" i="1"/>
  <c r="X1265" i="1"/>
  <c r="X1266" i="1"/>
  <c r="X726" i="1"/>
  <c r="X733" i="1"/>
  <c r="X737" i="1"/>
  <c r="X728" i="1"/>
  <c r="X730" i="1"/>
  <c r="X732" i="1"/>
  <c r="X734" i="1"/>
  <c r="X731" i="1"/>
  <c r="X736" i="1"/>
  <c r="X727" i="1"/>
  <c r="X729" i="1"/>
  <c r="X735" i="1"/>
  <c r="X738" i="1"/>
  <c r="X739" i="1"/>
  <c r="X436" i="1"/>
  <c r="X435" i="1"/>
  <c r="X439" i="1"/>
  <c r="X441" i="1"/>
  <c r="X437" i="1"/>
  <c r="X438" i="1"/>
  <c r="X446" i="1"/>
  <c r="X440" i="1"/>
  <c r="X442" i="1"/>
  <c r="X443" i="1"/>
  <c r="X444" i="1"/>
  <c r="X445" i="1"/>
  <c r="X319" i="1"/>
  <c r="X317" i="1"/>
  <c r="X318" i="1"/>
  <c r="X324" i="1"/>
  <c r="X321" i="1"/>
  <c r="X323" i="1"/>
  <c r="X322" i="1"/>
  <c r="X326" i="1"/>
  <c r="X327" i="1"/>
  <c r="X320" i="1"/>
  <c r="X325" i="1"/>
  <c r="X329" i="1"/>
  <c r="X328" i="1"/>
  <c r="X330" i="1"/>
  <c r="X15" i="1"/>
  <c r="X14" i="1"/>
  <c r="X16" i="1"/>
  <c r="X23" i="1"/>
  <c r="X18" i="1"/>
  <c r="X20" i="1"/>
  <c r="X17" i="1"/>
  <c r="X21" i="1"/>
  <c r="X19" i="1"/>
  <c r="X27" i="1"/>
  <c r="X22" i="1"/>
  <c r="X24" i="1"/>
  <c r="X25" i="1"/>
  <c r="X28" i="1"/>
  <c r="X26" i="1"/>
  <c r="X943" i="1"/>
  <c r="X946" i="1"/>
  <c r="X948" i="1"/>
  <c r="X944" i="1"/>
  <c r="X947" i="1"/>
  <c r="X945" i="1"/>
  <c r="X949" i="1"/>
  <c r="X951" i="1"/>
  <c r="X950" i="1"/>
  <c r="X952" i="1"/>
  <c r="X953" i="1"/>
  <c r="X956" i="1"/>
  <c r="X954" i="1"/>
  <c r="X959" i="1"/>
  <c r="X955" i="1"/>
  <c r="X958" i="1"/>
  <c r="X962" i="1"/>
  <c r="X957" i="1"/>
  <c r="X961" i="1"/>
  <c r="X960" i="1"/>
  <c r="X102" i="1"/>
  <c r="X105" i="1"/>
  <c r="X103" i="1"/>
  <c r="X106" i="1"/>
  <c r="X104" i="1"/>
  <c r="X107" i="1"/>
  <c r="X109" i="1"/>
  <c r="X108" i="1"/>
  <c r="X110" i="1"/>
  <c r="X111" i="1"/>
  <c r="X113" i="1"/>
  <c r="X115" i="1"/>
  <c r="X114" i="1"/>
  <c r="X112" i="1"/>
  <c r="X624" i="1"/>
  <c r="X625" i="1"/>
  <c r="X631" i="1"/>
  <c r="X627" i="1"/>
  <c r="X626" i="1"/>
  <c r="X630" i="1"/>
  <c r="X633" i="1"/>
  <c r="X628" i="1"/>
  <c r="X634" i="1"/>
  <c r="X632" i="1"/>
  <c r="X629" i="1"/>
  <c r="X636" i="1"/>
  <c r="X635" i="1"/>
  <c r="X638" i="1"/>
  <c r="X637" i="1"/>
  <c r="X639" i="1"/>
  <c r="X640" i="1"/>
  <c r="X646" i="1"/>
  <c r="X641" i="1"/>
  <c r="X647" i="1"/>
  <c r="X642" i="1"/>
  <c r="X648" i="1"/>
  <c r="X645" i="1"/>
  <c r="X644" i="1"/>
  <c r="X649" i="1"/>
  <c r="X651" i="1"/>
  <c r="X650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331" i="1"/>
  <c r="X332" i="1"/>
  <c r="X333" i="1"/>
  <c r="X334" i="1"/>
  <c r="X337" i="1"/>
  <c r="X336" i="1"/>
  <c r="X340" i="1"/>
  <c r="X338" i="1"/>
  <c r="X339" i="1"/>
  <c r="X335" i="1"/>
  <c r="X341" i="1"/>
  <c r="X858" i="1"/>
  <c r="X860" i="1"/>
  <c r="X861" i="1"/>
  <c r="X857" i="1"/>
  <c r="X859" i="1"/>
  <c r="X864" i="1"/>
  <c r="X867" i="1"/>
  <c r="X862" i="1"/>
  <c r="X868" i="1"/>
  <c r="X863" i="1"/>
  <c r="X865" i="1"/>
  <c r="X866" i="1"/>
  <c r="X755" i="1"/>
  <c r="X760" i="1"/>
  <c r="X759" i="1"/>
  <c r="X757" i="1"/>
  <c r="X758" i="1"/>
  <c r="X765" i="1"/>
  <c r="X756" i="1"/>
  <c r="X762" i="1"/>
  <c r="X767" i="1"/>
  <c r="X766" i="1"/>
  <c r="X763" i="1"/>
  <c r="X764" i="1"/>
  <c r="X761" i="1"/>
  <c r="X768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397" i="1"/>
  <c r="X401" i="1"/>
  <c r="X395" i="1"/>
  <c r="X394" i="1"/>
  <c r="X396" i="1"/>
  <c r="X402" i="1"/>
  <c r="X399" i="1"/>
  <c r="X406" i="1"/>
  <c r="X403" i="1"/>
  <c r="X398" i="1"/>
  <c r="X404" i="1"/>
  <c r="X400" i="1"/>
  <c r="X407" i="1"/>
  <c r="X405" i="1"/>
  <c r="X408" i="1"/>
  <c r="X1115" i="1"/>
  <c r="X1117" i="1"/>
  <c r="X1116" i="1"/>
  <c r="X1120" i="1"/>
  <c r="X1118" i="1"/>
  <c r="X1122" i="1"/>
  <c r="X1123" i="1"/>
  <c r="X1114" i="1"/>
  <c r="X1121" i="1"/>
  <c r="X1119" i="1"/>
  <c r="X1124" i="1"/>
  <c r="X1126" i="1"/>
  <c r="X1125" i="1"/>
  <c r="X1143" i="1"/>
  <c r="X1144" i="1"/>
  <c r="X1142" i="1"/>
  <c r="X1145" i="1"/>
  <c r="X1146" i="1"/>
  <c r="X1148" i="1"/>
  <c r="X1147" i="1"/>
  <c r="X1150" i="1"/>
  <c r="X1152" i="1"/>
  <c r="X1149" i="1"/>
  <c r="X1151" i="1"/>
  <c r="X1154" i="1"/>
  <c r="X1153" i="1"/>
  <c r="X1155" i="1"/>
  <c r="X1128" i="1"/>
  <c r="X1131" i="1"/>
  <c r="X1127" i="1"/>
  <c r="X1133" i="1"/>
  <c r="X1132" i="1"/>
  <c r="X1130" i="1"/>
  <c r="X1129" i="1"/>
  <c r="X1136" i="1"/>
  <c r="X1137" i="1"/>
  <c r="X1141" i="1"/>
  <c r="X1135" i="1"/>
  <c r="X1139" i="1"/>
  <c r="X1138" i="1"/>
  <c r="X1134" i="1"/>
  <c r="X1140" i="1"/>
  <c r="X1157" i="1"/>
  <c r="X1156" i="1"/>
  <c r="X1158" i="1"/>
  <c r="X1160" i="1"/>
  <c r="X1163" i="1"/>
  <c r="X1165" i="1"/>
  <c r="X1161" i="1"/>
  <c r="X1162" i="1"/>
  <c r="X1164" i="1"/>
  <c r="X1167" i="1"/>
  <c r="X1166" i="1"/>
  <c r="X1168" i="1"/>
  <c r="X1169" i="1"/>
  <c r="X1159" i="1"/>
  <c r="X1170" i="1"/>
  <c r="X1178" i="1"/>
  <c r="X1173" i="1"/>
  <c r="X1171" i="1"/>
  <c r="X1175" i="1"/>
  <c r="X1180" i="1"/>
  <c r="X1177" i="1"/>
  <c r="X1184" i="1"/>
  <c r="X1174" i="1"/>
  <c r="X1183" i="1"/>
  <c r="X1182" i="1"/>
  <c r="X1179" i="1"/>
  <c r="X1172" i="1"/>
  <c r="X1181" i="1"/>
  <c r="X1176" i="1"/>
  <c r="X1187" i="1"/>
  <c r="X1186" i="1"/>
  <c r="X1185" i="1"/>
  <c r="X1188" i="1"/>
  <c r="X1189" i="1"/>
  <c r="X1190" i="1"/>
  <c r="X1193" i="1"/>
  <c r="X1192" i="1"/>
  <c r="X1194" i="1"/>
  <c r="X1195" i="1"/>
  <c r="X1191" i="1"/>
  <c r="X1196" i="1"/>
  <c r="X1197" i="1"/>
  <c r="X1201" i="1"/>
  <c r="X1203" i="1"/>
  <c r="X1202" i="1"/>
  <c r="X1204" i="1"/>
  <c r="X1199" i="1"/>
  <c r="X1198" i="1"/>
  <c r="X1200" i="1"/>
  <c r="X1206" i="1"/>
  <c r="X1205" i="1"/>
  <c r="X1208" i="1"/>
  <c r="X1207" i="1"/>
  <c r="X1224" i="1"/>
  <c r="X1223" i="1"/>
  <c r="X1227" i="1"/>
  <c r="X1229" i="1"/>
  <c r="X1225" i="1"/>
  <c r="X1233" i="1"/>
  <c r="X1231" i="1"/>
  <c r="X1226" i="1"/>
  <c r="X1228" i="1"/>
  <c r="X1230" i="1"/>
  <c r="X1232" i="1"/>
  <c r="X1217" i="1"/>
  <c r="X1215" i="1"/>
  <c r="X1214" i="1"/>
  <c r="X1216" i="1"/>
  <c r="X1213" i="1"/>
  <c r="X1212" i="1"/>
  <c r="X1211" i="1"/>
  <c r="X1210" i="1"/>
  <c r="X1219" i="1"/>
  <c r="X1221" i="1"/>
  <c r="X1218" i="1"/>
  <c r="X1209" i="1"/>
  <c r="X1220" i="1"/>
  <c r="X1222" i="1"/>
  <c r="X1234" i="1"/>
  <c r="X1237" i="1"/>
  <c r="X1239" i="1"/>
  <c r="X1236" i="1"/>
  <c r="X1238" i="1"/>
  <c r="X1235" i="1"/>
  <c r="X1241" i="1"/>
  <c r="X1240" i="1"/>
  <c r="X1243" i="1"/>
  <c r="X1242" i="1"/>
  <c r="X1244" i="1"/>
  <c r="X1246" i="1"/>
  <c r="X1245" i="1"/>
  <c r="X1090" i="1"/>
  <c r="X1091" i="1"/>
  <c r="X1093" i="1"/>
  <c r="X1096" i="1"/>
  <c r="X1099" i="1"/>
  <c r="X1095" i="1"/>
  <c r="X1098" i="1"/>
  <c r="X1097" i="1"/>
  <c r="X1100" i="1"/>
  <c r="X1101" i="1"/>
  <c r="X1092" i="1"/>
  <c r="X1094" i="1"/>
  <c r="X1107" i="1"/>
  <c r="X1108" i="1"/>
  <c r="X1102" i="1"/>
  <c r="X1106" i="1"/>
  <c r="X1105" i="1"/>
  <c r="X1103" i="1"/>
  <c r="X1104" i="1"/>
  <c r="X1113" i="1"/>
  <c r="X1109" i="1"/>
  <c r="X1110" i="1"/>
  <c r="X1111" i="1"/>
  <c r="X1112" i="1"/>
  <c r="X963" i="1"/>
  <c r="X968" i="1"/>
  <c r="X976" i="1"/>
  <c r="X965" i="1"/>
  <c r="X966" i="1"/>
  <c r="X964" i="1"/>
  <c r="X970" i="1"/>
  <c r="X967" i="1"/>
  <c r="X972" i="1"/>
  <c r="X969" i="1"/>
  <c r="X971" i="1"/>
  <c r="X973" i="1"/>
  <c r="X975" i="1"/>
  <c r="X974" i="1"/>
  <c r="X894" i="1"/>
  <c r="X895" i="1"/>
  <c r="X899" i="1"/>
  <c r="X896" i="1"/>
  <c r="X906" i="1"/>
  <c r="X903" i="1"/>
  <c r="X898" i="1"/>
  <c r="X908" i="1"/>
  <c r="X897" i="1"/>
  <c r="X902" i="1"/>
  <c r="X905" i="1"/>
  <c r="X904" i="1"/>
  <c r="X901" i="1"/>
  <c r="X907" i="1"/>
  <c r="X909" i="1"/>
  <c r="X900" i="1"/>
  <c r="X211" i="1"/>
  <c r="X210" i="1"/>
  <c r="X212" i="1"/>
  <c r="X214" i="1"/>
  <c r="X213" i="1"/>
  <c r="X216" i="1"/>
  <c r="X215" i="1"/>
  <c r="X218" i="1"/>
  <c r="X219" i="1"/>
  <c r="X222" i="1"/>
  <c r="X221" i="1"/>
  <c r="X220" i="1"/>
  <c r="X217" i="1"/>
  <c r="X915" i="1"/>
  <c r="X919" i="1"/>
  <c r="X910" i="1"/>
  <c r="X911" i="1"/>
  <c r="X914" i="1"/>
  <c r="X916" i="1"/>
  <c r="X913" i="1"/>
  <c r="X917" i="1"/>
  <c r="X912" i="1"/>
  <c r="X918" i="1"/>
  <c r="X922" i="1"/>
  <c r="X920" i="1"/>
  <c r="X921" i="1"/>
  <c r="X923" i="1"/>
  <c r="X131" i="1"/>
  <c r="X135" i="1"/>
  <c r="X133" i="1"/>
  <c r="X134" i="1"/>
  <c r="X132" i="1"/>
  <c r="X130" i="1"/>
  <c r="X137" i="1"/>
  <c r="X136" i="1"/>
  <c r="X141" i="1"/>
  <c r="X138" i="1"/>
  <c r="X139" i="1"/>
  <c r="X142" i="1"/>
  <c r="X140" i="1"/>
  <c r="X143" i="1"/>
  <c r="X124" i="1"/>
  <c r="X116" i="1"/>
  <c r="X117" i="1"/>
  <c r="X120" i="1"/>
  <c r="X123" i="1"/>
  <c r="X118" i="1"/>
  <c r="X121" i="1"/>
  <c r="X127" i="1"/>
  <c r="X122" i="1"/>
  <c r="X125" i="1"/>
  <c r="X126" i="1"/>
  <c r="X119" i="1"/>
  <c r="X129" i="1"/>
  <c r="X128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486" i="1"/>
  <c r="X489" i="1"/>
  <c r="X493" i="1"/>
  <c r="X495" i="1"/>
  <c r="X490" i="1"/>
  <c r="X491" i="1"/>
  <c r="X497" i="1"/>
  <c r="X496" i="1"/>
  <c r="X488" i="1"/>
  <c r="X498" i="1"/>
  <c r="X494" i="1"/>
  <c r="X499" i="1"/>
  <c r="X487" i="1"/>
  <c r="X492" i="1"/>
  <c r="X500" i="1"/>
  <c r="X869" i="1"/>
  <c r="X871" i="1"/>
  <c r="X870" i="1"/>
  <c r="X874" i="1"/>
  <c r="X873" i="1"/>
  <c r="X872" i="1"/>
  <c r="X876" i="1"/>
  <c r="X879" i="1"/>
  <c r="X878" i="1"/>
  <c r="X875" i="1"/>
  <c r="X877" i="1"/>
  <c r="X880" i="1"/>
  <c r="X887" i="1"/>
  <c r="X888" i="1"/>
  <c r="X881" i="1"/>
  <c r="X884" i="1"/>
  <c r="X883" i="1"/>
  <c r="X889" i="1"/>
  <c r="X886" i="1"/>
  <c r="X882" i="1"/>
  <c r="X885" i="1"/>
  <c r="X892" i="1"/>
  <c r="X890" i="1"/>
  <c r="X891" i="1"/>
  <c r="X893" i="1"/>
  <c r="X530" i="1"/>
  <c r="X532" i="1"/>
  <c r="X529" i="1"/>
  <c r="X537" i="1"/>
  <c r="X527" i="1"/>
  <c r="X531" i="1"/>
  <c r="X535" i="1"/>
  <c r="X528" i="1"/>
  <c r="X534" i="1"/>
  <c r="X536" i="1"/>
  <c r="X538" i="1"/>
  <c r="X533" i="1"/>
  <c r="X539" i="1"/>
  <c r="X450" i="1"/>
  <c r="X449" i="1"/>
  <c r="X448" i="1"/>
  <c r="X451" i="1"/>
  <c r="X452" i="1"/>
  <c r="X447" i="1"/>
  <c r="X455" i="1"/>
  <c r="X454" i="1"/>
  <c r="X453" i="1"/>
  <c r="X456" i="1"/>
  <c r="X356" i="1"/>
  <c r="X364" i="1"/>
  <c r="X366" i="1"/>
  <c r="X355" i="1"/>
  <c r="X360" i="1"/>
  <c r="X358" i="1"/>
  <c r="X357" i="1"/>
  <c r="X361" i="1"/>
  <c r="X362" i="1"/>
  <c r="X359" i="1"/>
  <c r="X365" i="1"/>
  <c r="X367" i="1"/>
  <c r="X363" i="1"/>
  <c r="X342" i="1"/>
  <c r="X344" i="1"/>
  <c r="X343" i="1"/>
  <c r="X349" i="1"/>
  <c r="X348" i="1"/>
  <c r="X345" i="1"/>
  <c r="X346" i="1"/>
  <c r="X347" i="1"/>
  <c r="X353" i="1"/>
  <c r="X351" i="1"/>
  <c r="X350" i="1"/>
  <c r="X352" i="1"/>
  <c r="X354" i="1"/>
  <c r="X769" i="1"/>
  <c r="X770" i="1"/>
  <c r="X772" i="1"/>
  <c r="X774" i="1"/>
  <c r="X773" i="1"/>
  <c r="X776" i="1"/>
  <c r="X779" i="1"/>
  <c r="X777" i="1"/>
  <c r="X771" i="1"/>
  <c r="X775" i="1"/>
  <c r="X778" i="1"/>
  <c r="X780" i="1"/>
  <c r="X781" i="1"/>
  <c r="X680" i="1"/>
  <c r="X681" i="1"/>
  <c r="X683" i="1"/>
  <c r="X689" i="1"/>
  <c r="X685" i="1"/>
  <c r="X684" i="1"/>
  <c r="X687" i="1"/>
  <c r="X686" i="1"/>
  <c r="X688" i="1"/>
  <c r="X690" i="1"/>
  <c r="X682" i="1"/>
  <c r="X693" i="1"/>
  <c r="X692" i="1"/>
  <c r="X691" i="1"/>
  <c r="X694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30" i="1"/>
  <c r="X31" i="1"/>
  <c r="X29" i="1"/>
  <c r="X33" i="1"/>
  <c r="X36" i="1"/>
  <c r="X34" i="1"/>
  <c r="X32" i="1"/>
  <c r="X35" i="1"/>
  <c r="X38" i="1"/>
  <c r="X37" i="1"/>
  <c r="X39" i="1"/>
  <c r="X40" i="1"/>
  <c r="X41" i="1"/>
  <c r="X42" i="1"/>
  <c r="X43" i="1"/>
  <c r="X44" i="1"/>
  <c r="X45" i="1"/>
  <c r="X46" i="1"/>
  <c r="X47" i="1"/>
  <c r="X48" i="1"/>
  <c r="X49" i="1"/>
  <c r="X50" i="1"/>
  <c r="F1106" i="1"/>
  <c r="F1108" i="1"/>
  <c r="S1108" i="1" s="1"/>
  <c r="U1108" i="1" s="1"/>
  <c r="V1108" i="1" s="1"/>
  <c r="L1076" i="1"/>
  <c r="F1073" i="1"/>
  <c r="H1072" i="1"/>
  <c r="H1069" i="1"/>
  <c r="F330" i="1"/>
  <c r="G330" i="1" s="1"/>
  <c r="H330" i="1" s="1"/>
  <c r="F328" i="1"/>
  <c r="G328" i="1" s="1"/>
  <c r="H328" i="1" s="1"/>
  <c r="F82" i="1"/>
  <c r="F739" i="1"/>
  <c r="G739" i="1" s="1"/>
  <c r="H739" i="1" s="1"/>
  <c r="F738" i="1"/>
  <c r="G738" i="1" s="1"/>
  <c r="H738" i="1" s="1"/>
  <c r="F664" i="1"/>
  <c r="G664" i="1" s="1"/>
  <c r="H664" i="1" s="1"/>
  <c r="F659" i="1"/>
  <c r="G659" i="1" s="1"/>
  <c r="H659" i="1" s="1"/>
  <c r="U1381" i="1" l="1"/>
  <c r="V1381" i="1" s="1"/>
  <c r="U1544" i="1"/>
  <c r="V1544" i="1" s="1"/>
  <c r="U1495" i="1"/>
  <c r="V1495" i="1" s="1"/>
  <c r="U1471" i="1"/>
  <c r="V1471" i="1" s="1"/>
  <c r="U1432" i="1"/>
  <c r="V1432" i="1" s="1"/>
  <c r="U1406" i="1"/>
  <c r="V1406" i="1" s="1"/>
  <c r="U1377" i="1"/>
  <c r="V1377" i="1" s="1"/>
  <c r="U1498" i="1"/>
  <c r="V1498" i="1" s="1"/>
  <c r="U1434" i="1"/>
  <c r="V1434" i="1" s="1"/>
  <c r="U1380" i="1"/>
  <c r="V1380" i="1" s="1"/>
  <c r="U1529" i="1"/>
  <c r="V1529" i="1" s="1"/>
  <c r="U1466" i="1"/>
  <c r="V1466" i="1" s="1"/>
  <c r="U1437" i="1"/>
  <c r="V1437" i="1" s="1"/>
  <c r="U1403" i="1"/>
  <c r="V1403" i="1" s="1"/>
  <c r="V1384" i="1"/>
  <c r="V1548" i="1"/>
  <c r="V1522" i="1"/>
  <c r="V1461" i="1"/>
  <c r="V1412" i="1"/>
  <c r="U1382" i="1"/>
  <c r="V1382" i="1" s="1"/>
  <c r="U1436" i="1"/>
  <c r="V1436" i="1" s="1"/>
  <c r="V1549" i="1"/>
  <c r="V1518" i="1"/>
  <c r="V1443" i="1"/>
  <c r="V1413" i="1"/>
  <c r="U1376" i="1"/>
  <c r="V1376" i="1" s="1"/>
  <c r="V1385" i="1"/>
  <c r="V1546" i="1"/>
  <c r="V1524" i="1"/>
  <c r="V1411" i="1"/>
  <c r="V1374" i="1"/>
  <c r="V1543" i="1"/>
  <c r="V1500" i="1"/>
  <c r="V1472" i="1"/>
  <c r="V1441" i="1"/>
  <c r="V1407" i="1"/>
  <c r="V1516" i="1"/>
  <c r="V1484" i="1"/>
  <c r="V1455" i="1"/>
  <c r="V1423" i="1"/>
  <c r="V53" i="1"/>
  <c r="V991" i="1"/>
  <c r="V791" i="1"/>
  <c r="V224" i="1"/>
  <c r="V541" i="1"/>
  <c r="S1106" i="1"/>
  <c r="U1106" i="1" s="1"/>
  <c r="V1106" i="1" s="1"/>
  <c r="U1085" i="1"/>
  <c r="V1085" i="1" s="1"/>
  <c r="U1081" i="1"/>
  <c r="V1081" i="1" s="1"/>
  <c r="U1080" i="1"/>
  <c r="V1080" i="1" s="1"/>
  <c r="U1088" i="1"/>
  <c r="V1088" i="1" s="1"/>
  <c r="U1087" i="1"/>
  <c r="V1087" i="1" s="1"/>
  <c r="U1089" i="1"/>
  <c r="V1089" i="1" s="1"/>
  <c r="U1082" i="1"/>
  <c r="V1082" i="1" s="1"/>
  <c r="U1083" i="1"/>
  <c r="V1083" i="1" s="1"/>
  <c r="U1079" i="1"/>
  <c r="V1079" i="1" s="1"/>
  <c r="U1086" i="1"/>
  <c r="V1086" i="1" s="1"/>
  <c r="U1078" i="1"/>
  <c r="V1078" i="1" s="1"/>
  <c r="U1077" i="1"/>
  <c r="V1077" i="1" s="1"/>
  <c r="U1084" i="1"/>
  <c r="V1084" i="1" s="1"/>
  <c r="K1069" i="1"/>
  <c r="H1073" i="1"/>
  <c r="M1076" i="1"/>
  <c r="I1072" i="1"/>
  <c r="I328" i="1"/>
  <c r="J328" i="1" s="1"/>
  <c r="I739" i="1"/>
  <c r="I738" i="1"/>
  <c r="I664" i="1"/>
  <c r="I659" i="1"/>
  <c r="Q1076" i="1" l="1"/>
  <c r="R1076" i="1" s="1"/>
  <c r="L1073" i="1"/>
  <c r="O1073" i="1" s="1"/>
  <c r="Q1073" i="1" s="1"/>
  <c r="R1073" i="1" s="1"/>
  <c r="O1069" i="1"/>
  <c r="S1069" i="1" s="1"/>
  <c r="U1069" i="1" s="1"/>
  <c r="V1069" i="1" s="1"/>
  <c r="J739" i="1"/>
  <c r="K739" i="1" s="1"/>
  <c r="J659" i="1"/>
  <c r="K659" i="1" s="1"/>
  <c r="L659" i="1" s="1"/>
  <c r="J664" i="1"/>
  <c r="K664" i="1" s="1"/>
  <c r="L664" i="1" s="1"/>
  <c r="J738" i="1"/>
  <c r="K738" i="1" s="1"/>
  <c r="J1072" i="1"/>
  <c r="K328" i="1"/>
  <c r="L328" i="1" s="1"/>
  <c r="S1076" i="1" l="1"/>
  <c r="U1076" i="1" s="1"/>
  <c r="V1076" i="1" s="1"/>
  <c r="S1073" i="1"/>
  <c r="U1073" i="1" s="1"/>
  <c r="V1073" i="1" s="1"/>
  <c r="M1072" i="1"/>
  <c r="I330" i="1"/>
  <c r="M328" i="1"/>
  <c r="N328" i="1" s="1"/>
  <c r="L739" i="1"/>
  <c r="L738" i="1"/>
  <c r="M738" i="1" s="1"/>
  <c r="N738" i="1" s="1"/>
  <c r="M664" i="1"/>
  <c r="M659" i="1"/>
  <c r="N1072" i="1" l="1"/>
  <c r="O1072" i="1" s="1"/>
  <c r="J330" i="1"/>
  <c r="O328" i="1"/>
  <c r="P328" i="1" s="1"/>
  <c r="M739" i="1"/>
  <c r="O738" i="1"/>
  <c r="N664" i="1"/>
  <c r="O664" i="1" s="1"/>
  <c r="P664" i="1" s="1"/>
  <c r="N659" i="1"/>
  <c r="Q1072" i="1" l="1"/>
  <c r="R1072" i="1" s="1"/>
  <c r="S1072" i="1" s="1"/>
  <c r="U1072" i="1" s="1"/>
  <c r="V1072" i="1" s="1"/>
  <c r="K330" i="1"/>
  <c r="L330" i="1" s="1"/>
  <c r="M330" i="1" s="1"/>
  <c r="N330" i="1" s="1"/>
  <c r="O330" i="1" s="1"/>
  <c r="P330" i="1" s="1"/>
  <c r="Q330" i="1" s="1"/>
  <c r="R330" i="1" s="1"/>
  <c r="S330" i="1" s="1"/>
  <c r="Q328" i="1"/>
  <c r="R328" i="1" s="1"/>
  <c r="S328" i="1" s="1"/>
  <c r="N739" i="1"/>
  <c r="O739" i="1" s="1"/>
  <c r="P738" i="1"/>
  <c r="Q664" i="1"/>
  <c r="R664" i="1" s="1"/>
  <c r="S664" i="1" s="1"/>
  <c r="O659" i="1"/>
  <c r="P659" i="1" s="1"/>
  <c r="Q659" i="1" s="1"/>
  <c r="R659" i="1" s="1"/>
  <c r="S659" i="1" s="1"/>
  <c r="U328" i="1" l="1"/>
  <c r="V328" i="1" s="1"/>
  <c r="P739" i="1"/>
  <c r="Q739" i="1" s="1"/>
  <c r="R739" i="1" s="1"/>
  <c r="S739" i="1" s="1"/>
  <c r="Q738" i="1"/>
  <c r="U330" i="1" l="1"/>
  <c r="V330" i="1" s="1"/>
  <c r="U739" i="1"/>
  <c r="V739" i="1" s="1"/>
  <c r="R738" i="1"/>
  <c r="U664" i="1"/>
  <c r="V664" i="1" s="1"/>
  <c r="U659" i="1"/>
  <c r="V659" i="1" s="1"/>
  <c r="S738" i="1" l="1"/>
  <c r="U738" i="1" s="1"/>
  <c r="V738" i="1" s="1"/>
  <c r="U1059" i="1"/>
  <c r="V1059" i="1" s="1"/>
  <c r="U1061" i="1"/>
  <c r="V1061" i="1" s="1"/>
  <c r="U1058" i="1"/>
  <c r="V1058" i="1" s="1"/>
  <c r="U1056" i="1"/>
  <c r="V1056" i="1" s="1"/>
  <c r="U1057" i="1"/>
  <c r="V1057" i="1" s="1"/>
  <c r="U1060" i="1"/>
  <c r="V1060" i="1" s="1"/>
  <c r="U1062" i="1"/>
  <c r="V1062" i="1" s="1"/>
  <c r="U1063" i="1"/>
  <c r="V1063" i="1" s="1"/>
  <c r="U1064" i="1"/>
  <c r="V1064" i="1" s="1"/>
  <c r="U1065" i="1"/>
  <c r="V1065" i="1" s="1"/>
  <c r="O824" i="1"/>
  <c r="S824" i="1" s="1"/>
  <c r="I823" i="1"/>
  <c r="U822" i="1"/>
  <c r="V822" i="1" s="1"/>
  <c r="P821" i="1"/>
  <c r="S821" i="1" s="1"/>
  <c r="U820" i="1"/>
  <c r="V820" i="1" s="1"/>
  <c r="N819" i="1"/>
  <c r="U818" i="1"/>
  <c r="V818" i="1" s="1"/>
  <c r="R817" i="1"/>
  <c r="S817" i="1" s="1"/>
  <c r="U816" i="1"/>
  <c r="V816" i="1" s="1"/>
  <c r="U815" i="1"/>
  <c r="V815" i="1" s="1"/>
  <c r="O814" i="1"/>
  <c r="S814" i="1" s="1"/>
  <c r="O813" i="1"/>
  <c r="S813" i="1" s="1"/>
  <c r="U812" i="1"/>
  <c r="V812" i="1" s="1"/>
  <c r="U828" i="1"/>
  <c r="V828" i="1" s="1"/>
  <c r="U829" i="1"/>
  <c r="V829" i="1" s="1"/>
  <c r="U830" i="1"/>
  <c r="V830" i="1" s="1"/>
  <c r="U831" i="1"/>
  <c r="V831" i="1" s="1"/>
  <c r="U832" i="1"/>
  <c r="V832" i="1" s="1"/>
  <c r="U833" i="1"/>
  <c r="V833" i="1" s="1"/>
  <c r="R834" i="1"/>
  <c r="S834" i="1" s="1"/>
  <c r="O827" i="1"/>
  <c r="U287" i="1"/>
  <c r="V287" i="1" s="1"/>
  <c r="U282" i="1"/>
  <c r="V282" i="1" s="1"/>
  <c r="U281" i="1"/>
  <c r="V281" i="1" s="1"/>
  <c r="U280" i="1"/>
  <c r="V280" i="1" s="1"/>
  <c r="U285" i="1"/>
  <c r="V285" i="1" s="1"/>
  <c r="U286" i="1"/>
  <c r="V286" i="1" s="1"/>
  <c r="U288" i="1"/>
  <c r="V288" i="1" s="1"/>
  <c r="U278" i="1"/>
  <c r="V278" i="1" s="1"/>
  <c r="U284" i="1"/>
  <c r="V284" i="1" s="1"/>
  <c r="U279" i="1"/>
  <c r="V279" i="1" s="1"/>
  <c r="U283" i="1"/>
  <c r="V283" i="1" s="1"/>
  <c r="U277" i="1"/>
  <c r="V277" i="1" s="1"/>
  <c r="I303" i="1"/>
  <c r="M293" i="1"/>
  <c r="S293" i="1" s="1"/>
  <c r="L292" i="1"/>
  <c r="S292" i="1" s="1"/>
  <c r="R290" i="1"/>
  <c r="S290" i="1" s="1"/>
  <c r="U294" i="1"/>
  <c r="V294" i="1" s="1"/>
  <c r="U296" i="1"/>
  <c r="V296" i="1" s="1"/>
  <c r="U299" i="1"/>
  <c r="V299" i="1" s="1"/>
  <c r="U298" i="1"/>
  <c r="V298" i="1" s="1"/>
  <c r="U295" i="1"/>
  <c r="V295" i="1" s="1"/>
  <c r="U300" i="1"/>
  <c r="V300" i="1" s="1"/>
  <c r="U301" i="1"/>
  <c r="V301" i="1" s="1"/>
  <c r="U302" i="1"/>
  <c r="V302" i="1" s="1"/>
  <c r="U304" i="1"/>
  <c r="V304" i="1" s="1"/>
  <c r="U291" i="1"/>
  <c r="V291" i="1" s="1"/>
  <c r="M165" i="1"/>
  <c r="O163" i="1"/>
  <c r="S163" i="1" s="1"/>
  <c r="R162" i="1"/>
  <c r="S162" i="1" s="1"/>
  <c r="O160" i="1"/>
  <c r="S160" i="1" s="1"/>
  <c r="U158" i="1"/>
  <c r="V158" i="1" s="1"/>
  <c r="U161" i="1"/>
  <c r="V161" i="1" s="1"/>
  <c r="U164" i="1"/>
  <c r="V164" i="1" s="1"/>
  <c r="U166" i="1"/>
  <c r="V166" i="1" s="1"/>
  <c r="U167" i="1"/>
  <c r="V167" i="1" s="1"/>
  <c r="U305" i="1"/>
  <c r="V305" i="1" s="1"/>
  <c r="U157" i="1"/>
  <c r="V157" i="1" s="1"/>
  <c r="P159" i="1"/>
  <c r="S159" i="1" s="1"/>
  <c r="F262" i="1"/>
  <c r="G262" i="1" s="1"/>
  <c r="F275" i="1"/>
  <c r="G275" i="1" s="1"/>
  <c r="F249" i="1"/>
  <c r="G249" i="1" s="1"/>
  <c r="F180" i="1"/>
  <c r="G180" i="1" s="1"/>
  <c r="G82" i="1"/>
  <c r="S827" i="1" l="1"/>
  <c r="U827" i="1" s="1"/>
  <c r="V827" i="1" s="1"/>
  <c r="U821" i="1"/>
  <c r="V821" i="1" s="1"/>
  <c r="H262" i="1"/>
  <c r="I262" i="1" s="1"/>
  <c r="U813" i="1"/>
  <c r="V813" i="1" s="1"/>
  <c r="O819" i="1"/>
  <c r="H82" i="1"/>
  <c r="I82" i="1" s="1"/>
  <c r="N823" i="1"/>
  <c r="S823" i="1" s="1"/>
  <c r="H180" i="1"/>
  <c r="I180" i="1" s="1"/>
  <c r="H249" i="1"/>
  <c r="U160" i="1"/>
  <c r="V160" i="1" s="1"/>
  <c r="H275" i="1"/>
  <c r="I275" i="1" s="1"/>
  <c r="U293" i="1"/>
  <c r="V293" i="1" s="1"/>
  <c r="U824" i="1"/>
  <c r="V824" i="1" s="1"/>
  <c r="U817" i="1"/>
  <c r="V817" i="1" s="1"/>
  <c r="U814" i="1"/>
  <c r="V814" i="1" s="1"/>
  <c r="U834" i="1"/>
  <c r="V834" i="1" s="1"/>
  <c r="N303" i="1"/>
  <c r="O303" i="1" s="1"/>
  <c r="U292" i="1"/>
  <c r="V292" i="1" s="1"/>
  <c r="U290" i="1"/>
  <c r="V290" i="1" s="1"/>
  <c r="O165" i="1"/>
  <c r="S165" i="1" s="1"/>
  <c r="U163" i="1"/>
  <c r="V163" i="1" s="1"/>
  <c r="U162" i="1"/>
  <c r="V162" i="1" s="1"/>
  <c r="U159" i="1"/>
  <c r="V159" i="1" s="1"/>
  <c r="U276" i="1"/>
  <c r="V276" i="1" s="1"/>
  <c r="U274" i="1"/>
  <c r="V274" i="1" s="1"/>
  <c r="U272" i="1"/>
  <c r="V272" i="1" s="1"/>
  <c r="U271" i="1"/>
  <c r="V271" i="1" s="1"/>
  <c r="U273" i="1"/>
  <c r="V273" i="1" s="1"/>
  <c r="U269" i="1"/>
  <c r="V269" i="1" s="1"/>
  <c r="U270" i="1"/>
  <c r="V270" i="1" s="1"/>
  <c r="U267" i="1"/>
  <c r="V267" i="1" s="1"/>
  <c r="U268" i="1"/>
  <c r="V268" i="1" s="1"/>
  <c r="U266" i="1"/>
  <c r="V266" i="1" s="1"/>
  <c r="U265" i="1"/>
  <c r="V265" i="1" s="1"/>
  <c r="U259" i="1"/>
  <c r="V259" i="1" s="1"/>
  <c r="U263" i="1"/>
  <c r="V263" i="1" s="1"/>
  <c r="U261" i="1"/>
  <c r="V261" i="1" s="1"/>
  <c r="U258" i="1"/>
  <c r="V258" i="1" s="1"/>
  <c r="U256" i="1"/>
  <c r="V256" i="1" s="1"/>
  <c r="U260" i="1"/>
  <c r="V260" i="1" s="1"/>
  <c r="U254" i="1"/>
  <c r="V254" i="1" s="1"/>
  <c r="U257" i="1"/>
  <c r="V257" i="1" s="1"/>
  <c r="U252" i="1"/>
  <c r="V252" i="1" s="1"/>
  <c r="U253" i="1"/>
  <c r="V253" i="1" s="1"/>
  <c r="U255" i="1"/>
  <c r="V255" i="1" s="1"/>
  <c r="U251" i="1"/>
  <c r="V251" i="1" s="1"/>
  <c r="U87" i="1"/>
  <c r="V87" i="1" s="1"/>
  <c r="U90" i="1"/>
  <c r="V90" i="1" s="1"/>
  <c r="U84" i="1"/>
  <c r="V84" i="1" s="1"/>
  <c r="U89" i="1"/>
  <c r="V89" i="1" s="1"/>
  <c r="U79" i="1"/>
  <c r="V79" i="1" s="1"/>
  <c r="U86" i="1"/>
  <c r="V86" i="1" s="1"/>
  <c r="U85" i="1"/>
  <c r="V85" i="1" s="1"/>
  <c r="U83" i="1"/>
  <c r="V83" i="1" s="1"/>
  <c r="U88" i="1"/>
  <c r="V88" i="1" s="1"/>
  <c r="U81" i="1"/>
  <c r="V81" i="1" s="1"/>
  <c r="U80" i="1"/>
  <c r="V80" i="1" s="1"/>
  <c r="U78" i="1"/>
  <c r="V78" i="1" s="1"/>
  <c r="U244" i="1"/>
  <c r="V244" i="1" s="1"/>
  <c r="U248" i="1"/>
  <c r="V248" i="1" s="1"/>
  <c r="U250" i="1"/>
  <c r="V250" i="1" s="1"/>
  <c r="U243" i="1"/>
  <c r="V243" i="1" s="1"/>
  <c r="U247" i="1"/>
  <c r="V247" i="1" s="1"/>
  <c r="U246" i="1"/>
  <c r="V246" i="1" s="1"/>
  <c r="U245" i="1"/>
  <c r="V245" i="1" s="1"/>
  <c r="U242" i="1"/>
  <c r="V242" i="1" s="1"/>
  <c r="U241" i="1"/>
  <c r="V241" i="1" s="1"/>
  <c r="U240" i="1"/>
  <c r="V240" i="1" s="1"/>
  <c r="U239" i="1"/>
  <c r="V239" i="1" s="1"/>
  <c r="U238" i="1"/>
  <c r="V238" i="1" s="1"/>
  <c r="U433" i="1"/>
  <c r="V433" i="1" s="1"/>
  <c r="U434" i="1"/>
  <c r="V434" i="1" s="1"/>
  <c r="U430" i="1"/>
  <c r="V430" i="1" s="1"/>
  <c r="U427" i="1"/>
  <c r="V427" i="1" s="1"/>
  <c r="U426" i="1"/>
  <c r="V426" i="1" s="1"/>
  <c r="U428" i="1"/>
  <c r="V428" i="1" s="1"/>
  <c r="U424" i="1"/>
  <c r="V424" i="1" s="1"/>
  <c r="U425" i="1"/>
  <c r="V425" i="1" s="1"/>
  <c r="U429" i="1"/>
  <c r="V429" i="1" s="1"/>
  <c r="U431" i="1"/>
  <c r="V431" i="1" s="1"/>
  <c r="U432" i="1"/>
  <c r="V432" i="1" s="1"/>
  <c r="U423" i="1"/>
  <c r="V423" i="1" s="1"/>
  <c r="U179" i="1"/>
  <c r="V179" i="1" s="1"/>
  <c r="U176" i="1"/>
  <c r="V176" i="1" s="1"/>
  <c r="U172" i="1"/>
  <c r="V172" i="1" s="1"/>
  <c r="U177" i="1"/>
  <c r="V177" i="1" s="1"/>
  <c r="U170" i="1"/>
  <c r="V170" i="1" s="1"/>
  <c r="U175" i="1"/>
  <c r="V175" i="1" s="1"/>
  <c r="U178" i="1"/>
  <c r="V178" i="1" s="1"/>
  <c r="U174" i="1"/>
  <c r="V174" i="1" s="1"/>
  <c r="U173" i="1"/>
  <c r="V173" i="1" s="1"/>
  <c r="U168" i="1"/>
  <c r="V168" i="1" s="1"/>
  <c r="U169" i="1"/>
  <c r="V169" i="1" s="1"/>
  <c r="U171" i="1"/>
  <c r="V171" i="1" s="1"/>
  <c r="U315" i="1"/>
  <c r="V315" i="1" s="1"/>
  <c r="U316" i="1"/>
  <c r="V316" i="1" s="1"/>
  <c r="U314" i="1"/>
  <c r="V314" i="1" s="1"/>
  <c r="U313" i="1"/>
  <c r="V313" i="1" s="1"/>
  <c r="U312" i="1"/>
  <c r="V312" i="1" s="1"/>
  <c r="U309" i="1"/>
  <c r="V309" i="1" s="1"/>
  <c r="U308" i="1"/>
  <c r="V308" i="1" s="1"/>
  <c r="U310" i="1"/>
  <c r="V310" i="1" s="1"/>
  <c r="U307" i="1"/>
  <c r="V307" i="1" s="1"/>
  <c r="U306" i="1"/>
  <c r="V306" i="1" s="1"/>
  <c r="U311" i="1"/>
  <c r="V311" i="1" s="1"/>
  <c r="U13" i="1"/>
  <c r="V13" i="1" s="1"/>
  <c r="U12" i="1"/>
  <c r="V12" i="1" s="1"/>
  <c r="U11" i="1"/>
  <c r="V11" i="1" s="1"/>
  <c r="U9" i="1"/>
  <c r="V9" i="1" s="1"/>
  <c r="U8" i="1"/>
  <c r="V8" i="1" s="1"/>
  <c r="U10" i="1"/>
  <c r="V10" i="1" s="1"/>
  <c r="U4" i="1"/>
  <c r="V4" i="1" s="1"/>
  <c r="U2" i="1"/>
  <c r="V2" i="1" s="1"/>
  <c r="U7" i="1"/>
  <c r="V7" i="1" s="1"/>
  <c r="U5" i="1"/>
  <c r="V5" i="1" s="1"/>
  <c r="U6" i="1"/>
  <c r="V6" i="1" s="1"/>
  <c r="U3" i="1"/>
  <c r="V3" i="1" s="1"/>
  <c r="U942" i="1"/>
  <c r="V942" i="1" s="1"/>
  <c r="U939" i="1"/>
  <c r="V939" i="1" s="1"/>
  <c r="U938" i="1"/>
  <c r="V938" i="1" s="1"/>
  <c r="U941" i="1"/>
  <c r="V941" i="1" s="1"/>
  <c r="U940" i="1"/>
  <c r="V940" i="1" s="1"/>
  <c r="U937" i="1"/>
  <c r="V937" i="1" s="1"/>
  <c r="U933" i="1"/>
  <c r="V933" i="1" s="1"/>
  <c r="U932" i="1"/>
  <c r="V932" i="1" s="1"/>
  <c r="U931" i="1"/>
  <c r="V931" i="1" s="1"/>
  <c r="U930" i="1"/>
  <c r="V930" i="1" s="1"/>
  <c r="U929" i="1"/>
  <c r="V929" i="1" s="1"/>
  <c r="U928" i="1"/>
  <c r="V928" i="1" s="1"/>
  <c r="U927" i="1"/>
  <c r="V927" i="1" s="1"/>
  <c r="U926" i="1"/>
  <c r="V926" i="1" s="1"/>
  <c r="U925" i="1"/>
  <c r="V925" i="1" s="1"/>
  <c r="U924" i="1"/>
  <c r="V924" i="1" s="1"/>
  <c r="U101" i="1"/>
  <c r="V101" i="1" s="1"/>
  <c r="U100" i="1"/>
  <c r="V100" i="1" s="1"/>
  <c r="U99" i="1"/>
  <c r="V99" i="1" s="1"/>
  <c r="U98" i="1"/>
  <c r="V98" i="1" s="1"/>
  <c r="U97" i="1"/>
  <c r="V97" i="1" s="1"/>
  <c r="U94" i="1"/>
  <c r="V94" i="1" s="1"/>
  <c r="U93" i="1"/>
  <c r="V93" i="1" s="1"/>
  <c r="U665" i="1"/>
  <c r="V665" i="1" s="1"/>
  <c r="U654" i="1"/>
  <c r="V654" i="1" s="1"/>
  <c r="U661" i="1"/>
  <c r="V661" i="1" s="1"/>
  <c r="U663" i="1"/>
  <c r="V663" i="1" s="1"/>
  <c r="U660" i="1"/>
  <c r="V660" i="1" s="1"/>
  <c r="U655" i="1"/>
  <c r="V655" i="1" s="1"/>
  <c r="U657" i="1"/>
  <c r="V657" i="1" s="1"/>
  <c r="U662" i="1"/>
  <c r="V662" i="1" s="1"/>
  <c r="U658" i="1"/>
  <c r="V658" i="1" s="1"/>
  <c r="U656" i="1"/>
  <c r="V656" i="1" s="1"/>
  <c r="U653" i="1"/>
  <c r="V653" i="1" s="1"/>
  <c r="U652" i="1"/>
  <c r="V652" i="1" s="1"/>
  <c r="U856" i="1"/>
  <c r="V856" i="1" s="1"/>
  <c r="U855" i="1"/>
  <c r="V855" i="1" s="1"/>
  <c r="U852" i="1"/>
  <c r="V852" i="1" s="1"/>
  <c r="U853" i="1"/>
  <c r="V853" i="1" s="1"/>
  <c r="U854" i="1"/>
  <c r="V854" i="1" s="1"/>
  <c r="U850" i="1"/>
  <c r="V850" i="1" s="1"/>
  <c r="U851" i="1"/>
  <c r="V851" i="1" s="1"/>
  <c r="U845" i="1"/>
  <c r="V845" i="1" s="1"/>
  <c r="U842" i="1"/>
  <c r="V842" i="1" s="1"/>
  <c r="U843" i="1"/>
  <c r="V843" i="1" s="1"/>
  <c r="U835" i="1"/>
  <c r="V835" i="1" s="1"/>
  <c r="U841" i="1"/>
  <c r="V841" i="1" s="1"/>
  <c r="U837" i="1"/>
  <c r="V837" i="1" s="1"/>
  <c r="U844" i="1"/>
  <c r="V844" i="1" s="1"/>
  <c r="U840" i="1"/>
  <c r="V840" i="1" s="1"/>
  <c r="U839" i="1"/>
  <c r="V839" i="1" s="1"/>
  <c r="U838" i="1"/>
  <c r="V838" i="1" s="1"/>
  <c r="U836" i="1"/>
  <c r="V836" i="1" s="1"/>
  <c r="U735" i="1"/>
  <c r="V735" i="1" s="1"/>
  <c r="U729" i="1"/>
  <c r="V729" i="1" s="1"/>
  <c r="U727" i="1"/>
  <c r="V727" i="1" s="1"/>
  <c r="U736" i="1"/>
  <c r="V736" i="1" s="1"/>
  <c r="U731" i="1"/>
  <c r="V731" i="1" s="1"/>
  <c r="U734" i="1"/>
  <c r="V734" i="1" s="1"/>
  <c r="U732" i="1"/>
  <c r="V732" i="1" s="1"/>
  <c r="U730" i="1"/>
  <c r="V730" i="1" s="1"/>
  <c r="U728" i="1"/>
  <c r="V728" i="1" s="1"/>
  <c r="U737" i="1"/>
  <c r="V737" i="1" s="1"/>
  <c r="U733" i="1"/>
  <c r="V733" i="1" s="1"/>
  <c r="U726" i="1"/>
  <c r="V726" i="1" s="1"/>
  <c r="U445" i="1"/>
  <c r="V445" i="1" s="1"/>
  <c r="U444" i="1"/>
  <c r="V444" i="1" s="1"/>
  <c r="U443" i="1"/>
  <c r="V443" i="1" s="1"/>
  <c r="U442" i="1"/>
  <c r="V442" i="1" s="1"/>
  <c r="U440" i="1"/>
  <c r="V440" i="1" s="1"/>
  <c r="U446" i="1"/>
  <c r="V446" i="1" s="1"/>
  <c r="U438" i="1"/>
  <c r="V438" i="1" s="1"/>
  <c r="U437" i="1"/>
  <c r="V437" i="1" s="1"/>
  <c r="U441" i="1"/>
  <c r="V441" i="1" s="1"/>
  <c r="U439" i="1"/>
  <c r="V439" i="1" s="1"/>
  <c r="U435" i="1"/>
  <c r="V435" i="1" s="1"/>
  <c r="U436" i="1"/>
  <c r="V436" i="1" s="1"/>
  <c r="U329" i="1"/>
  <c r="V329" i="1" s="1"/>
  <c r="U325" i="1"/>
  <c r="V325" i="1" s="1"/>
  <c r="U320" i="1"/>
  <c r="V320" i="1" s="1"/>
  <c r="U327" i="1"/>
  <c r="V327" i="1" s="1"/>
  <c r="U326" i="1"/>
  <c r="V326" i="1" s="1"/>
  <c r="U322" i="1"/>
  <c r="V322" i="1" s="1"/>
  <c r="U323" i="1"/>
  <c r="V323" i="1" s="1"/>
  <c r="U321" i="1"/>
  <c r="V321" i="1" s="1"/>
  <c r="U324" i="1"/>
  <c r="V324" i="1" s="1"/>
  <c r="U318" i="1"/>
  <c r="V318" i="1" s="1"/>
  <c r="U317" i="1"/>
  <c r="V317" i="1" s="1"/>
  <c r="U319" i="1"/>
  <c r="V319" i="1" s="1"/>
  <c r="U24" i="1"/>
  <c r="V24" i="1" s="1"/>
  <c r="U22" i="1"/>
  <c r="V22" i="1" s="1"/>
  <c r="U27" i="1"/>
  <c r="V27" i="1" s="1"/>
  <c r="U19" i="1"/>
  <c r="V19" i="1" s="1"/>
  <c r="U21" i="1"/>
  <c r="V21" i="1" s="1"/>
  <c r="U17" i="1"/>
  <c r="V17" i="1" s="1"/>
  <c r="U20" i="1"/>
  <c r="V20" i="1" s="1"/>
  <c r="U18" i="1"/>
  <c r="V18" i="1" s="1"/>
  <c r="U23" i="1"/>
  <c r="V23" i="1" s="1"/>
  <c r="U16" i="1"/>
  <c r="V16" i="1" s="1"/>
  <c r="U14" i="1"/>
  <c r="V14" i="1" s="1"/>
  <c r="U15" i="1"/>
  <c r="V15" i="1" s="1"/>
  <c r="U960" i="1"/>
  <c r="V960" i="1" s="1"/>
  <c r="U961" i="1"/>
  <c r="V961" i="1" s="1"/>
  <c r="U957" i="1"/>
  <c r="V957" i="1" s="1"/>
  <c r="U962" i="1"/>
  <c r="V962" i="1" s="1"/>
  <c r="U958" i="1"/>
  <c r="V958" i="1" s="1"/>
  <c r="U955" i="1"/>
  <c r="V955" i="1" s="1"/>
  <c r="U959" i="1"/>
  <c r="V959" i="1" s="1"/>
  <c r="U954" i="1"/>
  <c r="V954" i="1" s="1"/>
  <c r="U956" i="1"/>
  <c r="V956" i="1" s="1"/>
  <c r="U953" i="1"/>
  <c r="V953" i="1" s="1"/>
  <c r="U952" i="1"/>
  <c r="V952" i="1" s="1"/>
  <c r="U950" i="1"/>
  <c r="V950" i="1" s="1"/>
  <c r="U951" i="1"/>
  <c r="V951" i="1" s="1"/>
  <c r="U949" i="1"/>
  <c r="V949" i="1" s="1"/>
  <c r="U945" i="1"/>
  <c r="V945" i="1" s="1"/>
  <c r="U947" i="1"/>
  <c r="V947" i="1" s="1"/>
  <c r="U944" i="1"/>
  <c r="V944" i="1" s="1"/>
  <c r="U948" i="1"/>
  <c r="V948" i="1" s="1"/>
  <c r="U946" i="1"/>
  <c r="V946" i="1" s="1"/>
  <c r="U943" i="1"/>
  <c r="V943" i="1" s="1"/>
  <c r="U1302" i="1"/>
  <c r="V1302" i="1" s="1"/>
  <c r="U1300" i="1"/>
  <c r="V1300" i="1" s="1"/>
  <c r="U1303" i="1"/>
  <c r="V1303" i="1" s="1"/>
  <c r="U1299" i="1"/>
  <c r="V1299" i="1" s="1"/>
  <c r="U1305" i="1"/>
  <c r="V1305" i="1" s="1"/>
  <c r="U1307" i="1"/>
  <c r="V1307" i="1" s="1"/>
  <c r="U1306" i="1"/>
  <c r="V1306" i="1" s="1"/>
  <c r="U1308" i="1"/>
  <c r="V1308" i="1" s="1"/>
  <c r="U1304" i="1"/>
  <c r="V1304" i="1" s="1"/>
  <c r="U1311" i="1"/>
  <c r="V1311" i="1" s="1"/>
  <c r="U1301" i="1"/>
  <c r="V1301" i="1" s="1"/>
  <c r="U1309" i="1"/>
  <c r="V1309" i="1" s="1"/>
  <c r="U1312" i="1"/>
  <c r="V1312" i="1" s="1"/>
  <c r="U1310" i="1"/>
  <c r="V1310" i="1" s="1"/>
  <c r="U1328" i="1"/>
  <c r="V1328" i="1" s="1"/>
  <c r="U1330" i="1"/>
  <c r="V1330" i="1" s="1"/>
  <c r="U1329" i="1"/>
  <c r="V1329" i="1" s="1"/>
  <c r="U1332" i="1"/>
  <c r="V1332" i="1" s="1"/>
  <c r="U1333" i="1"/>
  <c r="V1333" i="1" s="1"/>
  <c r="U1335" i="1"/>
  <c r="V1335" i="1" s="1"/>
  <c r="U1331" i="1"/>
  <c r="V1331" i="1" s="1"/>
  <c r="U1327" i="1"/>
  <c r="V1327" i="1" s="1"/>
  <c r="U1336" i="1"/>
  <c r="V1336" i="1" s="1"/>
  <c r="U1334" i="1"/>
  <c r="V1334" i="1" s="1"/>
  <c r="U1337" i="1"/>
  <c r="V1337" i="1" s="1"/>
  <c r="U1338" i="1"/>
  <c r="V1338" i="1" s="1"/>
  <c r="U1353" i="1"/>
  <c r="V1353" i="1" s="1"/>
  <c r="U1351" i="1"/>
  <c r="V1351" i="1" s="1"/>
  <c r="U1354" i="1"/>
  <c r="V1354" i="1" s="1"/>
  <c r="U1357" i="1"/>
  <c r="V1357" i="1" s="1"/>
  <c r="U1352" i="1"/>
  <c r="V1352" i="1" s="1"/>
  <c r="U1356" i="1"/>
  <c r="V1356" i="1" s="1"/>
  <c r="U1355" i="1"/>
  <c r="V1355" i="1" s="1"/>
  <c r="U1360" i="1"/>
  <c r="V1360" i="1" s="1"/>
  <c r="U1358" i="1"/>
  <c r="V1358" i="1" s="1"/>
  <c r="U1359" i="1"/>
  <c r="V1359" i="1" s="1"/>
  <c r="U1276" i="1"/>
  <c r="V1276" i="1" s="1"/>
  <c r="U1278" i="1"/>
  <c r="V1278" i="1" s="1"/>
  <c r="U1277" i="1"/>
  <c r="V1277" i="1" s="1"/>
  <c r="U1281" i="1"/>
  <c r="V1281" i="1" s="1"/>
  <c r="U1279" i="1"/>
  <c r="V1279" i="1" s="1"/>
  <c r="U1275" i="1"/>
  <c r="V1275" i="1" s="1"/>
  <c r="U1280" i="1"/>
  <c r="V1280" i="1" s="1"/>
  <c r="U1282" i="1"/>
  <c r="V1282" i="1" s="1"/>
  <c r="U1283" i="1"/>
  <c r="V1283" i="1" s="1"/>
  <c r="U1285" i="1"/>
  <c r="V1285" i="1" s="1"/>
  <c r="U1284" i="1"/>
  <c r="V1284" i="1" s="1"/>
  <c r="U1289" i="1"/>
  <c r="V1289" i="1" s="1"/>
  <c r="U1288" i="1"/>
  <c r="V1288" i="1" s="1"/>
  <c r="U1291" i="1"/>
  <c r="V1291" i="1" s="1"/>
  <c r="U1292" i="1"/>
  <c r="V1292" i="1" s="1"/>
  <c r="U1290" i="1"/>
  <c r="V1290" i="1" s="1"/>
  <c r="U1287" i="1"/>
  <c r="V1287" i="1" s="1"/>
  <c r="U1286" i="1"/>
  <c r="V1286" i="1" s="1"/>
  <c r="U1294" i="1"/>
  <c r="V1294" i="1" s="1"/>
  <c r="U1293" i="1"/>
  <c r="V1293" i="1" s="1"/>
  <c r="U1296" i="1"/>
  <c r="V1296" i="1" s="1"/>
  <c r="U1297" i="1"/>
  <c r="V1297" i="1" s="1"/>
  <c r="U1295" i="1"/>
  <c r="V1295" i="1" s="1"/>
  <c r="U1298" i="1"/>
  <c r="V1298" i="1" s="1"/>
  <c r="U1322" i="1"/>
  <c r="V1322" i="1" s="1"/>
  <c r="U1323" i="1"/>
  <c r="V1323" i="1" s="1"/>
  <c r="U1325" i="1"/>
  <c r="V1325" i="1" s="1"/>
  <c r="U1324" i="1"/>
  <c r="V1324" i="1" s="1"/>
  <c r="U1326" i="1"/>
  <c r="V1326" i="1" s="1"/>
  <c r="U1345" i="1"/>
  <c r="V1345" i="1" s="1"/>
  <c r="U1344" i="1"/>
  <c r="V1344" i="1" s="1"/>
  <c r="U1346" i="1"/>
  <c r="V1346" i="1" s="1"/>
  <c r="U1342" i="1"/>
  <c r="V1342" i="1" s="1"/>
  <c r="U1343" i="1"/>
  <c r="V1343" i="1" s="1"/>
  <c r="U1347" i="1"/>
  <c r="V1347" i="1" s="1"/>
  <c r="U1348" i="1"/>
  <c r="V1348" i="1" s="1"/>
  <c r="U1349" i="1"/>
  <c r="V1349" i="1" s="1"/>
  <c r="U1350" i="1"/>
  <c r="V1350" i="1" s="1"/>
  <c r="U1363" i="1"/>
  <c r="V1363" i="1" s="1"/>
  <c r="U1364" i="1"/>
  <c r="V1364" i="1" s="1"/>
  <c r="U1366" i="1"/>
  <c r="V1366" i="1" s="1"/>
  <c r="U1362" i="1"/>
  <c r="V1362" i="1" s="1"/>
  <c r="U1367" i="1"/>
  <c r="V1367" i="1" s="1"/>
  <c r="U1365" i="1"/>
  <c r="V1365" i="1" s="1"/>
  <c r="U1361" i="1"/>
  <c r="V1361" i="1" s="1"/>
  <c r="U1368" i="1"/>
  <c r="V1368" i="1" s="1"/>
  <c r="U1369" i="1"/>
  <c r="V1369" i="1" s="1"/>
  <c r="U1370" i="1"/>
  <c r="V1370" i="1" s="1"/>
  <c r="U1372" i="1"/>
  <c r="V1372" i="1" s="1"/>
  <c r="U1371" i="1"/>
  <c r="V1371" i="1" s="1"/>
  <c r="U1248" i="1"/>
  <c r="V1248" i="1" s="1"/>
  <c r="U1251" i="1"/>
  <c r="V1251" i="1" s="1"/>
  <c r="U1255" i="1"/>
  <c r="V1255" i="1" s="1"/>
  <c r="U1249" i="1"/>
  <c r="V1249" i="1" s="1"/>
  <c r="U1247" i="1"/>
  <c r="V1247" i="1" s="1"/>
  <c r="U1250" i="1"/>
  <c r="V1250" i="1" s="1"/>
  <c r="U1253" i="1"/>
  <c r="V1253" i="1" s="1"/>
  <c r="U1252" i="1"/>
  <c r="V1252" i="1" s="1"/>
  <c r="U1254" i="1"/>
  <c r="V1254" i="1" s="1"/>
  <c r="U1257" i="1"/>
  <c r="V1257" i="1" s="1"/>
  <c r="U1256" i="1"/>
  <c r="V1256" i="1" s="1"/>
  <c r="U1258" i="1"/>
  <c r="V1258" i="1" s="1"/>
  <c r="U1259" i="1"/>
  <c r="V1259" i="1" s="1"/>
  <c r="U1260" i="1"/>
  <c r="V1260" i="1" s="1"/>
  <c r="U1262" i="1"/>
  <c r="V1262" i="1" s="1"/>
  <c r="U1264" i="1"/>
  <c r="V1264" i="1" s="1"/>
  <c r="U1261" i="1"/>
  <c r="V1261" i="1" s="1"/>
  <c r="U1267" i="1"/>
  <c r="V1267" i="1" s="1"/>
  <c r="U1268" i="1"/>
  <c r="V1268" i="1" s="1"/>
  <c r="U1270" i="1"/>
  <c r="V1270" i="1" s="1"/>
  <c r="U1271" i="1"/>
  <c r="V1271" i="1" s="1"/>
  <c r="U1269" i="1"/>
  <c r="V1269" i="1" s="1"/>
  <c r="U1263" i="1"/>
  <c r="V1263" i="1" s="1"/>
  <c r="U1265" i="1"/>
  <c r="V1265" i="1" s="1"/>
  <c r="U1266" i="1"/>
  <c r="V1266" i="1" s="1"/>
  <c r="S819" i="1" l="1"/>
  <c r="U819" i="1" s="1"/>
  <c r="V819" i="1" s="1"/>
  <c r="S303" i="1"/>
  <c r="U303" i="1" s="1"/>
  <c r="V303" i="1" s="1"/>
  <c r="U823" i="1"/>
  <c r="V823" i="1" s="1"/>
  <c r="I249" i="1"/>
  <c r="U165" i="1"/>
  <c r="V165" i="1" s="1"/>
  <c r="J180" i="1"/>
  <c r="K180" i="1" s="1"/>
  <c r="L180" i="1" s="1"/>
  <c r="J82" i="1"/>
  <c r="J275" i="1"/>
  <c r="K275" i="1" s="1"/>
  <c r="L275" i="1" s="1"/>
  <c r="J262" i="1"/>
  <c r="J249" i="1" l="1"/>
  <c r="K249" i="1" s="1"/>
  <c r="L249" i="1" s="1"/>
  <c r="M180" i="1"/>
  <c r="K82" i="1"/>
  <c r="L82" i="1" s="1"/>
  <c r="M275" i="1"/>
  <c r="N275" i="1" s="1"/>
  <c r="K262" i="1"/>
  <c r="M249" i="1" l="1"/>
  <c r="N249" i="1" s="1"/>
  <c r="N180" i="1"/>
  <c r="M82" i="1"/>
  <c r="N82" i="1" s="1"/>
  <c r="O82" i="1" s="1"/>
  <c r="P82" i="1" s="1"/>
  <c r="Q82" i="1" s="1"/>
  <c r="R82" i="1" s="1"/>
  <c r="S82" i="1" s="1"/>
  <c r="O275" i="1"/>
  <c r="P275" i="1" s="1"/>
  <c r="Q275" i="1" s="1"/>
  <c r="R275" i="1" s="1"/>
  <c r="S275" i="1" s="1"/>
  <c r="L262" i="1"/>
  <c r="O249" i="1" l="1"/>
  <c r="P249" i="1" s="1"/>
  <c r="Q249" i="1" s="1"/>
  <c r="R249" i="1" s="1"/>
  <c r="S249" i="1" s="1"/>
  <c r="O180" i="1"/>
  <c r="P180" i="1" s="1"/>
  <c r="M262" i="1"/>
  <c r="U249" i="1" l="1"/>
  <c r="V249" i="1" s="1"/>
  <c r="Q180" i="1"/>
  <c r="R180" i="1" s="1"/>
  <c r="S180" i="1" s="1"/>
  <c r="N262" i="1"/>
  <c r="U180" i="1" l="1"/>
  <c r="V180" i="1" s="1"/>
  <c r="U275" i="1"/>
  <c r="V275" i="1" s="1"/>
  <c r="O262" i="1"/>
  <c r="U82" i="1" l="1"/>
  <c r="V82" i="1" s="1"/>
  <c r="P262" i="1"/>
  <c r="Q262" i="1" l="1"/>
  <c r="R262" i="1" l="1"/>
  <c r="S262" i="1" s="1"/>
  <c r="U262" i="1" l="1"/>
  <c r="V262" i="1" s="1"/>
  <c r="U297" i="1" l="1"/>
  <c r="V297" i="1" s="1"/>
</calcChain>
</file>

<file path=xl/sharedStrings.xml><?xml version="1.0" encoding="utf-8"?>
<sst xmlns="http://schemas.openxmlformats.org/spreadsheetml/2006/main" count="17782" uniqueCount="1916">
  <si>
    <t>ID</t>
  </si>
  <si>
    <t>Gender</t>
  </si>
  <si>
    <t>Nationality</t>
  </si>
  <si>
    <t>0_100m</t>
  </si>
  <si>
    <t>100_200m</t>
  </si>
  <si>
    <t>200_300m</t>
  </si>
  <si>
    <t>300_400m</t>
  </si>
  <si>
    <t>400_500m</t>
  </si>
  <si>
    <t>500_600m</t>
  </si>
  <si>
    <t>600_700m</t>
  </si>
  <si>
    <t>700_800m</t>
  </si>
  <si>
    <t>Final_time</t>
  </si>
  <si>
    <t>Competition</t>
  </si>
  <si>
    <t>Competition_date</t>
  </si>
  <si>
    <t>Competition_type</t>
  </si>
  <si>
    <t>References</t>
  </si>
  <si>
    <t>Male</t>
  </si>
  <si>
    <t>KEN</t>
  </si>
  <si>
    <t>FRA</t>
  </si>
  <si>
    <t>ITA</t>
  </si>
  <si>
    <t>GBR</t>
  </si>
  <si>
    <t>AUS</t>
  </si>
  <si>
    <t>ESP</t>
  </si>
  <si>
    <t>800_900m</t>
  </si>
  <si>
    <t>900_1000m</t>
  </si>
  <si>
    <t>1000_1100m</t>
  </si>
  <si>
    <t>1100_1200m</t>
  </si>
  <si>
    <t>1200_1300m</t>
  </si>
  <si>
    <t>1300_1400m</t>
  </si>
  <si>
    <t>1400_1500m</t>
  </si>
  <si>
    <t>NOR</t>
  </si>
  <si>
    <t>Diamond League Oslo 2024</t>
  </si>
  <si>
    <t>https://oslo.diamondleague.com/archive/2024/oslo/ATHM1500M---DIAMOND---FNL-000100--_C77A_1.0.PDF</t>
  </si>
  <si>
    <t>POR</t>
  </si>
  <si>
    <t>GER</t>
  </si>
  <si>
    <t>IRL</t>
  </si>
  <si>
    <t>RSA</t>
  </si>
  <si>
    <t>Diamond League Oslo 2024 - B race</t>
  </si>
  <si>
    <t>https://oslo.diamondleague.com/archive/2024/oslo/ATHM1500M---NATIONAL--FNL-000100--_C77A_1.0.PDF</t>
  </si>
  <si>
    <t>NED</t>
  </si>
  <si>
    <t>DEN</t>
  </si>
  <si>
    <t>AUT</t>
  </si>
  <si>
    <t>Competition_level</t>
  </si>
  <si>
    <t>Meeting</t>
  </si>
  <si>
    <t>National</t>
  </si>
  <si>
    <t>Athletes</t>
  </si>
  <si>
    <t>Competition_year</t>
  </si>
  <si>
    <t>Female</t>
  </si>
  <si>
    <t>ETH</t>
  </si>
  <si>
    <t>Diamond League Xiamen 2024</t>
  </si>
  <si>
    <t>https://xiamen.diamondleague.com/archive/2024/xiamen/ATHW1500M---DIAMOND---FNL-000100--_C77A_1.0.PDF</t>
  </si>
  <si>
    <t>USA</t>
  </si>
  <si>
    <t>UGA</t>
  </si>
  <si>
    <t>Diamond League Doha 2024</t>
  </si>
  <si>
    <t>https://doha.diamondleague.com/archive/2024/doha/ATHM1500M---DIAMOND---FNL-000100--_C77A_1.0.PDF</t>
  </si>
  <si>
    <t>CAN</t>
  </si>
  <si>
    <t>SWE</t>
  </si>
  <si>
    <t>QAT</t>
  </si>
  <si>
    <t>Temperature_C</t>
  </si>
  <si>
    <t>Humidity</t>
  </si>
  <si>
    <t>Conditions</t>
  </si>
  <si>
    <t>Rain</t>
  </si>
  <si>
    <t>Partly cloudy</t>
  </si>
  <si>
    <t>Overcast</t>
  </si>
  <si>
    <t>Sky clear</t>
  </si>
  <si>
    <t>World</t>
  </si>
  <si>
    <t>https://doha.diamondleague.com/archive/2024/doha/ATHW1500M---DIAMOND---FNL-000100--_C77A_1.0.PDF</t>
  </si>
  <si>
    <t>Diamond League Rome 2024</t>
  </si>
  <si>
    <t>https://rome.diamondleague.com/archive/2024/rome/ATHW1500M---DIAMOND---FNL-000100--_C77A_1.0.PDF</t>
  </si>
  <si>
    <t>JPN</t>
  </si>
  <si>
    <t>Diamond League Stockholm 2024</t>
  </si>
  <si>
    <t>Sunny</t>
  </si>
  <si>
    <t>https://stockholm.diamondleague.com/archive/2024/stockholm/ATHW1500M---DIAMOND---FNL-000100--_C77A_1.0.PDF</t>
  </si>
  <si>
    <t>https://stockholm.diamondleague.com/archive/2024/stockholm/ATHM1500M---ADDITIONALFNL-000100--_C77A_1.0.PDF</t>
  </si>
  <si>
    <t>Continental</t>
  </si>
  <si>
    <t>MAR</t>
  </si>
  <si>
    <t>LUX</t>
  </si>
  <si>
    <t>Diamond League Paris 2024</t>
  </si>
  <si>
    <t>https://paris.diamondleague.com/archive/2024/paris/ATHW1500M---DIAMOND---FNL-000100--_C77A_1.0.PDF</t>
  </si>
  <si>
    <t>Diamond League Monaco 2024</t>
  </si>
  <si>
    <t>https://monaco.diamondleague.com/archive/2024/monaco/ATHM1500M---DIAMOND---FNL-000100--_C77A_1.0.PDF</t>
  </si>
  <si>
    <t>Diamond League Silesia 2024</t>
  </si>
  <si>
    <t>https://silesia.diamondleague.com/archive/2024/silesia/ATHW1500M---DIAMOND---FNL-000100--_C77A_1.0.PDF</t>
  </si>
  <si>
    <t>POL</t>
  </si>
  <si>
    <t>Diamond League Lausanne 2024</t>
  </si>
  <si>
    <t>https://lausanne.diamondleague.com/archive/2024/lausanne/ATHM1500M---DIAMOND---FNL-000100--_C77A_1.0.PDF</t>
  </si>
  <si>
    <t>BEL</t>
  </si>
  <si>
    <t>SUI</t>
  </si>
  <si>
    <t>Diamond League Lausanne 2024 - B race</t>
  </si>
  <si>
    <t>https://lausanne.diamondleague.com/archive/2024/lausanne/ATHM1500M---PROMOTION-FNL-000100--_C77A_1.0.PDF</t>
  </si>
  <si>
    <t>Diamond League Brussels 2024</t>
  </si>
  <si>
    <t>https://brussels.diamondleague.com/archive/2024/brussels/ATHM1500M---DIAMOND---FNL-000100--_C77A_1.0.PDF</t>
  </si>
  <si>
    <t>https://brussels.diamondleague.com/archive/2024/brussels/ATHW1500M---DIAMOND---FNL-000100--_C77A_1.0.PDF</t>
  </si>
  <si>
    <t>Diamond League Zurich 2024</t>
  </si>
  <si>
    <t>Cloudy</t>
  </si>
  <si>
    <t>https://zurich.diamondleague.com/archive/2024/zurich/ATHM1500M---DIAMOND---FNL-000100--_C77A_1.0.PDF</t>
  </si>
  <si>
    <t>Sum_time</t>
  </si>
  <si>
    <t>Diff</t>
  </si>
  <si>
    <t>World Championships Budapest 2023</t>
  </si>
  <si>
    <t>Championship - Heat</t>
  </si>
  <si>
    <t>https://worldathletics.org/competitions/world-athletics-championships/world-athletics-championships-budapest-2023-7138987/results/women/1500-metres/heats/result</t>
  </si>
  <si>
    <t>MEX</t>
  </si>
  <si>
    <t>ROU</t>
  </si>
  <si>
    <t>BRA</t>
  </si>
  <si>
    <t>TUR</t>
  </si>
  <si>
    <t>HUN</t>
  </si>
  <si>
    <t>Championship - Semi-final</t>
  </si>
  <si>
    <t>https://worldathletics.org/competitions/world-athletics-championships/world-athletics-championships-budapest-2023-7138987/results/women/1500-metres/semi-final/result</t>
  </si>
  <si>
    <t>JAM</t>
  </si>
  <si>
    <t>Q</t>
  </si>
  <si>
    <t>Championship - Final</t>
  </si>
  <si>
    <t>https://worldathletics.org/competitions/world-athletics-championships/world-athletics-championships-budapest-2023-7138987/results/women/1500-metres/final/result</t>
  </si>
  <si>
    <t>https://worldathletics.org/en/competitions/world-athletics-championships/world-athletics-championships-budapest-2023-7138987/results/men/1500-metres/heats/result</t>
  </si>
  <si>
    <t>Charles PHILIBERT-THIBOUTOT</t>
  </si>
  <si>
    <t>SSD</t>
  </si>
  <si>
    <t>ARM</t>
  </si>
  <si>
    <t>qR</t>
  </si>
  <si>
    <t>Mario GARCÍA</t>
  </si>
  <si>
    <t>NZL</t>
  </si>
  <si>
    <t>FIN</t>
  </si>
  <si>
    <t>PUR</t>
  </si>
  <si>
    <t>SRB</t>
  </si>
  <si>
    <t>IND</t>
  </si>
  <si>
    <t>ARG</t>
  </si>
  <si>
    <t>ALG</t>
  </si>
  <si>
    <t>https://worldathletics.org/competitions/world-athletics-championships/world-athletics-championships-budapest-2023-7138987/results/men/1500-metres/semi-final/result</t>
  </si>
  <si>
    <t>https://worldathletics.org/competitions/world-athletics-championships/world-athletics-championships-budapest-2023-7138987/results/men/1500-metres/final/result</t>
  </si>
  <si>
    <t>Championship_step</t>
  </si>
  <si>
    <t>Heat 1</t>
  </si>
  <si>
    <t>Heat 2</t>
  </si>
  <si>
    <t>Semi 1</t>
  </si>
  <si>
    <t>Semi 2</t>
  </si>
  <si>
    <t>Final</t>
  </si>
  <si>
    <t>Heat 3</t>
  </si>
  <si>
    <t>Heat 4</t>
  </si>
  <si>
    <t>Hirut MESHESHA</t>
  </si>
  <si>
    <t>World Championships Eugene 2022</t>
  </si>
  <si>
    <t>https://worldathletics.org/competitions/world-athletics-championships/iaaf-world-championships-usa-2022-7137279/results/women/1500-metres/heats/result</t>
  </si>
  <si>
    <t>Gudaf TSEGAY</t>
  </si>
  <si>
    <t>Winny CHEBET</t>
  </si>
  <si>
    <t>CZE</t>
  </si>
  <si>
    <t>KOS</t>
  </si>
  <si>
    <t>q</t>
  </si>
  <si>
    <t>https://worldathletics.org/competitions/world-athletics-championships/iaaf-world-championships-usa-2022-7137279/results/women/1500-metres/semi-final/result</t>
  </si>
  <si>
    <t>Freweyni HAILU</t>
  </si>
  <si>
    <t>https://worldathletics.org/competitions/world-athletics-championships/iaaf-world-championships-usa-2022-7137279/results/women/1500-metres/final/result</t>
  </si>
  <si>
    <t>https://worldathletics.org/competitions/world-athletics-championships/iaaf-world-championships-usa-2022-7137279/results/men/1500-metres/heats/result</t>
  </si>
  <si>
    <t>URU</t>
  </si>
  <si>
    <t>https://worldathletics.org/competitions/world-athletics-championships/iaaf-world-championships-usa-2022-7137279/results/men/1500-metres/semi-final/result</t>
  </si>
  <si>
    <t>Mohamed KATIR</t>
  </si>
  <si>
    <t>Jake WIGHTMAN</t>
  </si>
  <si>
    <t>Jakob INGEBRIGTSEN</t>
  </si>
  <si>
    <t>Sifan HASSAN</t>
  </si>
  <si>
    <t>Laura MUIR</t>
  </si>
  <si>
    <t>Nikki HILTZ</t>
  </si>
  <si>
    <t>Edinah JEBITOK</t>
  </si>
  <si>
    <t>Abbey CALDWELL</t>
  </si>
  <si>
    <t>Nozomi TANAKA</t>
  </si>
  <si>
    <t>Lucia STAFFORD</t>
  </si>
  <si>
    <t>Alma Delia CORTES</t>
  </si>
  <si>
    <t>Claudia Mihaela BOBOCEA</t>
  </si>
  <si>
    <t>Sofia ENNAOUI</t>
  </si>
  <si>
    <t>Jaqueline Beatriz WEBER</t>
  </si>
  <si>
    <t>Şilan AYYILDIZ</t>
  </si>
  <si>
    <t>Faith KIPYEGON</t>
  </si>
  <si>
    <t>Diribe WELTEJI</t>
  </si>
  <si>
    <t>Sarah HEALY</t>
  </si>
  <si>
    <t>Gaia SABBATINI</t>
  </si>
  <si>
    <t>Melissa COURTNEY-BRYANT</t>
  </si>
  <si>
    <t>Esther GUERRERO</t>
  </si>
  <si>
    <t>Sofia THØGERSEN</t>
  </si>
  <si>
    <t>Agathe GUILLEMOT</t>
  </si>
  <si>
    <t>Aleksandra PŁOCIŃSKA</t>
  </si>
  <si>
    <t>Hanna HERMANSSON</t>
  </si>
  <si>
    <t>Salomé AFONSO</t>
  </si>
  <si>
    <t>Carina VILJOEN</t>
  </si>
  <si>
    <t>Lili Anna VINDICS-TÓTH</t>
  </si>
  <si>
    <t>Elise VANDERELST</t>
  </si>
  <si>
    <t>Nelly CHEPCHIRCHIR</t>
  </si>
  <si>
    <t>Birke HAYLOM</t>
  </si>
  <si>
    <t>Ciara MAGEEAN</t>
  </si>
  <si>
    <t>Cory Ann MCGEE</t>
  </si>
  <si>
    <t>Ludovica CAVALLI</t>
  </si>
  <si>
    <t>Marta PÉREZ</t>
  </si>
  <si>
    <t>Linden HALL</t>
  </si>
  <si>
    <t>Sinclaire JOHNSON</t>
  </si>
  <si>
    <t>Katie SNOWDEN</t>
  </si>
  <si>
    <t>Jessica HULL</t>
  </si>
  <si>
    <t>Adelle TRACEY</t>
  </si>
  <si>
    <t>Josh KERR</t>
  </si>
  <si>
    <t>Adel MECHAAL</t>
  </si>
  <si>
    <t>Isaac NADER</t>
  </si>
  <si>
    <t>Amos BARTELSMEYER</t>
  </si>
  <si>
    <t>Samuel ZELEKE</t>
  </si>
  <si>
    <t>Abraham GUEM</t>
  </si>
  <si>
    <t>Ryan MPHAHLELE</t>
  </si>
  <si>
    <t>Yervand MKRTCHYAN</t>
  </si>
  <si>
    <t>Nicholas GRIGGS</t>
  </si>
  <si>
    <t>Matthew RAMSDEN</t>
  </si>
  <si>
    <t>Tom ELMER</t>
  </si>
  <si>
    <t>Emil DANIELSSON</t>
  </si>
  <si>
    <t>Tshepo TSHITE</t>
  </si>
  <si>
    <t>Neil GOURLEY</t>
  </si>
  <si>
    <t>Samuel TANNER</t>
  </si>
  <si>
    <t>Ruben VERHEYDEN</t>
  </si>
  <si>
    <t>Timothy CHERUIYOT</t>
  </si>
  <si>
    <t>Joonas RINNE</t>
  </si>
  <si>
    <t>Joe WASKOM</t>
  </si>
  <si>
    <t>Hicham AKANKAM</t>
  </si>
  <si>
    <t>Luke MCCANN</t>
  </si>
  <si>
    <t>Teddese LEMI</t>
  </si>
  <si>
    <t>Rob NAPOLITANO</t>
  </si>
  <si>
    <t>Joao BUSSOTTI NEVES</t>
  </si>
  <si>
    <t>Julian RANC</t>
  </si>
  <si>
    <t>Niels LAROS</t>
  </si>
  <si>
    <t>Cole HOCKER</t>
  </si>
  <si>
    <t>Pietro ARESE</t>
  </si>
  <si>
    <t>Narve Gilje NORDÅS</t>
  </si>
  <si>
    <t>Azeddine HABZ</t>
  </si>
  <si>
    <t>Stewart MCSWEYN</t>
  </si>
  <si>
    <t>Kieran LUMB</t>
  </si>
  <si>
    <t>Abdellatif SADIKI</t>
  </si>
  <si>
    <t>Elzan BIBIĆ</t>
  </si>
  <si>
    <t>István SZÖGI</t>
  </si>
  <si>
    <t>Ajay Kumar SAROJ</t>
  </si>
  <si>
    <t>Diego Javier LACAMOIRE</t>
  </si>
  <si>
    <t>Ismael DEBJANI</t>
  </si>
  <si>
    <t>Abel KIPSANG</t>
  </si>
  <si>
    <t>Yared NUGUSE</t>
  </si>
  <si>
    <t>Adam SPENCER</t>
  </si>
  <si>
    <t>Charles GRETHEN</t>
  </si>
  <si>
    <t>Elliot GILES</t>
  </si>
  <si>
    <t>Andrew COSCORAN</t>
  </si>
  <si>
    <t>Ossama MESLEK</t>
  </si>
  <si>
    <t>Salim KEDDAR</t>
  </si>
  <si>
    <t>Jochem VERMEULEN</t>
  </si>
  <si>
    <t>Michał ROZMYS</t>
  </si>
  <si>
    <t>Raphael PALLITSCH</t>
  </si>
  <si>
    <t>Kristian Uldbjerg HANSEN</t>
  </si>
  <si>
    <t>Adisu GIRMA</t>
  </si>
  <si>
    <t>Katharina TROST</t>
  </si>
  <si>
    <t>Winnie NANYONDO</t>
  </si>
  <si>
    <t>Diana MEZULIÁNÍKOVÁ</t>
  </si>
  <si>
    <t>Federica DEL BUONO</t>
  </si>
  <si>
    <t>Nathalie BLOMQVIST</t>
  </si>
  <si>
    <t>Gresa BAKRAÇI</t>
  </si>
  <si>
    <t>Hanna KLEIN</t>
  </si>
  <si>
    <t>Elle ST. PIERRE</t>
  </si>
  <si>
    <t>Georgia GRIFFITH</t>
  </si>
  <si>
    <t>Oliver HOARE</t>
  </si>
  <si>
    <t>Samuel TEFERA</t>
  </si>
  <si>
    <t>Ignacio FONTES</t>
  </si>
  <si>
    <t>Cameron PROCEVIAT</t>
  </si>
  <si>
    <t>Christoph KESSLER</t>
  </si>
  <si>
    <t>Cooper TEARE</t>
  </si>
  <si>
    <t>John GREGOREK</t>
  </si>
  <si>
    <t>Santiago CATROFE</t>
  </si>
  <si>
    <t>Kumari TAKI</t>
  </si>
  <si>
    <t>Charles Cheboi SIMOTWO</t>
  </si>
  <si>
    <t>Anass ESSAYI</t>
  </si>
  <si>
    <t>Joshua THOMPSON</t>
  </si>
  <si>
    <t>William PAULSON</t>
  </si>
  <si>
    <t>Filip SASÍNEK</t>
  </si>
  <si>
    <t>Ferdinand Kvan EDMAN</t>
  </si>
  <si>
    <t>Elhassane MOUJAHID</t>
  </si>
  <si>
    <t>Ronald MUSAGALA</t>
  </si>
  <si>
    <t>https://worldathletics.org/competitions/world-athletics-championships/iaaf-world-championships-usa-2022-7137279/results/men/1500-metres/final/result</t>
  </si>
  <si>
    <t>Diamond League Eugene 2023</t>
  </si>
  <si>
    <t>https://www.diamondleague.com/results-standings/results/</t>
  </si>
  <si>
    <t>Axumawit EMBAYE</t>
  </si>
  <si>
    <t>Konstanze KLOSTERHALFEN</t>
  </si>
  <si>
    <t>Lemlem HAILU</t>
  </si>
  <si>
    <t>Angelika CICHOCKA</t>
  </si>
  <si>
    <t>Lamecha GIRMA</t>
  </si>
  <si>
    <t>Diamond League Lausanne 2023</t>
  </si>
  <si>
    <t>Diamond League Doha 2023</t>
  </si>
  <si>
    <t>Andreas ALMGREN</t>
  </si>
  <si>
    <t>Diamond League Oslo 2023</t>
  </si>
  <si>
    <t>Matthew STONIER</t>
  </si>
  <si>
    <t>George MILLS</t>
  </si>
  <si>
    <t>Diamond League London 2023</t>
  </si>
  <si>
    <t>Mostly cloudy</t>
  </si>
  <si>
    <t>Hasna HSSISOU</t>
  </si>
  <si>
    <t>Dounia SOUHAIL</t>
  </si>
  <si>
    <t>Rajaa NAOUI</t>
  </si>
  <si>
    <t>Karima ABBI</t>
  </si>
  <si>
    <t>Aatiqa BOUKRYM</t>
  </si>
  <si>
    <t>Marwa BENCHRIFA</t>
  </si>
  <si>
    <t>Sara ZOUHAIR</t>
  </si>
  <si>
    <t>Kaoutar MOULOUA</t>
  </si>
  <si>
    <t>Chaimae ZAHIRI</t>
  </si>
  <si>
    <t>Hiba GHIZLANE</t>
  </si>
  <si>
    <t>Aya DIMOKRATI</t>
  </si>
  <si>
    <t>Diamond League Rabat 2023 - B race</t>
  </si>
  <si>
    <t>Worknesh MESELE</t>
  </si>
  <si>
    <t>Diamond League Rabat 2023</t>
  </si>
  <si>
    <t>Josette ANDREWS</t>
  </si>
  <si>
    <t>Sintayehu VISSA</t>
  </si>
  <si>
    <t>Gabriela DEBUES-STAFFORD</t>
  </si>
  <si>
    <t>Marta GARCÍA</t>
  </si>
  <si>
    <t>Diamond League Rome 2023</t>
  </si>
  <si>
    <t>Diamond League Silesia 2023</t>
  </si>
  <si>
    <t>Diamond League Xiamen 2023</t>
  </si>
  <si>
    <t>Diamond League Stockholm 2023</t>
  </si>
  <si>
    <t>Diamond League Zurich 2022</t>
  </si>
  <si>
    <t>Diamond League Brussels 2022</t>
  </si>
  <si>
    <t>Diamond League Lausanne 2022</t>
  </si>
  <si>
    <t>Diamond League Monaco 2022</t>
  </si>
  <si>
    <t>Diamond League Silesia 2022</t>
  </si>
  <si>
    <t>Diamond League Stockholm 2022</t>
  </si>
  <si>
    <t>Diamond League Rome 2022</t>
  </si>
  <si>
    <t>Diamond League Doha 2022</t>
  </si>
  <si>
    <t>Diamond League Brussels 2021</t>
  </si>
  <si>
    <t>Diamond League Lausanne 2021</t>
  </si>
  <si>
    <t>Diamond League Eugene 2021</t>
  </si>
  <si>
    <t>Diamond League Monaco 2021</t>
  </si>
  <si>
    <t>Diamond League Florencia 2021</t>
  </si>
  <si>
    <t>Diamond League Doha 2021</t>
  </si>
  <si>
    <t>Diamond League Gateshead 2021</t>
  </si>
  <si>
    <t>Rebecca MEHRA</t>
  </si>
  <si>
    <t>Danielle JONES</t>
  </si>
  <si>
    <t>Sara VAUGHN</t>
  </si>
  <si>
    <t>Eleanor FULTON</t>
  </si>
  <si>
    <t>Danielle ARAGON</t>
  </si>
  <si>
    <t>Marta PEN FREITAS</t>
  </si>
  <si>
    <t>Julianne LABACH</t>
  </si>
  <si>
    <t>Allie WILSON</t>
  </si>
  <si>
    <t>Diamond League Eugene 2021 - North American</t>
  </si>
  <si>
    <t>Diamond League Lausanne 2021 - U18/U20</t>
  </si>
  <si>
    <t>Sophie BAUMANN</t>
  </si>
  <si>
    <t>Romane WOLHAUSER</t>
  </si>
  <si>
    <t>Elena EICHENBERGER</t>
  </si>
  <si>
    <t>Malin RAHM</t>
  </si>
  <si>
    <t>Tabea BLATTER</t>
  </si>
  <si>
    <t>Danika SLITS</t>
  </si>
  <si>
    <t>Constance PITTET</t>
  </si>
  <si>
    <t>Zoe RANZONI</t>
  </si>
  <si>
    <t>Leonie SAURER</t>
  </si>
  <si>
    <t>Lieke WEHRUNG</t>
  </si>
  <si>
    <t>Diamond League Stockholm  2021</t>
  </si>
  <si>
    <t>Diamond League Stockholm  2021 - pre-programm</t>
  </si>
  <si>
    <t>Jake HEYWARD</t>
  </si>
  <si>
    <t>Robert FARKEN</t>
  </si>
  <si>
    <t>Nick WILLIS</t>
  </si>
  <si>
    <t>Ayanleh SOULEIMAN</t>
  </si>
  <si>
    <t>DJI</t>
  </si>
  <si>
    <t>Baptiste MISCHLER</t>
  </si>
  <si>
    <t>Kalle BERGLUND</t>
  </si>
  <si>
    <t>ART</t>
  </si>
  <si>
    <t>Olympic Games Tokyo 2021</t>
  </si>
  <si>
    <t>https://worldathletics.org/competitions/olympic-games/the-xxxii-olympic-games-7132391/results/men/1500-metres/heats/result</t>
  </si>
  <si>
    <t>Paulo Amotun LOKORO</t>
  </si>
  <si>
    <t>https://worldathletics.org/competitions/olympic-games/the-xxxii-olympic-games-7132391/results/men/1500-metres/semi-final/result</t>
  </si>
  <si>
    <t>Sara KUIVISTO</t>
  </si>
  <si>
    <t>Laura GALVÁN</t>
  </si>
  <si>
    <t>Heather MACLEAN</t>
  </si>
  <si>
    <t>https://worldathletics.org/competitions/olympic-games/the-xxxii-olympic-games-7132391/results/women/1500-metres/heats/result</t>
  </si>
  <si>
    <t>https://worldathletics.org/competitions/olympic-games/the-xxxii-olympic-games-7132391/results/women/1500-metres/semi-final/result</t>
  </si>
  <si>
    <t>Elise CRANNY</t>
  </si>
  <si>
    <t>Ayal DAGNACHEW</t>
  </si>
  <si>
    <t>Aurore FLEURY</t>
  </si>
  <si>
    <t>Tigist KETEMA</t>
  </si>
  <si>
    <t>Diamond League Eugene 2022</t>
  </si>
  <si>
    <t>Vincent CIATTEI</t>
  </si>
  <si>
    <t>Samuel PRAKEL</t>
  </si>
  <si>
    <t>Hobbs KESSLER</t>
  </si>
  <si>
    <t>Colby ALEXANDER</t>
  </si>
  <si>
    <t>Charlie HUNTER</t>
  </si>
  <si>
    <t>Marc SCOTT</t>
  </si>
  <si>
    <t>James WEST</t>
  </si>
  <si>
    <t>Christian NOBLE</t>
  </si>
  <si>
    <t>Thomas RATCLIFFE</t>
  </si>
  <si>
    <t>Jonas RAESS</t>
  </si>
  <si>
    <t>Caleb LAKEMAN</t>
  </si>
  <si>
    <t>Jemma REEKIE</t>
  </si>
  <si>
    <t>Diamond League London 2022</t>
  </si>
  <si>
    <t>Piers COPELAND</t>
  </si>
  <si>
    <t>Erik SOWINSKI</t>
  </si>
  <si>
    <t>Sigurd TVEIT</t>
  </si>
  <si>
    <t>Job IJTSMA</t>
  </si>
  <si>
    <t>Even Brøndbo DAHL</t>
  </si>
  <si>
    <t>Esten Hansen-Møllerud HAUEN</t>
  </si>
  <si>
    <t>Gregory BERNAGE</t>
  </si>
  <si>
    <t>Anders BJØRNDAL</t>
  </si>
  <si>
    <t>Jurjen POLDERMAN</t>
  </si>
  <si>
    <t>Elmer Mulleri SKALLE</t>
  </si>
  <si>
    <t>Moa Abounnachat BOLLERØD</t>
  </si>
  <si>
    <t>Benjamin OLSEN</t>
  </si>
  <si>
    <t>Sondre RISHØI</t>
  </si>
  <si>
    <t>Diamond League Oslo 2022 - B race</t>
  </si>
  <si>
    <t>Oussama ALLAOUI</t>
  </si>
  <si>
    <t>Abderahmane LAASAL</t>
  </si>
  <si>
    <t>Walid JARFANI</t>
  </si>
  <si>
    <t>Ismail CHKHICHEKH</t>
  </si>
  <si>
    <t>Zouhair REDOUANE</t>
  </si>
  <si>
    <t>Ilyas AAOURDOU</t>
  </si>
  <si>
    <t>Ayoub TAOUS</t>
  </si>
  <si>
    <t>Abdellah OUSGHIR</t>
  </si>
  <si>
    <t>Diamond League Rabat 2022 - U23</t>
  </si>
  <si>
    <t>Habitam ALEMU</t>
  </si>
  <si>
    <t>Lore HOFFMANN</t>
  </si>
  <si>
    <t>Diamond League Rabat 2022</t>
  </si>
  <si>
    <t>Hicham OULADHA</t>
  </si>
  <si>
    <t>Jimmy GRESSIER</t>
  </si>
  <si>
    <t>Hafid RIZQY</t>
  </si>
  <si>
    <t>Sanae HASNAOUI</t>
  </si>
  <si>
    <t>Lamyae ABBASSI</t>
  </si>
  <si>
    <t>Erin WALLACE</t>
  </si>
  <si>
    <t>Eliza MEGGER</t>
  </si>
  <si>
    <t>Weronika LIZAKOWSKA</t>
  </si>
  <si>
    <t>Patryk SIERADZKI</t>
  </si>
  <si>
    <t>Saron BERHE</t>
  </si>
  <si>
    <t>Tigist GIRMA</t>
  </si>
  <si>
    <t>Helen SCHLACHTENHAUFEN</t>
  </si>
  <si>
    <t>Purity CHEPKIRUI</t>
  </si>
  <si>
    <t>Emily MACKAY</t>
  </si>
  <si>
    <t>CHN</t>
  </si>
  <si>
    <t>Comp_ID</t>
  </si>
  <si>
    <t>Mohamed Ali GOUANED</t>
  </si>
  <si>
    <t>Musaeb Abdulrahman BALLA</t>
  </si>
  <si>
    <t>Abdessalem AYOUNI</t>
  </si>
  <si>
    <t>TUN</t>
  </si>
  <si>
    <t>Manuel OLMEDO</t>
  </si>
  <si>
    <t>Rabi Mohamoud MUBARAK</t>
  </si>
  <si>
    <t>Ebrahim ALZOFAIRI</t>
  </si>
  <si>
    <t>KUW</t>
  </si>
  <si>
    <t>Khaled Mohamed Jaman AL HARBI</t>
  </si>
  <si>
    <t>BIH</t>
  </si>
  <si>
    <t>Keely HODGKINSON</t>
  </si>
  <si>
    <t>Hedda HYNNE</t>
  </si>
  <si>
    <t>Hanna GREEN</t>
  </si>
  <si>
    <t>Ferguson Cheruiyot ROTICH</t>
  </si>
  <si>
    <t>Marco AROP</t>
  </si>
  <si>
    <t>Adrián BEN</t>
  </si>
  <si>
    <t>Isaiah HARRIS</t>
  </si>
  <si>
    <t>Amel TUKA</t>
  </si>
  <si>
    <t>Andreas KRAMER</t>
  </si>
  <si>
    <t>Jamie WEBB</t>
  </si>
  <si>
    <t>Jonathan KITILIT</t>
  </si>
  <si>
    <t>Joakim ANDERSSON</t>
  </si>
  <si>
    <t>John FITZSIMONS</t>
  </si>
  <si>
    <t>Alexander LUNDSKOG</t>
  </si>
  <si>
    <t>Johan ROGESTEDT</t>
  </si>
  <si>
    <t>Rose Mary ALMANZA</t>
  </si>
  <si>
    <t>CUB</t>
  </si>
  <si>
    <t>Kate GRACE</t>
  </si>
  <si>
    <t>Catriona BISSET</t>
  </si>
  <si>
    <t>Lovisa LINDH</t>
  </si>
  <si>
    <t>Halimah NAKAAYI</t>
  </si>
  <si>
    <t>Wyclife KINYAMAL</t>
  </si>
  <si>
    <t>Peter BOL</t>
  </si>
  <si>
    <t>Bryce HOPPEL</t>
  </si>
  <si>
    <t>Clayton MURPHY</t>
  </si>
  <si>
    <t>Saúl ORDÓÑEZ</t>
  </si>
  <si>
    <t>Jeffrey RISELEY</t>
  </si>
  <si>
    <t>Angelika SARNA</t>
  </si>
  <si>
    <t>Madeleine KELLY</t>
  </si>
  <si>
    <t>Morgan MITCHELL</t>
  </si>
  <si>
    <t>Noélie YARIGO</t>
  </si>
  <si>
    <t>BEN</t>
  </si>
  <si>
    <t>Eunice Jepkoech SUM</t>
  </si>
  <si>
    <t>Nadia POWER</t>
  </si>
  <si>
    <t>Lokonyen Rose NATHIKE</t>
  </si>
  <si>
    <t>Athing MU</t>
  </si>
  <si>
    <t>Joanna JÓŹWIK</t>
  </si>
  <si>
    <t>Melissa BISHOP-NRIAGU</t>
  </si>
  <si>
    <t>Christina HERING</t>
  </si>
  <si>
    <t>Bianka BARTHA-KÉRI</t>
  </si>
  <si>
    <t>Louise SHANAHAN</t>
  </si>
  <si>
    <t>Raevyn ROGERS</t>
  </si>
  <si>
    <t>Mary MORAA</t>
  </si>
  <si>
    <t>Lindsey BUTTERWORTH</t>
  </si>
  <si>
    <t>Anna WIELGOSZ</t>
  </si>
  <si>
    <t>Síofra CLÉIRIGH BÜTTNER</t>
  </si>
  <si>
    <t>Nimali WALIWARSHA</t>
  </si>
  <si>
    <t>SRI</t>
  </si>
  <si>
    <t>Déborah RODRÍGUEZ</t>
  </si>
  <si>
    <t>Alexandra BELL</t>
  </si>
  <si>
    <t>Delia SCLABAS</t>
  </si>
  <si>
    <t>Shafiqua MALONEY</t>
  </si>
  <si>
    <t>VIN</t>
  </si>
  <si>
    <t>STP</t>
  </si>
  <si>
    <t>Chunyu WANG</t>
  </si>
  <si>
    <t>Elena BELLÒ</t>
  </si>
  <si>
    <t>Natalia ROMERO</t>
  </si>
  <si>
    <t>Gabriela GAJANOVÁ</t>
  </si>
  <si>
    <t>SVK</t>
  </si>
  <si>
    <t>Emily Cherotich TUEI</t>
  </si>
  <si>
    <t>Abdelati EL GUESSE</t>
  </si>
  <si>
    <t>Isaiah JEWETT</t>
  </si>
  <si>
    <t>Tony VAN DIEPEN</t>
  </si>
  <si>
    <t>Pol MOYA</t>
  </si>
  <si>
    <t>AND</t>
  </si>
  <si>
    <t>Musa HAJDARI</t>
  </si>
  <si>
    <t>Gabriel TUAL</t>
  </si>
  <si>
    <t>Oliver DUSTIN</t>
  </si>
  <si>
    <t>Alex BEDDOES</t>
  </si>
  <si>
    <t>COK</t>
  </si>
  <si>
    <t>CAF</t>
  </si>
  <si>
    <t>Daniel ROWDEN</t>
  </si>
  <si>
    <t>Brandon MCBRIDE</t>
  </si>
  <si>
    <t>Melese NBERET</t>
  </si>
  <si>
    <t>James Nyang CHIENGJIEK</t>
  </si>
  <si>
    <t>Nijel AMOS</t>
  </si>
  <si>
    <t>BOT</t>
  </si>
  <si>
    <t>Michael SARUNI</t>
  </si>
  <si>
    <t>Oussama NABIL</t>
  </si>
  <si>
    <t>Pierre-Ambroise BOSSE</t>
  </si>
  <si>
    <t>Ryan SÁNCHEZ</t>
  </si>
  <si>
    <t>Thiago ANDRÉ</t>
  </si>
  <si>
    <t>Eliott CRESTAN</t>
  </si>
  <si>
    <t>Patryk DOBEK</t>
  </si>
  <si>
    <t>Mark ENGLISH</t>
  </si>
  <si>
    <t>Benjamin ROBERT</t>
  </si>
  <si>
    <t>Eric NZIKWINKUNDA</t>
  </si>
  <si>
    <t>BDI</t>
  </si>
  <si>
    <t>Andrés ARROYO</t>
  </si>
  <si>
    <t>Dennick LUKE</t>
  </si>
  <si>
    <t>DMA</t>
  </si>
  <si>
    <t>Mateusz BORKOWSKI</t>
  </si>
  <si>
    <t>Mostafa SMAILI</t>
  </si>
  <si>
    <t>Yassine HETHAT</t>
  </si>
  <si>
    <t>Abubaker Haydar ABDALLA</t>
  </si>
  <si>
    <t>Wesley VÁZQUEZ</t>
  </si>
  <si>
    <t>Emmanuel Kipkurui KORIR</t>
  </si>
  <si>
    <t>Sabrina SOUTHERLAND</t>
  </si>
  <si>
    <t>Cornelius TUWEI</t>
  </si>
  <si>
    <t>Valentina ROSAMILIA</t>
  </si>
  <si>
    <t>Audrey WERRO</t>
  </si>
  <si>
    <t>Lilly NÄGELI</t>
  </si>
  <si>
    <t>Lea AMMANN</t>
  </si>
  <si>
    <t>AROP Marco</t>
  </si>
  <si>
    <t>TUAL Gabriel</t>
  </si>
  <si>
    <t>Aurele VANDEPUTTE</t>
  </si>
  <si>
    <t>Collins KIPRUTO</t>
  </si>
  <si>
    <t>Pieter SISK</t>
  </si>
  <si>
    <t>Noah KIBET</t>
  </si>
  <si>
    <t>Donavan BRAZIER</t>
  </si>
  <si>
    <t>Abdirahman Saeed HASSAN</t>
  </si>
  <si>
    <t>Ben PATTISON</t>
  </si>
  <si>
    <t>Kyle LANGFORD</t>
  </si>
  <si>
    <t>Rocco ZAMAN-BROWNE</t>
  </si>
  <si>
    <t>Guy LEARMONTH</t>
  </si>
  <si>
    <t>Daniel HOWELLS</t>
  </si>
  <si>
    <t>Thomas RANDOLPH</t>
  </si>
  <si>
    <t>Isabelle BOFFEY</t>
  </si>
  <si>
    <t>Abigail IVES</t>
  </si>
  <si>
    <t>Jenny SELMAN</t>
  </si>
  <si>
    <t>Brooke FELDMEIER</t>
  </si>
  <si>
    <t>Iris DOWNES</t>
  </si>
  <si>
    <t>Jill CHERRY</t>
  </si>
  <si>
    <t>Georgie HARTIGAN</t>
  </si>
  <si>
    <t>Sabrina SINHA</t>
  </si>
  <si>
    <t>Mariano GARCÍA</t>
  </si>
  <si>
    <t>Michaela MEYER</t>
  </si>
  <si>
    <t>Yassine BENYOUSSEF</t>
  </si>
  <si>
    <t>Ali BENZEM</t>
  </si>
  <si>
    <t>Moncif OUTAHAR</t>
  </si>
  <si>
    <t>Zakaria TALAL</t>
  </si>
  <si>
    <t>Abdelkader AZOUZI</t>
  </si>
  <si>
    <t>Abderrahmane TAOUS</t>
  </si>
  <si>
    <t>Mohamed KHATTAB</t>
  </si>
  <si>
    <t>Hassan FAHIM</t>
  </si>
  <si>
    <t>Assia AIT TALEB</t>
  </si>
  <si>
    <t>Aya ELOUIZI</t>
  </si>
  <si>
    <t>Emmanuel WANYONYI</t>
  </si>
  <si>
    <t>Prudence SEKGODISO</t>
  </si>
  <si>
    <t>Soukaina HAJJI</t>
  </si>
  <si>
    <t>Majtie KOLBERG</t>
  </si>
  <si>
    <t>Naomi KORIR</t>
  </si>
  <si>
    <t>Assia RAZIKI</t>
  </si>
  <si>
    <t>Jarinter Mawia MWASYA</t>
  </si>
  <si>
    <t>Olha LYAKHOVA</t>
  </si>
  <si>
    <t>UKR</t>
  </si>
  <si>
    <t>Jye PERROTT</t>
  </si>
  <si>
    <t>Felix FRANCOIS</t>
  </si>
  <si>
    <t>James PRESTON</t>
  </si>
  <si>
    <t>Mohammed AL-SULEIMANI</t>
  </si>
  <si>
    <t>OMA</t>
  </si>
  <si>
    <t>Habtom ASGEDE</t>
  </si>
  <si>
    <t>ERI</t>
  </si>
  <si>
    <t>Björn SEIFERT</t>
  </si>
  <si>
    <t>Eveliina MÄÄTTÄNEN</t>
  </si>
  <si>
    <t>McKenna KEEGAN</t>
  </si>
  <si>
    <t>Lova PERMAN</t>
  </si>
  <si>
    <t>Maria FREIJ</t>
  </si>
  <si>
    <t>Olivia WESLIEN</t>
  </si>
  <si>
    <t>Anna SILVANDER</t>
  </si>
  <si>
    <t>Elvira BREDIN</t>
  </si>
  <si>
    <t>Saga PROVCI</t>
  </si>
  <si>
    <t>Slimane MOULA</t>
  </si>
  <si>
    <t>Ermias GIRMA</t>
  </si>
  <si>
    <t>Marc REUTHER</t>
  </si>
  <si>
    <t>TLS</t>
  </si>
  <si>
    <t>Abedin MUJEZINOVIĆ</t>
  </si>
  <si>
    <t>Navasky ANDERSON</t>
  </si>
  <si>
    <t>Djamel SEDJATI</t>
  </si>
  <si>
    <t>Brandon MILLER</t>
  </si>
  <si>
    <t>Brad MATHAS</t>
  </si>
  <si>
    <t>Tolesa BODENA</t>
  </si>
  <si>
    <t>Žan RUDOLF</t>
  </si>
  <si>
    <t>SLO</t>
  </si>
  <si>
    <t>Mariela Luisa REAL</t>
  </si>
  <si>
    <t>Anita HORVAT</t>
  </si>
  <si>
    <t>Gayanthika ARTIGALA</t>
  </si>
  <si>
    <t>Tess KIRSOPP-COLE</t>
  </si>
  <si>
    <t>Addy TOWNSEND</t>
  </si>
  <si>
    <t>Chrisann GORDON-POWELL</t>
  </si>
  <si>
    <t>Vanessa SCAUNET</t>
  </si>
  <si>
    <t>Claudia HOLLINGSWORTH</t>
  </si>
  <si>
    <t>Jerneja SMONKAR</t>
  </si>
  <si>
    <t>Olivia BAKER</t>
  </si>
  <si>
    <t>Agnès RAHAROLAHY</t>
  </si>
  <si>
    <t>Rénelle LAMOTE</t>
  </si>
  <si>
    <t>Robin OESTER</t>
  </si>
  <si>
    <t>Ivan PELIZZA</t>
  </si>
  <si>
    <t>Ramon WIPFLI</t>
  </si>
  <si>
    <t>Louis LOW-BEER</t>
  </si>
  <si>
    <t>Vincent NOTZ</t>
  </si>
  <si>
    <t>Victor AMIOT</t>
  </si>
  <si>
    <t>Diego KLOPFENSTEIN</t>
  </si>
  <si>
    <t>Moad ZAHAFI</t>
  </si>
  <si>
    <t>Khalid BOULAARAIS</t>
  </si>
  <si>
    <t>Mohamed ABOUETTAHERY</t>
  </si>
  <si>
    <t>Charaf ZAHIR</t>
  </si>
  <si>
    <t>Soufiane ZRAIDI</t>
  </si>
  <si>
    <t>Taha OUCHEN</t>
  </si>
  <si>
    <t>Khadija ENNASRI</t>
  </si>
  <si>
    <t>Catalin TECUCEANU</t>
  </si>
  <si>
    <t>Sage HURTA-KLECKER</t>
  </si>
  <si>
    <t>Yanis MEZIANE</t>
  </si>
  <si>
    <t>SUD</t>
  </si>
  <si>
    <t>SEDJATI Djamel</t>
  </si>
  <si>
    <t>Viktor IDHAMMAR</t>
  </si>
  <si>
    <t>Yared KIDANE</t>
  </si>
  <si>
    <t>Revee WALCOTT-NOLAN</t>
  </si>
  <si>
    <t>Annemarie NISSEN</t>
  </si>
  <si>
    <t>Yolanda NGARAMBE</t>
  </si>
  <si>
    <t>Julia NIELSEN</t>
  </si>
  <si>
    <t>Nadja RUGLAND</t>
  </si>
  <si>
    <t>Josefin Victoria HEIER</t>
  </si>
  <si>
    <t>Ryan CLARKE</t>
  </si>
  <si>
    <t>Youssef BENZAMIA</t>
  </si>
  <si>
    <t>Bram BUIGEL</t>
  </si>
  <si>
    <t>Joseph DENG</t>
  </si>
  <si>
    <t>Max BURGIN</t>
  </si>
  <si>
    <t>Alex BOTTERILL</t>
  </si>
  <si>
    <t>Ethan HUSSEY</t>
  </si>
  <si>
    <t>Reece SHARMAN-NEWELL</t>
  </si>
  <si>
    <t>Samuel REARDON</t>
  </si>
  <si>
    <t>Yusuf BIZIMANA</t>
  </si>
  <si>
    <t>Natoya GOULE-TOPPIN</t>
  </si>
  <si>
    <t>Dániel HULLER</t>
  </si>
  <si>
    <t>Tom DRADRIGA</t>
  </si>
  <si>
    <t>Alex Ngeno KIPNGETICH</t>
  </si>
  <si>
    <t>John RIVERA</t>
  </si>
  <si>
    <t>Allan Ngitsi CHIRWA</t>
  </si>
  <si>
    <t>MAW</t>
  </si>
  <si>
    <t>Filip OSTROWSKI</t>
  </si>
  <si>
    <t>Abdullahi HASSAN</t>
  </si>
  <si>
    <t>Marino BLOUDEK</t>
  </si>
  <si>
    <t>CRO</t>
  </si>
  <si>
    <t>Mohamed ATTAOUI</t>
  </si>
  <si>
    <t>Riley MCGOWN</t>
  </si>
  <si>
    <t>Faustino PRIETO ALFARO</t>
  </si>
  <si>
    <t>GEQ</t>
  </si>
  <si>
    <t>Francesco PERNICI</t>
  </si>
  <si>
    <t>Handal ROBAN</t>
  </si>
  <si>
    <t>Justice DREISCHOR</t>
  </si>
  <si>
    <t>ARU</t>
  </si>
  <si>
    <t>Simone BARONTINI</t>
  </si>
  <si>
    <t>Balázs VINDICS</t>
  </si>
  <si>
    <t>Eduardo RIBEIRO</t>
  </si>
  <si>
    <t>YEM</t>
  </si>
  <si>
    <t>Mohammed DWEDAR</t>
  </si>
  <si>
    <t>PLE</t>
  </si>
  <si>
    <t>Tshepiso MASALELA</t>
  </si>
  <si>
    <t>Nia AKINS</t>
  </si>
  <si>
    <t>Flavia Maria DE LIMA</t>
  </si>
  <si>
    <t>Bianka KÉRI</t>
  </si>
  <si>
    <t>Eloisa COIRO</t>
  </si>
  <si>
    <t>Jazz SHUKLA</t>
  </si>
  <si>
    <t>PATTISON Ben</t>
  </si>
  <si>
    <t>ENGLISH Mark</t>
  </si>
  <si>
    <t>IRI</t>
  </si>
  <si>
    <t>IRQ</t>
  </si>
  <si>
    <t>KSA</t>
  </si>
  <si>
    <t>DUGUMA Tsige</t>
  </si>
  <si>
    <t>MOULA Slimane</t>
  </si>
  <si>
    <t>BURGIN Max</t>
  </si>
  <si>
    <t>Name_clean</t>
  </si>
  <si>
    <t>Aaron Kemei CHEMININGWA</t>
  </si>
  <si>
    <t>aatiqa boukrym</t>
  </si>
  <si>
    <t>abbey caldwell</t>
  </si>
  <si>
    <t>abdelati el guesse</t>
  </si>
  <si>
    <t>abdelfath yassin</t>
  </si>
  <si>
    <t>Abdelfath YASSIN</t>
  </si>
  <si>
    <t>abdelkader azouzi</t>
  </si>
  <si>
    <t>Abdelkarim LAASAKRI</t>
  </si>
  <si>
    <t>abdellah ousghir</t>
  </si>
  <si>
    <t>Abdellah HASSOU</t>
  </si>
  <si>
    <t>abdellatif sadiki</t>
  </si>
  <si>
    <t>abderahmane laasal</t>
  </si>
  <si>
    <t>abderrahmane taous</t>
  </si>
  <si>
    <t>abdessalem ayouni</t>
  </si>
  <si>
    <t>abdirahman saeed hassan</t>
  </si>
  <si>
    <t>Abdullah ALYAARI</t>
  </si>
  <si>
    <t>Abdullahi Dahir RABI</t>
  </si>
  <si>
    <t>abdullahi hassan</t>
  </si>
  <si>
    <t>abel kipsang</t>
  </si>
  <si>
    <t>abigail ives</t>
  </si>
  <si>
    <t>abraham guem</t>
  </si>
  <si>
    <t>abubaker haydar abdalla</t>
  </si>
  <si>
    <t>adam ali musab</t>
  </si>
  <si>
    <t>Adam Ali MUSAB</t>
  </si>
  <si>
    <t>Adam FOGG</t>
  </si>
  <si>
    <t>adam spencer</t>
  </si>
  <si>
    <t>Addison WILEY</t>
  </si>
  <si>
    <t>addy townsend</t>
  </si>
  <si>
    <t>adel mechaal</t>
  </si>
  <si>
    <t>adelle tracey</t>
  </si>
  <si>
    <t>adisu girma</t>
  </si>
  <si>
    <t>Adrianna TOPOLNICKA</t>
  </si>
  <si>
    <t>agathe guillemot</t>
  </si>
  <si>
    <t>Águeda MARQUÉS</t>
  </si>
  <si>
    <t>Ahmad RAHOUI</t>
  </si>
  <si>
    <t>Aidan TOOKER</t>
  </si>
  <si>
    <t>ajay kumar saroj</t>
  </si>
  <si>
    <t>Ajee' WILSON</t>
  </si>
  <si>
    <t>alex beddoes</t>
  </si>
  <si>
    <t>alex botterill</t>
  </si>
  <si>
    <t>alex ngeno kipngetich</t>
  </si>
  <si>
    <t>alexander lundskog</t>
  </si>
  <si>
    <t>alexander nilsson</t>
  </si>
  <si>
    <t>Alexander NILSSON</t>
  </si>
  <si>
    <t>alexandra bell</t>
  </si>
  <si>
    <t>ali benzem</t>
  </si>
  <si>
    <t>allan ngitsi chirwa</t>
  </si>
  <si>
    <t>allie wilson</t>
  </si>
  <si>
    <t>alma delia cortes</t>
  </si>
  <si>
    <t>Álvaro DE ARRIBA</t>
  </si>
  <si>
    <t>Amalie SÆTEN</t>
  </si>
  <si>
    <t>amel tuka</t>
  </si>
  <si>
    <t>Amin LIRMAQUI</t>
  </si>
  <si>
    <t>amos bartelsmeyer</t>
  </si>
  <si>
    <t>anass essayi</t>
  </si>
  <si>
    <t>anders bjørndal</t>
  </si>
  <si>
    <t>andreas almgren</t>
  </si>
  <si>
    <t>andreas fjeld halvorsen</t>
  </si>
  <si>
    <t>Andreas FJELD HALVORSEN</t>
  </si>
  <si>
    <t>andreas kramer</t>
  </si>
  <si>
    <t>andreas lindgreen</t>
  </si>
  <si>
    <t>Andreas LINDGREEN</t>
  </si>
  <si>
    <t>andrew coscoran</t>
  </si>
  <si>
    <t>Andy COENDET</t>
  </si>
  <si>
    <t>angelika cichocka</t>
  </si>
  <si>
    <t>angelika sarna</t>
  </si>
  <si>
    <t>anita horvat</t>
  </si>
  <si>
    <t>Anna PETER</t>
  </si>
  <si>
    <t>anna silvander</t>
  </si>
  <si>
    <t>anna wielgosz</t>
  </si>
  <si>
    <t>annemarie nissen</t>
  </si>
  <si>
    <t>Anton BROGGINI</t>
  </si>
  <si>
    <t>archie davis</t>
  </si>
  <si>
    <t>Archie DAVIS</t>
  </si>
  <si>
    <t>Arnaud MONNEY</t>
  </si>
  <si>
    <t>Arnaud GILLIÉRON</t>
  </si>
  <si>
    <t>assia ait taleb</t>
  </si>
  <si>
    <t>assia raziki</t>
  </si>
  <si>
    <t>athing mu</t>
  </si>
  <si>
    <t>audrey werro</t>
  </si>
  <si>
    <t>August DA SILVA SVEEN</t>
  </si>
  <si>
    <t>aurele vandeputte</t>
  </si>
  <si>
    <t>aurore fleury</t>
  </si>
  <si>
    <t>axumawit embaye</t>
  </si>
  <si>
    <t>aya dimokrati</t>
  </si>
  <si>
    <t>aya elouizi</t>
  </si>
  <si>
    <t>Aya BOUGHAIDA</t>
  </si>
  <si>
    <t>ayal dagnachew</t>
  </si>
  <si>
    <t>ayanleh souleiman</t>
  </si>
  <si>
    <t>ayoub taous</t>
  </si>
  <si>
    <t>azeddine habz</t>
  </si>
  <si>
    <t>Bahiya EL ARFAOUI</t>
  </si>
  <si>
    <t>baptiste mischler</t>
  </si>
  <si>
    <t>Bartosz KITLIŃSKI</t>
  </si>
  <si>
    <t>ben pattison</t>
  </si>
  <si>
    <t>pattison ben</t>
  </si>
  <si>
    <t>Benjamin ÅBERG</t>
  </si>
  <si>
    <t>benjamin olsen</t>
  </si>
  <si>
    <t>benjamin robert</t>
  </si>
  <si>
    <t>bethwell birgen</t>
  </si>
  <si>
    <t>Bethwell BIRGEN</t>
  </si>
  <si>
    <t>birke haylom</t>
  </si>
  <si>
    <t>bjørnar sandnes lillefosse</t>
  </si>
  <si>
    <t>Bjørnar Sandnes LILLEFOSSE</t>
  </si>
  <si>
    <t>Boaz KIPRUGUT</t>
  </si>
  <si>
    <t>brad mathas</t>
  </si>
  <si>
    <t>Brahim KAAZOUZI</t>
  </si>
  <si>
    <t>Brahime CHAREF</t>
  </si>
  <si>
    <t>bram buigel</t>
  </si>
  <si>
    <t>brandon mcbride</t>
  </si>
  <si>
    <t>brandon miller</t>
  </si>
  <si>
    <t>Brian KOMEN</t>
  </si>
  <si>
    <t>Brimin Kiprono KIPROTICH</t>
  </si>
  <si>
    <t>brooke feldmeier</t>
  </si>
  <si>
    <t>bryce hoppel</t>
  </si>
  <si>
    <t>caleb lakeman</t>
  </si>
  <si>
    <t>cameron myers</t>
  </si>
  <si>
    <t>Cameron MYERS</t>
  </si>
  <si>
    <t>cameron proceviat</t>
  </si>
  <si>
    <t>Camille LAUS</t>
  </si>
  <si>
    <t>carina viljoen</t>
  </si>
  <si>
    <t>catalin tecuceanu</t>
  </si>
  <si>
    <t>Caterina GRANZ</t>
  </si>
  <si>
    <t>caterina granz</t>
  </si>
  <si>
    <t>catriona bisset</t>
  </si>
  <si>
    <t>chaimae zahiri</t>
  </si>
  <si>
    <t>charaf zahir</t>
  </si>
  <si>
    <t>charles cheboi simotwo</t>
  </si>
  <si>
    <t>charles grethen</t>
  </si>
  <si>
    <t>charlie hunter</t>
  </si>
  <si>
    <t>Charlie DA'VALL GRICE</t>
  </si>
  <si>
    <t>christian noble</t>
  </si>
  <si>
    <t>christina hering</t>
  </si>
  <si>
    <t>christoph kessler</t>
  </si>
  <si>
    <t>chunyu wang</t>
  </si>
  <si>
    <t>ciara mageean</t>
  </si>
  <si>
    <t>claudia hollingsworth</t>
  </si>
  <si>
    <t>claudia mihaela bobocea</t>
  </si>
  <si>
    <t>clayton murphy</t>
  </si>
  <si>
    <t>colby alexander</t>
  </si>
  <si>
    <t>cole hocker</t>
  </si>
  <si>
    <t>collins kipruto</t>
  </si>
  <si>
    <t>constance pittet</t>
  </si>
  <si>
    <t>cooper teare</t>
  </si>
  <si>
    <t>cornelius tuwei</t>
  </si>
  <si>
    <t>cory ann mcgee</t>
  </si>
  <si>
    <t>daniel howells</t>
  </si>
  <si>
    <t>daniel rowden</t>
  </si>
  <si>
    <t>danielle aragon</t>
  </si>
  <si>
    <t>danielle jones</t>
  </si>
  <si>
    <t>danika slits</t>
  </si>
  <si>
    <t>David FISCHER</t>
  </si>
  <si>
    <t>delia sclabas</t>
  </si>
  <si>
    <t>dennick luke</t>
  </si>
  <si>
    <t>Dezhu LIU</t>
  </si>
  <si>
    <t>diego javier lacamoire</t>
  </si>
  <si>
    <t>diego klopfenstein</t>
  </si>
  <si>
    <t>Diego MENZI</t>
  </si>
  <si>
    <t>diribe welteji</t>
  </si>
  <si>
    <t>djamel sedjati</t>
  </si>
  <si>
    <t>sedjati djamel</t>
  </si>
  <si>
    <t>D'Jamila TAVARES</t>
  </si>
  <si>
    <t>Dominic Lokinyomo LOBALU</t>
  </si>
  <si>
    <t>donavan brazier</t>
  </si>
  <si>
    <t>dounia souhail</t>
  </si>
  <si>
    <t>ebrahim alzofairi</t>
  </si>
  <si>
    <t>edinah jebitok</t>
  </si>
  <si>
    <t>eduardo ribeiro</t>
  </si>
  <si>
    <t>Eglay Nafuna NALYANYA</t>
  </si>
  <si>
    <t>eilish mccolgan</t>
  </si>
  <si>
    <t>Eilish MCCOLGAN</t>
  </si>
  <si>
    <t>Eivind Tym WIKSHÅLAND</t>
  </si>
  <si>
    <t>El Hafez MAHADI</t>
  </si>
  <si>
    <t>El Houssaine HITRANE</t>
  </si>
  <si>
    <t>eleanor fulton</t>
  </si>
  <si>
    <t>elena eichenberger</t>
  </si>
  <si>
    <t>elhassane moujahid</t>
  </si>
  <si>
    <t>Elias NGENY</t>
  </si>
  <si>
    <t>eliott crestan</t>
  </si>
  <si>
    <t>elisa bortoli</t>
  </si>
  <si>
    <t>Elisa BORTOLI</t>
  </si>
  <si>
    <t>elise cranny</t>
  </si>
  <si>
    <t>elise vanderelst</t>
  </si>
  <si>
    <t>eliza megger</t>
  </si>
  <si>
    <t>elle st. pierre</t>
  </si>
  <si>
    <t>ellie baker</t>
  </si>
  <si>
    <t>Ellie BAKER</t>
  </si>
  <si>
    <t>elliot giles</t>
  </si>
  <si>
    <t>Elliot VERMEULEN</t>
  </si>
  <si>
    <t>elmer mulleri skalle</t>
  </si>
  <si>
    <t>eloisa coiro</t>
  </si>
  <si>
    <t>elvira bredin</t>
  </si>
  <si>
    <t>emil danielsson</t>
  </si>
  <si>
    <t>emily cherotich tuei</t>
  </si>
  <si>
    <t>emily mackay</t>
  </si>
  <si>
    <t>emmanuel kipkurui korir</t>
  </si>
  <si>
    <t>emmanuel wanyonyi</t>
  </si>
  <si>
    <t>eric nzikwinkunda</t>
  </si>
  <si>
    <t>erik sowinski</t>
  </si>
  <si>
    <t>erin wallace</t>
  </si>
  <si>
    <t>ermias girma</t>
  </si>
  <si>
    <t>esther guerrero</t>
  </si>
  <si>
    <t>ethan hussey</t>
  </si>
  <si>
    <t>eunice jepkoech sum</t>
  </si>
  <si>
    <t>even brøndbo dahl</t>
  </si>
  <si>
    <t>faith kipyegon</t>
  </si>
  <si>
    <t>Fatima AAFIR</t>
  </si>
  <si>
    <t>faustino prieto alfaro</t>
  </si>
  <si>
    <t>Fayez ALSUBAIE</t>
  </si>
  <si>
    <t>federica del buono</t>
  </si>
  <si>
    <t>Federico RIVA</t>
  </si>
  <si>
    <t>felix francois</t>
  </si>
  <si>
    <t>ferdinand kvan edman</t>
  </si>
  <si>
    <t>ferguson cheruiyot rotich</t>
  </si>
  <si>
    <t>filip ostrowski</t>
  </si>
  <si>
    <t>Filip ŠNEJDR</t>
  </si>
  <si>
    <t>filip sasinek</t>
  </si>
  <si>
    <t>Filippo MOGGI</t>
  </si>
  <si>
    <t>Fiona VON FLÜE</t>
  </si>
  <si>
    <t>flavia maria de lima</t>
  </si>
  <si>
    <t>francesco pernici</t>
  </si>
  <si>
    <t>Francky Edgard MBOTTO</t>
  </si>
  <si>
    <t>freweyni hailu</t>
  </si>
  <si>
    <t>gabriel tual</t>
  </si>
  <si>
    <t>tual gabriel</t>
  </si>
  <si>
    <t>gaia sabbatini</t>
  </si>
  <si>
    <t>gayanthika artigala</t>
  </si>
  <si>
    <t>Geordie BEAMISH</t>
  </si>
  <si>
    <t>george mills</t>
  </si>
  <si>
    <t>Georgia BELL</t>
  </si>
  <si>
    <t>georgia griffith</t>
  </si>
  <si>
    <t>georgie hartigan</t>
  </si>
  <si>
    <t>Gian-Andrea ANTENER</t>
  </si>
  <si>
    <t>Giulia SALVADE'</t>
  </si>
  <si>
    <t>Gonzalo GARCÍA</t>
  </si>
  <si>
    <t>gregory bernage</t>
  </si>
  <si>
    <t>gudaf tsegay</t>
  </si>
  <si>
    <t>Guillaume LAURENT</t>
  </si>
  <si>
    <t>gustav berlin</t>
  </si>
  <si>
    <t>Gustav BERLIN</t>
  </si>
  <si>
    <t>guy learmonth</t>
  </si>
  <si>
    <t>habitam alemu</t>
  </si>
  <si>
    <t>habtom asgede</t>
  </si>
  <si>
    <t>hafid rizqy</t>
  </si>
  <si>
    <t>Håkon MOE BERG</t>
  </si>
  <si>
    <t>halimah nakaayi</t>
  </si>
  <si>
    <t>Halvor NYMOEN</t>
  </si>
  <si>
    <t>hamza driouch</t>
  </si>
  <si>
    <t>Hamza DRIOUCH</t>
  </si>
  <si>
    <t>handal roban</t>
  </si>
  <si>
    <t>hanna green</t>
  </si>
  <si>
    <t>hanna hermansson</t>
  </si>
  <si>
    <t>hanna klein</t>
  </si>
  <si>
    <t>hasna hssisou</t>
  </si>
  <si>
    <t>Hassan BEN HACHIMI</t>
  </si>
  <si>
    <t>hassan fahim</t>
  </si>
  <si>
    <t>Hassana IBN ABDEL MATEY</t>
  </si>
  <si>
    <t>heather maclean</t>
  </si>
  <si>
    <t>hedda hynne</t>
  </si>
  <si>
    <t>helen schlachtenhaufen</t>
  </si>
  <si>
    <t>hiba ghizlane</t>
  </si>
  <si>
    <t>hicham akankam</t>
  </si>
  <si>
    <t>hicham ouladha</t>
  </si>
  <si>
    <t>hirut meshesha</t>
  </si>
  <si>
    <t>hobbs kessler</t>
  </si>
  <si>
    <t>Housna IBNABDEL-MATEY</t>
  </si>
  <si>
    <t>ignacio fontes</t>
  </si>
  <si>
    <t>Ihab Jabbar HASHIM</t>
  </si>
  <si>
    <t>Ilham EL MACH</t>
  </si>
  <si>
    <t>ilyas aaourdou</t>
  </si>
  <si>
    <t>Ilyas RABANI</t>
  </si>
  <si>
    <t>iris downes</t>
  </si>
  <si>
    <t>isaac nader</t>
  </si>
  <si>
    <t>isabelle boffey</t>
  </si>
  <si>
    <t>isaiah harris</t>
  </si>
  <si>
    <t>isaiah jewett</t>
  </si>
  <si>
    <t>ismael debjani</t>
  </si>
  <si>
    <t>ismail chkhichekh</t>
  </si>
  <si>
    <t>ivan pelizza</t>
  </si>
  <si>
    <t>jake heyward</t>
  </si>
  <si>
    <t>jake wightman</t>
  </si>
  <si>
    <t>jakob ingebrigtsen</t>
  </si>
  <si>
    <t>Jamal HAIRANE</t>
  </si>
  <si>
    <t>james nyang chiengjiek</t>
  </si>
  <si>
    <t>james preston</t>
  </si>
  <si>
    <t>james west</t>
  </si>
  <si>
    <t>jamie webb</t>
  </si>
  <si>
    <t>jaqueline beatriz weber</t>
  </si>
  <si>
    <t>jarinter mawia mwasya</t>
  </si>
  <si>
    <t>jazz shukla</t>
  </si>
  <si>
    <t>jeffrey riseley</t>
  </si>
  <si>
    <t>jemma reekie</t>
  </si>
  <si>
    <t>jenny selman</t>
  </si>
  <si>
    <t>jerneja smonkar</t>
  </si>
  <si>
    <t>jessica hull</t>
  </si>
  <si>
    <t>jesus tonatiu lopez</t>
  </si>
  <si>
    <t>Jesus Tonatiu LÓPEZ</t>
  </si>
  <si>
    <t>jill cherry</t>
  </si>
  <si>
    <t>jimmy gressier</t>
  </si>
  <si>
    <t>joakim andersson</t>
  </si>
  <si>
    <t>joao bussotti neves</t>
  </si>
  <si>
    <t>job ijtsma</t>
  </si>
  <si>
    <t>Joceline WIND</t>
  </si>
  <si>
    <t>jochem vermeulen</t>
  </si>
  <si>
    <t>joe waskom</t>
  </si>
  <si>
    <t>Joel Ibler LILLESØ</t>
  </si>
  <si>
    <t>johan rogestedt</t>
  </si>
  <si>
    <t>john fitzsimons</t>
  </si>
  <si>
    <t>john gregorek</t>
  </si>
  <si>
    <t>john rivera</t>
  </si>
  <si>
    <t>jonas raess</t>
  </si>
  <si>
    <t>Jonas SCHÖPFER</t>
  </si>
  <si>
    <t>jonathan grahn</t>
  </si>
  <si>
    <t>Jonathan GRAHN</t>
  </si>
  <si>
    <t>jonathan kitilit</t>
  </si>
  <si>
    <t>Jonathan RUCHTI</t>
  </si>
  <si>
    <t>joonas rinne</t>
  </si>
  <si>
    <t>josefin victoria heier</t>
  </si>
  <si>
    <t>joseph deng</t>
  </si>
  <si>
    <t>josette andrews</t>
  </si>
  <si>
    <t>josh kerr</t>
  </si>
  <si>
    <t>joshua thompson</t>
  </si>
  <si>
    <t>Juan ZIJDERLAAN</t>
  </si>
  <si>
    <t>julia nielsen</t>
  </si>
  <si>
    <t>julian ranc</t>
  </si>
  <si>
    <t>julianne labach</t>
  </si>
  <si>
    <t>Julien STALHANDSKE</t>
  </si>
  <si>
    <t>Juliette DUTRUY</t>
  </si>
  <si>
    <t>jurjen polderman</t>
  </si>
  <si>
    <t>justice dreischor</t>
  </si>
  <si>
    <t>jye perrott</t>
  </si>
  <si>
    <t>kalle berglund</t>
  </si>
  <si>
    <t>kamar etiang</t>
  </si>
  <si>
    <t>Kamar ETIANG</t>
  </si>
  <si>
    <t>Kane ELLIOTT</t>
  </si>
  <si>
    <t>kaoutar mouloua</t>
  </si>
  <si>
    <t>karima abbi</t>
  </si>
  <si>
    <t>Karoline Bjerkeli GRØVDAL</t>
  </si>
  <si>
    <t>kate grace</t>
  </si>
  <si>
    <t>katharina trost</t>
  </si>
  <si>
    <t>katie snowden</t>
  </si>
  <si>
    <t>Keanu SIMASOTCHI</t>
  </si>
  <si>
    <t>keely hodgkinson</t>
  </si>
  <si>
    <t>Kevin KAMENSCHAK</t>
  </si>
  <si>
    <t>Kevin VIEZEE</t>
  </si>
  <si>
    <t>Khaddouj EL BALI</t>
  </si>
  <si>
    <t>khadija ennasri</t>
  </si>
  <si>
    <t>khaled mohamed jaman al harbi</t>
  </si>
  <si>
    <t>khalid boulaarais</t>
  </si>
  <si>
    <t>kieran lumb</t>
  </si>
  <si>
    <t>Kjetil BRENNO GAGNÅS</t>
  </si>
  <si>
    <t>klaudia kazimierska</t>
  </si>
  <si>
    <t>Klaudia KAZIMIERSKA</t>
  </si>
  <si>
    <t>konstanze klosterhalfen</t>
  </si>
  <si>
    <t>kristian uldbjerg hansen</t>
  </si>
  <si>
    <t>Kristiina SASÍNEK MÄKI</t>
  </si>
  <si>
    <t>Kristoffer SAGLI</t>
  </si>
  <si>
    <t>kumari taki</t>
  </si>
  <si>
    <t>kyle langford</t>
  </si>
  <si>
    <t>lamecha girma</t>
  </si>
  <si>
    <t>Lamiae MAMOUNI</t>
  </si>
  <si>
    <t>lamyae abbassi</t>
  </si>
  <si>
    <t>laura muir</t>
  </si>
  <si>
    <t>lea ammann</t>
  </si>
  <si>
    <t>lemlem hailu</t>
  </si>
  <si>
    <t>Léna KANDISSOUNON</t>
  </si>
  <si>
    <t>Léo LÄDERMANN</t>
  </si>
  <si>
    <t>leonie saurer</t>
  </si>
  <si>
    <t>lieke wehrung</t>
  </si>
  <si>
    <t>linden hall</t>
  </si>
  <si>
    <t>lindsey butterworth</t>
  </si>
  <si>
    <t>Linn SÖDERHOLM</t>
  </si>
  <si>
    <t>lisa de bruyn</t>
  </si>
  <si>
    <t>Lisa DE BRUYN</t>
  </si>
  <si>
    <t>lokonyen rose nathike</t>
  </si>
  <si>
    <t>lore hoffmann</t>
  </si>
  <si>
    <t>Lorea IBARZABAL</t>
  </si>
  <si>
    <t>Lorenz HERRMANN</t>
  </si>
  <si>
    <t>Loubna LAHDAR</t>
  </si>
  <si>
    <t>louise shanahan</t>
  </si>
  <si>
    <t>lova perman</t>
  </si>
  <si>
    <t>lovisa lindh</t>
  </si>
  <si>
    <t>lucia stafford</t>
  </si>
  <si>
    <t>ludovica cavalli</t>
  </si>
  <si>
    <t>luke mccann</t>
  </si>
  <si>
    <t>madeleine kelly</t>
  </si>
  <si>
    <t>Maël GOUYETTE</t>
  </si>
  <si>
    <t>majtie kolberg</t>
  </si>
  <si>
    <t>Malak ESRAIDI</t>
  </si>
  <si>
    <t>malin rahm</t>
  </si>
  <si>
    <t>Manuel ATAIDE</t>
  </si>
  <si>
    <t>manuel olmedo</t>
  </si>
  <si>
    <t>marc reuther</t>
  </si>
  <si>
    <t>marc scott</t>
  </si>
  <si>
    <t>marco arop</t>
  </si>
  <si>
    <t>arop marco</t>
  </si>
  <si>
    <t>Margarita KOCZANOWA</t>
  </si>
  <si>
    <t>maria freij</t>
  </si>
  <si>
    <t>mariela luisa real</t>
  </si>
  <si>
    <t>marino bloudek</t>
  </si>
  <si>
    <t>mark english</t>
  </si>
  <si>
    <t>english mark</t>
  </si>
  <si>
    <t>marta pen freitas</t>
  </si>
  <si>
    <t>marwa benchrifa</t>
  </si>
  <si>
    <t>mary moraa</t>
  </si>
  <si>
    <t>mateusz borkowski</t>
  </si>
  <si>
    <t>matthew ramsden</t>
  </si>
  <si>
    <t>matthew stonier</t>
  </si>
  <si>
    <t>max burgin</t>
  </si>
  <si>
    <t>burgin max</t>
  </si>
  <si>
    <t>Max HENROTIN</t>
  </si>
  <si>
    <t>Maxim WYSS</t>
  </si>
  <si>
    <t>Maxwell KOULEN</t>
  </si>
  <si>
    <t>mckenna keegan</t>
  </si>
  <si>
    <t>melese nberet</t>
  </si>
  <si>
    <t>Melina ANDORRA</t>
  </si>
  <si>
    <t>Meryem ELMOUTACHARRAF</t>
  </si>
  <si>
    <t>Meryeme AZROUR</t>
  </si>
  <si>
    <t>michael saruni</t>
  </si>
  <si>
    <t>michaela meyer</t>
  </si>
  <si>
    <t>michał rozmys</t>
  </si>
  <si>
    <t>Miguel MATOS</t>
  </si>
  <si>
    <t>Mikkel Blikstad THOMASSEN</t>
  </si>
  <si>
    <t>moa abounnachat bollerød</t>
  </si>
  <si>
    <t>moad zahafi</t>
  </si>
  <si>
    <t>Mohamad ALGARNI</t>
  </si>
  <si>
    <t>mohamed abouettahery</t>
  </si>
  <si>
    <t>mohamed ali gouaned</t>
  </si>
  <si>
    <t>mohamed attaoui</t>
  </si>
  <si>
    <t>mohamed katir</t>
  </si>
  <si>
    <t>mohamed khattab</t>
  </si>
  <si>
    <t>Mohamed MAKKAOUI</t>
  </si>
  <si>
    <t>mohammed dwedar</t>
  </si>
  <si>
    <t>moncif outahar</t>
  </si>
  <si>
    <t>morgan mitchell</t>
  </si>
  <si>
    <t>Moritz EBBESKOTTE</t>
  </si>
  <si>
    <t>mostafa smaili</t>
  </si>
  <si>
    <t>Mouad OUAFIK</t>
  </si>
  <si>
    <t>Mubarak AL YAFAEE</t>
  </si>
  <si>
    <t>musa hajdari</t>
  </si>
  <si>
    <t>Musa SULIMAN</t>
  </si>
  <si>
    <t>musaeb abdulrahman balla</t>
  </si>
  <si>
    <t>Nadia BATTOCLETTI</t>
  </si>
  <si>
    <t>nadia power</t>
  </si>
  <si>
    <t>nadja rugland</t>
  </si>
  <si>
    <t>naomi korir</t>
  </si>
  <si>
    <t>natalia romero</t>
  </si>
  <si>
    <t>Natalіia KROL</t>
  </si>
  <si>
    <t>nathalie blomqvist</t>
  </si>
  <si>
    <t>navasky anderson</t>
  </si>
  <si>
    <t>Navid KERBER</t>
  </si>
  <si>
    <t>neil gourley</t>
  </si>
  <si>
    <t>nelly chepchirchir</t>
  </si>
  <si>
    <t>netsanet desta</t>
  </si>
  <si>
    <t>Netsanet DESTA</t>
  </si>
  <si>
    <t>nia akins</t>
  </si>
  <si>
    <t>nicholas griggs</t>
  </si>
  <si>
    <t>nick willis</t>
  </si>
  <si>
    <t>niels laros</t>
  </si>
  <si>
    <t>Nigist GETACHEW</t>
  </si>
  <si>
    <t>nijel amos</t>
  </si>
  <si>
    <t>nikki hiltz</t>
  </si>
  <si>
    <t>nimali waliwarsha</t>
  </si>
  <si>
    <t>Nizar ELHARCHAOUI</t>
  </si>
  <si>
    <t>Noah BALTUS</t>
  </si>
  <si>
    <t>noah kibet</t>
  </si>
  <si>
    <t>Noureddine Adel MERZAH</t>
  </si>
  <si>
    <t>nozomi tanaka</t>
  </si>
  <si>
    <t>Ole Jakob HØSTELAND SOLBU</t>
  </si>
  <si>
    <t>olha lyakhova</t>
  </si>
  <si>
    <t>oliver dustin</t>
  </si>
  <si>
    <t>oliver hoare</t>
  </si>
  <si>
    <t>olivia baker</t>
  </si>
  <si>
    <t>olivia weslien</t>
  </si>
  <si>
    <t>ossama meslek</t>
  </si>
  <si>
    <t>oussama allaoui</t>
  </si>
  <si>
    <t>oussama nabil</t>
  </si>
  <si>
    <t>Pablo SÁNCHEZ-VALLADARES</t>
  </si>
  <si>
    <t>Pascal FURTWÄNGLER</t>
  </si>
  <si>
    <t>patryk dobek</t>
  </si>
  <si>
    <t>patryk sieradzki</t>
  </si>
  <si>
    <t>Paul MCINTYRE</t>
  </si>
  <si>
    <t>paulo amotun lokoro</t>
  </si>
  <si>
    <t>peter bol</t>
  </si>
  <si>
    <t>Pierre PERRUCHOUD</t>
  </si>
  <si>
    <t>piers copeland</t>
  </si>
  <si>
    <t>pieter sisk</t>
  </si>
  <si>
    <t>pietro arese</t>
  </si>
  <si>
    <t>pol moya</t>
  </si>
  <si>
    <t>prudence sekgodiso</t>
  </si>
  <si>
    <t>purity chepkirui</t>
  </si>
  <si>
    <t>rababe arafi</t>
  </si>
  <si>
    <t>Rababe ARAFI</t>
  </si>
  <si>
    <t>rabi mohamoud mubarak</t>
  </si>
  <si>
    <t>Rachel PELLAUD</t>
  </si>
  <si>
    <t>raevyn rogers</t>
  </si>
  <si>
    <t>rajaa naoui</t>
  </si>
  <si>
    <t>ramon wipfli</t>
  </si>
  <si>
    <t>raphael pallitsch</t>
  </si>
  <si>
    <t>rebecca mehra</t>
  </si>
  <si>
    <t>renelle lamote</t>
  </si>
  <si>
    <t>Reynold CHERUIYOT</t>
  </si>
  <si>
    <t>Rick VAN RIEL</t>
  </si>
  <si>
    <t>riley mcgown</t>
  </si>
  <si>
    <t>rob napolitano</t>
  </si>
  <si>
    <t>robert farken</t>
  </si>
  <si>
    <t>robin oester</t>
  </si>
  <si>
    <t>Romain FRIDEZ</t>
  </si>
  <si>
    <t>romane wolhauser</t>
  </si>
  <si>
    <t>Ronald KWEMOI</t>
  </si>
  <si>
    <t>ronald kwemoi</t>
  </si>
  <si>
    <t>ronald musagala</t>
  </si>
  <si>
    <t>rose mary almanza</t>
  </si>
  <si>
    <t>ruben verheyden</t>
  </si>
  <si>
    <t>ryan clarke</t>
  </si>
  <si>
    <t>ryan gregson</t>
  </si>
  <si>
    <t>Ryan GREGSON</t>
  </si>
  <si>
    <t>ryan mphahlele</t>
  </si>
  <si>
    <t>sabrina sinha</t>
  </si>
  <si>
    <t>sabrina southerland</t>
  </si>
  <si>
    <t>saga provci</t>
  </si>
  <si>
    <t>Saida EL-BOUZY</t>
  </si>
  <si>
    <t>Salahedine BOUSSAID</t>
  </si>
  <si>
    <t>Salim Abu MAYANJA</t>
  </si>
  <si>
    <t>salim keddar</t>
  </si>
  <si>
    <t>Salim ELHALAL</t>
  </si>
  <si>
    <t>Salma ELBADRA</t>
  </si>
  <si>
    <t>Samer AL-YAFAEE</t>
  </si>
  <si>
    <t>Sami Masoud AL YAMI</t>
  </si>
  <si>
    <t>Samuel PIHLSTRÖM</t>
  </si>
  <si>
    <t>samuel prakel</t>
  </si>
  <si>
    <t>samuel reardon</t>
  </si>
  <si>
    <t>samuel tanner</t>
  </si>
  <si>
    <t>samuel tefera</t>
  </si>
  <si>
    <t>samuel zeleke</t>
  </si>
  <si>
    <t>sanae hasnaoui</t>
  </si>
  <si>
    <t>santiago catrofe</t>
  </si>
  <si>
    <t>sara benfares</t>
  </si>
  <si>
    <t>Sara BENFARES</t>
  </si>
  <si>
    <t>Sara CHRISTIANSSON</t>
  </si>
  <si>
    <t>sara kuivisto</t>
  </si>
  <si>
    <t>sara vaughn</t>
  </si>
  <si>
    <t>sara zouhair</t>
  </si>
  <si>
    <t>Sarah BILLINGS</t>
  </si>
  <si>
    <t>sarah healy</t>
  </si>
  <si>
    <t>Sarah LAHTI</t>
  </si>
  <si>
    <t>sarah lahti</t>
  </si>
  <si>
    <t>saron berhe</t>
  </si>
  <si>
    <t>shafiqua maloney</t>
  </si>
  <si>
    <t>Shannon OSIKA</t>
  </si>
  <si>
    <t>sifan hassan</t>
  </si>
  <si>
    <t>sigurd tveit</t>
  </si>
  <si>
    <t>simon denissel</t>
  </si>
  <si>
    <t>Simon DENISSEL</t>
  </si>
  <si>
    <t>simone barontini</t>
  </si>
  <si>
    <t>sinclaire johnson</t>
  </si>
  <si>
    <t>sintayehu vissa</t>
  </si>
  <si>
    <t>Siro GENTILINI</t>
  </si>
  <si>
    <t>slimane moula</t>
  </si>
  <si>
    <t>moula slimane</t>
  </si>
  <si>
    <t>Sobhan AHMADI</t>
  </si>
  <si>
    <t>sofia ennaoui</t>
  </si>
  <si>
    <t>sofia thøgersen</t>
  </si>
  <si>
    <t>sondre rishøi</t>
  </si>
  <si>
    <t>sophie baumann</t>
  </si>
  <si>
    <t>Souad ELHADDAD</t>
  </si>
  <si>
    <t>soufiane el bakkali</t>
  </si>
  <si>
    <t>Soufiane EL BAKKALI</t>
  </si>
  <si>
    <t>soufiane zraidi</t>
  </si>
  <si>
    <t>Soufiane ELAAZIZ</t>
  </si>
  <si>
    <t>soukaina hajji</t>
  </si>
  <si>
    <t>Stefan NILLESSEN</t>
  </si>
  <si>
    <t>stewart mcsweyn</t>
  </si>
  <si>
    <t>Susan Lokayo EJORE</t>
  </si>
  <si>
    <t>Sven KEUSCH</t>
  </si>
  <si>
    <t>tabea blatter</t>
  </si>
  <si>
    <t>taha ouchen</t>
  </si>
  <si>
    <t>teddese lemi</t>
  </si>
  <si>
    <t>thomas keen</t>
  </si>
  <si>
    <t>Thomas KEEN</t>
  </si>
  <si>
    <t>thomas randolph</t>
  </si>
  <si>
    <t>thomas ratcliffe</t>
  </si>
  <si>
    <t>Thomas GMÜR</t>
  </si>
  <si>
    <t>tibo de smet</t>
  </si>
  <si>
    <t>Tibo DE SMET</t>
  </si>
  <si>
    <t>tigist girma</t>
  </si>
  <si>
    <t>tigist ketema</t>
  </si>
  <si>
    <t>timothy cheruiyot</t>
  </si>
  <si>
    <t>Tobias BONTORNO</t>
  </si>
  <si>
    <t>tolesa bodena</t>
  </si>
  <si>
    <t>tom dradriga</t>
  </si>
  <si>
    <t>tom elmer</t>
  </si>
  <si>
    <t>tony van diepen</t>
  </si>
  <si>
    <t>tshepiso masalela</t>
  </si>
  <si>
    <t>tshepo tshite</t>
  </si>
  <si>
    <t>duguma tsige</t>
  </si>
  <si>
    <t>Tsige DUGUMA</t>
  </si>
  <si>
    <t>valentina rosamilia</t>
  </si>
  <si>
    <t>Vanessa FEIERABEND</t>
  </si>
  <si>
    <t>vanessa scaunet</t>
  </si>
  <si>
    <t>Vera BERTEMES-HOFFMANN</t>
  </si>
  <si>
    <t>victor amiot</t>
  </si>
  <si>
    <t>viktor idhammar</t>
  </si>
  <si>
    <t>Viktória WAGNER-GYÜRKÉS</t>
  </si>
  <si>
    <t>vincent ciattei</t>
  </si>
  <si>
    <t>vincent kibet</t>
  </si>
  <si>
    <t>Vincent KIBET</t>
  </si>
  <si>
    <t>vincent kibet keter</t>
  </si>
  <si>
    <t>Vincent Kibet KETER</t>
  </si>
  <si>
    <t>vincent notz</t>
  </si>
  <si>
    <t>Vivian Chebet KIPROTICH</t>
  </si>
  <si>
    <t>Wafa ZAROUAL</t>
  </si>
  <si>
    <t>walid jarfani</t>
  </si>
  <si>
    <t>weronika lizakowska</t>
  </si>
  <si>
    <t>william paulson</t>
  </si>
  <si>
    <t>Wilma NIELSEN</t>
  </si>
  <si>
    <t>winnie nanyondo</t>
  </si>
  <si>
    <t>winny chebet</t>
  </si>
  <si>
    <t>Wondimu BUSSY</t>
  </si>
  <si>
    <t>worknesh mesele</t>
  </si>
  <si>
    <t>wyclife kinyamal</t>
  </si>
  <si>
    <t>yanis meziane</t>
  </si>
  <si>
    <t>yared kidane</t>
  </si>
  <si>
    <t>yared nuguse</t>
  </si>
  <si>
    <t>yassine benyoussef</t>
  </si>
  <si>
    <t>yassine hethat</t>
  </si>
  <si>
    <t>yervand mkrtchyan</t>
  </si>
  <si>
    <t>yolanda ngarambe</t>
  </si>
  <si>
    <t>yomif kejelcha</t>
  </si>
  <si>
    <t>Yomif KEJELCHA</t>
  </si>
  <si>
    <t>youssef benzamia</t>
  </si>
  <si>
    <t>yusuf bizimana</t>
  </si>
  <si>
    <t>zakaria talal</t>
  </si>
  <si>
    <t>Zakaria AL ALHLAMI</t>
  </si>
  <si>
    <t>zoe ranzoni</t>
  </si>
  <si>
    <t>zouhair redouane</t>
  </si>
  <si>
    <t>Elsabet AMARE</t>
  </si>
  <si>
    <t>Teresiah Muthoni GATERI</t>
  </si>
  <si>
    <t>Samrawit MULUGETA</t>
  </si>
  <si>
    <t>Bayise TOLESA</t>
  </si>
  <si>
    <t>Mebriht MEKONEN</t>
  </si>
  <si>
    <t>Diamond League Doha 2025</t>
  </si>
  <si>
    <t>Marta ZENONI</t>
  </si>
  <si>
    <t>Diamond League Rome 2025</t>
  </si>
  <si>
    <t>Anas LAGTIY CHAOUDAR</t>
  </si>
  <si>
    <t>Cathal DOYLE</t>
  </si>
  <si>
    <t>Filip RAK</t>
  </si>
  <si>
    <t>Jose Carlos PINTO</t>
  </si>
  <si>
    <t>Callum DAVIES</t>
  </si>
  <si>
    <t>Ibrahim BURAS</t>
  </si>
  <si>
    <t>Wiktor MILKOWSKI</t>
  </si>
  <si>
    <t>Vetle FARBU-SOLBAKKEN</t>
  </si>
  <si>
    <t>Joseph ROGERS</t>
  </si>
  <si>
    <t>Miguel de la TORRE</t>
  </si>
  <si>
    <t>Markus Kirk KJELDSEN</t>
  </si>
  <si>
    <t>Skjalg KONGSSUND</t>
  </si>
  <si>
    <t>Diamond League Oslo 2025 - National</t>
  </si>
  <si>
    <t>Georgia HUNTER BELL</t>
  </si>
  <si>
    <t>Sarah MADELEINE</t>
  </si>
  <si>
    <t>Diamond League Paris 2025</t>
  </si>
  <si>
    <t>Diamond League Eugene 2025</t>
  </si>
  <si>
    <t>Shelby HOULIHAN</t>
  </si>
  <si>
    <t>Phanuel Kipkosgei KOECH</t>
  </si>
  <si>
    <t>Festus LAGAT</t>
  </si>
  <si>
    <t>Flavien SZOT</t>
  </si>
  <si>
    <t>Pierrik JOCTEUR-MONROZIER</t>
  </si>
  <si>
    <t>Romain MORNET</t>
  </si>
  <si>
    <t>Paul ANSELMINI</t>
  </si>
  <si>
    <t>Louis GILAVERT</t>
  </si>
  <si>
    <t>Beatrice CHEBET</t>
  </si>
  <si>
    <t xml:space="preserve">Heather MACLEAN </t>
  </si>
  <si>
    <t>Diamond League Silesia 2025</t>
  </si>
  <si>
    <t>Jude THOMAS</t>
  </si>
  <si>
    <t>Selemon BAREGA</t>
  </si>
  <si>
    <t>Diamond League London 2025</t>
  </si>
  <si>
    <t>Josh HOEY</t>
  </si>
  <si>
    <t>Maciej WYDERKA</t>
  </si>
  <si>
    <t>Diamond League Zurich 2025</t>
  </si>
  <si>
    <t>Phanuel KOECH</t>
  </si>
  <si>
    <t>Diamond League Brussels 2025</t>
  </si>
  <si>
    <t>Kethobogile HAINGURA</t>
  </si>
  <si>
    <t>Ethan STRAND</t>
  </si>
  <si>
    <t>Pol ORIACH</t>
  </si>
  <si>
    <t>Fouad MESSAOUDI</t>
  </si>
  <si>
    <t>Kazuto IIZAWA</t>
  </si>
  <si>
    <t>Hugh KENT</t>
  </si>
  <si>
    <t>GUM</t>
  </si>
  <si>
    <t>World Championships Tokyo 2025</t>
  </si>
  <si>
    <t>Foster MALLECK</t>
  </si>
  <si>
    <t>Heithem CHENITEF</t>
  </si>
  <si>
    <t>Yeshnil KARAN</t>
  </si>
  <si>
    <t>FIJ</t>
  </si>
  <si>
    <t>Nuno PEREIRA</t>
  </si>
  <si>
    <t>José Carlos PINTO</t>
  </si>
  <si>
    <t>Jonah KOECH</t>
  </si>
  <si>
    <t>Carlos SAEZ</t>
  </si>
  <si>
    <t>Mukesh PAL</t>
  </si>
  <si>
    <t>NEP</t>
  </si>
  <si>
    <t>qJ</t>
  </si>
  <si>
    <t>Dorcus EWOI</t>
  </si>
  <si>
    <t>Vera SJÖBERG</t>
  </si>
  <si>
    <t>Amina MAATOUG</t>
  </si>
  <si>
    <t>Laura NICHOLSON</t>
  </si>
  <si>
    <t>María Pía FERNÁNDEZ</t>
  </si>
  <si>
    <t>Anne Gine LØVNES</t>
  </si>
  <si>
    <t>Marissa DAMINK-VAN DER MEIJDE</t>
  </si>
  <si>
    <t>POOJA</t>
  </si>
  <si>
    <t>Lodkeo INTHAKOUMMAN</t>
  </si>
  <si>
    <t>LAO</t>
  </si>
  <si>
    <t>Sophie O'SULLIVAN</t>
  </si>
  <si>
    <t>Jolanda KALLABIS</t>
  </si>
  <si>
    <t>Knight ACIRU</t>
  </si>
  <si>
    <t>Tomoka KIMURA</t>
  </si>
  <si>
    <t>Gabija GALVYDYTĖ</t>
  </si>
  <si>
    <t>LTU</t>
  </si>
  <si>
    <t>Nele WEßEL</t>
  </si>
  <si>
    <t>Kate CURRENT</t>
  </si>
  <si>
    <t>Micaela LEVAGGI</t>
  </si>
  <si>
    <t>Mia BARNETT</t>
  </si>
  <si>
    <t>Ingeborg ØSTGÅRD</t>
  </si>
  <si>
    <t>Diamond League Zurich 2021</t>
  </si>
  <si>
    <t>Diamond League Zurich 2023</t>
  </si>
  <si>
    <t>Samuel CHAPPLE</t>
  </si>
  <si>
    <t>Nicholas Kiplangat KEBENEI</t>
  </si>
  <si>
    <t>Abdikadir SULEIMAN</t>
  </si>
  <si>
    <t>SOM</t>
  </si>
  <si>
    <t>Saad AOUAJ</t>
  </si>
  <si>
    <t>Yakob Rayan SAKHRI</t>
  </si>
  <si>
    <t>Ahmed AMRANE</t>
  </si>
  <si>
    <t>Ali DAUOUK</t>
  </si>
  <si>
    <t>Nassim LACHGAR</t>
  </si>
  <si>
    <t>Samer Ismail ISMAIL</t>
  </si>
  <si>
    <t>Mazen BRAHMI</t>
  </si>
  <si>
    <t>Tarik GREYCH</t>
  </si>
  <si>
    <t>Mohamed LYAMINE ZEMAM</t>
  </si>
  <si>
    <t>Ibrahim Abass CHOUT M</t>
  </si>
  <si>
    <t>Hatim AIT OULGHAZI</t>
  </si>
  <si>
    <t>Laban Kipkorir CHEPKWONY</t>
  </si>
  <si>
    <t>Anaïs BOURGOIN</t>
  </si>
  <si>
    <t>Athing MU-NIKOLAYEV</t>
  </si>
  <si>
    <t>Daniela GARCÍA</t>
  </si>
  <si>
    <t>Charlotte PIZZO</t>
  </si>
  <si>
    <t>Caroline BREDLINGER</t>
  </si>
  <si>
    <t>Bendere OBOYA</t>
  </si>
  <si>
    <t>Lena KANDISSOUNON</t>
  </si>
  <si>
    <t>Sana HAMMAMI</t>
  </si>
  <si>
    <t>Louey OUERRAT</t>
  </si>
  <si>
    <t>Thomas MARQUES de ANDRADE</t>
  </si>
  <si>
    <t>Corentin MAGNOU</t>
  </si>
  <si>
    <t>Corentin le CLEZIO</t>
  </si>
  <si>
    <t>Oratile NOWE</t>
  </si>
  <si>
    <t>Emma GICQUEL</t>
  </si>
  <si>
    <t>Noemi BELLENGER</t>
  </si>
  <si>
    <t>Emeline DELAVILLE</t>
  </si>
  <si>
    <t>Elien BRISSE</t>
  </si>
  <si>
    <t>Pauline LE BEL</t>
  </si>
  <si>
    <t>Elise PEYSSON</t>
  </si>
  <si>
    <t>Mia MBEN</t>
  </si>
  <si>
    <t>Pauline NONNOTTE</t>
  </si>
  <si>
    <t>Safa OUALD MAAZOUZA</t>
  </si>
  <si>
    <t>Loic SOMBAERT</t>
  </si>
  <si>
    <t>Nathan BRUYERE</t>
  </si>
  <si>
    <t>Enzo GRANGER</t>
  </si>
  <si>
    <t>Simon GERMAINE</t>
  </si>
  <si>
    <t>Mickael YEYE</t>
  </si>
  <si>
    <t>Oihan CORRET</t>
  </si>
  <si>
    <t>Issa MBEN</t>
  </si>
  <si>
    <t>Erwann le COURTOIS</t>
  </si>
  <si>
    <t>Nicholas KEBENEI</t>
  </si>
  <si>
    <t>Lilian ODIRA</t>
  </si>
  <si>
    <t>Clara LIBERMAN</t>
  </si>
  <si>
    <t>Cian MCPHILLIPS</t>
  </si>
  <si>
    <t>Sarah MORAA</t>
  </si>
  <si>
    <t>David BARROSO</t>
  </si>
  <si>
    <t>Ibrahim Abass M CHUOT</t>
  </si>
  <si>
    <t>Jared MICALLEF</t>
  </si>
  <si>
    <t>MLT</t>
  </si>
  <si>
    <t>Giovanni LAZZARO</t>
  </si>
  <si>
    <t>Justin O'TOOLE</t>
  </si>
  <si>
    <t>Roisin WILLIS</t>
  </si>
  <si>
    <t>Marta MITJANS</t>
  </si>
  <si>
    <t>Perina Lokure NAKANG</t>
  </si>
  <si>
    <t>Kelvin Kimtai LOTI</t>
  </si>
  <si>
    <t>Tiarnan CRORKEN</t>
  </si>
  <si>
    <t>Veronica VANCARDO</t>
  </si>
  <si>
    <t>Rocio ARROYO</t>
  </si>
  <si>
    <t>Cooper LUTKENHAUS</t>
  </si>
  <si>
    <t>Matthew ERICKSON</t>
  </si>
  <si>
    <t>Hein Htet AUNG</t>
  </si>
  <si>
    <t>MYA</t>
  </si>
  <si>
    <t>Maggi CONGDON</t>
  </si>
  <si>
    <t>Kelly-Ann BECKFORD</t>
  </si>
  <si>
    <t>Nelly JEPKOSGEI</t>
  </si>
  <si>
    <t>BRN</t>
  </si>
  <si>
    <t>Rin KUBO</t>
  </si>
  <si>
    <t>Tyrice TAYLOR</t>
  </si>
  <si>
    <t>Alexander STEPANOV</t>
  </si>
  <si>
    <t>Stephen RAHUASI</t>
  </si>
  <si>
    <t>SOL</t>
  </si>
  <si>
    <t>Peyton CRAIG</t>
  </si>
  <si>
    <t>Tobias GRØNSTAD</t>
  </si>
  <si>
    <t>Ko OCHIAI</t>
  </si>
  <si>
    <t>Daily COOPER GASPAR</t>
  </si>
  <si>
    <t>Hongjiao WU</t>
  </si>
  <si>
    <t>Smilla KOLBE</t>
  </si>
  <si>
    <t>Luke BOYES</t>
  </si>
  <si>
    <t>Yohannes TEFERA</t>
  </si>
  <si>
    <t>Jakub DUDYCHA</t>
  </si>
  <si>
    <t>Abderrahman EL ASSAL</t>
  </si>
  <si>
    <t>Alex AMANKWA</t>
  </si>
  <si>
    <t>GHA</t>
  </si>
  <si>
    <t>Maeliss TRAPEAU</t>
  </si>
  <si>
    <t>WYDERKA Maciej</t>
  </si>
  <si>
    <t>HAINGURA Kethobogile</t>
  </si>
  <si>
    <t>TAYLOR Tyrice</t>
  </si>
  <si>
    <t>KEBENEI Nicholas Kiplangat</t>
  </si>
  <si>
    <t>MCPHILLIPS Cian</t>
  </si>
  <si>
    <t>BRAZIER Donavan</t>
  </si>
  <si>
    <t>PERNICI Francesco</t>
  </si>
  <si>
    <t>BARROSO David</t>
  </si>
  <si>
    <t>LOTI Kelvin Kimtai</t>
  </si>
  <si>
    <t>Name_new</t>
  </si>
  <si>
    <t>Nation_new</t>
  </si>
  <si>
    <t>aaron kemei cheminingwa</t>
  </si>
  <si>
    <t>abdelkarim laasakri</t>
  </si>
  <si>
    <t>abdellah hassou</t>
  </si>
  <si>
    <t>abderrahman el assal</t>
  </si>
  <si>
    <t>abdikadir suleiman</t>
  </si>
  <si>
    <t>abdullah alyaari</t>
  </si>
  <si>
    <t>abdullahi dahir rabi</t>
  </si>
  <si>
    <t>abedin mujezinovic</t>
  </si>
  <si>
    <t>adam fogg</t>
  </si>
  <si>
    <t>addison wiley</t>
  </si>
  <si>
    <t>adrian ben</t>
  </si>
  <si>
    <t>adrianna topolnicka</t>
  </si>
  <si>
    <t>agnes raharolahy</t>
  </si>
  <si>
    <t>agueda marques</t>
  </si>
  <si>
    <t>ahmad rahoui</t>
  </si>
  <si>
    <t>ahmed amrane</t>
  </si>
  <si>
    <t>aidan tooker</t>
  </si>
  <si>
    <t>ajee' wilson</t>
  </si>
  <si>
    <t>aleksandra płocinska</t>
  </si>
  <si>
    <t>alex amankwa</t>
  </si>
  <si>
    <t>alexander stepanov</t>
  </si>
  <si>
    <t>ali dauouk</t>
  </si>
  <si>
    <t>alvaro de arriba</t>
  </si>
  <si>
    <t>amalie sæten</t>
  </si>
  <si>
    <t>amin lirmaqui</t>
  </si>
  <si>
    <t>amina maatoug</t>
  </si>
  <si>
    <t>anais bourgoin</t>
  </si>
  <si>
    <t>anas lagtiy chaoudar</t>
  </si>
  <si>
    <t>andres arroyo</t>
  </si>
  <si>
    <t>andy coendet</t>
  </si>
  <si>
    <t>anna peter</t>
  </si>
  <si>
    <t>anne gine løvnes</t>
  </si>
  <si>
    <t>anton broggini</t>
  </si>
  <si>
    <t>arnaud gillieron</t>
  </si>
  <si>
    <t>arnaud monney</t>
  </si>
  <si>
    <t>athing mu nikolayev</t>
  </si>
  <si>
    <t>august da silva sveen</t>
  </si>
  <si>
    <t>aya boughaida</t>
  </si>
  <si>
    <t>bahiya el arfaoui</t>
  </si>
  <si>
    <t>balazs vindics</t>
  </si>
  <si>
    <t>barroso david</t>
  </si>
  <si>
    <t>bartosz kitlinski</t>
  </si>
  <si>
    <t>bayise tolesa</t>
  </si>
  <si>
    <t>beatrice chebet</t>
  </si>
  <si>
    <t>bendere oboya</t>
  </si>
  <si>
    <t>benjamin aberg</t>
  </si>
  <si>
    <t>bianka bartha keri</t>
  </si>
  <si>
    <t>bianka keri</t>
  </si>
  <si>
    <t>bjorn seifert</t>
  </si>
  <si>
    <t>boaz kiprugut</t>
  </si>
  <si>
    <t>brahim kaazouzi</t>
  </si>
  <si>
    <t>brahime charef</t>
  </si>
  <si>
    <t>brazier donavan</t>
  </si>
  <si>
    <t>brian komen</t>
  </si>
  <si>
    <t>brimin kiprono kiprotich</t>
  </si>
  <si>
    <t>callum davies</t>
  </si>
  <si>
    <t>camille laus</t>
  </si>
  <si>
    <t>carlos saez</t>
  </si>
  <si>
    <t>caroline bredlinger</t>
  </si>
  <si>
    <t>cathal doyle</t>
  </si>
  <si>
    <t>charles philibert thiboutot</t>
  </si>
  <si>
    <t>charlie da'vall grice</t>
  </si>
  <si>
    <t>charlotte pizzo</t>
  </si>
  <si>
    <t>chrisann gordon powell</t>
  </si>
  <si>
    <t>cian mcphillips</t>
  </si>
  <si>
    <t>clara liberman</t>
  </si>
  <si>
    <t>cooper lutkenhaus</t>
  </si>
  <si>
    <t>corentin le clezio</t>
  </si>
  <si>
    <t>corentin magnou</t>
  </si>
  <si>
    <t>daily cooper gaspar</t>
  </si>
  <si>
    <t>daniel huller</t>
  </si>
  <si>
    <t>daniela garcia</t>
  </si>
  <si>
    <t>david barroso</t>
  </si>
  <si>
    <t>david fischer</t>
  </si>
  <si>
    <t>deborah rodriguez</t>
  </si>
  <si>
    <t>dezhu liu</t>
  </si>
  <si>
    <t>diana mezulianikova</t>
  </si>
  <si>
    <t>diego menzi</t>
  </si>
  <si>
    <t>d'jamila tavares</t>
  </si>
  <si>
    <t>dominic lokinyomo lobalu</t>
  </si>
  <si>
    <t>dorcus ewoi</t>
  </si>
  <si>
    <t>eglay nafuna nalyanya</t>
  </si>
  <si>
    <t>eivind tym wikshaland</t>
  </si>
  <si>
    <t>el hafez mahadi</t>
  </si>
  <si>
    <t>el houssaine hitrane</t>
  </si>
  <si>
    <t>elena bello</t>
  </si>
  <si>
    <t>elias ngeny</t>
  </si>
  <si>
    <t>elien brisse</t>
  </si>
  <si>
    <t>elise peysson</t>
  </si>
  <si>
    <t>elliot vermeulen</t>
  </si>
  <si>
    <t>elsabet amare</t>
  </si>
  <si>
    <t>elzan bibic</t>
  </si>
  <si>
    <t>emeline delaville</t>
  </si>
  <si>
    <t>emma gicquel</t>
  </si>
  <si>
    <t>enzo granger</t>
  </si>
  <si>
    <t>erwann le courtois</t>
  </si>
  <si>
    <t>esten hansen møllerud hauen</t>
  </si>
  <si>
    <t>ethan strand</t>
  </si>
  <si>
    <t>eveliina maattanen</t>
  </si>
  <si>
    <t>fatima aafir</t>
  </si>
  <si>
    <t>fayez alsubaie</t>
  </si>
  <si>
    <t>federico riva</t>
  </si>
  <si>
    <t>festus lagat</t>
  </si>
  <si>
    <t>filip rak</t>
  </si>
  <si>
    <t>filip snejdr</t>
  </si>
  <si>
    <t>filippo moggi</t>
  </si>
  <si>
    <t>fiona von flue</t>
  </si>
  <si>
    <t>flavien szot</t>
  </si>
  <si>
    <t>foster malleck</t>
  </si>
  <si>
    <t>fouad messaoudi</t>
  </si>
  <si>
    <t>francky edgard mbotto</t>
  </si>
  <si>
    <t>gabija galvydyte</t>
  </si>
  <si>
    <t>gabriela debues stafford</t>
  </si>
  <si>
    <t>gabriela gajanova</t>
  </si>
  <si>
    <t>geordie beamish</t>
  </si>
  <si>
    <t>georgia bell</t>
  </si>
  <si>
    <t>georgia hunter bell</t>
  </si>
  <si>
    <t>gian andrea antener</t>
  </si>
  <si>
    <t>giovanni lazzaro</t>
  </si>
  <si>
    <t>giulia salvade'</t>
  </si>
  <si>
    <t>gonzalo garcia</t>
  </si>
  <si>
    <t>gresa bakraci</t>
  </si>
  <si>
    <t>guillaume laurent</t>
  </si>
  <si>
    <t>haingura kethobogile</t>
  </si>
  <si>
    <t>hakon moe berg</t>
  </si>
  <si>
    <t>halvor nymoen</t>
  </si>
  <si>
    <t>hassan ben hachimi</t>
  </si>
  <si>
    <t>hassana ibn abdel matey</t>
  </si>
  <si>
    <t>hatim ait oulghazi</t>
  </si>
  <si>
    <t>hein htet aung</t>
  </si>
  <si>
    <t>heithem chenitef</t>
  </si>
  <si>
    <t>hongjiao wu</t>
  </si>
  <si>
    <t>housna ibnabdel matey</t>
  </si>
  <si>
    <t>hugh kent</t>
  </si>
  <si>
    <t>ibrahim abass chout m</t>
  </si>
  <si>
    <t>ibrahim abass m chuot</t>
  </si>
  <si>
    <t>ibrahim buras</t>
  </si>
  <si>
    <t>ihab jabbar hashim</t>
  </si>
  <si>
    <t>ilham el mach</t>
  </si>
  <si>
    <t>ilyas rabani</t>
  </si>
  <si>
    <t>ingeborg østgard</t>
  </si>
  <si>
    <t>issa mben</t>
  </si>
  <si>
    <t>istvan szogi</t>
  </si>
  <si>
    <t>jakub dudycha</t>
  </si>
  <si>
    <t>jamal hairane</t>
  </si>
  <si>
    <t>jared micallef</t>
  </si>
  <si>
    <t>joanna jozwik</t>
  </si>
  <si>
    <t>joceline wind</t>
  </si>
  <si>
    <t>joel ibler lillesø</t>
  </si>
  <si>
    <t>jolanda kallabis</t>
  </si>
  <si>
    <t>jonah koech</t>
  </si>
  <si>
    <t>jonas schopfer</t>
  </si>
  <si>
    <t>jonathan ruchti</t>
  </si>
  <si>
    <t>jose carlos pinto</t>
  </si>
  <si>
    <t>joseph rogers</t>
  </si>
  <si>
    <t>josh hoey</t>
  </si>
  <si>
    <t>juan zijderlaan</t>
  </si>
  <si>
    <t>jude thomas</t>
  </si>
  <si>
    <t>julien stalhandske</t>
  </si>
  <si>
    <t>juliette dutruy</t>
  </si>
  <si>
    <t>justin o'toole</t>
  </si>
  <si>
    <t>kane elliott</t>
  </si>
  <si>
    <t>karoline bjerkeli grøvdal</t>
  </si>
  <si>
    <t>kate current</t>
  </si>
  <si>
    <t>kazuto iizawa</t>
  </si>
  <si>
    <t>keanu simasotchi</t>
  </si>
  <si>
    <t>kebenei nicholas kiplangat</t>
  </si>
  <si>
    <t>kelly ann beckford</t>
  </si>
  <si>
    <t>kelvin kimtai loti</t>
  </si>
  <si>
    <t>kethobogile haingura</t>
  </si>
  <si>
    <t>kevin kamenschak</t>
  </si>
  <si>
    <t>kevin viezee</t>
  </si>
  <si>
    <t>khaddouj el bali</t>
  </si>
  <si>
    <t>kjetil brenno gagnas</t>
  </si>
  <si>
    <t>knight aciru</t>
  </si>
  <si>
    <t>ko ochiai</t>
  </si>
  <si>
    <t>kristiina sasinek maki</t>
  </si>
  <si>
    <t>kristoffer sagli</t>
  </si>
  <si>
    <t>laban kipkorir chepkwony</t>
  </si>
  <si>
    <t>lamiae mamouni</t>
  </si>
  <si>
    <t>laura galvan</t>
  </si>
  <si>
    <t>laura nicholson</t>
  </si>
  <si>
    <t>lena kandissounon</t>
  </si>
  <si>
    <t>leo ladermann</t>
  </si>
  <si>
    <t>lili anna vindics toth</t>
  </si>
  <si>
    <t>lilian odira</t>
  </si>
  <si>
    <t>lilly nageli</t>
  </si>
  <si>
    <t>linn soderholm</t>
  </si>
  <si>
    <t>lodkeo inthakoumman</t>
  </si>
  <si>
    <t>loic sombaert</t>
  </si>
  <si>
    <t>lorea ibarzabal</t>
  </si>
  <si>
    <t>lorenz herrmann</t>
  </si>
  <si>
    <t>loti kelvin kimtai</t>
  </si>
  <si>
    <t>loubna lahdar</t>
  </si>
  <si>
    <t>louey ouerrat</t>
  </si>
  <si>
    <t>louis gilavert</t>
  </si>
  <si>
    <t>louis low beer</t>
  </si>
  <si>
    <t>luke boyes</t>
  </si>
  <si>
    <t>maciej wyderka</t>
  </si>
  <si>
    <t>mael gouyette</t>
  </si>
  <si>
    <t>maeliss trapeau</t>
  </si>
  <si>
    <t>maggi congdon</t>
  </si>
  <si>
    <t>malak esraidi</t>
  </si>
  <si>
    <t>manuel ataide</t>
  </si>
  <si>
    <t>margarita koczanowa</t>
  </si>
  <si>
    <t>maria pia fernandez</t>
  </si>
  <si>
    <t>mariano garcia</t>
  </si>
  <si>
    <t>mario garcia</t>
  </si>
  <si>
    <t>marissa damink van der meijde</t>
  </si>
  <si>
    <t>markus kirk kjeldsen</t>
  </si>
  <si>
    <t>marta garcia</t>
  </si>
  <si>
    <t>marta mitjans</t>
  </si>
  <si>
    <t>marta perez</t>
  </si>
  <si>
    <t>marta zenoni</t>
  </si>
  <si>
    <t>matthew erickson</t>
  </si>
  <si>
    <t>max henrotin</t>
  </si>
  <si>
    <t>maxim wyss</t>
  </si>
  <si>
    <t>maxwell koulen</t>
  </si>
  <si>
    <t>mazen brahmi</t>
  </si>
  <si>
    <t>mcphillips cian</t>
  </si>
  <si>
    <t>mebriht mekonen</t>
  </si>
  <si>
    <t>melina andorra</t>
  </si>
  <si>
    <t>melissa bishop nriagu</t>
  </si>
  <si>
    <t>melissa courtney bryant</t>
  </si>
  <si>
    <t>meryem elmoutacharraf</t>
  </si>
  <si>
    <t>meryeme azrour</t>
  </si>
  <si>
    <t>mia barnett</t>
  </si>
  <si>
    <t>mia mben</t>
  </si>
  <si>
    <t>micaela levaggi</t>
  </si>
  <si>
    <t>mickael yeye</t>
  </si>
  <si>
    <t>miguel de la torre</t>
  </si>
  <si>
    <t>miguel matos</t>
  </si>
  <si>
    <t>mikkel blikstad thomassen</t>
  </si>
  <si>
    <t>mohamad algarni</t>
  </si>
  <si>
    <t>mohamed lyamine zemam</t>
  </si>
  <si>
    <t>mohamed makkaoui</t>
  </si>
  <si>
    <t>mohammed al suleimani</t>
  </si>
  <si>
    <t>moritz ebbeskotte</t>
  </si>
  <si>
    <t>mouad ouafik</t>
  </si>
  <si>
    <t>mubarak al yafaee</t>
  </si>
  <si>
    <t>mukesh pal</t>
  </si>
  <si>
    <t>musa suliman</t>
  </si>
  <si>
    <t>nadia battocletti</t>
  </si>
  <si>
    <t>narve gilje nordas</t>
  </si>
  <si>
    <t>nassim lachgar</t>
  </si>
  <si>
    <t>natalіia krol</t>
  </si>
  <si>
    <t>nathan bruyere</t>
  </si>
  <si>
    <t>natoya goule toppin</t>
  </si>
  <si>
    <t>navid kerber</t>
  </si>
  <si>
    <t>nele weßel</t>
  </si>
  <si>
    <t>nelly jepkosgei</t>
  </si>
  <si>
    <t>nicholas kebenei</t>
  </si>
  <si>
    <t>nicholas kiplangat kebenei</t>
  </si>
  <si>
    <t>nigist getachew</t>
  </si>
  <si>
    <t>nizar elharchaoui</t>
  </si>
  <si>
    <t>noah baltus</t>
  </si>
  <si>
    <t>noelie yarigo</t>
  </si>
  <si>
    <t>noemi bellenger</t>
  </si>
  <si>
    <t>noureddine adel merzah</t>
  </si>
  <si>
    <t>nuno pereira</t>
  </si>
  <si>
    <t>oihan corret</t>
  </si>
  <si>
    <t>ole jakob høsteland solbu</t>
  </si>
  <si>
    <t>oratile nowe</t>
  </si>
  <si>
    <t>pablo sanchez valladares</t>
  </si>
  <si>
    <t>pascal furtwangler</t>
  </si>
  <si>
    <t>paul anselmini</t>
  </si>
  <si>
    <t>paul mcintyre</t>
  </si>
  <si>
    <t>pauline le bel</t>
  </si>
  <si>
    <t>pauline nonnotte</t>
  </si>
  <si>
    <t>perina lokure nakang</t>
  </si>
  <si>
    <t>pernici francesco</t>
  </si>
  <si>
    <t>peyton craig</t>
  </si>
  <si>
    <t>phanuel kipkosgei koech</t>
  </si>
  <si>
    <t>phanuel koech</t>
  </si>
  <si>
    <t>pierre perruchoud</t>
  </si>
  <si>
    <t>pierre ambroise bosse</t>
  </si>
  <si>
    <t>pierrik jocteur monrozier</t>
  </si>
  <si>
    <t>pol oriach</t>
  </si>
  <si>
    <t>pooja</t>
  </si>
  <si>
    <t>rachel pellaud</t>
  </si>
  <si>
    <t>reece sharman newell</t>
  </si>
  <si>
    <t>revee walcott nolan</t>
  </si>
  <si>
    <t>reynold cheruiyot</t>
  </si>
  <si>
    <t>rick van riel</t>
  </si>
  <si>
    <t>rin kubo</t>
  </si>
  <si>
    <t>rocco zaman browne</t>
  </si>
  <si>
    <t>rocio arroyo</t>
  </si>
  <si>
    <t>roisin willis</t>
  </si>
  <si>
    <t>romain fridez</t>
  </si>
  <si>
    <t>romain mornet</t>
  </si>
  <si>
    <t>ryan sanchez</t>
  </si>
  <si>
    <t>saad aouaj</t>
  </si>
  <si>
    <t>safa ouald maazouza</t>
  </si>
  <si>
    <t>sage hurta klecker</t>
  </si>
  <si>
    <t>saida el bouzy</t>
  </si>
  <si>
    <t>salahedine boussaid</t>
  </si>
  <si>
    <t>salim abu mayanja</t>
  </si>
  <si>
    <t>salim elhalal</t>
  </si>
  <si>
    <t>salma elbadra</t>
  </si>
  <si>
    <t>salome afonso</t>
  </si>
  <si>
    <t>samer al yafaee</t>
  </si>
  <si>
    <t>samer ismail ismail</t>
  </si>
  <si>
    <t>sami masoud al yami</t>
  </si>
  <si>
    <t>samrawit mulugeta</t>
  </si>
  <si>
    <t>samuel chapple</t>
  </si>
  <si>
    <t>samuel pihlstrom</t>
  </si>
  <si>
    <t>sana hammami</t>
  </si>
  <si>
    <t>sara christiansson</t>
  </si>
  <si>
    <t>sarah billings</t>
  </si>
  <si>
    <t>sarah madeleine</t>
  </si>
  <si>
    <t>sarah moraa</t>
  </si>
  <si>
    <t>saul ordonez</t>
  </si>
  <si>
    <t>selemon barega</t>
  </si>
  <si>
    <t>shannon osika</t>
  </si>
  <si>
    <t>shelby houlihan</t>
  </si>
  <si>
    <t>silan ayyildiz</t>
  </si>
  <si>
    <t>simon germaine</t>
  </si>
  <si>
    <t>siofra cleirigh buttner</t>
  </si>
  <si>
    <t>siro gentilini</t>
  </si>
  <si>
    <t>skjalg kongssund</t>
  </si>
  <si>
    <t>smilla kolbe</t>
  </si>
  <si>
    <t>sobhan ahmadi</t>
  </si>
  <si>
    <t>sophie o'sullivan</t>
  </si>
  <si>
    <t>souad elhaddad</t>
  </si>
  <si>
    <t>soufiane elaaziz</t>
  </si>
  <si>
    <t>stefan nillessen</t>
  </si>
  <si>
    <t>stephen rahuasi</t>
  </si>
  <si>
    <t>susan lokayo ejore</t>
  </si>
  <si>
    <t>sven keusch</t>
  </si>
  <si>
    <t>tarik greych</t>
  </si>
  <si>
    <t>taylor tyrice</t>
  </si>
  <si>
    <t>teresiah muthoni gateri</t>
  </si>
  <si>
    <t>tess kirsopp cole</t>
  </si>
  <si>
    <t>thiago andre</t>
  </si>
  <si>
    <t>thomas gmur</t>
  </si>
  <si>
    <t>thomas marques de andrade</t>
  </si>
  <si>
    <t>tiarnan crorken</t>
  </si>
  <si>
    <t>tobias bontorno</t>
  </si>
  <si>
    <t>tobias grønstad</t>
  </si>
  <si>
    <t>tomoka kimura</t>
  </si>
  <si>
    <t>tsige duguma</t>
  </si>
  <si>
    <t>tyrice taylor</t>
  </si>
  <si>
    <t>vanessa feierabend</t>
  </si>
  <si>
    <t>vera bertemes hoffmann</t>
  </si>
  <si>
    <t>vera sjoberg</t>
  </si>
  <si>
    <t>veronica vancardo</t>
  </si>
  <si>
    <t>vetle farbu solbakken</t>
  </si>
  <si>
    <t>viktoria wagner gyurkes</t>
  </si>
  <si>
    <t>vivian chebet kiprotich</t>
  </si>
  <si>
    <t>wafa zaroual</t>
  </si>
  <si>
    <t>wesley vazquez</t>
  </si>
  <si>
    <t>wiktor milkowski</t>
  </si>
  <si>
    <t>wilma nielsen</t>
  </si>
  <si>
    <t>wondimu bussy</t>
  </si>
  <si>
    <t>wyderka maciej</t>
  </si>
  <si>
    <t>yakob rayan sakhri</t>
  </si>
  <si>
    <t>yeshnil karan</t>
  </si>
  <si>
    <t>yohannes tefera</t>
  </si>
  <si>
    <t>zakaria al alhlami</t>
  </si>
  <si>
    <t>zan rudolf</t>
  </si>
  <si>
    <t>Gabija GALVYDYTE</t>
  </si>
  <si>
    <t>Gracie MORRIS</t>
  </si>
  <si>
    <t>Chunhui LI</t>
  </si>
  <si>
    <t>Diamond League Shanghai 2026</t>
  </si>
  <si>
    <t>Diamond League Xiamen 2026</t>
  </si>
  <si>
    <t>Haregeweyni KALAYU</t>
  </si>
  <si>
    <t>Patricia SILVA</t>
  </si>
  <si>
    <t>Likina AMEBAW</t>
  </si>
  <si>
    <t>Aster ARERI</t>
  </si>
  <si>
    <t>Nancy JEPNGETICH</t>
  </si>
  <si>
    <t>Caren CHEPCHIRCHIR</t>
  </si>
  <si>
    <t>Yordanos TSEGAB</t>
  </si>
  <si>
    <t>Bérénice CLEYET-MERLE</t>
  </si>
  <si>
    <t>Diamond League Rabat 2026</t>
  </si>
  <si>
    <t>Margot APPLETON</t>
  </si>
  <si>
    <t>Adèle GAY</t>
  </si>
  <si>
    <t>Diane van ES</t>
  </si>
  <si>
    <t>Diamond League Stockholm 2026</t>
  </si>
  <si>
    <t>Diamond League Rome 2026</t>
  </si>
  <si>
    <t>Eimear MAHER</t>
  </si>
  <si>
    <t>Marte HOVLAND</t>
  </si>
  <si>
    <t>Molly HUDSON</t>
  </si>
  <si>
    <t>Selma ENGDAHL</t>
  </si>
  <si>
    <t>Andrea NYGÅRD VIE</t>
  </si>
  <si>
    <t>Sigrid Bjørnsdatter WAHLBERG</t>
  </si>
  <si>
    <t>Anna Marie Nordengen SIREVÅG</t>
  </si>
  <si>
    <t>Vilde Våge HENRIKSEN</t>
  </si>
  <si>
    <t>Maiken Homlung PRØITZ</t>
  </si>
  <si>
    <t>Liv DINIS</t>
  </si>
  <si>
    <t>Ebba-Stina BJUVE</t>
  </si>
  <si>
    <t>Diamond League Oslo 2026</t>
  </si>
  <si>
    <t>Diamond League Paris 2026</t>
  </si>
  <si>
    <t>Titouan le GRIX</t>
  </si>
  <si>
    <t>Juliette WHITTAKER</t>
  </si>
  <si>
    <t>Lindsey BUTLER</t>
  </si>
  <si>
    <t>Annika REISS</t>
  </si>
  <si>
    <t>Ellery LINCOLN</t>
  </si>
  <si>
    <t>Carlee HANSEN</t>
  </si>
  <si>
    <t>Sadie ENGELHARDT</t>
  </si>
  <si>
    <t>Sadie SARGENT</t>
  </si>
  <si>
    <t>Christina ARAGON</t>
  </si>
  <si>
    <t>Diamond League Eugene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</si>
</sst>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4" fillId="0" borderId="0" xfId="2"/>
    <xf numFmtId="9" fontId="0" fillId="0" borderId="0" xfId="1" applyFont="1"/>
    <xf numFmtId="9" fontId="1" fillId="0" borderId="0" xfId="1" applyFont="1"/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</cellXfs>
  <cellStyles count="3">
    <cellStyle name="Lien hypertexte" xfId="2" builtinId="8"/>
    <cellStyle name="Normal" xfId="0" builtinId="0"/>
    <cellStyle name="Pourcentage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</font>
      <numFmt numFmtId="1" formatCode="0"/>
    </dxf>
    <dxf>
      <font>
        <b val="0"/>
      </font>
    </dxf>
    <dxf>
      <font>
        <b val="0"/>
      </font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0779C-9BB2-44D3-9CEA-C8857A7399EF}" name="Tableau1" displayName="Tableau1" ref="A1:AH1713" totalsRowShown="0" headerRowDxfId="25">
  <autoFilter ref="A1:AH1713" xr:uid="{F050779C-9BB2-44D3-9CEA-C8857A7399EF}">
    <filterColumn colId="30">
      <filters blank="1"/>
    </filterColumn>
  </autoFilter>
  <sortState xmlns:xlrd2="http://schemas.microsoft.com/office/spreadsheetml/2017/richdata2" ref="A2:AH1562">
    <sortCondition ref="X1:X1562"/>
  </sortState>
  <tableColumns count="34">
    <tableColumn id="1" xr3:uid="{2A82E032-8B13-48EF-90AC-9FD33BAADAE9}" name="ID" dataDxfId="24">
      <calculatedColumnFormula>_xlfn.CONCAT(#REF!,"_",#REF!,"_",Tableau1[[#This Row],[Competition_year]])</calculatedColumnFormula>
    </tableColumn>
    <tableColumn id="2" xr3:uid="{529733FF-BD5A-4D60-9749-7FB22DA8AA16}" name="Athletes" dataDxfId="23"/>
    <tableColumn id="3" xr3:uid="{3E8D23F5-09FF-4677-BA76-2FEAA924C90C}" name="Gender"/>
    <tableColumn id="4" xr3:uid="{50E8C479-F63C-4A3F-A702-A5647468BCC1}" name="Nationality" dataDxfId="22"/>
    <tableColumn id="5" xr3:uid="{DD3295EB-68FA-4C07-A96F-8661482CC854}" name="0_100m"/>
    <tableColumn id="6" xr3:uid="{4D32C42B-4C92-42A6-9661-C5BA60043A61}" name="100_200m"/>
    <tableColumn id="7" xr3:uid="{BA11B2BF-06C1-47AB-A8F0-EC8D49270A71}" name="200_300m"/>
    <tableColumn id="8" xr3:uid="{3C283836-606C-4051-B5EA-AFF768FCD39C}" name="300_400m"/>
    <tableColumn id="9" xr3:uid="{27F9AD86-FAF4-4923-BCBA-ACEE5398C7C0}" name="400_500m"/>
    <tableColumn id="10" xr3:uid="{83EB668B-C6C7-4B2B-ABA7-7BE8F757F678}" name="500_600m"/>
    <tableColumn id="11" xr3:uid="{8D3A0AB1-53D1-41CC-8931-76A5E4A71C04}" name="600_700m"/>
    <tableColumn id="12" xr3:uid="{C3B0FB6E-91A9-4F9A-A7E7-AE1D69EB3F6F}" name="700_800m"/>
    <tableColumn id="19" xr3:uid="{152C3A07-9EE0-4753-B94E-753684050847}" name="800_900m"/>
    <tableColumn id="20" xr3:uid="{69EC6BD6-19CB-43C8-846E-CE5AC33E28D8}" name="900_1000m"/>
    <tableColumn id="21" xr3:uid="{E2D034E4-48BA-4E2E-8D7A-4B7AE0819257}" name="1000_1100m"/>
    <tableColumn id="22" xr3:uid="{E3F97412-1190-45C7-A01D-58A57DF88F7E}" name="1100_1200m"/>
    <tableColumn id="23" xr3:uid="{BBE8C250-B820-4745-A2A1-C6C57D9A3AF0}" name="1200_1300m"/>
    <tableColumn id="24" xr3:uid="{BDF3FFD7-C803-44FE-AED9-7DB92F347E5D}" name="1300_1400m"/>
    <tableColumn id="25" xr3:uid="{20FE3A4D-5DAD-43A0-B17C-4A495634C024}" name="1400_1500m">
      <calculatedColumnFormula>Tableau1[[#This Row],[Final_time]]-SUM(Tableau1[[#This Row],[0_100m]:[1300_1400m]])</calculatedColumnFormula>
    </tableColumn>
    <tableColumn id="13" xr3:uid="{B08F1A21-B453-4108-9FB5-69B388B04517}" name="Final_time" dataDxfId="21"/>
    <tableColumn id="31" xr3:uid="{D64800A5-FD1F-4EA5-A713-52EEF8F9843A}" name="Sum_time" dataDxfId="20">
      <calculatedColumnFormula>SUM(E2:S2)</calculatedColumnFormula>
    </tableColumn>
    <tableColumn id="32" xr3:uid="{3A94F25A-D535-4FA7-A528-B2FDD3B55811}" name="Diff" dataDxfId="19">
      <calculatedColumnFormula>ABS(U2-T2)</calculatedColumnFormula>
    </tableColumn>
    <tableColumn id="16" xr3:uid="{2CA013DD-F678-464E-9AAC-F028615E6951}" name="Q" dataDxfId="18"/>
    <tableColumn id="34" xr3:uid="{E92CFC67-AD96-42B9-AF73-616CDCD4FFAE}" name="Comp_ID" dataDxfId="17">
      <calculatedColumnFormula>_xlfn.CONCAT(Tableau1[[#This Row],[Competition]],"_",Tableau1[[#This Row],[Championship_step]],"_",Tableau1[[#This Row],[Competition_date]],"_",Tableau1[[#This Row],[Gender]])</calculatedColumnFormula>
    </tableColumn>
    <tableColumn id="14" xr3:uid="{A8A7191F-77E2-4DEF-98B3-DCCA28C44BA3}" name="Competition"/>
    <tableColumn id="18" xr3:uid="{189C33FF-41F0-41EC-AE2D-7F64A1C4AD34}" name="Competition_type" dataDxfId="16"/>
    <tableColumn id="33" xr3:uid="{DBA0D6CB-4D9F-4905-8F57-066142A45796}" name="Championship_step" dataDxfId="15"/>
    <tableColumn id="26" xr3:uid="{68C63DC0-7EEC-43E3-A6E2-3EF9D60E83C0}" name="Competition_level" dataDxfId="14"/>
    <tableColumn id="15" xr3:uid="{703561F0-E1F2-436E-8874-72EEC0BB5821}" name="Competition_date" dataDxfId="13"/>
    <tableColumn id="27" xr3:uid="{8E5C992A-7E46-44B1-9445-EB6430B5A47E}" name="Competition_year" dataDxfId="12"/>
    <tableColumn id="28" xr3:uid="{C0B01797-9F83-4340-A9FE-A34959D555A1}" name="Temperature_C" dataDxfId="11"/>
    <tableColumn id="30" xr3:uid="{18B84941-F241-42E7-93AC-5C6CF8899FD4}" name="Humidity" dataDxfId="10" dataCellStyle="Pourcentage"/>
    <tableColumn id="29" xr3:uid="{0679E59D-5DB4-4431-AD33-E25DBC79EB78}" name="Conditions" dataDxfId="9"/>
    <tableColumn id="17" xr3:uid="{10041709-1CB7-40F0-86E2-74E2FA4F9229}" name="Referenc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BAC0F-39B8-4AAB-97A2-083DA646F8A6}" name="Tableau13" displayName="Tableau13" ref="A1:F816" totalsRowShown="0" headerRowDxfId="8" headerRowBorderDxfId="7" tableBorderDxfId="6">
  <autoFilter ref="A1:F816" xr:uid="{D19BAC0F-39B8-4AAB-97A2-083DA646F8A6}"/>
  <sortState xmlns:xlrd2="http://schemas.microsoft.com/office/spreadsheetml/2017/richdata2" ref="A2:F816">
    <sortCondition ref="A1:A816"/>
  </sortState>
  <tableColumns count="6">
    <tableColumn id="1" xr3:uid="{D0319ADD-323B-4D9C-A48B-455F17485585}" name="Athletes"/>
    <tableColumn id="2" xr3:uid="{BB72C242-D57F-4569-9076-60F7F40A7DE9}" name="Gender"/>
    <tableColumn id="3" xr3:uid="{7266B5C6-EF32-4B39-8103-A9961E4C798E}" name="Nationality"/>
    <tableColumn id="4" xr3:uid="{47562B21-2463-421B-BCF5-690A9CE300B7}" name="Name_clean"/>
    <tableColumn id="9" xr3:uid="{3A1C3A7E-CAEC-4D4D-9802-9606524980ED}" name="Name_new" dataDxfId="5"/>
    <tableColumn id="10" xr3:uid="{DCD9F9D2-FC99-4C8A-8103-28AB20826A87}" name="Nation_ne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3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8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6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3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1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7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2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7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5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" Type="http://schemas.openxmlformats.org/officeDocument/2006/relationships/hyperlink" Target="https://doha.diamondleague.com/archive/2024/doha/ATHM1500M---DIAMOND---FNL-000100--_C77A_1.0.PDF" TargetMode="External"/><Relationship Id="rId16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0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" Type="http://schemas.openxmlformats.org/officeDocument/2006/relationships/hyperlink" Target="https://oslo.diamondleague.com/archive/2024/oslo/ATHM1500M---NATIONAL--FNL-000100--_C77A_1.0.PDF" TargetMode="External"/><Relationship Id="rId6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1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4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5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5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3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9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4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9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14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2" Type="http://schemas.openxmlformats.org/officeDocument/2006/relationships/hyperlink" Target="https://worldathletics.org/competitions/world-athletics-championships/iaaf-world-championships-usa-2022-7137279/results/men/1500-metres/semi-final/result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547A-BEDC-4715-A1BE-5421E7BA5061}">
  <dimension ref="A1:AH1713"/>
  <sheetViews>
    <sheetView tabSelected="1" topLeftCell="S1" zoomScale="85" zoomScaleNormal="85" workbookViewId="0">
      <pane ySplit="1" topLeftCell="A63" activePane="bottomLeft" state="frozen"/>
      <selection pane="bottomLeft" activeCell="B1705" sqref="B1705"/>
    </sheetView>
  </sheetViews>
  <sheetFormatPr baseColWidth="10" defaultRowHeight="14.5" x14ac:dyDescent="0.35"/>
  <cols>
    <col min="1" max="1" width="37.7265625" bestFit="1" customWidth="1"/>
    <col min="2" max="2" width="28.36328125" bestFit="1" customWidth="1"/>
    <col min="3" max="3" width="7.08984375" bestFit="1" customWidth="1"/>
    <col min="4" max="4" width="10" customWidth="1"/>
    <col min="5" max="5" width="7.453125" bestFit="1" customWidth="1"/>
    <col min="6" max="13" width="9.6328125" bestFit="1" customWidth="1"/>
    <col min="14" max="14" width="10.7265625" bestFit="1" customWidth="1"/>
    <col min="15" max="19" width="11.81640625" bestFit="1" customWidth="1"/>
    <col min="20" max="20" width="9.6328125" bestFit="1" customWidth="1"/>
    <col min="21" max="21" width="9.26953125" bestFit="1" customWidth="1"/>
    <col min="22" max="22" width="12.6328125" bestFit="1" customWidth="1"/>
    <col min="23" max="23" width="3.36328125" bestFit="1" customWidth="1"/>
    <col min="24" max="24" width="56.81640625" bestFit="1" customWidth="1"/>
    <col min="25" max="25" width="39.6328125" bestFit="1" customWidth="1"/>
    <col min="26" max="26" width="25.453125" bestFit="1" customWidth="1"/>
    <col min="27" max="27" width="25.453125" customWidth="1"/>
    <col min="28" max="28" width="19.08984375" customWidth="1"/>
    <col min="29" max="29" width="18.90625" bestFit="1" customWidth="1"/>
    <col min="30" max="30" width="18.90625" customWidth="1"/>
    <col min="31" max="31" width="14.1796875" bestFit="1" customWidth="1"/>
    <col min="32" max="32" width="8.81640625" style="5" bestFit="1" customWidth="1"/>
    <col min="33" max="33" width="13.1796875" bestFit="1" customWidth="1"/>
    <col min="36" max="36" width="16.453125" bestFit="1" customWidth="1"/>
    <col min="37" max="37" width="103.453125" bestFit="1" customWidth="1"/>
  </cols>
  <sheetData>
    <row r="1" spans="1:34" x14ac:dyDescent="0.35">
      <c r="A1" s="1" t="s">
        <v>0</v>
      </c>
      <c r="B1" s="1" t="s">
        <v>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11</v>
      </c>
      <c r="U1" s="1" t="s">
        <v>96</v>
      </c>
      <c r="V1" s="1" t="s">
        <v>97</v>
      </c>
      <c r="W1" s="1" t="s">
        <v>109</v>
      </c>
      <c r="X1" s="1" t="s">
        <v>417</v>
      </c>
      <c r="Y1" s="1" t="s">
        <v>12</v>
      </c>
      <c r="Z1" s="1" t="s">
        <v>14</v>
      </c>
      <c r="AA1" s="1" t="s">
        <v>127</v>
      </c>
      <c r="AB1" s="1" t="s">
        <v>42</v>
      </c>
      <c r="AC1" s="1" t="s">
        <v>13</v>
      </c>
      <c r="AD1" s="1" t="s">
        <v>46</v>
      </c>
      <c r="AE1" s="1" t="s">
        <v>58</v>
      </c>
      <c r="AF1" s="6" t="s">
        <v>59</v>
      </c>
      <c r="AG1" s="1" t="s">
        <v>60</v>
      </c>
      <c r="AH1" s="1" t="s">
        <v>15</v>
      </c>
    </row>
    <row r="2" spans="1:34" hidden="1" x14ac:dyDescent="0.35">
      <c r="A2" t="str">
        <f>_xlfn.CONCAT(Tableau1[[#This Row],[Athletes]],"_",Tableau1[[#This Row],[Nationality]],"_",Tableau1[[#This Row],[Competition_year]])</f>
        <v>Charles Cheboi SIMOTWO_KEN_2021</v>
      </c>
      <c r="B2" t="s">
        <v>258</v>
      </c>
      <c r="C2" t="s">
        <v>16</v>
      </c>
      <c r="D2" t="s">
        <v>17</v>
      </c>
      <c r="E2">
        <v>14</v>
      </c>
      <c r="F2">
        <v>14.600000000000001</v>
      </c>
      <c r="G2">
        <v>14.5</v>
      </c>
      <c r="H2">
        <v>14.199999999999996</v>
      </c>
      <c r="I2">
        <v>14.200000000000003</v>
      </c>
      <c r="J2">
        <v>14.099999999999994</v>
      </c>
      <c r="K2">
        <v>14.300000000000011</v>
      </c>
      <c r="L2">
        <v>14.099999999999994</v>
      </c>
      <c r="M2">
        <v>14.400000000000006</v>
      </c>
      <c r="N2">
        <v>14.400000000000006</v>
      </c>
      <c r="O2">
        <v>14.5</v>
      </c>
      <c r="P2">
        <v>14.099999999999994</v>
      </c>
      <c r="Q2">
        <v>14.400000000000006</v>
      </c>
      <c r="R2">
        <v>14.599999999999994</v>
      </c>
      <c r="S2">
        <f>Tableau1[[#This Row],[Final_time]]-SUM(Tableau1[[#This Row],[0_100m]:[1300_1400m]])</f>
        <v>13.969999999999999</v>
      </c>
      <c r="T2">
        <v>214.37</v>
      </c>
      <c r="U2">
        <f t="shared" ref="U2:U65" si="0">SUM(E2:S2)</f>
        <v>214.37</v>
      </c>
      <c r="V2">
        <f t="shared" ref="V2:V65" si="1">ABS(U2-T2)</f>
        <v>0</v>
      </c>
      <c r="W2" s="12"/>
      <c r="X2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2" t="s">
        <v>312</v>
      </c>
      <c r="Z2" t="s">
        <v>43</v>
      </c>
      <c r="AB2" t="s">
        <v>65</v>
      </c>
      <c r="AC2" s="2">
        <v>44442</v>
      </c>
      <c r="AD2">
        <v>2021</v>
      </c>
      <c r="AE2">
        <v>22</v>
      </c>
      <c r="AF2" s="5">
        <v>0.61</v>
      </c>
      <c r="AG2" s="3" t="s">
        <v>64</v>
      </c>
    </row>
    <row r="3" spans="1:34" hidden="1" x14ac:dyDescent="0.35">
      <c r="A3" t="str">
        <f>_xlfn.CONCAT(Tableau1[[#This Row],[Athletes]],"_",Tableau1[[#This Row],[Nationality]],"_",Tableau1[[#This Row],[Competition_year]])</f>
        <v>Stewart MCSWEYN_AUS_2021</v>
      </c>
      <c r="B3" t="s">
        <v>219</v>
      </c>
      <c r="C3" t="s">
        <v>16</v>
      </c>
      <c r="D3" t="s">
        <v>21</v>
      </c>
      <c r="E3">
        <v>14.1</v>
      </c>
      <c r="F3">
        <v>13.9</v>
      </c>
      <c r="G3">
        <v>14.5</v>
      </c>
      <c r="H3">
        <v>13.899999999999999</v>
      </c>
      <c r="I3">
        <v>14.100000000000001</v>
      </c>
      <c r="J3">
        <v>13.900000000000006</v>
      </c>
      <c r="K3">
        <v>14</v>
      </c>
      <c r="L3">
        <v>14.199999999999989</v>
      </c>
      <c r="M3">
        <v>14.100000000000009</v>
      </c>
      <c r="N3">
        <v>14.499999999999986</v>
      </c>
      <c r="O3">
        <v>14.5</v>
      </c>
      <c r="P3">
        <v>14.600000000000023</v>
      </c>
      <c r="Q3">
        <v>14.399999999999977</v>
      </c>
      <c r="R3">
        <v>14.5</v>
      </c>
      <c r="S3">
        <f>Tableau1[[#This Row],[Final_time]]-SUM(Tableau1[[#This Row],[0_100m]:[1300_1400m]])</f>
        <v>14</v>
      </c>
      <c r="T3">
        <v>213.2</v>
      </c>
      <c r="U3">
        <f t="shared" si="0"/>
        <v>213.2</v>
      </c>
      <c r="V3">
        <f t="shared" si="1"/>
        <v>0</v>
      </c>
      <c r="W3" s="12"/>
      <c r="X3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3" t="s">
        <v>312</v>
      </c>
      <c r="Z3" t="s">
        <v>43</v>
      </c>
      <c r="AB3" t="s">
        <v>65</v>
      </c>
      <c r="AC3" s="2">
        <v>44442</v>
      </c>
      <c r="AD3">
        <v>2021</v>
      </c>
      <c r="AE3">
        <v>22</v>
      </c>
      <c r="AF3" s="5">
        <v>0.61</v>
      </c>
      <c r="AG3" s="3" t="s">
        <v>64</v>
      </c>
    </row>
    <row r="4" spans="1:34" hidden="1" x14ac:dyDescent="0.35">
      <c r="A4" t="str">
        <f>_xlfn.CONCAT(Tableau1[[#This Row],[Athletes]],"_",Tableau1[[#This Row],[Nationality]],"_",Tableau1[[#This Row],[Competition_year]])</f>
        <v>Simon DENISSEL_FRA_2021</v>
      </c>
      <c r="B4" t="s">
        <v>1244</v>
      </c>
      <c r="C4" t="s">
        <v>16</v>
      </c>
      <c r="D4" t="s">
        <v>18</v>
      </c>
      <c r="E4">
        <v>13.9</v>
      </c>
      <c r="F4">
        <v>14.799999999999999</v>
      </c>
      <c r="G4">
        <v>14.599999999999998</v>
      </c>
      <c r="H4">
        <v>14.100000000000001</v>
      </c>
      <c r="I4">
        <v>14.399999999999999</v>
      </c>
      <c r="J4">
        <v>14.200000000000003</v>
      </c>
      <c r="K4">
        <v>14.200000000000003</v>
      </c>
      <c r="L4">
        <v>14.399999999999991</v>
      </c>
      <c r="M4">
        <v>14.400000000000006</v>
      </c>
      <c r="N4">
        <v>14.300000000000011</v>
      </c>
      <c r="O4">
        <v>14.399999999999977</v>
      </c>
      <c r="P4">
        <v>14.5</v>
      </c>
      <c r="Q4">
        <v>14.200000000000017</v>
      </c>
      <c r="R4">
        <v>14</v>
      </c>
      <c r="S4">
        <f>Tableau1[[#This Row],[Final_time]]-SUM(Tableau1[[#This Row],[0_100m]:[1300_1400m]])</f>
        <v>14.030000000000001</v>
      </c>
      <c r="T4">
        <v>214.43</v>
      </c>
      <c r="U4">
        <f t="shared" si="0"/>
        <v>214.43</v>
      </c>
      <c r="V4">
        <f t="shared" si="1"/>
        <v>0</v>
      </c>
      <c r="W4" s="12"/>
      <c r="X4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4" t="s">
        <v>312</v>
      </c>
      <c r="Z4" t="s">
        <v>43</v>
      </c>
      <c r="AB4" t="s">
        <v>65</v>
      </c>
      <c r="AC4" s="2">
        <v>44442</v>
      </c>
      <c r="AD4">
        <v>2021</v>
      </c>
      <c r="AE4">
        <v>22</v>
      </c>
      <c r="AF4" s="5">
        <v>0.61</v>
      </c>
      <c r="AG4" s="3" t="s">
        <v>64</v>
      </c>
    </row>
    <row r="5" spans="1:34" hidden="1" x14ac:dyDescent="0.35">
      <c r="A5" t="str">
        <f>_xlfn.CONCAT(Tableau1[[#This Row],[Athletes]],"_",Tableau1[[#This Row],[Nationality]],"_",Tableau1[[#This Row],[Competition_year]])</f>
        <v>Michał ROZMYS_POL_2021</v>
      </c>
      <c r="B5" t="s">
        <v>236</v>
      </c>
      <c r="C5" t="s">
        <v>16</v>
      </c>
      <c r="D5" t="s">
        <v>83</v>
      </c>
      <c r="E5">
        <v>13.7</v>
      </c>
      <c r="F5">
        <v>14.7</v>
      </c>
      <c r="G5">
        <v>14.700000000000003</v>
      </c>
      <c r="H5">
        <v>14</v>
      </c>
      <c r="I5">
        <v>14.300000000000004</v>
      </c>
      <c r="J5">
        <v>14</v>
      </c>
      <c r="K5">
        <v>14</v>
      </c>
      <c r="L5">
        <v>14.199999999999989</v>
      </c>
      <c r="M5">
        <v>14.200000000000003</v>
      </c>
      <c r="N5">
        <v>14.399999999999991</v>
      </c>
      <c r="O5">
        <v>14.200000000000017</v>
      </c>
      <c r="P5">
        <v>14.5</v>
      </c>
      <c r="Q5">
        <v>14.400000000000006</v>
      </c>
      <c r="R5">
        <v>14.399999999999977</v>
      </c>
      <c r="S5">
        <f>Tableau1[[#This Row],[Final_time]]-SUM(Tableau1[[#This Row],[0_100m]:[1300_1400m]])</f>
        <v>14.260000000000019</v>
      </c>
      <c r="T5">
        <v>213.96</v>
      </c>
      <c r="U5">
        <f t="shared" si="0"/>
        <v>213.96</v>
      </c>
      <c r="V5">
        <f t="shared" si="1"/>
        <v>0</v>
      </c>
      <c r="W5" s="12"/>
      <c r="X5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5" t="s">
        <v>312</v>
      </c>
      <c r="Z5" t="s">
        <v>43</v>
      </c>
      <c r="AB5" t="s">
        <v>65</v>
      </c>
      <c r="AC5" s="2">
        <v>44442</v>
      </c>
      <c r="AD5">
        <v>2021</v>
      </c>
      <c r="AE5">
        <v>22</v>
      </c>
      <c r="AF5" s="5">
        <v>0.61</v>
      </c>
      <c r="AG5" s="3" t="s">
        <v>64</v>
      </c>
    </row>
    <row r="6" spans="1:34" hidden="1" x14ac:dyDescent="0.35">
      <c r="A6" t="str">
        <f>_xlfn.CONCAT(Tableau1[[#This Row],[Athletes]],"_",Tableau1[[#This Row],[Nationality]],"_",Tableau1[[#This Row],[Competition_year]])</f>
        <v>Oliver HOARE_AUS_2021</v>
      </c>
      <c r="B6" t="s">
        <v>249</v>
      </c>
      <c r="C6" t="s">
        <v>16</v>
      </c>
      <c r="D6" t="s">
        <v>21</v>
      </c>
      <c r="E6">
        <v>13.7</v>
      </c>
      <c r="F6">
        <v>14.600000000000001</v>
      </c>
      <c r="G6">
        <v>14.499999999999996</v>
      </c>
      <c r="H6">
        <v>14</v>
      </c>
      <c r="I6">
        <v>14.299999999999997</v>
      </c>
      <c r="J6">
        <v>14.100000000000009</v>
      </c>
      <c r="K6">
        <v>13.899999999999991</v>
      </c>
      <c r="L6">
        <v>14.300000000000011</v>
      </c>
      <c r="M6">
        <v>14</v>
      </c>
      <c r="N6">
        <v>14.599999999999994</v>
      </c>
      <c r="O6">
        <v>14.099999999999994</v>
      </c>
      <c r="P6">
        <v>14.5</v>
      </c>
      <c r="Q6">
        <v>14.200000000000017</v>
      </c>
      <c r="R6">
        <v>14.699999999999989</v>
      </c>
      <c r="S6">
        <f>Tableau1[[#This Row],[Final_time]]-SUM(Tableau1[[#This Row],[0_100m]:[1300_1400m]])</f>
        <v>14.289999999999992</v>
      </c>
      <c r="T6">
        <v>213.79</v>
      </c>
      <c r="U6">
        <f t="shared" si="0"/>
        <v>213.79</v>
      </c>
      <c r="V6">
        <f t="shared" si="1"/>
        <v>0</v>
      </c>
      <c r="W6" s="12"/>
      <c r="X6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6" t="s">
        <v>312</v>
      </c>
      <c r="Z6" t="s">
        <v>43</v>
      </c>
      <c r="AB6" t="s">
        <v>65</v>
      </c>
      <c r="AC6" s="2">
        <v>44442</v>
      </c>
      <c r="AD6">
        <v>2021</v>
      </c>
      <c r="AE6">
        <v>22</v>
      </c>
      <c r="AF6" s="5">
        <v>0.61</v>
      </c>
      <c r="AG6" s="3" t="s">
        <v>64</v>
      </c>
    </row>
    <row r="7" spans="1:34" hidden="1" x14ac:dyDescent="0.35">
      <c r="A7" t="str">
        <f>_xlfn.CONCAT(Tableau1[[#This Row],[Athletes]],"_",Tableau1[[#This Row],[Nationality]],"_",Tableau1[[#This Row],[Competition_year]])</f>
        <v>Abel KIPSANG_KEN_2021</v>
      </c>
      <c r="B7" t="s">
        <v>227</v>
      </c>
      <c r="C7" t="s">
        <v>16</v>
      </c>
      <c r="D7" t="s">
        <v>17</v>
      </c>
      <c r="E7">
        <v>13.7</v>
      </c>
      <c r="F7">
        <v>14.600000000000001</v>
      </c>
      <c r="G7">
        <v>14.599999999999998</v>
      </c>
      <c r="H7">
        <v>13.899999999999999</v>
      </c>
      <c r="I7">
        <v>14.100000000000009</v>
      </c>
      <c r="J7">
        <v>14</v>
      </c>
      <c r="K7">
        <v>13.899999999999991</v>
      </c>
      <c r="L7">
        <v>14.299999999999997</v>
      </c>
      <c r="M7">
        <v>14</v>
      </c>
      <c r="N7">
        <v>14.599999999999994</v>
      </c>
      <c r="O7">
        <v>14.400000000000006</v>
      </c>
      <c r="P7">
        <v>14.700000000000017</v>
      </c>
      <c r="Q7">
        <v>14.299999999999983</v>
      </c>
      <c r="R7">
        <v>14.599999999999994</v>
      </c>
      <c r="S7">
        <f>Tableau1[[#This Row],[Final_time]]-SUM(Tableau1[[#This Row],[0_100m]:[1300_1400m]])</f>
        <v>14.379999999999995</v>
      </c>
      <c r="T7">
        <v>214.07999999999998</v>
      </c>
      <c r="U7">
        <f t="shared" si="0"/>
        <v>214.07999999999998</v>
      </c>
      <c r="V7">
        <f t="shared" si="1"/>
        <v>0</v>
      </c>
      <c r="W7" s="12"/>
      <c r="X7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7" t="s">
        <v>312</v>
      </c>
      <c r="Z7" t="s">
        <v>43</v>
      </c>
      <c r="AB7" t="s">
        <v>65</v>
      </c>
      <c r="AC7" s="2">
        <v>44442</v>
      </c>
      <c r="AD7">
        <v>2021</v>
      </c>
      <c r="AE7">
        <v>22</v>
      </c>
      <c r="AF7" s="5">
        <v>0.61</v>
      </c>
      <c r="AG7" s="3" t="s">
        <v>64</v>
      </c>
    </row>
    <row r="8" spans="1:34" hidden="1" x14ac:dyDescent="0.35">
      <c r="A8" t="str">
        <f>_xlfn.CONCAT(Tableau1[[#This Row],[Athletes]],"_",Tableau1[[#This Row],[Nationality]],"_",Tableau1[[#This Row],[Competition_year]])</f>
        <v>Charles GRETHEN_LUX_2021</v>
      </c>
      <c r="B8" t="s">
        <v>230</v>
      </c>
      <c r="C8" t="s">
        <v>16</v>
      </c>
      <c r="D8" t="s">
        <v>76</v>
      </c>
      <c r="E8">
        <v>13.9</v>
      </c>
      <c r="F8">
        <v>14.799999999999999</v>
      </c>
      <c r="G8">
        <v>14.7</v>
      </c>
      <c r="H8">
        <v>14.5</v>
      </c>
      <c r="I8">
        <v>14.300000000000004</v>
      </c>
      <c r="J8">
        <v>14.099999999999994</v>
      </c>
      <c r="K8">
        <v>14</v>
      </c>
      <c r="L8">
        <v>14.100000000000009</v>
      </c>
      <c r="M8">
        <v>14.299999999999983</v>
      </c>
      <c r="N8">
        <v>14.400000000000006</v>
      </c>
      <c r="O8">
        <v>14.400000000000006</v>
      </c>
      <c r="P8">
        <v>14.5</v>
      </c>
      <c r="Q8">
        <v>13.900000000000006</v>
      </c>
      <c r="R8">
        <v>14</v>
      </c>
      <c r="S8">
        <f>Tableau1[[#This Row],[Final_time]]-SUM(Tableau1[[#This Row],[0_100m]:[1300_1400m]])</f>
        <v>14.689999999999998</v>
      </c>
      <c r="T8">
        <v>214.59</v>
      </c>
      <c r="U8">
        <f t="shared" si="0"/>
        <v>214.59</v>
      </c>
      <c r="V8">
        <f t="shared" si="1"/>
        <v>0</v>
      </c>
      <c r="W8" s="12"/>
      <c r="X8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8" t="s">
        <v>312</v>
      </c>
      <c r="Z8" t="s">
        <v>43</v>
      </c>
      <c r="AB8" t="s">
        <v>65</v>
      </c>
      <c r="AC8" s="2">
        <v>44442</v>
      </c>
      <c r="AD8">
        <v>2021</v>
      </c>
      <c r="AE8">
        <v>22</v>
      </c>
      <c r="AF8" s="5">
        <v>0.61</v>
      </c>
      <c r="AG8" s="3" t="s">
        <v>64</v>
      </c>
    </row>
    <row r="9" spans="1:34" hidden="1" x14ac:dyDescent="0.35">
      <c r="A9" t="str">
        <f>_xlfn.CONCAT(Tableau1[[#This Row],[Athletes]],"_",Tableau1[[#This Row],[Nationality]],"_",Tableau1[[#This Row],[Competition_year]])</f>
        <v>Adel MECHAAL_ESP_2021</v>
      </c>
      <c r="B9" t="s">
        <v>190</v>
      </c>
      <c r="C9" t="s">
        <v>16</v>
      </c>
      <c r="D9" t="s">
        <v>22</v>
      </c>
      <c r="E9">
        <v>14.2</v>
      </c>
      <c r="F9">
        <v>14.900000000000002</v>
      </c>
      <c r="G9">
        <v>14.5</v>
      </c>
      <c r="H9">
        <v>14.199999999999996</v>
      </c>
      <c r="I9">
        <v>14.299999999999997</v>
      </c>
      <c r="J9">
        <v>14.100000000000009</v>
      </c>
      <c r="K9">
        <v>13.899999999999991</v>
      </c>
      <c r="L9">
        <v>14.100000000000009</v>
      </c>
      <c r="M9">
        <v>14.100000000000009</v>
      </c>
      <c r="N9">
        <v>14.199999999999989</v>
      </c>
      <c r="O9">
        <v>14.5</v>
      </c>
      <c r="P9">
        <v>14.599999999999994</v>
      </c>
      <c r="Q9">
        <v>14.400000000000006</v>
      </c>
      <c r="R9">
        <v>14.599999999999994</v>
      </c>
      <c r="S9">
        <f>Tableau1[[#This Row],[Final_time]]-SUM(Tableau1[[#This Row],[0_100m]:[1300_1400m]])</f>
        <v>14.77000000000001</v>
      </c>
      <c r="T9">
        <v>215.37</v>
      </c>
      <c r="U9">
        <f t="shared" si="0"/>
        <v>215.37</v>
      </c>
      <c r="V9">
        <f t="shared" si="1"/>
        <v>0</v>
      </c>
      <c r="W9" s="12"/>
      <c r="X9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9" t="s">
        <v>312</v>
      </c>
      <c r="Z9" t="s">
        <v>43</v>
      </c>
      <c r="AB9" t="s">
        <v>65</v>
      </c>
      <c r="AC9" s="2">
        <v>44442</v>
      </c>
      <c r="AD9">
        <v>2021</v>
      </c>
      <c r="AE9">
        <v>22</v>
      </c>
      <c r="AF9" s="5">
        <v>0.61</v>
      </c>
      <c r="AG9" s="3" t="s">
        <v>64</v>
      </c>
    </row>
    <row r="10" spans="1:34" hidden="1" x14ac:dyDescent="0.35">
      <c r="A10" t="str">
        <f>_xlfn.CONCAT(Tableau1[[#This Row],[Athletes]],"_",Tableau1[[#This Row],[Nationality]],"_",Tableau1[[#This Row],[Competition_year]])</f>
        <v>Mohamed KATIR_ESP_2021</v>
      </c>
      <c r="B10" t="s">
        <v>149</v>
      </c>
      <c r="C10" t="s">
        <v>16</v>
      </c>
      <c r="D10" t="s">
        <v>22</v>
      </c>
      <c r="E10">
        <v>14.5</v>
      </c>
      <c r="F10">
        <v>14.5</v>
      </c>
      <c r="G10">
        <v>14.600000000000001</v>
      </c>
      <c r="H10">
        <v>14.399999999999999</v>
      </c>
      <c r="I10">
        <v>13.900000000000006</v>
      </c>
      <c r="J10">
        <v>13.899999999999991</v>
      </c>
      <c r="K10">
        <v>13.900000000000006</v>
      </c>
      <c r="L10">
        <v>13.799999999999997</v>
      </c>
      <c r="M10">
        <v>14</v>
      </c>
      <c r="N10">
        <v>14.199999999999989</v>
      </c>
      <c r="O10">
        <v>14.100000000000023</v>
      </c>
      <c r="P10">
        <v>14.299999999999983</v>
      </c>
      <c r="Q10">
        <v>14.400000000000006</v>
      </c>
      <c r="R10">
        <v>14.800000000000011</v>
      </c>
      <c r="S10">
        <f>Tableau1[[#This Row],[Final_time]]-SUM(Tableau1[[#This Row],[0_100m]:[1300_1400m]])</f>
        <v>15.199999999999989</v>
      </c>
      <c r="T10">
        <v>214.5</v>
      </c>
      <c r="U10">
        <f t="shared" si="0"/>
        <v>214.5</v>
      </c>
      <c r="V10">
        <f t="shared" si="1"/>
        <v>0</v>
      </c>
      <c r="W10" s="12"/>
      <c r="X10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10" t="s">
        <v>312</v>
      </c>
      <c r="Z10" t="s">
        <v>43</v>
      </c>
      <c r="AB10" t="s">
        <v>65</v>
      </c>
      <c r="AC10" s="2">
        <v>44442</v>
      </c>
      <c r="AD10">
        <v>2021</v>
      </c>
      <c r="AE10">
        <v>22</v>
      </c>
      <c r="AF10" s="5">
        <v>0.61</v>
      </c>
      <c r="AG10" s="3" t="s">
        <v>64</v>
      </c>
    </row>
    <row r="11" spans="1:34" hidden="1" x14ac:dyDescent="0.35">
      <c r="A11" t="str">
        <f>_xlfn.CONCAT(Tableau1[[#This Row],[Athletes]],"_",Tableau1[[#This Row],[Nationality]],"_",Tableau1[[#This Row],[Competition_year]])</f>
        <v>Samuel TEFERA_ETH_2021</v>
      </c>
      <c r="B11" t="s">
        <v>250</v>
      </c>
      <c r="C11" t="s">
        <v>16</v>
      </c>
      <c r="D11" t="s">
        <v>48</v>
      </c>
      <c r="E11">
        <v>14.2</v>
      </c>
      <c r="F11">
        <v>14.7</v>
      </c>
      <c r="G11">
        <v>13.800000000000004</v>
      </c>
      <c r="H11">
        <v>13.899999999999999</v>
      </c>
      <c r="I11">
        <v>14.100000000000001</v>
      </c>
      <c r="J11">
        <v>13.899999999999991</v>
      </c>
      <c r="K11">
        <v>14</v>
      </c>
      <c r="L11">
        <v>14.200000000000003</v>
      </c>
      <c r="M11">
        <v>14.100000000000009</v>
      </c>
      <c r="N11">
        <v>14.5</v>
      </c>
      <c r="O11">
        <v>14.599999999999994</v>
      </c>
      <c r="P11">
        <v>14.699999999999989</v>
      </c>
      <c r="Q11">
        <v>14.700000000000017</v>
      </c>
      <c r="R11">
        <v>15</v>
      </c>
      <c r="S11">
        <f>Tableau1[[#This Row],[Final_time]]-SUM(Tableau1[[#This Row],[0_100m]:[1300_1400m]])</f>
        <v>15.799999999999983</v>
      </c>
      <c r="T11">
        <v>216.2</v>
      </c>
      <c r="U11">
        <f t="shared" si="0"/>
        <v>216.2</v>
      </c>
      <c r="V11">
        <f t="shared" si="1"/>
        <v>0</v>
      </c>
      <c r="W11" s="12"/>
      <c r="X11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11" t="s">
        <v>312</v>
      </c>
      <c r="Z11" t="s">
        <v>43</v>
      </c>
      <c r="AB11" t="s">
        <v>65</v>
      </c>
      <c r="AC11" s="2">
        <v>44442</v>
      </c>
      <c r="AD11">
        <v>2021</v>
      </c>
      <c r="AE11">
        <v>22</v>
      </c>
      <c r="AF11" s="5">
        <v>0.61</v>
      </c>
      <c r="AG11" s="3" t="s">
        <v>64</v>
      </c>
    </row>
    <row r="12" spans="1:34" hidden="1" x14ac:dyDescent="0.35">
      <c r="A12" t="str">
        <f>_xlfn.CONCAT(Tableau1[[#This Row],[Athletes]],"_",Tableau1[[#This Row],[Nationality]],"_",Tableau1[[#This Row],[Competition_year]])</f>
        <v>Ismael DEBJANI_BEL_2021</v>
      </c>
      <c r="B12" t="s">
        <v>226</v>
      </c>
      <c r="C12" t="s">
        <v>16</v>
      </c>
      <c r="D12" t="s">
        <v>86</v>
      </c>
      <c r="E12">
        <v>13.9</v>
      </c>
      <c r="F12">
        <v>14.9</v>
      </c>
      <c r="G12">
        <v>14.599999999999998</v>
      </c>
      <c r="H12">
        <v>14.200000000000003</v>
      </c>
      <c r="I12">
        <v>14.499999999999993</v>
      </c>
      <c r="J12">
        <v>14.300000000000011</v>
      </c>
      <c r="K12">
        <v>14.099999999999994</v>
      </c>
      <c r="L12">
        <v>14.5</v>
      </c>
      <c r="M12">
        <v>14.300000000000011</v>
      </c>
      <c r="N12">
        <v>15</v>
      </c>
      <c r="O12">
        <v>14.699999999999989</v>
      </c>
      <c r="P12">
        <v>15.099999999999994</v>
      </c>
      <c r="Q12">
        <v>14.800000000000011</v>
      </c>
      <c r="R12">
        <v>16.099999999999994</v>
      </c>
      <c r="S12">
        <f>Tableau1[[#This Row],[Final_time]]-SUM(Tableau1[[#This Row],[0_100m]:[1300_1400m]])</f>
        <v>18.800000000000011</v>
      </c>
      <c r="T12">
        <v>223.8</v>
      </c>
      <c r="U12">
        <f t="shared" si="0"/>
        <v>223.8</v>
      </c>
      <c r="V12">
        <f t="shared" si="1"/>
        <v>0</v>
      </c>
      <c r="W12" s="12"/>
      <c r="X12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12" t="s">
        <v>312</v>
      </c>
      <c r="Z12" t="s">
        <v>43</v>
      </c>
      <c r="AB12" t="s">
        <v>65</v>
      </c>
      <c r="AC12" s="2">
        <v>44442</v>
      </c>
      <c r="AD12">
        <v>2021</v>
      </c>
      <c r="AE12">
        <v>22</v>
      </c>
      <c r="AF12" s="5">
        <v>0.61</v>
      </c>
      <c r="AG12" s="3" t="s">
        <v>64</v>
      </c>
    </row>
    <row r="13" spans="1:34" hidden="1" x14ac:dyDescent="0.35">
      <c r="A13" t="str">
        <f>_xlfn.CONCAT(Tableau1[[#This Row],[Athletes]],"_",Tableau1[[#This Row],[Nationality]],"_",Tableau1[[#This Row],[Competition_year]])</f>
        <v>Jochem VERMEULEN_BEL_2021</v>
      </c>
      <c r="B13" t="s">
        <v>235</v>
      </c>
      <c r="C13" t="s">
        <v>16</v>
      </c>
      <c r="D13" t="s">
        <v>86</v>
      </c>
      <c r="E13">
        <v>13.8</v>
      </c>
      <c r="F13">
        <v>14.7</v>
      </c>
      <c r="G13">
        <v>14.799999999999997</v>
      </c>
      <c r="H13">
        <v>14.400000000000006</v>
      </c>
      <c r="I13">
        <v>14.599999999999994</v>
      </c>
      <c r="J13">
        <v>14.200000000000003</v>
      </c>
      <c r="K13">
        <v>14.299999999999997</v>
      </c>
      <c r="L13">
        <v>14.400000000000006</v>
      </c>
      <c r="M13">
        <v>14.799999999999997</v>
      </c>
      <c r="N13">
        <v>15.5</v>
      </c>
      <c r="O13">
        <v>16.400000000000006</v>
      </c>
      <c r="P13">
        <v>16.799999999999983</v>
      </c>
      <c r="Q13">
        <v>17.5</v>
      </c>
      <c r="R13">
        <v>18.100000000000023</v>
      </c>
      <c r="S13">
        <f>Tableau1[[#This Row],[Final_time]]-SUM(Tableau1[[#This Row],[0_100m]:[1300_1400m]])</f>
        <v>19.060000000000002</v>
      </c>
      <c r="T13">
        <v>233.36</v>
      </c>
      <c r="U13">
        <f t="shared" si="0"/>
        <v>233.36</v>
      </c>
      <c r="V13">
        <f t="shared" si="1"/>
        <v>0</v>
      </c>
      <c r="W13" s="12"/>
      <c r="X13" t="str">
        <f>_xlfn.CONCAT(Tableau1[[#This Row],[Competition]],"_",Tableau1[[#This Row],[Championship_step]],"_",Tableau1[[#This Row],[Competition_date]],"_",Tableau1[[#This Row],[Gender]])</f>
        <v>Diamond League Brussels 2021__44442_Male</v>
      </c>
      <c r="Y13" t="s">
        <v>312</v>
      </c>
      <c r="Z13" t="s">
        <v>43</v>
      </c>
      <c r="AB13" t="s">
        <v>65</v>
      </c>
      <c r="AC13" s="2">
        <v>44442</v>
      </c>
      <c r="AD13">
        <v>2021</v>
      </c>
      <c r="AE13">
        <v>22</v>
      </c>
      <c r="AF13" s="5">
        <v>0.61</v>
      </c>
      <c r="AG13" s="3" t="s">
        <v>64</v>
      </c>
    </row>
    <row r="14" spans="1:34" hidden="1" x14ac:dyDescent="0.35">
      <c r="A14" t="str">
        <f>_xlfn.CONCAT(Tableau1[[#This Row],[Athletes]],"_",Tableau1[[#This Row],[Nationality]],"_",Tableau1[[#This Row],[Competition_year]])</f>
        <v>Laura MUIR_GBR_2022</v>
      </c>
      <c r="B14" t="s">
        <v>153</v>
      </c>
      <c r="C14" t="s">
        <v>47</v>
      </c>
      <c r="D14" t="s">
        <v>20</v>
      </c>
      <c r="E14">
        <v>15.6</v>
      </c>
      <c r="F14">
        <v>16.399999999999999</v>
      </c>
      <c r="G14">
        <v>15.500000000000004</v>
      </c>
      <c r="H14">
        <v>15.799999999999997</v>
      </c>
      <c r="I14">
        <v>15.900000000000006</v>
      </c>
      <c r="J14">
        <v>16.099999999999994</v>
      </c>
      <c r="K14">
        <v>15.799999999999997</v>
      </c>
      <c r="L14">
        <v>16.200000000000003</v>
      </c>
      <c r="M14">
        <v>15.900000000000006</v>
      </c>
      <c r="N14">
        <v>15.900000000000006</v>
      </c>
      <c r="O14">
        <v>16.099999999999994</v>
      </c>
      <c r="P14">
        <v>15.799999999999983</v>
      </c>
      <c r="Q14">
        <v>15.700000000000017</v>
      </c>
      <c r="R14">
        <v>15.599999999999994</v>
      </c>
      <c r="S14">
        <f>Tableau1[[#This Row],[Final_time]]-SUM(Tableau1[[#This Row],[0_100m]:[1300_1400m]])</f>
        <v>15.360000000000014</v>
      </c>
      <c r="T14">
        <v>237.66</v>
      </c>
      <c r="U14">
        <f t="shared" si="0"/>
        <v>237.66</v>
      </c>
      <c r="V14">
        <f t="shared" si="1"/>
        <v>0</v>
      </c>
      <c r="W14" s="12"/>
      <c r="X14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14" t="s">
        <v>305</v>
      </c>
      <c r="Z14" t="s">
        <v>43</v>
      </c>
      <c r="AB14" t="s">
        <v>65</v>
      </c>
      <c r="AC14" s="2">
        <v>44806</v>
      </c>
      <c r="AD14">
        <v>2022</v>
      </c>
      <c r="AE14">
        <v>23</v>
      </c>
      <c r="AF14" s="5">
        <v>0.47</v>
      </c>
      <c r="AG14" s="3" t="s">
        <v>62</v>
      </c>
    </row>
    <row r="15" spans="1:34" hidden="1" x14ac:dyDescent="0.35">
      <c r="A15" t="str">
        <f>_xlfn.CONCAT(Tableau1[[#This Row],[Athletes]],"_",Tableau1[[#This Row],[Nationality]],"_",Tableau1[[#This Row],[Competition_year]])</f>
        <v>Ciara MAGEEAN_IRL_2022</v>
      </c>
      <c r="B15" t="s">
        <v>180</v>
      </c>
      <c r="C15" t="s">
        <v>47</v>
      </c>
      <c r="D15" t="s">
        <v>35</v>
      </c>
      <c r="E15">
        <v>15</v>
      </c>
      <c r="F15">
        <v>16.399999999999999</v>
      </c>
      <c r="G15">
        <v>15.700000000000003</v>
      </c>
      <c r="H15">
        <v>16</v>
      </c>
      <c r="I15">
        <v>15.699999999999996</v>
      </c>
      <c r="J15">
        <v>16</v>
      </c>
      <c r="K15">
        <v>15.900000000000006</v>
      </c>
      <c r="L15">
        <v>16.399999999999991</v>
      </c>
      <c r="M15">
        <v>16.200000000000017</v>
      </c>
      <c r="N15">
        <v>16.099999999999994</v>
      </c>
      <c r="O15">
        <v>15.5</v>
      </c>
      <c r="P15">
        <v>15.400000000000006</v>
      </c>
      <c r="Q15">
        <v>15.299999999999983</v>
      </c>
      <c r="R15">
        <v>15.5</v>
      </c>
      <c r="S15">
        <f>Tableau1[[#This Row],[Final_time]]-SUM(Tableau1[[#This Row],[0_100m]:[1300_1400m]])</f>
        <v>15.530000000000001</v>
      </c>
      <c r="T15">
        <v>236.63</v>
      </c>
      <c r="U15">
        <f t="shared" si="0"/>
        <v>236.63</v>
      </c>
      <c r="V15">
        <f t="shared" si="1"/>
        <v>0</v>
      </c>
      <c r="W15" s="12"/>
      <c r="X15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15" t="s">
        <v>305</v>
      </c>
      <c r="Z15" t="s">
        <v>43</v>
      </c>
      <c r="AB15" t="s">
        <v>65</v>
      </c>
      <c r="AC15" s="2">
        <v>44806</v>
      </c>
      <c r="AD15">
        <v>2022</v>
      </c>
      <c r="AE15">
        <v>23</v>
      </c>
      <c r="AF15" s="5">
        <v>0.47</v>
      </c>
      <c r="AG15" s="3" t="s">
        <v>62</v>
      </c>
    </row>
    <row r="16" spans="1:34" hidden="1" x14ac:dyDescent="0.35">
      <c r="A16" t="str">
        <f>_xlfn.CONCAT(Tableau1[[#This Row],[Athletes]],"_",Tableau1[[#This Row],[Nationality]],"_",Tableau1[[#This Row],[Competition_year]])</f>
        <v>Freweyni HAILU_ETH_2022</v>
      </c>
      <c r="B16" t="s">
        <v>144</v>
      </c>
      <c r="C16" t="s">
        <v>47</v>
      </c>
      <c r="D16" t="s">
        <v>48</v>
      </c>
      <c r="E16">
        <v>15</v>
      </c>
      <c r="F16">
        <v>16.3</v>
      </c>
      <c r="G16">
        <v>15.2</v>
      </c>
      <c r="H16">
        <v>15.700000000000003</v>
      </c>
      <c r="I16">
        <v>16</v>
      </c>
      <c r="J16">
        <v>15.899999999999991</v>
      </c>
      <c r="K16">
        <v>16</v>
      </c>
      <c r="L16">
        <v>16.300000000000011</v>
      </c>
      <c r="M16">
        <v>16.299999999999983</v>
      </c>
      <c r="N16">
        <v>15.900000000000006</v>
      </c>
      <c r="O16">
        <v>15.599999999999994</v>
      </c>
      <c r="P16">
        <v>15.900000000000006</v>
      </c>
      <c r="Q16">
        <v>15.300000000000011</v>
      </c>
      <c r="R16">
        <v>15.900000000000006</v>
      </c>
      <c r="S16">
        <f>Tableau1[[#This Row],[Final_time]]-SUM(Tableau1[[#This Row],[0_100m]:[1300_1400m]])</f>
        <v>15.639999999999986</v>
      </c>
      <c r="T16">
        <v>236.94</v>
      </c>
      <c r="U16">
        <f t="shared" si="0"/>
        <v>236.94</v>
      </c>
      <c r="V16">
        <f t="shared" si="1"/>
        <v>0</v>
      </c>
      <c r="W16" s="12"/>
      <c r="X16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16" t="s">
        <v>305</v>
      </c>
      <c r="Z16" t="s">
        <v>43</v>
      </c>
      <c r="AB16" t="s">
        <v>65</v>
      </c>
      <c r="AC16" s="2">
        <v>44806</v>
      </c>
      <c r="AD16">
        <v>2022</v>
      </c>
      <c r="AE16">
        <v>23</v>
      </c>
      <c r="AF16" s="5">
        <v>0.47</v>
      </c>
      <c r="AG16" s="3" t="s">
        <v>62</v>
      </c>
    </row>
    <row r="17" spans="1:34" hidden="1" x14ac:dyDescent="0.35">
      <c r="A17" t="str">
        <f>_xlfn.CONCAT(Tableau1[[#This Row],[Athletes]],"_",Tableau1[[#This Row],[Nationality]],"_",Tableau1[[#This Row],[Competition_year]])</f>
        <v>Winnie NANYONDO_UGA_2022</v>
      </c>
      <c r="B17" t="s">
        <v>241</v>
      </c>
      <c r="C17" t="s">
        <v>47</v>
      </c>
      <c r="D17" t="s">
        <v>52</v>
      </c>
      <c r="E17">
        <v>14.9</v>
      </c>
      <c r="F17">
        <v>16.399999999999999</v>
      </c>
      <c r="G17">
        <v>15.599999999999998</v>
      </c>
      <c r="H17">
        <v>16.100000000000001</v>
      </c>
      <c r="I17">
        <v>15.900000000000006</v>
      </c>
      <c r="J17">
        <v>16</v>
      </c>
      <c r="K17">
        <v>16.099999999999994</v>
      </c>
      <c r="L17">
        <v>16.299999999999997</v>
      </c>
      <c r="M17">
        <v>16.299999999999997</v>
      </c>
      <c r="N17">
        <v>16.200000000000017</v>
      </c>
      <c r="O17">
        <v>16</v>
      </c>
      <c r="P17">
        <v>16.199999999999989</v>
      </c>
      <c r="Q17">
        <v>16</v>
      </c>
      <c r="R17">
        <v>16</v>
      </c>
      <c r="S17">
        <f>Tableau1[[#This Row],[Final_time]]-SUM(Tableau1[[#This Row],[0_100m]:[1300_1400m]])</f>
        <v>15.909999999999997</v>
      </c>
      <c r="T17">
        <v>239.91</v>
      </c>
      <c r="U17">
        <f t="shared" si="0"/>
        <v>239.91</v>
      </c>
      <c r="V17">
        <f t="shared" si="1"/>
        <v>0</v>
      </c>
      <c r="W17" s="12"/>
      <c r="X17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17" t="s">
        <v>305</v>
      </c>
      <c r="Z17" t="s">
        <v>43</v>
      </c>
      <c r="AB17" t="s">
        <v>65</v>
      </c>
      <c r="AC17" s="2">
        <v>44806</v>
      </c>
      <c r="AD17">
        <v>2022</v>
      </c>
      <c r="AE17">
        <v>23</v>
      </c>
      <c r="AF17" s="5">
        <v>0.47</v>
      </c>
      <c r="AG17" s="3" t="s">
        <v>62</v>
      </c>
    </row>
    <row r="18" spans="1:34" hidden="1" x14ac:dyDescent="0.35">
      <c r="A18" t="str">
        <f>_xlfn.CONCAT(Tableau1[[#This Row],[Athletes]],"_",Tableau1[[#This Row],[Nationality]],"_",Tableau1[[#This Row],[Competition_year]])</f>
        <v>Heather MACLEAN_USA_2022</v>
      </c>
      <c r="B18" t="s">
        <v>355</v>
      </c>
      <c r="C18" t="s">
        <v>47</v>
      </c>
      <c r="D18" t="s">
        <v>51</v>
      </c>
      <c r="E18">
        <v>15.5</v>
      </c>
      <c r="F18">
        <v>16.399999999999999</v>
      </c>
      <c r="G18">
        <v>15.5</v>
      </c>
      <c r="H18">
        <v>16.300000000000004</v>
      </c>
      <c r="I18">
        <v>15.700000000000003</v>
      </c>
      <c r="J18">
        <v>15.799999999999997</v>
      </c>
      <c r="K18">
        <v>16.099999999999994</v>
      </c>
      <c r="L18">
        <v>16.400000000000006</v>
      </c>
      <c r="M18">
        <v>16.200000000000003</v>
      </c>
      <c r="N18">
        <v>15.900000000000006</v>
      </c>
      <c r="O18">
        <v>15.899999999999977</v>
      </c>
      <c r="P18">
        <v>15.5</v>
      </c>
      <c r="Q18">
        <v>15.5</v>
      </c>
      <c r="R18">
        <v>16</v>
      </c>
      <c r="S18">
        <f>Tableau1[[#This Row],[Final_time]]-SUM(Tableau1[[#This Row],[0_100m]:[1300_1400m]])</f>
        <v>16.060000000000002</v>
      </c>
      <c r="T18">
        <v>238.76</v>
      </c>
      <c r="U18">
        <f t="shared" si="0"/>
        <v>238.76</v>
      </c>
      <c r="V18">
        <f t="shared" si="1"/>
        <v>0</v>
      </c>
      <c r="W18" s="12"/>
      <c r="X18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18" t="s">
        <v>305</v>
      </c>
      <c r="Z18" t="s">
        <v>43</v>
      </c>
      <c r="AB18" t="s">
        <v>65</v>
      </c>
      <c r="AC18" s="2">
        <v>44806</v>
      </c>
      <c r="AD18">
        <v>2022</v>
      </c>
      <c r="AE18">
        <v>23</v>
      </c>
      <c r="AF18" s="5">
        <v>0.47</v>
      </c>
      <c r="AG18" s="3" t="s">
        <v>62</v>
      </c>
    </row>
    <row r="19" spans="1:34" hidden="1" x14ac:dyDescent="0.35">
      <c r="A19" t="str">
        <f>_xlfn.CONCAT(Tableau1[[#This Row],[Athletes]],"_",Tableau1[[#This Row],[Nationality]],"_",Tableau1[[#This Row],[Competition_year]])</f>
        <v>Ayal DAGNACHEW_ETH_2022</v>
      </c>
      <c r="B19" t="s">
        <v>359</v>
      </c>
      <c r="C19" t="s">
        <v>47</v>
      </c>
      <c r="D19" t="s">
        <v>48</v>
      </c>
      <c r="E19">
        <v>14.8</v>
      </c>
      <c r="F19">
        <v>16.2</v>
      </c>
      <c r="G19">
        <v>15.399999999999999</v>
      </c>
      <c r="H19">
        <v>15.600000000000001</v>
      </c>
      <c r="I19">
        <v>15.900000000000006</v>
      </c>
      <c r="J19">
        <v>16.5</v>
      </c>
      <c r="K19">
        <v>16.099999999999994</v>
      </c>
      <c r="L19">
        <v>16.400000000000006</v>
      </c>
      <c r="M19">
        <v>16.299999999999983</v>
      </c>
      <c r="N19">
        <v>16.800000000000011</v>
      </c>
      <c r="O19">
        <v>16.900000000000006</v>
      </c>
      <c r="P19">
        <v>17.099999999999994</v>
      </c>
      <c r="Q19">
        <v>16.5</v>
      </c>
      <c r="R19">
        <v>16.5</v>
      </c>
      <c r="S19">
        <f>Tableau1[[#This Row],[Final_time]]-SUM(Tableau1[[#This Row],[0_100m]:[1300_1400m]])</f>
        <v>16.129999999999995</v>
      </c>
      <c r="T19">
        <v>243.13</v>
      </c>
      <c r="U19">
        <f t="shared" si="0"/>
        <v>243.13</v>
      </c>
      <c r="V19">
        <f t="shared" si="1"/>
        <v>0</v>
      </c>
      <c r="W19" s="12"/>
      <c r="X19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19" t="s">
        <v>305</v>
      </c>
      <c r="Z19" t="s">
        <v>43</v>
      </c>
      <c r="AB19" t="s">
        <v>65</v>
      </c>
      <c r="AC19" s="2">
        <v>44806</v>
      </c>
      <c r="AD19">
        <v>2022</v>
      </c>
      <c r="AE19">
        <v>23</v>
      </c>
      <c r="AF19" s="5">
        <v>0.47</v>
      </c>
      <c r="AG19" s="3" t="s">
        <v>62</v>
      </c>
    </row>
    <row r="20" spans="1:34" hidden="1" x14ac:dyDescent="0.35">
      <c r="A20" t="str">
        <f>_xlfn.CONCAT(Tableau1[[#This Row],[Athletes]],"_",Tableau1[[#This Row],[Nationality]],"_",Tableau1[[#This Row],[Competition_year]])</f>
        <v>Elise CRANNY_USA_2022</v>
      </c>
      <c r="B20" t="s">
        <v>358</v>
      </c>
      <c r="C20" t="s">
        <v>47</v>
      </c>
      <c r="D20" t="s">
        <v>51</v>
      </c>
      <c r="E20">
        <v>15</v>
      </c>
      <c r="F20">
        <v>16.5</v>
      </c>
      <c r="G20">
        <v>15.600000000000001</v>
      </c>
      <c r="H20">
        <v>16.100000000000001</v>
      </c>
      <c r="I20">
        <v>15.599999999999994</v>
      </c>
      <c r="J20">
        <v>15.5</v>
      </c>
      <c r="K20">
        <v>16</v>
      </c>
      <c r="L20">
        <v>16.299999999999997</v>
      </c>
      <c r="M20">
        <v>16.300000000000011</v>
      </c>
      <c r="N20">
        <v>15.900000000000006</v>
      </c>
      <c r="O20">
        <v>16</v>
      </c>
      <c r="P20">
        <v>15.899999999999977</v>
      </c>
      <c r="Q20">
        <v>16.100000000000023</v>
      </c>
      <c r="R20">
        <v>16.599999999999994</v>
      </c>
      <c r="S20">
        <f>Tableau1[[#This Row],[Final_time]]-SUM(Tableau1[[#This Row],[0_100m]:[1300_1400m]])</f>
        <v>16.210000000000008</v>
      </c>
      <c r="T20">
        <v>239.61</v>
      </c>
      <c r="U20">
        <f t="shared" si="0"/>
        <v>239.61</v>
      </c>
      <c r="V20">
        <f t="shared" si="1"/>
        <v>0</v>
      </c>
      <c r="W20" s="12"/>
      <c r="X20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0" t="s">
        <v>305</v>
      </c>
      <c r="Z20" t="s">
        <v>43</v>
      </c>
      <c r="AB20" t="s">
        <v>65</v>
      </c>
      <c r="AC20" s="2">
        <v>44806</v>
      </c>
      <c r="AD20">
        <v>2022</v>
      </c>
      <c r="AE20">
        <v>23</v>
      </c>
      <c r="AF20" s="5">
        <v>0.47</v>
      </c>
      <c r="AG20" s="3" t="s">
        <v>62</v>
      </c>
    </row>
    <row r="21" spans="1:34" hidden="1" x14ac:dyDescent="0.35">
      <c r="A21" t="str">
        <f>_xlfn.CONCAT(Tableau1[[#This Row],[Athletes]],"_",Tableau1[[#This Row],[Nationality]],"_",Tableau1[[#This Row],[Competition_year]])</f>
        <v>Georgia GRIFFITH_AUS_2022</v>
      </c>
      <c r="B21" t="s">
        <v>248</v>
      </c>
      <c r="C21" t="s">
        <v>47</v>
      </c>
      <c r="D21" t="s">
        <v>21</v>
      </c>
      <c r="E21">
        <v>15.3</v>
      </c>
      <c r="F21">
        <v>16.8</v>
      </c>
      <c r="G21">
        <v>15.600000000000001</v>
      </c>
      <c r="H21">
        <v>16.299999999999997</v>
      </c>
      <c r="I21">
        <v>15.700000000000003</v>
      </c>
      <c r="J21">
        <v>15.700000000000003</v>
      </c>
      <c r="K21">
        <v>16.099999999999994</v>
      </c>
      <c r="L21">
        <v>16.400000000000006</v>
      </c>
      <c r="M21">
        <v>16.400000000000006</v>
      </c>
      <c r="N21">
        <v>16.5</v>
      </c>
      <c r="O21">
        <v>16.699999999999989</v>
      </c>
      <c r="P21">
        <v>16.5</v>
      </c>
      <c r="Q21">
        <v>16.300000000000011</v>
      </c>
      <c r="R21">
        <v>16.199999999999989</v>
      </c>
      <c r="S21">
        <f>Tableau1[[#This Row],[Final_time]]-SUM(Tableau1[[#This Row],[0_100m]:[1300_1400m]])</f>
        <v>16.460000000000008</v>
      </c>
      <c r="T21">
        <v>242.96</v>
      </c>
      <c r="U21">
        <f t="shared" si="0"/>
        <v>242.96</v>
      </c>
      <c r="V21">
        <f t="shared" si="1"/>
        <v>0</v>
      </c>
      <c r="W21" s="12"/>
      <c r="X21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1" t="s">
        <v>305</v>
      </c>
      <c r="Z21" t="s">
        <v>43</v>
      </c>
      <c r="AB21" t="s">
        <v>65</v>
      </c>
      <c r="AC21" s="2">
        <v>44806</v>
      </c>
      <c r="AD21">
        <v>2022</v>
      </c>
      <c r="AE21">
        <v>23</v>
      </c>
      <c r="AF21" s="5">
        <v>0.47</v>
      </c>
      <c r="AG21" s="3" t="s">
        <v>62</v>
      </c>
    </row>
    <row r="22" spans="1:34" hidden="1" x14ac:dyDescent="0.35">
      <c r="A22" t="str">
        <f>_xlfn.CONCAT(Tableau1[[#This Row],[Athletes]],"_",Tableau1[[#This Row],[Nationality]],"_",Tableau1[[#This Row],[Competition_year]])</f>
        <v>Elise VANDERELST_BEL_2022</v>
      </c>
      <c r="B22" t="s">
        <v>177</v>
      </c>
      <c r="C22" t="s">
        <v>47</v>
      </c>
      <c r="D22" t="s">
        <v>86</v>
      </c>
      <c r="E22">
        <v>15.4</v>
      </c>
      <c r="F22">
        <v>16.399999999999999</v>
      </c>
      <c r="G22">
        <v>15.7</v>
      </c>
      <c r="H22">
        <v>16</v>
      </c>
      <c r="I22">
        <v>15.900000000000006</v>
      </c>
      <c r="J22">
        <v>16.099999999999994</v>
      </c>
      <c r="K22">
        <v>16.200000000000003</v>
      </c>
      <c r="L22">
        <v>16.499999999999986</v>
      </c>
      <c r="M22">
        <v>16.5</v>
      </c>
      <c r="N22">
        <v>16.900000000000006</v>
      </c>
      <c r="O22">
        <v>16.700000000000017</v>
      </c>
      <c r="P22">
        <v>16.699999999999989</v>
      </c>
      <c r="Q22">
        <v>16.599999999999994</v>
      </c>
      <c r="R22">
        <v>16.300000000000011</v>
      </c>
      <c r="S22">
        <f>Tableau1[[#This Row],[Final_time]]-SUM(Tableau1[[#This Row],[0_100m]:[1300_1400m]])</f>
        <v>16.53</v>
      </c>
      <c r="T22">
        <v>244.43</v>
      </c>
      <c r="U22">
        <f t="shared" si="0"/>
        <v>244.43</v>
      </c>
      <c r="V22">
        <f t="shared" si="1"/>
        <v>0</v>
      </c>
      <c r="W22" s="12"/>
      <c r="X22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2" t="s">
        <v>305</v>
      </c>
      <c r="Z22" t="s">
        <v>43</v>
      </c>
      <c r="AB22" t="s">
        <v>65</v>
      </c>
      <c r="AC22" s="2">
        <v>44806</v>
      </c>
      <c r="AD22">
        <v>2022</v>
      </c>
      <c r="AE22">
        <v>23</v>
      </c>
      <c r="AF22" s="5">
        <v>0.47</v>
      </c>
      <c r="AG22" s="3" t="s">
        <v>62</v>
      </c>
    </row>
    <row r="23" spans="1:34" hidden="1" x14ac:dyDescent="0.35">
      <c r="A23" t="str">
        <f>_xlfn.CONCAT(Tableau1[[#This Row],[Athletes]],"_",Tableau1[[#This Row],[Nationality]],"_",Tableau1[[#This Row],[Competition_year]])</f>
        <v>Diribe WELTEJI_ETH_2022</v>
      </c>
      <c r="B23" t="s">
        <v>165</v>
      </c>
      <c r="C23" t="s">
        <v>47</v>
      </c>
      <c r="D23" t="s">
        <v>48</v>
      </c>
      <c r="E23">
        <v>14.7</v>
      </c>
      <c r="F23">
        <v>16.100000000000001</v>
      </c>
      <c r="G23">
        <v>15.400000000000002</v>
      </c>
      <c r="H23">
        <v>15.5</v>
      </c>
      <c r="I23">
        <v>15.700000000000003</v>
      </c>
      <c r="J23">
        <v>15.799999999999997</v>
      </c>
      <c r="K23">
        <v>15.799999999999997</v>
      </c>
      <c r="L23">
        <v>16</v>
      </c>
      <c r="M23">
        <v>16</v>
      </c>
      <c r="N23">
        <v>15.800000000000011</v>
      </c>
      <c r="O23">
        <v>15.899999999999977</v>
      </c>
      <c r="P23">
        <v>16.200000000000017</v>
      </c>
      <c r="Q23">
        <v>16.400000000000006</v>
      </c>
      <c r="R23">
        <v>15.799999999999983</v>
      </c>
      <c r="S23">
        <f>Tableau1[[#This Row],[Final_time]]-SUM(Tableau1[[#This Row],[0_100m]:[1300_1400m]])</f>
        <v>16.72</v>
      </c>
      <c r="T23">
        <v>237.82</v>
      </c>
      <c r="U23">
        <f t="shared" si="0"/>
        <v>237.82</v>
      </c>
      <c r="V23">
        <f t="shared" si="1"/>
        <v>0</v>
      </c>
      <c r="W23" s="12"/>
      <c r="X23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3" t="s">
        <v>305</v>
      </c>
      <c r="Z23" t="s">
        <v>43</v>
      </c>
      <c r="AB23" t="s">
        <v>65</v>
      </c>
      <c r="AC23" s="2">
        <v>44806</v>
      </c>
      <c r="AD23">
        <v>2022</v>
      </c>
      <c r="AE23">
        <v>23</v>
      </c>
      <c r="AF23" s="5">
        <v>0.47</v>
      </c>
      <c r="AG23" s="3" t="s">
        <v>62</v>
      </c>
    </row>
    <row r="24" spans="1:34" hidden="1" x14ac:dyDescent="0.35">
      <c r="A24" t="str">
        <f>_xlfn.CONCAT(Tableau1[[#This Row],[Athletes]],"_",Tableau1[[#This Row],[Nationality]],"_",Tableau1[[#This Row],[Competition_year]])</f>
        <v>Jessica HULL_AUS_2022</v>
      </c>
      <c r="B24" t="s">
        <v>187</v>
      </c>
      <c r="C24" t="s">
        <v>47</v>
      </c>
      <c r="D24" t="s">
        <v>21</v>
      </c>
      <c r="E24">
        <v>15.1</v>
      </c>
      <c r="F24">
        <v>16.299999999999997</v>
      </c>
      <c r="G24">
        <v>15.399999999999999</v>
      </c>
      <c r="H24">
        <v>16</v>
      </c>
      <c r="I24">
        <v>15.900000000000006</v>
      </c>
      <c r="J24">
        <v>16.299999999999997</v>
      </c>
      <c r="K24">
        <v>16.099999999999994</v>
      </c>
      <c r="L24">
        <v>16.5</v>
      </c>
      <c r="M24">
        <v>16.800000000000011</v>
      </c>
      <c r="N24">
        <v>17.099999999999994</v>
      </c>
      <c r="O24">
        <v>17.199999999999989</v>
      </c>
      <c r="P24">
        <v>17.300000000000011</v>
      </c>
      <c r="Q24">
        <v>17</v>
      </c>
      <c r="R24">
        <v>17.300000000000011</v>
      </c>
      <c r="S24">
        <f>Tableau1[[#This Row],[Final_time]]-SUM(Tableau1[[#This Row],[0_100m]:[1300_1400m]])</f>
        <v>16.899999999999977</v>
      </c>
      <c r="T24">
        <v>247.2</v>
      </c>
      <c r="U24">
        <f t="shared" si="0"/>
        <v>247.2</v>
      </c>
      <c r="V24">
        <f t="shared" si="1"/>
        <v>0</v>
      </c>
      <c r="W24" s="12"/>
      <c r="X24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4" t="s">
        <v>305</v>
      </c>
      <c r="Z24" t="s">
        <v>43</v>
      </c>
      <c r="AB24" t="s">
        <v>65</v>
      </c>
      <c r="AC24" s="2">
        <v>44806</v>
      </c>
      <c r="AD24">
        <v>2022</v>
      </c>
      <c r="AE24">
        <v>23</v>
      </c>
      <c r="AF24" s="5">
        <v>0.47</v>
      </c>
      <c r="AG24" s="3" t="s">
        <v>62</v>
      </c>
    </row>
    <row r="25" spans="1:34" hidden="1" x14ac:dyDescent="0.35">
      <c r="A25" t="str">
        <f>_xlfn.CONCAT(Tableau1[[#This Row],[Athletes]],"_",Tableau1[[#This Row],[Nationality]],"_",Tableau1[[#This Row],[Competition_year]])</f>
        <v>Marta PÉREZ_ESP_2022</v>
      </c>
      <c r="B25" t="s">
        <v>183</v>
      </c>
      <c r="C25" t="s">
        <v>47</v>
      </c>
      <c r="D25" t="s">
        <v>22</v>
      </c>
      <c r="E25">
        <v>15.9</v>
      </c>
      <c r="F25">
        <v>16.600000000000001</v>
      </c>
      <c r="G25">
        <v>15.799999999999997</v>
      </c>
      <c r="H25">
        <v>16.200000000000003</v>
      </c>
      <c r="I25">
        <v>16.299999999999997</v>
      </c>
      <c r="J25">
        <v>16.200000000000003</v>
      </c>
      <c r="K25">
        <v>16.299999999999997</v>
      </c>
      <c r="L25">
        <v>16.399999999999991</v>
      </c>
      <c r="M25">
        <v>16.700000000000017</v>
      </c>
      <c r="N25">
        <v>17.099999999999994</v>
      </c>
      <c r="O25">
        <v>17.199999999999989</v>
      </c>
      <c r="P25">
        <v>17.200000000000017</v>
      </c>
      <c r="Q25">
        <v>17.099999999999994</v>
      </c>
      <c r="R25">
        <v>17.099999999999994</v>
      </c>
      <c r="S25">
        <f>Tableau1[[#This Row],[Final_time]]-SUM(Tableau1[[#This Row],[0_100m]:[1300_1400m]])</f>
        <v>17.120000000000005</v>
      </c>
      <c r="T25">
        <v>249.22</v>
      </c>
      <c r="U25">
        <f t="shared" si="0"/>
        <v>249.22</v>
      </c>
      <c r="V25">
        <f t="shared" si="1"/>
        <v>0</v>
      </c>
      <c r="W25" s="12"/>
      <c r="X25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5" t="s">
        <v>305</v>
      </c>
      <c r="Z25" t="s">
        <v>43</v>
      </c>
      <c r="AB25" t="s">
        <v>65</v>
      </c>
      <c r="AC25" s="2">
        <v>44806</v>
      </c>
      <c r="AD25">
        <v>2022</v>
      </c>
      <c r="AE25">
        <v>23</v>
      </c>
      <c r="AF25" s="5">
        <v>0.47</v>
      </c>
      <c r="AG25" s="3" t="s">
        <v>62</v>
      </c>
    </row>
    <row r="26" spans="1:34" hidden="1" x14ac:dyDescent="0.35">
      <c r="A26" t="str">
        <f>_xlfn.CONCAT(Tableau1[[#This Row],[Athletes]],"_",Tableau1[[#This Row],[Nationality]],"_",Tableau1[[#This Row],[Competition_year]])</f>
        <v>Axumawit EMBAYE_ETH_2022</v>
      </c>
      <c r="B26" t="s">
        <v>269</v>
      </c>
      <c r="C26" t="s">
        <v>47</v>
      </c>
      <c r="D26" t="s">
        <v>48</v>
      </c>
      <c r="E26">
        <v>15.3</v>
      </c>
      <c r="F26">
        <v>16.5</v>
      </c>
      <c r="G26">
        <v>15.400000000000002</v>
      </c>
      <c r="H26">
        <v>16.599999999999994</v>
      </c>
      <c r="I26">
        <v>16.700000000000003</v>
      </c>
      <c r="J26">
        <v>16.799999999999997</v>
      </c>
      <c r="K26">
        <v>16.799999999999997</v>
      </c>
      <c r="L26">
        <v>16.800000000000011</v>
      </c>
      <c r="M26">
        <v>17.199999999999989</v>
      </c>
      <c r="N26">
        <v>17.400000000000006</v>
      </c>
      <c r="O26">
        <v>17.199999999999989</v>
      </c>
      <c r="P26">
        <v>17.400000000000006</v>
      </c>
      <c r="Q26">
        <v>18.300000000000011</v>
      </c>
      <c r="R26">
        <v>18.299999999999983</v>
      </c>
      <c r="S26">
        <f>Tableau1[[#This Row],[Final_time]]-SUM(Tableau1[[#This Row],[0_100m]:[1300_1400m]])</f>
        <v>17.990000000000009</v>
      </c>
      <c r="T26">
        <v>254.69</v>
      </c>
      <c r="U26">
        <f t="shared" si="0"/>
        <v>254.69</v>
      </c>
      <c r="V26">
        <f t="shared" si="1"/>
        <v>0</v>
      </c>
      <c r="W26" s="12"/>
      <c r="X26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6" t="s">
        <v>305</v>
      </c>
      <c r="Z26" t="s">
        <v>43</v>
      </c>
      <c r="AB26" t="s">
        <v>65</v>
      </c>
      <c r="AC26" s="2">
        <v>44806</v>
      </c>
      <c r="AD26">
        <v>2022</v>
      </c>
      <c r="AE26">
        <v>23</v>
      </c>
      <c r="AF26" s="5">
        <v>0.47</v>
      </c>
      <c r="AG26" s="3" t="s">
        <v>62</v>
      </c>
    </row>
    <row r="27" spans="1:34" hidden="1" x14ac:dyDescent="0.35">
      <c r="A27" t="str">
        <f>_xlfn.CONCAT(Tableau1[[#This Row],[Athletes]],"_",Tableau1[[#This Row],[Nationality]],"_",Tableau1[[#This Row],[Competition_year]])</f>
        <v>Cory Ann MCGEE_USA_2022</v>
      </c>
      <c r="B27" t="s">
        <v>181</v>
      </c>
      <c r="C27" t="s">
        <v>47</v>
      </c>
      <c r="D27" t="s">
        <v>51</v>
      </c>
      <c r="E27">
        <v>15.8</v>
      </c>
      <c r="F27">
        <v>16.3</v>
      </c>
      <c r="G27">
        <v>15.699999999999996</v>
      </c>
      <c r="H27">
        <v>16.200000000000003</v>
      </c>
      <c r="I27">
        <v>16.099999999999994</v>
      </c>
      <c r="J27">
        <v>15.900000000000006</v>
      </c>
      <c r="K27">
        <v>15.799999999999997</v>
      </c>
      <c r="L27">
        <v>16.200000000000003</v>
      </c>
      <c r="M27">
        <v>16.099999999999994</v>
      </c>
      <c r="N27">
        <v>16.300000000000011</v>
      </c>
      <c r="O27">
        <v>16.199999999999989</v>
      </c>
      <c r="P27">
        <v>16.5</v>
      </c>
      <c r="Q27">
        <v>16.400000000000006</v>
      </c>
      <c r="R27">
        <v>16.800000000000011</v>
      </c>
      <c r="S27">
        <f>Tableau1[[#This Row],[Final_time]]-SUM(Tableau1[[#This Row],[0_100m]:[1300_1400m]])</f>
        <v>18.03</v>
      </c>
      <c r="T27">
        <v>244.33</v>
      </c>
      <c r="U27">
        <f t="shared" si="0"/>
        <v>244.33</v>
      </c>
      <c r="V27">
        <f t="shared" si="1"/>
        <v>0</v>
      </c>
      <c r="W27" s="12"/>
      <c r="X27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7" t="s">
        <v>305</v>
      </c>
      <c r="Z27" t="s">
        <v>43</v>
      </c>
      <c r="AB27" t="s">
        <v>65</v>
      </c>
      <c r="AC27" s="2">
        <v>44806</v>
      </c>
      <c r="AD27">
        <v>2022</v>
      </c>
      <c r="AE27">
        <v>23</v>
      </c>
      <c r="AF27" s="5">
        <v>0.47</v>
      </c>
      <c r="AG27" s="3" t="s">
        <v>62</v>
      </c>
    </row>
    <row r="28" spans="1:34" hidden="1" x14ac:dyDescent="0.35">
      <c r="A28" t="str">
        <f>_xlfn.CONCAT(Tableau1[[#This Row],[Athletes]],"_",Tableau1[[#This Row],[Nationality]],"_",Tableau1[[#This Row],[Competition_year]])</f>
        <v>Sinclaire JOHNSON_USA_2022</v>
      </c>
      <c r="B28" t="s">
        <v>185</v>
      </c>
      <c r="C28" t="s">
        <v>47</v>
      </c>
      <c r="D28" t="s">
        <v>51</v>
      </c>
      <c r="E28">
        <v>15.2</v>
      </c>
      <c r="F28">
        <v>16.400000000000002</v>
      </c>
      <c r="G28">
        <v>15.699999999999996</v>
      </c>
      <c r="H28">
        <v>16</v>
      </c>
      <c r="I28">
        <v>15.799999999999997</v>
      </c>
      <c r="J28">
        <v>16.100000000000009</v>
      </c>
      <c r="K28">
        <v>16</v>
      </c>
      <c r="L28">
        <v>16.299999999999997</v>
      </c>
      <c r="M28">
        <v>16.400000000000006</v>
      </c>
      <c r="N28">
        <v>16.799999999999983</v>
      </c>
      <c r="O28">
        <v>17.100000000000023</v>
      </c>
      <c r="P28">
        <v>17.899999999999977</v>
      </c>
      <c r="Q28">
        <v>18</v>
      </c>
      <c r="R28">
        <v>18.5</v>
      </c>
      <c r="S28">
        <f>Tableau1[[#This Row],[Final_time]]-SUM(Tableau1[[#This Row],[0_100m]:[1300_1400m]])</f>
        <v>18.090000000000003</v>
      </c>
      <c r="T28">
        <v>250.29</v>
      </c>
      <c r="U28">
        <f t="shared" si="0"/>
        <v>250.29</v>
      </c>
      <c r="V28">
        <f t="shared" si="1"/>
        <v>0</v>
      </c>
      <c r="W28" s="12"/>
      <c r="X28" t="str">
        <f>_xlfn.CONCAT(Tableau1[[#This Row],[Competition]],"_",Tableau1[[#This Row],[Championship_step]],"_",Tableau1[[#This Row],[Competition_date]],"_",Tableau1[[#This Row],[Gender]])</f>
        <v>Diamond League Brussels 2022__44806_Female</v>
      </c>
      <c r="Y28" t="s">
        <v>305</v>
      </c>
      <c r="Z28" t="s">
        <v>43</v>
      </c>
      <c r="AB28" t="s">
        <v>65</v>
      </c>
      <c r="AC28" s="2">
        <v>44806</v>
      </c>
      <c r="AD28">
        <v>2022</v>
      </c>
      <c r="AE28">
        <v>23</v>
      </c>
      <c r="AF28" s="5">
        <v>0.47</v>
      </c>
      <c r="AG28" s="3" t="s">
        <v>62</v>
      </c>
    </row>
    <row r="29" spans="1:34" hidden="1" x14ac:dyDescent="0.35">
      <c r="A29" t="str">
        <f>_xlfn.CONCAT(Tableau1[[#This Row],[Athletes]],"_",Tableau1[[#This Row],[Nationality]],"_",Tableau1[[#This Row],[Competition_year]])</f>
        <v>Cole HOCKER_USA_2024</v>
      </c>
      <c r="B29" t="s">
        <v>215</v>
      </c>
      <c r="C29" t="s">
        <v>16</v>
      </c>
      <c r="D29" t="s">
        <v>51</v>
      </c>
      <c r="E29">
        <v>14.4</v>
      </c>
      <c r="F29">
        <v>13.9</v>
      </c>
      <c r="G29">
        <v>14.2</v>
      </c>
      <c r="H29">
        <v>14.4</v>
      </c>
      <c r="I29">
        <v>14.2</v>
      </c>
      <c r="J29">
        <v>14.1</v>
      </c>
      <c r="K29">
        <v>14.2</v>
      </c>
      <c r="L29">
        <v>14.3</v>
      </c>
      <c r="M29">
        <v>14.1</v>
      </c>
      <c r="N29">
        <v>14.6</v>
      </c>
      <c r="O29">
        <v>14.3</v>
      </c>
      <c r="P29">
        <v>13.9</v>
      </c>
      <c r="Q29">
        <v>13.8</v>
      </c>
      <c r="R29">
        <v>13.6</v>
      </c>
      <c r="S29">
        <f>Tableau1[[#This Row],[Final_time]]-SUM(Tableau1[[#This Row],[0_100m]:[1300_1400m]])</f>
        <v>12.939999999999998</v>
      </c>
      <c r="T29">
        <v>210.94</v>
      </c>
      <c r="U29">
        <f t="shared" si="0"/>
        <v>210.94</v>
      </c>
      <c r="V29">
        <f t="shared" si="1"/>
        <v>0</v>
      </c>
      <c r="W29" s="12"/>
      <c r="X29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29" t="s">
        <v>90</v>
      </c>
      <c r="Z29" s="2" t="s">
        <v>43</v>
      </c>
      <c r="AA29" s="2"/>
      <c r="AB29" s="2" t="s">
        <v>65</v>
      </c>
      <c r="AC29" s="2">
        <v>45548</v>
      </c>
      <c r="AD29" s="3">
        <v>2024</v>
      </c>
      <c r="AE29" s="3">
        <v>13</v>
      </c>
      <c r="AF29" s="5">
        <v>0.81</v>
      </c>
      <c r="AG29" s="3" t="s">
        <v>62</v>
      </c>
      <c r="AH29" t="s">
        <v>91</v>
      </c>
    </row>
    <row r="30" spans="1:34" hidden="1" x14ac:dyDescent="0.35">
      <c r="A30" t="str">
        <f>_xlfn.CONCAT(Tableau1[[#This Row],[Athletes]],"_",Tableau1[[#This Row],[Nationality]],"_",Tableau1[[#This Row],[Competition_year]])</f>
        <v>Jakob INGEBRIGTSEN_NOR_2024</v>
      </c>
      <c r="B30" t="s">
        <v>151</v>
      </c>
      <c r="C30" t="s">
        <v>16</v>
      </c>
      <c r="D30" t="s">
        <v>30</v>
      </c>
      <c r="E30">
        <v>14.5</v>
      </c>
      <c r="F30">
        <v>13.7</v>
      </c>
      <c r="G30">
        <v>14.2</v>
      </c>
      <c r="H30">
        <v>14.3</v>
      </c>
      <c r="I30">
        <v>14.2</v>
      </c>
      <c r="J30">
        <v>14.1</v>
      </c>
      <c r="K30">
        <v>14.2</v>
      </c>
      <c r="L30">
        <v>14.3</v>
      </c>
      <c r="M30">
        <v>14.1</v>
      </c>
      <c r="N30">
        <v>14.4</v>
      </c>
      <c r="O30">
        <v>14.1</v>
      </c>
      <c r="P30">
        <v>14.1</v>
      </c>
      <c r="Q30">
        <v>13.7</v>
      </c>
      <c r="R30">
        <v>13.5</v>
      </c>
      <c r="S30">
        <f>Tableau1[[#This Row],[Final_time]]-SUM(Tableau1[[#This Row],[0_100m]:[1300_1400m]])</f>
        <v>12.970000000000027</v>
      </c>
      <c r="T30">
        <v>210.37</v>
      </c>
      <c r="U30">
        <f t="shared" si="0"/>
        <v>210.37</v>
      </c>
      <c r="V30">
        <f t="shared" si="1"/>
        <v>0</v>
      </c>
      <c r="W30" s="12"/>
      <c r="X30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0" t="s">
        <v>90</v>
      </c>
      <c r="Z30" s="2" t="s">
        <v>43</v>
      </c>
      <c r="AA30" s="2"/>
      <c r="AB30" s="2" t="s">
        <v>65</v>
      </c>
      <c r="AC30" s="2">
        <v>45548</v>
      </c>
      <c r="AD30" s="3">
        <v>2024</v>
      </c>
      <c r="AE30" s="3">
        <v>13</v>
      </c>
      <c r="AF30" s="5">
        <v>0.81</v>
      </c>
      <c r="AG30" s="3" t="s">
        <v>62</v>
      </c>
      <c r="AH30" t="s">
        <v>91</v>
      </c>
    </row>
    <row r="31" spans="1:34" hidden="1" x14ac:dyDescent="0.35">
      <c r="A31" t="str">
        <f>_xlfn.CONCAT(Tableau1[[#This Row],[Athletes]],"_",Tableau1[[#This Row],[Nationality]],"_",Tableau1[[#This Row],[Competition_year]])</f>
        <v>Timothy CHERUIYOT_KEN_2024</v>
      </c>
      <c r="B31" t="s">
        <v>205</v>
      </c>
      <c r="C31" t="s">
        <v>16</v>
      </c>
      <c r="D31" t="s">
        <v>17</v>
      </c>
      <c r="E31">
        <v>14.3</v>
      </c>
      <c r="F31">
        <v>13.9</v>
      </c>
      <c r="G31">
        <v>14.4</v>
      </c>
      <c r="H31">
        <v>14.5</v>
      </c>
      <c r="I31">
        <v>14.2</v>
      </c>
      <c r="J31">
        <v>14.1</v>
      </c>
      <c r="K31">
        <v>14.2</v>
      </c>
      <c r="L31">
        <v>14.3</v>
      </c>
      <c r="M31">
        <v>14.1</v>
      </c>
      <c r="N31">
        <v>14.4</v>
      </c>
      <c r="O31">
        <v>14.1</v>
      </c>
      <c r="P31">
        <v>14</v>
      </c>
      <c r="Q31">
        <v>13.5</v>
      </c>
      <c r="R31">
        <v>13.7</v>
      </c>
      <c r="S31">
        <f>Tableau1[[#This Row],[Final_time]]-SUM(Tableau1[[#This Row],[0_100m]:[1300_1400m]])</f>
        <v>13.230000000000047</v>
      </c>
      <c r="T31">
        <v>210.93</v>
      </c>
      <c r="U31">
        <f t="shared" si="0"/>
        <v>210.93</v>
      </c>
      <c r="V31">
        <f t="shared" si="1"/>
        <v>0</v>
      </c>
      <c r="W31" s="12"/>
      <c r="X31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1" t="s">
        <v>90</v>
      </c>
      <c r="Z31" s="2" t="s">
        <v>43</v>
      </c>
      <c r="AA31" s="2"/>
      <c r="AB31" s="2" t="s">
        <v>65</v>
      </c>
      <c r="AC31" s="2">
        <v>45548</v>
      </c>
      <c r="AD31" s="3">
        <v>2024</v>
      </c>
      <c r="AE31" s="3">
        <v>13</v>
      </c>
      <c r="AF31" s="5">
        <v>0.81</v>
      </c>
      <c r="AG31" s="3" t="s">
        <v>62</v>
      </c>
      <c r="AH31" t="s">
        <v>91</v>
      </c>
    </row>
    <row r="32" spans="1:34" hidden="1" x14ac:dyDescent="0.35">
      <c r="A32" t="str">
        <f>_xlfn.CONCAT(Tableau1[[#This Row],[Athletes]],"_",Tableau1[[#This Row],[Nationality]],"_",Tableau1[[#This Row],[Competition_year]])</f>
        <v>Reynold CHERUIYOT_KEN_2024</v>
      </c>
      <c r="B32" t="s">
        <v>1192</v>
      </c>
      <c r="C32" t="s">
        <v>16</v>
      </c>
      <c r="D32" t="s">
        <v>17</v>
      </c>
      <c r="E32">
        <v>14.5</v>
      </c>
      <c r="F32">
        <v>14.1</v>
      </c>
      <c r="G32">
        <v>14.4</v>
      </c>
      <c r="H32">
        <v>14.7</v>
      </c>
      <c r="I32">
        <v>14.3</v>
      </c>
      <c r="J32">
        <v>14.3</v>
      </c>
      <c r="K32">
        <v>14.1</v>
      </c>
      <c r="L32">
        <v>14.3</v>
      </c>
      <c r="M32">
        <v>14.3</v>
      </c>
      <c r="N32">
        <v>14.4</v>
      </c>
      <c r="O32">
        <v>13.9</v>
      </c>
      <c r="P32">
        <v>14.2</v>
      </c>
      <c r="Q32">
        <v>13.8</v>
      </c>
      <c r="R32">
        <v>13.9</v>
      </c>
      <c r="S32">
        <f>Tableau1[[#This Row],[Final_time]]-SUM(Tableau1[[#This Row],[0_100m]:[1300_1400m]])</f>
        <v>13.299999999999983</v>
      </c>
      <c r="T32">
        <v>212.5</v>
      </c>
      <c r="U32">
        <f t="shared" si="0"/>
        <v>212.5</v>
      </c>
      <c r="V32">
        <f t="shared" si="1"/>
        <v>0</v>
      </c>
      <c r="W32" s="12"/>
      <c r="X32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2" t="s">
        <v>90</v>
      </c>
      <c r="Z32" s="2" t="s">
        <v>43</v>
      </c>
      <c r="AA32" s="2"/>
      <c r="AB32" s="2" t="s">
        <v>65</v>
      </c>
      <c r="AC32" s="2">
        <v>45548</v>
      </c>
      <c r="AD32" s="3">
        <v>2024</v>
      </c>
      <c r="AE32" s="3">
        <v>13</v>
      </c>
      <c r="AF32" s="5">
        <v>0.81</v>
      </c>
      <c r="AG32" s="3" t="s">
        <v>62</v>
      </c>
      <c r="AH32" t="s">
        <v>91</v>
      </c>
    </row>
    <row r="33" spans="1:34" hidden="1" x14ac:dyDescent="0.35">
      <c r="A33" t="str">
        <f>_xlfn.CONCAT(Tableau1[[#This Row],[Athletes]],"_",Tableau1[[#This Row],[Nationality]],"_",Tableau1[[#This Row],[Competition_year]])</f>
        <v>Azeddine HABZ_FRA_2024</v>
      </c>
      <c r="B33" t="s">
        <v>218</v>
      </c>
      <c r="C33" t="s">
        <v>16</v>
      </c>
      <c r="D33" t="s">
        <v>18</v>
      </c>
      <c r="E33">
        <v>14.6</v>
      </c>
      <c r="F33">
        <v>14.2</v>
      </c>
      <c r="G33">
        <v>14.1</v>
      </c>
      <c r="H33">
        <v>14.6</v>
      </c>
      <c r="I33">
        <v>14.3</v>
      </c>
      <c r="J33">
        <v>14.2</v>
      </c>
      <c r="K33">
        <v>14.1</v>
      </c>
      <c r="L33">
        <v>14.3</v>
      </c>
      <c r="M33">
        <v>14.1</v>
      </c>
      <c r="N33">
        <v>14.1</v>
      </c>
      <c r="O33">
        <v>14.2</v>
      </c>
      <c r="P33">
        <v>14.2</v>
      </c>
      <c r="Q33">
        <v>13.8</v>
      </c>
      <c r="R33">
        <v>13.8</v>
      </c>
      <c r="S33">
        <f>Tableau1[[#This Row],[Final_time]]-SUM(Tableau1[[#This Row],[0_100m]:[1300_1400m]])</f>
        <v>13.370000000000005</v>
      </c>
      <c r="T33">
        <v>211.97</v>
      </c>
      <c r="U33">
        <f t="shared" si="0"/>
        <v>211.97</v>
      </c>
      <c r="V33">
        <f t="shared" si="1"/>
        <v>0</v>
      </c>
      <c r="W33" s="12"/>
      <c r="X33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3" t="s">
        <v>90</v>
      </c>
      <c r="Z33" s="2" t="s">
        <v>43</v>
      </c>
      <c r="AA33" s="2"/>
      <c r="AB33" s="2" t="s">
        <v>65</v>
      </c>
      <c r="AC33" s="2">
        <v>45548</v>
      </c>
      <c r="AD33" s="3">
        <v>2024</v>
      </c>
      <c r="AE33" s="3">
        <v>13</v>
      </c>
      <c r="AF33" s="5">
        <v>0.81</v>
      </c>
      <c r="AG33" s="3" t="s">
        <v>62</v>
      </c>
      <c r="AH33" t="s">
        <v>91</v>
      </c>
    </row>
    <row r="34" spans="1:34" hidden="1" x14ac:dyDescent="0.35">
      <c r="A34" t="str">
        <f>_xlfn.CONCAT(Tableau1[[#This Row],[Athletes]],"_",Tableau1[[#This Row],[Nationality]],"_",Tableau1[[#This Row],[Competition_year]])</f>
        <v>Yared NUGUSE_USA_2024</v>
      </c>
      <c r="B34" t="s">
        <v>228</v>
      </c>
      <c r="C34" t="s">
        <v>16</v>
      </c>
      <c r="D34" t="s">
        <v>51</v>
      </c>
      <c r="E34">
        <v>14.2</v>
      </c>
      <c r="F34">
        <v>13.8</v>
      </c>
      <c r="G34">
        <v>14.2</v>
      </c>
      <c r="H34">
        <v>14.3</v>
      </c>
      <c r="I34">
        <v>14.2</v>
      </c>
      <c r="J34">
        <v>14.1</v>
      </c>
      <c r="K34">
        <v>14.2</v>
      </c>
      <c r="L34">
        <v>14.2</v>
      </c>
      <c r="M34">
        <v>14.2</v>
      </c>
      <c r="N34">
        <v>14.6</v>
      </c>
      <c r="O34">
        <v>14.4</v>
      </c>
      <c r="P34">
        <v>14.4</v>
      </c>
      <c r="Q34">
        <v>13.9</v>
      </c>
      <c r="R34">
        <v>14</v>
      </c>
      <c r="S34">
        <f>Tableau1[[#This Row],[Final_time]]-SUM(Tableau1[[#This Row],[0_100m]:[1300_1400m]])</f>
        <v>13.599999999999994</v>
      </c>
      <c r="T34">
        <v>212.3</v>
      </c>
      <c r="U34">
        <f t="shared" si="0"/>
        <v>212.3</v>
      </c>
      <c r="V34">
        <f t="shared" si="1"/>
        <v>0</v>
      </c>
      <c r="W34" s="12"/>
      <c r="X34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4" t="s">
        <v>90</v>
      </c>
      <c r="Z34" s="2" t="s">
        <v>43</v>
      </c>
      <c r="AA34" s="2"/>
      <c r="AB34" s="2" t="s">
        <v>65</v>
      </c>
      <c r="AC34" s="2">
        <v>45548</v>
      </c>
      <c r="AD34" s="3">
        <v>2024</v>
      </c>
      <c r="AE34" s="3">
        <v>13</v>
      </c>
      <c r="AF34" s="5">
        <v>0.81</v>
      </c>
      <c r="AG34" s="3" t="s">
        <v>62</v>
      </c>
      <c r="AH34" t="s">
        <v>91</v>
      </c>
    </row>
    <row r="35" spans="1:34" hidden="1" x14ac:dyDescent="0.35">
      <c r="A35" t="str">
        <f>_xlfn.CONCAT(Tableau1[[#This Row],[Athletes]],"_",Tableau1[[#This Row],[Nationality]],"_",Tableau1[[#This Row],[Competition_year]])</f>
        <v>Narve Gilje NORDÅS_NOR_2024</v>
      </c>
      <c r="B35" t="s">
        <v>217</v>
      </c>
      <c r="C35" t="s">
        <v>16</v>
      </c>
      <c r="D35" t="s">
        <v>30</v>
      </c>
      <c r="E35">
        <v>14.8</v>
      </c>
      <c r="F35">
        <v>14.2</v>
      </c>
      <c r="G35">
        <v>14.4</v>
      </c>
      <c r="H35">
        <v>14.7</v>
      </c>
      <c r="I35">
        <v>14.2</v>
      </c>
      <c r="J35">
        <v>14.6</v>
      </c>
      <c r="K35">
        <v>14.1</v>
      </c>
      <c r="L35">
        <v>14.4</v>
      </c>
      <c r="M35">
        <v>14.1</v>
      </c>
      <c r="N35">
        <v>14.2</v>
      </c>
      <c r="O35">
        <v>14.2</v>
      </c>
      <c r="P35">
        <v>14.2</v>
      </c>
      <c r="Q35">
        <v>13.6</v>
      </c>
      <c r="R35">
        <v>13.7</v>
      </c>
      <c r="S35">
        <f>Tableau1[[#This Row],[Final_time]]-SUM(Tableau1[[#This Row],[0_100m]:[1300_1400m]])</f>
        <v>13.620000000000061</v>
      </c>
      <c r="T35">
        <v>213.02</v>
      </c>
      <c r="U35">
        <f t="shared" si="0"/>
        <v>213.02</v>
      </c>
      <c r="V35">
        <f t="shared" si="1"/>
        <v>0</v>
      </c>
      <c r="W35" s="12"/>
      <c r="X35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5" t="s">
        <v>90</v>
      </c>
      <c r="Z35" s="2" t="s">
        <v>43</v>
      </c>
      <c r="AA35" s="2"/>
      <c r="AB35" s="2" t="s">
        <v>65</v>
      </c>
      <c r="AC35" s="2">
        <v>45548</v>
      </c>
      <c r="AD35" s="3">
        <v>2024</v>
      </c>
      <c r="AE35" s="3">
        <v>13</v>
      </c>
      <c r="AF35" s="5">
        <v>0.81</v>
      </c>
      <c r="AG35" s="3" t="s">
        <v>62</v>
      </c>
      <c r="AH35" t="s">
        <v>91</v>
      </c>
    </row>
    <row r="36" spans="1:34" hidden="1" x14ac:dyDescent="0.35">
      <c r="A36" t="str">
        <f>_xlfn.CONCAT(Tableau1[[#This Row],[Athletes]],"_",Tableau1[[#This Row],[Nationality]],"_",Tableau1[[#This Row],[Competition_year]])</f>
        <v>Jochem VERMEULEN_BEL_2024</v>
      </c>
      <c r="B36" t="s">
        <v>235</v>
      </c>
      <c r="C36" t="s">
        <v>16</v>
      </c>
      <c r="D36" t="s">
        <v>86</v>
      </c>
      <c r="E36">
        <v>14.5</v>
      </c>
      <c r="F36">
        <v>14.2</v>
      </c>
      <c r="G36">
        <v>14.6</v>
      </c>
      <c r="H36">
        <v>14.6</v>
      </c>
      <c r="I36">
        <v>14.2</v>
      </c>
      <c r="J36">
        <v>14.3</v>
      </c>
      <c r="K36">
        <v>14.2</v>
      </c>
      <c r="L36">
        <v>14.4</v>
      </c>
      <c r="M36">
        <v>13.9</v>
      </c>
      <c r="N36">
        <v>14.3</v>
      </c>
      <c r="O36">
        <v>13.8</v>
      </c>
      <c r="P36">
        <v>14</v>
      </c>
      <c r="Q36">
        <v>13.9</v>
      </c>
      <c r="R36">
        <v>13.5</v>
      </c>
      <c r="S36">
        <f>Tableau1[[#This Row],[Final_time]]-SUM(Tableau1[[#This Row],[0_100m]:[1300_1400m]])</f>
        <v>13.749999999999972</v>
      </c>
      <c r="T36">
        <v>212.15</v>
      </c>
      <c r="U36">
        <f t="shared" si="0"/>
        <v>212.15</v>
      </c>
      <c r="V36">
        <f t="shared" si="1"/>
        <v>0</v>
      </c>
      <c r="W36" s="12"/>
      <c r="X36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6" t="s">
        <v>90</v>
      </c>
      <c r="Z36" s="2" t="s">
        <v>43</v>
      </c>
      <c r="AA36" s="2"/>
      <c r="AB36" s="2" t="s">
        <v>65</v>
      </c>
      <c r="AC36" s="2">
        <v>45548</v>
      </c>
      <c r="AD36" s="3">
        <v>2024</v>
      </c>
      <c r="AE36" s="3">
        <v>13</v>
      </c>
      <c r="AF36" s="5">
        <v>0.81</v>
      </c>
      <c r="AG36" s="3" t="s">
        <v>62</v>
      </c>
      <c r="AH36" t="s">
        <v>91</v>
      </c>
    </row>
    <row r="37" spans="1:34" hidden="1" x14ac:dyDescent="0.35">
      <c r="A37" t="str">
        <f>_xlfn.CONCAT(Tableau1[[#This Row],[Athletes]],"_",Tableau1[[#This Row],[Nationality]],"_",Tableau1[[#This Row],[Competition_year]])</f>
        <v>Oliver HOARE_AUS_2024</v>
      </c>
      <c r="B37" t="s">
        <v>249</v>
      </c>
      <c r="C37" t="s">
        <v>16</v>
      </c>
      <c r="D37" t="s">
        <v>21</v>
      </c>
      <c r="E37">
        <v>14.3</v>
      </c>
      <c r="F37">
        <v>14.1</v>
      </c>
      <c r="G37">
        <v>14.6</v>
      </c>
      <c r="H37">
        <v>14.7</v>
      </c>
      <c r="I37">
        <v>14.4</v>
      </c>
      <c r="J37">
        <v>14.6</v>
      </c>
      <c r="K37">
        <v>14</v>
      </c>
      <c r="L37">
        <v>14.4</v>
      </c>
      <c r="M37">
        <v>14.2</v>
      </c>
      <c r="N37">
        <v>14.1</v>
      </c>
      <c r="O37">
        <v>14.3</v>
      </c>
      <c r="P37">
        <v>14.2</v>
      </c>
      <c r="Q37">
        <v>14.1</v>
      </c>
      <c r="R37">
        <v>14.2</v>
      </c>
      <c r="S37">
        <f>Tableau1[[#This Row],[Final_time]]-SUM(Tableau1[[#This Row],[0_100m]:[1300_1400m]])</f>
        <v>13.930000000000007</v>
      </c>
      <c r="T37">
        <v>214.13</v>
      </c>
      <c r="U37">
        <f t="shared" si="0"/>
        <v>214.13</v>
      </c>
      <c r="V37">
        <f t="shared" si="1"/>
        <v>0</v>
      </c>
      <c r="W37" s="12"/>
      <c r="X37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7" t="s">
        <v>90</v>
      </c>
      <c r="Z37" s="2" t="s">
        <v>43</v>
      </c>
      <c r="AA37" s="2"/>
      <c r="AB37" s="2" t="s">
        <v>65</v>
      </c>
      <c r="AC37" s="2">
        <v>45548</v>
      </c>
      <c r="AD37" s="3">
        <v>2024</v>
      </c>
      <c r="AE37" s="3">
        <v>13</v>
      </c>
      <c r="AF37" s="5">
        <v>0.81</v>
      </c>
      <c r="AG37" s="3" t="s">
        <v>62</v>
      </c>
      <c r="AH37" t="s">
        <v>91</v>
      </c>
    </row>
    <row r="38" spans="1:34" hidden="1" x14ac:dyDescent="0.35">
      <c r="A38" t="str">
        <f>_xlfn.CONCAT(Tableau1[[#This Row],[Athletes]],"_",Tableau1[[#This Row],[Nationality]],"_",Tableau1[[#This Row],[Competition_year]])</f>
        <v>Brian KOMEN_KEN_2024</v>
      </c>
      <c r="B38" t="s">
        <v>802</v>
      </c>
      <c r="C38" t="s">
        <v>16</v>
      </c>
      <c r="D38" t="s">
        <v>17</v>
      </c>
      <c r="E38">
        <v>14.3</v>
      </c>
      <c r="F38">
        <v>14.1</v>
      </c>
      <c r="G38">
        <v>14.4</v>
      </c>
      <c r="H38">
        <v>14.5</v>
      </c>
      <c r="I38">
        <v>14.3</v>
      </c>
      <c r="J38">
        <v>14.2</v>
      </c>
      <c r="K38">
        <v>14.1</v>
      </c>
      <c r="L38">
        <v>14.3</v>
      </c>
      <c r="M38">
        <v>14.3</v>
      </c>
      <c r="N38">
        <v>14.5</v>
      </c>
      <c r="O38">
        <v>14.3</v>
      </c>
      <c r="P38">
        <v>14</v>
      </c>
      <c r="Q38">
        <v>13.9</v>
      </c>
      <c r="R38">
        <v>14</v>
      </c>
      <c r="S38">
        <f>Tableau1[[#This Row],[Final_time]]-SUM(Tableau1[[#This Row],[0_100m]:[1300_1400m]])</f>
        <v>14.009999999999991</v>
      </c>
      <c r="T38">
        <v>213.21</v>
      </c>
      <c r="U38">
        <f t="shared" si="0"/>
        <v>213.21</v>
      </c>
      <c r="V38">
        <f t="shared" si="1"/>
        <v>0</v>
      </c>
      <c r="W38" s="12"/>
      <c r="X38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8" t="s">
        <v>90</v>
      </c>
      <c r="Z38" s="2" t="s">
        <v>43</v>
      </c>
      <c r="AA38" s="2"/>
      <c r="AB38" s="2" t="s">
        <v>65</v>
      </c>
      <c r="AC38" s="2">
        <v>45548</v>
      </c>
      <c r="AD38" s="3">
        <v>2024</v>
      </c>
      <c r="AE38" s="3">
        <v>13</v>
      </c>
      <c r="AF38" s="5">
        <v>0.81</v>
      </c>
      <c r="AG38" s="3" t="s">
        <v>62</v>
      </c>
      <c r="AH38" t="s">
        <v>91</v>
      </c>
    </row>
    <row r="39" spans="1:34" hidden="1" x14ac:dyDescent="0.35">
      <c r="A39" t="str">
        <f>_xlfn.CONCAT(Tableau1[[#This Row],[Athletes]],"_",Tableau1[[#This Row],[Nationality]],"_",Tableau1[[#This Row],[Competition_year]])</f>
        <v>Elliot GILES_GBR_2024</v>
      </c>
      <c r="B39" t="s">
        <v>231</v>
      </c>
      <c r="C39" t="s">
        <v>16</v>
      </c>
      <c r="D39" t="s">
        <v>20</v>
      </c>
      <c r="E39">
        <v>14.3</v>
      </c>
      <c r="F39">
        <v>14.2</v>
      </c>
      <c r="G39">
        <v>14.6</v>
      </c>
      <c r="H39">
        <v>14.8</v>
      </c>
      <c r="I39">
        <v>14.4</v>
      </c>
      <c r="J39">
        <v>14.4</v>
      </c>
      <c r="K39">
        <v>14.1</v>
      </c>
      <c r="L39">
        <v>14</v>
      </c>
      <c r="M39">
        <v>14</v>
      </c>
      <c r="N39">
        <v>14.1</v>
      </c>
      <c r="O39">
        <v>14.2</v>
      </c>
      <c r="P39">
        <v>14.4</v>
      </c>
      <c r="Q39">
        <v>14.2</v>
      </c>
      <c r="R39">
        <v>14.3</v>
      </c>
      <c r="S39">
        <f>Tableau1[[#This Row],[Final_time]]-SUM(Tableau1[[#This Row],[0_100m]:[1300_1400m]])</f>
        <v>14.759999999999991</v>
      </c>
      <c r="T39">
        <v>214.76</v>
      </c>
      <c r="U39">
        <f t="shared" si="0"/>
        <v>214.76</v>
      </c>
      <c r="V39">
        <f t="shared" si="1"/>
        <v>0</v>
      </c>
      <c r="W39" s="12"/>
      <c r="X39" t="str">
        <f>_xlfn.CONCAT(Tableau1[[#This Row],[Competition]],"_",Tableau1[[#This Row],[Championship_step]],"_",Tableau1[[#This Row],[Competition_date]],"_",Tableau1[[#This Row],[Gender]])</f>
        <v>Diamond League Brussels 2024__45548_Male</v>
      </c>
      <c r="Y39" t="s">
        <v>90</v>
      </c>
      <c r="Z39" s="2" t="s">
        <v>43</v>
      </c>
      <c r="AA39" s="2"/>
      <c r="AB39" s="2" t="s">
        <v>65</v>
      </c>
      <c r="AC39" s="2">
        <v>45548</v>
      </c>
      <c r="AD39" s="3">
        <v>2024</v>
      </c>
      <c r="AE39" s="3">
        <v>13</v>
      </c>
      <c r="AF39" s="5">
        <v>0.81</v>
      </c>
      <c r="AG39" s="3" t="s">
        <v>62</v>
      </c>
      <c r="AH39" t="s">
        <v>91</v>
      </c>
    </row>
    <row r="40" spans="1:34" hidden="1" x14ac:dyDescent="0.35">
      <c r="A40" t="str">
        <f>_xlfn.CONCAT(Tableau1[[#This Row],[Athletes]],"_",Tableau1[[#This Row],[Nationality]],"_",Tableau1[[#This Row],[Competition_year]])</f>
        <v>Faith KIPYEGON_KEN_2024</v>
      </c>
      <c r="B40" t="s">
        <v>164</v>
      </c>
      <c r="C40" t="s">
        <v>47</v>
      </c>
      <c r="D40" t="s">
        <v>17</v>
      </c>
      <c r="E40">
        <v>14.9</v>
      </c>
      <c r="F40">
        <v>15.8</v>
      </c>
      <c r="G40">
        <v>16.5</v>
      </c>
      <c r="H40">
        <v>15.5</v>
      </c>
      <c r="I40">
        <v>15.6</v>
      </c>
      <c r="J40">
        <v>15.8</v>
      </c>
      <c r="K40">
        <v>15.7</v>
      </c>
      <c r="L40">
        <v>15.9</v>
      </c>
      <c r="M40">
        <v>16.399999999999999</v>
      </c>
      <c r="N40">
        <v>16.600000000000001</v>
      </c>
      <c r="O40">
        <v>16.399999999999999</v>
      </c>
      <c r="P40">
        <v>16</v>
      </c>
      <c r="Q40">
        <v>15.2</v>
      </c>
      <c r="R40">
        <v>14.3</v>
      </c>
      <c r="S40">
        <f>Tableau1[[#This Row],[Final_time]]-SUM(Tableau1[[#This Row],[0_100m]:[1300_1400m]])</f>
        <v>14.150000000000006</v>
      </c>
      <c r="T40">
        <v>234.75</v>
      </c>
      <c r="U40">
        <f t="shared" si="0"/>
        <v>234.75</v>
      </c>
      <c r="V40">
        <f t="shared" si="1"/>
        <v>0</v>
      </c>
      <c r="W40" s="12"/>
      <c r="X40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0" t="s">
        <v>90</v>
      </c>
      <c r="Z40" s="2" t="s">
        <v>43</v>
      </c>
      <c r="AA40" s="2"/>
      <c r="AB40" s="2" t="s">
        <v>65</v>
      </c>
      <c r="AC40" s="2">
        <v>45549</v>
      </c>
      <c r="AD40" s="3">
        <v>2024</v>
      </c>
      <c r="AE40" s="3">
        <v>13</v>
      </c>
      <c r="AF40" s="5">
        <v>0.65</v>
      </c>
      <c r="AG40" s="3" t="s">
        <v>64</v>
      </c>
      <c r="AH40" t="s">
        <v>92</v>
      </c>
    </row>
    <row r="41" spans="1:34" hidden="1" x14ac:dyDescent="0.35">
      <c r="A41" t="str">
        <f>_xlfn.CONCAT(Tableau1[[#This Row],[Athletes]],"_",Tableau1[[#This Row],[Nationality]],"_",Tableau1[[#This Row],[Competition_year]])</f>
        <v>Diribe WELTEJI_ETH_2024</v>
      </c>
      <c r="B41" t="s">
        <v>165</v>
      </c>
      <c r="C41" t="s">
        <v>47</v>
      </c>
      <c r="D41" t="s">
        <v>48</v>
      </c>
      <c r="E41">
        <v>14.8</v>
      </c>
      <c r="F41">
        <v>16</v>
      </c>
      <c r="G41">
        <v>16.399999999999999</v>
      </c>
      <c r="H41">
        <v>15.7</v>
      </c>
      <c r="I41">
        <v>15.6</v>
      </c>
      <c r="J41">
        <v>15.8</v>
      </c>
      <c r="K41">
        <v>15.7</v>
      </c>
      <c r="L41">
        <v>15.8</v>
      </c>
      <c r="M41">
        <v>16.5</v>
      </c>
      <c r="N41">
        <v>16.600000000000001</v>
      </c>
      <c r="O41">
        <v>16.3</v>
      </c>
      <c r="P41">
        <v>16.100000000000001</v>
      </c>
      <c r="Q41">
        <v>15.1</v>
      </c>
      <c r="R41">
        <v>14.4</v>
      </c>
      <c r="S41">
        <f>Tableau1[[#This Row],[Final_time]]-SUM(Tableau1[[#This Row],[0_100m]:[1300_1400m]])</f>
        <v>14.449999999999989</v>
      </c>
      <c r="T41">
        <v>235.25</v>
      </c>
      <c r="U41">
        <f t="shared" si="0"/>
        <v>235.25</v>
      </c>
      <c r="V41">
        <f t="shared" si="1"/>
        <v>0</v>
      </c>
      <c r="W41" s="12"/>
      <c r="X41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1" t="s">
        <v>90</v>
      </c>
      <c r="Z41" s="2" t="s">
        <v>43</v>
      </c>
      <c r="AA41" s="2"/>
      <c r="AB41" s="2" t="s">
        <v>65</v>
      </c>
      <c r="AC41" s="2">
        <v>45549</v>
      </c>
      <c r="AD41" s="3">
        <v>2024</v>
      </c>
      <c r="AE41" s="3">
        <v>13</v>
      </c>
      <c r="AF41" s="5">
        <v>0.65</v>
      </c>
      <c r="AG41" s="3" t="s">
        <v>64</v>
      </c>
      <c r="AH41" t="s">
        <v>92</v>
      </c>
    </row>
    <row r="42" spans="1:34" hidden="1" x14ac:dyDescent="0.35">
      <c r="A42" t="str">
        <f>_xlfn.CONCAT(Tableau1[[#This Row],[Athletes]],"_",Tableau1[[#This Row],[Nationality]],"_",Tableau1[[#This Row],[Competition_year]])</f>
        <v>Jessica HULL_AUS_2024</v>
      </c>
      <c r="B42" t="s">
        <v>187</v>
      </c>
      <c r="C42" t="s">
        <v>47</v>
      </c>
      <c r="D42" t="s">
        <v>21</v>
      </c>
      <c r="E42">
        <v>15.2</v>
      </c>
      <c r="F42">
        <v>16</v>
      </c>
      <c r="G42">
        <v>16.399999999999999</v>
      </c>
      <c r="H42">
        <v>15.7</v>
      </c>
      <c r="I42">
        <v>15.5</v>
      </c>
      <c r="J42">
        <v>15.9</v>
      </c>
      <c r="K42">
        <v>15.7</v>
      </c>
      <c r="L42">
        <v>15.8</v>
      </c>
      <c r="M42">
        <v>16.5</v>
      </c>
      <c r="N42">
        <v>16.5</v>
      </c>
      <c r="O42">
        <v>16.399999999999999</v>
      </c>
      <c r="P42">
        <v>16.100000000000001</v>
      </c>
      <c r="Q42">
        <v>15.1</v>
      </c>
      <c r="R42">
        <v>15.2</v>
      </c>
      <c r="S42">
        <f>Tableau1[[#This Row],[Final_time]]-SUM(Tableau1[[#This Row],[0_100m]:[1300_1400m]])</f>
        <v>14.990000000000038</v>
      </c>
      <c r="T42">
        <v>236.99</v>
      </c>
      <c r="U42">
        <f t="shared" si="0"/>
        <v>236.99</v>
      </c>
      <c r="V42">
        <f t="shared" si="1"/>
        <v>0</v>
      </c>
      <c r="W42" s="12"/>
      <c r="X42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2" t="s">
        <v>90</v>
      </c>
      <c r="Z42" s="2" t="s">
        <v>43</v>
      </c>
      <c r="AA42" s="2"/>
      <c r="AB42" s="2" t="s">
        <v>65</v>
      </c>
      <c r="AC42" s="2">
        <v>45549</v>
      </c>
      <c r="AD42" s="3">
        <v>2024</v>
      </c>
      <c r="AE42" s="3">
        <v>13</v>
      </c>
      <c r="AF42" s="5">
        <v>0.65</v>
      </c>
      <c r="AG42" s="3" t="s">
        <v>64</v>
      </c>
      <c r="AH42" t="s">
        <v>92</v>
      </c>
    </row>
    <row r="43" spans="1:34" hidden="1" x14ac:dyDescent="0.35">
      <c r="A43" t="str">
        <f>_xlfn.CONCAT(Tableau1[[#This Row],[Athletes]],"_",Tableau1[[#This Row],[Nationality]],"_",Tableau1[[#This Row],[Competition_year]])</f>
        <v>Freweyni HAILU_ETH_2024</v>
      </c>
      <c r="B43" t="s">
        <v>144</v>
      </c>
      <c r="C43" t="s">
        <v>47</v>
      </c>
      <c r="D43" t="s">
        <v>48</v>
      </c>
      <c r="E43">
        <v>15</v>
      </c>
      <c r="F43">
        <v>16</v>
      </c>
      <c r="G43">
        <v>16.5</v>
      </c>
      <c r="H43">
        <v>15.6</v>
      </c>
      <c r="I43">
        <v>15.5</v>
      </c>
      <c r="J43">
        <v>15.9</v>
      </c>
      <c r="K43">
        <v>15.7</v>
      </c>
      <c r="L43">
        <v>15.9</v>
      </c>
      <c r="M43">
        <v>16.399999999999999</v>
      </c>
      <c r="N43">
        <v>16.600000000000001</v>
      </c>
      <c r="O43">
        <v>16.3</v>
      </c>
      <c r="P43">
        <v>16.100000000000001</v>
      </c>
      <c r="Q43">
        <v>15</v>
      </c>
      <c r="R43">
        <v>15.4</v>
      </c>
      <c r="S43">
        <f>Tableau1[[#This Row],[Final_time]]-SUM(Tableau1[[#This Row],[0_100m]:[1300_1400m]])</f>
        <v>15.359999999999985</v>
      </c>
      <c r="T43">
        <v>237.26</v>
      </c>
      <c r="U43">
        <f t="shared" si="0"/>
        <v>237.26</v>
      </c>
      <c r="V43">
        <f t="shared" si="1"/>
        <v>0</v>
      </c>
      <c r="W43" s="12"/>
      <c r="X43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3" t="s">
        <v>90</v>
      </c>
      <c r="Z43" s="2" t="s">
        <v>43</v>
      </c>
      <c r="AA43" s="2"/>
      <c r="AB43" s="2" t="s">
        <v>65</v>
      </c>
      <c r="AC43" s="2">
        <v>45549</v>
      </c>
      <c r="AD43" s="3">
        <v>2024</v>
      </c>
      <c r="AE43" s="3">
        <v>13</v>
      </c>
      <c r="AF43" s="5">
        <v>0.65</v>
      </c>
      <c r="AG43" s="3" t="s">
        <v>64</v>
      </c>
      <c r="AH43" t="s">
        <v>92</v>
      </c>
    </row>
    <row r="44" spans="1:34" hidden="1" x14ac:dyDescent="0.35">
      <c r="A44" t="str">
        <f>_xlfn.CONCAT(Tableau1[[#This Row],[Athletes]],"_",Tableau1[[#This Row],[Nationality]],"_",Tableau1[[#This Row],[Competition_year]])</f>
        <v>Nelly CHEPCHIRCHIR_KEN_2024</v>
      </c>
      <c r="B44" t="s">
        <v>178</v>
      </c>
      <c r="C44" t="s">
        <v>47</v>
      </c>
      <c r="D44" t="s">
        <v>17</v>
      </c>
      <c r="E44">
        <v>15</v>
      </c>
      <c r="F44">
        <v>16</v>
      </c>
      <c r="G44">
        <v>16.3</v>
      </c>
      <c r="H44">
        <v>15.8</v>
      </c>
      <c r="I44">
        <v>15.5</v>
      </c>
      <c r="J44">
        <v>15.8</v>
      </c>
      <c r="K44">
        <v>15.7</v>
      </c>
      <c r="L44">
        <v>16.3</v>
      </c>
      <c r="M44">
        <v>16.3</v>
      </c>
      <c r="N44">
        <v>16.8</v>
      </c>
      <c r="O44">
        <v>16.2</v>
      </c>
      <c r="P44">
        <v>16.399999999999999</v>
      </c>
      <c r="Q44">
        <v>15.3</v>
      </c>
      <c r="R44">
        <v>15.2</v>
      </c>
      <c r="S44">
        <f>Tableau1[[#This Row],[Final_time]]-SUM(Tableau1[[#This Row],[0_100m]:[1300_1400m]])</f>
        <v>15.450000000000017</v>
      </c>
      <c r="T44">
        <v>238.05</v>
      </c>
      <c r="U44">
        <f t="shared" si="0"/>
        <v>238.05</v>
      </c>
      <c r="V44">
        <f t="shared" si="1"/>
        <v>0</v>
      </c>
      <c r="W44" s="12"/>
      <c r="X44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4" t="s">
        <v>90</v>
      </c>
      <c r="Z44" s="2" t="s">
        <v>43</v>
      </c>
      <c r="AA44" s="2"/>
      <c r="AB44" s="2" t="s">
        <v>65</v>
      </c>
      <c r="AC44" s="2">
        <v>45549</v>
      </c>
      <c r="AD44" s="3">
        <v>2024</v>
      </c>
      <c r="AE44" s="3">
        <v>13</v>
      </c>
      <c r="AF44" s="5">
        <v>0.65</v>
      </c>
      <c r="AG44" s="3" t="s">
        <v>64</v>
      </c>
      <c r="AH44" t="s">
        <v>92</v>
      </c>
    </row>
    <row r="45" spans="1:34" hidden="1" x14ac:dyDescent="0.35">
      <c r="A45" t="str">
        <f>_xlfn.CONCAT(Tableau1[[#This Row],[Athletes]],"_",Tableau1[[#This Row],[Nationality]],"_",Tableau1[[#This Row],[Competition_year]])</f>
        <v>Georgia GRIFFITH_AUS_2024</v>
      </c>
      <c r="B45" t="s">
        <v>248</v>
      </c>
      <c r="C45" t="s">
        <v>47</v>
      </c>
      <c r="D45" t="s">
        <v>21</v>
      </c>
      <c r="E45">
        <v>15.1</v>
      </c>
      <c r="F45">
        <v>16.100000000000001</v>
      </c>
      <c r="G45">
        <v>16.399999999999999</v>
      </c>
      <c r="H45">
        <v>16.2</v>
      </c>
      <c r="I45">
        <v>15.6</v>
      </c>
      <c r="J45">
        <v>16</v>
      </c>
      <c r="K45">
        <v>15.7</v>
      </c>
      <c r="L45">
        <v>15.9</v>
      </c>
      <c r="M45">
        <v>16.3</v>
      </c>
      <c r="N45">
        <v>16.8</v>
      </c>
      <c r="O45">
        <v>15.9</v>
      </c>
      <c r="P45">
        <v>16.100000000000001</v>
      </c>
      <c r="Q45">
        <v>15.8</v>
      </c>
      <c r="R45">
        <v>15.4</v>
      </c>
      <c r="S45">
        <f>Tableau1[[#This Row],[Final_time]]-SUM(Tableau1[[#This Row],[0_100m]:[1300_1400m]])</f>
        <v>15.099999999999966</v>
      </c>
      <c r="T45">
        <v>238.4</v>
      </c>
      <c r="U45">
        <f t="shared" si="0"/>
        <v>238.4</v>
      </c>
      <c r="V45">
        <f t="shared" si="1"/>
        <v>0</v>
      </c>
      <c r="W45" s="12"/>
      <c r="X45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5" t="s">
        <v>90</v>
      </c>
      <c r="Z45" s="2" t="s">
        <v>43</v>
      </c>
      <c r="AA45" s="2"/>
      <c r="AB45" s="2" t="s">
        <v>65</v>
      </c>
      <c r="AC45" s="2">
        <v>45549</v>
      </c>
      <c r="AD45" s="3">
        <v>2024</v>
      </c>
      <c r="AE45" s="3">
        <v>13</v>
      </c>
      <c r="AF45" s="5">
        <v>0.65</v>
      </c>
      <c r="AG45" s="3" t="s">
        <v>64</v>
      </c>
      <c r="AH45" t="s">
        <v>92</v>
      </c>
    </row>
    <row r="46" spans="1:34" hidden="1" x14ac:dyDescent="0.35">
      <c r="A46" t="str">
        <f>_xlfn.CONCAT(Tableau1[[#This Row],[Athletes]],"_",Tableau1[[#This Row],[Nationality]],"_",Tableau1[[#This Row],[Competition_year]])</f>
        <v>Georgia HUNTER BELL_GBR_2024</v>
      </c>
      <c r="B46" t="s">
        <v>1348</v>
      </c>
      <c r="C46" t="s">
        <v>47</v>
      </c>
      <c r="D46" t="s">
        <v>20</v>
      </c>
      <c r="E46">
        <v>15.3</v>
      </c>
      <c r="F46">
        <v>16.2</v>
      </c>
      <c r="G46">
        <v>16.399999999999999</v>
      </c>
      <c r="H46">
        <v>16</v>
      </c>
      <c r="I46">
        <v>15.4</v>
      </c>
      <c r="J46">
        <v>15.8</v>
      </c>
      <c r="K46">
        <v>15.7</v>
      </c>
      <c r="L46">
        <v>16</v>
      </c>
      <c r="M46">
        <v>16.100000000000001</v>
      </c>
      <c r="N46">
        <v>16.7</v>
      </c>
      <c r="O46">
        <v>16.2</v>
      </c>
      <c r="P46">
        <v>16.2</v>
      </c>
      <c r="Q46">
        <v>15.7</v>
      </c>
      <c r="R46">
        <v>15.8</v>
      </c>
      <c r="S46">
        <f>Tableau1[[#This Row],[Final_time]]-SUM(Tableau1[[#This Row],[0_100m]:[1300_1400m]])</f>
        <v>15.450000000000017</v>
      </c>
      <c r="T46">
        <v>238.95</v>
      </c>
      <c r="U46">
        <f t="shared" si="0"/>
        <v>238.95</v>
      </c>
      <c r="V46">
        <f t="shared" si="1"/>
        <v>0</v>
      </c>
      <c r="W46" s="12"/>
      <c r="X46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6" t="s">
        <v>90</v>
      </c>
      <c r="Z46" s="2" t="s">
        <v>43</v>
      </c>
      <c r="AA46" s="2"/>
      <c r="AB46" s="2" t="s">
        <v>65</v>
      </c>
      <c r="AC46" s="2">
        <v>45549</v>
      </c>
      <c r="AD46" s="3">
        <v>2024</v>
      </c>
      <c r="AE46" s="3">
        <v>13</v>
      </c>
      <c r="AF46" s="5">
        <v>0.65</v>
      </c>
      <c r="AG46" s="3" t="s">
        <v>64</v>
      </c>
      <c r="AH46" t="s">
        <v>92</v>
      </c>
    </row>
    <row r="47" spans="1:34" hidden="1" x14ac:dyDescent="0.35">
      <c r="A47" t="str">
        <f>_xlfn.CONCAT(Tableau1[[#This Row],[Athletes]],"_",Tableau1[[#This Row],[Nationality]],"_",Tableau1[[#This Row],[Competition_year]])</f>
        <v>Birke HAYLOM_ETH_2024</v>
      </c>
      <c r="B47" t="s">
        <v>179</v>
      </c>
      <c r="C47" t="s">
        <v>47</v>
      </c>
      <c r="D47" t="s">
        <v>48</v>
      </c>
      <c r="E47">
        <v>15.5</v>
      </c>
      <c r="F47">
        <v>15.8</v>
      </c>
      <c r="G47">
        <v>15.7</v>
      </c>
      <c r="H47">
        <v>15.4</v>
      </c>
      <c r="I47">
        <v>15.7</v>
      </c>
      <c r="J47">
        <v>15.8</v>
      </c>
      <c r="K47">
        <v>15.7</v>
      </c>
      <c r="L47">
        <v>15.9</v>
      </c>
      <c r="M47">
        <v>16.5</v>
      </c>
      <c r="N47">
        <v>17</v>
      </c>
      <c r="O47">
        <v>16.399999999999999</v>
      </c>
      <c r="P47">
        <v>16.5</v>
      </c>
      <c r="Q47">
        <v>15.3</v>
      </c>
      <c r="R47">
        <v>15.9</v>
      </c>
      <c r="S47">
        <f>Tableau1[[#This Row],[Final_time]]-SUM(Tableau1[[#This Row],[0_100m]:[1300_1400m]])</f>
        <v>16.169999999999987</v>
      </c>
      <c r="T47">
        <v>239.27</v>
      </c>
      <c r="U47">
        <f t="shared" si="0"/>
        <v>239.27</v>
      </c>
      <c r="V47">
        <f t="shared" si="1"/>
        <v>0</v>
      </c>
      <c r="W47" s="12"/>
      <c r="X47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7" t="s">
        <v>90</v>
      </c>
      <c r="Z47" s="2" t="s">
        <v>43</v>
      </c>
      <c r="AA47" s="2"/>
      <c r="AB47" s="2" t="s">
        <v>65</v>
      </c>
      <c r="AC47" s="2">
        <v>45549</v>
      </c>
      <c r="AD47" s="3">
        <v>2024</v>
      </c>
      <c r="AE47" s="3">
        <v>13</v>
      </c>
      <c r="AF47" s="5">
        <v>0.65</v>
      </c>
      <c r="AG47" s="3" t="s">
        <v>64</v>
      </c>
      <c r="AH47" t="s">
        <v>92</v>
      </c>
    </row>
    <row r="48" spans="1:34" hidden="1" x14ac:dyDescent="0.35">
      <c r="A48" t="str">
        <f>_xlfn.CONCAT(Tableau1[[#This Row],[Athletes]],"_",Tableau1[[#This Row],[Nationality]],"_",Tableau1[[#This Row],[Competition_year]])</f>
        <v>Melissa COURTNEY-BRYANT_GBR_2024</v>
      </c>
      <c r="B48" t="s">
        <v>168</v>
      </c>
      <c r="C48" t="s">
        <v>47</v>
      </c>
      <c r="D48" t="s">
        <v>20</v>
      </c>
      <c r="E48">
        <v>15.2</v>
      </c>
      <c r="F48">
        <v>16.2</v>
      </c>
      <c r="G48">
        <v>16.399999999999999</v>
      </c>
      <c r="H48">
        <v>16.3</v>
      </c>
      <c r="I48">
        <v>15.8</v>
      </c>
      <c r="J48">
        <v>16</v>
      </c>
      <c r="K48">
        <v>15.9</v>
      </c>
      <c r="L48">
        <v>16.2</v>
      </c>
      <c r="M48">
        <v>16.399999999999999</v>
      </c>
      <c r="N48">
        <v>16.5</v>
      </c>
      <c r="O48">
        <v>16.2</v>
      </c>
      <c r="P48">
        <v>16.100000000000001</v>
      </c>
      <c r="Q48">
        <v>15.7</v>
      </c>
      <c r="R48">
        <v>15.5</v>
      </c>
      <c r="S48">
        <f>Tableau1[[#This Row],[Final_time]]-SUM(Tableau1[[#This Row],[0_100m]:[1300_1400m]])</f>
        <v>15.350000000000023</v>
      </c>
      <c r="T48">
        <v>239.75</v>
      </c>
      <c r="U48">
        <f t="shared" si="0"/>
        <v>239.75</v>
      </c>
      <c r="V48">
        <f t="shared" si="1"/>
        <v>0</v>
      </c>
      <c r="W48" s="12"/>
      <c r="X48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8" t="s">
        <v>90</v>
      </c>
      <c r="Z48" s="2" t="s">
        <v>43</v>
      </c>
      <c r="AA48" s="2"/>
      <c r="AB48" s="2" t="s">
        <v>65</v>
      </c>
      <c r="AC48" s="2">
        <v>45549</v>
      </c>
      <c r="AD48" s="3">
        <v>2024</v>
      </c>
      <c r="AE48" s="3">
        <v>13</v>
      </c>
      <c r="AF48" s="5">
        <v>0.65</v>
      </c>
      <c r="AG48" s="3" t="s">
        <v>64</v>
      </c>
      <c r="AH48" t="s">
        <v>92</v>
      </c>
    </row>
    <row r="49" spans="1:34" hidden="1" x14ac:dyDescent="0.35">
      <c r="A49" t="str">
        <f>_xlfn.CONCAT(Tableau1[[#This Row],[Athletes]],"_",Tableau1[[#This Row],[Nationality]],"_",Tableau1[[#This Row],[Competition_year]])</f>
        <v>Worknesh MESELE_ETH_2024</v>
      </c>
      <c r="B49" t="s">
        <v>294</v>
      </c>
      <c r="C49" t="s">
        <v>47</v>
      </c>
      <c r="D49" t="s">
        <v>48</v>
      </c>
      <c r="E49">
        <v>14.8</v>
      </c>
      <c r="F49">
        <v>16.100000000000001</v>
      </c>
      <c r="G49">
        <v>16.7</v>
      </c>
      <c r="H49">
        <v>16</v>
      </c>
      <c r="I49">
        <v>15.6</v>
      </c>
      <c r="J49">
        <v>15.8</v>
      </c>
      <c r="K49">
        <v>15.7</v>
      </c>
      <c r="L49">
        <v>15.9</v>
      </c>
      <c r="M49">
        <v>16.600000000000001</v>
      </c>
      <c r="N49">
        <v>16.7</v>
      </c>
      <c r="O49">
        <v>16.100000000000001</v>
      </c>
      <c r="P49">
        <v>16.399999999999999</v>
      </c>
      <c r="Q49">
        <v>15.9</v>
      </c>
      <c r="R49">
        <v>16</v>
      </c>
      <c r="S49">
        <f>Tableau1[[#This Row],[Final_time]]-SUM(Tableau1[[#This Row],[0_100m]:[1300_1400m]])</f>
        <v>15.889999999999986</v>
      </c>
      <c r="T49">
        <v>240.19</v>
      </c>
      <c r="U49">
        <f t="shared" si="0"/>
        <v>240.19</v>
      </c>
      <c r="V49">
        <f t="shared" si="1"/>
        <v>0</v>
      </c>
      <c r="W49" s="12"/>
      <c r="X49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49" t="s">
        <v>90</v>
      </c>
      <c r="Z49" s="2" t="s">
        <v>43</v>
      </c>
      <c r="AA49" s="2"/>
      <c r="AB49" s="2" t="s">
        <v>65</v>
      </c>
      <c r="AC49" s="2">
        <v>45549</v>
      </c>
      <c r="AD49" s="3">
        <v>2024</v>
      </c>
      <c r="AE49" s="3">
        <v>13</v>
      </c>
      <c r="AF49" s="5">
        <v>0.65</v>
      </c>
      <c r="AG49" s="3" t="s">
        <v>64</v>
      </c>
      <c r="AH49" t="s">
        <v>92</v>
      </c>
    </row>
    <row r="50" spans="1:34" hidden="1" x14ac:dyDescent="0.35">
      <c r="A50" t="str">
        <f>_xlfn.CONCAT(Tableau1[[#This Row],[Athletes]],"_",Tableau1[[#This Row],[Nationality]],"_",Tableau1[[#This Row],[Competition_year]])</f>
        <v>Elise VANDERELST_BEL_2024</v>
      </c>
      <c r="B50" t="s">
        <v>177</v>
      </c>
      <c r="C50" t="s">
        <v>47</v>
      </c>
      <c r="D50" t="s">
        <v>86</v>
      </c>
      <c r="E50">
        <v>15.5</v>
      </c>
      <c r="F50">
        <v>16.2</v>
      </c>
      <c r="G50">
        <v>16.5</v>
      </c>
      <c r="H50">
        <v>16.2</v>
      </c>
      <c r="I50">
        <v>15.8</v>
      </c>
      <c r="J50">
        <v>16</v>
      </c>
      <c r="K50">
        <v>15.8</v>
      </c>
      <c r="L50">
        <v>16.2</v>
      </c>
      <c r="M50">
        <v>16.399999999999999</v>
      </c>
      <c r="N50">
        <v>16.7</v>
      </c>
      <c r="O50">
        <v>16</v>
      </c>
      <c r="P50">
        <v>16.2</v>
      </c>
      <c r="Q50">
        <v>15.9</v>
      </c>
      <c r="R50">
        <v>15.8</v>
      </c>
      <c r="S50">
        <f>Tableau1[[#This Row],[Final_time]]-SUM(Tableau1[[#This Row],[0_100m]:[1300_1400m]])</f>
        <v>16.060000000000002</v>
      </c>
      <c r="T50">
        <v>241.26</v>
      </c>
      <c r="U50">
        <f t="shared" si="0"/>
        <v>241.26</v>
      </c>
      <c r="V50">
        <f t="shared" si="1"/>
        <v>0</v>
      </c>
      <c r="W50" s="12"/>
      <c r="X50" t="str">
        <f>_xlfn.CONCAT(Tableau1[[#This Row],[Competition]],"_",Tableau1[[#This Row],[Championship_step]],"_",Tableau1[[#This Row],[Competition_date]],"_",Tableau1[[#This Row],[Gender]])</f>
        <v>Diamond League Brussels 2024__45549_Female</v>
      </c>
      <c r="Y50" t="s">
        <v>90</v>
      </c>
      <c r="Z50" s="2" t="s">
        <v>43</v>
      </c>
      <c r="AA50" s="2"/>
      <c r="AB50" s="2" t="s">
        <v>65</v>
      </c>
      <c r="AC50" s="2">
        <v>45549</v>
      </c>
      <c r="AD50" s="3">
        <v>2024</v>
      </c>
      <c r="AE50" s="3">
        <v>13</v>
      </c>
      <c r="AF50" s="5">
        <v>0.65</v>
      </c>
      <c r="AG50" s="3" t="s">
        <v>64</v>
      </c>
      <c r="AH50" t="s">
        <v>92</v>
      </c>
    </row>
    <row r="51" spans="1:34" hidden="1" x14ac:dyDescent="0.35">
      <c r="A51" t="str">
        <f>_xlfn.CONCAT(Tableau1[[#This Row],[Athletes]],"_",Tableau1[[#This Row],[Nationality]],"_",Tableau1[[#This Row],[Competition_year]])</f>
        <v>Nikki HILTZ_USA_2025</v>
      </c>
      <c r="B51" s="7" t="s">
        <v>154</v>
      </c>
      <c r="C51" s="7" t="s">
        <v>47</v>
      </c>
      <c r="D51" s="7" t="s">
        <v>51</v>
      </c>
      <c r="E51" s="7">
        <v>15.2</v>
      </c>
      <c r="F51" s="7">
        <v>15.8</v>
      </c>
      <c r="G51" s="7">
        <v>16</v>
      </c>
      <c r="H51" s="7">
        <v>16.399999999999999</v>
      </c>
      <c r="I51" s="7">
        <v>16.2</v>
      </c>
      <c r="J51" s="7">
        <v>16.100000000000001</v>
      </c>
      <c r="K51" s="7">
        <v>15.9</v>
      </c>
      <c r="L51" s="7">
        <v>15.6</v>
      </c>
      <c r="M51" s="7">
        <v>16</v>
      </c>
      <c r="N51" s="7">
        <v>16</v>
      </c>
      <c r="O51" s="7">
        <v>16</v>
      </c>
      <c r="P51" s="7">
        <v>15.6</v>
      </c>
      <c r="Q51" s="7">
        <v>15.3</v>
      </c>
      <c r="R51" s="7">
        <v>15.1</v>
      </c>
      <c r="S51">
        <f>Tableau1[[#This Row],[Final_time]]-SUM(Tableau1[[#This Row],[0_100m]:[1300_1400m]])</f>
        <v>14.740000000000009</v>
      </c>
      <c r="T51" s="7">
        <v>235.94</v>
      </c>
      <c r="U51">
        <f t="shared" si="0"/>
        <v>235.94</v>
      </c>
      <c r="V51">
        <f t="shared" si="1"/>
        <v>0</v>
      </c>
      <c r="W51" s="12"/>
      <c r="X51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1" t="s">
        <v>1370</v>
      </c>
      <c r="Z51" s="2" t="s">
        <v>43</v>
      </c>
      <c r="AA51" s="2"/>
      <c r="AB51" s="2" t="s">
        <v>65</v>
      </c>
      <c r="AC51" s="2">
        <v>45891</v>
      </c>
      <c r="AD51" s="3">
        <v>2025</v>
      </c>
      <c r="AE51" s="3">
        <v>18</v>
      </c>
      <c r="AF51" s="5">
        <v>0.47</v>
      </c>
      <c r="AG51" s="3" t="s">
        <v>94</v>
      </c>
    </row>
    <row r="52" spans="1:34" hidden="1" x14ac:dyDescent="0.35">
      <c r="A52" t="str">
        <f>_xlfn.CONCAT(Tableau1[[#This Row],[Athletes]],"_",Tableau1[[#This Row],[Nationality]],"_",Tableau1[[#This Row],[Competition_year]])</f>
        <v>Agathe GUILLEMOT_FRA_2025</v>
      </c>
      <c r="B52" s="7" t="s">
        <v>171</v>
      </c>
      <c r="C52" s="7" t="s">
        <v>47</v>
      </c>
      <c r="D52" s="7" t="s">
        <v>18</v>
      </c>
      <c r="E52" s="7">
        <v>15.3</v>
      </c>
      <c r="F52" s="7">
        <v>15.8</v>
      </c>
      <c r="G52" s="7">
        <v>16.100000000000001</v>
      </c>
      <c r="H52" s="7">
        <v>16.399999999999999</v>
      </c>
      <c r="I52" s="7">
        <v>16.100000000000001</v>
      </c>
      <c r="J52" s="7">
        <v>16</v>
      </c>
      <c r="K52" s="7">
        <v>16</v>
      </c>
      <c r="L52" s="7">
        <v>15.8</v>
      </c>
      <c r="M52" s="7">
        <v>16.100000000000001</v>
      </c>
      <c r="N52" s="7">
        <v>16</v>
      </c>
      <c r="O52" s="7">
        <v>16</v>
      </c>
      <c r="P52" s="7">
        <v>16.2</v>
      </c>
      <c r="Q52" s="7">
        <v>15.7</v>
      </c>
      <c r="R52" s="7">
        <v>15.7</v>
      </c>
      <c r="S52">
        <f>Tableau1[[#This Row],[Final_time]]-SUM(Tableau1[[#This Row],[0_100m]:[1300_1400m]])</f>
        <v>15.090000000000032</v>
      </c>
      <c r="T52" s="7">
        <v>238.29</v>
      </c>
      <c r="U52">
        <f t="shared" si="0"/>
        <v>238.29</v>
      </c>
      <c r="V52">
        <f t="shared" si="1"/>
        <v>0</v>
      </c>
      <c r="W52" s="12"/>
      <c r="X52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2" t="s">
        <v>1370</v>
      </c>
      <c r="Z52" s="2" t="s">
        <v>43</v>
      </c>
      <c r="AA52" s="2"/>
      <c r="AB52" s="2" t="s">
        <v>65</v>
      </c>
      <c r="AC52" s="2">
        <v>45891</v>
      </c>
      <c r="AD52" s="3">
        <v>2025</v>
      </c>
      <c r="AE52" s="3">
        <v>18</v>
      </c>
      <c r="AF52" s="5">
        <v>0.47</v>
      </c>
      <c r="AG52" s="3" t="s">
        <v>94</v>
      </c>
    </row>
    <row r="53" spans="1:34" hidden="1" x14ac:dyDescent="0.35">
      <c r="A53" t="str">
        <f>_xlfn.CONCAT(Tableau1[[#This Row],[Athletes]],"_",Tableau1[[#This Row],[Nationality]],"_",Tableau1[[#This Row],[Competition_year]])</f>
        <v>Laura MUIR_GBR_2025</v>
      </c>
      <c r="B53" s="7" t="s">
        <v>153</v>
      </c>
      <c r="C53" s="7" t="s">
        <v>47</v>
      </c>
      <c r="D53" s="7" t="s">
        <v>20</v>
      </c>
      <c r="E53" s="7">
        <v>15.8</v>
      </c>
      <c r="F53" s="7">
        <v>16.3</v>
      </c>
      <c r="G53" s="7">
        <v>16</v>
      </c>
      <c r="H53" s="7">
        <v>16.3</v>
      </c>
      <c r="I53" s="7">
        <v>15.9</v>
      </c>
      <c r="J53" s="7">
        <v>16.5</v>
      </c>
      <c r="K53" s="7">
        <v>15.7</v>
      </c>
      <c r="L53" s="7">
        <v>16.100000000000001</v>
      </c>
      <c r="M53" s="7">
        <v>16</v>
      </c>
      <c r="N53" s="7">
        <v>15.9</v>
      </c>
      <c r="O53" s="7">
        <v>15.7</v>
      </c>
      <c r="P53" s="7">
        <v>16.100000000000001</v>
      </c>
      <c r="Q53" s="7">
        <v>15.3</v>
      </c>
      <c r="R53" s="7">
        <v>14.8</v>
      </c>
      <c r="S53">
        <f>Tableau1[[#This Row],[Final_time]]-SUM(Tableau1[[#This Row],[0_100m]:[1300_1400m]])</f>
        <v>15.229999999999961</v>
      </c>
      <c r="T53" s="7">
        <v>237.63</v>
      </c>
      <c r="U53">
        <f t="shared" si="0"/>
        <v>237.63</v>
      </c>
      <c r="V53">
        <f t="shared" si="1"/>
        <v>0</v>
      </c>
      <c r="W53" s="12"/>
      <c r="X53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3" t="s">
        <v>1370</v>
      </c>
      <c r="Z53" s="2" t="s">
        <v>43</v>
      </c>
      <c r="AA53" s="2"/>
      <c r="AB53" s="2" t="s">
        <v>65</v>
      </c>
      <c r="AC53" s="2">
        <v>45891</v>
      </c>
      <c r="AD53" s="3">
        <v>2025</v>
      </c>
      <c r="AE53" s="3">
        <v>18</v>
      </c>
      <c r="AF53" s="5">
        <v>0.47</v>
      </c>
      <c r="AG53" s="3" t="s">
        <v>94</v>
      </c>
    </row>
    <row r="54" spans="1:34" hidden="1" x14ac:dyDescent="0.35">
      <c r="A54" t="str">
        <f>_xlfn.CONCAT(Tableau1[[#This Row],[Athletes]],"_",Tableau1[[#This Row],[Nationality]],"_",Tableau1[[#This Row],[Competition_year]])</f>
        <v>Nelly CHEPCHIRCHIR_KEN_2025</v>
      </c>
      <c r="B54" s="7" t="s">
        <v>178</v>
      </c>
      <c r="C54" s="7" t="s">
        <v>47</v>
      </c>
      <c r="D54" s="7" t="s">
        <v>17</v>
      </c>
      <c r="E54" s="7">
        <v>15.5</v>
      </c>
      <c r="F54" s="7">
        <v>15.6</v>
      </c>
      <c r="G54" s="7">
        <v>15.9</v>
      </c>
      <c r="H54" s="7">
        <v>16.2</v>
      </c>
      <c r="I54" s="7">
        <v>16</v>
      </c>
      <c r="J54" s="7">
        <v>16.100000000000001</v>
      </c>
      <c r="K54" s="7">
        <v>15.8</v>
      </c>
      <c r="L54" s="7">
        <v>16</v>
      </c>
      <c r="M54" s="7">
        <v>16</v>
      </c>
      <c r="N54" s="7">
        <v>16</v>
      </c>
      <c r="O54" s="7">
        <v>16</v>
      </c>
      <c r="P54" s="7">
        <v>15.6</v>
      </c>
      <c r="Q54" s="7">
        <v>15.5</v>
      </c>
      <c r="R54" s="7">
        <v>15.7</v>
      </c>
      <c r="S54">
        <f>Tableau1[[#This Row],[Final_time]]-SUM(Tableau1[[#This Row],[0_100m]:[1300_1400m]])</f>
        <v>15.449999999999989</v>
      </c>
      <c r="T54" s="7">
        <v>237.35</v>
      </c>
      <c r="U54">
        <f t="shared" si="0"/>
        <v>237.35</v>
      </c>
      <c r="V54">
        <f t="shared" si="1"/>
        <v>0</v>
      </c>
      <c r="W54" s="12"/>
      <c r="X54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4" t="s">
        <v>1370</v>
      </c>
      <c r="Z54" s="2" t="s">
        <v>43</v>
      </c>
      <c r="AA54" s="2"/>
      <c r="AB54" s="2" t="s">
        <v>65</v>
      </c>
      <c r="AC54" s="2">
        <v>45891</v>
      </c>
      <c r="AD54" s="3">
        <v>2025</v>
      </c>
      <c r="AE54" s="3">
        <v>18</v>
      </c>
      <c r="AF54" s="5">
        <v>0.47</v>
      </c>
      <c r="AG54" s="3" t="s">
        <v>94</v>
      </c>
    </row>
    <row r="55" spans="1:34" hidden="1" x14ac:dyDescent="0.35">
      <c r="A55" t="str">
        <f>_xlfn.CONCAT(Tableau1[[#This Row],[Athletes]],"_",Tableau1[[#This Row],[Nationality]],"_",Tableau1[[#This Row],[Competition_year]])</f>
        <v>Marta ZENONI_ITA_2025</v>
      </c>
      <c r="B55" s="7" t="s">
        <v>1333</v>
      </c>
      <c r="C55" s="7" t="s">
        <v>47</v>
      </c>
      <c r="D55" s="7" t="s">
        <v>19</v>
      </c>
      <c r="E55" s="7">
        <v>15.1</v>
      </c>
      <c r="F55" s="7">
        <v>15.6</v>
      </c>
      <c r="G55" s="7">
        <v>16.100000000000001</v>
      </c>
      <c r="H55" s="7">
        <v>16.5</v>
      </c>
      <c r="I55" s="7">
        <v>16.100000000000001</v>
      </c>
      <c r="J55" s="7">
        <v>16</v>
      </c>
      <c r="K55" s="7">
        <v>16</v>
      </c>
      <c r="L55" s="7">
        <v>16.2</v>
      </c>
      <c r="M55" s="7">
        <v>16.2</v>
      </c>
      <c r="N55" s="7">
        <v>15.9</v>
      </c>
      <c r="O55" s="7">
        <v>15.6</v>
      </c>
      <c r="P55" s="7">
        <v>16.399999999999999</v>
      </c>
      <c r="Q55" s="7">
        <v>16.7</v>
      </c>
      <c r="R55" s="7">
        <v>15.9</v>
      </c>
      <c r="S55">
        <f>Tableau1[[#This Row],[Final_time]]-SUM(Tableau1[[#This Row],[0_100m]:[1300_1400m]])</f>
        <v>15.699999999999989</v>
      </c>
      <c r="T55" s="7">
        <v>240</v>
      </c>
      <c r="U55">
        <f t="shared" si="0"/>
        <v>240</v>
      </c>
      <c r="V55">
        <f t="shared" si="1"/>
        <v>0</v>
      </c>
      <c r="W55" s="12"/>
      <c r="X55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5" t="s">
        <v>1370</v>
      </c>
      <c r="Z55" s="2" t="s">
        <v>43</v>
      </c>
      <c r="AA55" s="2"/>
      <c r="AB55" s="2" t="s">
        <v>65</v>
      </c>
      <c r="AC55" s="2">
        <v>45891</v>
      </c>
      <c r="AD55" s="3">
        <v>2025</v>
      </c>
      <c r="AE55" s="3">
        <v>18</v>
      </c>
      <c r="AF55" s="5">
        <v>0.47</v>
      </c>
      <c r="AG55" s="3" t="s">
        <v>94</v>
      </c>
    </row>
    <row r="56" spans="1:34" hidden="1" x14ac:dyDescent="0.35">
      <c r="A56" t="str">
        <f>_xlfn.CONCAT(Tableau1[[#This Row],[Athletes]],"_",Tableau1[[#This Row],[Nationality]],"_",Tableau1[[#This Row],[Competition_year]])</f>
        <v>Linden HALL_AUS_2025</v>
      </c>
      <c r="B56" s="11" t="s">
        <v>184</v>
      </c>
      <c r="C56" s="11" t="s">
        <v>47</v>
      </c>
      <c r="D56" s="11" t="s">
        <v>21</v>
      </c>
      <c r="E56" s="11">
        <v>15.1</v>
      </c>
      <c r="F56" s="11">
        <v>15.4</v>
      </c>
      <c r="G56" s="11">
        <v>15.9</v>
      </c>
      <c r="H56" s="11">
        <v>15.9</v>
      </c>
      <c r="I56" s="11">
        <v>15.8</v>
      </c>
      <c r="J56" s="11">
        <v>15.7</v>
      </c>
      <c r="K56" s="11">
        <v>15.8</v>
      </c>
      <c r="L56" s="11">
        <v>15.7</v>
      </c>
      <c r="M56" s="11">
        <v>15.7</v>
      </c>
      <c r="N56" s="11">
        <v>15.8</v>
      </c>
      <c r="O56" s="11">
        <v>15.9</v>
      </c>
      <c r="P56" s="11">
        <v>15.8</v>
      </c>
      <c r="Q56" s="11">
        <v>15.9</v>
      </c>
      <c r="R56" s="11">
        <v>16</v>
      </c>
      <c r="S56">
        <f>Tableau1[[#This Row],[Final_time]]-SUM(Tableau1[[#This Row],[0_100m]:[1300_1400m]])</f>
        <v>15.929999999999978</v>
      </c>
      <c r="T56" s="11">
        <v>236.33</v>
      </c>
      <c r="U56">
        <f t="shared" si="0"/>
        <v>236.33</v>
      </c>
      <c r="V56">
        <f t="shared" si="1"/>
        <v>0</v>
      </c>
      <c r="W56" s="12"/>
      <c r="X56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6" t="s">
        <v>1370</v>
      </c>
      <c r="Z56" s="2" t="s">
        <v>43</v>
      </c>
      <c r="AA56" s="2"/>
      <c r="AB56" s="2" t="s">
        <v>65</v>
      </c>
      <c r="AC56" s="2">
        <v>45891</v>
      </c>
      <c r="AD56" s="3">
        <v>2025</v>
      </c>
      <c r="AE56" s="3">
        <v>18</v>
      </c>
      <c r="AF56" s="5">
        <v>0.47</v>
      </c>
      <c r="AG56" s="3" t="s">
        <v>94</v>
      </c>
    </row>
    <row r="57" spans="1:34" hidden="1" x14ac:dyDescent="0.35">
      <c r="A57" t="str">
        <f>_xlfn.CONCAT(Tableau1[[#This Row],[Athletes]],"_",Tableau1[[#This Row],[Nationality]],"_",Tableau1[[#This Row],[Competition_year]])</f>
        <v>Esther GUERRERO_ESP_2025</v>
      </c>
      <c r="B57" s="7" t="s">
        <v>169</v>
      </c>
      <c r="C57" s="7" t="s">
        <v>47</v>
      </c>
      <c r="D57" s="7" t="s">
        <v>22</v>
      </c>
      <c r="E57" s="7">
        <v>15.7</v>
      </c>
      <c r="F57" s="7">
        <v>15.9</v>
      </c>
      <c r="G57" s="7">
        <v>16.100000000000001</v>
      </c>
      <c r="H57" s="7">
        <v>16.399999999999999</v>
      </c>
      <c r="I57" s="7">
        <v>16.100000000000001</v>
      </c>
      <c r="J57" s="7">
        <v>16.2</v>
      </c>
      <c r="K57" s="7">
        <v>15.9</v>
      </c>
      <c r="L57" s="7">
        <v>16</v>
      </c>
      <c r="M57" s="7">
        <v>15.9</v>
      </c>
      <c r="N57" s="7">
        <v>16</v>
      </c>
      <c r="O57" s="7">
        <v>15.7</v>
      </c>
      <c r="P57" s="7">
        <v>16.2</v>
      </c>
      <c r="Q57" s="7">
        <v>15.7</v>
      </c>
      <c r="R57" s="7">
        <v>15.7</v>
      </c>
      <c r="S57">
        <f>Tableau1[[#This Row],[Final_time]]-SUM(Tableau1[[#This Row],[0_100m]:[1300_1400m]])</f>
        <v>15.950000000000017</v>
      </c>
      <c r="T57" s="7">
        <v>239.45</v>
      </c>
      <c r="U57">
        <f t="shared" si="0"/>
        <v>239.45</v>
      </c>
      <c r="V57">
        <f t="shared" si="1"/>
        <v>0</v>
      </c>
      <c r="W57" s="12"/>
      <c r="X57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7" t="s">
        <v>1370</v>
      </c>
      <c r="Z57" s="2" t="s">
        <v>43</v>
      </c>
      <c r="AA57" s="2"/>
      <c r="AB57" s="2" t="s">
        <v>65</v>
      </c>
      <c r="AC57" s="2">
        <v>45891</v>
      </c>
      <c r="AD57" s="3">
        <v>2025</v>
      </c>
      <c r="AE57" s="3">
        <v>18</v>
      </c>
      <c r="AF57" s="5">
        <v>0.47</v>
      </c>
      <c r="AG57" s="3" t="s">
        <v>94</v>
      </c>
    </row>
    <row r="58" spans="1:34" hidden="1" x14ac:dyDescent="0.35">
      <c r="A58" t="str">
        <f>_xlfn.CONCAT(Tableau1[[#This Row],[Athletes]],"_",Tableau1[[#This Row],[Nationality]],"_",Tableau1[[#This Row],[Competition_year]])</f>
        <v>Marta PÉREZ_ESP_2025</v>
      </c>
      <c r="B58" s="7" t="s">
        <v>183</v>
      </c>
      <c r="C58" s="7" t="s">
        <v>47</v>
      </c>
      <c r="D58" s="7" t="s">
        <v>22</v>
      </c>
      <c r="E58" s="7">
        <v>15.5</v>
      </c>
      <c r="F58" s="7">
        <v>15.9</v>
      </c>
      <c r="G58" s="7">
        <v>16.100000000000001</v>
      </c>
      <c r="H58" s="7">
        <v>16.399999999999999</v>
      </c>
      <c r="I58" s="7">
        <v>16.100000000000001</v>
      </c>
      <c r="J58" s="7">
        <v>16.100000000000001</v>
      </c>
      <c r="K58" s="7">
        <v>16</v>
      </c>
      <c r="L58" s="7">
        <v>15.8</v>
      </c>
      <c r="M58" s="7">
        <v>16.100000000000001</v>
      </c>
      <c r="N58" s="7">
        <v>15.9</v>
      </c>
      <c r="O58" s="7">
        <v>15.8</v>
      </c>
      <c r="P58" s="7">
        <v>15.9</v>
      </c>
      <c r="Q58" s="7">
        <v>15.7</v>
      </c>
      <c r="R58" s="7">
        <v>15.7</v>
      </c>
      <c r="S58">
        <f>Tableau1[[#This Row],[Final_time]]-SUM(Tableau1[[#This Row],[0_100m]:[1300_1400m]])</f>
        <v>16.129999999999995</v>
      </c>
      <c r="T58" s="7">
        <v>239.13</v>
      </c>
      <c r="U58">
        <f t="shared" si="0"/>
        <v>239.13</v>
      </c>
      <c r="V58">
        <f t="shared" si="1"/>
        <v>0</v>
      </c>
      <c r="W58" s="12"/>
      <c r="X58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8" t="s">
        <v>1370</v>
      </c>
      <c r="Z58" s="2" t="s">
        <v>43</v>
      </c>
      <c r="AA58" s="2"/>
      <c r="AB58" s="2" t="s">
        <v>65</v>
      </c>
      <c r="AC58" s="2">
        <v>45891</v>
      </c>
      <c r="AD58" s="3">
        <v>2025</v>
      </c>
      <c r="AE58" s="3">
        <v>18</v>
      </c>
      <c r="AF58" s="5">
        <v>0.47</v>
      </c>
      <c r="AG58" s="3" t="s">
        <v>94</v>
      </c>
    </row>
    <row r="59" spans="1:34" hidden="1" x14ac:dyDescent="0.35">
      <c r="A59" t="str">
        <f>_xlfn.CONCAT(Tableau1[[#This Row],[Athletes]],"_",Tableau1[[#This Row],[Nationality]],"_",Tableau1[[#This Row],[Competition_year]])</f>
        <v>Heather MACLEAN_USA_2025</v>
      </c>
      <c r="B59" s="7" t="s">
        <v>355</v>
      </c>
      <c r="C59" s="7" t="s">
        <v>47</v>
      </c>
      <c r="D59" s="7" t="s">
        <v>51</v>
      </c>
      <c r="E59" s="7">
        <v>15.3</v>
      </c>
      <c r="F59" s="7">
        <v>15.8</v>
      </c>
      <c r="G59" s="7">
        <v>16.100000000000001</v>
      </c>
      <c r="H59" s="7">
        <v>16.399999999999999</v>
      </c>
      <c r="I59" s="7">
        <v>16.2</v>
      </c>
      <c r="J59" s="7">
        <v>16.100000000000001</v>
      </c>
      <c r="K59" s="7">
        <v>16</v>
      </c>
      <c r="L59" s="7">
        <v>16</v>
      </c>
      <c r="M59" s="7">
        <v>15.7</v>
      </c>
      <c r="N59" s="7">
        <v>15.8</v>
      </c>
      <c r="O59" s="7">
        <v>16</v>
      </c>
      <c r="P59" s="7">
        <v>16.5</v>
      </c>
      <c r="Q59" s="7">
        <v>16.100000000000001</v>
      </c>
      <c r="R59" s="7">
        <v>16</v>
      </c>
      <c r="S59">
        <f>Tableau1[[#This Row],[Final_time]]-SUM(Tableau1[[#This Row],[0_100m]:[1300_1400m]])</f>
        <v>16.539999999999992</v>
      </c>
      <c r="T59" s="7">
        <v>240.54</v>
      </c>
      <c r="U59">
        <f t="shared" si="0"/>
        <v>240.54</v>
      </c>
      <c r="V59">
        <f t="shared" si="1"/>
        <v>0</v>
      </c>
      <c r="W59" s="12"/>
      <c r="X59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59" t="s">
        <v>1370</v>
      </c>
      <c r="Z59" s="2" t="s">
        <v>43</v>
      </c>
      <c r="AA59" s="2"/>
      <c r="AB59" s="2" t="s">
        <v>65</v>
      </c>
      <c r="AC59" s="2">
        <v>45891</v>
      </c>
      <c r="AD59" s="3">
        <v>2025</v>
      </c>
      <c r="AE59" s="3">
        <v>18</v>
      </c>
      <c r="AF59" s="5">
        <v>0.47</v>
      </c>
      <c r="AG59" s="3" t="s">
        <v>94</v>
      </c>
    </row>
    <row r="60" spans="1:34" hidden="1" x14ac:dyDescent="0.35">
      <c r="A60" t="str">
        <f>_xlfn.CONCAT(Tableau1[[#This Row],[Athletes]],"_",Tableau1[[#This Row],[Nationality]],"_",Tableau1[[#This Row],[Competition_year]])</f>
        <v>Susan Lokayo EJORE_KEN_2025</v>
      </c>
      <c r="B60" s="7" t="s">
        <v>1264</v>
      </c>
      <c r="C60" s="7" t="s">
        <v>47</v>
      </c>
      <c r="D60" s="7" t="s">
        <v>17</v>
      </c>
      <c r="E60" s="7">
        <v>15.6</v>
      </c>
      <c r="F60" s="7">
        <v>16</v>
      </c>
      <c r="G60" s="7">
        <v>15.5</v>
      </c>
      <c r="H60" s="7">
        <v>16.3</v>
      </c>
      <c r="I60" s="7">
        <v>16</v>
      </c>
      <c r="J60" s="7">
        <v>16</v>
      </c>
      <c r="K60" s="7">
        <v>16</v>
      </c>
      <c r="L60" s="7">
        <v>15.9</v>
      </c>
      <c r="M60" s="7">
        <v>16</v>
      </c>
      <c r="N60" s="7">
        <v>16</v>
      </c>
      <c r="O60" s="7">
        <v>16</v>
      </c>
      <c r="P60" s="7">
        <v>15.7</v>
      </c>
      <c r="Q60" s="7">
        <v>15.9</v>
      </c>
      <c r="R60" s="7">
        <v>16.5</v>
      </c>
      <c r="S60">
        <f>Tableau1[[#This Row],[Final_time]]-SUM(Tableau1[[#This Row],[0_100m]:[1300_1400m]])</f>
        <v>16.78</v>
      </c>
      <c r="T60" s="7">
        <v>240.18</v>
      </c>
      <c r="U60">
        <f t="shared" si="0"/>
        <v>240.18</v>
      </c>
      <c r="V60">
        <f t="shared" si="1"/>
        <v>0</v>
      </c>
      <c r="W60" s="12"/>
      <c r="X60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60" t="s">
        <v>1370</v>
      </c>
      <c r="Z60" s="2" t="s">
        <v>43</v>
      </c>
      <c r="AA60" s="2"/>
      <c r="AB60" s="2" t="s">
        <v>65</v>
      </c>
      <c r="AC60" s="2">
        <v>45891</v>
      </c>
      <c r="AD60" s="3">
        <v>2025</v>
      </c>
      <c r="AE60" s="3">
        <v>18</v>
      </c>
      <c r="AF60" s="5">
        <v>0.47</v>
      </c>
      <c r="AG60" s="3" t="s">
        <v>94</v>
      </c>
    </row>
    <row r="61" spans="1:34" hidden="1" x14ac:dyDescent="0.35">
      <c r="A61" t="str">
        <f>_xlfn.CONCAT(Tableau1[[#This Row],[Athletes]],"_",Tableau1[[#This Row],[Nationality]],"_",Tableau1[[#This Row],[Competition_year]])</f>
        <v>Axumawit EMBAYE_ETH_2025</v>
      </c>
      <c r="B61" s="7" t="s">
        <v>269</v>
      </c>
      <c r="C61" s="7" t="s">
        <v>47</v>
      </c>
      <c r="D61" s="7" t="s">
        <v>48</v>
      </c>
      <c r="E61" s="7">
        <v>15.9</v>
      </c>
      <c r="F61" s="7">
        <v>16</v>
      </c>
      <c r="G61" s="7">
        <v>16</v>
      </c>
      <c r="H61" s="7">
        <v>16.399999999999999</v>
      </c>
      <c r="I61" s="7">
        <v>16.100000000000001</v>
      </c>
      <c r="J61" s="7">
        <v>16.3</v>
      </c>
      <c r="K61" s="7">
        <v>15.9</v>
      </c>
      <c r="L61" s="7">
        <v>16.7</v>
      </c>
      <c r="M61" s="7">
        <v>16.7</v>
      </c>
      <c r="N61" s="7">
        <v>16.7</v>
      </c>
      <c r="O61" s="7">
        <v>16.7</v>
      </c>
      <c r="P61" s="7">
        <v>17.399999999999999</v>
      </c>
      <c r="Q61" s="7">
        <v>17.8</v>
      </c>
      <c r="R61" s="7">
        <v>17.8</v>
      </c>
      <c r="S61">
        <f>Tableau1[[#This Row],[Final_time]]-SUM(Tableau1[[#This Row],[0_100m]:[1300_1400m]])</f>
        <v>17.009999999999991</v>
      </c>
      <c r="T61" s="7">
        <v>249.41</v>
      </c>
      <c r="U61">
        <f t="shared" si="0"/>
        <v>249.41</v>
      </c>
      <c r="V61">
        <f t="shared" si="1"/>
        <v>0</v>
      </c>
      <c r="W61" s="12"/>
      <c r="X61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61" t="s">
        <v>1370</v>
      </c>
      <c r="Z61" s="2" t="s">
        <v>43</v>
      </c>
      <c r="AA61" s="2"/>
      <c r="AB61" s="2" t="s">
        <v>65</v>
      </c>
      <c r="AC61" s="2">
        <v>45891</v>
      </c>
      <c r="AD61" s="3">
        <v>2025</v>
      </c>
      <c r="AE61" s="3">
        <v>18</v>
      </c>
      <c r="AF61" s="5">
        <v>0.47</v>
      </c>
      <c r="AG61" s="3" t="s">
        <v>94</v>
      </c>
    </row>
    <row r="62" spans="1:34" hidden="1" x14ac:dyDescent="0.35">
      <c r="A62" t="str">
        <f>_xlfn.CONCAT(Tableau1[[#This Row],[Athletes]],"_",Tableau1[[#This Row],[Nationality]],"_",Tableau1[[#This Row],[Competition_year]])</f>
        <v>Sinclaire JOHNSON_USA_2025</v>
      </c>
      <c r="B62" s="7" t="s">
        <v>185</v>
      </c>
      <c r="C62" s="7" t="s">
        <v>47</v>
      </c>
      <c r="D62" s="7" t="s">
        <v>51</v>
      </c>
      <c r="E62" s="7">
        <v>15.5</v>
      </c>
      <c r="F62" s="7">
        <v>15.9</v>
      </c>
      <c r="G62" s="7">
        <v>16</v>
      </c>
      <c r="H62" s="7">
        <v>16.3</v>
      </c>
      <c r="I62" s="7">
        <v>16.2</v>
      </c>
      <c r="J62" s="7">
        <v>16.399999999999999</v>
      </c>
      <c r="K62" s="7">
        <v>15.7</v>
      </c>
      <c r="L62" s="7">
        <v>24.3</v>
      </c>
      <c r="M62" s="7">
        <v>18.100000000000001</v>
      </c>
      <c r="N62" s="7">
        <v>18.100000000000001</v>
      </c>
      <c r="O62" s="7">
        <v>17.600000000000001</v>
      </c>
      <c r="P62" s="7">
        <v>17.2</v>
      </c>
      <c r="Q62" s="7">
        <v>17.399999999999999</v>
      </c>
      <c r="R62" s="7">
        <v>17.2</v>
      </c>
      <c r="S62">
        <f>Tableau1[[#This Row],[Final_time]]-SUM(Tableau1[[#This Row],[0_100m]:[1300_1400m]])</f>
        <v>17.020000000000039</v>
      </c>
      <c r="T62" s="7">
        <v>258.92</v>
      </c>
      <c r="U62">
        <f t="shared" si="0"/>
        <v>258.92</v>
      </c>
      <c r="V62">
        <f t="shared" si="1"/>
        <v>0</v>
      </c>
      <c r="W62" s="12"/>
      <c r="X62" t="str">
        <f>_xlfn.CONCAT(Tableau1[[#This Row],[Competition]],"_",Tableau1[[#This Row],[Championship_step]],"_",Tableau1[[#This Row],[Competition_date]],"_",Tableau1[[#This Row],[Gender]])</f>
        <v>Diamond League Brussels 2025__45891_Female</v>
      </c>
      <c r="Y62" t="s">
        <v>1370</v>
      </c>
      <c r="Z62" s="2" t="s">
        <v>43</v>
      </c>
      <c r="AA62" s="2"/>
      <c r="AB62" s="2" t="s">
        <v>65</v>
      </c>
      <c r="AC62" s="2">
        <v>45891</v>
      </c>
      <c r="AD62" s="3">
        <v>2025</v>
      </c>
      <c r="AE62" s="3">
        <v>18</v>
      </c>
      <c r="AF62" s="5">
        <v>0.47</v>
      </c>
      <c r="AG62" s="3" t="s">
        <v>94</v>
      </c>
    </row>
    <row r="63" spans="1:34" x14ac:dyDescent="0.35">
      <c r="A63" t="str">
        <f>_xlfn.CONCAT(Tableau1[[#This Row],[Athletes]],"_",Tableau1[[#This Row],[Nationality]],"_",Tableau1[[#This Row],[Competition_year]])</f>
        <v>Niels LAROS_NED_2025</v>
      </c>
      <c r="B63" s="7" t="s">
        <v>214</v>
      </c>
      <c r="C63" s="7" t="s">
        <v>16</v>
      </c>
      <c r="D63" s="7" t="s">
        <v>39</v>
      </c>
      <c r="E63" s="7">
        <v>14</v>
      </c>
      <c r="F63" s="7">
        <v>14</v>
      </c>
      <c r="G63" s="7">
        <v>13.8</v>
      </c>
      <c r="H63" s="7">
        <v>14.5</v>
      </c>
      <c r="I63" s="7">
        <v>14.3</v>
      </c>
      <c r="J63" s="7">
        <v>14.4</v>
      </c>
      <c r="K63" s="7">
        <v>14.2</v>
      </c>
      <c r="L63" s="7">
        <v>14.6</v>
      </c>
      <c r="M63" s="7">
        <v>14.3</v>
      </c>
      <c r="N63" s="7">
        <v>14.5</v>
      </c>
      <c r="O63" s="7">
        <v>14.5</v>
      </c>
      <c r="P63" s="7">
        <v>14.3</v>
      </c>
      <c r="Q63" s="7">
        <v>13.6</v>
      </c>
      <c r="R63" s="7">
        <v>13</v>
      </c>
      <c r="S63">
        <f>Tableau1[[#This Row],[Final_time]]-SUM(Tableau1[[#This Row],[0_100m]:[1300_1400m]])</f>
        <v>12.580000000000013</v>
      </c>
      <c r="T63" s="7">
        <v>210.58</v>
      </c>
      <c r="U63">
        <f t="shared" si="0"/>
        <v>210.58</v>
      </c>
      <c r="V63">
        <f t="shared" si="1"/>
        <v>0</v>
      </c>
      <c r="W63" s="12"/>
      <c r="X63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3" t="s">
        <v>1370</v>
      </c>
      <c r="Z63" s="2" t="s">
        <v>43</v>
      </c>
      <c r="AA63" s="2"/>
      <c r="AB63" s="2" t="s">
        <v>65</v>
      </c>
      <c r="AC63" s="2">
        <v>45891</v>
      </c>
      <c r="AD63" s="3">
        <v>2025</v>
      </c>
      <c r="AE63" s="3"/>
      <c r="AG63" s="3"/>
    </row>
    <row r="64" spans="1:34" x14ac:dyDescent="0.35">
      <c r="A64" t="str">
        <f>_xlfn.CONCAT(Tableau1[[#This Row],[Athletes]],"_",Tableau1[[#This Row],[Nationality]],"_",Tableau1[[#This Row],[Competition_year]])</f>
        <v>Reynold CHERUIYOT_KEN_2025</v>
      </c>
      <c r="B64" s="7" t="s">
        <v>1192</v>
      </c>
      <c r="C64" s="7" t="s">
        <v>16</v>
      </c>
      <c r="D64" s="7" t="s">
        <v>17</v>
      </c>
      <c r="E64" s="7">
        <v>13.5</v>
      </c>
      <c r="F64" s="7">
        <v>14.1</v>
      </c>
      <c r="G64" s="7">
        <v>14.4</v>
      </c>
      <c r="H64" s="7">
        <v>14.7</v>
      </c>
      <c r="I64" s="7">
        <v>14.5</v>
      </c>
      <c r="J64" s="7">
        <v>14.4</v>
      </c>
      <c r="K64" s="7">
        <v>14.3</v>
      </c>
      <c r="L64" s="7">
        <v>14.4</v>
      </c>
      <c r="M64" s="7">
        <v>14.4</v>
      </c>
      <c r="N64" s="7">
        <v>14.6</v>
      </c>
      <c r="O64" s="7">
        <v>14.2</v>
      </c>
      <c r="P64" s="7">
        <v>14.6</v>
      </c>
      <c r="Q64" s="7">
        <v>13.6</v>
      </c>
      <c r="R64" s="7">
        <v>13.5</v>
      </c>
      <c r="S64">
        <f>Tableau1[[#This Row],[Final_time]]-SUM(Tableau1[[#This Row],[0_100m]:[1300_1400m]])</f>
        <v>12.660000000000025</v>
      </c>
      <c r="T64" s="7">
        <v>211.86</v>
      </c>
      <c r="U64">
        <f t="shared" si="0"/>
        <v>211.86</v>
      </c>
      <c r="V64">
        <f t="shared" si="1"/>
        <v>0</v>
      </c>
      <c r="W64" s="12"/>
      <c r="X64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4" t="s">
        <v>1370</v>
      </c>
      <c r="Z64" s="2" t="s">
        <v>43</v>
      </c>
      <c r="AA64" s="2"/>
      <c r="AB64" s="2" t="s">
        <v>65</v>
      </c>
      <c r="AC64" s="2">
        <v>45891</v>
      </c>
      <c r="AD64" s="3">
        <v>2025</v>
      </c>
      <c r="AE64" s="3"/>
      <c r="AG64" s="3"/>
    </row>
    <row r="65" spans="1:33" x14ac:dyDescent="0.35">
      <c r="A65" t="str">
        <f>_xlfn.CONCAT(Tableau1[[#This Row],[Athletes]],"_",Tableau1[[#This Row],[Nationality]],"_",Tableau1[[#This Row],[Competition_year]])</f>
        <v>Yared NUGUSE_USA_2025</v>
      </c>
      <c r="B65" s="7" t="s">
        <v>228</v>
      </c>
      <c r="C65" s="7" t="s">
        <v>16</v>
      </c>
      <c r="D65" s="7" t="s">
        <v>51</v>
      </c>
      <c r="E65" s="7">
        <v>13.8</v>
      </c>
      <c r="F65" s="7">
        <v>13.9</v>
      </c>
      <c r="G65" s="7">
        <v>14.2</v>
      </c>
      <c r="H65" s="7">
        <v>15</v>
      </c>
      <c r="I65" s="7">
        <v>14.5</v>
      </c>
      <c r="J65" s="7">
        <v>14.6</v>
      </c>
      <c r="K65" s="7">
        <v>13.8</v>
      </c>
      <c r="L65" s="7">
        <v>14.2</v>
      </c>
      <c r="M65" s="7">
        <v>14.2</v>
      </c>
      <c r="N65" s="7">
        <v>14.5</v>
      </c>
      <c r="O65" s="7">
        <v>14.5</v>
      </c>
      <c r="P65" s="7">
        <v>14.4</v>
      </c>
      <c r="Q65" s="7">
        <v>13.5</v>
      </c>
      <c r="R65" s="7">
        <v>13.3</v>
      </c>
      <c r="S65">
        <f>Tableau1[[#This Row],[Final_time]]-SUM(Tableau1[[#This Row],[0_100m]:[1300_1400m]])</f>
        <v>13.109999999999985</v>
      </c>
      <c r="T65" s="7">
        <v>211.51</v>
      </c>
      <c r="U65">
        <f t="shared" si="0"/>
        <v>211.51</v>
      </c>
      <c r="V65">
        <f t="shared" si="1"/>
        <v>0</v>
      </c>
      <c r="W65" s="12"/>
      <c r="X65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5" t="s">
        <v>1370</v>
      </c>
      <c r="Z65" s="2" t="s">
        <v>43</v>
      </c>
      <c r="AA65" s="2"/>
      <c r="AB65" s="2" t="s">
        <v>65</v>
      </c>
      <c r="AC65" s="2">
        <v>45891</v>
      </c>
      <c r="AD65" s="3">
        <v>2025</v>
      </c>
      <c r="AE65" s="3"/>
      <c r="AG65" s="3"/>
    </row>
    <row r="66" spans="1:33" x14ac:dyDescent="0.35">
      <c r="A66" t="str">
        <f>_xlfn.CONCAT(Tableau1[[#This Row],[Athletes]],"_",Tableau1[[#This Row],[Nationality]],"_",Tableau1[[#This Row],[Competition_year]])</f>
        <v>Phanuel Kipkosgei KOECH_KEN_2025</v>
      </c>
      <c r="B66" s="7" t="s">
        <v>1353</v>
      </c>
      <c r="C66" s="7" t="s">
        <v>16</v>
      </c>
      <c r="D66" s="7" t="s">
        <v>17</v>
      </c>
      <c r="E66" s="7">
        <v>13.5</v>
      </c>
      <c r="F66" s="7">
        <v>13.9</v>
      </c>
      <c r="G66" s="7">
        <v>14.3</v>
      </c>
      <c r="H66" s="7">
        <v>14.4</v>
      </c>
      <c r="I66" s="7">
        <v>14.4</v>
      </c>
      <c r="J66" s="7">
        <v>14.3</v>
      </c>
      <c r="K66" s="7">
        <v>14.2</v>
      </c>
      <c r="L66" s="7">
        <v>14.6</v>
      </c>
      <c r="M66" s="7">
        <v>14.4</v>
      </c>
      <c r="N66" s="7">
        <v>14.4</v>
      </c>
      <c r="O66" s="7">
        <v>14.6</v>
      </c>
      <c r="P66" s="7">
        <v>14.3</v>
      </c>
      <c r="Q66" s="7">
        <v>13.6</v>
      </c>
      <c r="R66" s="7">
        <v>13.2</v>
      </c>
      <c r="S66">
        <f>Tableau1[[#This Row],[Final_time]]-SUM(Tableau1[[#This Row],[0_100m]:[1300_1400m]])</f>
        <v>13.310000000000002</v>
      </c>
      <c r="T66" s="7">
        <v>211.41</v>
      </c>
      <c r="U66">
        <f t="shared" ref="U66:U129" si="2">SUM(E66:S66)</f>
        <v>211.41</v>
      </c>
      <c r="V66">
        <f t="shared" ref="V66:V129" si="3">ABS(U66-T66)</f>
        <v>0</v>
      </c>
      <c r="W66" s="12"/>
      <c r="X6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6" t="s">
        <v>1370</v>
      </c>
      <c r="Z66" s="2" t="s">
        <v>43</v>
      </c>
      <c r="AA66" s="2"/>
      <c r="AB66" s="2" t="s">
        <v>65</v>
      </c>
      <c r="AC66" s="2">
        <v>45891</v>
      </c>
      <c r="AD66" s="3">
        <v>2025</v>
      </c>
      <c r="AE66" s="3"/>
      <c r="AG66" s="3"/>
    </row>
    <row r="67" spans="1:33" x14ac:dyDescent="0.35">
      <c r="A67" t="str">
        <f>_xlfn.CONCAT(Tableau1[[#This Row],[Athletes]],"_",Tableau1[[#This Row],[Nationality]],"_",Tableau1[[#This Row],[Competition_year]])</f>
        <v>Louis GILAVERT_FRA_2025</v>
      </c>
      <c r="B67" s="7" t="s">
        <v>1359</v>
      </c>
      <c r="C67" s="7" t="s">
        <v>16</v>
      </c>
      <c r="D67" s="7" t="s">
        <v>18</v>
      </c>
      <c r="E67" s="7">
        <v>13.5</v>
      </c>
      <c r="F67" s="7">
        <v>14.1</v>
      </c>
      <c r="G67" s="7">
        <v>14.6</v>
      </c>
      <c r="H67" s="7">
        <v>14.9</v>
      </c>
      <c r="I67" s="7">
        <v>14.4</v>
      </c>
      <c r="J67" s="7">
        <v>14.5</v>
      </c>
      <c r="K67" s="7">
        <v>14.3</v>
      </c>
      <c r="L67" s="7">
        <v>14.3</v>
      </c>
      <c r="M67" s="7">
        <v>14.4</v>
      </c>
      <c r="N67" s="7">
        <v>14.7</v>
      </c>
      <c r="O67" s="7">
        <v>14.1</v>
      </c>
      <c r="P67" s="7">
        <v>14.5</v>
      </c>
      <c r="Q67" s="7">
        <v>13.5</v>
      </c>
      <c r="R67" s="7">
        <v>13.6</v>
      </c>
      <c r="S67">
        <f>Tableau1[[#This Row],[Final_time]]-SUM(Tableau1[[#This Row],[0_100m]:[1300_1400m]])</f>
        <v>13.380000000000024</v>
      </c>
      <c r="T67" s="7">
        <v>212.78</v>
      </c>
      <c r="U67">
        <f t="shared" si="2"/>
        <v>212.78</v>
      </c>
      <c r="V67">
        <f t="shared" si="3"/>
        <v>0</v>
      </c>
      <c r="W67" s="12"/>
      <c r="X67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7" t="s">
        <v>1370</v>
      </c>
      <c r="Z67" s="2" t="s">
        <v>43</v>
      </c>
      <c r="AA67" s="2"/>
      <c r="AB67" s="2" t="s">
        <v>65</v>
      </c>
      <c r="AC67" s="2">
        <v>45891</v>
      </c>
      <c r="AD67" s="3">
        <v>2025</v>
      </c>
      <c r="AE67" s="3"/>
      <c r="AG67" s="3"/>
    </row>
    <row r="68" spans="1:33" x14ac:dyDescent="0.35">
      <c r="A68" t="str">
        <f>_xlfn.CONCAT(Tableau1[[#This Row],[Athletes]],"_",Tableau1[[#This Row],[Nationality]],"_",Tableau1[[#This Row],[Competition_year]])</f>
        <v>Isaac NADER_POR_2025</v>
      </c>
      <c r="B68" s="7" t="s">
        <v>191</v>
      </c>
      <c r="C68" s="7" t="s">
        <v>16</v>
      </c>
      <c r="D68" s="7" t="s">
        <v>33</v>
      </c>
      <c r="E68" s="7">
        <v>13.6</v>
      </c>
      <c r="F68" s="7">
        <v>14.1</v>
      </c>
      <c r="G68" s="7">
        <v>14.4</v>
      </c>
      <c r="H68" s="7">
        <v>14.8</v>
      </c>
      <c r="I68" s="7">
        <v>14.4</v>
      </c>
      <c r="J68" s="7">
        <v>14.5</v>
      </c>
      <c r="K68" s="7">
        <v>14</v>
      </c>
      <c r="L68" s="7">
        <v>14.4</v>
      </c>
      <c r="M68" s="7">
        <v>14.2</v>
      </c>
      <c r="N68" s="7">
        <v>14.5</v>
      </c>
      <c r="O68" s="7">
        <v>14.3</v>
      </c>
      <c r="P68" s="7">
        <v>14.5</v>
      </c>
      <c r="Q68" s="7">
        <v>13.5</v>
      </c>
      <c r="R68" s="7">
        <v>13.1</v>
      </c>
      <c r="S68">
        <f>Tableau1[[#This Row],[Final_time]]-SUM(Tableau1[[#This Row],[0_100m]:[1300_1400m]])</f>
        <v>13.469999999999999</v>
      </c>
      <c r="T68" s="7">
        <v>211.77</v>
      </c>
      <c r="U68">
        <f t="shared" si="2"/>
        <v>211.77</v>
      </c>
      <c r="V68">
        <f t="shared" si="3"/>
        <v>0</v>
      </c>
      <c r="W68" s="12"/>
      <c r="X68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8" t="s">
        <v>1370</v>
      </c>
      <c r="Z68" s="2" t="s">
        <v>43</v>
      </c>
      <c r="AA68" s="2"/>
      <c r="AB68" s="2" t="s">
        <v>65</v>
      </c>
      <c r="AC68" s="2">
        <v>45891</v>
      </c>
      <c r="AD68" s="3">
        <v>2025</v>
      </c>
      <c r="AE68" s="3"/>
      <c r="AG68" s="3"/>
    </row>
    <row r="69" spans="1:33" x14ac:dyDescent="0.35">
      <c r="A69" t="str">
        <f>_xlfn.CONCAT(Tableau1[[#This Row],[Athletes]],"_",Tableau1[[#This Row],[Nationality]],"_",Tableau1[[#This Row],[Competition_year]])</f>
        <v>Neil GOURLEY_GBR_2025</v>
      </c>
      <c r="B69" s="7" t="s">
        <v>202</v>
      </c>
      <c r="C69" s="7" t="s">
        <v>16</v>
      </c>
      <c r="D69" s="7" t="s">
        <v>20</v>
      </c>
      <c r="E69" s="7">
        <v>13.7</v>
      </c>
      <c r="F69" s="7">
        <v>14.1</v>
      </c>
      <c r="G69" s="7">
        <v>14.5</v>
      </c>
      <c r="H69" s="7">
        <v>15</v>
      </c>
      <c r="I69" s="7">
        <v>14.4</v>
      </c>
      <c r="J69" s="7">
        <v>14.6</v>
      </c>
      <c r="K69" s="7">
        <v>14.2</v>
      </c>
      <c r="L69" s="7">
        <v>14.3</v>
      </c>
      <c r="M69" s="7">
        <v>14.4</v>
      </c>
      <c r="N69" s="7">
        <v>14.6</v>
      </c>
      <c r="O69" s="7">
        <v>14.3</v>
      </c>
      <c r="P69" s="7">
        <v>14.7</v>
      </c>
      <c r="Q69" s="7">
        <v>13.3</v>
      </c>
      <c r="R69" s="7">
        <v>13.5</v>
      </c>
      <c r="S69">
        <f>Tableau1[[#This Row],[Final_time]]-SUM(Tableau1[[#This Row],[0_100m]:[1300_1400m]])</f>
        <v>13.610000000000014</v>
      </c>
      <c r="T69" s="7">
        <v>213.21</v>
      </c>
      <c r="U69">
        <f t="shared" si="2"/>
        <v>213.21</v>
      </c>
      <c r="V69">
        <f t="shared" si="3"/>
        <v>0</v>
      </c>
      <c r="W69" s="12"/>
      <c r="X69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69" t="s">
        <v>1370</v>
      </c>
      <c r="Z69" s="2" t="s">
        <v>43</v>
      </c>
      <c r="AA69" s="2"/>
      <c r="AB69" s="2" t="s">
        <v>65</v>
      </c>
      <c r="AC69" s="2">
        <v>45891</v>
      </c>
      <c r="AD69" s="3">
        <v>2025</v>
      </c>
      <c r="AE69" s="3"/>
      <c r="AG69" s="3"/>
    </row>
    <row r="70" spans="1:33" x14ac:dyDescent="0.35">
      <c r="A70" t="str">
        <f>_xlfn.CONCAT(Tableau1[[#This Row],[Athletes]],"_",Tableau1[[#This Row],[Nationality]],"_",Tableau1[[#This Row],[Competition_year]])</f>
        <v>Ruben VERHEYDEN_BEL_2025</v>
      </c>
      <c r="B70" s="7" t="s">
        <v>204</v>
      </c>
      <c r="C70" s="7" t="s">
        <v>16</v>
      </c>
      <c r="D70" s="7" t="s">
        <v>86</v>
      </c>
      <c r="E70" s="7">
        <v>13.8</v>
      </c>
      <c r="F70" s="7">
        <v>14.1</v>
      </c>
      <c r="G70" s="7">
        <v>14.2</v>
      </c>
      <c r="H70" s="7">
        <v>14.3</v>
      </c>
      <c r="I70" s="7">
        <v>14.4</v>
      </c>
      <c r="J70" s="7">
        <v>14.4</v>
      </c>
      <c r="K70" s="7">
        <v>14.3</v>
      </c>
      <c r="L70" s="7">
        <v>14.6</v>
      </c>
      <c r="M70" s="7">
        <v>14.4</v>
      </c>
      <c r="N70" s="7">
        <v>14.5</v>
      </c>
      <c r="O70" s="7">
        <v>14.4</v>
      </c>
      <c r="P70" s="7">
        <v>14.5</v>
      </c>
      <c r="Q70" s="7">
        <v>13.7</v>
      </c>
      <c r="R70" s="7">
        <v>13.5</v>
      </c>
      <c r="S70">
        <f>Tableau1[[#This Row],[Final_time]]-SUM(Tableau1[[#This Row],[0_100m]:[1300_1400m]])</f>
        <v>13.610000000000014</v>
      </c>
      <c r="T70" s="7">
        <v>212.71</v>
      </c>
      <c r="U70">
        <f t="shared" si="2"/>
        <v>212.71</v>
      </c>
      <c r="V70">
        <f t="shared" si="3"/>
        <v>0</v>
      </c>
      <c r="W70" s="12"/>
      <c r="X70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0" t="s">
        <v>1370</v>
      </c>
      <c r="Z70" s="2" t="s">
        <v>43</v>
      </c>
      <c r="AA70" s="2"/>
      <c r="AB70" s="2" t="s">
        <v>65</v>
      </c>
      <c r="AC70" s="2">
        <v>45891</v>
      </c>
      <c r="AD70" s="3">
        <v>2025</v>
      </c>
      <c r="AE70" s="3"/>
      <c r="AG70" s="3"/>
    </row>
    <row r="71" spans="1:33" x14ac:dyDescent="0.35">
      <c r="A71" t="str">
        <f>_xlfn.CONCAT(Tableau1[[#This Row],[Athletes]],"_",Tableau1[[#This Row],[Nationality]],"_",Tableau1[[#This Row],[Competition_year]])</f>
        <v>Samuel PIHLSTRÖM_SWE_2025</v>
      </c>
      <c r="B71" s="7" t="s">
        <v>1220</v>
      </c>
      <c r="C71" s="7" t="s">
        <v>16</v>
      </c>
      <c r="D71" s="7" t="s">
        <v>56</v>
      </c>
      <c r="E71" s="7">
        <v>13.8</v>
      </c>
      <c r="F71" s="7">
        <v>14.1</v>
      </c>
      <c r="G71" s="7">
        <v>14.5</v>
      </c>
      <c r="H71" s="7">
        <v>15</v>
      </c>
      <c r="I71" s="7">
        <v>14.5</v>
      </c>
      <c r="J71" s="7">
        <v>14.6</v>
      </c>
      <c r="K71" s="7">
        <v>13.8</v>
      </c>
      <c r="L71" s="7">
        <v>14.5</v>
      </c>
      <c r="M71" s="7">
        <v>14.1</v>
      </c>
      <c r="N71" s="7">
        <v>14.6</v>
      </c>
      <c r="O71" s="7">
        <v>13.8</v>
      </c>
      <c r="P71" s="7">
        <v>14.4</v>
      </c>
      <c r="Q71" s="7">
        <v>13.7</v>
      </c>
      <c r="R71" s="7">
        <v>13.2</v>
      </c>
      <c r="S71">
        <f>Tableau1[[#This Row],[Final_time]]-SUM(Tableau1[[#This Row],[0_100m]:[1300_1400m]])</f>
        <v>13.680000000000007</v>
      </c>
      <c r="T71" s="7">
        <v>212.28</v>
      </c>
      <c r="U71">
        <f t="shared" si="2"/>
        <v>212.28</v>
      </c>
      <c r="V71">
        <f t="shared" si="3"/>
        <v>0</v>
      </c>
      <c r="W71" s="12"/>
      <c r="X71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1" t="s">
        <v>1370</v>
      </c>
      <c r="Z71" s="2" t="s">
        <v>43</v>
      </c>
      <c r="AA71" s="2"/>
      <c r="AB71" s="2" t="s">
        <v>65</v>
      </c>
      <c r="AC71" s="2">
        <v>45891</v>
      </c>
      <c r="AD71" s="3">
        <v>2025</v>
      </c>
      <c r="AE71" s="3"/>
      <c r="AG71" s="3"/>
    </row>
    <row r="72" spans="1:33" x14ac:dyDescent="0.35">
      <c r="A72" t="str">
        <f>_xlfn.CONCAT(Tableau1[[#This Row],[Athletes]],"_",Tableau1[[#This Row],[Nationality]],"_",Tableau1[[#This Row],[Competition_year]])</f>
        <v>Pieter SISK_BEL_2025</v>
      </c>
      <c r="B72" s="7" t="s">
        <v>535</v>
      </c>
      <c r="C72" s="7" t="s">
        <v>16</v>
      </c>
      <c r="D72" s="7" t="s">
        <v>86</v>
      </c>
      <c r="E72" s="7">
        <v>13.4</v>
      </c>
      <c r="F72" s="7">
        <v>13.9</v>
      </c>
      <c r="G72" s="7">
        <v>14.4</v>
      </c>
      <c r="H72" s="7">
        <v>14.8</v>
      </c>
      <c r="I72" s="7">
        <v>14.5</v>
      </c>
      <c r="J72" s="7">
        <v>14.4</v>
      </c>
      <c r="K72" s="7">
        <v>14.2</v>
      </c>
      <c r="L72" s="7">
        <v>14.6</v>
      </c>
      <c r="M72" s="7">
        <v>14.4</v>
      </c>
      <c r="N72" s="7">
        <v>14.8</v>
      </c>
      <c r="O72" s="7">
        <v>14.3</v>
      </c>
      <c r="P72" s="7">
        <v>14.7</v>
      </c>
      <c r="Q72" s="7">
        <v>13.6</v>
      </c>
      <c r="R72" s="7">
        <v>13.6</v>
      </c>
      <c r="S72">
        <f>Tableau1[[#This Row],[Final_time]]-SUM(Tableau1[[#This Row],[0_100m]:[1300_1400m]])</f>
        <v>13.700000000000017</v>
      </c>
      <c r="T72" s="7">
        <v>213.3</v>
      </c>
      <c r="U72">
        <f t="shared" si="2"/>
        <v>213.3</v>
      </c>
      <c r="V72">
        <f t="shared" si="3"/>
        <v>0</v>
      </c>
      <c r="W72" s="12"/>
      <c r="X72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2" t="s">
        <v>1370</v>
      </c>
      <c r="Z72" s="2" t="s">
        <v>43</v>
      </c>
      <c r="AA72" s="2"/>
      <c r="AB72" s="2" t="s">
        <v>65</v>
      </c>
      <c r="AC72" s="2">
        <v>45891</v>
      </c>
      <c r="AD72" s="3">
        <v>2025</v>
      </c>
      <c r="AE72" s="3"/>
      <c r="AG72" s="3"/>
    </row>
    <row r="73" spans="1:33" x14ac:dyDescent="0.35">
      <c r="A73" t="str">
        <f>_xlfn.CONCAT(Tableau1[[#This Row],[Athletes]],"_",Tableau1[[#This Row],[Nationality]],"_",Tableau1[[#This Row],[Competition_year]])</f>
        <v>Jochem VERMEULEN_BEL_2025</v>
      </c>
      <c r="B73" s="7" t="s">
        <v>235</v>
      </c>
      <c r="C73" s="7" t="s">
        <v>16</v>
      </c>
      <c r="D73" s="7" t="s">
        <v>86</v>
      </c>
      <c r="E73" s="7">
        <v>13.8</v>
      </c>
      <c r="F73" s="7">
        <v>14.2</v>
      </c>
      <c r="G73" s="7">
        <v>14.4</v>
      </c>
      <c r="H73" s="7">
        <v>14.8</v>
      </c>
      <c r="I73" s="7">
        <v>14.5</v>
      </c>
      <c r="J73" s="7">
        <v>14.6</v>
      </c>
      <c r="K73" s="7">
        <v>13.8</v>
      </c>
      <c r="L73" s="7">
        <v>14.4</v>
      </c>
      <c r="M73" s="7">
        <v>14.3</v>
      </c>
      <c r="N73" s="7">
        <v>14.4</v>
      </c>
      <c r="O73" s="7">
        <v>14.4</v>
      </c>
      <c r="P73" s="7">
        <v>14.5</v>
      </c>
      <c r="Q73" s="7">
        <v>13.6</v>
      </c>
      <c r="R73" s="7">
        <v>13.9</v>
      </c>
      <c r="S73">
        <f>Tableau1[[#This Row],[Final_time]]-SUM(Tableau1[[#This Row],[0_100m]:[1300_1400m]])</f>
        <v>13.819999999999965</v>
      </c>
      <c r="T73" s="7">
        <v>213.42</v>
      </c>
      <c r="U73">
        <f t="shared" si="2"/>
        <v>213.42</v>
      </c>
      <c r="V73">
        <f t="shared" si="3"/>
        <v>0</v>
      </c>
      <c r="W73" s="12"/>
      <c r="X73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3" t="s">
        <v>1370</v>
      </c>
      <c r="Z73" s="2" t="s">
        <v>43</v>
      </c>
      <c r="AA73" s="2"/>
      <c r="AB73" s="2" t="s">
        <v>65</v>
      </c>
      <c r="AC73" s="2">
        <v>45891</v>
      </c>
      <c r="AD73" s="3">
        <v>2025</v>
      </c>
      <c r="AE73" s="3"/>
      <c r="AG73" s="3"/>
    </row>
    <row r="74" spans="1:33" x14ac:dyDescent="0.35">
      <c r="A74" t="str">
        <f>_xlfn.CONCAT(Tableau1[[#This Row],[Athletes]],"_",Tableau1[[#This Row],[Nationality]],"_",Tableau1[[#This Row],[Competition_year]])</f>
        <v>Kethobogile HAINGURA_BOT_2025</v>
      </c>
      <c r="B74" s="7" t="s">
        <v>1371</v>
      </c>
      <c r="C74" s="7" t="s">
        <v>16</v>
      </c>
      <c r="D74" s="7" t="s">
        <v>504</v>
      </c>
      <c r="E74" s="7">
        <v>14.1</v>
      </c>
      <c r="F74" s="7">
        <v>14</v>
      </c>
      <c r="G74" s="7">
        <v>14.5</v>
      </c>
      <c r="H74" s="7">
        <v>14.9</v>
      </c>
      <c r="I74" s="7">
        <v>14.5</v>
      </c>
      <c r="J74" s="7">
        <v>14.7</v>
      </c>
      <c r="K74" s="7">
        <v>14.1</v>
      </c>
      <c r="L74" s="7">
        <v>14.3</v>
      </c>
      <c r="M74" s="7">
        <v>14.4</v>
      </c>
      <c r="N74" s="7">
        <v>14.6</v>
      </c>
      <c r="O74" s="7">
        <v>14.8</v>
      </c>
      <c r="P74" s="7">
        <v>14.6</v>
      </c>
      <c r="Q74" s="7">
        <v>14.9</v>
      </c>
      <c r="R74" s="7">
        <v>14.3</v>
      </c>
      <c r="S74">
        <f>Tableau1[[#This Row],[Final_time]]-SUM(Tableau1[[#This Row],[0_100m]:[1300_1400m]])</f>
        <v>13.999999999999972</v>
      </c>
      <c r="T74" s="7">
        <v>216.7</v>
      </c>
      <c r="U74">
        <f t="shared" si="2"/>
        <v>216.7</v>
      </c>
      <c r="V74">
        <f t="shared" si="3"/>
        <v>0</v>
      </c>
      <c r="W74" s="12"/>
      <c r="X74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4" t="s">
        <v>1370</v>
      </c>
      <c r="Z74" s="2" t="s">
        <v>43</v>
      </c>
      <c r="AA74" s="2"/>
      <c r="AB74" s="2" t="s">
        <v>65</v>
      </c>
      <c r="AC74" s="2">
        <v>45891</v>
      </c>
      <c r="AD74" s="3">
        <v>2025</v>
      </c>
      <c r="AE74" s="3"/>
      <c r="AG74" s="3"/>
    </row>
    <row r="75" spans="1:33" x14ac:dyDescent="0.35">
      <c r="A75" t="str">
        <f>_xlfn.CONCAT(Tableau1[[#This Row],[Athletes]],"_",Tableau1[[#This Row],[Nationality]],"_",Tableau1[[#This Row],[Competition_year]])</f>
        <v>Jake WIGHTMAN_GBR_2025</v>
      </c>
      <c r="B75" s="7" t="s">
        <v>150</v>
      </c>
      <c r="C75" s="7" t="s">
        <v>16</v>
      </c>
      <c r="D75" s="7" t="s">
        <v>20</v>
      </c>
      <c r="E75" s="7">
        <v>13.6</v>
      </c>
      <c r="F75" s="7">
        <v>14.2</v>
      </c>
      <c r="G75" s="7">
        <v>14.3</v>
      </c>
      <c r="H75" s="7">
        <v>15</v>
      </c>
      <c r="I75" s="7">
        <v>14.5</v>
      </c>
      <c r="J75" s="7">
        <v>14.6</v>
      </c>
      <c r="K75" s="7">
        <v>13.9</v>
      </c>
      <c r="L75" s="7">
        <v>14.3</v>
      </c>
      <c r="M75" s="7">
        <v>14.2</v>
      </c>
      <c r="N75" s="7">
        <v>14.5</v>
      </c>
      <c r="O75" s="7">
        <v>14.3</v>
      </c>
      <c r="P75" s="7">
        <v>14.5</v>
      </c>
      <c r="Q75" s="7">
        <v>13.4</v>
      </c>
      <c r="R75" s="7">
        <v>13.6</v>
      </c>
      <c r="S75">
        <f>Tableau1[[#This Row],[Final_time]]-SUM(Tableau1[[#This Row],[0_100m]:[1300_1400m]])</f>
        <v>14.049999999999983</v>
      </c>
      <c r="T75" s="7">
        <v>212.95</v>
      </c>
      <c r="U75">
        <f t="shared" si="2"/>
        <v>212.95</v>
      </c>
      <c r="V75">
        <f t="shared" si="3"/>
        <v>0</v>
      </c>
      <c r="W75" s="12"/>
      <c r="X75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5" t="s">
        <v>1370</v>
      </c>
      <c r="Z75" s="2" t="s">
        <v>43</v>
      </c>
      <c r="AA75" s="2"/>
      <c r="AB75" s="2" t="s">
        <v>65</v>
      </c>
      <c r="AC75" s="2">
        <v>45891</v>
      </c>
      <c r="AD75" s="3">
        <v>2025</v>
      </c>
      <c r="AE75" s="3"/>
      <c r="AG75" s="3"/>
    </row>
    <row r="76" spans="1:33" x14ac:dyDescent="0.35">
      <c r="A76" t="str">
        <f>_xlfn.CONCAT(Tableau1[[#This Row],[Athletes]],"_",Tableau1[[#This Row],[Nationality]],"_",Tableau1[[#This Row],[Competition_year]])</f>
        <v>Andrew COSCORAN_IRL_2025</v>
      </c>
      <c r="B76" s="7" t="s">
        <v>232</v>
      </c>
      <c r="C76" s="7" t="s">
        <v>16</v>
      </c>
      <c r="D76" s="7" t="s">
        <v>35</v>
      </c>
      <c r="E76" s="7">
        <v>13.4</v>
      </c>
      <c r="F76" s="7">
        <v>14.1</v>
      </c>
      <c r="G76" s="7">
        <v>14.5</v>
      </c>
      <c r="H76" s="7">
        <v>14.7</v>
      </c>
      <c r="I76" s="7">
        <v>14.5</v>
      </c>
      <c r="J76" s="7">
        <v>14.6</v>
      </c>
      <c r="K76" s="7">
        <v>14.3</v>
      </c>
      <c r="L76" s="7">
        <v>14.4</v>
      </c>
      <c r="M76" s="7">
        <v>14.4</v>
      </c>
      <c r="N76" s="7">
        <v>14.7</v>
      </c>
      <c r="O76" s="7">
        <v>14.4</v>
      </c>
      <c r="P76" s="7">
        <v>14.5</v>
      </c>
      <c r="Q76" s="7">
        <v>13.8</v>
      </c>
      <c r="R76" s="7">
        <v>14.3</v>
      </c>
      <c r="S76">
        <f>Tableau1[[#This Row],[Final_time]]-SUM(Tableau1[[#This Row],[0_100m]:[1300_1400m]])</f>
        <v>15.159999999999968</v>
      </c>
      <c r="T76" s="7">
        <v>215.76</v>
      </c>
      <c r="U76">
        <f t="shared" si="2"/>
        <v>215.76</v>
      </c>
      <c r="V76">
        <f t="shared" si="3"/>
        <v>0</v>
      </c>
      <c r="W76" s="12"/>
      <c r="X76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6" t="s">
        <v>1370</v>
      </c>
      <c r="Z76" s="2" t="s">
        <v>43</v>
      </c>
      <c r="AA76" s="2"/>
      <c r="AB76" s="2" t="s">
        <v>65</v>
      </c>
      <c r="AC76" s="2">
        <v>45891</v>
      </c>
      <c r="AD76" s="3">
        <v>2025</v>
      </c>
      <c r="AE76" s="3"/>
      <c r="AG76" s="3"/>
    </row>
    <row r="77" spans="1:33" x14ac:dyDescent="0.35">
      <c r="A77" t="str">
        <f>_xlfn.CONCAT(Tableau1[[#This Row],[Athletes]],"_",Tableau1[[#This Row],[Nationality]],"_",Tableau1[[#This Row],[Competition_year]])</f>
        <v>Hobbs KESSLER_USA_2025</v>
      </c>
      <c r="B77" s="7" t="s">
        <v>365</v>
      </c>
      <c r="C77" s="7" t="s">
        <v>16</v>
      </c>
      <c r="D77" s="7" t="s">
        <v>51</v>
      </c>
      <c r="E77" s="7">
        <v>13.5</v>
      </c>
      <c r="F77" s="7">
        <v>14</v>
      </c>
      <c r="G77" s="7">
        <v>14.3</v>
      </c>
      <c r="H77" s="7">
        <v>14.7</v>
      </c>
      <c r="I77" s="7">
        <v>14.6</v>
      </c>
      <c r="J77" s="7">
        <v>14.1</v>
      </c>
      <c r="K77" s="7">
        <v>14.2</v>
      </c>
      <c r="L77" s="7">
        <v>14.6</v>
      </c>
      <c r="M77" s="7">
        <v>14.3</v>
      </c>
      <c r="N77" s="7">
        <v>14.5</v>
      </c>
      <c r="O77" s="7">
        <v>14.3</v>
      </c>
      <c r="P77" s="7">
        <v>14.4</v>
      </c>
      <c r="Q77" s="7">
        <v>13.9</v>
      </c>
      <c r="R77" s="7">
        <v>14.9</v>
      </c>
      <c r="S77">
        <f>Tableau1[[#This Row],[Final_time]]-SUM(Tableau1[[#This Row],[0_100m]:[1300_1400m]])</f>
        <v>16.349999999999994</v>
      </c>
      <c r="T77" s="7">
        <v>216.65</v>
      </c>
      <c r="U77">
        <f t="shared" si="2"/>
        <v>216.65</v>
      </c>
      <c r="V77">
        <f t="shared" si="3"/>
        <v>0</v>
      </c>
      <c r="W77" s="12"/>
      <c r="X77" t="str">
        <f>_xlfn.CONCAT(Tableau1[[#This Row],[Competition]],"_",Tableau1[[#This Row],[Championship_step]],"_",Tableau1[[#This Row],[Competition_date]],"_",Tableau1[[#This Row],[Gender]])</f>
        <v>Diamond League Brussels 2025__45891_Male</v>
      </c>
      <c r="Y77" t="s">
        <v>1370</v>
      </c>
      <c r="Z77" s="2" t="s">
        <v>43</v>
      </c>
      <c r="AA77" s="2"/>
      <c r="AB77" s="2" t="s">
        <v>65</v>
      </c>
      <c r="AC77" s="2">
        <v>45891</v>
      </c>
      <c r="AD77" s="3">
        <v>2025</v>
      </c>
      <c r="AE77" s="3"/>
      <c r="AG77" s="3"/>
    </row>
    <row r="78" spans="1:33" hidden="1" x14ac:dyDescent="0.35">
      <c r="A78" t="str">
        <f>_xlfn.CONCAT(Tableau1[[#This Row],[Athletes]],"_",Tableau1[[#This Row],[Nationality]],"_",Tableau1[[#This Row],[Competition_year]])</f>
        <v>Timothy CHERUIYOT_KEN_2021</v>
      </c>
      <c r="B78" t="s">
        <v>205</v>
      </c>
      <c r="C78" t="s">
        <v>16</v>
      </c>
      <c r="D78" t="s">
        <v>17</v>
      </c>
      <c r="E78">
        <v>14.3</v>
      </c>
      <c r="F78">
        <v>13.8</v>
      </c>
      <c r="G78">
        <v>13.399999999999999</v>
      </c>
      <c r="H78">
        <v>13.799999999999997</v>
      </c>
      <c r="I78">
        <v>13.900000000000006</v>
      </c>
      <c r="J78">
        <v>14.099999999999994</v>
      </c>
      <c r="K78">
        <v>13.900000000000006</v>
      </c>
      <c r="L78">
        <v>14.299999999999997</v>
      </c>
      <c r="M78">
        <v>14.099999999999994</v>
      </c>
      <c r="N78">
        <v>14.300000000000011</v>
      </c>
      <c r="O78">
        <v>14</v>
      </c>
      <c r="P78">
        <v>14.5</v>
      </c>
      <c r="Q78">
        <v>14.199999999999989</v>
      </c>
      <c r="R78">
        <v>14.200000000000017</v>
      </c>
      <c r="S78">
        <f>Tableau1[[#This Row],[Final_time]]-SUM(Tableau1[[#This Row],[0_100m]:[1300_1400m]])</f>
        <v>13.679999999999978</v>
      </c>
      <c r="T78">
        <v>210.48</v>
      </c>
      <c r="U78">
        <f t="shared" si="2"/>
        <v>210.48</v>
      </c>
      <c r="V78">
        <f t="shared" si="3"/>
        <v>0</v>
      </c>
      <c r="W78" s="12"/>
      <c r="X78" t="str">
        <f>_xlfn.CONCAT(Tableau1[[#This Row],[Competition]],"_",Tableau1[[#This Row],[Championship_step]],"_",Tableau1[[#This Row],[Competition_date]],"_",Tableau1[[#This Row],[Gender]])</f>
        <v>Diamond League Doha 2021__44344_Male</v>
      </c>
      <c r="Y78" t="s">
        <v>317</v>
      </c>
      <c r="Z78" t="s">
        <v>43</v>
      </c>
      <c r="AB78" t="s">
        <v>65</v>
      </c>
      <c r="AC78" s="2">
        <v>44344</v>
      </c>
      <c r="AD78">
        <v>2021</v>
      </c>
      <c r="AE78">
        <v>38</v>
      </c>
      <c r="AF78" s="5">
        <v>0.15</v>
      </c>
      <c r="AG78" s="3" t="s">
        <v>64</v>
      </c>
    </row>
    <row r="79" spans="1:33" hidden="1" x14ac:dyDescent="0.35">
      <c r="A79" t="str">
        <f>_xlfn.CONCAT(Tableau1[[#This Row],[Athletes]],"_",Tableau1[[#This Row],[Nationality]],"_",Tableau1[[#This Row],[Competition_year]])</f>
        <v>Mohamad ALGARNI_QAT_2021</v>
      </c>
      <c r="B79" t="s">
        <v>1116</v>
      </c>
      <c r="C79" t="s">
        <v>16</v>
      </c>
      <c r="D79" t="s">
        <v>57</v>
      </c>
      <c r="E79">
        <v>14.5</v>
      </c>
      <c r="F79">
        <v>14</v>
      </c>
      <c r="G79">
        <v>14</v>
      </c>
      <c r="H79">
        <v>14.200000000000003</v>
      </c>
      <c r="I79">
        <v>14.200000000000003</v>
      </c>
      <c r="J79">
        <v>14.199999999999989</v>
      </c>
      <c r="K79">
        <v>14.5</v>
      </c>
      <c r="L79">
        <v>14.600000000000009</v>
      </c>
      <c r="M79">
        <v>14.899999999999991</v>
      </c>
      <c r="N79">
        <v>15.099999999999994</v>
      </c>
      <c r="O79">
        <v>15.200000000000017</v>
      </c>
      <c r="P79">
        <v>14.599999999999994</v>
      </c>
      <c r="Q79">
        <v>14.400000000000006</v>
      </c>
      <c r="R79">
        <v>14.299999999999983</v>
      </c>
      <c r="S79">
        <f>Tableau1[[#This Row],[Final_time]]-SUM(Tableau1[[#This Row],[0_100m]:[1300_1400m]])</f>
        <v>14.050000000000011</v>
      </c>
      <c r="T79">
        <v>216.75</v>
      </c>
      <c r="U79">
        <f t="shared" si="2"/>
        <v>216.75</v>
      </c>
      <c r="V79">
        <f t="shared" si="3"/>
        <v>0</v>
      </c>
      <c r="W79" s="12"/>
      <c r="X79" t="str">
        <f>_xlfn.CONCAT(Tableau1[[#This Row],[Competition]],"_",Tableau1[[#This Row],[Championship_step]],"_",Tableau1[[#This Row],[Competition_date]],"_",Tableau1[[#This Row],[Gender]])</f>
        <v>Diamond League Doha 2021__44344_Male</v>
      </c>
      <c r="Y79" t="s">
        <v>317</v>
      </c>
      <c r="Z79" t="s">
        <v>43</v>
      </c>
      <c r="AB79" t="s">
        <v>65</v>
      </c>
      <c r="AC79" s="2">
        <v>44344</v>
      </c>
      <c r="AD79">
        <v>2021</v>
      </c>
      <c r="AE79">
        <v>38</v>
      </c>
      <c r="AF79" s="5">
        <v>0.15</v>
      </c>
      <c r="AG79" s="3" t="s">
        <v>64</v>
      </c>
    </row>
    <row r="80" spans="1:33" hidden="1" x14ac:dyDescent="0.35">
      <c r="A80" t="str">
        <f>_xlfn.CONCAT(Tableau1[[#This Row],[Athletes]],"_",Tableau1[[#This Row],[Nationality]],"_",Tableau1[[#This Row],[Competition_year]])</f>
        <v>Stewart MCSWEYN_AUS_2021</v>
      </c>
      <c r="B80" t="s">
        <v>219</v>
      </c>
      <c r="C80" t="s">
        <v>16</v>
      </c>
      <c r="D80" t="s">
        <v>21</v>
      </c>
      <c r="E80">
        <v>14.5</v>
      </c>
      <c r="F80">
        <v>13.399999999999999</v>
      </c>
      <c r="G80">
        <v>13.300000000000004</v>
      </c>
      <c r="H80">
        <v>13.799999999999997</v>
      </c>
      <c r="I80">
        <v>14</v>
      </c>
      <c r="J80">
        <v>14.099999999999994</v>
      </c>
      <c r="K80">
        <v>13.900000000000006</v>
      </c>
      <c r="L80">
        <v>14.200000000000003</v>
      </c>
      <c r="M80">
        <v>14.099999999999994</v>
      </c>
      <c r="N80">
        <v>14.399999999999991</v>
      </c>
      <c r="O80">
        <v>14.400000000000006</v>
      </c>
      <c r="P80">
        <v>14.400000000000006</v>
      </c>
      <c r="Q80">
        <v>14.400000000000006</v>
      </c>
      <c r="R80">
        <v>14.400000000000006</v>
      </c>
      <c r="S80">
        <f>Tableau1[[#This Row],[Final_time]]-SUM(Tableau1[[#This Row],[0_100m]:[1300_1400m]])</f>
        <v>14.269999999999982</v>
      </c>
      <c r="T80">
        <v>211.57</v>
      </c>
      <c r="U80">
        <f t="shared" si="2"/>
        <v>211.57</v>
      </c>
      <c r="V80">
        <f t="shared" si="3"/>
        <v>0</v>
      </c>
      <c r="W80" s="12"/>
      <c r="X80" t="str">
        <f>_xlfn.CONCAT(Tableau1[[#This Row],[Competition]],"_",Tableau1[[#This Row],[Championship_step]],"_",Tableau1[[#This Row],[Competition_date]],"_",Tableau1[[#This Row],[Gender]])</f>
        <v>Diamond League Doha 2021__44344_Male</v>
      </c>
      <c r="Y80" t="s">
        <v>317</v>
      </c>
      <c r="Z80" t="s">
        <v>43</v>
      </c>
      <c r="AB80" t="s">
        <v>65</v>
      </c>
      <c r="AC80" s="2">
        <v>44344</v>
      </c>
      <c r="AD80">
        <v>2021</v>
      </c>
      <c r="AE80">
        <v>38</v>
      </c>
      <c r="AF80" s="5">
        <v>0.15</v>
      </c>
      <c r="AG80" s="3" t="s">
        <v>64</v>
      </c>
    </row>
    <row r="81" spans="1:33" hidden="1" x14ac:dyDescent="0.35">
      <c r="A81" t="str">
        <f>_xlfn.CONCAT(Tableau1[[#This Row],[Athletes]],"_",Tableau1[[#This Row],[Nationality]],"_",Tableau1[[#This Row],[Competition_year]])</f>
        <v>Soufiane EL BAKKALI_MAR_2021</v>
      </c>
      <c r="B81" t="s">
        <v>1258</v>
      </c>
      <c r="C81" t="s">
        <v>16</v>
      </c>
      <c r="D81" t="s">
        <v>75</v>
      </c>
      <c r="E81">
        <v>13.7</v>
      </c>
      <c r="F81">
        <v>13.900000000000002</v>
      </c>
      <c r="G81">
        <v>13.899999999999999</v>
      </c>
      <c r="H81">
        <v>14</v>
      </c>
      <c r="I81">
        <v>14</v>
      </c>
      <c r="J81">
        <v>14</v>
      </c>
      <c r="K81">
        <v>14</v>
      </c>
      <c r="L81">
        <v>14.299999999999997</v>
      </c>
      <c r="M81">
        <v>14.100000000000009</v>
      </c>
      <c r="N81">
        <v>14.299999999999983</v>
      </c>
      <c r="O81">
        <v>14</v>
      </c>
      <c r="P81">
        <v>14.5</v>
      </c>
      <c r="Q81">
        <v>14.400000000000006</v>
      </c>
      <c r="R81">
        <v>14.400000000000006</v>
      </c>
      <c r="S81">
        <f>Tableau1[[#This Row],[Final_time]]-SUM(Tableau1[[#This Row],[0_100m]:[1300_1400m]])</f>
        <v>14.449999999999989</v>
      </c>
      <c r="T81">
        <v>211.95</v>
      </c>
      <c r="U81">
        <f t="shared" si="2"/>
        <v>211.95</v>
      </c>
      <c r="V81">
        <f t="shared" si="3"/>
        <v>0</v>
      </c>
      <c r="W81" s="12"/>
      <c r="X81" t="str">
        <f>_xlfn.CONCAT(Tableau1[[#This Row],[Competition]],"_",Tableau1[[#This Row],[Championship_step]],"_",Tableau1[[#This Row],[Competition_date]],"_",Tableau1[[#This Row],[Gender]])</f>
        <v>Diamond League Doha 2021__44344_Male</v>
      </c>
      <c r="Y81" t="s">
        <v>317</v>
      </c>
      <c r="Z81" t="s">
        <v>43</v>
      </c>
      <c r="AB81" t="s">
        <v>65</v>
      </c>
      <c r="AC81" s="2">
        <v>44344</v>
      </c>
      <c r="AD81">
        <v>2021</v>
      </c>
      <c r="AE81">
        <v>38</v>
      </c>
      <c r="AF81" s="5">
        <v>0.15</v>
      </c>
      <c r="AG81" s="3" t="s">
        <v>64</v>
      </c>
    </row>
    <row r="82" spans="1:33" hidden="1" x14ac:dyDescent="0.35">
      <c r="A82" t="str">
        <f>_xlfn.CONCAT(Tableau1[[#This Row],[Athletes]],"_",Tableau1[[#This Row],[Nationality]],"_",Tableau1[[#This Row],[Competition_year]])</f>
        <v>Ryan GREGSON_AUS_2021</v>
      </c>
      <c r="B82" t="s">
        <v>1207</v>
      </c>
      <c r="C82" t="s">
        <v>16</v>
      </c>
      <c r="D82" t="s">
        <v>21</v>
      </c>
      <c r="E82">
        <v>14.3</v>
      </c>
      <c r="F82">
        <f>28.7-Tableau1[[#This Row],[0_100m]]</f>
        <v>14.399999999999999</v>
      </c>
      <c r="G82">
        <f>42.7-SUM(Tableau1[[#This Row],[0_100m]:[100_200m]])</f>
        <v>14.000000000000004</v>
      </c>
      <c r="H82">
        <f>56.7-SUM(Tableau1[[#This Row],[0_100m]:[200_300m]])</f>
        <v>14</v>
      </c>
      <c r="I82">
        <f>71.1-SUM(Tableau1[[#This Row],[0_100m]:[300_400m]])</f>
        <v>14.399999999999991</v>
      </c>
      <c r="J82">
        <f>85.8-SUM(Tableau1[[#This Row],[0_100m]:[400_500m]])</f>
        <v>14.700000000000003</v>
      </c>
      <c r="K82">
        <f>100.8-SUM(Tableau1[[#This Row],[0_100m]:[500_600m]])</f>
        <v>15</v>
      </c>
      <c r="L82">
        <f>116.4-SUM(Tableau1[[#This Row],[0_100m]:[600_700m]])</f>
        <v>15.600000000000009</v>
      </c>
      <c r="M82">
        <f>132.2-SUM(Tableau1[[#This Row],[0_100m]:[700_800m]])</f>
        <v>15.799999999999983</v>
      </c>
      <c r="N82">
        <f>147.8-SUM(Tableau1[[#This Row],[0_100m]:[800_900m]])</f>
        <v>15.600000000000023</v>
      </c>
      <c r="O82">
        <f>163.1-SUM(Tableau1[[#This Row],[0_100m]:[900_1000m]])</f>
        <v>15.299999999999983</v>
      </c>
      <c r="P82">
        <f>178.3-SUM(Tableau1[[#This Row],[0_100m]:[1000_1100m]])</f>
        <v>15.200000000000017</v>
      </c>
      <c r="Q82">
        <f>193.6-SUM(Tableau1[[#This Row],[0_100m]:[1100_1200m]])</f>
        <v>15.299999999999983</v>
      </c>
      <c r="R82">
        <f>208.4-SUM(Tableau1[[#This Row],[0_100m]:[1200_1300m]])</f>
        <v>14.800000000000011</v>
      </c>
      <c r="S82">
        <f>Tableau1[[#This Row],[Final_time]]-SUM(Tableau1[[#This Row],[0_100m]:[1300_1400m]])</f>
        <v>14.530000000000001</v>
      </c>
      <c r="T82">
        <v>222.93</v>
      </c>
      <c r="U82">
        <f t="shared" si="2"/>
        <v>222.93</v>
      </c>
      <c r="V82">
        <f t="shared" si="3"/>
        <v>0</v>
      </c>
      <c r="W82" s="12"/>
      <c r="X82" t="str">
        <f>_xlfn.CONCAT(Tableau1[[#This Row],[Competition]],"_",Tableau1[[#This Row],[Championship_step]],"_",Tableau1[[#This Row],[Competition_date]],"_",Tableau1[[#This Row],[Gender]])</f>
        <v>Diamond League Doha 2021__44344_Male</v>
      </c>
      <c r="Y82" t="s">
        <v>317</v>
      </c>
      <c r="Z82" t="s">
        <v>43</v>
      </c>
      <c r="AB82" t="s">
        <v>65</v>
      </c>
      <c r="AC82" s="2">
        <v>44344</v>
      </c>
      <c r="AD82">
        <v>2021</v>
      </c>
      <c r="AE82">
        <v>38</v>
      </c>
      <c r="AF82" s="5">
        <v>0.15</v>
      </c>
      <c r="AG82" s="3" t="s">
        <v>64</v>
      </c>
    </row>
    <row r="83" spans="1:33" hidden="1" x14ac:dyDescent="0.35">
      <c r="A83" t="str">
        <f>_xlfn.CONCAT(Tableau1[[#This Row],[Athletes]],"_",Tableau1[[#This Row],[Nationality]],"_",Tableau1[[#This Row],[Competition_year]])</f>
        <v>Bethwell BIRGEN_KEN_2021</v>
      </c>
      <c r="B83" t="s">
        <v>791</v>
      </c>
      <c r="C83" t="s">
        <v>16</v>
      </c>
      <c r="D83" t="s">
        <v>17</v>
      </c>
      <c r="E83">
        <v>14.1</v>
      </c>
      <c r="F83">
        <v>14.299999999999999</v>
      </c>
      <c r="G83">
        <v>13.600000000000001</v>
      </c>
      <c r="H83">
        <v>14.100000000000001</v>
      </c>
      <c r="I83">
        <v>13.999999999999993</v>
      </c>
      <c r="J83">
        <v>14.300000000000011</v>
      </c>
      <c r="K83">
        <v>14</v>
      </c>
      <c r="L83">
        <v>14.299999999999997</v>
      </c>
      <c r="M83">
        <v>14.599999999999994</v>
      </c>
      <c r="N83">
        <v>14.299999999999997</v>
      </c>
      <c r="O83">
        <v>14.200000000000017</v>
      </c>
      <c r="P83">
        <v>14.399999999999977</v>
      </c>
      <c r="Q83">
        <v>14.400000000000006</v>
      </c>
      <c r="R83">
        <v>14.400000000000006</v>
      </c>
      <c r="S83">
        <f>Tableau1[[#This Row],[Final_time]]-SUM(Tableau1[[#This Row],[0_100m]:[1300_1400m]])</f>
        <v>14.639999999999986</v>
      </c>
      <c r="T83">
        <v>213.64</v>
      </c>
      <c r="U83">
        <f t="shared" si="2"/>
        <v>213.64</v>
      </c>
      <c r="V83">
        <f t="shared" si="3"/>
        <v>0</v>
      </c>
      <c r="W83" s="12"/>
      <c r="X83" t="str">
        <f>_xlfn.CONCAT(Tableau1[[#This Row],[Competition]],"_",Tableau1[[#This Row],[Championship_step]],"_",Tableau1[[#This Row],[Competition_date]],"_",Tableau1[[#This Row],[Gender]])</f>
        <v>Diamond League Doha 2021__44344_Male</v>
      </c>
      <c r="Y83" t="s">
        <v>317</v>
      </c>
      <c r="Z83" t="s">
        <v>43</v>
      </c>
      <c r="AB83" t="s">
        <v>65</v>
      </c>
      <c r="AC83" s="2">
        <v>44344</v>
      </c>
      <c r="AD83">
        <v>2021</v>
      </c>
      <c r="AE83">
        <v>38</v>
      </c>
      <c r="AF83" s="5">
        <v>0.15</v>
      </c>
      <c r="AG83" s="3" t="s">
        <v>64</v>
      </c>
    </row>
    <row r="84" spans="1:33" hidden="1" x14ac:dyDescent="0.35">
      <c r="A84" t="str">
        <f>_xlfn.CONCAT(Tableau1[[#This Row],[Athletes]],"_",Tableau1[[#This Row],[Nationality]],"_",Tableau1[[#This Row],[Competition_year]])</f>
        <v>Kalle BERGLUND_SWE_2021</v>
      </c>
      <c r="B84" t="s">
        <v>347</v>
      </c>
      <c r="C84" t="s">
        <v>16</v>
      </c>
      <c r="D84" t="s">
        <v>56</v>
      </c>
      <c r="E84">
        <v>14.6</v>
      </c>
      <c r="F84">
        <v>14.200000000000001</v>
      </c>
      <c r="G84">
        <v>13.999999999999996</v>
      </c>
      <c r="H84">
        <v>14.100000000000001</v>
      </c>
      <c r="I84">
        <v>14.199999999999996</v>
      </c>
      <c r="J84">
        <v>14.200000000000003</v>
      </c>
      <c r="K84">
        <v>14.5</v>
      </c>
      <c r="L84">
        <v>14.600000000000009</v>
      </c>
      <c r="M84">
        <v>14.900000000000006</v>
      </c>
      <c r="N84">
        <v>15</v>
      </c>
      <c r="O84">
        <v>14.899999999999977</v>
      </c>
      <c r="P84">
        <v>14.5</v>
      </c>
      <c r="Q84">
        <v>14.800000000000011</v>
      </c>
      <c r="R84">
        <v>14.699999999999989</v>
      </c>
      <c r="S84">
        <f>Tableau1[[#This Row],[Final_time]]-SUM(Tableau1[[#This Row],[0_100m]:[1300_1400m]])</f>
        <v>14.720000000000027</v>
      </c>
      <c r="T84">
        <v>217.92000000000002</v>
      </c>
      <c r="U84">
        <f t="shared" si="2"/>
        <v>217.92000000000002</v>
      </c>
      <c r="V84">
        <f t="shared" si="3"/>
        <v>0</v>
      </c>
      <c r="W84" s="12"/>
      <c r="X84" t="str">
        <f>_xlfn.CONCAT(Tableau1[[#This Row],[Competition]],"_",Tableau1[[#This Row],[Championship_step]],"_",Tableau1[[#This Row],[Competition_date]],"_",Tableau1[[#This Row],[Gender]])</f>
        <v>Diamond League Doha 2021__44344_Male</v>
      </c>
      <c r="Y84" t="s">
        <v>317</v>
      </c>
      <c r="Z84" t="s">
        <v>43</v>
      </c>
      <c r="AB84" t="s">
        <v>65</v>
      </c>
      <c r="AC84" s="2">
        <v>44344</v>
      </c>
      <c r="AD84">
        <v>2021</v>
      </c>
      <c r="AE84">
        <v>38</v>
      </c>
      <c r="AF84" s="5">
        <v>0.15</v>
      </c>
      <c r="AG84" s="3" t="s">
        <v>64</v>
      </c>
    </row>
    <row r="85" spans="1:33" hidden="1" x14ac:dyDescent="0.35">
      <c r="A85" t="str">
        <f>_xlfn.CONCAT(Tableau1[[#This Row],[Athletes]],"_",Tableau1[[#This Row],[Nationality]],"_",Tableau1[[#This Row],[Competition_year]])</f>
        <v>Ronald MUSAGALA_UGA_2021</v>
      </c>
      <c r="B85" t="s">
        <v>265</v>
      </c>
      <c r="C85" t="s">
        <v>16</v>
      </c>
      <c r="D85" t="s">
        <v>52</v>
      </c>
      <c r="E85">
        <v>13.9</v>
      </c>
      <c r="F85">
        <v>14.1</v>
      </c>
      <c r="G85">
        <v>13.799999999999997</v>
      </c>
      <c r="H85">
        <v>13.800000000000004</v>
      </c>
      <c r="I85">
        <v>14.100000000000001</v>
      </c>
      <c r="J85">
        <v>14.299999999999997</v>
      </c>
      <c r="K85">
        <v>14.099999999999994</v>
      </c>
      <c r="L85">
        <v>14.400000000000006</v>
      </c>
      <c r="M85">
        <v>14.599999999999994</v>
      </c>
      <c r="N85">
        <v>14.700000000000017</v>
      </c>
      <c r="O85">
        <v>14.599999999999994</v>
      </c>
      <c r="P85">
        <v>14.799999999999983</v>
      </c>
      <c r="Q85">
        <v>15.100000000000023</v>
      </c>
      <c r="R85">
        <v>14.799999999999983</v>
      </c>
      <c r="S85">
        <f>Tableau1[[#This Row],[Final_time]]-SUM(Tableau1[[#This Row],[0_100m]:[1300_1400m]])</f>
        <v>14.890000000000015</v>
      </c>
      <c r="T85">
        <v>215.99</v>
      </c>
      <c r="U85">
        <f t="shared" si="2"/>
        <v>215.99</v>
      </c>
      <c r="V85">
        <f t="shared" si="3"/>
        <v>0</v>
      </c>
      <c r="W85" s="12"/>
      <c r="X85" t="str">
        <f>_xlfn.CONCAT(Tableau1[[#This Row],[Competition]],"_",Tableau1[[#This Row],[Championship_step]],"_",Tableau1[[#This Row],[Competition_date]],"_",Tableau1[[#This Row],[Gender]])</f>
        <v>Diamond League Doha 2021__44344_Male</v>
      </c>
      <c r="Y85" t="s">
        <v>317</v>
      </c>
      <c r="Z85" t="s">
        <v>43</v>
      </c>
      <c r="AB85" t="s">
        <v>65</v>
      </c>
      <c r="AC85" s="2">
        <v>44344</v>
      </c>
      <c r="AD85">
        <v>2021</v>
      </c>
      <c r="AE85">
        <v>38</v>
      </c>
      <c r="AF85" s="5">
        <v>0.15</v>
      </c>
      <c r="AG85" s="3" t="s">
        <v>64</v>
      </c>
    </row>
    <row r="86" spans="1:33" hidden="1" x14ac:dyDescent="0.35">
      <c r="A86" t="str">
        <f>_xlfn.CONCAT(Tableau1[[#This Row],[Athletes]],"_",Tableau1[[#This Row],[Nationality]],"_",Tableau1[[#This Row],[Competition_year]])</f>
        <v>Vincent KIBET_KEN_2021</v>
      </c>
      <c r="B86" t="s">
        <v>1297</v>
      </c>
      <c r="C86" t="s">
        <v>16</v>
      </c>
      <c r="D86" t="s">
        <v>17</v>
      </c>
      <c r="E86">
        <v>14.1</v>
      </c>
      <c r="F86">
        <v>14.1</v>
      </c>
      <c r="G86">
        <v>14.000000000000004</v>
      </c>
      <c r="H86">
        <v>14.099999999999994</v>
      </c>
      <c r="I86">
        <v>14</v>
      </c>
      <c r="J86">
        <v>14.400000000000006</v>
      </c>
      <c r="K86">
        <v>14</v>
      </c>
      <c r="L86">
        <v>14.399999999999991</v>
      </c>
      <c r="M86">
        <v>14.5</v>
      </c>
      <c r="N86">
        <v>14.5</v>
      </c>
      <c r="O86">
        <v>14.5</v>
      </c>
      <c r="P86">
        <v>14.800000000000011</v>
      </c>
      <c r="Q86">
        <v>14.599999999999994</v>
      </c>
      <c r="R86">
        <v>14.800000000000011</v>
      </c>
      <c r="S86">
        <f>Tableau1[[#This Row],[Final_time]]-SUM(Tableau1[[#This Row],[0_100m]:[1300_1400m]])</f>
        <v>15.349999999999994</v>
      </c>
      <c r="T86">
        <v>216.15</v>
      </c>
      <c r="U86">
        <f t="shared" si="2"/>
        <v>216.15</v>
      </c>
      <c r="V86">
        <f t="shared" si="3"/>
        <v>0</v>
      </c>
      <c r="W86" s="12"/>
      <c r="X86" t="str">
        <f>_xlfn.CONCAT(Tableau1[[#This Row],[Competition]],"_",Tableau1[[#This Row],[Championship_step]],"_",Tableau1[[#This Row],[Competition_date]],"_",Tableau1[[#This Row],[Gender]])</f>
        <v>Diamond League Doha 2021__44344_Male</v>
      </c>
      <c r="Y86" t="s">
        <v>317</v>
      </c>
      <c r="Z86" t="s">
        <v>43</v>
      </c>
      <c r="AB86" t="s">
        <v>65</v>
      </c>
      <c r="AC86" s="2">
        <v>44344</v>
      </c>
      <c r="AD86">
        <v>2021</v>
      </c>
      <c r="AE86">
        <v>38</v>
      </c>
      <c r="AF86" s="5">
        <v>0.15</v>
      </c>
      <c r="AG86" s="3" t="s">
        <v>64</v>
      </c>
    </row>
    <row r="87" spans="1:33" hidden="1" x14ac:dyDescent="0.35">
      <c r="A87" t="str">
        <f>_xlfn.CONCAT(Tableau1[[#This Row],[Athletes]],"_",Tableau1[[#This Row],[Nationality]],"_",Tableau1[[#This Row],[Competition_year]])</f>
        <v>Matthew RAMSDEN_AUS_2021</v>
      </c>
      <c r="B87" t="s">
        <v>198</v>
      </c>
      <c r="C87" t="s">
        <v>16</v>
      </c>
      <c r="D87" t="s">
        <v>21</v>
      </c>
      <c r="E87">
        <v>14.1</v>
      </c>
      <c r="F87">
        <v>14.299999999999999</v>
      </c>
      <c r="G87">
        <v>14</v>
      </c>
      <c r="H87">
        <v>14.100000000000001</v>
      </c>
      <c r="I87">
        <v>14.200000000000003</v>
      </c>
      <c r="J87">
        <v>14.200000000000003</v>
      </c>
      <c r="K87">
        <v>14.5</v>
      </c>
      <c r="L87">
        <v>14.599999999999994</v>
      </c>
      <c r="M87">
        <v>15</v>
      </c>
      <c r="N87">
        <v>15.099999999999994</v>
      </c>
      <c r="O87">
        <v>15.099999999999994</v>
      </c>
      <c r="P87">
        <v>15.400000000000006</v>
      </c>
      <c r="Q87">
        <v>15.5</v>
      </c>
      <c r="R87">
        <v>15.400000000000006</v>
      </c>
      <c r="S87">
        <f>Tableau1[[#This Row],[Final_time]]-SUM(Tableau1[[#This Row],[0_100m]:[1300_1400m]])</f>
        <v>15.389999999999986</v>
      </c>
      <c r="T87">
        <v>220.89</v>
      </c>
      <c r="U87">
        <f t="shared" si="2"/>
        <v>220.89</v>
      </c>
      <c r="V87">
        <f t="shared" si="3"/>
        <v>0</v>
      </c>
      <c r="W87" s="12"/>
      <c r="X87" t="str">
        <f>_xlfn.CONCAT(Tableau1[[#This Row],[Competition]],"_",Tableau1[[#This Row],[Championship_step]],"_",Tableau1[[#This Row],[Competition_date]],"_",Tableau1[[#This Row],[Gender]])</f>
        <v>Diamond League Doha 2021__44344_Male</v>
      </c>
      <c r="Y87" t="s">
        <v>317</v>
      </c>
      <c r="Z87" t="s">
        <v>43</v>
      </c>
      <c r="AB87" t="s">
        <v>65</v>
      </c>
      <c r="AC87" s="2">
        <v>44344</v>
      </c>
      <c r="AD87">
        <v>2021</v>
      </c>
      <c r="AE87">
        <v>38</v>
      </c>
      <c r="AF87" s="5">
        <v>0.15</v>
      </c>
      <c r="AG87" s="3" t="s">
        <v>64</v>
      </c>
    </row>
    <row r="88" spans="1:33" hidden="1" x14ac:dyDescent="0.35">
      <c r="A88" t="str">
        <f>_xlfn.CONCAT(Tableau1[[#This Row],[Athletes]],"_",Tableau1[[#This Row],[Nationality]],"_",Tableau1[[#This Row],[Competition_year]])</f>
        <v>Samuel TEFERA_ETH_2021</v>
      </c>
      <c r="B88" t="s">
        <v>250</v>
      </c>
      <c r="C88" t="s">
        <v>16</v>
      </c>
      <c r="D88" t="s">
        <v>48</v>
      </c>
      <c r="E88">
        <v>14.3</v>
      </c>
      <c r="F88">
        <v>13.399999999999999</v>
      </c>
      <c r="G88">
        <v>13.3</v>
      </c>
      <c r="H88">
        <v>13.799999999999997</v>
      </c>
      <c r="I88">
        <v>14</v>
      </c>
      <c r="J88">
        <v>14.100000000000009</v>
      </c>
      <c r="K88">
        <v>13.899999999999991</v>
      </c>
      <c r="L88">
        <v>14.200000000000003</v>
      </c>
      <c r="M88">
        <v>14.099999999999994</v>
      </c>
      <c r="N88">
        <v>14.5</v>
      </c>
      <c r="O88">
        <v>14.300000000000011</v>
      </c>
      <c r="P88">
        <v>14.400000000000006</v>
      </c>
      <c r="Q88">
        <v>14.399999999999977</v>
      </c>
      <c r="R88">
        <v>14.400000000000006</v>
      </c>
      <c r="S88">
        <f>Tableau1[[#This Row],[Final_time]]-SUM(Tableau1[[#This Row],[0_100m]:[1300_1400m]])</f>
        <v>15.420000000000016</v>
      </c>
      <c r="T88">
        <v>212.52</v>
      </c>
      <c r="U88">
        <f t="shared" si="2"/>
        <v>212.52</v>
      </c>
      <c r="V88">
        <f t="shared" si="3"/>
        <v>0</v>
      </c>
      <c r="W88" s="12"/>
      <c r="X88" t="str">
        <f>_xlfn.CONCAT(Tableau1[[#This Row],[Competition]],"_",Tableau1[[#This Row],[Championship_step]],"_",Tableau1[[#This Row],[Competition_date]],"_",Tableau1[[#This Row],[Gender]])</f>
        <v>Diamond League Doha 2021__44344_Male</v>
      </c>
      <c r="Y88" t="s">
        <v>317</v>
      </c>
      <c r="Z88" t="s">
        <v>43</v>
      </c>
      <c r="AB88" t="s">
        <v>65</v>
      </c>
      <c r="AC88" s="2">
        <v>44344</v>
      </c>
      <c r="AD88">
        <v>2021</v>
      </c>
      <c r="AE88">
        <v>38</v>
      </c>
      <c r="AF88" s="5">
        <v>0.15</v>
      </c>
      <c r="AG88" s="3" t="s">
        <v>64</v>
      </c>
    </row>
    <row r="89" spans="1:33" hidden="1" x14ac:dyDescent="0.35">
      <c r="A89" t="str">
        <f>_xlfn.CONCAT(Tableau1[[#This Row],[Athletes]],"_",Tableau1[[#This Row],[Nationality]],"_",Tableau1[[#This Row],[Competition_year]])</f>
        <v>Adam Ali MUSAB_QAT_2021</v>
      </c>
      <c r="B89" t="s">
        <v>714</v>
      </c>
      <c r="C89" t="s">
        <v>16</v>
      </c>
      <c r="D89" t="s">
        <v>57</v>
      </c>
      <c r="E89">
        <v>13.8</v>
      </c>
      <c r="F89">
        <v>14</v>
      </c>
      <c r="G89">
        <v>13.900000000000002</v>
      </c>
      <c r="H89">
        <v>14</v>
      </c>
      <c r="I89">
        <v>14</v>
      </c>
      <c r="J89">
        <v>14</v>
      </c>
      <c r="K89">
        <v>14.099999999999994</v>
      </c>
      <c r="L89">
        <v>14.400000000000006</v>
      </c>
      <c r="M89">
        <v>14.599999999999994</v>
      </c>
      <c r="N89">
        <v>14.600000000000009</v>
      </c>
      <c r="O89">
        <v>14.799999999999983</v>
      </c>
      <c r="P89">
        <v>14.700000000000017</v>
      </c>
      <c r="Q89">
        <v>14.799999999999983</v>
      </c>
      <c r="R89">
        <v>15.300000000000011</v>
      </c>
      <c r="S89">
        <f>Tableau1[[#This Row],[Final_time]]-SUM(Tableau1[[#This Row],[0_100m]:[1300_1400m]])</f>
        <v>15.960000000000008</v>
      </c>
      <c r="T89">
        <v>216.96</v>
      </c>
      <c r="U89">
        <f t="shared" si="2"/>
        <v>216.96</v>
      </c>
      <c r="V89">
        <f t="shared" si="3"/>
        <v>0</v>
      </c>
      <c r="W89" s="12"/>
      <c r="X89" t="str">
        <f>_xlfn.CONCAT(Tableau1[[#This Row],[Competition]],"_",Tableau1[[#This Row],[Championship_step]],"_",Tableau1[[#This Row],[Competition_date]],"_",Tableau1[[#This Row],[Gender]])</f>
        <v>Diamond League Doha 2021__44344_Male</v>
      </c>
      <c r="Y89" t="s">
        <v>317</v>
      </c>
      <c r="Z89" t="s">
        <v>43</v>
      </c>
      <c r="AB89" t="s">
        <v>65</v>
      </c>
      <c r="AC89" s="2">
        <v>44344</v>
      </c>
      <c r="AD89">
        <v>2021</v>
      </c>
      <c r="AE89">
        <v>38</v>
      </c>
      <c r="AF89" s="5">
        <v>0.15</v>
      </c>
      <c r="AG89" s="3" t="s">
        <v>64</v>
      </c>
    </row>
    <row r="90" spans="1:33" hidden="1" x14ac:dyDescent="0.35">
      <c r="A90" t="str">
        <f>_xlfn.CONCAT(Tableau1[[#This Row],[Athletes]],"_",Tableau1[[#This Row],[Nationality]],"_",Tableau1[[#This Row],[Competition_year]])</f>
        <v>Hamza DRIOUCH_QAT_2021</v>
      </c>
      <c r="B90" t="s">
        <v>939</v>
      </c>
      <c r="C90" t="s">
        <v>16</v>
      </c>
      <c r="D90" t="s">
        <v>57</v>
      </c>
      <c r="E90">
        <v>14</v>
      </c>
      <c r="F90">
        <v>14.100000000000001</v>
      </c>
      <c r="G90">
        <v>13.899999999999999</v>
      </c>
      <c r="H90">
        <v>13.899999999999999</v>
      </c>
      <c r="I90">
        <v>14.100000000000001</v>
      </c>
      <c r="J90">
        <v>14.299999999999997</v>
      </c>
      <c r="K90">
        <v>14.299999999999997</v>
      </c>
      <c r="L90">
        <v>14.700000000000003</v>
      </c>
      <c r="M90">
        <v>14.799999999999997</v>
      </c>
      <c r="N90">
        <v>14.900000000000006</v>
      </c>
      <c r="O90">
        <v>15.400000000000006</v>
      </c>
      <c r="P90">
        <v>15.5</v>
      </c>
      <c r="Q90">
        <v>15.099999999999994</v>
      </c>
      <c r="R90">
        <v>14.900000000000006</v>
      </c>
      <c r="S90">
        <f>Tableau1[[#This Row],[Final_time]]-SUM(Tableau1[[#This Row],[0_100m]:[1300_1400m]])</f>
        <v>15.989999999999981</v>
      </c>
      <c r="T90">
        <v>219.89</v>
      </c>
      <c r="U90">
        <f t="shared" si="2"/>
        <v>219.89</v>
      </c>
      <c r="V90">
        <f t="shared" si="3"/>
        <v>0</v>
      </c>
      <c r="W90" s="12"/>
      <c r="X90" t="str">
        <f>_xlfn.CONCAT(Tableau1[[#This Row],[Competition]],"_",Tableau1[[#This Row],[Championship_step]],"_",Tableau1[[#This Row],[Competition_date]],"_",Tableau1[[#This Row],[Gender]])</f>
        <v>Diamond League Doha 2021__44344_Male</v>
      </c>
      <c r="Y90" t="s">
        <v>317</v>
      </c>
      <c r="Z90" t="s">
        <v>43</v>
      </c>
      <c r="AB90" t="s">
        <v>65</v>
      </c>
      <c r="AC90" s="2">
        <v>44344</v>
      </c>
      <c r="AD90">
        <v>2021</v>
      </c>
      <c r="AE90">
        <v>38</v>
      </c>
      <c r="AF90" s="5">
        <v>0.15</v>
      </c>
      <c r="AG90" s="3" t="s">
        <v>64</v>
      </c>
    </row>
    <row r="91" spans="1:33" hidden="1" x14ac:dyDescent="0.35">
      <c r="A91" t="str">
        <f>_xlfn.CONCAT(Tableau1[[#This Row],[Athletes]],"_",Tableau1[[#This Row],[Nationality]],"_",Tableau1[[#This Row],[Competition_year]])</f>
        <v>Abel KIPSANG_KEN_2022</v>
      </c>
      <c r="B91" t="s">
        <v>227</v>
      </c>
      <c r="C91" t="s">
        <v>16</v>
      </c>
      <c r="D91" t="s">
        <v>17</v>
      </c>
      <c r="E91">
        <v>14.3</v>
      </c>
      <c r="F91">
        <v>13.9</v>
      </c>
      <c r="G91">
        <v>13.7</v>
      </c>
      <c r="H91">
        <v>14</v>
      </c>
      <c r="I91">
        <v>15</v>
      </c>
      <c r="J91">
        <v>15</v>
      </c>
      <c r="K91">
        <v>14.8</v>
      </c>
      <c r="L91">
        <v>15</v>
      </c>
      <c r="M91">
        <v>15.5</v>
      </c>
      <c r="N91">
        <v>14.5</v>
      </c>
      <c r="O91">
        <v>14.2</v>
      </c>
      <c r="P91">
        <v>14.3</v>
      </c>
      <c r="Q91">
        <v>14.7</v>
      </c>
      <c r="R91">
        <v>13.9</v>
      </c>
      <c r="S91">
        <f>Tableau1[[#This Row],[Final_time]]-SUM(Tableau1[[#This Row],[0_100m]:[1300_1400m]])</f>
        <v>12.900000000000006</v>
      </c>
      <c r="T91">
        <v>215.7</v>
      </c>
      <c r="U91">
        <f t="shared" si="2"/>
        <v>215.7</v>
      </c>
      <c r="V91">
        <f t="shared" si="3"/>
        <v>0</v>
      </c>
      <c r="W91" s="12"/>
      <c r="X91" t="str">
        <f>_xlfn.CONCAT(Tableau1[[#This Row],[Competition]],"_",Tableau1[[#This Row],[Championship_step]],"_",Tableau1[[#This Row],[Competition_date]],"_",Tableau1[[#This Row],[Gender]])</f>
        <v>Diamond League Doha 2022__44694_Male</v>
      </c>
      <c r="Y91" t="s">
        <v>311</v>
      </c>
      <c r="Z91" t="s">
        <v>43</v>
      </c>
      <c r="AB91" t="s">
        <v>65</v>
      </c>
      <c r="AC91" s="2">
        <v>44694</v>
      </c>
      <c r="AD91">
        <v>2022</v>
      </c>
      <c r="AE91">
        <v>31</v>
      </c>
      <c r="AF91" s="5">
        <v>0.16</v>
      </c>
      <c r="AG91" s="3" t="s">
        <v>64</v>
      </c>
    </row>
    <row r="92" spans="1:33" hidden="1" x14ac:dyDescent="0.35">
      <c r="A92" t="str">
        <f>_xlfn.CONCAT(Tableau1[[#This Row],[Athletes]],"_",Tableau1[[#This Row],[Nationality]],"_",Tableau1[[#This Row],[Competition_year]])</f>
        <v>Timothy CHERUIYOT_KEN_2022</v>
      </c>
      <c r="B92" t="s">
        <v>205</v>
      </c>
      <c r="C92" t="s">
        <v>16</v>
      </c>
      <c r="D92" t="s">
        <v>17</v>
      </c>
      <c r="E92">
        <v>14.5</v>
      </c>
      <c r="F92">
        <v>13.9</v>
      </c>
      <c r="G92">
        <v>13.1</v>
      </c>
      <c r="H92">
        <v>14.6</v>
      </c>
      <c r="I92">
        <v>15</v>
      </c>
      <c r="J92">
        <v>15</v>
      </c>
      <c r="K92">
        <v>14.8</v>
      </c>
      <c r="L92">
        <v>15</v>
      </c>
      <c r="M92">
        <v>15.5</v>
      </c>
      <c r="N92">
        <v>14.5</v>
      </c>
      <c r="O92">
        <v>14.2</v>
      </c>
      <c r="P92">
        <v>14.4</v>
      </c>
      <c r="Q92">
        <v>14.6</v>
      </c>
      <c r="R92">
        <v>13.9</v>
      </c>
      <c r="S92">
        <f>Tableau1[[#This Row],[Final_time]]-SUM(Tableau1[[#This Row],[0_100m]:[1300_1400m]])</f>
        <v>13.159999999999997</v>
      </c>
      <c r="T92">
        <v>216.15999999999997</v>
      </c>
      <c r="U92">
        <f t="shared" si="2"/>
        <v>216.15999999999997</v>
      </c>
      <c r="V92">
        <f t="shared" si="3"/>
        <v>0</v>
      </c>
      <c r="W92" s="12"/>
      <c r="X92" t="str">
        <f>_xlfn.CONCAT(Tableau1[[#This Row],[Competition]],"_",Tableau1[[#This Row],[Championship_step]],"_",Tableau1[[#This Row],[Competition_date]],"_",Tableau1[[#This Row],[Gender]])</f>
        <v>Diamond League Doha 2022__44694_Male</v>
      </c>
      <c r="Y92" t="s">
        <v>311</v>
      </c>
      <c r="Z92" t="s">
        <v>43</v>
      </c>
      <c r="AB92" t="s">
        <v>65</v>
      </c>
      <c r="AC92" s="2">
        <v>44694</v>
      </c>
      <c r="AD92">
        <v>2022</v>
      </c>
      <c r="AE92">
        <v>31</v>
      </c>
      <c r="AF92" s="5">
        <v>0.16</v>
      </c>
      <c r="AG92" s="3" t="s">
        <v>64</v>
      </c>
    </row>
    <row r="93" spans="1:33" hidden="1" x14ac:dyDescent="0.35">
      <c r="A93" t="str">
        <f>_xlfn.CONCAT(Tableau1[[#This Row],[Athletes]],"_",Tableau1[[#This Row],[Nationality]],"_",Tableau1[[#This Row],[Competition_year]])</f>
        <v>Teddese LEMI_ETH_2022</v>
      </c>
      <c r="B93" t="s">
        <v>210</v>
      </c>
      <c r="C93" t="s">
        <v>16</v>
      </c>
      <c r="D93" t="s">
        <v>48</v>
      </c>
      <c r="E93">
        <v>14.5</v>
      </c>
      <c r="F93">
        <v>14.1</v>
      </c>
      <c r="G93">
        <v>13.7</v>
      </c>
      <c r="H93">
        <v>14.2</v>
      </c>
      <c r="I93">
        <v>14.3</v>
      </c>
      <c r="J93">
        <v>15.8</v>
      </c>
      <c r="K93">
        <v>14.8</v>
      </c>
      <c r="L93">
        <v>15.1</v>
      </c>
      <c r="M93">
        <v>15.5</v>
      </c>
      <c r="N93">
        <v>14.7</v>
      </c>
      <c r="O93">
        <v>13.9</v>
      </c>
      <c r="P93">
        <v>14.1</v>
      </c>
      <c r="Q93">
        <v>14.6</v>
      </c>
      <c r="R93">
        <v>13.9</v>
      </c>
      <c r="S93">
        <f>Tableau1[[#This Row],[Final_time]]-SUM(Tableau1[[#This Row],[0_100m]:[1300_1400m]])</f>
        <v>13.860000000000014</v>
      </c>
      <c r="T93">
        <v>217.06</v>
      </c>
      <c r="U93">
        <f t="shared" si="2"/>
        <v>217.06</v>
      </c>
      <c r="V93">
        <f t="shared" si="3"/>
        <v>0</v>
      </c>
      <c r="W93" s="12"/>
      <c r="X93" t="str">
        <f>_xlfn.CONCAT(Tableau1[[#This Row],[Competition]],"_",Tableau1[[#This Row],[Championship_step]],"_",Tableau1[[#This Row],[Competition_date]],"_",Tableau1[[#This Row],[Gender]])</f>
        <v>Diamond League Doha 2022__44694_Male</v>
      </c>
      <c r="Y93" t="s">
        <v>311</v>
      </c>
      <c r="Z93" t="s">
        <v>43</v>
      </c>
      <c r="AB93" t="s">
        <v>65</v>
      </c>
      <c r="AC93" s="2">
        <v>44694</v>
      </c>
      <c r="AD93">
        <v>2022</v>
      </c>
      <c r="AE93">
        <v>31</v>
      </c>
      <c r="AF93" s="5">
        <v>0.16</v>
      </c>
      <c r="AG93" s="3" t="s">
        <v>64</v>
      </c>
    </row>
    <row r="94" spans="1:33" hidden="1" x14ac:dyDescent="0.35">
      <c r="A94" t="str">
        <f>_xlfn.CONCAT(Tableau1[[#This Row],[Athletes]],"_",Tableau1[[#This Row],[Nationality]],"_",Tableau1[[#This Row],[Competition_year]])</f>
        <v>Yomif KEJELCHA_ETH_2022</v>
      </c>
      <c r="B94" t="s">
        <v>1320</v>
      </c>
      <c r="C94" t="s">
        <v>16</v>
      </c>
      <c r="D94" t="s">
        <v>48</v>
      </c>
      <c r="E94">
        <v>15.4</v>
      </c>
      <c r="F94">
        <v>14.3</v>
      </c>
      <c r="G94">
        <v>13.6</v>
      </c>
      <c r="H94">
        <v>14.2</v>
      </c>
      <c r="I94">
        <v>14.5</v>
      </c>
      <c r="J94">
        <v>15.2</v>
      </c>
      <c r="K94">
        <v>14.7</v>
      </c>
      <c r="L94">
        <v>14.8</v>
      </c>
      <c r="M94">
        <v>15.6</v>
      </c>
      <c r="N94">
        <v>14.9</v>
      </c>
      <c r="O94">
        <v>14.1</v>
      </c>
      <c r="P94">
        <v>14.2</v>
      </c>
      <c r="Q94">
        <v>14.7</v>
      </c>
      <c r="R94">
        <v>14</v>
      </c>
      <c r="S94">
        <f>Tableau1[[#This Row],[Final_time]]-SUM(Tableau1[[#This Row],[0_100m]:[1300_1400m]])</f>
        <v>13.650000000000006</v>
      </c>
      <c r="T94">
        <v>217.85</v>
      </c>
      <c r="U94">
        <f t="shared" si="2"/>
        <v>217.85</v>
      </c>
      <c r="V94">
        <f t="shared" si="3"/>
        <v>0</v>
      </c>
      <c r="W94" s="12"/>
      <c r="X94" t="str">
        <f>_xlfn.CONCAT(Tableau1[[#This Row],[Competition]],"_",Tableau1[[#This Row],[Championship_step]],"_",Tableau1[[#This Row],[Competition_date]],"_",Tableau1[[#This Row],[Gender]])</f>
        <v>Diamond League Doha 2022__44694_Male</v>
      </c>
      <c r="Y94" t="s">
        <v>311</v>
      </c>
      <c r="Z94" t="s">
        <v>43</v>
      </c>
      <c r="AB94" t="s">
        <v>65</v>
      </c>
      <c r="AC94" s="2">
        <v>44694</v>
      </c>
      <c r="AD94">
        <v>2022</v>
      </c>
      <c r="AE94">
        <v>31</v>
      </c>
      <c r="AF94" s="5">
        <v>0.16</v>
      </c>
      <c r="AG94" s="3" t="s">
        <v>64</v>
      </c>
    </row>
    <row r="95" spans="1:33" hidden="1" x14ac:dyDescent="0.35">
      <c r="A95" t="str">
        <f>_xlfn.CONCAT(Tableau1[[#This Row],[Athletes]],"_",Tableau1[[#This Row],[Nationality]],"_",Tableau1[[#This Row],[Competition_year]])</f>
        <v>Kamar ETIANG_KEN_2022</v>
      </c>
      <c r="B95" t="s">
        <v>1024</v>
      </c>
      <c r="C95" t="s">
        <v>16</v>
      </c>
      <c r="D95" t="s">
        <v>17</v>
      </c>
      <c r="E95">
        <v>14.6</v>
      </c>
      <c r="F95">
        <v>14</v>
      </c>
      <c r="G95">
        <v>13.7</v>
      </c>
      <c r="H95">
        <v>14</v>
      </c>
      <c r="I95">
        <v>15</v>
      </c>
      <c r="J95">
        <v>15</v>
      </c>
      <c r="K95">
        <v>14.9</v>
      </c>
      <c r="L95">
        <v>15.1</v>
      </c>
      <c r="M95">
        <v>15.4</v>
      </c>
      <c r="N95">
        <v>14.6</v>
      </c>
      <c r="O95">
        <v>13.4</v>
      </c>
      <c r="P95">
        <v>17.2</v>
      </c>
      <c r="Q95">
        <v>13</v>
      </c>
      <c r="R95">
        <v>14.3</v>
      </c>
      <c r="S95">
        <f>Tableau1[[#This Row],[Final_time]]-SUM(Tableau1[[#This Row],[0_100m]:[1300_1400m]])</f>
        <v>14.539999999999992</v>
      </c>
      <c r="T95">
        <v>218.73999999999998</v>
      </c>
      <c r="U95">
        <f t="shared" si="2"/>
        <v>218.73999999999998</v>
      </c>
      <c r="V95">
        <f t="shared" si="3"/>
        <v>0</v>
      </c>
      <c r="W95" s="12"/>
      <c r="X95" t="str">
        <f>_xlfn.CONCAT(Tableau1[[#This Row],[Competition]],"_",Tableau1[[#This Row],[Championship_step]],"_",Tableau1[[#This Row],[Competition_date]],"_",Tableau1[[#This Row],[Gender]])</f>
        <v>Diamond League Doha 2022__44694_Male</v>
      </c>
      <c r="Y95" t="s">
        <v>311</v>
      </c>
      <c r="Z95" t="s">
        <v>43</v>
      </c>
      <c r="AB95" t="s">
        <v>65</v>
      </c>
      <c r="AC95" s="2">
        <v>44694</v>
      </c>
      <c r="AD95">
        <v>2022</v>
      </c>
      <c r="AE95">
        <v>31</v>
      </c>
      <c r="AF95" s="5">
        <v>0.16</v>
      </c>
      <c r="AG95" s="3" t="s">
        <v>64</v>
      </c>
    </row>
    <row r="96" spans="1:33" hidden="1" x14ac:dyDescent="0.35">
      <c r="A96" t="str">
        <f>_xlfn.CONCAT(Tableau1[[#This Row],[Athletes]],"_",Tableau1[[#This Row],[Nationality]],"_",Tableau1[[#This Row],[Competition_year]])</f>
        <v>Matthew RAMSDEN_AUS_2022</v>
      </c>
      <c r="B96" t="s">
        <v>198</v>
      </c>
      <c r="C96" t="s">
        <v>16</v>
      </c>
      <c r="D96" t="s">
        <v>21</v>
      </c>
      <c r="E96">
        <v>14.9</v>
      </c>
      <c r="F96">
        <v>14.4</v>
      </c>
      <c r="G96">
        <v>13.7</v>
      </c>
      <c r="H96">
        <v>14</v>
      </c>
      <c r="I96">
        <v>14.7</v>
      </c>
      <c r="J96">
        <v>15.9</v>
      </c>
      <c r="K96">
        <v>14.3</v>
      </c>
      <c r="L96">
        <v>15.2</v>
      </c>
      <c r="M96">
        <v>15.4</v>
      </c>
      <c r="N96">
        <v>15</v>
      </c>
      <c r="O96">
        <v>14.4</v>
      </c>
      <c r="P96">
        <v>14.2</v>
      </c>
      <c r="Q96">
        <v>15.2</v>
      </c>
      <c r="R96">
        <v>14.1</v>
      </c>
      <c r="S96">
        <f>Tableau1[[#This Row],[Final_time]]-SUM(Tableau1[[#This Row],[0_100m]:[1300_1400m]])</f>
        <v>13.430000000000007</v>
      </c>
      <c r="T96">
        <v>218.82999999999998</v>
      </c>
      <c r="U96">
        <f t="shared" si="2"/>
        <v>218.82999999999998</v>
      </c>
      <c r="V96">
        <f t="shared" si="3"/>
        <v>0</v>
      </c>
      <c r="W96" s="12"/>
      <c r="X96" t="str">
        <f>_xlfn.CONCAT(Tableau1[[#This Row],[Competition]],"_",Tableau1[[#This Row],[Championship_step]],"_",Tableau1[[#This Row],[Competition_date]],"_",Tableau1[[#This Row],[Gender]])</f>
        <v>Diamond League Doha 2022__44694_Male</v>
      </c>
      <c r="Y96" t="s">
        <v>311</v>
      </c>
      <c r="Z96" t="s">
        <v>43</v>
      </c>
      <c r="AB96" t="s">
        <v>65</v>
      </c>
      <c r="AC96" s="2">
        <v>44694</v>
      </c>
      <c r="AD96">
        <v>2022</v>
      </c>
      <c r="AE96">
        <v>31</v>
      </c>
      <c r="AF96" s="5">
        <v>0.16</v>
      </c>
      <c r="AG96" s="3" t="s">
        <v>64</v>
      </c>
    </row>
    <row r="97" spans="1:34" hidden="1" x14ac:dyDescent="0.35">
      <c r="A97" t="str">
        <f>_xlfn.CONCAT(Tableau1[[#This Row],[Athletes]],"_",Tableau1[[#This Row],[Nationality]],"_",Tableau1[[#This Row],[Competition_year]])</f>
        <v>Charles Cheboi SIMOTWO_KEN_2022</v>
      </c>
      <c r="B97" t="s">
        <v>258</v>
      </c>
      <c r="C97" t="s">
        <v>16</v>
      </c>
      <c r="D97" t="s">
        <v>17</v>
      </c>
      <c r="E97">
        <v>14.6</v>
      </c>
      <c r="F97">
        <v>14.2</v>
      </c>
      <c r="G97">
        <v>13.7</v>
      </c>
      <c r="H97">
        <v>14.1</v>
      </c>
      <c r="I97">
        <v>14.9</v>
      </c>
      <c r="J97">
        <v>15.2</v>
      </c>
      <c r="K97">
        <v>15.2</v>
      </c>
      <c r="L97">
        <v>14.8</v>
      </c>
      <c r="M97">
        <v>15.6</v>
      </c>
      <c r="N97">
        <v>14.6</v>
      </c>
      <c r="O97">
        <v>14.4</v>
      </c>
      <c r="P97">
        <v>14.4</v>
      </c>
      <c r="Q97">
        <v>14.9</v>
      </c>
      <c r="R97">
        <v>14.4</v>
      </c>
      <c r="S97">
        <f>Tableau1[[#This Row],[Final_time]]-SUM(Tableau1[[#This Row],[0_100m]:[1300_1400m]])</f>
        <v>14.180000000000007</v>
      </c>
      <c r="T97">
        <v>219.18000000000004</v>
      </c>
      <c r="U97">
        <f t="shared" si="2"/>
        <v>219.18000000000004</v>
      </c>
      <c r="V97">
        <f t="shared" si="3"/>
        <v>0</v>
      </c>
      <c r="W97" s="12"/>
      <c r="X97" t="str">
        <f>_xlfn.CONCAT(Tableau1[[#This Row],[Competition]],"_",Tableau1[[#This Row],[Championship_step]],"_",Tableau1[[#This Row],[Competition_date]],"_",Tableau1[[#This Row],[Gender]])</f>
        <v>Diamond League Doha 2022__44694_Male</v>
      </c>
      <c r="Y97" t="s">
        <v>311</v>
      </c>
      <c r="Z97" t="s">
        <v>43</v>
      </c>
      <c r="AB97" t="s">
        <v>65</v>
      </c>
      <c r="AC97" s="2">
        <v>44694</v>
      </c>
      <c r="AD97">
        <v>2022</v>
      </c>
      <c r="AE97">
        <v>31</v>
      </c>
      <c r="AF97" s="5">
        <v>0.16</v>
      </c>
      <c r="AG97" s="3" t="s">
        <v>64</v>
      </c>
    </row>
    <row r="98" spans="1:34" hidden="1" x14ac:dyDescent="0.35">
      <c r="A98" t="str">
        <f>_xlfn.CONCAT(Tableau1[[#This Row],[Athletes]],"_",Tableau1[[#This Row],[Nationality]],"_",Tableau1[[#This Row],[Competition_year]])</f>
        <v>Samuel ZELEKE_ETH_2022</v>
      </c>
      <c r="B98" t="s">
        <v>193</v>
      </c>
      <c r="C98" t="s">
        <v>16</v>
      </c>
      <c r="D98" t="s">
        <v>48</v>
      </c>
      <c r="E98">
        <v>14.5</v>
      </c>
      <c r="F98">
        <v>14.7</v>
      </c>
      <c r="G98">
        <v>13.8</v>
      </c>
      <c r="H98">
        <v>14.1</v>
      </c>
      <c r="I98">
        <v>15</v>
      </c>
      <c r="J98">
        <v>15.2</v>
      </c>
      <c r="K98">
        <v>14.8</v>
      </c>
      <c r="L98">
        <v>15.2</v>
      </c>
      <c r="M98">
        <v>15.5</v>
      </c>
      <c r="N98">
        <v>14.9</v>
      </c>
      <c r="O98">
        <v>14.6</v>
      </c>
      <c r="P98">
        <v>14.1</v>
      </c>
      <c r="Q98">
        <v>14.9</v>
      </c>
      <c r="R98">
        <v>15.5</v>
      </c>
      <c r="S98">
        <f>Tableau1[[#This Row],[Final_time]]-SUM(Tableau1[[#This Row],[0_100m]:[1300_1400m]])</f>
        <v>15.800000000000011</v>
      </c>
      <c r="T98">
        <v>222.60000000000002</v>
      </c>
      <c r="U98">
        <f t="shared" si="2"/>
        <v>222.60000000000002</v>
      </c>
      <c r="V98">
        <f t="shared" si="3"/>
        <v>0</v>
      </c>
      <c r="W98" s="12"/>
      <c r="X98" t="str">
        <f>_xlfn.CONCAT(Tableau1[[#This Row],[Competition]],"_",Tableau1[[#This Row],[Championship_step]],"_",Tableau1[[#This Row],[Competition_date]],"_",Tableau1[[#This Row],[Gender]])</f>
        <v>Diamond League Doha 2022__44694_Male</v>
      </c>
      <c r="Y98" t="s">
        <v>311</v>
      </c>
      <c r="Z98" t="s">
        <v>43</v>
      </c>
      <c r="AB98" t="s">
        <v>65</v>
      </c>
      <c r="AC98" s="2">
        <v>44694</v>
      </c>
      <c r="AD98">
        <v>2022</v>
      </c>
      <c r="AE98">
        <v>31</v>
      </c>
      <c r="AF98" s="5">
        <v>0.16</v>
      </c>
      <c r="AG98" s="3" t="s">
        <v>64</v>
      </c>
    </row>
    <row r="99" spans="1:34" hidden="1" x14ac:dyDescent="0.35">
      <c r="A99" t="str">
        <f>_xlfn.CONCAT(Tableau1[[#This Row],[Athletes]],"_",Tableau1[[#This Row],[Nationality]],"_",Tableau1[[#This Row],[Competition_year]])</f>
        <v>Adam Ali MUSAB_QAT_2022</v>
      </c>
      <c r="B99" t="s">
        <v>714</v>
      </c>
      <c r="C99" t="s">
        <v>16</v>
      </c>
      <c r="D99" t="s">
        <v>57</v>
      </c>
      <c r="E99">
        <v>14.8</v>
      </c>
      <c r="F99">
        <v>14.2</v>
      </c>
      <c r="G99">
        <v>13.700000000000003</v>
      </c>
      <c r="H99">
        <v>14.099999999999994</v>
      </c>
      <c r="I99">
        <v>15</v>
      </c>
      <c r="J99">
        <v>15.299999999999997</v>
      </c>
      <c r="K99">
        <v>15</v>
      </c>
      <c r="L99">
        <v>15.200000000000003</v>
      </c>
      <c r="M99">
        <v>15.500000000000014</v>
      </c>
      <c r="N99">
        <v>15.099999999999994</v>
      </c>
      <c r="O99">
        <v>14.699999999999989</v>
      </c>
      <c r="P99">
        <v>15</v>
      </c>
      <c r="Q99">
        <v>16.300000000000011</v>
      </c>
      <c r="R99">
        <v>16.400000000000006</v>
      </c>
      <c r="S99">
        <f>Tableau1[[#This Row],[Final_time]]-SUM(Tableau1[[#This Row],[0_100m]:[1300_1400m]])</f>
        <v>17.060000000000002</v>
      </c>
      <c r="T99">
        <v>227.36</v>
      </c>
      <c r="U99">
        <f t="shared" si="2"/>
        <v>227.36</v>
      </c>
      <c r="V99">
        <f t="shared" si="3"/>
        <v>0</v>
      </c>
      <c r="W99" s="12"/>
      <c r="X99" t="str">
        <f>_xlfn.CONCAT(Tableau1[[#This Row],[Competition]],"_",Tableau1[[#This Row],[Championship_step]],"_",Tableau1[[#This Row],[Competition_date]],"_",Tableau1[[#This Row],[Gender]])</f>
        <v>Diamond League Doha 2022__44694_Male</v>
      </c>
      <c r="Y99" t="s">
        <v>311</v>
      </c>
      <c r="Z99" t="s">
        <v>43</v>
      </c>
      <c r="AB99" t="s">
        <v>65</v>
      </c>
      <c r="AC99" s="2">
        <v>44694</v>
      </c>
      <c r="AD99">
        <v>2022</v>
      </c>
      <c r="AE99">
        <v>31</v>
      </c>
      <c r="AF99" s="5">
        <v>0.16</v>
      </c>
      <c r="AG99" s="3" t="s">
        <v>64</v>
      </c>
    </row>
    <row r="100" spans="1:34" hidden="1" x14ac:dyDescent="0.35">
      <c r="A100" t="str">
        <f>_xlfn.CONCAT(Tableau1[[#This Row],[Athletes]],"_",Tableau1[[#This Row],[Nationality]],"_",Tableau1[[#This Row],[Competition_year]])</f>
        <v>Ignacio FONTES_ESP_2022</v>
      </c>
      <c r="B100" t="s">
        <v>251</v>
      </c>
      <c r="C100" t="s">
        <v>16</v>
      </c>
      <c r="D100" t="s">
        <v>22</v>
      </c>
      <c r="E100">
        <v>15.3</v>
      </c>
      <c r="F100">
        <v>14.3</v>
      </c>
      <c r="G100">
        <v>13.899999999999999</v>
      </c>
      <c r="H100">
        <v>14.299999999999997</v>
      </c>
      <c r="I100">
        <v>15.100000000000009</v>
      </c>
      <c r="J100">
        <v>15.199999999999989</v>
      </c>
      <c r="K100">
        <v>14.400000000000006</v>
      </c>
      <c r="L100">
        <v>15.599999999999994</v>
      </c>
      <c r="M100">
        <v>16</v>
      </c>
      <c r="N100">
        <v>15.700000000000017</v>
      </c>
      <c r="O100">
        <v>15.199999999999989</v>
      </c>
      <c r="P100">
        <v>14.199999999999989</v>
      </c>
      <c r="Q100">
        <v>18</v>
      </c>
      <c r="R100">
        <v>15.800000000000011</v>
      </c>
      <c r="S100">
        <f>Tableau1[[#This Row],[Final_time]]-SUM(Tableau1[[#This Row],[0_100m]:[1300_1400m]])</f>
        <v>14.800000000000011</v>
      </c>
      <c r="T100">
        <v>227.8</v>
      </c>
      <c r="U100">
        <f t="shared" si="2"/>
        <v>227.8</v>
      </c>
      <c r="V100">
        <f t="shared" si="3"/>
        <v>0</v>
      </c>
      <c r="W100" s="12"/>
      <c r="X100" t="str">
        <f>_xlfn.CONCAT(Tableau1[[#This Row],[Competition]],"_",Tableau1[[#This Row],[Championship_step]],"_",Tableau1[[#This Row],[Competition_date]],"_",Tableau1[[#This Row],[Gender]])</f>
        <v>Diamond League Doha 2022__44694_Male</v>
      </c>
      <c r="Y100" t="s">
        <v>311</v>
      </c>
      <c r="Z100" t="s">
        <v>43</v>
      </c>
      <c r="AB100" t="s">
        <v>65</v>
      </c>
      <c r="AC100" s="2">
        <v>44694</v>
      </c>
      <c r="AD100">
        <v>2022</v>
      </c>
      <c r="AE100">
        <v>31</v>
      </c>
      <c r="AF100" s="5">
        <v>0.16</v>
      </c>
      <c r="AG100" s="3" t="s">
        <v>64</v>
      </c>
    </row>
    <row r="101" spans="1:34" hidden="1" x14ac:dyDescent="0.35">
      <c r="A101" t="str">
        <f>_xlfn.CONCAT(Tableau1[[#This Row],[Athletes]],"_",Tableau1[[#This Row],[Nationality]],"_",Tableau1[[#This Row],[Competition_year]])</f>
        <v>Stewart MCSWEYN_AUS_2022</v>
      </c>
      <c r="B101" t="s">
        <v>219</v>
      </c>
      <c r="C101" t="s">
        <v>16</v>
      </c>
      <c r="D101" t="s">
        <v>21</v>
      </c>
      <c r="E101">
        <v>14.6</v>
      </c>
      <c r="F101">
        <v>14.500000000000002</v>
      </c>
      <c r="G101">
        <v>13.9</v>
      </c>
      <c r="H101">
        <v>13.5</v>
      </c>
      <c r="I101">
        <v>15.399999999999991</v>
      </c>
      <c r="J101">
        <v>15.5</v>
      </c>
      <c r="K101">
        <v>15.100000000000009</v>
      </c>
      <c r="L101">
        <v>15.399999999999991</v>
      </c>
      <c r="M101">
        <v>16.099999999999994</v>
      </c>
      <c r="N101">
        <v>15.800000000000011</v>
      </c>
      <c r="O101">
        <v>15.099999999999994</v>
      </c>
      <c r="P101">
        <v>16.5</v>
      </c>
      <c r="Q101">
        <v>16</v>
      </c>
      <c r="R101">
        <v>16.200000000000017</v>
      </c>
      <c r="S101">
        <f>Tableau1[[#This Row],[Final_time]]-SUM(Tableau1[[#This Row],[0_100m]:[1300_1400m]])</f>
        <v>15</v>
      </c>
      <c r="T101">
        <v>228.60000000000002</v>
      </c>
      <c r="U101">
        <f t="shared" si="2"/>
        <v>228.60000000000002</v>
      </c>
      <c r="V101">
        <f t="shared" si="3"/>
        <v>0</v>
      </c>
      <c r="W101" s="12"/>
      <c r="X101" t="str">
        <f>_xlfn.CONCAT(Tableau1[[#This Row],[Competition]],"_",Tableau1[[#This Row],[Championship_step]],"_",Tableau1[[#This Row],[Competition_date]],"_",Tableau1[[#This Row],[Gender]])</f>
        <v>Diamond League Doha 2022__44694_Male</v>
      </c>
      <c r="Y101" t="s">
        <v>311</v>
      </c>
      <c r="Z101" t="s">
        <v>43</v>
      </c>
      <c r="AB101" t="s">
        <v>65</v>
      </c>
      <c r="AC101" s="2">
        <v>44694</v>
      </c>
      <c r="AD101">
        <v>2022</v>
      </c>
      <c r="AE101">
        <v>31</v>
      </c>
      <c r="AF101" s="5">
        <v>0.16</v>
      </c>
      <c r="AG101" s="3" t="s">
        <v>64</v>
      </c>
    </row>
    <row r="102" spans="1:34" hidden="1" x14ac:dyDescent="0.35">
      <c r="A102" t="str">
        <f>_xlfn.CONCAT(Tableau1[[#This Row],[Athletes]],"_",Tableau1[[#This Row],[Nationality]],"_",Tableau1[[#This Row],[Competition_year]])</f>
        <v>Faith KIPYEGON_KEN_2023</v>
      </c>
      <c r="B102" t="s">
        <v>164</v>
      </c>
      <c r="C102" t="s">
        <v>47</v>
      </c>
      <c r="D102" t="s">
        <v>17</v>
      </c>
      <c r="E102">
        <v>15.3</v>
      </c>
      <c r="F102">
        <v>15.8</v>
      </c>
      <c r="G102">
        <v>16.2</v>
      </c>
      <c r="H102">
        <v>16.7</v>
      </c>
      <c r="I102">
        <v>17.2</v>
      </c>
      <c r="J102">
        <v>16.399999999999999</v>
      </c>
      <c r="K102">
        <v>16.399999999999999</v>
      </c>
      <c r="L102">
        <v>16.399999999999999</v>
      </c>
      <c r="M102">
        <v>16.7</v>
      </c>
      <c r="N102">
        <v>16.600000000000001</v>
      </c>
      <c r="O102">
        <v>16.100000000000001</v>
      </c>
      <c r="P102">
        <v>15.2</v>
      </c>
      <c r="Q102">
        <v>14.7</v>
      </c>
      <c r="R102">
        <v>14.1</v>
      </c>
      <c r="S102">
        <f>Tableau1[[#This Row],[Final_time]]-SUM(Tableau1[[#This Row],[0_100m]:[1300_1400m]])</f>
        <v>14.770000000000039</v>
      </c>
      <c r="T102">
        <v>238.57</v>
      </c>
      <c r="U102">
        <f t="shared" si="2"/>
        <v>238.57</v>
      </c>
      <c r="V102">
        <f t="shared" si="3"/>
        <v>0</v>
      </c>
      <c r="W102" s="12"/>
      <c r="X102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2" t="s">
        <v>275</v>
      </c>
      <c r="Z102" s="2" t="s">
        <v>43</v>
      </c>
      <c r="AA102" s="2"/>
      <c r="AB102" s="2" t="s">
        <v>65</v>
      </c>
      <c r="AC102" s="2">
        <v>45051</v>
      </c>
      <c r="AD102" s="3">
        <v>2023</v>
      </c>
      <c r="AE102" s="3">
        <v>26</v>
      </c>
      <c r="AF102" s="5">
        <v>0.41</v>
      </c>
      <c r="AG102" s="3" t="s">
        <v>64</v>
      </c>
      <c r="AH102" t="s">
        <v>268</v>
      </c>
    </row>
    <row r="103" spans="1:34" hidden="1" x14ac:dyDescent="0.35">
      <c r="A103" t="str">
        <f>_xlfn.CONCAT(Tableau1[[#This Row],[Athletes]],"_",Tableau1[[#This Row],[Nationality]],"_",Tableau1[[#This Row],[Competition_year]])</f>
        <v>Freweyni HAILU_ETH_2023</v>
      </c>
      <c r="B103" t="s">
        <v>144</v>
      </c>
      <c r="C103" t="s">
        <v>47</v>
      </c>
      <c r="D103" t="s">
        <v>48</v>
      </c>
      <c r="E103">
        <v>16.399999999999999</v>
      </c>
      <c r="F103">
        <v>16.399999999999999</v>
      </c>
      <c r="G103">
        <v>16.2</v>
      </c>
      <c r="H103">
        <v>16.600000000000001</v>
      </c>
      <c r="I103">
        <v>16.600000000000001</v>
      </c>
      <c r="J103">
        <v>16.899999999999999</v>
      </c>
      <c r="K103">
        <v>16.100000000000001</v>
      </c>
      <c r="L103">
        <v>16.5</v>
      </c>
      <c r="M103">
        <v>16.2</v>
      </c>
      <c r="N103">
        <v>16.7</v>
      </c>
      <c r="O103">
        <v>15.7</v>
      </c>
      <c r="P103">
        <v>15.7</v>
      </c>
      <c r="Q103">
        <v>14.5</v>
      </c>
      <c r="R103">
        <v>14.8</v>
      </c>
      <c r="S103">
        <f>Tableau1[[#This Row],[Final_time]]-SUM(Tableau1[[#This Row],[0_100m]:[1300_1400m]])</f>
        <v>14.990000000000038</v>
      </c>
      <c r="T103">
        <v>240.29</v>
      </c>
      <c r="U103">
        <f t="shared" si="2"/>
        <v>240.29</v>
      </c>
      <c r="V103">
        <f t="shared" si="3"/>
        <v>0</v>
      </c>
      <c r="W103" s="12"/>
      <c r="X103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3" t="s">
        <v>275</v>
      </c>
      <c r="Z103" s="2" t="s">
        <v>43</v>
      </c>
      <c r="AA103" s="2"/>
      <c r="AB103" s="2" t="s">
        <v>65</v>
      </c>
      <c r="AC103" s="2">
        <v>45051</v>
      </c>
      <c r="AD103" s="3">
        <v>2023</v>
      </c>
      <c r="AE103" s="3">
        <v>26</v>
      </c>
      <c r="AF103" s="5">
        <v>0.41</v>
      </c>
      <c r="AG103" s="3" t="s">
        <v>64</v>
      </c>
      <c r="AH103" t="s">
        <v>268</v>
      </c>
    </row>
    <row r="104" spans="1:34" hidden="1" x14ac:dyDescent="0.35">
      <c r="A104" t="str">
        <f>_xlfn.CONCAT(Tableau1[[#This Row],[Athletes]],"_",Tableau1[[#This Row],[Nationality]],"_",Tableau1[[#This Row],[Competition_year]])</f>
        <v>Abbey CALDWELL_AUS_2023</v>
      </c>
      <c r="B104" t="s">
        <v>156</v>
      </c>
      <c r="C104" t="s">
        <v>47</v>
      </c>
      <c r="D104" t="s">
        <v>21</v>
      </c>
      <c r="E104">
        <v>15.9</v>
      </c>
      <c r="F104">
        <v>16.2</v>
      </c>
      <c r="G104">
        <v>16.2</v>
      </c>
      <c r="H104">
        <v>16.600000000000001</v>
      </c>
      <c r="I104">
        <v>17</v>
      </c>
      <c r="J104">
        <v>16.399999999999999</v>
      </c>
      <c r="K104">
        <v>16.5</v>
      </c>
      <c r="L104">
        <v>16.7</v>
      </c>
      <c r="M104">
        <v>16.399999999999999</v>
      </c>
      <c r="N104">
        <v>16.600000000000001</v>
      </c>
      <c r="O104">
        <v>16</v>
      </c>
      <c r="P104">
        <v>15.6</v>
      </c>
      <c r="Q104">
        <v>15.2</v>
      </c>
      <c r="R104">
        <v>14.8</v>
      </c>
      <c r="S104">
        <f>Tableau1[[#This Row],[Final_time]]-SUM(Tableau1[[#This Row],[0_100m]:[1300_1400m]])</f>
        <v>15.050000000000011</v>
      </c>
      <c r="T104">
        <v>241.15</v>
      </c>
      <c r="U104">
        <f t="shared" si="2"/>
        <v>241.15</v>
      </c>
      <c r="V104">
        <f t="shared" si="3"/>
        <v>0</v>
      </c>
      <c r="W104" s="12"/>
      <c r="X104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4" t="s">
        <v>275</v>
      </c>
      <c r="Z104" s="2" t="s">
        <v>43</v>
      </c>
      <c r="AA104" s="2"/>
      <c r="AB104" s="2" t="s">
        <v>65</v>
      </c>
      <c r="AC104" s="2">
        <v>45051</v>
      </c>
      <c r="AD104" s="3">
        <v>2023</v>
      </c>
      <c r="AE104" s="3">
        <v>26</v>
      </c>
      <c r="AF104" s="5">
        <v>0.41</v>
      </c>
      <c r="AG104" s="3" t="s">
        <v>64</v>
      </c>
      <c r="AH104" t="s">
        <v>268</v>
      </c>
    </row>
    <row r="105" spans="1:34" hidden="1" x14ac:dyDescent="0.35">
      <c r="A105" t="str">
        <f>_xlfn.CONCAT(Tableau1[[#This Row],[Athletes]],"_",Tableau1[[#This Row],[Nationality]],"_",Tableau1[[#This Row],[Competition_year]])</f>
        <v>Diribe WELTEJI_ETH_2023</v>
      </c>
      <c r="B105" t="s">
        <v>165</v>
      </c>
      <c r="C105" t="s">
        <v>47</v>
      </c>
      <c r="D105" t="s">
        <v>48</v>
      </c>
      <c r="E105">
        <v>15.35</v>
      </c>
      <c r="F105">
        <v>15.95</v>
      </c>
      <c r="G105">
        <v>16.3</v>
      </c>
      <c r="H105">
        <v>16.7</v>
      </c>
      <c r="I105">
        <v>17.100000000000001</v>
      </c>
      <c r="J105">
        <v>16.399999999999999</v>
      </c>
      <c r="K105">
        <v>16.399999999999999</v>
      </c>
      <c r="L105">
        <v>15.5</v>
      </c>
      <c r="M105">
        <v>17.7</v>
      </c>
      <c r="N105">
        <v>16.600000000000001</v>
      </c>
      <c r="O105">
        <v>16.100000000000001</v>
      </c>
      <c r="P105">
        <v>15.1</v>
      </c>
      <c r="Q105">
        <v>14.7</v>
      </c>
      <c r="R105">
        <v>14.3</v>
      </c>
      <c r="S105">
        <f>Tableau1[[#This Row],[Final_time]]-SUM(Tableau1[[#This Row],[0_100m]:[1300_1400m]])</f>
        <v>15.140000000000015</v>
      </c>
      <c r="T105">
        <v>239.34</v>
      </c>
      <c r="U105">
        <f t="shared" si="2"/>
        <v>239.34</v>
      </c>
      <c r="V105">
        <f t="shared" si="3"/>
        <v>0</v>
      </c>
      <c r="W105" s="12"/>
      <c r="X105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5" t="s">
        <v>275</v>
      </c>
      <c r="Z105" s="2" t="s">
        <v>43</v>
      </c>
      <c r="AA105" s="2"/>
      <c r="AB105" s="2" t="s">
        <v>65</v>
      </c>
      <c r="AC105" s="2">
        <v>45051</v>
      </c>
      <c r="AD105" s="3">
        <v>2023</v>
      </c>
      <c r="AE105" s="3">
        <v>26</v>
      </c>
      <c r="AF105" s="5">
        <v>0.41</v>
      </c>
      <c r="AG105" s="3" t="s">
        <v>64</v>
      </c>
      <c r="AH105" t="s">
        <v>268</v>
      </c>
    </row>
    <row r="106" spans="1:34" hidden="1" x14ac:dyDescent="0.35">
      <c r="A106" t="str">
        <f>_xlfn.CONCAT(Tableau1[[#This Row],[Athletes]],"_",Tableau1[[#This Row],[Nationality]],"_",Tableau1[[#This Row],[Competition_year]])</f>
        <v>Jessica HULL_AUS_2023</v>
      </c>
      <c r="B106" t="s">
        <v>187</v>
      </c>
      <c r="C106" t="s">
        <v>47</v>
      </c>
      <c r="D106" t="s">
        <v>21</v>
      </c>
      <c r="E106">
        <v>15.55</v>
      </c>
      <c r="F106">
        <v>15.95</v>
      </c>
      <c r="G106">
        <v>16.2</v>
      </c>
      <c r="H106">
        <v>16.7</v>
      </c>
      <c r="I106">
        <v>17</v>
      </c>
      <c r="J106">
        <v>16.399999999999999</v>
      </c>
      <c r="K106">
        <v>16.600000000000001</v>
      </c>
      <c r="L106">
        <v>16.399999999999999</v>
      </c>
      <c r="M106">
        <v>16.7</v>
      </c>
      <c r="N106">
        <v>16.5</v>
      </c>
      <c r="O106">
        <v>15.9</v>
      </c>
      <c r="P106">
        <v>15.5</v>
      </c>
      <c r="Q106">
        <v>15.2</v>
      </c>
      <c r="R106">
        <v>15</v>
      </c>
      <c r="S106">
        <f>Tableau1[[#This Row],[Final_time]]-SUM(Tableau1[[#This Row],[0_100m]:[1300_1400m]])</f>
        <v>15.300000000000011</v>
      </c>
      <c r="T106">
        <v>240.9</v>
      </c>
      <c r="U106">
        <f t="shared" si="2"/>
        <v>240.9</v>
      </c>
      <c r="V106">
        <f t="shared" si="3"/>
        <v>0</v>
      </c>
      <c r="W106" s="12"/>
      <c r="X106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6" t="s">
        <v>275</v>
      </c>
      <c r="Z106" s="2" t="s">
        <v>43</v>
      </c>
      <c r="AA106" s="2"/>
      <c r="AB106" s="2" t="s">
        <v>65</v>
      </c>
      <c r="AC106" s="2">
        <v>45051</v>
      </c>
      <c r="AD106" s="3">
        <v>2023</v>
      </c>
      <c r="AE106" s="3">
        <v>26</v>
      </c>
      <c r="AF106" s="5">
        <v>0.41</v>
      </c>
      <c r="AG106" s="3" t="s">
        <v>64</v>
      </c>
      <c r="AH106" t="s">
        <v>268</v>
      </c>
    </row>
    <row r="107" spans="1:34" hidden="1" x14ac:dyDescent="0.35">
      <c r="A107" t="str">
        <f>_xlfn.CONCAT(Tableau1[[#This Row],[Athletes]],"_",Tableau1[[#This Row],[Nationality]],"_",Tableau1[[#This Row],[Competition_year]])</f>
        <v>Birke HAYLOM_ETH_2023</v>
      </c>
      <c r="B107" t="s">
        <v>179</v>
      </c>
      <c r="C107" t="s">
        <v>47</v>
      </c>
      <c r="D107" t="s">
        <v>48</v>
      </c>
      <c r="E107">
        <v>15.45</v>
      </c>
      <c r="F107">
        <v>16.05</v>
      </c>
      <c r="G107">
        <v>16.2</v>
      </c>
      <c r="H107">
        <v>16.8</v>
      </c>
      <c r="I107">
        <v>17</v>
      </c>
      <c r="J107">
        <v>16.7</v>
      </c>
      <c r="K107">
        <v>16.7</v>
      </c>
      <c r="L107">
        <v>16.399999999999999</v>
      </c>
      <c r="M107">
        <v>16.399999999999999</v>
      </c>
      <c r="N107">
        <v>16.8</v>
      </c>
      <c r="O107">
        <v>16</v>
      </c>
      <c r="P107">
        <v>15.3</v>
      </c>
      <c r="Q107">
        <v>15.1</v>
      </c>
      <c r="R107">
        <v>15.6</v>
      </c>
      <c r="S107">
        <f>Tableau1[[#This Row],[Final_time]]-SUM(Tableau1[[#This Row],[0_100m]:[1300_1400m]])</f>
        <v>15.359999999999985</v>
      </c>
      <c r="T107">
        <v>241.86</v>
      </c>
      <c r="U107">
        <f t="shared" si="2"/>
        <v>241.86</v>
      </c>
      <c r="V107">
        <f t="shared" si="3"/>
        <v>0</v>
      </c>
      <c r="W107" s="12"/>
      <c r="X107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7" t="s">
        <v>275</v>
      </c>
      <c r="Z107" s="2" t="s">
        <v>43</v>
      </c>
      <c r="AA107" s="2"/>
      <c r="AB107" s="2" t="s">
        <v>65</v>
      </c>
      <c r="AC107" s="2">
        <v>45051</v>
      </c>
      <c r="AD107" s="3">
        <v>2023</v>
      </c>
      <c r="AE107" s="3">
        <v>26</v>
      </c>
      <c r="AF107" s="5">
        <v>0.41</v>
      </c>
      <c r="AG107" s="3" t="s">
        <v>64</v>
      </c>
      <c r="AH107" t="s">
        <v>268</v>
      </c>
    </row>
    <row r="108" spans="1:34" hidden="1" x14ac:dyDescent="0.35">
      <c r="A108" t="str">
        <f>_xlfn.CONCAT(Tableau1[[#This Row],[Athletes]],"_",Tableau1[[#This Row],[Nationality]],"_",Tableau1[[#This Row],[Competition_year]])</f>
        <v>Axumawit EMBAYE_ETH_2023</v>
      </c>
      <c r="B108" t="s">
        <v>269</v>
      </c>
      <c r="C108" t="s">
        <v>47</v>
      </c>
      <c r="D108" t="s">
        <v>48</v>
      </c>
      <c r="E108">
        <v>15.7</v>
      </c>
      <c r="F108">
        <v>15.9</v>
      </c>
      <c r="G108">
        <v>16.3</v>
      </c>
      <c r="H108">
        <v>16.7</v>
      </c>
      <c r="I108">
        <v>17.100000000000001</v>
      </c>
      <c r="J108">
        <v>17.100000000000001</v>
      </c>
      <c r="K108">
        <v>16.399999999999999</v>
      </c>
      <c r="L108">
        <v>16.899999999999999</v>
      </c>
      <c r="M108">
        <v>16.100000000000001</v>
      </c>
      <c r="N108">
        <v>17</v>
      </c>
      <c r="O108">
        <v>16</v>
      </c>
      <c r="P108">
        <v>15.5</v>
      </c>
      <c r="Q108">
        <v>15.1</v>
      </c>
      <c r="R108">
        <v>15.7</v>
      </c>
      <c r="S108">
        <f>Tableau1[[#This Row],[Final_time]]-SUM(Tableau1[[#This Row],[0_100m]:[1300_1400m]])</f>
        <v>15.900000000000006</v>
      </c>
      <c r="T108">
        <v>243.4</v>
      </c>
      <c r="U108">
        <f t="shared" si="2"/>
        <v>243.4</v>
      </c>
      <c r="V108">
        <f t="shared" si="3"/>
        <v>0</v>
      </c>
      <c r="W108" s="12"/>
      <c r="X108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8" t="s">
        <v>275</v>
      </c>
      <c r="Z108" s="2" t="s">
        <v>43</v>
      </c>
      <c r="AA108" s="2"/>
      <c r="AB108" s="2" t="s">
        <v>65</v>
      </c>
      <c r="AC108" s="2">
        <v>45051</v>
      </c>
      <c r="AD108" s="3">
        <v>2023</v>
      </c>
      <c r="AE108" s="3">
        <v>26</v>
      </c>
      <c r="AF108" s="5">
        <v>0.41</v>
      </c>
      <c r="AG108" s="3" t="s">
        <v>64</v>
      </c>
      <c r="AH108" t="s">
        <v>268</v>
      </c>
    </row>
    <row r="109" spans="1:34" hidden="1" x14ac:dyDescent="0.35">
      <c r="A109" t="str">
        <f>_xlfn.CONCAT(Tableau1[[#This Row],[Athletes]],"_",Tableau1[[#This Row],[Nationality]],"_",Tableau1[[#This Row],[Competition_year]])</f>
        <v>Hirut MESHESHA_ETH_2023</v>
      </c>
      <c r="B109" t="s">
        <v>135</v>
      </c>
      <c r="C109" t="s">
        <v>47</v>
      </c>
      <c r="D109" t="s">
        <v>48</v>
      </c>
      <c r="E109">
        <v>15.9</v>
      </c>
      <c r="F109">
        <v>16.100000000000001</v>
      </c>
      <c r="G109">
        <v>16.5</v>
      </c>
      <c r="H109">
        <v>16.600000000000001</v>
      </c>
      <c r="I109">
        <v>16.3</v>
      </c>
      <c r="J109">
        <v>16.7</v>
      </c>
      <c r="K109">
        <v>16.3</v>
      </c>
      <c r="L109">
        <v>16.5</v>
      </c>
      <c r="M109">
        <v>16.600000000000001</v>
      </c>
      <c r="N109">
        <v>16.8</v>
      </c>
      <c r="O109">
        <v>15.9</v>
      </c>
      <c r="P109">
        <v>15.3</v>
      </c>
      <c r="Q109">
        <v>14.9</v>
      </c>
      <c r="R109">
        <v>15.7</v>
      </c>
      <c r="S109">
        <f>Tableau1[[#This Row],[Final_time]]-SUM(Tableau1[[#This Row],[0_100m]:[1300_1400m]])</f>
        <v>16.150000000000006</v>
      </c>
      <c r="T109">
        <v>242.25</v>
      </c>
      <c r="U109">
        <f t="shared" si="2"/>
        <v>242.25</v>
      </c>
      <c r="V109">
        <f t="shared" si="3"/>
        <v>0</v>
      </c>
      <c r="W109" s="12"/>
      <c r="X109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09" t="s">
        <v>275</v>
      </c>
      <c r="Z109" s="2" t="s">
        <v>43</v>
      </c>
      <c r="AA109" s="2"/>
      <c r="AB109" s="2" t="s">
        <v>65</v>
      </c>
      <c r="AC109" s="2">
        <v>45051</v>
      </c>
      <c r="AD109" s="3">
        <v>2023</v>
      </c>
      <c r="AE109" s="3">
        <v>26</v>
      </c>
      <c r="AF109" s="5">
        <v>0.41</v>
      </c>
      <c r="AG109" s="3" t="s">
        <v>64</v>
      </c>
      <c r="AH109" t="s">
        <v>268</v>
      </c>
    </row>
    <row r="110" spans="1:34" hidden="1" x14ac:dyDescent="0.35">
      <c r="A110" t="str">
        <f>_xlfn.CONCAT(Tableau1[[#This Row],[Athletes]],"_",Tableau1[[#This Row],[Nationality]],"_",Tableau1[[#This Row],[Competition_year]])</f>
        <v>Konstanze KLOSTERHALFEN_GER_2023</v>
      </c>
      <c r="B110" t="s">
        <v>270</v>
      </c>
      <c r="C110" t="s">
        <v>47</v>
      </c>
      <c r="D110" t="s">
        <v>34</v>
      </c>
      <c r="E110">
        <v>16</v>
      </c>
      <c r="F110">
        <v>16</v>
      </c>
      <c r="G110">
        <v>16.2</v>
      </c>
      <c r="H110">
        <v>16.600000000000001</v>
      </c>
      <c r="I110">
        <v>16.899999999999999</v>
      </c>
      <c r="J110">
        <v>16.3</v>
      </c>
      <c r="K110">
        <v>16.600000000000001</v>
      </c>
      <c r="L110">
        <v>16.399999999999999</v>
      </c>
      <c r="M110">
        <v>16.7</v>
      </c>
      <c r="N110">
        <v>16.5</v>
      </c>
      <c r="O110">
        <v>16.100000000000001</v>
      </c>
      <c r="P110">
        <v>15.9</v>
      </c>
      <c r="Q110">
        <v>16.3</v>
      </c>
      <c r="R110">
        <v>16.3</v>
      </c>
      <c r="S110">
        <f>Tableau1[[#This Row],[Final_time]]-SUM(Tableau1[[#This Row],[0_100m]:[1300_1400m]])</f>
        <v>16.829999999999956</v>
      </c>
      <c r="T110">
        <v>245.63</v>
      </c>
      <c r="U110">
        <f t="shared" si="2"/>
        <v>245.63</v>
      </c>
      <c r="V110">
        <f t="shared" si="3"/>
        <v>0</v>
      </c>
      <c r="W110" s="12"/>
      <c r="X110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10" t="s">
        <v>275</v>
      </c>
      <c r="Z110" s="2" t="s">
        <v>43</v>
      </c>
      <c r="AA110" s="2"/>
      <c r="AB110" s="2" t="s">
        <v>65</v>
      </c>
      <c r="AC110" s="2">
        <v>45051</v>
      </c>
      <c r="AD110" s="3">
        <v>2023</v>
      </c>
      <c r="AE110" s="3">
        <v>26</v>
      </c>
      <c r="AF110" s="5">
        <v>0.41</v>
      </c>
      <c r="AG110" s="3" t="s">
        <v>64</v>
      </c>
      <c r="AH110" t="s">
        <v>268</v>
      </c>
    </row>
    <row r="111" spans="1:34" hidden="1" x14ac:dyDescent="0.35">
      <c r="A111" t="str">
        <f>_xlfn.CONCAT(Tableau1[[#This Row],[Athletes]],"_",Tableau1[[#This Row],[Nationality]],"_",Tableau1[[#This Row],[Competition_year]])</f>
        <v>Cory Ann MCGEE_USA_2023</v>
      </c>
      <c r="B111" t="s">
        <v>181</v>
      </c>
      <c r="C111" t="s">
        <v>47</v>
      </c>
      <c r="D111" t="s">
        <v>51</v>
      </c>
      <c r="E111">
        <v>16.399999999999999</v>
      </c>
      <c r="F111">
        <v>16.3</v>
      </c>
      <c r="G111">
        <v>16.3</v>
      </c>
      <c r="H111">
        <v>16.7</v>
      </c>
      <c r="I111">
        <v>16.7</v>
      </c>
      <c r="J111">
        <v>16.899999999999999</v>
      </c>
      <c r="K111">
        <v>16.399999999999999</v>
      </c>
      <c r="L111">
        <v>16</v>
      </c>
      <c r="M111">
        <v>16.399999999999999</v>
      </c>
      <c r="N111">
        <v>16.7</v>
      </c>
      <c r="O111">
        <v>16.100000000000001</v>
      </c>
      <c r="P111">
        <v>15.7</v>
      </c>
      <c r="Q111">
        <v>15.9</v>
      </c>
      <c r="R111">
        <v>16.100000000000001</v>
      </c>
      <c r="S111">
        <f>Tableau1[[#This Row],[Final_time]]-SUM(Tableau1[[#This Row],[0_100m]:[1300_1400m]])</f>
        <v>17.430000000000007</v>
      </c>
      <c r="T111">
        <v>246.03</v>
      </c>
      <c r="U111">
        <f t="shared" si="2"/>
        <v>246.03</v>
      </c>
      <c r="V111">
        <f t="shared" si="3"/>
        <v>0</v>
      </c>
      <c r="W111" s="12"/>
      <c r="X111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11" t="s">
        <v>275</v>
      </c>
      <c r="Z111" s="2" t="s">
        <v>43</v>
      </c>
      <c r="AA111" s="2"/>
      <c r="AB111" s="2" t="s">
        <v>65</v>
      </c>
      <c r="AC111" s="2">
        <v>45051</v>
      </c>
      <c r="AD111" s="3">
        <v>2023</v>
      </c>
      <c r="AE111" s="3">
        <v>26</v>
      </c>
      <c r="AF111" s="5">
        <v>0.41</v>
      </c>
      <c r="AG111" s="3" t="s">
        <v>64</v>
      </c>
      <c r="AH111" t="s">
        <v>268</v>
      </c>
    </row>
    <row r="112" spans="1:34" hidden="1" x14ac:dyDescent="0.35">
      <c r="A112" t="str">
        <f>_xlfn.CONCAT(Tableau1[[#This Row],[Athletes]],"_",Tableau1[[#This Row],[Nationality]],"_",Tableau1[[#This Row],[Competition_year]])</f>
        <v>Winny CHEBET_KEN_2023</v>
      </c>
      <c r="B112" t="s">
        <v>139</v>
      </c>
      <c r="C112" t="s">
        <v>47</v>
      </c>
      <c r="D112" t="s">
        <v>17</v>
      </c>
      <c r="E112">
        <v>16.149999999999999</v>
      </c>
      <c r="F112">
        <v>16.25</v>
      </c>
      <c r="G112">
        <v>16.5</v>
      </c>
      <c r="H112">
        <v>16.8</v>
      </c>
      <c r="I112">
        <v>17.5</v>
      </c>
      <c r="J112">
        <v>17.5</v>
      </c>
      <c r="K112">
        <v>17.600000000000001</v>
      </c>
      <c r="L112">
        <v>17.8</v>
      </c>
      <c r="M112">
        <v>18.8</v>
      </c>
      <c r="N112">
        <v>18.600000000000001</v>
      </c>
      <c r="O112">
        <v>18.600000000000001</v>
      </c>
      <c r="P112">
        <v>18.3</v>
      </c>
      <c r="Q112">
        <v>18.2</v>
      </c>
      <c r="R112">
        <v>18.100000000000001</v>
      </c>
      <c r="S112">
        <f>Tableau1[[#This Row],[Final_time]]-SUM(Tableau1[[#This Row],[0_100m]:[1300_1400m]])</f>
        <v>17.509999999999962</v>
      </c>
      <c r="T112">
        <v>264.20999999999998</v>
      </c>
      <c r="U112">
        <f t="shared" si="2"/>
        <v>264.20999999999998</v>
      </c>
      <c r="V112">
        <f t="shared" si="3"/>
        <v>0</v>
      </c>
      <c r="W112" s="12"/>
      <c r="X112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12" t="s">
        <v>275</v>
      </c>
      <c r="Z112" s="2" t="s">
        <v>43</v>
      </c>
      <c r="AA112" s="2"/>
      <c r="AB112" s="2" t="s">
        <v>65</v>
      </c>
      <c r="AC112" s="2">
        <v>45051</v>
      </c>
      <c r="AD112" s="3">
        <v>2023</v>
      </c>
      <c r="AE112" s="3">
        <v>26</v>
      </c>
      <c r="AF112" s="5">
        <v>0.41</v>
      </c>
      <c r="AG112" s="3" t="s">
        <v>64</v>
      </c>
      <c r="AH112" t="s">
        <v>268</v>
      </c>
    </row>
    <row r="113" spans="1:34" hidden="1" x14ac:dyDescent="0.35">
      <c r="A113" t="str">
        <f>_xlfn.CONCAT(Tableau1[[#This Row],[Athletes]],"_",Tableau1[[#This Row],[Nationality]],"_",Tableau1[[#This Row],[Competition_year]])</f>
        <v>Lemlem HAILU_ETH_2023</v>
      </c>
      <c r="B113" t="s">
        <v>271</v>
      </c>
      <c r="C113" t="s">
        <v>47</v>
      </c>
      <c r="D113" t="s">
        <v>48</v>
      </c>
      <c r="E113">
        <v>16.100000000000001</v>
      </c>
      <c r="F113">
        <v>16.399999999999999</v>
      </c>
      <c r="G113">
        <v>16.2</v>
      </c>
      <c r="H113">
        <v>16.7</v>
      </c>
      <c r="I113">
        <v>16.3</v>
      </c>
      <c r="J113">
        <v>17</v>
      </c>
      <c r="K113">
        <v>16</v>
      </c>
      <c r="L113">
        <v>16.8</v>
      </c>
      <c r="M113">
        <v>16.100000000000001</v>
      </c>
      <c r="N113">
        <v>17.3</v>
      </c>
      <c r="O113">
        <v>15.6</v>
      </c>
      <c r="P113">
        <v>15.9</v>
      </c>
      <c r="Q113">
        <v>16.399999999999999</v>
      </c>
      <c r="R113">
        <v>17.3</v>
      </c>
      <c r="S113">
        <f>Tableau1[[#This Row],[Final_time]]-SUM(Tableau1[[#This Row],[0_100m]:[1300_1400m]])</f>
        <v>18.279999999999973</v>
      </c>
      <c r="T113">
        <v>248.38</v>
      </c>
      <c r="U113">
        <f t="shared" si="2"/>
        <v>248.38</v>
      </c>
      <c r="V113">
        <f t="shared" si="3"/>
        <v>0</v>
      </c>
      <c r="W113" s="12"/>
      <c r="X113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13" t="s">
        <v>275</v>
      </c>
      <c r="Z113" s="2" t="s">
        <v>43</v>
      </c>
      <c r="AA113" s="2"/>
      <c r="AB113" s="2" t="s">
        <v>65</v>
      </c>
      <c r="AC113" s="2">
        <v>45051</v>
      </c>
      <c r="AD113" s="3">
        <v>2023</v>
      </c>
      <c r="AE113" s="3">
        <v>26</v>
      </c>
      <c r="AF113" s="5">
        <v>0.41</v>
      </c>
      <c r="AG113" s="3" t="s">
        <v>64</v>
      </c>
      <c r="AH113" t="s">
        <v>268</v>
      </c>
    </row>
    <row r="114" spans="1:34" hidden="1" x14ac:dyDescent="0.35">
      <c r="A114" t="str">
        <f>_xlfn.CONCAT(Tableau1[[#This Row],[Athletes]],"_",Tableau1[[#This Row],[Nationality]],"_",Tableau1[[#This Row],[Competition_year]])</f>
        <v>Angelika CICHOCKA_POL_2023</v>
      </c>
      <c r="B114" t="s">
        <v>272</v>
      </c>
      <c r="C114" t="s">
        <v>47</v>
      </c>
      <c r="D114" t="s">
        <v>83</v>
      </c>
      <c r="E114">
        <v>16.2</v>
      </c>
      <c r="F114">
        <v>16</v>
      </c>
      <c r="G114">
        <v>16.899999999999999</v>
      </c>
      <c r="H114">
        <v>16.899999999999999</v>
      </c>
      <c r="I114">
        <v>16.600000000000001</v>
      </c>
      <c r="J114">
        <v>16.8</v>
      </c>
      <c r="K114">
        <v>16.399999999999999</v>
      </c>
      <c r="L114">
        <v>16.8</v>
      </c>
      <c r="M114">
        <v>16.899999999999999</v>
      </c>
      <c r="N114">
        <v>17.3</v>
      </c>
      <c r="O114">
        <v>17.8</v>
      </c>
      <c r="P114">
        <v>17.899999999999999</v>
      </c>
      <c r="Q114">
        <v>18.399999999999999</v>
      </c>
      <c r="R114">
        <v>18.5</v>
      </c>
      <c r="S114">
        <f>Tableau1[[#This Row],[Final_time]]-SUM(Tableau1[[#This Row],[0_100m]:[1300_1400m]])</f>
        <v>18.349999999999966</v>
      </c>
      <c r="T114">
        <v>257.75</v>
      </c>
      <c r="U114">
        <f t="shared" si="2"/>
        <v>257.75</v>
      </c>
      <c r="V114">
        <f t="shared" si="3"/>
        <v>0</v>
      </c>
      <c r="W114" s="12"/>
      <c r="X114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14" t="s">
        <v>275</v>
      </c>
      <c r="Z114" s="2" t="s">
        <v>43</v>
      </c>
      <c r="AA114" s="2"/>
      <c r="AB114" s="2" t="s">
        <v>65</v>
      </c>
      <c r="AC114" s="2">
        <v>45051</v>
      </c>
      <c r="AD114" s="3">
        <v>2023</v>
      </c>
      <c r="AE114" s="3">
        <v>26</v>
      </c>
      <c r="AF114" s="5">
        <v>0.41</v>
      </c>
      <c r="AG114" s="3" t="s">
        <v>64</v>
      </c>
      <c r="AH114" t="s">
        <v>268</v>
      </c>
    </row>
    <row r="115" spans="1:34" hidden="1" x14ac:dyDescent="0.35">
      <c r="A115" t="str">
        <f>_xlfn.CONCAT(Tableau1[[#This Row],[Athletes]],"_",Tableau1[[#This Row],[Nationality]],"_",Tableau1[[#This Row],[Competition_year]])</f>
        <v>Georgia GRIFFITH_AUS_2023</v>
      </c>
      <c r="B115" t="s">
        <v>248</v>
      </c>
      <c r="C115" t="s">
        <v>47</v>
      </c>
      <c r="D115" t="s">
        <v>21</v>
      </c>
      <c r="E115">
        <v>15.8</v>
      </c>
      <c r="F115">
        <v>15.9</v>
      </c>
      <c r="G115">
        <v>16.3</v>
      </c>
      <c r="H115">
        <v>16.8</v>
      </c>
      <c r="I115">
        <v>17</v>
      </c>
      <c r="J115">
        <v>17</v>
      </c>
      <c r="K115">
        <v>16.5</v>
      </c>
      <c r="L115">
        <v>17</v>
      </c>
      <c r="M115">
        <v>16.600000000000001</v>
      </c>
      <c r="N115">
        <v>16.5</v>
      </c>
      <c r="O115">
        <v>16.8</v>
      </c>
      <c r="P115">
        <v>17.600000000000001</v>
      </c>
      <c r="Q115">
        <v>18.399999999999999</v>
      </c>
      <c r="R115">
        <v>18.2</v>
      </c>
      <c r="S115">
        <f>Tableau1[[#This Row],[Final_time]]-SUM(Tableau1[[#This Row],[0_100m]:[1300_1400m]])</f>
        <v>19.090000000000003</v>
      </c>
      <c r="T115">
        <v>255.49</v>
      </c>
      <c r="U115">
        <f t="shared" si="2"/>
        <v>255.49</v>
      </c>
      <c r="V115">
        <f t="shared" si="3"/>
        <v>0</v>
      </c>
      <c r="W115" s="12"/>
      <c r="X115" t="str">
        <f>_xlfn.CONCAT(Tableau1[[#This Row],[Competition]],"_",Tableau1[[#This Row],[Championship_step]],"_",Tableau1[[#This Row],[Competition_date]],"_",Tableau1[[#This Row],[Gender]])</f>
        <v>Diamond League Doha 2023__45051_Female</v>
      </c>
      <c r="Y115" t="s">
        <v>275</v>
      </c>
      <c r="Z115" s="2" t="s">
        <v>43</v>
      </c>
      <c r="AA115" s="2"/>
      <c r="AB115" s="2" t="s">
        <v>65</v>
      </c>
      <c r="AC115" s="2">
        <v>45051</v>
      </c>
      <c r="AD115" s="3">
        <v>2023</v>
      </c>
      <c r="AE115" s="3">
        <v>26</v>
      </c>
      <c r="AF115" s="5">
        <v>0.41</v>
      </c>
      <c r="AG115" s="3" t="s">
        <v>64</v>
      </c>
      <c r="AH115" t="s">
        <v>268</v>
      </c>
    </row>
    <row r="116" spans="1:34" hidden="1" x14ac:dyDescent="0.35">
      <c r="A116" t="str">
        <f>_xlfn.CONCAT(Tableau1[[#This Row],[Athletes]],"_",Tableau1[[#This Row],[Nationality]],"_",Tableau1[[#This Row],[Competition_year]])</f>
        <v>Jessica HULL_AUS_2024</v>
      </c>
      <c r="B116" t="s">
        <v>187</v>
      </c>
      <c r="C116" t="s">
        <v>47</v>
      </c>
      <c r="D116" t="s">
        <v>21</v>
      </c>
      <c r="E116">
        <v>15.4</v>
      </c>
      <c r="F116">
        <v>16.5</v>
      </c>
      <c r="G116">
        <v>15.5</v>
      </c>
      <c r="H116">
        <v>15.6</v>
      </c>
      <c r="I116">
        <v>16.600000000000001</v>
      </c>
      <c r="J116">
        <v>16.600000000000001</v>
      </c>
      <c r="K116">
        <v>15.7</v>
      </c>
      <c r="L116">
        <v>16.3</v>
      </c>
      <c r="M116">
        <v>16.399999999999999</v>
      </c>
      <c r="N116">
        <v>17</v>
      </c>
      <c r="O116">
        <v>16.3</v>
      </c>
      <c r="P116">
        <v>15.8</v>
      </c>
      <c r="Q116">
        <v>16.100000000000001</v>
      </c>
      <c r="R116">
        <v>15.8</v>
      </c>
      <c r="S116">
        <f>Tableau1[[#This Row],[Final_time]]-SUM(Tableau1[[#This Row],[0_100m]:[1300_1400m]])</f>
        <v>15.239999999999981</v>
      </c>
      <c r="T116">
        <v>240.84</v>
      </c>
      <c r="U116">
        <f t="shared" si="2"/>
        <v>240.84</v>
      </c>
      <c r="V116">
        <f t="shared" si="3"/>
        <v>0</v>
      </c>
      <c r="W116" s="12"/>
      <c r="X11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16" t="s">
        <v>53</v>
      </c>
      <c r="Z116" s="2" t="s">
        <v>43</v>
      </c>
      <c r="AA116" s="2"/>
      <c r="AB116" s="2" t="s">
        <v>65</v>
      </c>
      <c r="AC116" s="2">
        <v>45422</v>
      </c>
      <c r="AD116" s="3">
        <v>2024</v>
      </c>
      <c r="AE116" s="3">
        <v>30</v>
      </c>
      <c r="AF116" s="5">
        <v>0.21</v>
      </c>
      <c r="AG116" s="3" t="s">
        <v>64</v>
      </c>
      <c r="AH116" t="s">
        <v>66</v>
      </c>
    </row>
    <row r="117" spans="1:34" hidden="1" x14ac:dyDescent="0.35">
      <c r="A117" t="str">
        <f>_xlfn.CONCAT(Tableau1[[#This Row],[Athletes]],"_",Tableau1[[#This Row],[Nationality]],"_",Tableau1[[#This Row],[Competition_year]])</f>
        <v>Nelly CHEPCHIRCHIR_KEN_2024</v>
      </c>
      <c r="B117" t="s">
        <v>178</v>
      </c>
      <c r="C117" t="s">
        <v>47</v>
      </c>
      <c r="D117" t="s">
        <v>17</v>
      </c>
      <c r="E117">
        <v>15.2</v>
      </c>
      <c r="F117">
        <v>16.399999999999999</v>
      </c>
      <c r="G117">
        <v>15.8</v>
      </c>
      <c r="H117">
        <v>15.8</v>
      </c>
      <c r="I117">
        <v>16.100000000000001</v>
      </c>
      <c r="J117">
        <v>16.3</v>
      </c>
      <c r="K117">
        <v>16.2</v>
      </c>
      <c r="L117">
        <v>16.3</v>
      </c>
      <c r="M117">
        <v>16.600000000000001</v>
      </c>
      <c r="N117">
        <v>16.7</v>
      </c>
      <c r="O117">
        <v>16.3</v>
      </c>
      <c r="P117">
        <v>16.100000000000001</v>
      </c>
      <c r="Q117">
        <v>16.100000000000001</v>
      </c>
      <c r="R117">
        <v>16</v>
      </c>
      <c r="S117">
        <f>Tableau1[[#This Row],[Final_time]]-SUM(Tableau1[[#This Row],[0_100m]:[1300_1400m]])</f>
        <v>15.289999999999992</v>
      </c>
      <c r="T117">
        <v>241.19</v>
      </c>
      <c r="U117">
        <f t="shared" si="2"/>
        <v>241.19</v>
      </c>
      <c r="V117">
        <f t="shared" si="3"/>
        <v>0</v>
      </c>
      <c r="W117" s="12"/>
      <c r="X117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17" t="s">
        <v>53</v>
      </c>
      <c r="Z117" s="2" t="s">
        <v>43</v>
      </c>
      <c r="AA117" s="2"/>
      <c r="AB117" s="2" t="s">
        <v>65</v>
      </c>
      <c r="AC117" s="2">
        <v>45422</v>
      </c>
      <c r="AD117" s="3">
        <v>2024</v>
      </c>
      <c r="AE117" s="3">
        <v>30</v>
      </c>
      <c r="AF117" s="5">
        <v>0.21</v>
      </c>
      <c r="AG117" s="3" t="s">
        <v>64</v>
      </c>
      <c r="AH117" t="s">
        <v>66</v>
      </c>
    </row>
    <row r="118" spans="1:34" hidden="1" x14ac:dyDescent="0.35">
      <c r="A118" t="str">
        <f>_xlfn.CONCAT(Tableau1[[#This Row],[Athletes]],"_",Tableau1[[#This Row],[Nationality]],"_",Tableau1[[#This Row],[Competition_year]])</f>
        <v>Georgia HUNTER BELL_GBR_2024</v>
      </c>
      <c r="B118" t="s">
        <v>1348</v>
      </c>
      <c r="C118" t="s">
        <v>47</v>
      </c>
      <c r="D118" t="s">
        <v>20</v>
      </c>
      <c r="E118">
        <v>15.6</v>
      </c>
      <c r="F118">
        <v>16.8</v>
      </c>
      <c r="G118">
        <v>15.8</v>
      </c>
      <c r="H118">
        <v>16.2</v>
      </c>
      <c r="I118">
        <v>16.3</v>
      </c>
      <c r="J118">
        <v>16.600000000000001</v>
      </c>
      <c r="K118">
        <v>16.2</v>
      </c>
      <c r="L118">
        <v>16.399999999999999</v>
      </c>
      <c r="M118">
        <v>16.5</v>
      </c>
      <c r="N118">
        <v>16.7</v>
      </c>
      <c r="O118">
        <v>16.399999999999999</v>
      </c>
      <c r="P118">
        <v>16</v>
      </c>
      <c r="Q118">
        <v>16.600000000000001</v>
      </c>
      <c r="R118">
        <v>16.2</v>
      </c>
      <c r="S118">
        <f>Tableau1[[#This Row],[Final_time]]-SUM(Tableau1[[#This Row],[0_100m]:[1300_1400m]])</f>
        <v>15.420000000000016</v>
      </c>
      <c r="T118">
        <v>243.72</v>
      </c>
      <c r="U118">
        <f t="shared" si="2"/>
        <v>243.72</v>
      </c>
      <c r="V118">
        <f t="shared" si="3"/>
        <v>0</v>
      </c>
      <c r="W118" s="12"/>
      <c r="X118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18" t="s">
        <v>53</v>
      </c>
      <c r="Z118" s="2" t="s">
        <v>43</v>
      </c>
      <c r="AA118" s="2"/>
      <c r="AB118" s="2" t="s">
        <v>65</v>
      </c>
      <c r="AC118" s="2">
        <v>45422</v>
      </c>
      <c r="AD118" s="3">
        <v>2024</v>
      </c>
      <c r="AE118" s="3">
        <v>30</v>
      </c>
      <c r="AF118" s="5">
        <v>0.21</v>
      </c>
      <c r="AG118" s="3" t="s">
        <v>64</v>
      </c>
      <c r="AH118" t="s">
        <v>66</v>
      </c>
    </row>
    <row r="119" spans="1:34" hidden="1" x14ac:dyDescent="0.35">
      <c r="A119" t="str">
        <f>_xlfn.CONCAT(Tableau1[[#This Row],[Athletes]],"_",Tableau1[[#This Row],[Nationality]],"_",Tableau1[[#This Row],[Competition_year]])</f>
        <v>Melissa COURTNEY-BRYANT_GBR_2024</v>
      </c>
      <c r="B119" t="s">
        <v>168</v>
      </c>
      <c r="C119" t="s">
        <v>47</v>
      </c>
      <c r="D119" t="s">
        <v>20</v>
      </c>
      <c r="E119">
        <v>15.6</v>
      </c>
      <c r="F119">
        <v>16.600000000000001</v>
      </c>
      <c r="G119">
        <v>16.2</v>
      </c>
      <c r="H119">
        <v>16.399999999999999</v>
      </c>
      <c r="I119">
        <v>16.2</v>
      </c>
      <c r="J119">
        <v>16.600000000000001</v>
      </c>
      <c r="K119">
        <v>16.5</v>
      </c>
      <c r="L119">
        <v>16.7</v>
      </c>
      <c r="M119">
        <v>17.2</v>
      </c>
      <c r="N119">
        <v>17.3</v>
      </c>
      <c r="O119">
        <v>16.600000000000001</v>
      </c>
      <c r="P119">
        <v>16.8</v>
      </c>
      <c r="Q119">
        <v>17.399999999999999</v>
      </c>
      <c r="R119">
        <v>16.7</v>
      </c>
      <c r="S119">
        <f>Tableau1[[#This Row],[Final_time]]-SUM(Tableau1[[#This Row],[0_100m]:[1300_1400m]])</f>
        <v>15.659999999999997</v>
      </c>
      <c r="T119">
        <v>248.46</v>
      </c>
      <c r="U119">
        <f t="shared" si="2"/>
        <v>248.46</v>
      </c>
      <c r="V119">
        <f t="shared" si="3"/>
        <v>0</v>
      </c>
      <c r="W119" s="12"/>
      <c r="X119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19" t="s">
        <v>53</v>
      </c>
      <c r="Z119" s="2" t="s">
        <v>43</v>
      </c>
      <c r="AA119" s="2"/>
      <c r="AB119" s="2" t="s">
        <v>65</v>
      </c>
      <c r="AC119" s="2">
        <v>45422</v>
      </c>
      <c r="AD119" s="3">
        <v>2024</v>
      </c>
      <c r="AE119" s="3">
        <v>30</v>
      </c>
      <c r="AF119" s="5">
        <v>0.21</v>
      </c>
      <c r="AG119" s="3" t="s">
        <v>64</v>
      </c>
      <c r="AH119" t="s">
        <v>66</v>
      </c>
    </row>
    <row r="120" spans="1:34" hidden="1" x14ac:dyDescent="0.35">
      <c r="A120" t="str">
        <f>_xlfn.CONCAT(Tableau1[[#This Row],[Athletes]],"_",Tableau1[[#This Row],[Nationality]],"_",Tableau1[[#This Row],[Competition_year]])</f>
        <v>Worknesh MESELE_ETH_2024</v>
      </c>
      <c r="B120" t="s">
        <v>294</v>
      </c>
      <c r="C120" t="s">
        <v>47</v>
      </c>
      <c r="D120" t="s">
        <v>48</v>
      </c>
      <c r="E120">
        <v>15.1</v>
      </c>
      <c r="F120">
        <v>16.7</v>
      </c>
      <c r="G120">
        <v>15.8</v>
      </c>
      <c r="H120">
        <v>15.8</v>
      </c>
      <c r="I120">
        <v>16.399999999999999</v>
      </c>
      <c r="J120">
        <v>16.2</v>
      </c>
      <c r="K120">
        <v>15.7</v>
      </c>
      <c r="L120">
        <v>16.100000000000001</v>
      </c>
      <c r="M120">
        <v>16.600000000000001</v>
      </c>
      <c r="N120">
        <v>17.3</v>
      </c>
      <c r="O120">
        <v>16.399999999999999</v>
      </c>
      <c r="P120">
        <v>15.4</v>
      </c>
      <c r="Q120">
        <v>16.100000000000001</v>
      </c>
      <c r="R120">
        <v>15.9</v>
      </c>
      <c r="S120">
        <f>Tableau1[[#This Row],[Final_time]]-SUM(Tableau1[[#This Row],[0_100m]:[1300_1400m]])</f>
        <v>15.75</v>
      </c>
      <c r="T120">
        <v>241.25</v>
      </c>
      <c r="U120">
        <f t="shared" si="2"/>
        <v>241.25</v>
      </c>
      <c r="V120">
        <f t="shared" si="3"/>
        <v>0</v>
      </c>
      <c r="W120" s="12"/>
      <c r="X120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0" t="s">
        <v>53</v>
      </c>
      <c r="Z120" s="2" t="s">
        <v>43</v>
      </c>
      <c r="AA120" s="2"/>
      <c r="AB120" s="2" t="s">
        <v>65</v>
      </c>
      <c r="AC120" s="2">
        <v>45422</v>
      </c>
      <c r="AD120" s="3">
        <v>2024</v>
      </c>
      <c r="AE120" s="3">
        <v>30</v>
      </c>
      <c r="AF120" s="5">
        <v>0.21</v>
      </c>
      <c r="AG120" s="3" t="s">
        <v>64</v>
      </c>
      <c r="AH120" t="s">
        <v>66</v>
      </c>
    </row>
    <row r="121" spans="1:34" hidden="1" x14ac:dyDescent="0.35">
      <c r="A121" t="str">
        <f>_xlfn.CONCAT(Tableau1[[#This Row],[Athletes]],"_",Tableau1[[#This Row],[Nationality]],"_",Tableau1[[#This Row],[Competition_year]])</f>
        <v>Revee WALCOTT-NOLAN_GBR_2024</v>
      </c>
      <c r="B121" t="s">
        <v>635</v>
      </c>
      <c r="C121" t="s">
        <v>47</v>
      </c>
      <c r="D121" t="s">
        <v>20</v>
      </c>
      <c r="E121">
        <v>15.7</v>
      </c>
      <c r="F121">
        <v>16.5</v>
      </c>
      <c r="G121">
        <v>15.8</v>
      </c>
      <c r="H121">
        <v>16.100000000000001</v>
      </c>
      <c r="I121">
        <v>16.399999999999999</v>
      </c>
      <c r="J121">
        <v>16.600000000000001</v>
      </c>
      <c r="K121">
        <v>16.2</v>
      </c>
      <c r="L121">
        <v>16.399999999999999</v>
      </c>
      <c r="M121">
        <v>16.5</v>
      </c>
      <c r="N121">
        <v>16.8</v>
      </c>
      <c r="O121">
        <v>16.3</v>
      </c>
      <c r="P121">
        <v>16</v>
      </c>
      <c r="Q121">
        <v>16.600000000000001</v>
      </c>
      <c r="R121">
        <v>16.2</v>
      </c>
      <c r="S121">
        <f>Tableau1[[#This Row],[Final_time]]-SUM(Tableau1[[#This Row],[0_100m]:[1300_1400m]])</f>
        <v>15.890000000000015</v>
      </c>
      <c r="T121">
        <v>243.99</v>
      </c>
      <c r="U121">
        <f t="shared" si="2"/>
        <v>243.99</v>
      </c>
      <c r="V121">
        <f t="shared" si="3"/>
        <v>0</v>
      </c>
      <c r="W121" s="12"/>
      <c r="X121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1" t="s">
        <v>53</v>
      </c>
      <c r="Z121" s="2" t="s">
        <v>43</v>
      </c>
      <c r="AA121" s="2"/>
      <c r="AB121" s="2" t="s">
        <v>65</v>
      </c>
      <c r="AC121" s="2">
        <v>45422</v>
      </c>
      <c r="AD121" s="3">
        <v>2024</v>
      </c>
      <c r="AE121" s="3">
        <v>30</v>
      </c>
      <c r="AF121" s="5">
        <v>0.21</v>
      </c>
      <c r="AG121" s="3" t="s">
        <v>64</v>
      </c>
      <c r="AH121" t="s">
        <v>66</v>
      </c>
    </row>
    <row r="122" spans="1:34" hidden="1" x14ac:dyDescent="0.35">
      <c r="A122" t="str">
        <f>_xlfn.CONCAT(Tableau1[[#This Row],[Athletes]],"_",Tableau1[[#This Row],[Nationality]],"_",Tableau1[[#This Row],[Competition_year]])</f>
        <v>Federica DEL BUONO_ITA_2024</v>
      </c>
      <c r="B122" t="s">
        <v>243</v>
      </c>
      <c r="C122" t="s">
        <v>47</v>
      </c>
      <c r="D122" t="s">
        <v>19</v>
      </c>
      <c r="E122">
        <v>16.3</v>
      </c>
      <c r="F122">
        <v>16.2</v>
      </c>
      <c r="G122">
        <v>16.3</v>
      </c>
      <c r="H122">
        <v>16.100000000000001</v>
      </c>
      <c r="I122">
        <v>16.100000000000001</v>
      </c>
      <c r="J122">
        <v>16.600000000000001</v>
      </c>
      <c r="K122">
        <v>16.2</v>
      </c>
      <c r="L122">
        <v>16.399999999999999</v>
      </c>
      <c r="M122">
        <v>16.399999999999999</v>
      </c>
      <c r="N122">
        <v>16.7</v>
      </c>
      <c r="O122">
        <v>16.5</v>
      </c>
      <c r="P122">
        <v>16.100000000000001</v>
      </c>
      <c r="Q122">
        <v>16.600000000000001</v>
      </c>
      <c r="R122">
        <v>16.5</v>
      </c>
      <c r="S122">
        <f>Tableau1[[#This Row],[Final_time]]-SUM(Tableau1[[#This Row],[0_100m]:[1300_1400m]])</f>
        <v>16.090000000000032</v>
      </c>
      <c r="T122">
        <v>245.09</v>
      </c>
      <c r="U122">
        <f t="shared" si="2"/>
        <v>245.09</v>
      </c>
      <c r="V122">
        <f t="shared" si="3"/>
        <v>0</v>
      </c>
      <c r="W122" s="12"/>
      <c r="X122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2" t="s">
        <v>53</v>
      </c>
      <c r="Z122" s="2" t="s">
        <v>43</v>
      </c>
      <c r="AA122" s="2"/>
      <c r="AB122" s="2" t="s">
        <v>65</v>
      </c>
      <c r="AC122" s="2">
        <v>45422</v>
      </c>
      <c r="AD122" s="3">
        <v>2024</v>
      </c>
      <c r="AE122" s="3">
        <v>30</v>
      </c>
      <c r="AF122" s="5">
        <v>0.21</v>
      </c>
      <c r="AG122" s="3" t="s">
        <v>64</v>
      </c>
      <c r="AH122" t="s">
        <v>66</v>
      </c>
    </row>
    <row r="123" spans="1:34" hidden="1" x14ac:dyDescent="0.35">
      <c r="A123" t="str">
        <f>_xlfn.CONCAT(Tableau1[[#This Row],[Athletes]],"_",Tableau1[[#This Row],[Nationality]],"_",Tableau1[[#This Row],[Competition_year]])</f>
        <v>Hirut MESHESHA_ETH_2024</v>
      </c>
      <c r="B123" t="s">
        <v>135</v>
      </c>
      <c r="C123" t="s">
        <v>47</v>
      </c>
      <c r="D123" t="s">
        <v>48</v>
      </c>
      <c r="E123">
        <v>15.1</v>
      </c>
      <c r="F123">
        <v>16.399999999999999</v>
      </c>
      <c r="G123">
        <v>15.7</v>
      </c>
      <c r="H123">
        <v>15.6</v>
      </c>
      <c r="I123">
        <v>16.7</v>
      </c>
      <c r="J123">
        <v>17</v>
      </c>
      <c r="K123">
        <v>15.8</v>
      </c>
      <c r="L123">
        <v>16.399999999999999</v>
      </c>
      <c r="M123">
        <v>16.7</v>
      </c>
      <c r="N123">
        <v>16.8</v>
      </c>
      <c r="O123">
        <v>15.9</v>
      </c>
      <c r="P123">
        <v>16</v>
      </c>
      <c r="Q123">
        <v>16.399999999999999</v>
      </c>
      <c r="R123">
        <v>16.399999999999999</v>
      </c>
      <c r="S123">
        <f>Tableau1[[#This Row],[Final_time]]-SUM(Tableau1[[#This Row],[0_100m]:[1300_1400m]])</f>
        <v>16.319999999999993</v>
      </c>
      <c r="T123">
        <v>243.22</v>
      </c>
      <c r="U123">
        <f t="shared" si="2"/>
        <v>243.22</v>
      </c>
      <c r="V123">
        <f t="shared" si="3"/>
        <v>0</v>
      </c>
      <c r="W123" s="12"/>
      <c r="X123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3" t="s">
        <v>53</v>
      </c>
      <c r="Z123" s="2" t="s">
        <v>43</v>
      </c>
      <c r="AA123" s="2"/>
      <c r="AB123" s="2" t="s">
        <v>65</v>
      </c>
      <c r="AC123" s="2">
        <v>45422</v>
      </c>
      <c r="AD123" s="3">
        <v>2024</v>
      </c>
      <c r="AE123" s="3">
        <v>30</v>
      </c>
      <c r="AF123" s="5">
        <v>0.21</v>
      </c>
      <c r="AG123" s="3" t="s">
        <v>64</v>
      </c>
      <c r="AH123" t="s">
        <v>66</v>
      </c>
    </row>
    <row r="124" spans="1:34" hidden="1" x14ac:dyDescent="0.35">
      <c r="A124" t="str">
        <f>_xlfn.CONCAT(Tableau1[[#This Row],[Athletes]],"_",Tableau1[[#This Row],[Nationality]],"_",Tableau1[[#This Row],[Competition_year]])</f>
        <v>Freweyni HAILU_ETH_2024</v>
      </c>
      <c r="B124" t="s">
        <v>144</v>
      </c>
      <c r="C124" t="s">
        <v>47</v>
      </c>
      <c r="D124" t="s">
        <v>48</v>
      </c>
      <c r="E124">
        <v>15.2</v>
      </c>
      <c r="F124">
        <v>16.399999999999999</v>
      </c>
      <c r="G124">
        <v>15.4</v>
      </c>
      <c r="H124">
        <v>15.1</v>
      </c>
      <c r="I124">
        <v>15.8</v>
      </c>
      <c r="J124">
        <v>15.9</v>
      </c>
      <c r="K124">
        <v>15.6</v>
      </c>
      <c r="L124">
        <v>15.9</v>
      </c>
      <c r="M124">
        <v>16.600000000000001</v>
      </c>
      <c r="N124">
        <v>16.399999999999999</v>
      </c>
      <c r="O124">
        <v>16.3</v>
      </c>
      <c r="P124">
        <v>15.9</v>
      </c>
      <c r="Q124">
        <v>16.8</v>
      </c>
      <c r="R124">
        <v>16.5</v>
      </c>
      <c r="S124">
        <f>Tableau1[[#This Row],[Final_time]]-SUM(Tableau1[[#This Row],[0_100m]:[1300_1400m]])</f>
        <v>16.619999999999948</v>
      </c>
      <c r="T124">
        <v>240.42</v>
      </c>
      <c r="U124">
        <f t="shared" si="2"/>
        <v>240.42</v>
      </c>
      <c r="V124">
        <f t="shared" si="3"/>
        <v>0</v>
      </c>
      <c r="W124" s="12"/>
      <c r="X124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4" t="s">
        <v>53</v>
      </c>
      <c r="Z124" s="2" t="s">
        <v>43</v>
      </c>
      <c r="AA124" s="2"/>
      <c r="AB124" s="2" t="s">
        <v>65</v>
      </c>
      <c r="AC124" s="2">
        <v>45422</v>
      </c>
      <c r="AD124" s="3">
        <v>2024</v>
      </c>
      <c r="AE124" s="3">
        <v>30</v>
      </c>
      <c r="AF124" s="5">
        <v>0.21</v>
      </c>
      <c r="AG124" s="3" t="s">
        <v>64</v>
      </c>
      <c r="AH124" t="s">
        <v>66</v>
      </c>
    </row>
    <row r="125" spans="1:34" hidden="1" x14ac:dyDescent="0.35">
      <c r="A125" t="str">
        <f>_xlfn.CONCAT(Tableau1[[#This Row],[Athletes]],"_",Tableau1[[#This Row],[Nationality]],"_",Tableau1[[#This Row],[Competition_year]])</f>
        <v>Sarah HEALY_IRL_2024</v>
      </c>
      <c r="B125" t="s">
        <v>166</v>
      </c>
      <c r="C125" t="s">
        <v>47</v>
      </c>
      <c r="D125" t="s">
        <v>35</v>
      </c>
      <c r="E125">
        <v>15.6</v>
      </c>
      <c r="F125">
        <v>16.399999999999999</v>
      </c>
      <c r="G125">
        <v>15.8</v>
      </c>
      <c r="H125">
        <v>15.8</v>
      </c>
      <c r="I125">
        <v>16.7</v>
      </c>
      <c r="J125">
        <v>16.399999999999999</v>
      </c>
      <c r="K125">
        <v>16.100000000000001</v>
      </c>
      <c r="L125">
        <v>16.3</v>
      </c>
      <c r="M125">
        <v>16.7</v>
      </c>
      <c r="N125">
        <v>17.100000000000001</v>
      </c>
      <c r="O125">
        <v>16.2</v>
      </c>
      <c r="P125">
        <v>16.3</v>
      </c>
      <c r="Q125">
        <v>16.899999999999999</v>
      </c>
      <c r="R125">
        <v>16.8</v>
      </c>
      <c r="S125">
        <f>Tableau1[[#This Row],[Final_time]]-SUM(Tableau1[[#This Row],[0_100m]:[1300_1400m]])</f>
        <v>16.620000000000005</v>
      </c>
      <c r="T125">
        <v>245.72</v>
      </c>
      <c r="U125">
        <f t="shared" si="2"/>
        <v>245.72</v>
      </c>
      <c r="V125">
        <f t="shared" si="3"/>
        <v>0</v>
      </c>
      <c r="W125" s="12"/>
      <c r="X125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5" t="s">
        <v>53</v>
      </c>
      <c r="Z125" s="2" t="s">
        <v>43</v>
      </c>
      <c r="AA125" s="2"/>
      <c r="AB125" s="2" t="s">
        <v>65</v>
      </c>
      <c r="AC125" s="2">
        <v>45422</v>
      </c>
      <c r="AD125" s="3">
        <v>2024</v>
      </c>
      <c r="AE125" s="3">
        <v>30</v>
      </c>
      <c r="AF125" s="5">
        <v>0.21</v>
      </c>
      <c r="AG125" s="3" t="s">
        <v>64</v>
      </c>
      <c r="AH125" t="s">
        <v>66</v>
      </c>
    </row>
    <row r="126" spans="1:34" hidden="1" x14ac:dyDescent="0.35">
      <c r="A126" t="str">
        <f>_xlfn.CONCAT(Tableau1[[#This Row],[Athletes]],"_",Tableau1[[#This Row],[Nationality]],"_",Tableau1[[#This Row],[Competition_year]])</f>
        <v>Georgia GRIFFITH_AUS_2024</v>
      </c>
      <c r="B126" t="s">
        <v>248</v>
      </c>
      <c r="C126" t="s">
        <v>47</v>
      </c>
      <c r="D126" t="s">
        <v>21</v>
      </c>
      <c r="E126">
        <v>15.8</v>
      </c>
      <c r="F126">
        <v>16.7</v>
      </c>
      <c r="G126">
        <v>15.3</v>
      </c>
      <c r="H126">
        <v>16.7</v>
      </c>
      <c r="I126">
        <v>16.3</v>
      </c>
      <c r="J126">
        <v>16.600000000000001</v>
      </c>
      <c r="K126">
        <v>16.2</v>
      </c>
      <c r="L126">
        <v>16.399999999999999</v>
      </c>
      <c r="M126">
        <v>16.600000000000001</v>
      </c>
      <c r="N126">
        <v>17</v>
      </c>
      <c r="O126">
        <v>16.3</v>
      </c>
      <c r="P126">
        <v>16.5</v>
      </c>
      <c r="Q126">
        <v>16.600000000000001</v>
      </c>
      <c r="R126">
        <v>16.5</v>
      </c>
      <c r="S126">
        <f>Tableau1[[#This Row],[Final_time]]-SUM(Tableau1[[#This Row],[0_100m]:[1300_1400m]])</f>
        <v>16.629999999999995</v>
      </c>
      <c r="T126">
        <v>246.13</v>
      </c>
      <c r="U126">
        <f t="shared" si="2"/>
        <v>246.13</v>
      </c>
      <c r="V126">
        <f t="shared" si="3"/>
        <v>0</v>
      </c>
      <c r="W126" s="12"/>
      <c r="X126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6" t="s">
        <v>53</v>
      </c>
      <c r="Z126" s="2" t="s">
        <v>43</v>
      </c>
      <c r="AA126" s="2"/>
      <c r="AB126" s="2" t="s">
        <v>65</v>
      </c>
      <c r="AC126" s="2">
        <v>45422</v>
      </c>
      <c r="AD126" s="3">
        <v>2024</v>
      </c>
      <c r="AE126" s="3">
        <v>30</v>
      </c>
      <c r="AF126" s="5">
        <v>0.21</v>
      </c>
      <c r="AG126" s="3" t="s">
        <v>64</v>
      </c>
      <c r="AH126" t="s">
        <v>66</v>
      </c>
    </row>
    <row r="127" spans="1:34" hidden="1" x14ac:dyDescent="0.35">
      <c r="A127" t="str">
        <f>_xlfn.CONCAT(Tableau1[[#This Row],[Athletes]],"_",Tableau1[[#This Row],[Nationality]],"_",Tableau1[[#This Row],[Competition_year]])</f>
        <v>Susan Lokayo EJORE_KEN_2024</v>
      </c>
      <c r="B127" t="s">
        <v>1264</v>
      </c>
      <c r="C127" t="s">
        <v>47</v>
      </c>
      <c r="D127" t="s">
        <v>17</v>
      </c>
      <c r="E127">
        <v>15.5</v>
      </c>
      <c r="F127">
        <v>16.8</v>
      </c>
      <c r="G127">
        <v>15.5</v>
      </c>
      <c r="H127">
        <v>15.9</v>
      </c>
      <c r="I127">
        <v>16.7</v>
      </c>
      <c r="J127">
        <v>16.5</v>
      </c>
      <c r="K127">
        <v>15.6</v>
      </c>
      <c r="L127">
        <v>16.100000000000001</v>
      </c>
      <c r="M127">
        <v>16.399999999999999</v>
      </c>
      <c r="N127">
        <v>16.899999999999999</v>
      </c>
      <c r="O127">
        <v>16.2</v>
      </c>
      <c r="P127">
        <v>16.399999999999999</v>
      </c>
      <c r="Q127">
        <v>16.600000000000001</v>
      </c>
      <c r="R127">
        <v>16.8</v>
      </c>
      <c r="S127">
        <f>Tableau1[[#This Row],[Final_time]]-SUM(Tableau1[[#This Row],[0_100m]:[1300_1400m]])</f>
        <v>16.799999999999983</v>
      </c>
      <c r="T127">
        <v>244.7</v>
      </c>
      <c r="U127">
        <f t="shared" si="2"/>
        <v>244.7</v>
      </c>
      <c r="V127">
        <f t="shared" si="3"/>
        <v>0</v>
      </c>
      <c r="W127" s="12"/>
      <c r="X127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7" t="s">
        <v>53</v>
      </c>
      <c r="Z127" s="2" t="s">
        <v>43</v>
      </c>
      <c r="AA127" s="2"/>
      <c r="AB127" s="2" t="s">
        <v>65</v>
      </c>
      <c r="AC127" s="2">
        <v>45422</v>
      </c>
      <c r="AD127" s="3">
        <v>2024</v>
      </c>
      <c r="AE127" s="3">
        <v>30</v>
      </c>
      <c r="AF127" s="5">
        <v>0.21</v>
      </c>
      <c r="AG127" s="3" t="s">
        <v>64</v>
      </c>
      <c r="AH127" t="s">
        <v>66</v>
      </c>
    </row>
    <row r="128" spans="1:34" hidden="1" x14ac:dyDescent="0.35">
      <c r="A128" t="str">
        <f>_xlfn.CONCAT(Tableau1[[#This Row],[Athletes]],"_",Tableau1[[#This Row],[Nationality]],"_",Tableau1[[#This Row],[Competition_year]])</f>
        <v>Abbey CALDWELL_AUS_2024</v>
      </c>
      <c r="B128" t="s">
        <v>156</v>
      </c>
      <c r="C128" t="s">
        <v>47</v>
      </c>
      <c r="D128" t="s">
        <v>21</v>
      </c>
      <c r="E128">
        <v>15.4</v>
      </c>
      <c r="F128">
        <v>16.5</v>
      </c>
      <c r="G128">
        <v>16.100000000000001</v>
      </c>
      <c r="H128">
        <v>16</v>
      </c>
      <c r="I128">
        <v>16.600000000000001</v>
      </c>
      <c r="J128">
        <v>16.7</v>
      </c>
      <c r="K128">
        <v>16.5</v>
      </c>
      <c r="L128">
        <v>16.600000000000001</v>
      </c>
      <c r="M128">
        <v>17</v>
      </c>
      <c r="N128">
        <v>17.100000000000001</v>
      </c>
      <c r="O128">
        <v>16.899999999999999</v>
      </c>
      <c r="P128">
        <v>17.100000000000001</v>
      </c>
      <c r="Q128">
        <v>18.2</v>
      </c>
      <c r="R128">
        <v>18.2</v>
      </c>
      <c r="S128">
        <f>Tableau1[[#This Row],[Final_time]]-SUM(Tableau1[[#This Row],[0_100m]:[1300_1400m]])</f>
        <v>17.460000000000036</v>
      </c>
      <c r="T128">
        <v>252.36</v>
      </c>
      <c r="U128">
        <f t="shared" si="2"/>
        <v>252.36</v>
      </c>
      <c r="V128">
        <f t="shared" si="3"/>
        <v>0</v>
      </c>
      <c r="W128" s="12"/>
      <c r="X128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8" t="s">
        <v>53</v>
      </c>
      <c r="Z128" s="2" t="s">
        <v>43</v>
      </c>
      <c r="AA128" s="2"/>
      <c r="AB128" s="2" t="s">
        <v>65</v>
      </c>
      <c r="AC128" s="2">
        <v>45422</v>
      </c>
      <c r="AD128" s="3">
        <v>2024</v>
      </c>
      <c r="AE128" s="3">
        <v>30</v>
      </c>
      <c r="AF128" s="5">
        <v>0.21</v>
      </c>
      <c r="AG128" s="3" t="s">
        <v>64</v>
      </c>
      <c r="AH128" t="s">
        <v>66</v>
      </c>
    </row>
    <row r="129" spans="1:34" hidden="1" x14ac:dyDescent="0.35">
      <c r="A129" t="str">
        <f>_xlfn.CONCAT(Tableau1[[#This Row],[Athletes]],"_",Tableau1[[#This Row],[Nationality]],"_",Tableau1[[#This Row],[Competition_year]])</f>
        <v>Saron BERHE_ETH_2024</v>
      </c>
      <c r="B129" t="s">
        <v>411</v>
      </c>
      <c r="C129" t="s">
        <v>47</v>
      </c>
      <c r="D129" t="s">
        <v>48</v>
      </c>
      <c r="E129">
        <v>15.4</v>
      </c>
      <c r="F129">
        <v>16.8</v>
      </c>
      <c r="G129">
        <v>15.6</v>
      </c>
      <c r="H129">
        <v>16</v>
      </c>
      <c r="I129">
        <v>16.3</v>
      </c>
      <c r="J129">
        <v>16.600000000000001</v>
      </c>
      <c r="K129">
        <v>16.399999999999999</v>
      </c>
      <c r="L129">
        <v>16.3</v>
      </c>
      <c r="M129">
        <v>16.399999999999999</v>
      </c>
      <c r="N129">
        <v>16.899999999999999</v>
      </c>
      <c r="O129">
        <v>16.8</v>
      </c>
      <c r="P129">
        <v>16.8</v>
      </c>
      <c r="Q129">
        <v>17.8</v>
      </c>
      <c r="R129">
        <v>17.899999999999999</v>
      </c>
      <c r="S129">
        <f>Tableau1[[#This Row],[Final_time]]-SUM(Tableau1[[#This Row],[0_100m]:[1300_1400m]])</f>
        <v>17.619999999999919</v>
      </c>
      <c r="T129">
        <v>249.62</v>
      </c>
      <c r="U129">
        <f t="shared" si="2"/>
        <v>249.62</v>
      </c>
      <c r="V129">
        <f t="shared" si="3"/>
        <v>0</v>
      </c>
      <c r="W129" s="12"/>
      <c r="X129" t="str">
        <f>_xlfn.CONCAT(Tableau1[[#This Row],[Competition]],"_",Tableau1[[#This Row],[Championship_step]],"_",Tableau1[[#This Row],[Competition_date]],"_",Tableau1[[#This Row],[Gender]])</f>
        <v>Diamond League Doha 2024__45422_Female</v>
      </c>
      <c r="Y129" t="s">
        <v>53</v>
      </c>
      <c r="Z129" s="2" t="s">
        <v>43</v>
      </c>
      <c r="AA129" s="2"/>
      <c r="AB129" s="2" t="s">
        <v>65</v>
      </c>
      <c r="AC129" s="2">
        <v>45422</v>
      </c>
      <c r="AD129" s="3">
        <v>2024</v>
      </c>
      <c r="AE129" s="3">
        <v>30</v>
      </c>
      <c r="AF129" s="5">
        <v>0.21</v>
      </c>
      <c r="AG129" s="3" t="s">
        <v>64</v>
      </c>
      <c r="AH129" t="s">
        <v>66</v>
      </c>
    </row>
    <row r="130" spans="1:34" hidden="1" x14ac:dyDescent="0.35">
      <c r="A130" t="str">
        <f>_xlfn.CONCAT(Tableau1[[#This Row],[Athletes]],"_",Tableau1[[#This Row],[Nationality]],"_",Tableau1[[#This Row],[Competition_year]])</f>
        <v>Narve Gilje NORDÅS_NOR_2024</v>
      </c>
      <c r="B130" t="s">
        <v>217</v>
      </c>
      <c r="C130" t="s">
        <v>16</v>
      </c>
      <c r="D130" t="s">
        <v>30</v>
      </c>
      <c r="E130">
        <v>14.9</v>
      </c>
      <c r="F130">
        <v>14.4</v>
      </c>
      <c r="G130">
        <v>14.4</v>
      </c>
      <c r="H130">
        <v>14.6</v>
      </c>
      <c r="I130">
        <v>14.1</v>
      </c>
      <c r="J130">
        <v>14.3</v>
      </c>
      <c r="K130">
        <v>14.3</v>
      </c>
      <c r="L130">
        <v>14.7</v>
      </c>
      <c r="M130">
        <v>14.8</v>
      </c>
      <c r="N130">
        <v>14.4</v>
      </c>
      <c r="O130">
        <v>13.9</v>
      </c>
      <c r="P130">
        <v>14</v>
      </c>
      <c r="Q130">
        <v>14</v>
      </c>
      <c r="R130">
        <v>14.2</v>
      </c>
      <c r="S130">
        <f>Tableau1[[#This Row],[Final_time]]-SUM(Tableau1[[#This Row],[0_100m]:[1300_1400m]])</f>
        <v>12.870000000000005</v>
      </c>
      <c r="T130">
        <v>213.87</v>
      </c>
      <c r="U130">
        <f t="shared" ref="U130:U193" si="4">SUM(E130:S130)</f>
        <v>213.87</v>
      </c>
      <c r="V130">
        <f t="shared" ref="V130:V193" si="5">ABS(U130-T130)</f>
        <v>0</v>
      </c>
      <c r="W130" s="12"/>
      <c r="X130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0" t="s">
        <v>53</v>
      </c>
      <c r="Z130" s="2" t="s">
        <v>43</v>
      </c>
      <c r="AA130" s="2"/>
      <c r="AB130" s="2" t="s">
        <v>65</v>
      </c>
      <c r="AC130" s="2">
        <v>45422</v>
      </c>
      <c r="AD130" s="3">
        <v>2024</v>
      </c>
      <c r="AE130">
        <v>29</v>
      </c>
      <c r="AF130" s="5">
        <v>0.23</v>
      </c>
      <c r="AG130" t="s">
        <v>64</v>
      </c>
      <c r="AH130" t="s">
        <v>54</v>
      </c>
    </row>
    <row r="131" spans="1:34" hidden="1" x14ac:dyDescent="0.35">
      <c r="A131" t="str">
        <f>_xlfn.CONCAT(Tableau1[[#This Row],[Athletes]],"_",Tableau1[[#This Row],[Nationality]],"_",Tableau1[[#This Row],[Competition_year]])</f>
        <v>Brian KOMEN_KEN_2024</v>
      </c>
      <c r="B131" t="s">
        <v>802</v>
      </c>
      <c r="C131" t="s">
        <v>16</v>
      </c>
      <c r="D131" t="s">
        <v>17</v>
      </c>
      <c r="E131">
        <v>14</v>
      </c>
      <c r="F131">
        <v>14.4</v>
      </c>
      <c r="G131">
        <v>14.1</v>
      </c>
      <c r="H131">
        <v>14</v>
      </c>
      <c r="I131">
        <v>14.4</v>
      </c>
      <c r="J131">
        <v>14.4</v>
      </c>
      <c r="K131">
        <v>14.1</v>
      </c>
      <c r="L131">
        <v>14.7</v>
      </c>
      <c r="M131">
        <v>15</v>
      </c>
      <c r="N131">
        <v>14.7</v>
      </c>
      <c r="O131">
        <v>14.1</v>
      </c>
      <c r="P131">
        <v>14.2</v>
      </c>
      <c r="Q131">
        <v>13.8</v>
      </c>
      <c r="R131">
        <v>13.6</v>
      </c>
      <c r="S131">
        <f>Tableau1[[#This Row],[Final_time]]-SUM(Tableau1[[#This Row],[0_100m]:[1300_1400m]])</f>
        <v>12.930000000000007</v>
      </c>
      <c r="T131">
        <v>212.43</v>
      </c>
      <c r="U131">
        <f t="shared" si="4"/>
        <v>212.43</v>
      </c>
      <c r="V131">
        <f t="shared" si="5"/>
        <v>0</v>
      </c>
      <c r="W131" s="12"/>
      <c r="X131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1" t="s">
        <v>53</v>
      </c>
      <c r="Z131" s="2" t="s">
        <v>43</v>
      </c>
      <c r="AA131" s="2"/>
      <c r="AB131" s="2" t="s">
        <v>65</v>
      </c>
      <c r="AC131" s="2">
        <v>45422</v>
      </c>
      <c r="AD131" s="3">
        <v>2024</v>
      </c>
      <c r="AE131">
        <v>29</v>
      </c>
      <c r="AF131" s="5">
        <v>0.23</v>
      </c>
      <c r="AG131" t="s">
        <v>64</v>
      </c>
      <c r="AH131" t="s">
        <v>54</v>
      </c>
    </row>
    <row r="132" spans="1:34" hidden="1" x14ac:dyDescent="0.35">
      <c r="A132" t="str">
        <f>_xlfn.CONCAT(Tableau1[[#This Row],[Athletes]],"_",Tableau1[[#This Row],[Nationality]],"_",Tableau1[[#This Row],[Competition_year]])</f>
        <v>Elliot GILES_GBR_2024</v>
      </c>
      <c r="B132" t="s">
        <v>231</v>
      </c>
      <c r="C132" t="s">
        <v>16</v>
      </c>
      <c r="D132" t="s">
        <v>20</v>
      </c>
      <c r="E132">
        <v>14.2</v>
      </c>
      <c r="F132">
        <v>14.6</v>
      </c>
      <c r="G132">
        <v>14.2</v>
      </c>
      <c r="H132">
        <v>14.1</v>
      </c>
      <c r="I132">
        <v>14.3</v>
      </c>
      <c r="J132">
        <v>14.4</v>
      </c>
      <c r="K132">
        <v>14.1</v>
      </c>
      <c r="L132">
        <v>14.8</v>
      </c>
      <c r="M132">
        <v>14.7</v>
      </c>
      <c r="N132">
        <v>14.6</v>
      </c>
      <c r="O132">
        <v>14.2</v>
      </c>
      <c r="P132">
        <v>14</v>
      </c>
      <c r="Q132">
        <v>14.3</v>
      </c>
      <c r="R132">
        <v>14</v>
      </c>
      <c r="S132">
        <f>Tableau1[[#This Row],[Final_time]]-SUM(Tableau1[[#This Row],[0_100m]:[1300_1400m]])</f>
        <v>13.110000000000014</v>
      </c>
      <c r="T132">
        <v>213.61</v>
      </c>
      <c r="U132">
        <f t="shared" si="4"/>
        <v>213.61</v>
      </c>
      <c r="V132">
        <f t="shared" si="5"/>
        <v>0</v>
      </c>
      <c r="W132" s="12"/>
      <c r="X132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2" t="s">
        <v>53</v>
      </c>
      <c r="Z132" s="2" t="s">
        <v>43</v>
      </c>
      <c r="AA132" s="2"/>
      <c r="AB132" s="2" t="s">
        <v>65</v>
      </c>
      <c r="AC132" s="2">
        <v>45422</v>
      </c>
      <c r="AD132" s="3">
        <v>2024</v>
      </c>
      <c r="AE132">
        <v>29</v>
      </c>
      <c r="AF132" s="5">
        <v>0.23</v>
      </c>
      <c r="AG132" t="s">
        <v>64</v>
      </c>
      <c r="AH132" t="s">
        <v>54</v>
      </c>
    </row>
    <row r="133" spans="1:34" hidden="1" x14ac:dyDescent="0.35">
      <c r="A133" t="str">
        <f>_xlfn.CONCAT(Tableau1[[#This Row],[Athletes]],"_",Tableau1[[#This Row],[Nationality]],"_",Tableau1[[#This Row],[Competition_year]])</f>
        <v>Reynold CHERUIYOT_KEN_2024</v>
      </c>
      <c r="B133" t="s">
        <v>1192</v>
      </c>
      <c r="C133" t="s">
        <v>16</v>
      </c>
      <c r="D133" t="s">
        <v>17</v>
      </c>
      <c r="E133">
        <v>14.2</v>
      </c>
      <c r="F133">
        <v>14.4</v>
      </c>
      <c r="G133">
        <v>14.2</v>
      </c>
      <c r="H133">
        <v>14</v>
      </c>
      <c r="I133">
        <v>14.3</v>
      </c>
      <c r="J133">
        <v>14.4</v>
      </c>
      <c r="K133">
        <v>13.8</v>
      </c>
      <c r="L133">
        <v>14.7</v>
      </c>
      <c r="M133">
        <v>14.9</v>
      </c>
      <c r="N133">
        <v>14.8</v>
      </c>
      <c r="O133">
        <v>14</v>
      </c>
      <c r="P133">
        <v>14.5</v>
      </c>
      <c r="Q133">
        <v>13.9</v>
      </c>
      <c r="R133">
        <v>13.6</v>
      </c>
      <c r="S133">
        <f>Tableau1[[#This Row],[Final_time]]-SUM(Tableau1[[#This Row],[0_100m]:[1300_1400m]])</f>
        <v>13.259999999999991</v>
      </c>
      <c r="T133">
        <v>212.96</v>
      </c>
      <c r="U133">
        <f t="shared" si="4"/>
        <v>212.96</v>
      </c>
      <c r="V133">
        <f t="shared" si="5"/>
        <v>0</v>
      </c>
      <c r="W133" s="12"/>
      <c r="X133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3" t="s">
        <v>53</v>
      </c>
      <c r="Z133" s="2" t="s">
        <v>43</v>
      </c>
      <c r="AA133" s="2"/>
      <c r="AB133" s="2" t="s">
        <v>65</v>
      </c>
      <c r="AC133" s="2">
        <v>45422</v>
      </c>
      <c r="AD133" s="3">
        <v>2024</v>
      </c>
      <c r="AE133">
        <v>29</v>
      </c>
      <c r="AF133" s="5">
        <v>0.23</v>
      </c>
      <c r="AG133" t="s">
        <v>64</v>
      </c>
      <c r="AH133" t="s">
        <v>54</v>
      </c>
    </row>
    <row r="134" spans="1:34" hidden="1" x14ac:dyDescent="0.35">
      <c r="A134" t="str">
        <f>_xlfn.CONCAT(Tableau1[[#This Row],[Athletes]],"_",Tableau1[[#This Row],[Nationality]],"_",Tableau1[[#This Row],[Competition_year]])</f>
        <v>Isaac NADER_POR_2024</v>
      </c>
      <c r="B134" t="s">
        <v>191</v>
      </c>
      <c r="C134" t="s">
        <v>16</v>
      </c>
      <c r="D134" t="s">
        <v>33</v>
      </c>
      <c r="E134">
        <v>14.2</v>
      </c>
      <c r="F134">
        <v>14.4</v>
      </c>
      <c r="G134">
        <v>14.3</v>
      </c>
      <c r="H134">
        <v>14.1</v>
      </c>
      <c r="I134">
        <v>14.1</v>
      </c>
      <c r="J134">
        <v>14.5</v>
      </c>
      <c r="K134">
        <v>14</v>
      </c>
      <c r="L134">
        <v>14.9</v>
      </c>
      <c r="M134">
        <v>14.7</v>
      </c>
      <c r="N134">
        <v>14.7</v>
      </c>
      <c r="O134">
        <v>14.2</v>
      </c>
      <c r="P134">
        <v>13.9</v>
      </c>
      <c r="Q134">
        <v>14.3</v>
      </c>
      <c r="R134">
        <v>13.9</v>
      </c>
      <c r="S134">
        <f>Tableau1[[#This Row],[Final_time]]-SUM(Tableau1[[#This Row],[0_100m]:[1300_1400m]])</f>
        <v>13.299999999999983</v>
      </c>
      <c r="T134">
        <v>213.5</v>
      </c>
      <c r="U134">
        <f t="shared" si="4"/>
        <v>213.5</v>
      </c>
      <c r="V134">
        <f t="shared" si="5"/>
        <v>0</v>
      </c>
      <c r="W134" s="12"/>
      <c r="X134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4" t="s">
        <v>53</v>
      </c>
      <c r="Z134" s="2" t="s">
        <v>43</v>
      </c>
      <c r="AA134" s="2"/>
      <c r="AB134" s="2" t="s">
        <v>65</v>
      </c>
      <c r="AC134" s="2">
        <v>45422</v>
      </c>
      <c r="AD134" s="3">
        <v>2024</v>
      </c>
      <c r="AE134">
        <v>29</v>
      </c>
      <c r="AF134" s="5">
        <v>0.23</v>
      </c>
      <c r="AG134" t="s">
        <v>64</v>
      </c>
      <c r="AH134" t="s">
        <v>54</v>
      </c>
    </row>
    <row r="135" spans="1:34" hidden="1" x14ac:dyDescent="0.35">
      <c r="A135" t="str">
        <f>_xlfn.CONCAT(Tableau1[[#This Row],[Athletes]],"_",Tableau1[[#This Row],[Nationality]],"_",Tableau1[[#This Row],[Competition_year]])</f>
        <v>Timothy CHERUIYOT_KEN_2024</v>
      </c>
      <c r="B135" t="s">
        <v>205</v>
      </c>
      <c r="C135" t="s">
        <v>16</v>
      </c>
      <c r="D135" t="s">
        <v>17</v>
      </c>
      <c r="E135">
        <v>14</v>
      </c>
      <c r="F135">
        <v>14.2</v>
      </c>
      <c r="G135">
        <v>14.1</v>
      </c>
      <c r="H135">
        <v>14</v>
      </c>
      <c r="I135">
        <v>14.4</v>
      </c>
      <c r="J135">
        <v>14.4</v>
      </c>
      <c r="K135">
        <v>14.1</v>
      </c>
      <c r="L135">
        <v>14.7</v>
      </c>
      <c r="M135">
        <v>15</v>
      </c>
      <c r="N135">
        <v>14.6</v>
      </c>
      <c r="O135">
        <v>14.2</v>
      </c>
      <c r="P135">
        <v>14</v>
      </c>
      <c r="Q135">
        <v>14.1</v>
      </c>
      <c r="R135">
        <v>13.5</v>
      </c>
      <c r="S135">
        <f>Tableau1[[#This Row],[Final_time]]-SUM(Tableau1[[#This Row],[0_100m]:[1300_1400m]])</f>
        <v>13.370000000000005</v>
      </c>
      <c r="T135">
        <v>212.67</v>
      </c>
      <c r="U135">
        <f t="shared" si="4"/>
        <v>212.67</v>
      </c>
      <c r="V135">
        <f t="shared" si="5"/>
        <v>0</v>
      </c>
      <c r="W135" s="12"/>
      <c r="X135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5" t="s">
        <v>53</v>
      </c>
      <c r="Z135" s="2" t="s">
        <v>43</v>
      </c>
      <c r="AA135" s="2"/>
      <c r="AB135" s="2" t="s">
        <v>65</v>
      </c>
      <c r="AC135" s="2">
        <v>45422</v>
      </c>
      <c r="AD135" s="3">
        <v>2024</v>
      </c>
      <c r="AE135">
        <v>29</v>
      </c>
      <c r="AF135" s="5">
        <v>0.23</v>
      </c>
      <c r="AG135" t="s">
        <v>64</v>
      </c>
      <c r="AH135" t="s">
        <v>54</v>
      </c>
    </row>
    <row r="136" spans="1:34" hidden="1" x14ac:dyDescent="0.35">
      <c r="A136" t="str">
        <f>_xlfn.CONCAT(Tableau1[[#This Row],[Athletes]],"_",Tableau1[[#This Row],[Nationality]],"_",Tableau1[[#This Row],[Competition_year]])</f>
        <v>Kieran LUMB_CAN_2024</v>
      </c>
      <c r="B136" t="s">
        <v>220</v>
      </c>
      <c r="C136" t="s">
        <v>16</v>
      </c>
      <c r="D136" t="s">
        <v>55</v>
      </c>
      <c r="E136">
        <v>14.4</v>
      </c>
      <c r="F136">
        <v>14.4</v>
      </c>
      <c r="G136">
        <v>14.4</v>
      </c>
      <c r="H136">
        <v>14.2</v>
      </c>
      <c r="I136">
        <v>14.2</v>
      </c>
      <c r="J136">
        <v>14.5</v>
      </c>
      <c r="K136">
        <v>14.1</v>
      </c>
      <c r="L136">
        <v>14.8</v>
      </c>
      <c r="M136">
        <v>14.8</v>
      </c>
      <c r="N136">
        <v>14.5</v>
      </c>
      <c r="O136">
        <v>14.2</v>
      </c>
      <c r="P136">
        <v>14.1</v>
      </c>
      <c r="Q136">
        <v>14</v>
      </c>
      <c r="R136">
        <v>14.2</v>
      </c>
      <c r="S136">
        <f>Tableau1[[#This Row],[Final_time]]-SUM(Tableau1[[#This Row],[0_100m]:[1300_1400m]])</f>
        <v>13.610000000000014</v>
      </c>
      <c r="T136">
        <v>214.41</v>
      </c>
      <c r="U136">
        <f t="shared" si="4"/>
        <v>214.41</v>
      </c>
      <c r="V136">
        <f t="shared" si="5"/>
        <v>0</v>
      </c>
      <c r="W136" s="12"/>
      <c r="X136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6" t="s">
        <v>53</v>
      </c>
      <c r="Z136" s="2" t="s">
        <v>43</v>
      </c>
      <c r="AA136" s="2"/>
      <c r="AB136" s="2" t="s">
        <v>65</v>
      </c>
      <c r="AC136" s="2">
        <v>45422</v>
      </c>
      <c r="AD136" s="3">
        <v>2024</v>
      </c>
      <c r="AE136">
        <v>29</v>
      </c>
      <c r="AF136" s="5">
        <v>0.23</v>
      </c>
      <c r="AG136" t="s">
        <v>64</v>
      </c>
      <c r="AH136" s="4" t="s">
        <v>54</v>
      </c>
    </row>
    <row r="137" spans="1:34" hidden="1" x14ac:dyDescent="0.35">
      <c r="A137" t="str">
        <f>_xlfn.CONCAT(Tableau1[[#This Row],[Athletes]],"_",Tableau1[[#This Row],[Nationality]],"_",Tableau1[[#This Row],[Competition_year]])</f>
        <v>Andrew COSCORAN_IRL_2024</v>
      </c>
      <c r="B137" t="s">
        <v>232</v>
      </c>
      <c r="C137" t="s">
        <v>16</v>
      </c>
      <c r="D137" t="s">
        <v>35</v>
      </c>
      <c r="E137">
        <v>14.4</v>
      </c>
      <c r="F137">
        <v>14.8</v>
      </c>
      <c r="G137">
        <v>14.4</v>
      </c>
      <c r="H137">
        <v>14.3</v>
      </c>
      <c r="I137">
        <v>14.1</v>
      </c>
      <c r="J137">
        <v>14.3</v>
      </c>
      <c r="K137">
        <v>14.2</v>
      </c>
      <c r="L137">
        <v>14.7</v>
      </c>
      <c r="M137">
        <v>14.8</v>
      </c>
      <c r="N137">
        <v>14.5</v>
      </c>
      <c r="O137">
        <v>14</v>
      </c>
      <c r="P137">
        <v>14</v>
      </c>
      <c r="Q137">
        <v>13.8</v>
      </c>
      <c r="R137">
        <v>14.1</v>
      </c>
      <c r="S137">
        <f>Tableau1[[#This Row],[Final_time]]-SUM(Tableau1[[#This Row],[0_100m]:[1300_1400m]])</f>
        <v>13.849999999999994</v>
      </c>
      <c r="T137">
        <v>214.25</v>
      </c>
      <c r="U137">
        <f t="shared" si="4"/>
        <v>214.25</v>
      </c>
      <c r="V137">
        <f t="shared" si="5"/>
        <v>0</v>
      </c>
      <c r="W137" s="12"/>
      <c r="X137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7" t="s">
        <v>53</v>
      </c>
      <c r="Z137" s="2" t="s">
        <v>43</v>
      </c>
      <c r="AA137" s="2"/>
      <c r="AB137" s="2" t="s">
        <v>65</v>
      </c>
      <c r="AC137" s="2">
        <v>45422</v>
      </c>
      <c r="AD137" s="3">
        <v>2024</v>
      </c>
      <c r="AE137">
        <v>29</v>
      </c>
      <c r="AF137" s="5">
        <v>0.23</v>
      </c>
      <c r="AG137" t="s">
        <v>64</v>
      </c>
      <c r="AH137" t="s">
        <v>54</v>
      </c>
    </row>
    <row r="138" spans="1:34" hidden="1" x14ac:dyDescent="0.35">
      <c r="A138" t="str">
        <f>_xlfn.CONCAT(Tableau1[[#This Row],[Athletes]],"_",Tableau1[[#This Row],[Nationality]],"_",Tableau1[[#This Row],[Competition_year]])</f>
        <v>Andreas ALMGREN_SWE_2024</v>
      </c>
      <c r="B138" t="s">
        <v>276</v>
      </c>
      <c r="C138" t="s">
        <v>16</v>
      </c>
      <c r="D138" t="s">
        <v>56</v>
      </c>
      <c r="E138">
        <v>14.8</v>
      </c>
      <c r="F138">
        <v>14.8</v>
      </c>
      <c r="G138">
        <v>14.4</v>
      </c>
      <c r="H138">
        <v>14.4</v>
      </c>
      <c r="I138">
        <v>14.2</v>
      </c>
      <c r="J138">
        <v>14.2</v>
      </c>
      <c r="K138">
        <v>14.3</v>
      </c>
      <c r="L138">
        <v>14.7</v>
      </c>
      <c r="M138">
        <v>14.8</v>
      </c>
      <c r="N138">
        <v>14.4</v>
      </c>
      <c r="O138">
        <v>14</v>
      </c>
      <c r="P138">
        <v>14.1</v>
      </c>
      <c r="Q138">
        <v>13.9</v>
      </c>
      <c r="R138">
        <v>14.2</v>
      </c>
      <c r="S138">
        <f>Tableau1[[#This Row],[Final_time]]-SUM(Tableau1[[#This Row],[0_100m]:[1300_1400m]])</f>
        <v>14.02000000000001</v>
      </c>
      <c r="T138">
        <v>215.22</v>
      </c>
      <c r="U138">
        <f t="shared" si="4"/>
        <v>215.22</v>
      </c>
      <c r="V138">
        <f t="shared" si="5"/>
        <v>0</v>
      </c>
      <c r="W138" s="12"/>
      <c r="X138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8" t="s">
        <v>53</v>
      </c>
      <c r="Z138" s="2" t="s">
        <v>43</v>
      </c>
      <c r="AA138" s="2"/>
      <c r="AB138" s="2" t="s">
        <v>65</v>
      </c>
      <c r="AC138" s="2">
        <v>45422</v>
      </c>
      <c r="AD138" s="3">
        <v>2024</v>
      </c>
      <c r="AE138">
        <v>29</v>
      </c>
      <c r="AF138" s="5">
        <v>0.23</v>
      </c>
      <c r="AG138" t="s">
        <v>64</v>
      </c>
      <c r="AH138" t="s">
        <v>54</v>
      </c>
    </row>
    <row r="139" spans="1:34" hidden="1" x14ac:dyDescent="0.35">
      <c r="A139" t="str">
        <f>_xlfn.CONCAT(Tableau1[[#This Row],[Athletes]],"_",Tableau1[[#This Row],[Nationality]],"_",Tableau1[[#This Row],[Competition_year]])</f>
        <v>Samuel TEFERA_ETH_2024</v>
      </c>
      <c r="B139" t="s">
        <v>250</v>
      </c>
      <c r="C139" t="s">
        <v>16</v>
      </c>
      <c r="D139" t="s">
        <v>48</v>
      </c>
      <c r="E139">
        <v>14.7</v>
      </c>
      <c r="F139">
        <v>14</v>
      </c>
      <c r="G139">
        <v>13.7</v>
      </c>
      <c r="H139">
        <v>13.7</v>
      </c>
      <c r="I139">
        <v>14.4</v>
      </c>
      <c r="J139">
        <v>14.6</v>
      </c>
      <c r="K139">
        <v>14.5</v>
      </c>
      <c r="L139">
        <v>14.8</v>
      </c>
      <c r="M139">
        <v>15</v>
      </c>
      <c r="N139">
        <v>14.8</v>
      </c>
      <c r="O139">
        <v>13.8</v>
      </c>
      <c r="P139">
        <v>14.4</v>
      </c>
      <c r="Q139">
        <v>14.2</v>
      </c>
      <c r="R139">
        <v>14.8</v>
      </c>
      <c r="S139">
        <f>Tableau1[[#This Row],[Final_time]]-SUM(Tableau1[[#This Row],[0_100m]:[1300_1400m]])</f>
        <v>14.180000000000007</v>
      </c>
      <c r="T139">
        <v>215.58</v>
      </c>
      <c r="U139">
        <f t="shared" si="4"/>
        <v>215.58</v>
      </c>
      <c r="V139">
        <f t="shared" si="5"/>
        <v>0</v>
      </c>
      <c r="W139" s="12"/>
      <c r="X139" t="str">
        <f>_xlfn.CONCAT(Tableau1[[#This Row],[Competition]],"_",Tableau1[[#This Row],[Championship_step]],"_",Tableau1[[#This Row],[Competition_date]],"_",Tableau1[[#This Row],[Gender]])</f>
        <v>Diamond League Doha 2024__45422_Male</v>
      </c>
      <c r="Y139" t="s">
        <v>53</v>
      </c>
      <c r="Z139" s="2" t="s">
        <v>43</v>
      </c>
      <c r="AA139" s="2"/>
      <c r="AB139" s="2" t="s">
        <v>65</v>
      </c>
      <c r="AC139" s="2">
        <v>45422</v>
      </c>
      <c r="AD139" s="3">
        <v>2024</v>
      </c>
      <c r="AE139">
        <v>29</v>
      </c>
      <c r="AF139" s="5">
        <v>0.23</v>
      </c>
      <c r="AG139" t="s">
        <v>64</v>
      </c>
      <c r="AH139" t="s">
        <v>54</v>
      </c>
    </row>
    <row r="140" spans="1:34" hidden="1" x14ac:dyDescent="0.35">
      <c r="A140" t="str">
        <f>_xlfn.CONCAT(Tableau1[[#This Row],[Athletes]],"_",Tableau1[[#This Row],[Nationality]],"_",Tableau1[[#This Row],[Competition_year]])</f>
        <v>Abel KIPSANG_KEN_2024</v>
      </c>
      <c r="B140" t="s">
        <v>227</v>
      </c>
      <c r="C140" t="s">
        <v>16</v>
      </c>
      <c r="D140" t="s">
        <v>17</v>
      </c>
      <c r="E140">
        <v>14.1</v>
      </c>
      <c r="F140">
        <v>14.3</v>
      </c>
      <c r="G140">
        <v>14.1</v>
      </c>
      <c r="H140">
        <v>14</v>
      </c>
      <c r="I140">
        <v>14.3</v>
      </c>
      <c r="J140">
        <v>14.6</v>
      </c>
      <c r="K140">
        <v>14.1</v>
      </c>
      <c r="L140">
        <v>14.7</v>
      </c>
      <c r="M140">
        <v>14.9</v>
      </c>
      <c r="N140">
        <v>14.4</v>
      </c>
      <c r="O140">
        <v>14.2</v>
      </c>
      <c r="P140">
        <v>14.4</v>
      </c>
      <c r="Q140">
        <v>14.2</v>
      </c>
      <c r="R140">
        <v>14.9</v>
      </c>
      <c r="S140">
        <f>Tableau1[[#This Row],[Final_time]]-SUM(Tableau1[[#This Row],[0_100m]:[1300_1400m]])</f>
        <v>14.469999999999999</v>
      </c>
      <c r="T140">
        <v>215.67</v>
      </c>
      <c r="U140">
        <f t="shared" si="4"/>
        <v>215.67</v>
      </c>
      <c r="V140">
        <f t="shared" si="5"/>
        <v>0</v>
      </c>
      <c r="W140" s="12"/>
      <c r="X140" t="str">
        <f>_xlfn.CONCAT(Tableau1[[#This Row],[Competition]],"_",Tableau1[[#This Row],[Championship_step]],"_",Tableau1[[#This Row],[Competition_date]],"_",Tableau1[[#This Row],[Gender]])</f>
        <v>Diamond League Doha 2024__45422_Male</v>
      </c>
      <c r="Y140" t="s">
        <v>53</v>
      </c>
      <c r="Z140" s="2" t="s">
        <v>43</v>
      </c>
      <c r="AA140" s="2"/>
      <c r="AB140" s="2" t="s">
        <v>65</v>
      </c>
      <c r="AC140" s="2">
        <v>45422</v>
      </c>
      <c r="AD140" s="3">
        <v>2024</v>
      </c>
      <c r="AE140">
        <v>29</v>
      </c>
      <c r="AF140" s="5">
        <v>0.23</v>
      </c>
      <c r="AG140" t="s">
        <v>64</v>
      </c>
      <c r="AH140" t="s">
        <v>54</v>
      </c>
    </row>
    <row r="141" spans="1:34" hidden="1" x14ac:dyDescent="0.35">
      <c r="A141" t="str">
        <f>_xlfn.CONCAT(Tableau1[[#This Row],[Athletes]],"_",Tableau1[[#This Row],[Nationality]],"_",Tableau1[[#This Row],[Competition_year]])</f>
        <v>Adel MECHAAL_ESP_2024</v>
      </c>
      <c r="B141" t="s">
        <v>190</v>
      </c>
      <c r="C141" t="s">
        <v>16</v>
      </c>
      <c r="D141" t="s">
        <v>22</v>
      </c>
      <c r="E141">
        <v>14.6</v>
      </c>
      <c r="F141">
        <v>14.5</v>
      </c>
      <c r="G141">
        <v>14.2</v>
      </c>
      <c r="H141">
        <v>14</v>
      </c>
      <c r="I141">
        <v>14</v>
      </c>
      <c r="J141">
        <v>14.4</v>
      </c>
      <c r="K141">
        <v>14.1</v>
      </c>
      <c r="L141">
        <v>14.8</v>
      </c>
      <c r="M141">
        <v>14.7</v>
      </c>
      <c r="N141">
        <v>14.5</v>
      </c>
      <c r="O141">
        <v>14.1</v>
      </c>
      <c r="P141">
        <v>14</v>
      </c>
      <c r="Q141">
        <v>14.3</v>
      </c>
      <c r="R141">
        <v>14.4</v>
      </c>
      <c r="S141">
        <f>Tableau1[[#This Row],[Final_time]]-SUM(Tableau1[[#This Row],[0_100m]:[1300_1400m]])</f>
        <v>14.52000000000001</v>
      </c>
      <c r="T141">
        <v>215.12</v>
      </c>
      <c r="U141">
        <f t="shared" si="4"/>
        <v>215.12</v>
      </c>
      <c r="V141">
        <f t="shared" si="5"/>
        <v>0</v>
      </c>
      <c r="W141" s="12"/>
      <c r="X141" t="str">
        <f>_xlfn.CONCAT(Tableau1[[#This Row],[Competition]],"_",Tableau1[[#This Row],[Championship_step]],"_",Tableau1[[#This Row],[Competition_date]],"_",Tableau1[[#This Row],[Gender]])</f>
        <v>Diamond League Doha 2024__45422_Male</v>
      </c>
      <c r="Y141" t="s">
        <v>53</v>
      </c>
      <c r="Z141" s="2" t="s">
        <v>43</v>
      </c>
      <c r="AA141" s="2"/>
      <c r="AB141" s="2" t="s">
        <v>65</v>
      </c>
      <c r="AC141" s="2">
        <v>45422</v>
      </c>
      <c r="AD141" s="3">
        <v>2024</v>
      </c>
      <c r="AE141">
        <v>29</v>
      </c>
      <c r="AF141" s="5">
        <v>0.23</v>
      </c>
      <c r="AG141" t="s">
        <v>64</v>
      </c>
      <c r="AH141" t="s">
        <v>54</v>
      </c>
    </row>
    <row r="142" spans="1:34" hidden="1" x14ac:dyDescent="0.35">
      <c r="A142" t="str">
        <f>_xlfn.CONCAT(Tableau1[[#This Row],[Athletes]],"_",Tableau1[[#This Row],[Nationality]],"_",Tableau1[[#This Row],[Competition_year]])</f>
        <v>Robert FARKEN_GER_2024</v>
      </c>
      <c r="B142" t="s">
        <v>342</v>
      </c>
      <c r="C142" t="s">
        <v>16</v>
      </c>
      <c r="D142" t="s">
        <v>34</v>
      </c>
      <c r="E142">
        <v>14.4</v>
      </c>
      <c r="F142">
        <v>14.6</v>
      </c>
      <c r="G142">
        <v>14.4</v>
      </c>
      <c r="H142">
        <v>14.1</v>
      </c>
      <c r="I142">
        <v>14.2</v>
      </c>
      <c r="J142">
        <v>14.2</v>
      </c>
      <c r="K142">
        <v>14.1</v>
      </c>
      <c r="L142">
        <v>14.8</v>
      </c>
      <c r="M142">
        <v>14.8</v>
      </c>
      <c r="N142">
        <v>14.5</v>
      </c>
      <c r="O142">
        <v>14.2</v>
      </c>
      <c r="P142">
        <v>14</v>
      </c>
      <c r="Q142">
        <v>13.8</v>
      </c>
      <c r="R142">
        <v>14.3</v>
      </c>
      <c r="S142">
        <f>Tableau1[[#This Row],[Final_time]]-SUM(Tableau1[[#This Row],[0_100m]:[1300_1400m]])</f>
        <v>15.189999999999998</v>
      </c>
      <c r="T142">
        <v>215.59</v>
      </c>
      <c r="U142">
        <f t="shared" si="4"/>
        <v>215.59</v>
      </c>
      <c r="V142">
        <f t="shared" si="5"/>
        <v>0</v>
      </c>
      <c r="W142" s="12"/>
      <c r="X142" t="str">
        <f>_xlfn.CONCAT(Tableau1[[#This Row],[Competition]],"_",Tableau1[[#This Row],[Championship_step]],"_",Tableau1[[#This Row],[Competition_date]],"_",Tableau1[[#This Row],[Gender]])</f>
        <v>Diamond League Doha 2024__45422_Male</v>
      </c>
      <c r="Y142" t="s">
        <v>53</v>
      </c>
      <c r="Z142" s="2" t="s">
        <v>43</v>
      </c>
      <c r="AA142" s="2"/>
      <c r="AB142" s="2" t="s">
        <v>65</v>
      </c>
      <c r="AC142" s="2">
        <v>45422</v>
      </c>
      <c r="AD142" s="3">
        <v>2024</v>
      </c>
      <c r="AE142">
        <v>29</v>
      </c>
      <c r="AF142" s="5">
        <v>0.23</v>
      </c>
      <c r="AG142" t="s">
        <v>64</v>
      </c>
      <c r="AH142" t="s">
        <v>54</v>
      </c>
    </row>
    <row r="143" spans="1:34" hidden="1" x14ac:dyDescent="0.35">
      <c r="A143" t="str">
        <f>_xlfn.CONCAT(Tableau1[[#This Row],[Athletes]],"_",Tableau1[[#This Row],[Nationality]],"_",Tableau1[[#This Row],[Competition_year]])</f>
        <v>Abdirahman Saeed HASSAN_QAT_2024</v>
      </c>
      <c r="B143" t="s">
        <v>538</v>
      </c>
      <c r="C143" t="s">
        <v>16</v>
      </c>
      <c r="D143" t="s">
        <v>57</v>
      </c>
      <c r="E143">
        <v>14.6</v>
      </c>
      <c r="F143">
        <v>14.8</v>
      </c>
      <c r="G143">
        <v>14.4</v>
      </c>
      <c r="H143">
        <v>14.3</v>
      </c>
      <c r="I143">
        <v>14.1</v>
      </c>
      <c r="J143">
        <v>14.3</v>
      </c>
      <c r="K143">
        <v>14.3</v>
      </c>
      <c r="L143">
        <v>14.6</v>
      </c>
      <c r="M143">
        <v>14.8</v>
      </c>
      <c r="N143">
        <v>14.5</v>
      </c>
      <c r="O143">
        <v>14.1</v>
      </c>
      <c r="P143">
        <v>14.1</v>
      </c>
      <c r="Q143">
        <v>14.2</v>
      </c>
      <c r="R143">
        <v>14.8</v>
      </c>
      <c r="S143">
        <f>Tableau1[[#This Row],[Final_time]]-SUM(Tableau1[[#This Row],[0_100m]:[1300_1400m]])</f>
        <v>15.79000000000002</v>
      </c>
      <c r="T143">
        <v>217.69</v>
      </c>
      <c r="U143">
        <f t="shared" si="4"/>
        <v>217.69</v>
      </c>
      <c r="V143">
        <f t="shared" si="5"/>
        <v>0</v>
      </c>
      <c r="W143" s="12"/>
      <c r="X143" t="str">
        <f>_xlfn.CONCAT(Tableau1[[#This Row],[Competition]],"_",Tableau1[[#This Row],[Championship_step]],"_",Tableau1[[#This Row],[Competition_date]],"_",Tableau1[[#This Row],[Gender]])</f>
        <v>Diamond League Doha 2024__45422_Male</v>
      </c>
      <c r="Y143" t="s">
        <v>53</v>
      </c>
      <c r="Z143" s="2" t="s">
        <v>43</v>
      </c>
      <c r="AA143" s="2"/>
      <c r="AB143" s="2" t="s">
        <v>65</v>
      </c>
      <c r="AC143" s="2">
        <v>45422</v>
      </c>
      <c r="AD143" s="3">
        <v>2024</v>
      </c>
      <c r="AE143">
        <v>29</v>
      </c>
      <c r="AF143" s="5">
        <v>0.23</v>
      </c>
      <c r="AG143" t="s">
        <v>64</v>
      </c>
      <c r="AH143" t="s">
        <v>54</v>
      </c>
    </row>
    <row r="144" spans="1:34" hidden="1" x14ac:dyDescent="0.35">
      <c r="A144" t="str">
        <f>_xlfn.CONCAT(Tableau1[[#This Row],[Athletes]],"_",Tableau1[[#This Row],[Nationality]],"_",Tableau1[[#This Row],[Competition_year]])</f>
        <v>Nelly CHEPCHIRCHIR_KEN_2025</v>
      </c>
      <c r="B144" t="s">
        <v>178</v>
      </c>
      <c r="C144" t="s">
        <v>47</v>
      </c>
      <c r="D144" t="s">
        <v>17</v>
      </c>
      <c r="E144">
        <v>15.2</v>
      </c>
      <c r="F144">
        <v>15.9</v>
      </c>
      <c r="G144">
        <v>17.100000000000001</v>
      </c>
      <c r="H144">
        <v>17.8</v>
      </c>
      <c r="I144">
        <v>18.8</v>
      </c>
      <c r="J144">
        <v>18.100000000000001</v>
      </c>
      <c r="K144">
        <v>17.100000000000001</v>
      </c>
      <c r="L144">
        <v>17.100000000000001</v>
      </c>
      <c r="M144">
        <v>17.3</v>
      </c>
      <c r="N144">
        <v>17.399999999999999</v>
      </c>
      <c r="O144">
        <v>16.100000000000001</v>
      </c>
      <c r="P144">
        <v>14.7</v>
      </c>
      <c r="Q144">
        <v>14.1</v>
      </c>
      <c r="R144">
        <v>14.1</v>
      </c>
      <c r="S144">
        <f>Tableau1[[#This Row],[Final_time]]-SUM(Tableau1[[#This Row],[0_100m]:[1300_1400m]])</f>
        <v>14.200000000000017</v>
      </c>
      <c r="T144">
        <v>245</v>
      </c>
      <c r="U144">
        <f t="shared" si="4"/>
        <v>245</v>
      </c>
      <c r="V144">
        <f t="shared" si="5"/>
        <v>0</v>
      </c>
      <c r="W144" s="12"/>
      <c r="X144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44" t="s">
        <v>1332</v>
      </c>
      <c r="Z144" s="2" t="s">
        <v>43</v>
      </c>
      <c r="AA144" s="2"/>
      <c r="AB144" s="2" t="s">
        <v>65</v>
      </c>
      <c r="AC144" s="2">
        <v>45793</v>
      </c>
      <c r="AD144" s="3">
        <v>2025</v>
      </c>
      <c r="AE144" s="3">
        <v>32</v>
      </c>
      <c r="AF144" s="5">
        <v>0.39</v>
      </c>
      <c r="AG144" s="3" t="s">
        <v>64</v>
      </c>
    </row>
    <row r="145" spans="1:33" hidden="1" x14ac:dyDescent="0.35">
      <c r="A145" t="str">
        <f>_xlfn.CONCAT(Tableau1[[#This Row],[Athletes]],"_",Tableau1[[#This Row],[Nationality]],"_",Tableau1[[#This Row],[Competition_year]])</f>
        <v>Agathe GUILLEMOT_FRA_2025</v>
      </c>
      <c r="B145" t="s">
        <v>171</v>
      </c>
      <c r="C145" t="s">
        <v>47</v>
      </c>
      <c r="D145" t="s">
        <v>18</v>
      </c>
      <c r="E145">
        <v>16</v>
      </c>
      <c r="F145">
        <v>16.5</v>
      </c>
      <c r="G145">
        <v>16.899999999999999</v>
      </c>
      <c r="H145">
        <v>17.7</v>
      </c>
      <c r="I145">
        <v>18.7</v>
      </c>
      <c r="J145">
        <v>18.2</v>
      </c>
      <c r="K145">
        <v>17</v>
      </c>
      <c r="L145">
        <v>17</v>
      </c>
      <c r="M145">
        <v>17.100000000000001</v>
      </c>
      <c r="N145">
        <v>17.3</v>
      </c>
      <c r="O145">
        <v>16</v>
      </c>
      <c r="P145">
        <v>15.2</v>
      </c>
      <c r="Q145">
        <v>15.5</v>
      </c>
      <c r="R145">
        <v>15.1</v>
      </c>
      <c r="S145">
        <f>Tableau1[[#This Row],[Final_time]]-SUM(Tableau1[[#This Row],[0_100m]:[1300_1400m]])</f>
        <v>14.570000000000022</v>
      </c>
      <c r="T145">
        <v>248.77</v>
      </c>
      <c r="U145">
        <f t="shared" si="4"/>
        <v>248.77</v>
      </c>
      <c r="V145">
        <f t="shared" si="5"/>
        <v>0</v>
      </c>
      <c r="W145" s="12"/>
      <c r="X145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45" t="s">
        <v>1332</v>
      </c>
      <c r="Z145" s="2" t="s">
        <v>43</v>
      </c>
      <c r="AA145" s="2"/>
      <c r="AB145" s="2" t="s">
        <v>65</v>
      </c>
      <c r="AC145" s="2">
        <v>45793</v>
      </c>
      <c r="AD145" s="3">
        <v>2025</v>
      </c>
      <c r="AE145" s="3">
        <v>32</v>
      </c>
      <c r="AF145" s="5">
        <v>0.39</v>
      </c>
      <c r="AG145" s="3" t="s">
        <v>64</v>
      </c>
    </row>
    <row r="146" spans="1:33" hidden="1" x14ac:dyDescent="0.35">
      <c r="A146" t="str">
        <f>_xlfn.CONCAT(Tableau1[[#This Row],[Athletes]],"_",Tableau1[[#This Row],[Nationality]],"_",Tableau1[[#This Row],[Competition_year]])</f>
        <v>Weronika LIZAKOWSKA_POL_2025</v>
      </c>
      <c r="B146" t="s">
        <v>409</v>
      </c>
      <c r="C146" t="s">
        <v>47</v>
      </c>
      <c r="D146" t="s">
        <v>83</v>
      </c>
      <c r="E146">
        <v>15.5</v>
      </c>
      <c r="F146">
        <v>16.2</v>
      </c>
      <c r="G146">
        <v>17</v>
      </c>
      <c r="H146">
        <v>17.8</v>
      </c>
      <c r="I146">
        <v>18.8</v>
      </c>
      <c r="J146">
        <v>18.100000000000001</v>
      </c>
      <c r="K146">
        <v>17.399999999999999</v>
      </c>
      <c r="L146">
        <v>17.2</v>
      </c>
      <c r="M146">
        <v>17</v>
      </c>
      <c r="N146">
        <v>17.3</v>
      </c>
      <c r="O146">
        <v>16.2</v>
      </c>
      <c r="P146">
        <v>15.4</v>
      </c>
      <c r="Q146">
        <v>15.6</v>
      </c>
      <c r="R146">
        <v>15.7</v>
      </c>
      <c r="S146">
        <f>Tableau1[[#This Row],[Final_time]]-SUM(Tableau1[[#This Row],[0_100m]:[1300_1400m]])</f>
        <v>15.460000000000008</v>
      </c>
      <c r="T146">
        <v>250.66</v>
      </c>
      <c r="U146">
        <f t="shared" si="4"/>
        <v>250.66</v>
      </c>
      <c r="V146">
        <f t="shared" si="5"/>
        <v>0</v>
      </c>
      <c r="W146" s="12"/>
      <c r="X146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46" t="s">
        <v>1332</v>
      </c>
      <c r="Z146" s="2" t="s">
        <v>43</v>
      </c>
      <c r="AA146" s="2"/>
      <c r="AB146" s="2" t="s">
        <v>65</v>
      </c>
      <c r="AC146" s="2">
        <v>45793</v>
      </c>
      <c r="AD146" s="3">
        <v>2025</v>
      </c>
      <c r="AE146" s="3">
        <v>32</v>
      </c>
      <c r="AF146" s="5">
        <v>0.39</v>
      </c>
      <c r="AG146" s="3" t="s">
        <v>64</v>
      </c>
    </row>
    <row r="147" spans="1:33" hidden="1" x14ac:dyDescent="0.35">
      <c r="A147" t="str">
        <f>_xlfn.CONCAT(Tableau1[[#This Row],[Athletes]],"_",Tableau1[[#This Row],[Nationality]],"_",Tableau1[[#This Row],[Competition_year]])</f>
        <v>Bayise TOLESA_ETH_2025</v>
      </c>
      <c r="B147" t="s">
        <v>1330</v>
      </c>
      <c r="C147" t="s">
        <v>47</v>
      </c>
      <c r="D147" t="s">
        <v>48</v>
      </c>
      <c r="E147">
        <v>15.9</v>
      </c>
      <c r="F147">
        <v>16.399999999999999</v>
      </c>
      <c r="G147">
        <v>16.8</v>
      </c>
      <c r="H147">
        <v>17.8</v>
      </c>
      <c r="I147">
        <v>18.600000000000001</v>
      </c>
      <c r="J147">
        <v>18.5</v>
      </c>
      <c r="K147">
        <v>17.3</v>
      </c>
      <c r="L147">
        <v>17.600000000000001</v>
      </c>
      <c r="M147">
        <v>17.100000000000001</v>
      </c>
      <c r="N147">
        <v>17.100000000000001</v>
      </c>
      <c r="O147">
        <v>16.8</v>
      </c>
      <c r="P147">
        <v>16</v>
      </c>
      <c r="Q147">
        <v>16.8</v>
      </c>
      <c r="R147">
        <v>17</v>
      </c>
      <c r="S147">
        <f>Tableau1[[#This Row],[Final_time]]-SUM(Tableau1[[#This Row],[0_100m]:[1300_1400m]])</f>
        <v>15.499999999999972</v>
      </c>
      <c r="T147">
        <v>255.2</v>
      </c>
      <c r="U147">
        <f t="shared" si="4"/>
        <v>255.2</v>
      </c>
      <c r="V147">
        <f t="shared" si="5"/>
        <v>0</v>
      </c>
      <c r="W147" s="12"/>
      <c r="X147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47" t="s">
        <v>1332</v>
      </c>
      <c r="Z147" s="2" t="s">
        <v>43</v>
      </c>
      <c r="AA147" s="2"/>
      <c r="AB147" s="2" t="s">
        <v>65</v>
      </c>
      <c r="AC147" s="2">
        <v>45793</v>
      </c>
      <c r="AD147" s="3">
        <v>2025</v>
      </c>
      <c r="AE147" s="3">
        <v>32</v>
      </c>
      <c r="AF147" s="5">
        <v>0.39</v>
      </c>
      <c r="AG147" s="3" t="s">
        <v>64</v>
      </c>
    </row>
    <row r="148" spans="1:33" hidden="1" x14ac:dyDescent="0.35">
      <c r="A148" t="str">
        <f>_xlfn.CONCAT(Tableau1[[#This Row],[Athletes]],"_",Tableau1[[#This Row],[Nationality]],"_",Tableau1[[#This Row],[Competition_year]])</f>
        <v>Elsabet AMARE_ETH_2025</v>
      </c>
      <c r="B148" t="s">
        <v>1327</v>
      </c>
      <c r="C148" t="s">
        <v>47</v>
      </c>
      <c r="D148" t="s">
        <v>48</v>
      </c>
      <c r="E148">
        <v>15.6</v>
      </c>
      <c r="F148">
        <v>16.3</v>
      </c>
      <c r="G148">
        <v>17</v>
      </c>
      <c r="H148">
        <v>17.7</v>
      </c>
      <c r="I148">
        <v>18.899999999999999</v>
      </c>
      <c r="J148">
        <v>18.100000000000001</v>
      </c>
      <c r="K148">
        <v>17.3</v>
      </c>
      <c r="L148">
        <v>17.2</v>
      </c>
      <c r="M148">
        <v>17.2</v>
      </c>
      <c r="N148">
        <v>17.2</v>
      </c>
      <c r="O148">
        <v>16</v>
      </c>
      <c r="P148">
        <v>15.3</v>
      </c>
      <c r="Q148">
        <v>14.5</v>
      </c>
      <c r="R148">
        <v>15.1</v>
      </c>
      <c r="S148">
        <f>Tableau1[[#This Row],[Final_time]]-SUM(Tableau1[[#This Row],[0_100m]:[1300_1400m]])</f>
        <v>15.570000000000022</v>
      </c>
      <c r="T148">
        <v>248.97</v>
      </c>
      <c r="U148">
        <f t="shared" si="4"/>
        <v>248.97</v>
      </c>
      <c r="V148">
        <f t="shared" si="5"/>
        <v>0</v>
      </c>
      <c r="W148" s="12"/>
      <c r="X148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48" t="s">
        <v>1332</v>
      </c>
      <c r="Z148" s="2" t="s">
        <v>43</v>
      </c>
      <c r="AA148" s="2"/>
      <c r="AB148" s="2" t="s">
        <v>65</v>
      </c>
      <c r="AC148" s="2">
        <v>45793</v>
      </c>
      <c r="AD148" s="3">
        <v>2025</v>
      </c>
      <c r="AE148" s="3">
        <v>32</v>
      </c>
      <c r="AF148" s="5">
        <v>0.39</v>
      </c>
      <c r="AG148" s="3" t="s">
        <v>64</v>
      </c>
    </row>
    <row r="149" spans="1:33" hidden="1" x14ac:dyDescent="0.35">
      <c r="A149" t="str">
        <f>_xlfn.CONCAT(Tableau1[[#This Row],[Athletes]],"_",Tableau1[[#This Row],[Nationality]],"_",Tableau1[[#This Row],[Competition_year]])</f>
        <v>Saron BERHE_ETH_2025</v>
      </c>
      <c r="B149" t="s">
        <v>411</v>
      </c>
      <c r="C149" t="s">
        <v>47</v>
      </c>
      <c r="D149" t="s">
        <v>48</v>
      </c>
      <c r="E149">
        <v>15.2</v>
      </c>
      <c r="F149">
        <v>16</v>
      </c>
      <c r="G149">
        <v>17.2</v>
      </c>
      <c r="H149">
        <v>17.8</v>
      </c>
      <c r="I149">
        <v>18.8</v>
      </c>
      <c r="J149">
        <v>18.100000000000001</v>
      </c>
      <c r="K149">
        <v>17.5</v>
      </c>
      <c r="L149">
        <v>17.100000000000001</v>
      </c>
      <c r="M149">
        <v>17.2</v>
      </c>
      <c r="N149">
        <v>17.2</v>
      </c>
      <c r="O149">
        <v>16.100000000000001</v>
      </c>
      <c r="P149">
        <v>15.1</v>
      </c>
      <c r="Q149">
        <v>14.3</v>
      </c>
      <c r="R149">
        <v>14.7</v>
      </c>
      <c r="S149">
        <f>Tableau1[[#This Row],[Final_time]]-SUM(Tableau1[[#This Row],[0_100m]:[1300_1400m]])</f>
        <v>15.57000000000005</v>
      </c>
      <c r="T149">
        <v>247.87</v>
      </c>
      <c r="U149">
        <f t="shared" si="4"/>
        <v>247.87</v>
      </c>
      <c r="V149">
        <f t="shared" si="5"/>
        <v>0</v>
      </c>
      <c r="W149" s="12"/>
      <c r="X149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49" t="s">
        <v>1332</v>
      </c>
      <c r="Z149" s="2" t="s">
        <v>43</v>
      </c>
      <c r="AA149" s="2"/>
      <c r="AB149" s="2" t="s">
        <v>65</v>
      </c>
      <c r="AC149" s="2">
        <v>45793</v>
      </c>
      <c r="AD149" s="3">
        <v>2025</v>
      </c>
      <c r="AE149" s="3">
        <v>32</v>
      </c>
      <c r="AF149" s="5">
        <v>0.39</v>
      </c>
      <c r="AG149" s="3" t="s">
        <v>64</v>
      </c>
    </row>
    <row r="150" spans="1:33" hidden="1" x14ac:dyDescent="0.35">
      <c r="A150" t="str">
        <f>_xlfn.CONCAT(Tableau1[[#This Row],[Athletes]],"_",Tableau1[[#This Row],[Nationality]],"_",Tableau1[[#This Row],[Competition_year]])</f>
        <v>Jemma REEKIE_GBR_2025</v>
      </c>
      <c r="B150" t="s">
        <v>374</v>
      </c>
      <c r="C150" t="s">
        <v>47</v>
      </c>
      <c r="D150" t="s">
        <v>20</v>
      </c>
      <c r="E150">
        <v>15.1</v>
      </c>
      <c r="F150">
        <v>15.9</v>
      </c>
      <c r="G150">
        <v>17.100000000000001</v>
      </c>
      <c r="H150">
        <v>17.8</v>
      </c>
      <c r="I150">
        <v>18.899999999999999</v>
      </c>
      <c r="J150">
        <v>18.100000000000001</v>
      </c>
      <c r="K150">
        <v>17.5</v>
      </c>
      <c r="L150">
        <v>17.100000000000001</v>
      </c>
      <c r="M150">
        <v>17.3</v>
      </c>
      <c r="N150">
        <v>17.2</v>
      </c>
      <c r="O150">
        <v>16.2</v>
      </c>
      <c r="P150">
        <v>14.7</v>
      </c>
      <c r="Q150">
        <v>14.2</v>
      </c>
      <c r="R150">
        <v>14.6</v>
      </c>
      <c r="S150">
        <f>Tableau1[[#This Row],[Final_time]]-SUM(Tableau1[[#This Row],[0_100m]:[1300_1400m]])</f>
        <v>15.630000000000052</v>
      </c>
      <c r="T150">
        <v>247.33</v>
      </c>
      <c r="U150">
        <f t="shared" si="4"/>
        <v>247.33</v>
      </c>
      <c r="V150">
        <f t="shared" si="5"/>
        <v>0</v>
      </c>
      <c r="W150" s="12"/>
      <c r="X150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0" t="s">
        <v>1332</v>
      </c>
      <c r="Z150" s="2" t="s">
        <v>43</v>
      </c>
      <c r="AA150" s="2"/>
      <c r="AB150" s="2" t="s">
        <v>65</v>
      </c>
      <c r="AC150" s="2">
        <v>45793</v>
      </c>
      <c r="AD150" s="3">
        <v>2025</v>
      </c>
      <c r="AE150" s="3">
        <v>32</v>
      </c>
      <c r="AF150" s="5">
        <v>0.39</v>
      </c>
      <c r="AG150" s="3" t="s">
        <v>64</v>
      </c>
    </row>
    <row r="151" spans="1:33" hidden="1" x14ac:dyDescent="0.35">
      <c r="A151" t="str">
        <f>_xlfn.CONCAT(Tableau1[[#This Row],[Athletes]],"_",Tableau1[[#This Row],[Nationality]],"_",Tableau1[[#This Row],[Competition_year]])</f>
        <v>Teresiah Muthoni GATERI_KEN_2025</v>
      </c>
      <c r="B151" t="s">
        <v>1328</v>
      </c>
      <c r="C151" t="s">
        <v>47</v>
      </c>
      <c r="D151" t="s">
        <v>17</v>
      </c>
      <c r="E151">
        <v>15.7</v>
      </c>
      <c r="F151">
        <v>15.7</v>
      </c>
      <c r="G151">
        <v>17.2</v>
      </c>
      <c r="H151">
        <v>17.7</v>
      </c>
      <c r="I151">
        <v>18.600000000000001</v>
      </c>
      <c r="J151">
        <v>18.2</v>
      </c>
      <c r="K151">
        <v>17.3</v>
      </c>
      <c r="L151">
        <v>17</v>
      </c>
      <c r="M151">
        <v>17.3</v>
      </c>
      <c r="N151">
        <v>17.3</v>
      </c>
      <c r="O151">
        <v>16.2</v>
      </c>
      <c r="P151">
        <v>15</v>
      </c>
      <c r="Q151">
        <v>15</v>
      </c>
      <c r="R151">
        <v>15.5</v>
      </c>
      <c r="S151">
        <f>Tableau1[[#This Row],[Final_time]]-SUM(Tableau1[[#This Row],[0_100m]:[1300_1400m]])</f>
        <v>15.919999999999987</v>
      </c>
      <c r="T151">
        <v>249.62</v>
      </c>
      <c r="U151">
        <f t="shared" si="4"/>
        <v>249.62</v>
      </c>
      <c r="V151">
        <f t="shared" si="5"/>
        <v>0</v>
      </c>
      <c r="W151" s="12"/>
      <c r="X151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1" t="s">
        <v>1332</v>
      </c>
      <c r="Z151" s="2" t="s">
        <v>43</v>
      </c>
      <c r="AA151" s="2"/>
      <c r="AB151" s="2" t="s">
        <v>65</v>
      </c>
      <c r="AC151" s="2">
        <v>45793</v>
      </c>
      <c r="AD151" s="3">
        <v>2025</v>
      </c>
      <c r="AE151" s="3">
        <v>32</v>
      </c>
      <c r="AF151" s="5">
        <v>0.39</v>
      </c>
      <c r="AG151" s="3" t="s">
        <v>64</v>
      </c>
    </row>
    <row r="152" spans="1:33" hidden="1" x14ac:dyDescent="0.35">
      <c r="A152" t="str">
        <f>_xlfn.CONCAT(Tableau1[[#This Row],[Athletes]],"_",Tableau1[[#This Row],[Nationality]],"_",Tableau1[[#This Row],[Competition_year]])</f>
        <v>Samrawit MULUGETA_ETH_2025</v>
      </c>
      <c r="B152" t="s">
        <v>1329</v>
      </c>
      <c r="C152" t="s">
        <v>47</v>
      </c>
      <c r="D152" t="s">
        <v>48</v>
      </c>
      <c r="E152">
        <v>16.2</v>
      </c>
      <c r="F152">
        <v>16.600000000000001</v>
      </c>
      <c r="G152">
        <v>16.100000000000001</v>
      </c>
      <c r="H152">
        <v>17.8</v>
      </c>
      <c r="I152">
        <v>18.600000000000001</v>
      </c>
      <c r="J152">
        <v>18.5</v>
      </c>
      <c r="K152">
        <v>17.399999999999999</v>
      </c>
      <c r="L152">
        <v>17.399999999999999</v>
      </c>
      <c r="M152">
        <v>16.7</v>
      </c>
      <c r="N152">
        <v>17.2</v>
      </c>
      <c r="O152">
        <v>16.2</v>
      </c>
      <c r="P152">
        <v>14.9</v>
      </c>
      <c r="Q152">
        <v>15.2</v>
      </c>
      <c r="R152">
        <v>15.8</v>
      </c>
      <c r="S152">
        <f>Tableau1[[#This Row],[Final_time]]-SUM(Tableau1[[#This Row],[0_100m]:[1300_1400m]])</f>
        <v>16.210000000000008</v>
      </c>
      <c r="T152">
        <v>250.81</v>
      </c>
      <c r="U152">
        <f t="shared" si="4"/>
        <v>250.81</v>
      </c>
      <c r="V152">
        <f t="shared" si="5"/>
        <v>0</v>
      </c>
      <c r="W152" s="12"/>
      <c r="X152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2" t="s">
        <v>1332</v>
      </c>
      <c r="Z152" s="2" t="s">
        <v>43</v>
      </c>
      <c r="AA152" s="2"/>
      <c r="AB152" s="2" t="s">
        <v>65</v>
      </c>
      <c r="AC152" s="2">
        <v>45793</v>
      </c>
      <c r="AD152" s="3">
        <v>2025</v>
      </c>
      <c r="AE152" s="3">
        <v>32</v>
      </c>
      <c r="AF152" s="5">
        <v>0.39</v>
      </c>
      <c r="AG152" s="3" t="s">
        <v>64</v>
      </c>
    </row>
    <row r="153" spans="1:33" hidden="1" x14ac:dyDescent="0.35">
      <c r="A153" t="str">
        <f>_xlfn.CONCAT(Tableau1[[#This Row],[Athletes]],"_",Tableau1[[#This Row],[Nationality]],"_",Tableau1[[#This Row],[Competition_year]])</f>
        <v>Adelle TRACEY_JAM_2025</v>
      </c>
      <c r="B153" t="s">
        <v>188</v>
      </c>
      <c r="C153" t="s">
        <v>47</v>
      </c>
      <c r="D153" t="s">
        <v>108</v>
      </c>
      <c r="E153">
        <v>15.8</v>
      </c>
      <c r="F153">
        <v>16.3</v>
      </c>
      <c r="G153">
        <v>17.100000000000001</v>
      </c>
      <c r="H153">
        <v>17.7</v>
      </c>
      <c r="I153">
        <v>18.7</v>
      </c>
      <c r="J153">
        <v>18.399999999999999</v>
      </c>
      <c r="K153">
        <v>17.3</v>
      </c>
      <c r="L153">
        <v>17</v>
      </c>
      <c r="M153">
        <v>16.8</v>
      </c>
      <c r="N153">
        <v>17.399999999999999</v>
      </c>
      <c r="O153">
        <v>16.2</v>
      </c>
      <c r="P153">
        <v>15.7</v>
      </c>
      <c r="Q153">
        <v>15.3</v>
      </c>
      <c r="R153">
        <v>15.7</v>
      </c>
      <c r="S153">
        <f>Tableau1[[#This Row],[Final_time]]-SUM(Tableau1[[#This Row],[0_100m]:[1300_1400m]])</f>
        <v>16.359999999999985</v>
      </c>
      <c r="T153">
        <v>251.76</v>
      </c>
      <c r="U153">
        <f t="shared" si="4"/>
        <v>251.76</v>
      </c>
      <c r="V153">
        <f t="shared" si="5"/>
        <v>0</v>
      </c>
      <c r="W153" s="12"/>
      <c r="X153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3" t="s">
        <v>1332</v>
      </c>
      <c r="Z153" s="2" t="s">
        <v>43</v>
      </c>
      <c r="AA153" s="2"/>
      <c r="AB153" s="2" t="s">
        <v>65</v>
      </c>
      <c r="AC153" s="2">
        <v>45793</v>
      </c>
      <c r="AD153" s="3">
        <v>2025</v>
      </c>
      <c r="AE153" s="3">
        <v>32</v>
      </c>
      <c r="AF153" s="5">
        <v>0.39</v>
      </c>
      <c r="AG153" s="3" t="s">
        <v>64</v>
      </c>
    </row>
    <row r="154" spans="1:33" hidden="1" x14ac:dyDescent="0.35">
      <c r="A154" t="str">
        <f>_xlfn.CONCAT(Tableau1[[#This Row],[Athletes]],"_",Tableau1[[#This Row],[Nationality]],"_",Tableau1[[#This Row],[Competition_year]])</f>
        <v>Mebriht MEKONEN_ETH_2025</v>
      </c>
      <c r="B154" t="s">
        <v>1331</v>
      </c>
      <c r="C154" t="s">
        <v>47</v>
      </c>
      <c r="D154" t="s">
        <v>48</v>
      </c>
      <c r="E154">
        <v>16.3</v>
      </c>
      <c r="F154">
        <v>16.3</v>
      </c>
      <c r="G154">
        <v>16.7</v>
      </c>
      <c r="H154">
        <v>17.8</v>
      </c>
      <c r="I154">
        <v>18.7</v>
      </c>
      <c r="J154">
        <v>18.399999999999999</v>
      </c>
      <c r="K154">
        <v>16.8</v>
      </c>
      <c r="L154">
        <v>17.399999999999999</v>
      </c>
      <c r="M154">
        <v>17.2</v>
      </c>
      <c r="N154">
        <v>17.3</v>
      </c>
      <c r="O154">
        <v>16.5</v>
      </c>
      <c r="P154">
        <v>16.7</v>
      </c>
      <c r="Q154">
        <v>16.899999999999999</v>
      </c>
      <c r="R154">
        <v>16.8</v>
      </c>
      <c r="S154">
        <f>Tableau1[[#This Row],[Final_time]]-SUM(Tableau1[[#This Row],[0_100m]:[1300_1400m]])</f>
        <v>16.55000000000004</v>
      </c>
      <c r="T154">
        <v>256.35000000000002</v>
      </c>
      <c r="U154">
        <f t="shared" si="4"/>
        <v>256.35000000000002</v>
      </c>
      <c r="V154">
        <f t="shared" si="5"/>
        <v>0</v>
      </c>
      <c r="W154" s="12"/>
      <c r="X154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4" t="s">
        <v>1332</v>
      </c>
      <c r="Z154" s="2" t="s">
        <v>43</v>
      </c>
      <c r="AA154" s="2"/>
      <c r="AB154" s="2" t="s">
        <v>65</v>
      </c>
      <c r="AC154" s="2">
        <v>45793</v>
      </c>
      <c r="AD154" s="3">
        <v>2025</v>
      </c>
      <c r="AE154" s="3">
        <v>32</v>
      </c>
      <c r="AF154" s="5">
        <v>0.39</v>
      </c>
      <c r="AG154" s="3" t="s">
        <v>64</v>
      </c>
    </row>
    <row r="155" spans="1:33" hidden="1" x14ac:dyDescent="0.35">
      <c r="A155" t="str">
        <f>_xlfn.CONCAT(Tableau1[[#This Row],[Athletes]],"_",Tableau1[[#This Row],[Nationality]],"_",Tableau1[[#This Row],[Competition_year]])</f>
        <v>Tigist GIRMA_ETH_2025</v>
      </c>
      <c r="B155" t="s">
        <v>412</v>
      </c>
      <c r="C155" t="s">
        <v>47</v>
      </c>
      <c r="D155" t="s">
        <v>48</v>
      </c>
      <c r="E155">
        <v>15.4</v>
      </c>
      <c r="F155">
        <v>16.100000000000001</v>
      </c>
      <c r="G155">
        <v>17.100000000000001</v>
      </c>
      <c r="H155">
        <v>17.7</v>
      </c>
      <c r="I155">
        <v>19</v>
      </c>
      <c r="J155">
        <v>18.2</v>
      </c>
      <c r="K155">
        <v>17.3</v>
      </c>
      <c r="L155">
        <v>17.100000000000001</v>
      </c>
      <c r="M155">
        <v>17.100000000000001</v>
      </c>
      <c r="N155">
        <v>17.2</v>
      </c>
      <c r="O155">
        <v>15.8</v>
      </c>
      <c r="P155">
        <v>15</v>
      </c>
      <c r="Q155">
        <v>14.9</v>
      </c>
      <c r="R155">
        <v>15.4</v>
      </c>
      <c r="S155">
        <f>Tableau1[[#This Row],[Final_time]]-SUM(Tableau1[[#This Row],[0_100m]:[1300_1400m]])</f>
        <v>16.589999999999975</v>
      </c>
      <c r="T155">
        <v>249.89</v>
      </c>
      <c r="U155">
        <f t="shared" si="4"/>
        <v>249.89</v>
      </c>
      <c r="V155">
        <f t="shared" si="5"/>
        <v>0</v>
      </c>
      <c r="W155" s="12"/>
      <c r="X155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5" t="s">
        <v>1332</v>
      </c>
      <c r="Z155" s="2" t="s">
        <v>43</v>
      </c>
      <c r="AA155" s="2"/>
      <c r="AB155" s="2" t="s">
        <v>65</v>
      </c>
      <c r="AC155" s="2">
        <v>45793</v>
      </c>
      <c r="AD155" s="3">
        <v>2025</v>
      </c>
      <c r="AE155" s="3">
        <v>32</v>
      </c>
      <c r="AF155" s="5">
        <v>0.39</v>
      </c>
      <c r="AG155" s="3" t="s">
        <v>64</v>
      </c>
    </row>
    <row r="156" spans="1:33" hidden="1" x14ac:dyDescent="0.35">
      <c r="A156" t="str">
        <f>_xlfn.CONCAT(Tableau1[[#This Row],[Athletes]],"_",Tableau1[[#This Row],[Nationality]],"_",Tableau1[[#This Row],[Competition_year]])</f>
        <v>Susan Lokayo EJORE_KEN_2025</v>
      </c>
      <c r="B156" t="s">
        <v>1264</v>
      </c>
      <c r="C156" t="s">
        <v>47</v>
      </c>
      <c r="D156" t="s">
        <v>17</v>
      </c>
      <c r="T156">
        <v>246.27</v>
      </c>
      <c r="U156">
        <f t="shared" si="4"/>
        <v>0</v>
      </c>
      <c r="V156">
        <f t="shared" si="5"/>
        <v>246.27</v>
      </c>
      <c r="W156" s="12"/>
      <c r="X156" t="str">
        <f>_xlfn.CONCAT(Tableau1[[#This Row],[Competition]],"_",Tableau1[[#This Row],[Championship_step]],"_",Tableau1[[#This Row],[Competition_date]],"_",Tableau1[[#This Row],[Gender]])</f>
        <v>Diamond League Doha 2025__45793_Female</v>
      </c>
      <c r="Y156" t="s">
        <v>1332</v>
      </c>
      <c r="Z156" s="2" t="s">
        <v>43</v>
      </c>
      <c r="AA156" s="2"/>
      <c r="AB156" s="2" t="s">
        <v>65</v>
      </c>
      <c r="AC156" s="2">
        <v>45793</v>
      </c>
      <c r="AD156" s="3">
        <v>2025</v>
      </c>
      <c r="AE156" s="3">
        <v>32</v>
      </c>
      <c r="AF156" s="5">
        <v>0.39</v>
      </c>
      <c r="AG156" s="3" t="s">
        <v>64</v>
      </c>
    </row>
    <row r="157" spans="1:33" hidden="1" x14ac:dyDescent="0.35">
      <c r="A157" t="str">
        <f>_xlfn.CONCAT(Tableau1[[#This Row],[Athletes]],"_",Tableau1[[#This Row],[Nationality]],"_",Tableau1[[#This Row],[Competition_year]])</f>
        <v>Rebecca MEHRA_USA_2021</v>
      </c>
      <c r="B157" t="s">
        <v>319</v>
      </c>
      <c r="C157" t="s">
        <v>47</v>
      </c>
      <c r="D157" t="s">
        <v>51</v>
      </c>
      <c r="E157">
        <v>15.9</v>
      </c>
      <c r="F157">
        <v>16.600000000000001</v>
      </c>
      <c r="G157">
        <v>16.7</v>
      </c>
      <c r="H157">
        <v>17</v>
      </c>
      <c r="I157">
        <v>18</v>
      </c>
      <c r="J157">
        <v>17.100000000000001</v>
      </c>
      <c r="K157">
        <v>17.2</v>
      </c>
      <c r="L157">
        <v>17</v>
      </c>
      <c r="M157">
        <v>16.8</v>
      </c>
      <c r="N157">
        <v>16.8</v>
      </c>
      <c r="O157">
        <v>15.9</v>
      </c>
      <c r="P157">
        <v>15.1</v>
      </c>
      <c r="Q157">
        <v>15.7</v>
      </c>
      <c r="R157">
        <v>15.6</v>
      </c>
      <c r="S157">
        <f>Tableau1[[#This Row],[Final_time]]-SUM(Tableau1[[#This Row],[0_100m]:[1300_1400m]])</f>
        <v>14.949999999999989</v>
      </c>
      <c r="T157">
        <v>246.35</v>
      </c>
      <c r="U157">
        <f t="shared" si="4"/>
        <v>246.35</v>
      </c>
      <c r="V157">
        <f t="shared" si="5"/>
        <v>0</v>
      </c>
      <c r="W157" s="12"/>
      <c r="X157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57" t="s">
        <v>327</v>
      </c>
      <c r="Z157" s="2" t="s">
        <v>43</v>
      </c>
      <c r="AA157" s="2"/>
      <c r="AB157" s="2" t="s">
        <v>74</v>
      </c>
      <c r="AC157" s="2">
        <v>44428</v>
      </c>
      <c r="AD157">
        <v>2021</v>
      </c>
      <c r="AE157" s="3">
        <v>19</v>
      </c>
      <c r="AF157" s="5">
        <v>0.62</v>
      </c>
      <c r="AG157" s="3" t="s">
        <v>62</v>
      </c>
    </row>
    <row r="158" spans="1:33" hidden="1" x14ac:dyDescent="0.35">
      <c r="A158" t="str">
        <f>_xlfn.CONCAT(Tableau1[[#This Row],[Athletes]],"_",Tableau1[[#This Row],[Nationality]],"_",Tableau1[[#This Row],[Competition_year]])</f>
        <v>Sage HURTA-KLECKER_USA_2021</v>
      </c>
      <c r="B158" t="s">
        <v>629</v>
      </c>
      <c r="C158" t="s">
        <v>47</v>
      </c>
      <c r="D158" t="s">
        <v>51</v>
      </c>
      <c r="E158">
        <v>15.7</v>
      </c>
      <c r="F158">
        <v>16.399999999999999</v>
      </c>
      <c r="G158">
        <v>16.5</v>
      </c>
      <c r="H158">
        <v>17</v>
      </c>
      <c r="I158">
        <v>17.7</v>
      </c>
      <c r="J158">
        <v>17.100000000000001</v>
      </c>
      <c r="K158">
        <v>17.399999999999999</v>
      </c>
      <c r="L158">
        <v>16.899999999999999</v>
      </c>
      <c r="M158">
        <v>16.7</v>
      </c>
      <c r="N158">
        <v>16.399999999999999</v>
      </c>
      <c r="O158">
        <v>16.2</v>
      </c>
      <c r="P158">
        <v>15.6</v>
      </c>
      <c r="Q158">
        <v>16.2</v>
      </c>
      <c r="R158">
        <v>15.8</v>
      </c>
      <c r="S158">
        <f>Tableau1[[#This Row],[Final_time]]-SUM(Tableau1[[#This Row],[0_100m]:[1300_1400m]])</f>
        <v>15.900000000000006</v>
      </c>
      <c r="T158">
        <v>247.5</v>
      </c>
      <c r="U158">
        <f t="shared" si="4"/>
        <v>247.5</v>
      </c>
      <c r="V158">
        <f t="shared" si="5"/>
        <v>0</v>
      </c>
      <c r="W158" s="12"/>
      <c r="X158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58" t="s">
        <v>327</v>
      </c>
      <c r="Z158" s="2" t="s">
        <v>43</v>
      </c>
      <c r="AA158" s="2"/>
      <c r="AB158" s="2" t="s">
        <v>74</v>
      </c>
      <c r="AC158" s="2">
        <v>44428</v>
      </c>
      <c r="AD158">
        <v>2021</v>
      </c>
      <c r="AE158" s="3">
        <v>19</v>
      </c>
      <c r="AF158" s="5">
        <v>0.62</v>
      </c>
      <c r="AG158" s="3" t="s">
        <v>62</v>
      </c>
    </row>
    <row r="159" spans="1:33" hidden="1" x14ac:dyDescent="0.35">
      <c r="A159" t="str">
        <f>_xlfn.CONCAT(Tableau1[[#This Row],[Athletes]],"_",Tableau1[[#This Row],[Nationality]],"_",Tableau1[[#This Row],[Competition_year]])</f>
        <v>Danielle JONES_USA_2021</v>
      </c>
      <c r="B159" t="s">
        <v>320</v>
      </c>
      <c r="C159" t="s">
        <v>47</v>
      </c>
      <c r="D159" t="s">
        <v>51</v>
      </c>
      <c r="E159">
        <v>16.100000000000001</v>
      </c>
      <c r="F159">
        <v>16.600000000000001</v>
      </c>
      <c r="G159">
        <v>16.899999999999999</v>
      </c>
      <c r="H159">
        <v>16.8</v>
      </c>
      <c r="I159">
        <v>17.899999999999999</v>
      </c>
      <c r="J159">
        <v>17.100000000000001</v>
      </c>
      <c r="K159">
        <v>17.2</v>
      </c>
      <c r="L159">
        <v>17</v>
      </c>
      <c r="M159">
        <v>16.7</v>
      </c>
      <c r="N159">
        <v>16.8</v>
      </c>
      <c r="O159">
        <v>15.7</v>
      </c>
      <c r="P159">
        <f>200.1-SUM(Tableau1[[#This Row],[0_100m]:[1000_1100m]])</f>
        <v>15.299999999999983</v>
      </c>
      <c r="Q159">
        <v>15.9</v>
      </c>
      <c r="R159">
        <v>15.9</v>
      </c>
      <c r="S159">
        <f>Tableau1[[#This Row],[Final_time]]-SUM(Tableau1[[#This Row],[0_100m]:[1300_1400m]])</f>
        <v>16.549999999999983</v>
      </c>
      <c r="T159">
        <v>248.45</v>
      </c>
      <c r="U159">
        <f t="shared" si="4"/>
        <v>248.45</v>
      </c>
      <c r="V159">
        <f t="shared" si="5"/>
        <v>0</v>
      </c>
      <c r="W159" s="12"/>
      <c r="X159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59" t="s">
        <v>327</v>
      </c>
      <c r="Z159" s="2" t="s">
        <v>43</v>
      </c>
      <c r="AA159" s="2"/>
      <c r="AB159" s="2" t="s">
        <v>74</v>
      </c>
      <c r="AC159" s="2">
        <v>44428</v>
      </c>
      <c r="AD159">
        <v>2021</v>
      </c>
      <c r="AE159" s="3">
        <v>19</v>
      </c>
      <c r="AF159" s="5">
        <v>0.62</v>
      </c>
      <c r="AG159" s="3" t="s">
        <v>62</v>
      </c>
    </row>
    <row r="160" spans="1:33" hidden="1" x14ac:dyDescent="0.35">
      <c r="A160" t="str">
        <f>_xlfn.CONCAT(Tableau1[[#This Row],[Athletes]],"_",Tableau1[[#This Row],[Nationality]],"_",Tableau1[[#This Row],[Competition_year]])</f>
        <v>Nikki HILTZ_USA_2021</v>
      </c>
      <c r="B160" t="s">
        <v>154</v>
      </c>
      <c r="C160" t="s">
        <v>47</v>
      </c>
      <c r="D160" t="s">
        <v>51</v>
      </c>
      <c r="E160">
        <v>15.9</v>
      </c>
      <c r="F160">
        <v>16.399999999999999</v>
      </c>
      <c r="G160">
        <v>16.7</v>
      </c>
      <c r="H160">
        <v>17.100000000000001</v>
      </c>
      <c r="I160">
        <v>17.8</v>
      </c>
      <c r="J160">
        <v>17.100000000000001</v>
      </c>
      <c r="K160">
        <v>17.3</v>
      </c>
      <c r="L160">
        <v>17</v>
      </c>
      <c r="M160">
        <v>16.8</v>
      </c>
      <c r="N160">
        <v>16.8</v>
      </c>
      <c r="O160">
        <f>184.9-SUM(Tableau1[[#This Row],[0_100m]:[900_1000m]])</f>
        <v>15.999999999999972</v>
      </c>
      <c r="P160">
        <v>15.7</v>
      </c>
      <c r="Q160">
        <v>16.399999999999999</v>
      </c>
      <c r="R160">
        <v>16.2</v>
      </c>
      <c r="S160">
        <f>Tableau1[[#This Row],[Final_time]]-SUM(Tableau1[[#This Row],[0_100m]:[1300_1400m]])</f>
        <v>16.070000000000022</v>
      </c>
      <c r="T160">
        <v>249.27</v>
      </c>
      <c r="U160">
        <f t="shared" si="4"/>
        <v>249.27</v>
      </c>
      <c r="V160">
        <f t="shared" si="5"/>
        <v>0</v>
      </c>
      <c r="W160" s="12"/>
      <c r="X160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0" t="s">
        <v>327</v>
      </c>
      <c r="Z160" s="2" t="s">
        <v>43</v>
      </c>
      <c r="AA160" s="2"/>
      <c r="AB160" s="2" t="s">
        <v>74</v>
      </c>
      <c r="AC160" s="2">
        <v>44428</v>
      </c>
      <c r="AD160">
        <v>2021</v>
      </c>
      <c r="AE160" s="3">
        <v>19</v>
      </c>
      <c r="AF160" s="5">
        <v>0.62</v>
      </c>
      <c r="AG160" s="3" t="s">
        <v>62</v>
      </c>
    </row>
    <row r="161" spans="1:33" hidden="1" x14ac:dyDescent="0.35">
      <c r="A161" t="str">
        <f>_xlfn.CONCAT(Tableau1[[#This Row],[Athletes]],"_",Tableau1[[#This Row],[Nationality]],"_",Tableau1[[#This Row],[Competition_year]])</f>
        <v>Sara VAUGHN_USA_2021</v>
      </c>
      <c r="B161" t="s">
        <v>321</v>
      </c>
      <c r="C161" t="s">
        <v>47</v>
      </c>
      <c r="D161" t="s">
        <v>51</v>
      </c>
      <c r="E161">
        <v>15.7</v>
      </c>
      <c r="F161">
        <v>16.5</v>
      </c>
      <c r="G161">
        <v>16.7</v>
      </c>
      <c r="H161">
        <v>16.899999999999999</v>
      </c>
      <c r="I161">
        <v>17.8</v>
      </c>
      <c r="J161">
        <v>17.100000000000001</v>
      </c>
      <c r="K161">
        <v>17.399999999999999</v>
      </c>
      <c r="L161">
        <v>17</v>
      </c>
      <c r="M161">
        <v>16.7</v>
      </c>
      <c r="N161">
        <v>16.8</v>
      </c>
      <c r="O161">
        <v>16.100000000000001</v>
      </c>
      <c r="P161">
        <v>15.7</v>
      </c>
      <c r="Q161">
        <v>16.3</v>
      </c>
      <c r="R161">
        <v>16.5</v>
      </c>
      <c r="S161">
        <f>Tableau1[[#This Row],[Final_time]]-SUM(Tableau1[[#This Row],[0_100m]:[1300_1400m]])</f>
        <v>16.47999999999999</v>
      </c>
      <c r="T161">
        <v>249.68</v>
      </c>
      <c r="U161">
        <f t="shared" si="4"/>
        <v>249.68</v>
      </c>
      <c r="V161">
        <f t="shared" si="5"/>
        <v>0</v>
      </c>
      <c r="W161" s="12"/>
      <c r="X161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1" t="s">
        <v>327</v>
      </c>
      <c r="Z161" s="2" t="s">
        <v>43</v>
      </c>
      <c r="AA161" s="2"/>
      <c r="AB161" s="2" t="s">
        <v>74</v>
      </c>
      <c r="AC161" s="2">
        <v>44428</v>
      </c>
      <c r="AD161">
        <v>2021</v>
      </c>
      <c r="AE161" s="3">
        <v>19</v>
      </c>
      <c r="AF161" s="5">
        <v>0.62</v>
      </c>
      <c r="AG161" s="3" t="s">
        <v>62</v>
      </c>
    </row>
    <row r="162" spans="1:33" hidden="1" x14ac:dyDescent="0.35">
      <c r="A162" t="str">
        <f>_xlfn.CONCAT(Tableau1[[#This Row],[Athletes]],"_",Tableau1[[#This Row],[Nationality]],"_",Tableau1[[#This Row],[Competition_year]])</f>
        <v>Eleanor FULTON_USA_2021</v>
      </c>
      <c r="B162" t="s">
        <v>322</v>
      </c>
      <c r="C162" t="s">
        <v>47</v>
      </c>
      <c r="D162" t="s">
        <v>51</v>
      </c>
      <c r="E162">
        <v>16.100000000000001</v>
      </c>
      <c r="F162">
        <v>16.3</v>
      </c>
      <c r="G162">
        <v>16.7</v>
      </c>
      <c r="H162">
        <v>17</v>
      </c>
      <c r="I162">
        <v>17.5</v>
      </c>
      <c r="J162">
        <v>17.2</v>
      </c>
      <c r="K162">
        <v>17.2</v>
      </c>
      <c r="L162">
        <v>17.100000000000001</v>
      </c>
      <c r="M162">
        <v>16.8</v>
      </c>
      <c r="N162">
        <v>16.7</v>
      </c>
      <c r="O162">
        <v>16.600000000000001</v>
      </c>
      <c r="P162">
        <v>15.7</v>
      </c>
      <c r="Q162">
        <v>16.5</v>
      </c>
      <c r="R162">
        <f>233.7-SUM(Tableau1[[#This Row],[0_100m]:[1200_1300m]])</f>
        <v>16.299999999999983</v>
      </c>
      <c r="S162">
        <f>Tableau1[[#This Row],[Final_time]]-SUM(Tableau1[[#This Row],[0_100m]:[1300_1400m]])</f>
        <v>16.150000000000006</v>
      </c>
      <c r="T162">
        <v>249.85</v>
      </c>
      <c r="U162">
        <f t="shared" si="4"/>
        <v>249.85</v>
      </c>
      <c r="V162">
        <f t="shared" si="5"/>
        <v>0</v>
      </c>
      <c r="W162" s="12"/>
      <c r="X162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2" t="s">
        <v>327</v>
      </c>
      <c r="Z162" s="2" t="s">
        <v>43</v>
      </c>
      <c r="AA162" s="2"/>
      <c r="AB162" s="2" t="s">
        <v>74</v>
      </c>
      <c r="AC162" s="2">
        <v>44428</v>
      </c>
      <c r="AD162">
        <v>2021</v>
      </c>
      <c r="AE162" s="3">
        <v>19</v>
      </c>
      <c r="AF162" s="5">
        <v>0.62</v>
      </c>
      <c r="AG162" s="3" t="s">
        <v>62</v>
      </c>
    </row>
    <row r="163" spans="1:33" hidden="1" x14ac:dyDescent="0.35">
      <c r="A163" t="str">
        <f>_xlfn.CONCAT(Tableau1[[#This Row],[Athletes]],"_",Tableau1[[#This Row],[Nationality]],"_",Tableau1[[#This Row],[Competition_year]])</f>
        <v>Danielle ARAGON_USA_2021</v>
      </c>
      <c r="B163" t="s">
        <v>323</v>
      </c>
      <c r="C163" t="s">
        <v>47</v>
      </c>
      <c r="D163" t="s">
        <v>51</v>
      </c>
      <c r="E163">
        <v>16</v>
      </c>
      <c r="F163">
        <v>16.600000000000001</v>
      </c>
      <c r="G163">
        <v>16.7</v>
      </c>
      <c r="H163">
        <v>17</v>
      </c>
      <c r="I163">
        <v>17.8</v>
      </c>
      <c r="J163">
        <v>17.100000000000001</v>
      </c>
      <c r="K163">
        <v>17.2</v>
      </c>
      <c r="L163">
        <v>17</v>
      </c>
      <c r="M163">
        <v>16.7</v>
      </c>
      <c r="N163">
        <v>16.600000000000001</v>
      </c>
      <c r="O163">
        <f>184.2-SUM(Tableau1[[#This Row],[0_100m]:[900_1000m]])</f>
        <v>15.500000000000028</v>
      </c>
      <c r="P163">
        <v>15.2</v>
      </c>
      <c r="Q163">
        <v>16.600000000000001</v>
      </c>
      <c r="R163">
        <v>16.8</v>
      </c>
      <c r="S163">
        <f>Tableau1[[#This Row],[Final_time]]-SUM(Tableau1[[#This Row],[0_100m]:[1300_1400m]])</f>
        <v>17.220000000000027</v>
      </c>
      <c r="T163">
        <v>250.02</v>
      </c>
      <c r="U163">
        <f t="shared" si="4"/>
        <v>250.02</v>
      </c>
      <c r="V163">
        <f t="shared" si="5"/>
        <v>0</v>
      </c>
      <c r="W163" s="12"/>
      <c r="X163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3" t="s">
        <v>327</v>
      </c>
      <c r="Z163" s="2" t="s">
        <v>43</v>
      </c>
      <c r="AA163" s="2"/>
      <c r="AB163" s="2" t="s">
        <v>74</v>
      </c>
      <c r="AC163" s="2">
        <v>44428</v>
      </c>
      <c r="AD163">
        <v>2021</v>
      </c>
      <c r="AE163" s="3">
        <v>19</v>
      </c>
      <c r="AF163" s="5">
        <v>0.62</v>
      </c>
      <c r="AG163" s="3" t="s">
        <v>62</v>
      </c>
    </row>
    <row r="164" spans="1:33" hidden="1" x14ac:dyDescent="0.35">
      <c r="A164" t="str">
        <f>_xlfn.CONCAT(Tableau1[[#This Row],[Athletes]],"_",Tableau1[[#This Row],[Nationality]],"_",Tableau1[[#This Row],[Competition_year]])</f>
        <v>Marta PEN FREITAS_POR_2021</v>
      </c>
      <c r="B164" t="s">
        <v>324</v>
      </c>
      <c r="C164" t="s">
        <v>47</v>
      </c>
      <c r="D164" t="s">
        <v>33</v>
      </c>
      <c r="E164">
        <v>16</v>
      </c>
      <c r="F164">
        <v>16.5</v>
      </c>
      <c r="G164">
        <v>16.600000000000001</v>
      </c>
      <c r="H164">
        <v>17</v>
      </c>
      <c r="I164">
        <v>17.7</v>
      </c>
      <c r="J164">
        <v>17.100000000000001</v>
      </c>
      <c r="K164">
        <v>17.3</v>
      </c>
      <c r="L164">
        <v>17</v>
      </c>
      <c r="M164">
        <v>16.8</v>
      </c>
      <c r="N164">
        <v>16.8</v>
      </c>
      <c r="O164">
        <v>16.600000000000001</v>
      </c>
      <c r="P164">
        <v>16.399999999999999</v>
      </c>
      <c r="Q164">
        <v>16.5</v>
      </c>
      <c r="R164">
        <v>16.2</v>
      </c>
      <c r="S164">
        <f>Tableau1[[#This Row],[Final_time]]-SUM(Tableau1[[#This Row],[0_100m]:[1300_1400m]])</f>
        <v>16.400000000000006</v>
      </c>
      <c r="T164">
        <v>250.9</v>
      </c>
      <c r="U164">
        <f t="shared" si="4"/>
        <v>250.9</v>
      </c>
      <c r="V164">
        <f t="shared" si="5"/>
        <v>0</v>
      </c>
      <c r="W164" s="12"/>
      <c r="X164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4" t="s">
        <v>327</v>
      </c>
      <c r="Z164" s="2" t="s">
        <v>43</v>
      </c>
      <c r="AA164" s="2"/>
      <c r="AB164" s="2" t="s">
        <v>74</v>
      </c>
      <c r="AC164" s="2">
        <v>44428</v>
      </c>
      <c r="AD164">
        <v>2021</v>
      </c>
      <c r="AE164" s="3">
        <v>19</v>
      </c>
      <c r="AF164" s="5">
        <v>0.62</v>
      </c>
      <c r="AG164" s="3" t="s">
        <v>62</v>
      </c>
    </row>
    <row r="165" spans="1:33" hidden="1" x14ac:dyDescent="0.35">
      <c r="A165" t="str">
        <f>_xlfn.CONCAT(Tableau1[[#This Row],[Athletes]],"_",Tableau1[[#This Row],[Nationality]],"_",Tableau1[[#This Row],[Competition_year]])</f>
        <v>Julianne LABACH_CAN_2021</v>
      </c>
      <c r="B165" t="s">
        <v>325</v>
      </c>
      <c r="C165" t="s">
        <v>47</v>
      </c>
      <c r="D165" t="s">
        <v>55</v>
      </c>
      <c r="E165">
        <v>16.100000000000001</v>
      </c>
      <c r="F165">
        <v>16.7</v>
      </c>
      <c r="G165">
        <v>16.899999999999999</v>
      </c>
      <c r="H165">
        <v>17</v>
      </c>
      <c r="I165">
        <v>17.8</v>
      </c>
      <c r="J165">
        <v>17.5</v>
      </c>
      <c r="K165">
        <v>17.2</v>
      </c>
      <c r="L165">
        <v>17</v>
      </c>
      <c r="M165">
        <f>152.6-SUM(Tableau1[[#This Row],[0_100m]:[700_800m]])</f>
        <v>16.400000000000006</v>
      </c>
      <c r="N165">
        <v>16.8</v>
      </c>
      <c r="O165">
        <f>185.7-SUM(Tableau1[[#This Row],[0_100m]:[900_1000m]])</f>
        <v>16.299999999999983</v>
      </c>
      <c r="P165">
        <v>16.3</v>
      </c>
      <c r="Q165">
        <v>16.3</v>
      </c>
      <c r="R165">
        <v>16.600000000000001</v>
      </c>
      <c r="S165">
        <f>Tableau1[[#This Row],[Final_time]]-SUM(Tableau1[[#This Row],[0_100m]:[1300_1400m]])</f>
        <v>16.840000000000003</v>
      </c>
      <c r="T165">
        <v>251.74</v>
      </c>
      <c r="U165">
        <f t="shared" si="4"/>
        <v>251.74</v>
      </c>
      <c r="V165">
        <f t="shared" si="5"/>
        <v>0</v>
      </c>
      <c r="W165" s="12"/>
      <c r="X165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5" t="s">
        <v>327</v>
      </c>
      <c r="Z165" s="2" t="s">
        <v>43</v>
      </c>
      <c r="AA165" s="2"/>
      <c r="AB165" s="2" t="s">
        <v>74</v>
      </c>
      <c r="AC165" s="2">
        <v>44428</v>
      </c>
      <c r="AD165">
        <v>2021</v>
      </c>
      <c r="AE165" s="3">
        <v>19</v>
      </c>
      <c r="AF165" s="5">
        <v>0.62</v>
      </c>
      <c r="AG165" s="3" t="s">
        <v>62</v>
      </c>
    </row>
    <row r="166" spans="1:33" hidden="1" x14ac:dyDescent="0.35">
      <c r="A166" t="str">
        <f>_xlfn.CONCAT(Tableau1[[#This Row],[Athletes]],"_",Tableau1[[#This Row],[Nationality]],"_",Tableau1[[#This Row],[Competition_year]])</f>
        <v>Federica DEL BUONO_ITA_2021</v>
      </c>
      <c r="B166" t="s">
        <v>243</v>
      </c>
      <c r="C166" t="s">
        <v>47</v>
      </c>
      <c r="D166" t="s">
        <v>19</v>
      </c>
      <c r="E166">
        <v>16.2</v>
      </c>
      <c r="F166">
        <v>16.5</v>
      </c>
      <c r="G166">
        <v>16.600000000000001</v>
      </c>
      <c r="H166">
        <v>17</v>
      </c>
      <c r="I166">
        <v>17.7</v>
      </c>
      <c r="J166">
        <v>17.100000000000001</v>
      </c>
      <c r="K166">
        <v>17.2</v>
      </c>
      <c r="L166">
        <v>17</v>
      </c>
      <c r="M166">
        <v>16.7</v>
      </c>
      <c r="N166">
        <v>17</v>
      </c>
      <c r="O166">
        <v>16.3</v>
      </c>
      <c r="P166">
        <v>16</v>
      </c>
      <c r="Q166">
        <v>16.3</v>
      </c>
      <c r="R166">
        <v>16.8</v>
      </c>
      <c r="S166">
        <f>Tableau1[[#This Row],[Final_time]]-SUM(Tableau1[[#This Row],[0_100m]:[1300_1400m]])</f>
        <v>17.899999999999977</v>
      </c>
      <c r="T166">
        <v>252.3</v>
      </c>
      <c r="U166">
        <f t="shared" si="4"/>
        <v>252.3</v>
      </c>
      <c r="V166">
        <f t="shared" si="5"/>
        <v>0</v>
      </c>
      <c r="W166" s="12"/>
      <c r="X166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6" t="s">
        <v>327</v>
      </c>
      <c r="Z166" s="2" t="s">
        <v>43</v>
      </c>
      <c r="AA166" s="2"/>
      <c r="AB166" s="2" t="s">
        <v>74</v>
      </c>
      <c r="AC166" s="2">
        <v>44428</v>
      </c>
      <c r="AD166">
        <v>2021</v>
      </c>
      <c r="AE166" s="3">
        <v>19</v>
      </c>
      <c r="AF166" s="5">
        <v>0.62</v>
      </c>
      <c r="AG166" s="3" t="s">
        <v>62</v>
      </c>
    </row>
    <row r="167" spans="1:33" hidden="1" x14ac:dyDescent="0.35">
      <c r="A167" t="str">
        <f>_xlfn.CONCAT(Tableau1[[#This Row],[Athletes]],"_",Tableau1[[#This Row],[Nationality]],"_",Tableau1[[#This Row],[Competition_year]])</f>
        <v>Allie WILSON_USA_2021</v>
      </c>
      <c r="B167" t="s">
        <v>326</v>
      </c>
      <c r="C167" t="s">
        <v>47</v>
      </c>
      <c r="D167" t="s">
        <v>51</v>
      </c>
      <c r="E167">
        <v>16.399999999999999</v>
      </c>
      <c r="F167">
        <v>16.8</v>
      </c>
      <c r="G167">
        <v>16.8</v>
      </c>
      <c r="H167">
        <v>16.7</v>
      </c>
      <c r="I167">
        <v>17.7</v>
      </c>
      <c r="J167">
        <v>17.3</v>
      </c>
      <c r="K167">
        <v>17.100000000000001</v>
      </c>
      <c r="L167">
        <v>17.2</v>
      </c>
      <c r="M167">
        <v>17</v>
      </c>
      <c r="N167">
        <v>17.2</v>
      </c>
      <c r="O167">
        <v>17.100000000000001</v>
      </c>
      <c r="P167">
        <v>16.7</v>
      </c>
      <c r="Q167">
        <v>17.2</v>
      </c>
      <c r="R167">
        <v>17.2</v>
      </c>
      <c r="S167">
        <f>Tableau1[[#This Row],[Final_time]]-SUM(Tableau1[[#This Row],[0_100m]:[1300_1400m]])</f>
        <v>16.420000000000044</v>
      </c>
      <c r="T167">
        <v>254.82</v>
      </c>
      <c r="U167">
        <f t="shared" si="4"/>
        <v>254.82</v>
      </c>
      <c r="V167">
        <f t="shared" si="5"/>
        <v>0</v>
      </c>
      <c r="W167" s="12"/>
      <c r="X167" t="str">
        <f>_xlfn.CONCAT(Tableau1[[#This Row],[Competition]],"_",Tableau1[[#This Row],[Championship_step]],"_",Tableau1[[#This Row],[Competition_date]],"_",Tableau1[[#This Row],[Gender]])</f>
        <v>Diamond League Eugene 2021 - North American__44428_Female</v>
      </c>
      <c r="Y167" t="s">
        <v>327</v>
      </c>
      <c r="Z167" s="2" t="s">
        <v>43</v>
      </c>
      <c r="AA167" s="2"/>
      <c r="AB167" s="2" t="s">
        <v>74</v>
      </c>
      <c r="AC167" s="2">
        <v>44428</v>
      </c>
      <c r="AD167">
        <v>2021</v>
      </c>
      <c r="AE167" s="3">
        <v>19</v>
      </c>
      <c r="AF167" s="5">
        <v>0.62</v>
      </c>
      <c r="AG167" s="3" t="s">
        <v>62</v>
      </c>
    </row>
    <row r="168" spans="1:33" hidden="1" x14ac:dyDescent="0.35">
      <c r="A168" t="str">
        <f>_xlfn.CONCAT(Tableau1[[#This Row],[Athletes]],"_",Tableau1[[#This Row],[Nationality]],"_",Tableau1[[#This Row],[Competition_year]])</f>
        <v>Josette ANDREWS_USA_2021</v>
      </c>
      <c r="B168" t="s">
        <v>296</v>
      </c>
      <c r="C168" t="s">
        <v>47</v>
      </c>
      <c r="D168" t="s">
        <v>51</v>
      </c>
      <c r="E168">
        <v>15.2</v>
      </c>
      <c r="F168">
        <v>15.5</v>
      </c>
      <c r="G168">
        <v>16.599999999999998</v>
      </c>
      <c r="H168">
        <v>16.700000000000003</v>
      </c>
      <c r="I168">
        <v>15.900000000000006</v>
      </c>
      <c r="J168">
        <v>16.199999999999989</v>
      </c>
      <c r="K168">
        <v>15.600000000000009</v>
      </c>
      <c r="L168">
        <v>15.899999999999991</v>
      </c>
      <c r="M168">
        <v>16.099999999999994</v>
      </c>
      <c r="N168">
        <v>16.400000000000006</v>
      </c>
      <c r="O168">
        <v>15.900000000000006</v>
      </c>
      <c r="P168">
        <v>16.5</v>
      </c>
      <c r="Q168">
        <v>16.300000000000011</v>
      </c>
      <c r="R168">
        <v>16</v>
      </c>
      <c r="S168">
        <f>Tableau1[[#This Row],[Final_time]]-SUM(Tableau1[[#This Row],[0_100m]:[1300_1400m]])</f>
        <v>15.269999999999982</v>
      </c>
      <c r="T168">
        <v>240.07</v>
      </c>
      <c r="U168">
        <f t="shared" si="4"/>
        <v>240.07</v>
      </c>
      <c r="V168">
        <f t="shared" si="5"/>
        <v>0</v>
      </c>
      <c r="W168" s="12"/>
      <c r="X168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68" t="s">
        <v>314</v>
      </c>
      <c r="Z168" t="s">
        <v>43</v>
      </c>
      <c r="AB168" t="s">
        <v>65</v>
      </c>
      <c r="AC168" s="2">
        <v>44429</v>
      </c>
      <c r="AD168">
        <v>2021</v>
      </c>
      <c r="AE168">
        <v>22</v>
      </c>
      <c r="AF168" s="5">
        <v>0.45</v>
      </c>
      <c r="AG168" s="3" t="s">
        <v>62</v>
      </c>
    </row>
    <row r="169" spans="1:33" hidden="1" x14ac:dyDescent="0.35">
      <c r="A169" t="str">
        <f>_xlfn.CONCAT(Tableau1[[#This Row],[Athletes]],"_",Tableau1[[#This Row],[Nationality]],"_",Tableau1[[#This Row],[Competition_year]])</f>
        <v>Linden HALL_AUS_2021</v>
      </c>
      <c r="B169" t="s">
        <v>184</v>
      </c>
      <c r="C169" t="s">
        <v>47</v>
      </c>
      <c r="D169" t="s">
        <v>21</v>
      </c>
      <c r="E169">
        <v>15.3</v>
      </c>
      <c r="F169">
        <v>15.899999999999999</v>
      </c>
      <c r="G169">
        <v>16.099999999999998</v>
      </c>
      <c r="H169">
        <v>16.200000000000003</v>
      </c>
      <c r="I169">
        <v>15.900000000000006</v>
      </c>
      <c r="J169">
        <v>15.699999999999989</v>
      </c>
      <c r="K169">
        <v>15.800000000000011</v>
      </c>
      <c r="L169">
        <v>16.299999999999997</v>
      </c>
      <c r="M169">
        <v>16.200000000000003</v>
      </c>
      <c r="N169">
        <v>16.299999999999983</v>
      </c>
      <c r="O169">
        <v>16.400000000000006</v>
      </c>
      <c r="P169">
        <v>16.5</v>
      </c>
      <c r="Q169">
        <v>16</v>
      </c>
      <c r="R169">
        <v>15.800000000000011</v>
      </c>
      <c r="S169">
        <f>Tableau1[[#This Row],[Final_time]]-SUM(Tableau1[[#This Row],[0_100m]:[1300_1400m]])</f>
        <v>15.329999999999984</v>
      </c>
      <c r="T169">
        <v>239.73</v>
      </c>
      <c r="U169">
        <f t="shared" si="4"/>
        <v>239.73</v>
      </c>
      <c r="V169">
        <f t="shared" si="5"/>
        <v>0</v>
      </c>
      <c r="W169" s="12"/>
      <c r="X169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69" t="s">
        <v>314</v>
      </c>
      <c r="Z169" t="s">
        <v>43</v>
      </c>
      <c r="AB169" t="s">
        <v>65</v>
      </c>
      <c r="AC169" s="2">
        <v>44429</v>
      </c>
      <c r="AD169">
        <v>2021</v>
      </c>
      <c r="AE169">
        <v>22</v>
      </c>
      <c r="AF169" s="5">
        <v>0.45</v>
      </c>
      <c r="AG169" s="3" t="s">
        <v>62</v>
      </c>
    </row>
    <row r="170" spans="1:33" hidden="1" x14ac:dyDescent="0.35">
      <c r="A170" t="str">
        <f>_xlfn.CONCAT(Tableau1[[#This Row],[Athletes]],"_",Tableau1[[#This Row],[Nationality]],"_",Tableau1[[#This Row],[Competition_year]])</f>
        <v>Helen SCHLACHTENHAUFEN_USA_2021</v>
      </c>
      <c r="B170" t="s">
        <v>413</v>
      </c>
      <c r="C170" t="s">
        <v>47</v>
      </c>
      <c r="D170" t="s">
        <v>51</v>
      </c>
      <c r="E170">
        <v>15.5</v>
      </c>
      <c r="F170">
        <v>16</v>
      </c>
      <c r="G170">
        <v>16.5</v>
      </c>
      <c r="H170">
        <v>16.599999999999994</v>
      </c>
      <c r="I170">
        <v>16.200000000000003</v>
      </c>
      <c r="J170">
        <v>16.100000000000009</v>
      </c>
      <c r="K170">
        <v>16.299999999999997</v>
      </c>
      <c r="L170">
        <v>16.499999999999986</v>
      </c>
      <c r="M170">
        <v>16.600000000000023</v>
      </c>
      <c r="N170">
        <v>16.5</v>
      </c>
      <c r="O170">
        <v>16</v>
      </c>
      <c r="P170">
        <v>16.699999999999989</v>
      </c>
      <c r="Q170">
        <v>16.300000000000011</v>
      </c>
      <c r="R170">
        <v>15.599999999999994</v>
      </c>
      <c r="S170">
        <f>Tableau1[[#This Row],[Final_time]]-SUM(Tableau1[[#This Row],[0_100m]:[1300_1400m]])</f>
        <v>15.379999999999995</v>
      </c>
      <c r="T170">
        <v>242.78</v>
      </c>
      <c r="U170">
        <f t="shared" si="4"/>
        <v>242.78</v>
      </c>
      <c r="V170">
        <f t="shared" si="5"/>
        <v>0</v>
      </c>
      <c r="W170" s="12"/>
      <c r="X170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0" t="s">
        <v>314</v>
      </c>
      <c r="Z170" t="s">
        <v>43</v>
      </c>
      <c r="AB170" t="s">
        <v>65</v>
      </c>
      <c r="AC170" s="2">
        <v>44429</v>
      </c>
      <c r="AD170">
        <v>2021</v>
      </c>
      <c r="AE170">
        <v>22</v>
      </c>
      <c r="AF170" s="5">
        <v>0.45</v>
      </c>
      <c r="AG170" s="3" t="s">
        <v>62</v>
      </c>
    </row>
    <row r="171" spans="1:33" hidden="1" x14ac:dyDescent="0.35">
      <c r="A171" t="str">
        <f>_xlfn.CONCAT(Tableau1[[#This Row],[Athletes]],"_",Tableau1[[#This Row],[Nationality]],"_",Tableau1[[#This Row],[Competition_year]])</f>
        <v>Faith KIPYEGON_KEN_2021</v>
      </c>
      <c r="B171" t="s">
        <v>164</v>
      </c>
      <c r="C171" t="s">
        <v>47</v>
      </c>
      <c r="D171" t="s">
        <v>17</v>
      </c>
      <c r="E171">
        <v>14.7</v>
      </c>
      <c r="F171">
        <v>15.5</v>
      </c>
      <c r="G171">
        <v>16.3</v>
      </c>
      <c r="H171">
        <v>16.299999999999997</v>
      </c>
      <c r="I171">
        <v>15.600000000000009</v>
      </c>
      <c r="J171">
        <v>15.299999999999997</v>
      </c>
      <c r="K171">
        <v>15.599999999999994</v>
      </c>
      <c r="L171">
        <v>15.600000000000009</v>
      </c>
      <c r="M171">
        <v>15.799999999999983</v>
      </c>
      <c r="N171">
        <v>15.600000000000023</v>
      </c>
      <c r="O171">
        <v>15.199999999999989</v>
      </c>
      <c r="P171">
        <v>15.300000000000011</v>
      </c>
      <c r="Q171">
        <v>15.5</v>
      </c>
      <c r="R171">
        <v>15.399999999999977</v>
      </c>
      <c r="S171">
        <f>Tableau1[[#This Row],[Final_time]]-SUM(Tableau1[[#This Row],[0_100m]:[1300_1400m]])</f>
        <v>15.530000000000001</v>
      </c>
      <c r="T171">
        <v>233.23</v>
      </c>
      <c r="U171">
        <f t="shared" si="4"/>
        <v>233.23</v>
      </c>
      <c r="V171">
        <f t="shared" si="5"/>
        <v>0</v>
      </c>
      <c r="W171" s="12"/>
      <c r="X171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1" t="s">
        <v>314</v>
      </c>
      <c r="Z171" t="s">
        <v>43</v>
      </c>
      <c r="AB171" t="s">
        <v>65</v>
      </c>
      <c r="AC171" s="2">
        <v>44429</v>
      </c>
      <c r="AD171">
        <v>2021</v>
      </c>
      <c r="AE171">
        <v>22</v>
      </c>
      <c r="AF171" s="5">
        <v>0.45</v>
      </c>
      <c r="AG171" s="3" t="s">
        <v>62</v>
      </c>
    </row>
    <row r="172" spans="1:33" hidden="1" x14ac:dyDescent="0.35">
      <c r="A172" t="str">
        <f>_xlfn.CONCAT(Tableau1[[#This Row],[Athletes]],"_",Tableau1[[#This Row],[Nationality]],"_",Tableau1[[#This Row],[Competition_year]])</f>
        <v>Gaia SABBATINI_ITA_2021</v>
      </c>
      <c r="B172" t="s">
        <v>167</v>
      </c>
      <c r="C172" t="s">
        <v>47</v>
      </c>
      <c r="D172" t="s">
        <v>19</v>
      </c>
      <c r="E172">
        <v>15.5</v>
      </c>
      <c r="F172">
        <v>15.899999999999999</v>
      </c>
      <c r="G172">
        <v>16.100000000000001</v>
      </c>
      <c r="H172">
        <v>16.799999999999997</v>
      </c>
      <c r="I172">
        <v>16</v>
      </c>
      <c r="J172">
        <v>16.100000000000009</v>
      </c>
      <c r="K172">
        <v>16.099999999999994</v>
      </c>
      <c r="L172">
        <v>16.400000000000006</v>
      </c>
      <c r="M172">
        <v>16.799999999999983</v>
      </c>
      <c r="N172">
        <v>16.900000000000006</v>
      </c>
      <c r="O172">
        <v>16.5</v>
      </c>
      <c r="P172">
        <v>16.599999999999994</v>
      </c>
      <c r="Q172">
        <v>16.800000000000011</v>
      </c>
      <c r="R172">
        <v>16</v>
      </c>
      <c r="S172">
        <f>Tableau1[[#This Row],[Final_time]]-SUM(Tableau1[[#This Row],[0_100m]:[1300_1400m]])</f>
        <v>16.050000000000011</v>
      </c>
      <c r="T172">
        <v>244.55</v>
      </c>
      <c r="U172">
        <f t="shared" si="4"/>
        <v>244.55</v>
      </c>
      <c r="V172">
        <f t="shared" si="5"/>
        <v>0</v>
      </c>
      <c r="W172" s="12"/>
      <c r="X172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2" t="s">
        <v>314</v>
      </c>
      <c r="Z172" t="s">
        <v>43</v>
      </c>
      <c r="AB172" t="s">
        <v>65</v>
      </c>
      <c r="AC172" s="2">
        <v>44429</v>
      </c>
      <c r="AD172">
        <v>2021</v>
      </c>
      <c r="AE172">
        <v>22</v>
      </c>
      <c r="AF172" s="5">
        <v>0.45</v>
      </c>
      <c r="AG172" s="3" t="s">
        <v>62</v>
      </c>
    </row>
    <row r="173" spans="1:33" hidden="1" x14ac:dyDescent="0.35">
      <c r="A173" t="str">
        <f>_xlfn.CONCAT(Tableau1[[#This Row],[Athletes]],"_",Tableau1[[#This Row],[Nationality]],"_",Tableau1[[#This Row],[Competition_year]])</f>
        <v>Winnie NANYONDO_UGA_2021</v>
      </c>
      <c r="B173" t="s">
        <v>241</v>
      </c>
      <c r="C173" t="s">
        <v>47</v>
      </c>
      <c r="D173" t="s">
        <v>52</v>
      </c>
      <c r="E173">
        <v>15.1</v>
      </c>
      <c r="F173">
        <v>15.700000000000001</v>
      </c>
      <c r="G173">
        <v>16.400000000000002</v>
      </c>
      <c r="H173">
        <v>16.399999999999999</v>
      </c>
      <c r="I173">
        <v>15.800000000000004</v>
      </c>
      <c r="J173">
        <v>15.899999999999991</v>
      </c>
      <c r="K173">
        <v>15.799999999999997</v>
      </c>
      <c r="L173">
        <v>16.300000000000011</v>
      </c>
      <c r="M173">
        <v>16.400000000000006</v>
      </c>
      <c r="N173">
        <v>16.399999999999977</v>
      </c>
      <c r="O173">
        <v>16.200000000000017</v>
      </c>
      <c r="P173">
        <v>16.400000000000006</v>
      </c>
      <c r="Q173">
        <v>15.899999999999977</v>
      </c>
      <c r="R173">
        <v>15.900000000000006</v>
      </c>
      <c r="S173">
        <f>Tableau1[[#This Row],[Final_time]]-SUM(Tableau1[[#This Row],[0_100m]:[1300_1400m]])</f>
        <v>16.120000000000005</v>
      </c>
      <c r="T173">
        <v>240.72</v>
      </c>
      <c r="U173">
        <f t="shared" si="4"/>
        <v>240.72</v>
      </c>
      <c r="V173">
        <f t="shared" si="5"/>
        <v>0</v>
      </c>
      <c r="W173" s="12"/>
      <c r="X173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3" t="s">
        <v>314</v>
      </c>
      <c r="Z173" t="s">
        <v>43</v>
      </c>
      <c r="AB173" t="s">
        <v>65</v>
      </c>
      <c r="AC173" s="2">
        <v>44429</v>
      </c>
      <c r="AD173">
        <v>2021</v>
      </c>
      <c r="AE173">
        <v>22</v>
      </c>
      <c r="AF173" s="5">
        <v>0.45</v>
      </c>
      <c r="AG173" s="3" t="s">
        <v>62</v>
      </c>
    </row>
    <row r="174" spans="1:33" hidden="1" x14ac:dyDescent="0.35">
      <c r="A174" t="str">
        <f>_xlfn.CONCAT(Tableau1[[#This Row],[Athletes]],"_",Tableau1[[#This Row],[Nationality]],"_",Tableau1[[#This Row],[Competition_year]])</f>
        <v>Shannon OSIKA_USA_2021</v>
      </c>
      <c r="B174" t="s">
        <v>1240</v>
      </c>
      <c r="C174" t="s">
        <v>47</v>
      </c>
      <c r="D174" t="s">
        <v>51</v>
      </c>
      <c r="E174">
        <v>15.4</v>
      </c>
      <c r="F174">
        <v>15.9</v>
      </c>
      <c r="G174">
        <v>16.599999999999998</v>
      </c>
      <c r="H174">
        <v>16.500000000000007</v>
      </c>
      <c r="I174">
        <v>16.099999999999994</v>
      </c>
      <c r="J174">
        <v>16.200000000000003</v>
      </c>
      <c r="K174">
        <v>15.799999999999997</v>
      </c>
      <c r="L174">
        <v>15.900000000000006</v>
      </c>
      <c r="M174">
        <v>15.799999999999983</v>
      </c>
      <c r="N174">
        <v>16.400000000000006</v>
      </c>
      <c r="O174">
        <v>16</v>
      </c>
      <c r="P174">
        <v>16.599999999999994</v>
      </c>
      <c r="Q174">
        <v>15.800000000000011</v>
      </c>
      <c r="R174">
        <v>15.800000000000011</v>
      </c>
      <c r="S174">
        <f>Tableau1[[#This Row],[Final_time]]-SUM(Tableau1[[#This Row],[0_100m]:[1300_1400m]])</f>
        <v>16.359999999999985</v>
      </c>
      <c r="T174">
        <v>241.16</v>
      </c>
      <c r="U174">
        <f t="shared" si="4"/>
        <v>241.16</v>
      </c>
      <c r="V174">
        <f t="shared" si="5"/>
        <v>0</v>
      </c>
      <c r="W174" s="12"/>
      <c r="X174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4" t="s">
        <v>314</v>
      </c>
      <c r="Z174" t="s">
        <v>43</v>
      </c>
      <c r="AB174" t="s">
        <v>65</v>
      </c>
      <c r="AC174" s="2">
        <v>44429</v>
      </c>
      <c r="AD174">
        <v>2021</v>
      </c>
      <c r="AE174">
        <v>22</v>
      </c>
      <c r="AF174" s="5">
        <v>0.45</v>
      </c>
      <c r="AG174" s="3" t="s">
        <v>62</v>
      </c>
    </row>
    <row r="175" spans="1:33" hidden="1" x14ac:dyDescent="0.35">
      <c r="A175" t="str">
        <f>_xlfn.CONCAT(Tableau1[[#This Row],[Athletes]],"_",Tableau1[[#This Row],[Nationality]],"_",Tableau1[[#This Row],[Competition_year]])</f>
        <v>Tigist KETEMA_ETH_2021</v>
      </c>
      <c r="B175" t="s">
        <v>361</v>
      </c>
      <c r="C175" t="s">
        <v>47</v>
      </c>
      <c r="D175" t="s">
        <v>48</v>
      </c>
      <c r="E175">
        <v>15.2</v>
      </c>
      <c r="F175">
        <v>15.900000000000002</v>
      </c>
      <c r="G175">
        <v>16.600000000000001</v>
      </c>
      <c r="H175">
        <v>16.099999999999994</v>
      </c>
      <c r="I175">
        <v>15.900000000000006</v>
      </c>
      <c r="J175">
        <v>15.799999999999997</v>
      </c>
      <c r="K175">
        <v>15.900000000000006</v>
      </c>
      <c r="L175">
        <v>16.199999999999989</v>
      </c>
      <c r="M175">
        <v>16.400000000000006</v>
      </c>
      <c r="N175">
        <v>15.900000000000006</v>
      </c>
      <c r="O175">
        <v>16</v>
      </c>
      <c r="P175">
        <v>17.199999999999989</v>
      </c>
      <c r="Q175">
        <v>16.400000000000006</v>
      </c>
      <c r="R175">
        <v>16.5</v>
      </c>
      <c r="S175">
        <f>Tableau1[[#This Row],[Final_time]]-SUM(Tableau1[[#This Row],[0_100m]:[1300_1400m]])</f>
        <v>16.439999999999998</v>
      </c>
      <c r="T175">
        <v>242.44</v>
      </c>
      <c r="U175">
        <f t="shared" si="4"/>
        <v>242.44</v>
      </c>
      <c r="V175">
        <f t="shared" si="5"/>
        <v>0</v>
      </c>
      <c r="W175" s="12"/>
      <c r="X175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5" t="s">
        <v>314</v>
      </c>
      <c r="Z175" t="s">
        <v>43</v>
      </c>
      <c r="AB175" t="s">
        <v>65</v>
      </c>
      <c r="AC175" s="2">
        <v>44429</v>
      </c>
      <c r="AD175">
        <v>2021</v>
      </c>
      <c r="AE175">
        <v>22</v>
      </c>
      <c r="AF175" s="5">
        <v>0.45</v>
      </c>
      <c r="AG175" s="3" t="s">
        <v>62</v>
      </c>
    </row>
    <row r="176" spans="1:33" hidden="1" x14ac:dyDescent="0.35">
      <c r="A176" t="str">
        <f>_xlfn.CONCAT(Tableau1[[#This Row],[Athletes]],"_",Tableau1[[#This Row],[Nationality]],"_",Tableau1[[#This Row],[Competition_year]])</f>
        <v>Jessica HULL_AUS_2021</v>
      </c>
      <c r="B176" t="s">
        <v>187</v>
      </c>
      <c r="C176" t="s">
        <v>47</v>
      </c>
      <c r="D176" t="s">
        <v>21</v>
      </c>
      <c r="E176">
        <v>15</v>
      </c>
      <c r="F176">
        <v>15.8</v>
      </c>
      <c r="G176">
        <v>16.3</v>
      </c>
      <c r="H176">
        <v>16.299999999999997</v>
      </c>
      <c r="I176">
        <v>15.800000000000004</v>
      </c>
      <c r="J176">
        <v>15.700000000000003</v>
      </c>
      <c r="K176">
        <v>15.799999999999997</v>
      </c>
      <c r="L176">
        <v>16.700000000000003</v>
      </c>
      <c r="M176">
        <v>16.199999999999989</v>
      </c>
      <c r="N176">
        <v>16.400000000000006</v>
      </c>
      <c r="O176">
        <v>16.300000000000011</v>
      </c>
      <c r="P176">
        <v>17.399999999999977</v>
      </c>
      <c r="Q176">
        <v>17.5</v>
      </c>
      <c r="R176">
        <v>17.300000000000011</v>
      </c>
      <c r="S176">
        <f>Tableau1[[#This Row],[Final_time]]-SUM(Tableau1[[#This Row],[0_100m]:[1300_1400m]])</f>
        <v>16.830000000000013</v>
      </c>
      <c r="T176">
        <v>245.33</v>
      </c>
      <c r="U176">
        <f t="shared" si="4"/>
        <v>245.33</v>
      </c>
      <c r="V176">
        <f t="shared" si="5"/>
        <v>0</v>
      </c>
      <c r="W176" s="12"/>
      <c r="X176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6" t="s">
        <v>314</v>
      </c>
      <c r="Z176" t="s">
        <v>43</v>
      </c>
      <c r="AB176" t="s">
        <v>65</v>
      </c>
      <c r="AC176" s="2">
        <v>44429</v>
      </c>
      <c r="AD176">
        <v>2021</v>
      </c>
      <c r="AE176">
        <v>22</v>
      </c>
      <c r="AF176" s="5">
        <v>0.45</v>
      </c>
      <c r="AG176" s="3" t="s">
        <v>62</v>
      </c>
    </row>
    <row r="177" spans="1:33" hidden="1" x14ac:dyDescent="0.35">
      <c r="A177" t="str">
        <f>_xlfn.CONCAT(Tableau1[[#This Row],[Athletes]],"_",Tableau1[[#This Row],[Nationality]],"_",Tableau1[[#This Row],[Competition_year]])</f>
        <v>Edinah JEBITOK_KEN_2021</v>
      </c>
      <c r="B177" t="s">
        <v>155</v>
      </c>
      <c r="C177" t="s">
        <v>47</v>
      </c>
      <c r="D177" t="s">
        <v>17</v>
      </c>
      <c r="E177">
        <v>15.4</v>
      </c>
      <c r="F177">
        <v>15.6</v>
      </c>
      <c r="G177">
        <v>16.100000000000001</v>
      </c>
      <c r="H177">
        <v>16</v>
      </c>
      <c r="I177">
        <v>15.699999999999996</v>
      </c>
      <c r="J177">
        <v>15.700000000000003</v>
      </c>
      <c r="K177">
        <v>15.900000000000006</v>
      </c>
      <c r="L177">
        <v>16.5</v>
      </c>
      <c r="M177">
        <v>16.799999999999983</v>
      </c>
      <c r="N177">
        <v>16.900000000000006</v>
      </c>
      <c r="O177">
        <v>16.5</v>
      </c>
      <c r="P177">
        <v>16.700000000000017</v>
      </c>
      <c r="Q177">
        <v>16.5</v>
      </c>
      <c r="R177">
        <v>16.699999999999989</v>
      </c>
      <c r="S177">
        <f>Tableau1[[#This Row],[Final_time]]-SUM(Tableau1[[#This Row],[0_100m]:[1300_1400m]])</f>
        <v>17.319999999999993</v>
      </c>
      <c r="T177">
        <v>244.32</v>
      </c>
      <c r="U177">
        <f t="shared" si="4"/>
        <v>244.32</v>
      </c>
      <c r="V177">
        <f t="shared" si="5"/>
        <v>0</v>
      </c>
      <c r="W177" s="12"/>
      <c r="X177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7" t="s">
        <v>314</v>
      </c>
      <c r="Z177" t="s">
        <v>43</v>
      </c>
      <c r="AB177" t="s">
        <v>65</v>
      </c>
      <c r="AC177" s="2">
        <v>44429</v>
      </c>
      <c r="AD177">
        <v>2021</v>
      </c>
      <c r="AE177">
        <v>22</v>
      </c>
      <c r="AF177" s="5">
        <v>0.45</v>
      </c>
      <c r="AG177" s="3" t="s">
        <v>62</v>
      </c>
    </row>
    <row r="178" spans="1:33" hidden="1" x14ac:dyDescent="0.35">
      <c r="A178" t="str">
        <f>_xlfn.CONCAT(Tableau1[[#This Row],[Athletes]],"_",Tableau1[[#This Row],[Nationality]],"_",Tableau1[[#This Row],[Competition_year]])</f>
        <v>Gabriela DEBUES-STAFFORD_CAN_2021</v>
      </c>
      <c r="B178" t="s">
        <v>298</v>
      </c>
      <c r="C178" t="s">
        <v>47</v>
      </c>
      <c r="D178" t="s">
        <v>55</v>
      </c>
      <c r="E178">
        <v>15</v>
      </c>
      <c r="F178">
        <v>15.600000000000001</v>
      </c>
      <c r="G178">
        <v>16.399999999999999</v>
      </c>
      <c r="H178">
        <v>16.200000000000003</v>
      </c>
      <c r="I178">
        <v>15.799999999999997</v>
      </c>
      <c r="J178">
        <v>15.700000000000003</v>
      </c>
      <c r="K178">
        <v>15.799999999999997</v>
      </c>
      <c r="L178">
        <v>16.599999999999994</v>
      </c>
      <c r="M178">
        <v>16.099999999999994</v>
      </c>
      <c r="N178">
        <v>16.5</v>
      </c>
      <c r="O178">
        <v>16.5</v>
      </c>
      <c r="P178">
        <v>16.600000000000023</v>
      </c>
      <c r="Q178">
        <v>15.699999999999989</v>
      </c>
      <c r="R178">
        <v>15.900000000000006</v>
      </c>
      <c r="S178">
        <f>Tableau1[[#This Row],[Final_time]]-SUM(Tableau1[[#This Row],[0_100m]:[1300_1400m]])</f>
        <v>17.340000000000003</v>
      </c>
      <c r="T178">
        <v>241.74</v>
      </c>
      <c r="U178">
        <f t="shared" si="4"/>
        <v>241.74</v>
      </c>
      <c r="V178">
        <f t="shared" si="5"/>
        <v>0</v>
      </c>
      <c r="W178" s="12"/>
      <c r="X178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8" t="s">
        <v>314</v>
      </c>
      <c r="Z178" t="s">
        <v>43</v>
      </c>
      <c r="AB178" t="s">
        <v>65</v>
      </c>
      <c r="AC178" s="2">
        <v>44429</v>
      </c>
      <c r="AD178">
        <v>2021</v>
      </c>
      <c r="AE178">
        <v>22</v>
      </c>
      <c r="AF178" s="5">
        <v>0.45</v>
      </c>
      <c r="AG178" s="3" t="s">
        <v>62</v>
      </c>
    </row>
    <row r="179" spans="1:33" hidden="1" x14ac:dyDescent="0.35">
      <c r="A179" t="str">
        <f>_xlfn.CONCAT(Tableau1[[#This Row],[Athletes]],"_",Tableau1[[#This Row],[Nationality]],"_",Tableau1[[#This Row],[Competition_year]])</f>
        <v>Laura MUIR_GBR_2021</v>
      </c>
      <c r="B179" t="s">
        <v>153</v>
      </c>
      <c r="C179" t="s">
        <v>47</v>
      </c>
      <c r="D179" t="s">
        <v>20</v>
      </c>
      <c r="E179">
        <v>14.8</v>
      </c>
      <c r="F179">
        <v>15.599999999999998</v>
      </c>
      <c r="G179">
        <v>16.399999999999999</v>
      </c>
      <c r="H179">
        <v>16.200000000000003</v>
      </c>
      <c r="I179">
        <v>15.599999999999994</v>
      </c>
      <c r="J179">
        <v>15.700000000000003</v>
      </c>
      <c r="K179">
        <v>15.799999999999997</v>
      </c>
      <c r="L179">
        <v>16.400000000000006</v>
      </c>
      <c r="M179">
        <v>16.5</v>
      </c>
      <c r="N179">
        <v>16.5</v>
      </c>
      <c r="O179">
        <v>16.599999999999994</v>
      </c>
      <c r="P179">
        <v>17.200000000000017</v>
      </c>
      <c r="Q179">
        <v>17.099999999999994</v>
      </c>
      <c r="R179">
        <v>17.599999999999994</v>
      </c>
      <c r="S179">
        <f>Tableau1[[#This Row],[Final_time]]-SUM(Tableau1[[#This Row],[0_100m]:[1300_1400m]])</f>
        <v>17.919999999999987</v>
      </c>
      <c r="T179">
        <v>245.92</v>
      </c>
      <c r="U179">
        <f t="shared" si="4"/>
        <v>245.92</v>
      </c>
      <c r="V179">
        <f t="shared" si="5"/>
        <v>0</v>
      </c>
      <c r="W179" s="12"/>
      <c r="X179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79" t="s">
        <v>314</v>
      </c>
      <c r="Z179" t="s">
        <v>43</v>
      </c>
      <c r="AB179" t="s">
        <v>65</v>
      </c>
      <c r="AC179" s="2">
        <v>44429</v>
      </c>
      <c r="AD179">
        <v>2021</v>
      </c>
      <c r="AE179">
        <v>22</v>
      </c>
      <c r="AF179" s="5">
        <v>0.45</v>
      </c>
      <c r="AG179" s="3" t="s">
        <v>62</v>
      </c>
    </row>
    <row r="180" spans="1:33" hidden="1" x14ac:dyDescent="0.35">
      <c r="A180" t="str">
        <f>_xlfn.CONCAT(Tableau1[[#This Row],[Athletes]],"_",Tableau1[[#This Row],[Nationality]],"_",Tableau1[[#This Row],[Competition_year]])</f>
        <v>Winny CHEBET_KEN_2021</v>
      </c>
      <c r="B180" t="s">
        <v>139</v>
      </c>
      <c r="C180" t="s">
        <v>47</v>
      </c>
      <c r="D180" t="s">
        <v>17</v>
      </c>
      <c r="E180">
        <v>15.2</v>
      </c>
      <c r="F180">
        <f>31-Tableau1[[#This Row],[0_100m]]</f>
        <v>15.8</v>
      </c>
      <c r="G180">
        <f>47.4-SUM(Tableau1[[#This Row],[0_100m]:[100_200m]])</f>
        <v>16.399999999999999</v>
      </c>
      <c r="H180">
        <f>64.1-SUM(Tableau1[[#This Row],[0_100m]:[200_300m]])</f>
        <v>16.699999999999996</v>
      </c>
      <c r="I180">
        <f>79.8-SUM(Tableau1[[#This Row],[0_100m]:[300_400m]])</f>
        <v>15.700000000000003</v>
      </c>
      <c r="J180">
        <f>95.8-SUM(Tableau1[[#This Row],[0_100m]:[400_500m]])</f>
        <v>16</v>
      </c>
      <c r="K180">
        <f>112.1-SUM(Tableau1[[#This Row],[0_100m]:[500_600m]])</f>
        <v>16.299999999999997</v>
      </c>
      <c r="L180">
        <f>129.6-SUM(Tableau1[[#This Row],[0_100m]:[600_700m]])</f>
        <v>17.5</v>
      </c>
      <c r="M180">
        <f>148.1-SUM(Tableau1[[#This Row],[0_100m]:[700_800m]])</f>
        <v>18.5</v>
      </c>
      <c r="N180">
        <f>168.6-SUM(Tableau1[[#This Row],[0_100m]:[800_900m]])</f>
        <v>20.5</v>
      </c>
      <c r="O180">
        <f>189.2-SUM(Tableau1[[#This Row],[0_100m]:[900_1000m]])</f>
        <v>20.599999999999994</v>
      </c>
      <c r="P180">
        <f>209.6-SUM(Tableau1[[#This Row],[0_100m]:[1000_1100m]])</f>
        <v>20.400000000000006</v>
      </c>
      <c r="Q180">
        <f>229.9-SUM(Tableau1[[#This Row],[0_100m]:[1100_1200m]])</f>
        <v>20.300000000000011</v>
      </c>
      <c r="R180">
        <f>249.6-SUM(Tableau1[[#This Row],[0_100m]:[1200_1300m]])</f>
        <v>19.699999999999989</v>
      </c>
      <c r="S180">
        <f>Tableau1[[#This Row],[Final_time]]-SUM(Tableau1[[#This Row],[0_100m]:[1300_1400m]])</f>
        <v>19.400000000000006</v>
      </c>
      <c r="T180">
        <v>269</v>
      </c>
      <c r="U180">
        <f t="shared" si="4"/>
        <v>269</v>
      </c>
      <c r="V180">
        <f t="shared" si="5"/>
        <v>0</v>
      </c>
      <c r="W180" s="12"/>
      <c r="X180" t="str">
        <f>_xlfn.CONCAT(Tableau1[[#This Row],[Competition]],"_",Tableau1[[#This Row],[Championship_step]],"_",Tableau1[[#This Row],[Competition_date]],"_",Tableau1[[#This Row],[Gender]])</f>
        <v>Diamond League Eugene 2021__44429_Female</v>
      </c>
      <c r="Y180" t="s">
        <v>314</v>
      </c>
      <c r="Z180" t="s">
        <v>43</v>
      </c>
      <c r="AB180" t="s">
        <v>65</v>
      </c>
      <c r="AC180" s="2">
        <v>44429</v>
      </c>
      <c r="AD180">
        <v>2021</v>
      </c>
      <c r="AE180">
        <v>22</v>
      </c>
      <c r="AF180" s="5">
        <v>0.45</v>
      </c>
      <c r="AG180" s="3" t="s">
        <v>62</v>
      </c>
    </row>
    <row r="181" spans="1:33" hidden="1" x14ac:dyDescent="0.35">
      <c r="A181" t="str">
        <f>_xlfn.CONCAT(Tableau1[[#This Row],[Athletes]],"_",Tableau1[[#This Row],[Nationality]],"_",Tableau1[[#This Row],[Competition_year]])</f>
        <v>Faith KIPYEGON_KEN_2022</v>
      </c>
      <c r="B181" t="s">
        <v>164</v>
      </c>
      <c r="C181" t="s">
        <v>47</v>
      </c>
      <c r="D181" t="s">
        <v>17</v>
      </c>
      <c r="E181">
        <v>14.8</v>
      </c>
      <c r="F181">
        <v>16</v>
      </c>
      <c r="G181">
        <v>14.999999999999996</v>
      </c>
      <c r="H181">
        <v>15.400000000000006</v>
      </c>
      <c r="I181">
        <v>15.700000000000003</v>
      </c>
      <c r="J181">
        <v>15.299999999999997</v>
      </c>
      <c r="K181">
        <v>15.799999999999997</v>
      </c>
      <c r="L181">
        <v>16</v>
      </c>
      <c r="M181">
        <v>16.300000000000011</v>
      </c>
      <c r="N181">
        <v>15.699999999999989</v>
      </c>
      <c r="O181">
        <v>16.099999999999994</v>
      </c>
      <c r="P181">
        <v>15.800000000000011</v>
      </c>
      <c r="Q181">
        <v>15.400000000000006</v>
      </c>
      <c r="R181">
        <v>14.599999999999994</v>
      </c>
      <c r="S181">
        <f>Tableau1[[#This Row],[Final_time]]-SUM(Tableau1[[#This Row],[0_100m]:[1300_1400m]])</f>
        <v>14.689999999999998</v>
      </c>
      <c r="T181">
        <v>232.59</v>
      </c>
      <c r="U181">
        <f t="shared" si="4"/>
        <v>232.59</v>
      </c>
      <c r="V181">
        <f t="shared" si="5"/>
        <v>0</v>
      </c>
      <c r="W181" s="12"/>
      <c r="X181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1" t="s">
        <v>362</v>
      </c>
      <c r="Z181" s="2" t="s">
        <v>43</v>
      </c>
      <c r="AA181" s="2"/>
      <c r="AB181" s="2" t="s">
        <v>65</v>
      </c>
      <c r="AC181" s="2">
        <v>44709</v>
      </c>
      <c r="AD181">
        <v>2022</v>
      </c>
      <c r="AE181" s="3">
        <v>16</v>
      </c>
      <c r="AF181" s="5">
        <v>0.85</v>
      </c>
      <c r="AG181" s="3" t="s">
        <v>94</v>
      </c>
    </row>
    <row r="182" spans="1:33" hidden="1" x14ac:dyDescent="0.35">
      <c r="A182" t="str">
        <f>_xlfn.CONCAT(Tableau1[[#This Row],[Athletes]],"_",Tableau1[[#This Row],[Nationality]],"_",Tableau1[[#This Row],[Competition_year]])</f>
        <v>Sinclaire JOHNSON_USA_2022</v>
      </c>
      <c r="B182" t="s">
        <v>185</v>
      </c>
      <c r="C182" t="s">
        <v>47</v>
      </c>
      <c r="D182" t="s">
        <v>51</v>
      </c>
      <c r="E182">
        <v>14.9</v>
      </c>
      <c r="F182">
        <v>16.100000000000001</v>
      </c>
      <c r="G182">
        <v>15.600000000000001</v>
      </c>
      <c r="H182">
        <v>16.100000000000001</v>
      </c>
      <c r="I182">
        <v>16.599999999999994</v>
      </c>
      <c r="J182">
        <v>16.5</v>
      </c>
      <c r="K182">
        <v>16.600000000000009</v>
      </c>
      <c r="L182">
        <v>16.900000000000006</v>
      </c>
      <c r="M182">
        <v>16.5</v>
      </c>
      <c r="N182">
        <v>15.899999999999977</v>
      </c>
      <c r="O182">
        <v>16.100000000000023</v>
      </c>
      <c r="P182">
        <v>15.699999999999989</v>
      </c>
      <c r="Q182">
        <v>15.199999999999989</v>
      </c>
      <c r="R182">
        <v>15</v>
      </c>
      <c r="S182">
        <f>Tableau1[[#This Row],[Final_time]]-SUM(Tableau1[[#This Row],[0_100m]:[1300_1400m]])</f>
        <v>15.150000000000006</v>
      </c>
      <c r="T182">
        <v>238.85</v>
      </c>
      <c r="U182">
        <f t="shared" si="4"/>
        <v>238.85</v>
      </c>
      <c r="V182">
        <f t="shared" si="5"/>
        <v>0</v>
      </c>
      <c r="W182" s="12"/>
      <c r="X182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2" t="s">
        <v>362</v>
      </c>
      <c r="Z182" s="2" t="s">
        <v>43</v>
      </c>
      <c r="AA182" s="2"/>
      <c r="AB182" s="2" t="s">
        <v>65</v>
      </c>
      <c r="AC182" s="2">
        <v>44709</v>
      </c>
      <c r="AD182">
        <v>2022</v>
      </c>
      <c r="AE182" s="3">
        <v>16</v>
      </c>
      <c r="AF182" s="5">
        <v>0.85</v>
      </c>
      <c r="AG182" s="3" t="s">
        <v>94</v>
      </c>
    </row>
    <row r="183" spans="1:33" hidden="1" x14ac:dyDescent="0.35">
      <c r="A183" t="str">
        <f>_xlfn.CONCAT(Tableau1[[#This Row],[Athletes]],"_",Tableau1[[#This Row],[Nationality]],"_",Tableau1[[#This Row],[Competition_year]])</f>
        <v>Gudaf TSEGAY_ETH_2022</v>
      </c>
      <c r="B183" t="s">
        <v>138</v>
      </c>
      <c r="C183" t="s">
        <v>47</v>
      </c>
      <c r="D183" t="s">
        <v>48</v>
      </c>
      <c r="E183">
        <v>14.7</v>
      </c>
      <c r="F183">
        <v>15.900000000000002</v>
      </c>
      <c r="G183">
        <v>15</v>
      </c>
      <c r="H183">
        <v>15.399999999999999</v>
      </c>
      <c r="I183">
        <v>15.700000000000003</v>
      </c>
      <c r="J183">
        <v>15.299999999999997</v>
      </c>
      <c r="K183">
        <v>15.799999999999997</v>
      </c>
      <c r="L183">
        <v>16.100000000000009</v>
      </c>
      <c r="M183">
        <v>16.199999999999989</v>
      </c>
      <c r="N183">
        <v>15.700000000000017</v>
      </c>
      <c r="O183">
        <v>16.099999999999994</v>
      </c>
      <c r="P183">
        <v>15.799999999999983</v>
      </c>
      <c r="Q183">
        <v>15.800000000000011</v>
      </c>
      <c r="R183">
        <v>15.5</v>
      </c>
      <c r="S183">
        <f>Tableau1[[#This Row],[Final_time]]-SUM(Tableau1[[#This Row],[0_100m]:[1300_1400m]])</f>
        <v>15.210000000000008</v>
      </c>
      <c r="T183">
        <v>234.21</v>
      </c>
      <c r="U183">
        <f t="shared" si="4"/>
        <v>234.21</v>
      </c>
      <c r="V183">
        <f t="shared" si="5"/>
        <v>0</v>
      </c>
      <c r="W183" s="12"/>
      <c r="X183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3" t="s">
        <v>362</v>
      </c>
      <c r="Z183" s="2" t="s">
        <v>43</v>
      </c>
      <c r="AA183" s="2"/>
      <c r="AB183" s="2" t="s">
        <v>65</v>
      </c>
      <c r="AC183" s="2">
        <v>44709</v>
      </c>
      <c r="AD183">
        <v>2022</v>
      </c>
      <c r="AE183" s="3">
        <v>16</v>
      </c>
      <c r="AF183" s="5">
        <v>0.85</v>
      </c>
      <c r="AG183" s="3" t="s">
        <v>94</v>
      </c>
    </row>
    <row r="184" spans="1:33" hidden="1" x14ac:dyDescent="0.35">
      <c r="A184" t="str">
        <f>_xlfn.CONCAT(Tableau1[[#This Row],[Athletes]],"_",Tableau1[[#This Row],[Nationality]],"_",Tableau1[[#This Row],[Competition_year]])</f>
        <v>Elle ST. PIERRE_USA_2022</v>
      </c>
      <c r="B184" t="s">
        <v>247</v>
      </c>
      <c r="C184" t="s">
        <v>47</v>
      </c>
      <c r="D184" t="s">
        <v>51</v>
      </c>
      <c r="E184">
        <v>15.2</v>
      </c>
      <c r="F184">
        <v>16.100000000000001</v>
      </c>
      <c r="G184">
        <v>15.8</v>
      </c>
      <c r="H184">
        <v>16.100000000000001</v>
      </c>
      <c r="I184">
        <v>16.399999999999991</v>
      </c>
      <c r="J184">
        <v>16.900000000000006</v>
      </c>
      <c r="K184">
        <v>16.400000000000006</v>
      </c>
      <c r="L184">
        <v>16.799999999999983</v>
      </c>
      <c r="M184">
        <v>16.400000000000006</v>
      </c>
      <c r="N184">
        <v>16</v>
      </c>
      <c r="O184">
        <v>16</v>
      </c>
      <c r="P184">
        <v>15.5</v>
      </c>
      <c r="Q184">
        <v>15.5</v>
      </c>
      <c r="R184">
        <v>15.300000000000011</v>
      </c>
      <c r="S184">
        <f>Tableau1[[#This Row],[Final_time]]-SUM(Tableau1[[#This Row],[0_100m]:[1300_1400m]])</f>
        <v>15.280000000000001</v>
      </c>
      <c r="T184">
        <v>239.68</v>
      </c>
      <c r="U184">
        <f t="shared" si="4"/>
        <v>239.68</v>
      </c>
      <c r="V184">
        <f t="shared" si="5"/>
        <v>0</v>
      </c>
      <c r="W184" s="12"/>
      <c r="X184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4" t="s">
        <v>362</v>
      </c>
      <c r="Z184" s="2" t="s">
        <v>43</v>
      </c>
      <c r="AA184" s="2"/>
      <c r="AB184" s="2" t="s">
        <v>65</v>
      </c>
      <c r="AC184" s="2">
        <v>44709</v>
      </c>
      <c r="AD184">
        <v>2022</v>
      </c>
      <c r="AE184" s="3">
        <v>16</v>
      </c>
      <c r="AF184" s="5">
        <v>0.85</v>
      </c>
      <c r="AG184" s="3" t="s">
        <v>94</v>
      </c>
    </row>
    <row r="185" spans="1:33" hidden="1" x14ac:dyDescent="0.35">
      <c r="A185" t="str">
        <f>_xlfn.CONCAT(Tableau1[[#This Row],[Athletes]],"_",Tableau1[[#This Row],[Nationality]],"_",Tableau1[[#This Row],[Competition_year]])</f>
        <v>Gabriela DEBUES-STAFFORD_CAN_2022</v>
      </c>
      <c r="B185" t="s">
        <v>298</v>
      </c>
      <c r="C185" t="s">
        <v>47</v>
      </c>
      <c r="D185" t="s">
        <v>55</v>
      </c>
      <c r="E185">
        <v>14.9</v>
      </c>
      <c r="F185">
        <v>16.100000000000001</v>
      </c>
      <c r="G185">
        <v>15.700000000000003</v>
      </c>
      <c r="H185">
        <v>16.099999999999994</v>
      </c>
      <c r="I185">
        <v>16.5</v>
      </c>
      <c r="J185">
        <v>16.5</v>
      </c>
      <c r="K185">
        <v>16.5</v>
      </c>
      <c r="L185">
        <v>16.799999999999997</v>
      </c>
      <c r="M185">
        <v>16.5</v>
      </c>
      <c r="N185">
        <v>15.900000000000006</v>
      </c>
      <c r="O185">
        <v>16.199999999999989</v>
      </c>
      <c r="P185">
        <v>15.600000000000023</v>
      </c>
      <c r="Q185">
        <v>15.099999999999994</v>
      </c>
      <c r="R185">
        <v>14.900000000000006</v>
      </c>
      <c r="S185">
        <f>Tableau1[[#This Row],[Final_time]]-SUM(Tableau1[[#This Row],[0_100m]:[1300_1400m]])</f>
        <v>15.319999999999993</v>
      </c>
      <c r="T185">
        <v>238.62</v>
      </c>
      <c r="U185">
        <f t="shared" si="4"/>
        <v>238.62</v>
      </c>
      <c r="V185">
        <f t="shared" si="5"/>
        <v>0</v>
      </c>
      <c r="W185" s="12"/>
      <c r="X185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5" t="s">
        <v>362</v>
      </c>
      <c r="Z185" s="2" t="s">
        <v>43</v>
      </c>
      <c r="AA185" s="2"/>
      <c r="AB185" s="2" t="s">
        <v>65</v>
      </c>
      <c r="AC185" s="2">
        <v>44709</v>
      </c>
      <c r="AD185">
        <v>2022</v>
      </c>
      <c r="AE185" s="3">
        <v>16</v>
      </c>
      <c r="AF185" s="5">
        <v>0.85</v>
      </c>
      <c r="AG185" s="3" t="s">
        <v>94</v>
      </c>
    </row>
    <row r="186" spans="1:33" hidden="1" x14ac:dyDescent="0.35">
      <c r="A186" t="str">
        <f>_xlfn.CONCAT(Tableau1[[#This Row],[Athletes]],"_",Tableau1[[#This Row],[Nationality]],"_",Tableau1[[#This Row],[Competition_year]])</f>
        <v>Jessica HULL_AUS_2022</v>
      </c>
      <c r="B186" t="s">
        <v>187</v>
      </c>
      <c r="C186" t="s">
        <v>47</v>
      </c>
      <c r="D186" t="s">
        <v>21</v>
      </c>
      <c r="E186">
        <v>15</v>
      </c>
      <c r="F186">
        <v>16.2</v>
      </c>
      <c r="G186">
        <v>15.599999999999998</v>
      </c>
      <c r="H186">
        <v>15.700000000000003</v>
      </c>
      <c r="I186">
        <v>16.5</v>
      </c>
      <c r="J186">
        <v>16.599999999999994</v>
      </c>
      <c r="K186">
        <v>16.5</v>
      </c>
      <c r="L186">
        <v>16.900000000000006</v>
      </c>
      <c r="M186">
        <v>16.5</v>
      </c>
      <c r="N186">
        <v>15.800000000000011</v>
      </c>
      <c r="O186">
        <v>16.199999999999989</v>
      </c>
      <c r="P186">
        <v>15.800000000000011</v>
      </c>
      <c r="Q186">
        <v>15.399999999999977</v>
      </c>
      <c r="R186">
        <v>15.200000000000017</v>
      </c>
      <c r="S186">
        <f>Tableau1[[#This Row],[Final_time]]-SUM(Tableau1[[#This Row],[0_100m]:[1300_1400m]])</f>
        <v>15.409999999999997</v>
      </c>
      <c r="T186">
        <v>239.31</v>
      </c>
      <c r="U186">
        <f t="shared" si="4"/>
        <v>239.31</v>
      </c>
      <c r="V186">
        <f t="shared" si="5"/>
        <v>0</v>
      </c>
      <c r="W186" s="12"/>
      <c r="X186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6" t="s">
        <v>362</v>
      </c>
      <c r="Z186" s="2" t="s">
        <v>43</v>
      </c>
      <c r="AA186" s="2"/>
      <c r="AB186" s="2" t="s">
        <v>65</v>
      </c>
      <c r="AC186" s="2">
        <v>44709</v>
      </c>
      <c r="AD186">
        <v>2022</v>
      </c>
      <c r="AE186" s="3">
        <v>16</v>
      </c>
      <c r="AF186" s="5">
        <v>0.85</v>
      </c>
      <c r="AG186" s="3" t="s">
        <v>94</v>
      </c>
    </row>
    <row r="187" spans="1:33" hidden="1" x14ac:dyDescent="0.35">
      <c r="A187" t="str">
        <f>_xlfn.CONCAT(Tableau1[[#This Row],[Athletes]],"_",Tableau1[[#This Row],[Nationality]],"_",Tableau1[[#This Row],[Competition_year]])</f>
        <v>Cory Ann MCGEE_USA_2022</v>
      </c>
      <c r="B187" t="s">
        <v>181</v>
      </c>
      <c r="C187" t="s">
        <v>47</v>
      </c>
      <c r="D187" t="s">
        <v>51</v>
      </c>
      <c r="E187">
        <v>15.3</v>
      </c>
      <c r="F187">
        <v>16.3</v>
      </c>
      <c r="G187">
        <v>15.699999999999996</v>
      </c>
      <c r="H187">
        <v>16.100000000000001</v>
      </c>
      <c r="I187">
        <v>16.399999999999999</v>
      </c>
      <c r="J187">
        <v>16.900000000000006</v>
      </c>
      <c r="K187">
        <v>16.399999999999991</v>
      </c>
      <c r="L187">
        <v>16.700000000000017</v>
      </c>
      <c r="M187">
        <v>16.699999999999989</v>
      </c>
      <c r="N187">
        <v>16.099999999999994</v>
      </c>
      <c r="O187">
        <v>15.599999999999994</v>
      </c>
      <c r="P187">
        <v>15.600000000000023</v>
      </c>
      <c r="Q187">
        <v>15.5</v>
      </c>
      <c r="R187">
        <v>15.299999999999983</v>
      </c>
      <c r="S187">
        <f>Tableau1[[#This Row],[Final_time]]-SUM(Tableau1[[#This Row],[0_100m]:[1300_1400m]])</f>
        <v>15.740000000000009</v>
      </c>
      <c r="T187">
        <v>240.34</v>
      </c>
      <c r="U187">
        <f t="shared" si="4"/>
        <v>240.34</v>
      </c>
      <c r="V187">
        <f t="shared" si="5"/>
        <v>0</v>
      </c>
      <c r="W187" s="12"/>
      <c r="X187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7" t="s">
        <v>362</v>
      </c>
      <c r="Z187" s="2" t="s">
        <v>43</v>
      </c>
      <c r="AA187" s="2"/>
      <c r="AB187" s="2" t="s">
        <v>65</v>
      </c>
      <c r="AC187" s="2">
        <v>44709</v>
      </c>
      <c r="AD187">
        <v>2022</v>
      </c>
      <c r="AE187" s="3">
        <v>16</v>
      </c>
      <c r="AF187" s="5">
        <v>0.85</v>
      </c>
      <c r="AG187" s="3" t="s">
        <v>94</v>
      </c>
    </row>
    <row r="188" spans="1:33" hidden="1" x14ac:dyDescent="0.35">
      <c r="A188" t="str">
        <f>_xlfn.CONCAT(Tableau1[[#This Row],[Athletes]],"_",Tableau1[[#This Row],[Nationality]],"_",Tableau1[[#This Row],[Competition_year]])</f>
        <v>Winnie NANYONDO_UGA_2022</v>
      </c>
      <c r="B188" t="s">
        <v>241</v>
      </c>
      <c r="C188" t="s">
        <v>47</v>
      </c>
      <c r="D188" t="s">
        <v>52</v>
      </c>
      <c r="E188">
        <v>15.1</v>
      </c>
      <c r="F188">
        <v>16.299999999999997</v>
      </c>
      <c r="G188">
        <v>15.600000000000001</v>
      </c>
      <c r="H188">
        <v>16</v>
      </c>
      <c r="I188">
        <v>16.400000000000006</v>
      </c>
      <c r="J188">
        <v>16.599999999999994</v>
      </c>
      <c r="K188">
        <v>16.5</v>
      </c>
      <c r="L188">
        <v>16.800000000000011</v>
      </c>
      <c r="M188">
        <v>16.5</v>
      </c>
      <c r="N188">
        <v>16</v>
      </c>
      <c r="O188">
        <v>16.199999999999989</v>
      </c>
      <c r="P188">
        <v>15.599999999999994</v>
      </c>
      <c r="Q188">
        <v>15.400000000000006</v>
      </c>
      <c r="R188">
        <v>15.099999999999994</v>
      </c>
      <c r="S188">
        <f>Tableau1[[#This Row],[Final_time]]-SUM(Tableau1[[#This Row],[0_100m]:[1300_1400m]])</f>
        <v>16.150000000000006</v>
      </c>
      <c r="T188">
        <v>240.25</v>
      </c>
      <c r="U188">
        <f t="shared" si="4"/>
        <v>240.25</v>
      </c>
      <c r="V188">
        <f t="shared" si="5"/>
        <v>0</v>
      </c>
      <c r="W188" s="12"/>
      <c r="X188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8" t="s">
        <v>362</v>
      </c>
      <c r="Z188" s="2" t="s">
        <v>43</v>
      </c>
      <c r="AA188" s="2"/>
      <c r="AB188" s="2" t="s">
        <v>65</v>
      </c>
      <c r="AC188" s="2">
        <v>44709</v>
      </c>
      <c r="AD188">
        <v>2022</v>
      </c>
      <c r="AE188" s="3">
        <v>16</v>
      </c>
      <c r="AF188" s="5">
        <v>0.85</v>
      </c>
      <c r="AG188" s="3" t="s">
        <v>94</v>
      </c>
    </row>
    <row r="189" spans="1:33" hidden="1" x14ac:dyDescent="0.35">
      <c r="A189" t="str">
        <f>_xlfn.CONCAT(Tableau1[[#This Row],[Athletes]],"_",Tableau1[[#This Row],[Nationality]],"_",Tableau1[[#This Row],[Competition_year]])</f>
        <v>Gaia SABBATINI_ITA_2022</v>
      </c>
      <c r="B189" t="s">
        <v>167</v>
      </c>
      <c r="C189" t="s">
        <v>47</v>
      </c>
      <c r="D189" t="s">
        <v>19</v>
      </c>
      <c r="E189">
        <v>15.5</v>
      </c>
      <c r="F189">
        <v>16.2</v>
      </c>
      <c r="G189">
        <v>15.8</v>
      </c>
      <c r="H189">
        <v>16.100000000000001</v>
      </c>
      <c r="I189">
        <v>16.399999999999999</v>
      </c>
      <c r="J189">
        <v>16.900000000000006</v>
      </c>
      <c r="K189">
        <v>16.399999999999991</v>
      </c>
      <c r="L189">
        <v>16.600000000000009</v>
      </c>
      <c r="M189">
        <v>16.400000000000006</v>
      </c>
      <c r="N189">
        <v>16.099999999999994</v>
      </c>
      <c r="O189">
        <v>16.400000000000006</v>
      </c>
      <c r="P189">
        <v>15.299999999999983</v>
      </c>
      <c r="Q189">
        <v>15.800000000000011</v>
      </c>
      <c r="R189">
        <v>15.799999999999983</v>
      </c>
      <c r="S189">
        <f>Tableau1[[#This Row],[Final_time]]-SUM(Tableau1[[#This Row],[0_100m]:[1300_1400m]])</f>
        <v>16.230000000000018</v>
      </c>
      <c r="T189">
        <v>241.93</v>
      </c>
      <c r="U189">
        <f t="shared" si="4"/>
        <v>241.93</v>
      </c>
      <c r="V189">
        <f t="shared" si="5"/>
        <v>0</v>
      </c>
      <c r="W189" s="12"/>
      <c r="X189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89" t="s">
        <v>362</v>
      </c>
      <c r="Z189" s="2" t="s">
        <v>43</v>
      </c>
      <c r="AA189" s="2"/>
      <c r="AB189" s="2" t="s">
        <v>65</v>
      </c>
      <c r="AC189" s="2">
        <v>44709</v>
      </c>
      <c r="AD189">
        <v>2022</v>
      </c>
      <c r="AE189" s="3">
        <v>16</v>
      </c>
      <c r="AF189" s="5">
        <v>0.85</v>
      </c>
      <c r="AG189" s="3" t="s">
        <v>94</v>
      </c>
    </row>
    <row r="190" spans="1:33" hidden="1" x14ac:dyDescent="0.35">
      <c r="A190" t="str">
        <f>_xlfn.CONCAT(Tableau1[[#This Row],[Athletes]],"_",Tableau1[[#This Row],[Nationality]],"_",Tableau1[[#This Row],[Competition_year]])</f>
        <v>Freweyni HAILU_ETH_2022</v>
      </c>
      <c r="B190" t="s">
        <v>144</v>
      </c>
      <c r="C190" t="s">
        <v>47</v>
      </c>
      <c r="D190" t="s">
        <v>48</v>
      </c>
      <c r="E190">
        <v>15.2</v>
      </c>
      <c r="F190">
        <v>15.8</v>
      </c>
      <c r="G190">
        <v>15.200000000000003</v>
      </c>
      <c r="H190">
        <v>16</v>
      </c>
      <c r="I190">
        <v>16.700000000000003</v>
      </c>
      <c r="J190">
        <v>16.5</v>
      </c>
      <c r="K190">
        <v>16.599999999999994</v>
      </c>
      <c r="L190">
        <v>16.900000000000006</v>
      </c>
      <c r="M190">
        <v>17.099999999999994</v>
      </c>
      <c r="N190">
        <v>16.199999999999989</v>
      </c>
      <c r="O190">
        <v>15.800000000000011</v>
      </c>
      <c r="P190">
        <v>15.400000000000006</v>
      </c>
      <c r="Q190">
        <v>15.199999999999989</v>
      </c>
      <c r="R190">
        <v>15</v>
      </c>
      <c r="S190">
        <f>Tableau1[[#This Row],[Final_time]]-SUM(Tableau1[[#This Row],[0_100m]:[1300_1400m]])</f>
        <v>16.370000000000005</v>
      </c>
      <c r="T190">
        <v>239.97</v>
      </c>
      <c r="U190">
        <f t="shared" si="4"/>
        <v>239.97</v>
      </c>
      <c r="V190">
        <f t="shared" si="5"/>
        <v>0</v>
      </c>
      <c r="W190" s="12"/>
      <c r="X190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90" t="s">
        <v>362</v>
      </c>
      <c r="Z190" s="2" t="s">
        <v>43</v>
      </c>
      <c r="AA190" s="2"/>
      <c r="AB190" s="2" t="s">
        <v>65</v>
      </c>
      <c r="AC190" s="2">
        <v>44709</v>
      </c>
      <c r="AD190">
        <v>2022</v>
      </c>
      <c r="AE190" s="3">
        <v>16</v>
      </c>
      <c r="AF190" s="5">
        <v>0.85</v>
      </c>
      <c r="AG190" s="3" t="s">
        <v>94</v>
      </c>
    </row>
    <row r="191" spans="1:33" hidden="1" x14ac:dyDescent="0.35">
      <c r="A191" t="str">
        <f>_xlfn.CONCAT(Tableau1[[#This Row],[Athletes]],"_",Tableau1[[#This Row],[Nationality]],"_",Tableau1[[#This Row],[Competition_year]])</f>
        <v>Aurore FLEURY_FRA_2022</v>
      </c>
      <c r="B191" t="s">
        <v>360</v>
      </c>
      <c r="C191" t="s">
        <v>47</v>
      </c>
      <c r="D191" t="s">
        <v>18</v>
      </c>
      <c r="E191">
        <v>15.7</v>
      </c>
      <c r="F191">
        <v>16.100000000000001</v>
      </c>
      <c r="G191">
        <v>15.900000000000002</v>
      </c>
      <c r="H191">
        <v>16</v>
      </c>
      <c r="I191">
        <v>16.599999999999994</v>
      </c>
      <c r="J191">
        <v>16.799999999999997</v>
      </c>
      <c r="K191">
        <v>16.5</v>
      </c>
      <c r="L191">
        <v>16.800000000000011</v>
      </c>
      <c r="M191">
        <v>16.799999999999983</v>
      </c>
      <c r="N191">
        <v>16.5</v>
      </c>
      <c r="O191">
        <v>17</v>
      </c>
      <c r="P191">
        <v>16.400000000000006</v>
      </c>
      <c r="Q191">
        <v>16.099999999999994</v>
      </c>
      <c r="R191">
        <v>15.900000000000006</v>
      </c>
      <c r="S191">
        <f>Tableau1[[#This Row],[Final_time]]-SUM(Tableau1[[#This Row],[0_100m]:[1300_1400m]])</f>
        <v>16.700000000000017</v>
      </c>
      <c r="T191">
        <v>245.8</v>
      </c>
      <c r="U191">
        <f t="shared" si="4"/>
        <v>245.8</v>
      </c>
      <c r="V191">
        <f t="shared" si="5"/>
        <v>0</v>
      </c>
      <c r="W191" s="12"/>
      <c r="X191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91" t="s">
        <v>362</v>
      </c>
      <c r="Z191" s="2" t="s">
        <v>43</v>
      </c>
      <c r="AA191" s="2"/>
      <c r="AB191" s="2" t="s">
        <v>65</v>
      </c>
      <c r="AC191" s="2">
        <v>44709</v>
      </c>
      <c r="AD191">
        <v>2022</v>
      </c>
      <c r="AE191" s="3">
        <v>16</v>
      </c>
      <c r="AF191" s="5">
        <v>0.85</v>
      </c>
      <c r="AG191" s="3" t="s">
        <v>94</v>
      </c>
    </row>
    <row r="192" spans="1:33" hidden="1" x14ac:dyDescent="0.35">
      <c r="A192" t="str">
        <f>_xlfn.CONCAT(Tableau1[[#This Row],[Athletes]],"_",Tableau1[[#This Row],[Nationality]],"_",Tableau1[[#This Row],[Competition_year]])</f>
        <v>Tigist KETEMA_ETH_2022</v>
      </c>
      <c r="B192" t="s">
        <v>361</v>
      </c>
      <c r="C192" t="s">
        <v>47</v>
      </c>
      <c r="D192" t="s">
        <v>48</v>
      </c>
      <c r="E192">
        <v>15.2</v>
      </c>
      <c r="F192">
        <v>16.100000000000001</v>
      </c>
      <c r="G192">
        <v>15.099999999999998</v>
      </c>
      <c r="H192">
        <v>16.100000000000001</v>
      </c>
      <c r="I192">
        <v>16.599999999999994</v>
      </c>
      <c r="J192">
        <v>17.200000000000003</v>
      </c>
      <c r="K192">
        <v>16.700000000000003</v>
      </c>
      <c r="L192">
        <v>17.099999999999994</v>
      </c>
      <c r="M192">
        <v>16.400000000000006</v>
      </c>
      <c r="N192">
        <v>16.5</v>
      </c>
      <c r="O192">
        <v>16.800000000000011</v>
      </c>
      <c r="P192">
        <v>16.399999999999977</v>
      </c>
      <c r="Q192">
        <v>16.400000000000006</v>
      </c>
      <c r="R192">
        <v>16.900000000000006</v>
      </c>
      <c r="S192">
        <f>Tableau1[[#This Row],[Final_time]]-SUM(Tableau1[[#This Row],[0_100m]:[1300_1400m]])</f>
        <v>17.090000000000003</v>
      </c>
      <c r="T192">
        <v>246.59</v>
      </c>
      <c r="U192">
        <f t="shared" si="4"/>
        <v>246.59</v>
      </c>
      <c r="V192">
        <f t="shared" si="5"/>
        <v>0</v>
      </c>
      <c r="W192" s="12"/>
      <c r="X192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92" t="s">
        <v>362</v>
      </c>
      <c r="Z192" s="2" t="s">
        <v>43</v>
      </c>
      <c r="AA192" s="2"/>
      <c r="AB192" s="2" t="s">
        <v>65</v>
      </c>
      <c r="AC192" s="2">
        <v>44709</v>
      </c>
      <c r="AD192">
        <v>2022</v>
      </c>
      <c r="AE192" s="3">
        <v>16</v>
      </c>
      <c r="AF192" s="5">
        <v>0.85</v>
      </c>
      <c r="AG192" s="3" t="s">
        <v>94</v>
      </c>
    </row>
    <row r="193" spans="1:33" hidden="1" x14ac:dyDescent="0.35">
      <c r="A193" t="str">
        <f>_xlfn.CONCAT(Tableau1[[#This Row],[Athletes]],"_",Tableau1[[#This Row],[Nationality]],"_",Tableau1[[#This Row],[Competition_year]])</f>
        <v>Josette ANDREWS_USA_2022</v>
      </c>
      <c r="B193" t="s">
        <v>296</v>
      </c>
      <c r="C193" t="s">
        <v>47</v>
      </c>
      <c r="D193" t="s">
        <v>51</v>
      </c>
      <c r="E193">
        <v>15.3</v>
      </c>
      <c r="F193">
        <v>16.3</v>
      </c>
      <c r="G193">
        <v>15.699999999999996</v>
      </c>
      <c r="H193">
        <v>16</v>
      </c>
      <c r="I193">
        <v>16.5</v>
      </c>
      <c r="J193">
        <v>16.799999999999997</v>
      </c>
      <c r="K193">
        <v>16.100000000000009</v>
      </c>
      <c r="L193">
        <v>16.799999999999997</v>
      </c>
      <c r="M193">
        <v>16.199999999999989</v>
      </c>
      <c r="N193">
        <v>16.5</v>
      </c>
      <c r="O193">
        <v>16.400000000000006</v>
      </c>
      <c r="P193">
        <v>16.300000000000011</v>
      </c>
      <c r="Q193">
        <v>16.599999999999994</v>
      </c>
      <c r="R193">
        <v>17.199999999999989</v>
      </c>
      <c r="S193">
        <f>Tableau1[[#This Row],[Final_time]]-SUM(Tableau1[[#This Row],[0_100m]:[1300_1400m]])</f>
        <v>17.430000000000007</v>
      </c>
      <c r="T193">
        <v>246.13</v>
      </c>
      <c r="U193">
        <f t="shared" si="4"/>
        <v>246.13</v>
      </c>
      <c r="V193">
        <f t="shared" si="5"/>
        <v>0</v>
      </c>
      <c r="W193" s="12"/>
      <c r="X193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93" t="s">
        <v>362</v>
      </c>
      <c r="Z193" s="2" t="s">
        <v>43</v>
      </c>
      <c r="AA193" s="2"/>
      <c r="AB193" s="2" t="s">
        <v>65</v>
      </c>
      <c r="AC193" s="2">
        <v>44709</v>
      </c>
      <c r="AD193">
        <v>2022</v>
      </c>
      <c r="AE193" s="3">
        <v>16</v>
      </c>
      <c r="AF193" s="5">
        <v>0.85</v>
      </c>
      <c r="AG193" s="3" t="s">
        <v>94</v>
      </c>
    </row>
    <row r="194" spans="1:33" hidden="1" x14ac:dyDescent="0.35">
      <c r="A194" t="str">
        <f>_xlfn.CONCAT(Tableau1[[#This Row],[Athletes]],"_",Tableau1[[#This Row],[Nationality]],"_",Tableau1[[#This Row],[Competition_year]])</f>
        <v>Nozomi TANAKA_JPN_2022</v>
      </c>
      <c r="B194" t="s">
        <v>157</v>
      </c>
      <c r="C194" t="s">
        <v>47</v>
      </c>
      <c r="D194" t="s">
        <v>69</v>
      </c>
      <c r="E194">
        <v>15.4</v>
      </c>
      <c r="F194">
        <v>16.299999999999997</v>
      </c>
      <c r="G194">
        <v>15.400000000000002</v>
      </c>
      <c r="H194">
        <v>15.899999999999999</v>
      </c>
      <c r="I194">
        <v>16.599999999999994</v>
      </c>
      <c r="J194">
        <v>16.700000000000003</v>
      </c>
      <c r="K194">
        <v>16.400000000000006</v>
      </c>
      <c r="L194">
        <v>16.799999999999997</v>
      </c>
      <c r="M194">
        <v>16.800000000000011</v>
      </c>
      <c r="N194">
        <v>16.599999999999994</v>
      </c>
      <c r="O194">
        <v>16.400000000000006</v>
      </c>
      <c r="P194">
        <v>16.599999999999994</v>
      </c>
      <c r="Q194">
        <v>16.900000000000006</v>
      </c>
      <c r="R194">
        <v>17.099999999999994</v>
      </c>
      <c r="S194">
        <f>Tableau1[[#This Row],[Final_time]]-SUM(Tableau1[[#This Row],[0_100m]:[1300_1400m]])</f>
        <v>17.53</v>
      </c>
      <c r="T194">
        <v>247.43</v>
      </c>
      <c r="U194">
        <f t="shared" ref="U194:U257" si="6">SUM(E194:S194)</f>
        <v>247.43</v>
      </c>
      <c r="V194">
        <f t="shared" ref="V194:V257" si="7">ABS(U194-T194)</f>
        <v>0</v>
      </c>
      <c r="W194" s="12"/>
      <c r="X194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94" t="s">
        <v>362</v>
      </c>
      <c r="Z194" s="2" t="s">
        <v>43</v>
      </c>
      <c r="AA194" s="2"/>
      <c r="AB194" s="2" t="s">
        <v>65</v>
      </c>
      <c r="AC194" s="2">
        <v>44709</v>
      </c>
      <c r="AD194">
        <v>2022</v>
      </c>
      <c r="AE194" s="3">
        <v>16</v>
      </c>
      <c r="AF194" s="5">
        <v>0.85</v>
      </c>
      <c r="AG194" s="3" t="s">
        <v>94</v>
      </c>
    </row>
    <row r="195" spans="1:33" hidden="1" x14ac:dyDescent="0.35">
      <c r="A195" t="str">
        <f>_xlfn.CONCAT(Tableau1[[#This Row],[Athletes]],"_",Tableau1[[#This Row],[Nationality]],"_",Tableau1[[#This Row],[Competition_year]])</f>
        <v>Laura MUIR_GBR_2022</v>
      </c>
      <c r="B195" t="s">
        <v>153</v>
      </c>
      <c r="C195" t="s">
        <v>47</v>
      </c>
      <c r="D195" t="s">
        <v>20</v>
      </c>
      <c r="E195">
        <v>15</v>
      </c>
      <c r="F195">
        <v>16.3</v>
      </c>
      <c r="G195">
        <v>15.2</v>
      </c>
      <c r="H195">
        <v>15.799999999999997</v>
      </c>
      <c r="I195">
        <v>16.700000000000003</v>
      </c>
      <c r="J195">
        <v>16.599999999999994</v>
      </c>
      <c r="K195">
        <v>16.5</v>
      </c>
      <c r="L195">
        <v>16.900000000000006</v>
      </c>
      <c r="M195">
        <v>16.400000000000006</v>
      </c>
      <c r="N195">
        <v>15.699999999999989</v>
      </c>
      <c r="O195">
        <v>16.200000000000017</v>
      </c>
      <c r="P195">
        <v>15.799999999999983</v>
      </c>
      <c r="Q195">
        <v>16.400000000000006</v>
      </c>
      <c r="R195">
        <v>17.099999999999994</v>
      </c>
      <c r="S195">
        <f>Tableau1[[#This Row],[Final_time]]-SUM(Tableau1[[#This Row],[0_100m]:[1300_1400m]])</f>
        <v>17.849999999999994</v>
      </c>
      <c r="T195">
        <v>244.45</v>
      </c>
      <c r="U195">
        <f t="shared" si="6"/>
        <v>244.45</v>
      </c>
      <c r="V195">
        <f t="shared" si="7"/>
        <v>0</v>
      </c>
      <c r="W195" s="12"/>
      <c r="X195" t="str">
        <f>_xlfn.CONCAT(Tableau1[[#This Row],[Competition]],"_",Tableau1[[#This Row],[Championship_step]],"_",Tableau1[[#This Row],[Competition_date]],"_",Tableau1[[#This Row],[Gender]])</f>
        <v>Diamond League Eugene 2022__44709_Female</v>
      </c>
      <c r="Y195" t="s">
        <v>362</v>
      </c>
      <c r="Z195" s="2" t="s">
        <v>43</v>
      </c>
      <c r="AA195" s="2"/>
      <c r="AB195" s="2" t="s">
        <v>65</v>
      </c>
      <c r="AC195" s="2">
        <v>44709</v>
      </c>
      <c r="AD195">
        <v>2022</v>
      </c>
      <c r="AE195" s="3">
        <v>16</v>
      </c>
      <c r="AF195" s="5">
        <v>0.85</v>
      </c>
      <c r="AG195" s="3" t="s">
        <v>94</v>
      </c>
    </row>
    <row r="196" spans="1:33" hidden="1" x14ac:dyDescent="0.35">
      <c r="A196" t="str">
        <f>_xlfn.CONCAT(Tableau1[[#This Row],[Athletes]],"_",Tableau1[[#This Row],[Nationality]],"_",Tableau1[[#This Row],[Competition_year]])</f>
        <v>Samuel TANNER_NZL_2022</v>
      </c>
      <c r="B196" t="s">
        <v>203</v>
      </c>
      <c r="C196" t="s">
        <v>16</v>
      </c>
      <c r="D196" t="s">
        <v>118</v>
      </c>
      <c r="E196">
        <v>13.7</v>
      </c>
      <c r="F196">
        <v>14.2</v>
      </c>
      <c r="G196">
        <v>14.399999999999999</v>
      </c>
      <c r="H196">
        <v>14.300000000000004</v>
      </c>
      <c r="I196">
        <v>14.499999999999993</v>
      </c>
      <c r="J196">
        <v>14.600000000000009</v>
      </c>
      <c r="K196">
        <v>14.799999999999997</v>
      </c>
      <c r="L196">
        <v>14.400000000000006</v>
      </c>
      <c r="M196">
        <v>14.5</v>
      </c>
      <c r="N196">
        <v>14.099999999999994</v>
      </c>
      <c r="O196">
        <v>14.400000000000006</v>
      </c>
      <c r="P196">
        <v>14.199999999999989</v>
      </c>
      <c r="Q196">
        <v>14.300000000000011</v>
      </c>
      <c r="R196">
        <v>14.199999999999989</v>
      </c>
      <c r="S196">
        <f>Tableau1[[#This Row],[Final_time]]-SUM(Tableau1[[#This Row],[0_100m]:[1300_1400m]])</f>
        <v>13.77000000000001</v>
      </c>
      <c r="T196">
        <v>214.37</v>
      </c>
      <c r="U196">
        <f t="shared" si="6"/>
        <v>214.37</v>
      </c>
      <c r="V196">
        <f t="shared" si="7"/>
        <v>0</v>
      </c>
      <c r="W196" s="12"/>
      <c r="X196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196" t="s">
        <v>362</v>
      </c>
      <c r="Z196" s="2" t="s">
        <v>43</v>
      </c>
      <c r="AA196" s="2"/>
      <c r="AB196" s="2" t="s">
        <v>65</v>
      </c>
      <c r="AC196" s="2">
        <v>44709</v>
      </c>
      <c r="AD196">
        <v>2022</v>
      </c>
      <c r="AE196" s="3">
        <v>14</v>
      </c>
      <c r="AF196" s="5">
        <v>0.93</v>
      </c>
      <c r="AG196" s="3" t="s">
        <v>94</v>
      </c>
    </row>
    <row r="197" spans="1:33" hidden="1" x14ac:dyDescent="0.35">
      <c r="A197" t="str">
        <f>_xlfn.CONCAT(Tableau1[[#This Row],[Athletes]],"_",Tableau1[[#This Row],[Nationality]],"_",Tableau1[[#This Row],[Competition_year]])</f>
        <v>Marc SCOTT_GBR_2022</v>
      </c>
      <c r="B197" t="s">
        <v>368</v>
      </c>
      <c r="C197" t="s">
        <v>16</v>
      </c>
      <c r="D197" t="s">
        <v>20</v>
      </c>
      <c r="E197">
        <v>14</v>
      </c>
      <c r="F197">
        <v>14.600000000000001</v>
      </c>
      <c r="G197">
        <v>14.699999999999996</v>
      </c>
      <c r="H197">
        <v>14.600000000000001</v>
      </c>
      <c r="I197">
        <v>14.600000000000001</v>
      </c>
      <c r="J197">
        <v>14.700000000000003</v>
      </c>
      <c r="K197">
        <v>15</v>
      </c>
      <c r="L197">
        <v>14.599999999999994</v>
      </c>
      <c r="M197">
        <v>14.799999999999997</v>
      </c>
      <c r="N197">
        <v>14.800000000000011</v>
      </c>
      <c r="O197">
        <v>14.599999999999994</v>
      </c>
      <c r="P197">
        <v>14.400000000000006</v>
      </c>
      <c r="Q197">
        <v>14.299999999999983</v>
      </c>
      <c r="R197">
        <v>14.200000000000017</v>
      </c>
      <c r="S197">
        <f>Tableau1[[#This Row],[Final_time]]-SUM(Tableau1[[#This Row],[0_100m]:[1300_1400m]])</f>
        <v>13.780000000000001</v>
      </c>
      <c r="T197">
        <v>217.68</v>
      </c>
      <c r="U197">
        <f t="shared" si="6"/>
        <v>217.68</v>
      </c>
      <c r="V197">
        <f t="shared" si="7"/>
        <v>0</v>
      </c>
      <c r="W197" s="12"/>
      <c r="X197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197" t="s">
        <v>362</v>
      </c>
      <c r="Z197" s="2" t="s">
        <v>43</v>
      </c>
      <c r="AA197" s="2"/>
      <c r="AB197" s="2" t="s">
        <v>65</v>
      </c>
      <c r="AC197" s="2">
        <v>44709</v>
      </c>
      <c r="AD197">
        <v>2022</v>
      </c>
      <c r="AE197" s="3">
        <v>14</v>
      </c>
      <c r="AF197" s="5">
        <v>0.93</v>
      </c>
      <c r="AG197" s="3" t="s">
        <v>94</v>
      </c>
    </row>
    <row r="198" spans="1:33" hidden="1" x14ac:dyDescent="0.35">
      <c r="A198" t="str">
        <f>_xlfn.CONCAT(Tableau1[[#This Row],[Athletes]],"_",Tableau1[[#This Row],[Nationality]],"_",Tableau1[[#This Row],[Competition_year]])</f>
        <v>Hobbs KESSLER_USA_2022</v>
      </c>
      <c r="B198" t="s">
        <v>365</v>
      </c>
      <c r="C198" t="s">
        <v>16</v>
      </c>
      <c r="D198" t="s">
        <v>51</v>
      </c>
      <c r="E198">
        <v>13.8</v>
      </c>
      <c r="F198">
        <v>14.399999999999999</v>
      </c>
      <c r="G198">
        <v>14.7</v>
      </c>
      <c r="H198">
        <v>14.600000000000001</v>
      </c>
      <c r="I198">
        <v>14.599999999999994</v>
      </c>
      <c r="J198">
        <v>14.600000000000009</v>
      </c>
      <c r="K198">
        <v>15</v>
      </c>
      <c r="L198">
        <v>14.399999999999991</v>
      </c>
      <c r="M198">
        <v>14.599999999999994</v>
      </c>
      <c r="N198">
        <v>14.5</v>
      </c>
      <c r="O198">
        <v>14.5</v>
      </c>
      <c r="P198">
        <v>14.400000000000006</v>
      </c>
      <c r="Q198">
        <v>14.300000000000011</v>
      </c>
      <c r="R198">
        <v>14</v>
      </c>
      <c r="S198">
        <f>Tableau1[[#This Row],[Final_time]]-SUM(Tableau1[[#This Row],[0_100m]:[1300_1400m]])</f>
        <v>14.22999999999999</v>
      </c>
      <c r="T198">
        <v>216.63</v>
      </c>
      <c r="U198">
        <f t="shared" si="6"/>
        <v>216.63</v>
      </c>
      <c r="V198">
        <f t="shared" si="7"/>
        <v>0</v>
      </c>
      <c r="W198" s="12"/>
      <c r="X198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198" t="s">
        <v>362</v>
      </c>
      <c r="Z198" s="2" t="s">
        <v>43</v>
      </c>
      <c r="AA198" s="2"/>
      <c r="AB198" s="2" t="s">
        <v>65</v>
      </c>
      <c r="AC198" s="2">
        <v>44709</v>
      </c>
      <c r="AD198">
        <v>2022</v>
      </c>
      <c r="AE198" s="3">
        <v>14</v>
      </c>
      <c r="AF198" s="5">
        <v>0.93</v>
      </c>
      <c r="AG198" s="3" t="s">
        <v>94</v>
      </c>
    </row>
    <row r="199" spans="1:33" hidden="1" x14ac:dyDescent="0.35">
      <c r="A199" t="str">
        <f>_xlfn.CONCAT(Tableau1[[#This Row],[Athletes]],"_",Tableau1[[#This Row],[Nationality]],"_",Tableau1[[#This Row],[Competition_year]])</f>
        <v>Neil GOURLEY_GBR_2022</v>
      </c>
      <c r="B199" t="s">
        <v>202</v>
      </c>
      <c r="C199" t="s">
        <v>16</v>
      </c>
      <c r="D199" t="s">
        <v>20</v>
      </c>
      <c r="E199">
        <v>13.7</v>
      </c>
      <c r="F199">
        <v>14</v>
      </c>
      <c r="G199">
        <v>14.400000000000002</v>
      </c>
      <c r="H199">
        <v>14.299999999999997</v>
      </c>
      <c r="I199">
        <v>14.399999999999999</v>
      </c>
      <c r="J199">
        <v>14.799999999999997</v>
      </c>
      <c r="K199">
        <v>14.600000000000009</v>
      </c>
      <c r="L199">
        <v>14.5</v>
      </c>
      <c r="M199">
        <v>14.399999999999991</v>
      </c>
      <c r="N199">
        <v>14.200000000000017</v>
      </c>
      <c r="O199">
        <v>14.299999999999983</v>
      </c>
      <c r="P199">
        <v>14.300000000000011</v>
      </c>
      <c r="Q199">
        <v>14.299999999999983</v>
      </c>
      <c r="R199">
        <v>14.400000000000006</v>
      </c>
      <c r="S199">
        <f>Tableau1[[#This Row],[Final_time]]-SUM(Tableau1[[#This Row],[0_100m]:[1300_1400m]])</f>
        <v>14.25</v>
      </c>
      <c r="T199">
        <v>214.85</v>
      </c>
      <c r="U199">
        <f t="shared" si="6"/>
        <v>214.85</v>
      </c>
      <c r="V199">
        <f t="shared" si="7"/>
        <v>0</v>
      </c>
      <c r="W199" s="12"/>
      <c r="X199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199" t="s">
        <v>362</v>
      </c>
      <c r="Z199" s="2" t="s">
        <v>43</v>
      </c>
      <c r="AA199" s="2"/>
      <c r="AB199" s="2" t="s">
        <v>65</v>
      </c>
      <c r="AC199" s="2">
        <v>44709</v>
      </c>
      <c r="AD199">
        <v>2022</v>
      </c>
      <c r="AE199" s="3">
        <v>14</v>
      </c>
      <c r="AF199" s="5">
        <v>0.93</v>
      </c>
      <c r="AG199" s="3" t="s">
        <v>94</v>
      </c>
    </row>
    <row r="200" spans="1:33" hidden="1" x14ac:dyDescent="0.35">
      <c r="A200" t="str">
        <f>_xlfn.CONCAT(Tableau1[[#This Row],[Athletes]],"_",Tableau1[[#This Row],[Nationality]],"_",Tableau1[[#This Row],[Competition_year]])</f>
        <v>Vincent CIATTEI_USA_2022</v>
      </c>
      <c r="B200" t="s">
        <v>363</v>
      </c>
      <c r="C200" t="s">
        <v>16</v>
      </c>
      <c r="D200" t="s">
        <v>51</v>
      </c>
      <c r="E200">
        <v>13.9</v>
      </c>
      <c r="F200">
        <v>14.200000000000001</v>
      </c>
      <c r="G200">
        <v>14.399999999999999</v>
      </c>
      <c r="H200">
        <v>14.399999999999999</v>
      </c>
      <c r="I200">
        <v>14.399999999999999</v>
      </c>
      <c r="J200">
        <v>14.600000000000009</v>
      </c>
      <c r="K200">
        <v>14.799999999999997</v>
      </c>
      <c r="L200">
        <v>14.399999999999991</v>
      </c>
      <c r="M200">
        <v>14.5</v>
      </c>
      <c r="N200">
        <v>14.200000000000017</v>
      </c>
      <c r="O200">
        <v>14.299999999999983</v>
      </c>
      <c r="P200">
        <v>14.200000000000017</v>
      </c>
      <c r="Q200">
        <v>14.299999999999983</v>
      </c>
      <c r="R200">
        <v>14.200000000000017</v>
      </c>
      <c r="S200">
        <f>Tableau1[[#This Row],[Final_time]]-SUM(Tableau1[[#This Row],[0_100m]:[1300_1400m]])</f>
        <v>14.269999999999982</v>
      </c>
      <c r="T200">
        <v>215.07</v>
      </c>
      <c r="U200">
        <f t="shared" si="6"/>
        <v>215.07</v>
      </c>
      <c r="V200">
        <f t="shared" si="7"/>
        <v>0</v>
      </c>
      <c r="W200" s="12"/>
      <c r="X200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0" t="s">
        <v>362</v>
      </c>
      <c r="Z200" s="2" t="s">
        <v>43</v>
      </c>
      <c r="AA200" s="2"/>
      <c r="AB200" s="2" t="s">
        <v>65</v>
      </c>
      <c r="AC200" s="2">
        <v>44709</v>
      </c>
      <c r="AD200">
        <v>2022</v>
      </c>
      <c r="AE200" s="3">
        <v>14</v>
      </c>
      <c r="AF200" s="5">
        <v>0.93</v>
      </c>
      <c r="AG200" s="3" t="s">
        <v>94</v>
      </c>
    </row>
    <row r="201" spans="1:33" hidden="1" x14ac:dyDescent="0.35">
      <c r="A201" t="str">
        <f>_xlfn.CONCAT(Tableau1[[#This Row],[Athletes]],"_",Tableau1[[#This Row],[Nationality]],"_",Tableau1[[#This Row],[Competition_year]])</f>
        <v>Samuel PRAKEL_USA_2022</v>
      </c>
      <c r="B201" t="s">
        <v>364</v>
      </c>
      <c r="C201" t="s">
        <v>16</v>
      </c>
      <c r="D201" t="s">
        <v>51</v>
      </c>
      <c r="E201">
        <v>13.9</v>
      </c>
      <c r="F201">
        <v>14.4</v>
      </c>
      <c r="G201">
        <v>14.499999999999996</v>
      </c>
      <c r="H201">
        <v>14.600000000000001</v>
      </c>
      <c r="I201">
        <v>14.600000000000001</v>
      </c>
      <c r="J201">
        <v>14.599999999999994</v>
      </c>
      <c r="K201">
        <v>14.800000000000011</v>
      </c>
      <c r="L201">
        <v>14.5</v>
      </c>
      <c r="M201">
        <v>14.599999999999994</v>
      </c>
      <c r="N201">
        <v>14.5</v>
      </c>
      <c r="O201">
        <v>14.400000000000006</v>
      </c>
      <c r="P201">
        <v>14.099999999999994</v>
      </c>
      <c r="Q201">
        <v>14.099999999999994</v>
      </c>
      <c r="R201">
        <v>14.400000000000006</v>
      </c>
      <c r="S201">
        <f>Tableau1[[#This Row],[Final_time]]-SUM(Tableau1[[#This Row],[0_100m]:[1300_1400m]])</f>
        <v>14.430000000000007</v>
      </c>
      <c r="T201">
        <v>216.43</v>
      </c>
      <c r="U201">
        <f t="shared" si="6"/>
        <v>216.43</v>
      </c>
      <c r="V201">
        <f t="shared" si="7"/>
        <v>0</v>
      </c>
      <c r="W201" s="12"/>
      <c r="X201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1" t="s">
        <v>362</v>
      </c>
      <c r="Z201" s="2" t="s">
        <v>43</v>
      </c>
      <c r="AA201" s="2"/>
      <c r="AB201" s="2" t="s">
        <v>65</v>
      </c>
      <c r="AC201" s="2">
        <v>44709</v>
      </c>
      <c r="AD201">
        <v>2022</v>
      </c>
      <c r="AE201" s="3">
        <v>14</v>
      </c>
      <c r="AF201" s="5">
        <v>0.93</v>
      </c>
      <c r="AG201" s="3" t="s">
        <v>94</v>
      </c>
    </row>
    <row r="202" spans="1:33" hidden="1" x14ac:dyDescent="0.35">
      <c r="A202" t="str">
        <f>_xlfn.CONCAT(Tableau1[[#This Row],[Athletes]],"_",Tableau1[[#This Row],[Nationality]],"_",Tableau1[[#This Row],[Competition_year]])</f>
        <v>James WEST_GBR_2022</v>
      </c>
      <c r="B202" t="s">
        <v>369</v>
      </c>
      <c r="C202" t="s">
        <v>16</v>
      </c>
      <c r="D202" t="s">
        <v>20</v>
      </c>
      <c r="E202">
        <v>13.9</v>
      </c>
      <c r="F202">
        <v>14.499999999999998</v>
      </c>
      <c r="G202">
        <v>14.700000000000003</v>
      </c>
      <c r="H202">
        <v>14.600000000000001</v>
      </c>
      <c r="I202">
        <v>14.599999999999994</v>
      </c>
      <c r="J202">
        <v>14.700000000000003</v>
      </c>
      <c r="K202">
        <v>15</v>
      </c>
      <c r="L202">
        <v>14.400000000000006</v>
      </c>
      <c r="M202">
        <v>14.599999999999994</v>
      </c>
      <c r="N202">
        <v>14.5</v>
      </c>
      <c r="O202">
        <v>14.599999999999994</v>
      </c>
      <c r="P202">
        <v>14.400000000000006</v>
      </c>
      <c r="Q202">
        <v>14.599999999999994</v>
      </c>
      <c r="R202">
        <v>14.5</v>
      </c>
      <c r="S202">
        <f>Tableau1[[#This Row],[Final_time]]-SUM(Tableau1[[#This Row],[0_100m]:[1300_1400m]])</f>
        <v>14.840000000000003</v>
      </c>
      <c r="T202">
        <v>218.44</v>
      </c>
      <c r="U202">
        <f t="shared" si="6"/>
        <v>218.44</v>
      </c>
      <c r="V202">
        <f t="shared" si="7"/>
        <v>0</v>
      </c>
      <c r="W202" s="12"/>
      <c r="X202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2" t="s">
        <v>362</v>
      </c>
      <c r="Z202" s="2" t="s">
        <v>43</v>
      </c>
      <c r="AA202" s="2"/>
      <c r="AB202" s="2" t="s">
        <v>65</v>
      </c>
      <c r="AC202" s="2">
        <v>44709</v>
      </c>
      <c r="AD202">
        <v>2022</v>
      </c>
      <c r="AE202" s="3">
        <v>14</v>
      </c>
      <c r="AF202" s="5">
        <v>0.93</v>
      </c>
      <c r="AG202" s="3" t="s">
        <v>94</v>
      </c>
    </row>
    <row r="203" spans="1:33" hidden="1" x14ac:dyDescent="0.35">
      <c r="A203" t="str">
        <f>_xlfn.CONCAT(Tableau1[[#This Row],[Athletes]],"_",Tableau1[[#This Row],[Nationality]],"_",Tableau1[[#This Row],[Competition_year]])</f>
        <v>Colby ALEXANDER_USA_2022</v>
      </c>
      <c r="B203" t="s">
        <v>366</v>
      </c>
      <c r="C203" t="s">
        <v>16</v>
      </c>
      <c r="D203" t="s">
        <v>51</v>
      </c>
      <c r="E203">
        <v>13.9</v>
      </c>
      <c r="F203">
        <v>14.499999999999998</v>
      </c>
      <c r="G203">
        <v>14.200000000000003</v>
      </c>
      <c r="H203">
        <v>14.399999999999999</v>
      </c>
      <c r="I203">
        <v>14.599999999999994</v>
      </c>
      <c r="J203">
        <v>14.5</v>
      </c>
      <c r="K203">
        <v>14.800000000000011</v>
      </c>
      <c r="L203">
        <v>14.5</v>
      </c>
      <c r="M203">
        <v>14.599999999999994</v>
      </c>
      <c r="N203">
        <v>14.400000000000006</v>
      </c>
      <c r="O203">
        <v>14.5</v>
      </c>
      <c r="P203">
        <v>14.299999999999983</v>
      </c>
      <c r="Q203">
        <v>14.5</v>
      </c>
      <c r="R203">
        <v>14.600000000000023</v>
      </c>
      <c r="S203">
        <f>Tableau1[[#This Row],[Final_time]]-SUM(Tableau1[[#This Row],[0_100m]:[1300_1400m]])</f>
        <v>14.849999999999994</v>
      </c>
      <c r="T203">
        <v>217.15</v>
      </c>
      <c r="U203">
        <f t="shared" si="6"/>
        <v>217.15</v>
      </c>
      <c r="V203">
        <f t="shared" si="7"/>
        <v>0</v>
      </c>
      <c r="W203" s="12"/>
      <c r="X203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3" t="s">
        <v>362</v>
      </c>
      <c r="Z203" s="2" t="s">
        <v>43</v>
      </c>
      <c r="AA203" s="2"/>
      <c r="AB203" s="2" t="s">
        <v>65</v>
      </c>
      <c r="AC203" s="2">
        <v>44709</v>
      </c>
      <c r="AD203">
        <v>2022</v>
      </c>
      <c r="AE203" s="3">
        <v>14</v>
      </c>
      <c r="AF203" s="5">
        <v>0.93</v>
      </c>
      <c r="AG203" s="3" t="s">
        <v>94</v>
      </c>
    </row>
    <row r="204" spans="1:33" hidden="1" x14ac:dyDescent="0.35">
      <c r="A204" t="str">
        <f>_xlfn.CONCAT(Tableau1[[#This Row],[Athletes]],"_",Tableau1[[#This Row],[Nationality]],"_",Tableau1[[#This Row],[Competition_year]])</f>
        <v>Jonas RAESS_SUI_2022</v>
      </c>
      <c r="B204" t="s">
        <v>372</v>
      </c>
      <c r="C204" t="s">
        <v>16</v>
      </c>
      <c r="D204" t="s">
        <v>87</v>
      </c>
      <c r="E204">
        <v>14.4</v>
      </c>
      <c r="F204">
        <v>14.6</v>
      </c>
      <c r="G204">
        <v>14.700000000000003</v>
      </c>
      <c r="H204">
        <v>14.599999999999994</v>
      </c>
      <c r="I204">
        <v>14.600000000000009</v>
      </c>
      <c r="J204">
        <v>14.899999999999991</v>
      </c>
      <c r="K204">
        <v>14.900000000000006</v>
      </c>
      <c r="L204">
        <v>14.899999999999991</v>
      </c>
      <c r="M204">
        <v>15</v>
      </c>
      <c r="N204">
        <v>15.099999999999994</v>
      </c>
      <c r="O204">
        <v>15.300000000000011</v>
      </c>
      <c r="P204">
        <v>14.900000000000006</v>
      </c>
      <c r="Q204">
        <v>14.799999999999983</v>
      </c>
      <c r="R204">
        <v>14.900000000000006</v>
      </c>
      <c r="S204">
        <f>Tableau1[[#This Row],[Final_time]]-SUM(Tableau1[[#This Row],[0_100m]:[1300_1400m]])</f>
        <v>14.960000000000008</v>
      </c>
      <c r="T204">
        <v>222.56</v>
      </c>
      <c r="U204">
        <f t="shared" si="6"/>
        <v>222.56</v>
      </c>
      <c r="V204">
        <f t="shared" si="7"/>
        <v>0</v>
      </c>
      <c r="W204" s="12"/>
      <c r="X204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4" t="s">
        <v>362</v>
      </c>
      <c r="Z204" s="2" t="s">
        <v>43</v>
      </c>
      <c r="AA204" s="2"/>
      <c r="AB204" s="2" t="s">
        <v>65</v>
      </c>
      <c r="AC204" s="2">
        <v>44709</v>
      </c>
      <c r="AD204">
        <v>2022</v>
      </c>
      <c r="AE204" s="3">
        <v>14</v>
      </c>
      <c r="AF204" s="5">
        <v>0.93</v>
      </c>
      <c r="AG204" s="3" t="s">
        <v>94</v>
      </c>
    </row>
    <row r="205" spans="1:33" hidden="1" x14ac:dyDescent="0.35">
      <c r="A205" t="str">
        <f>_xlfn.CONCAT(Tableau1[[#This Row],[Athletes]],"_",Tableau1[[#This Row],[Nationality]],"_",Tableau1[[#This Row],[Competition_year]])</f>
        <v>Charlie HUNTER_AUS_2022</v>
      </c>
      <c r="B205" t="s">
        <v>367</v>
      </c>
      <c r="C205" t="s">
        <v>16</v>
      </c>
      <c r="D205" t="s">
        <v>21</v>
      </c>
      <c r="E205">
        <v>14.3</v>
      </c>
      <c r="F205">
        <v>14.3</v>
      </c>
      <c r="G205">
        <v>14.600000000000001</v>
      </c>
      <c r="H205">
        <v>14.599999999999994</v>
      </c>
      <c r="I205">
        <v>14.400000000000006</v>
      </c>
      <c r="J205">
        <v>14.599999999999994</v>
      </c>
      <c r="K205">
        <v>14.900000000000006</v>
      </c>
      <c r="L205">
        <v>14.5</v>
      </c>
      <c r="M205">
        <v>14.299999999999997</v>
      </c>
      <c r="N205">
        <v>14.199999999999989</v>
      </c>
      <c r="O205">
        <v>14.5</v>
      </c>
      <c r="P205">
        <v>14.100000000000023</v>
      </c>
      <c r="Q205">
        <v>14.199999999999989</v>
      </c>
      <c r="R205">
        <v>14.400000000000006</v>
      </c>
      <c r="S205">
        <f>Tableau1[[#This Row],[Final_time]]-SUM(Tableau1[[#This Row],[0_100m]:[1300_1400m]])</f>
        <v>15.430000000000007</v>
      </c>
      <c r="T205">
        <v>217.33</v>
      </c>
      <c r="U205">
        <f t="shared" si="6"/>
        <v>217.33</v>
      </c>
      <c r="V205">
        <f t="shared" si="7"/>
        <v>0</v>
      </c>
      <c r="W205" s="12"/>
      <c r="X205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5" t="s">
        <v>362</v>
      </c>
      <c r="Z205" s="2" t="s">
        <v>43</v>
      </c>
      <c r="AA205" s="2"/>
      <c r="AB205" s="2" t="s">
        <v>65</v>
      </c>
      <c r="AC205" s="2">
        <v>44709</v>
      </c>
      <c r="AD205">
        <v>2022</v>
      </c>
      <c r="AE205" s="3">
        <v>14</v>
      </c>
      <c r="AF205" s="5">
        <v>0.93</v>
      </c>
      <c r="AG205" s="3" t="s">
        <v>94</v>
      </c>
    </row>
    <row r="206" spans="1:33" hidden="1" x14ac:dyDescent="0.35">
      <c r="A206" t="str">
        <f>_xlfn.CONCAT(Tableau1[[#This Row],[Athletes]],"_",Tableau1[[#This Row],[Nationality]],"_",Tableau1[[#This Row],[Competition_year]])</f>
        <v>Christian NOBLE_USA_2022</v>
      </c>
      <c r="B206" t="s">
        <v>370</v>
      </c>
      <c r="C206" t="s">
        <v>16</v>
      </c>
      <c r="D206" t="s">
        <v>51</v>
      </c>
      <c r="E206">
        <v>14</v>
      </c>
      <c r="F206">
        <v>14.3</v>
      </c>
      <c r="G206">
        <v>14.7</v>
      </c>
      <c r="H206">
        <v>14.5</v>
      </c>
      <c r="I206">
        <v>14.5</v>
      </c>
      <c r="J206">
        <v>14.599999999999994</v>
      </c>
      <c r="K206">
        <v>14.900000000000006</v>
      </c>
      <c r="L206">
        <v>14.599999999999994</v>
      </c>
      <c r="M206">
        <v>14.700000000000017</v>
      </c>
      <c r="N206">
        <v>14.599999999999994</v>
      </c>
      <c r="O206">
        <v>14.900000000000006</v>
      </c>
      <c r="P206">
        <v>14.199999999999989</v>
      </c>
      <c r="Q206">
        <v>14</v>
      </c>
      <c r="R206">
        <v>14.400000000000006</v>
      </c>
      <c r="S206">
        <f>Tableau1[[#This Row],[Final_time]]-SUM(Tableau1[[#This Row],[0_100m]:[1300_1400m]])</f>
        <v>16.049999999999983</v>
      </c>
      <c r="T206">
        <v>218.95</v>
      </c>
      <c r="U206">
        <f t="shared" si="6"/>
        <v>218.95</v>
      </c>
      <c r="V206">
        <f t="shared" si="7"/>
        <v>0</v>
      </c>
      <c r="W206" s="12"/>
      <c r="X206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6" t="s">
        <v>362</v>
      </c>
      <c r="Z206" s="2" t="s">
        <v>43</v>
      </c>
      <c r="AA206" s="2"/>
      <c r="AB206" s="2" t="s">
        <v>65</v>
      </c>
      <c r="AC206" s="2">
        <v>44709</v>
      </c>
      <c r="AD206">
        <v>2022</v>
      </c>
      <c r="AE206" s="3">
        <v>14</v>
      </c>
      <c r="AF206" s="5">
        <v>0.93</v>
      </c>
      <c r="AG206" s="3" t="s">
        <v>94</v>
      </c>
    </row>
    <row r="207" spans="1:33" hidden="1" x14ac:dyDescent="0.35">
      <c r="A207" t="str">
        <f>_xlfn.CONCAT(Tableau1[[#This Row],[Athletes]],"_",Tableau1[[#This Row],[Nationality]],"_",Tableau1[[#This Row],[Competition_year]])</f>
        <v>Thomas RATCLIFFE_USA_2022</v>
      </c>
      <c r="B207" t="s">
        <v>371</v>
      </c>
      <c r="C207" t="s">
        <v>16</v>
      </c>
      <c r="D207" t="s">
        <v>51</v>
      </c>
      <c r="E207">
        <v>14.2</v>
      </c>
      <c r="F207">
        <v>14.5</v>
      </c>
      <c r="G207">
        <v>14.7</v>
      </c>
      <c r="H207">
        <v>14.700000000000003</v>
      </c>
      <c r="I207">
        <v>14.499999999999993</v>
      </c>
      <c r="J207">
        <v>14.700000000000003</v>
      </c>
      <c r="K207">
        <v>15</v>
      </c>
      <c r="L207">
        <v>14.600000000000009</v>
      </c>
      <c r="M207">
        <v>14.400000000000006</v>
      </c>
      <c r="N207">
        <v>14.699999999999989</v>
      </c>
      <c r="O207">
        <v>14.699999999999989</v>
      </c>
      <c r="P207">
        <v>14.300000000000011</v>
      </c>
      <c r="Q207">
        <v>14.5</v>
      </c>
      <c r="R207">
        <v>14.400000000000006</v>
      </c>
      <c r="S207">
        <f>Tableau1[[#This Row],[Final_time]]-SUM(Tableau1[[#This Row],[0_100m]:[1300_1400m]])</f>
        <v>16.53</v>
      </c>
      <c r="T207">
        <v>220.43</v>
      </c>
      <c r="U207">
        <f t="shared" si="6"/>
        <v>220.43</v>
      </c>
      <c r="V207">
        <f t="shared" si="7"/>
        <v>0</v>
      </c>
      <c r="W207" s="12"/>
      <c r="X207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7" t="s">
        <v>362</v>
      </c>
      <c r="Z207" s="2" t="s">
        <v>43</v>
      </c>
      <c r="AA207" s="2"/>
      <c r="AB207" s="2" t="s">
        <v>65</v>
      </c>
      <c r="AC207" s="2">
        <v>44709</v>
      </c>
      <c r="AD207">
        <v>2022</v>
      </c>
      <c r="AE207" s="3">
        <v>14</v>
      </c>
      <c r="AF207" s="5">
        <v>0.93</v>
      </c>
      <c r="AG207" s="3" t="s">
        <v>94</v>
      </c>
    </row>
    <row r="208" spans="1:33" hidden="1" x14ac:dyDescent="0.35">
      <c r="A208" t="str">
        <f>_xlfn.CONCAT(Tableau1[[#This Row],[Athletes]],"_",Tableau1[[#This Row],[Nationality]],"_",Tableau1[[#This Row],[Competition_year]])</f>
        <v>Caleb LAKEMAN_USA_2022</v>
      </c>
      <c r="B208" t="s">
        <v>373</v>
      </c>
      <c r="C208" t="s">
        <v>16</v>
      </c>
      <c r="D208" t="s">
        <v>51</v>
      </c>
      <c r="E208">
        <v>14.7</v>
      </c>
      <c r="F208">
        <v>14.5</v>
      </c>
      <c r="G208">
        <v>14.8</v>
      </c>
      <c r="H208">
        <v>14.700000000000003</v>
      </c>
      <c r="I208">
        <v>14.599999999999994</v>
      </c>
      <c r="J208">
        <v>14.799999999999997</v>
      </c>
      <c r="K208">
        <v>15</v>
      </c>
      <c r="L208">
        <v>14.900000000000006</v>
      </c>
      <c r="M208">
        <v>15.199999999999989</v>
      </c>
      <c r="N208">
        <v>15.700000000000017</v>
      </c>
      <c r="O208">
        <v>16.299999999999983</v>
      </c>
      <c r="P208">
        <v>16.5</v>
      </c>
      <c r="Q208">
        <v>17.200000000000017</v>
      </c>
      <c r="R208">
        <v>18.299999999999983</v>
      </c>
      <c r="S208">
        <f>Tableau1[[#This Row],[Final_time]]-SUM(Tableau1[[#This Row],[0_100m]:[1300_1400m]])</f>
        <v>18</v>
      </c>
      <c r="T208">
        <v>235.2</v>
      </c>
      <c r="U208">
        <f t="shared" si="6"/>
        <v>235.2</v>
      </c>
      <c r="V208">
        <f t="shared" si="7"/>
        <v>0</v>
      </c>
      <c r="W208" s="12"/>
      <c r="X208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8" t="s">
        <v>362</v>
      </c>
      <c r="Z208" s="2" t="s">
        <v>43</v>
      </c>
      <c r="AA208" s="2"/>
      <c r="AB208" s="2" t="s">
        <v>65</v>
      </c>
      <c r="AC208" s="2">
        <v>44709</v>
      </c>
      <c r="AD208">
        <v>2022</v>
      </c>
      <c r="AE208" s="3">
        <v>14</v>
      </c>
      <c r="AF208" s="5">
        <v>0.93</v>
      </c>
      <c r="AG208" s="3" t="s">
        <v>94</v>
      </c>
    </row>
    <row r="209" spans="1:34" hidden="1" x14ac:dyDescent="0.35">
      <c r="A209" t="str">
        <f>_xlfn.CONCAT(Tableau1[[#This Row],[Athletes]],"_",Tableau1[[#This Row],[Nationality]],"_",Tableau1[[#This Row],[Competition_year]])</f>
        <v>Luke MCCANN_IRL_2022</v>
      </c>
      <c r="B209" t="s">
        <v>209</v>
      </c>
      <c r="C209" t="s">
        <v>16</v>
      </c>
      <c r="D209" t="s">
        <v>35</v>
      </c>
      <c r="T209">
        <v>216.93</v>
      </c>
      <c r="U209">
        <f t="shared" si="6"/>
        <v>0</v>
      </c>
      <c r="V209">
        <f t="shared" si="7"/>
        <v>216.93</v>
      </c>
      <c r="W209" s="12"/>
      <c r="X209" t="str">
        <f>_xlfn.CONCAT(Tableau1[[#This Row],[Competition]],"_",Tableau1[[#This Row],[Championship_step]],"_",Tableau1[[#This Row],[Competition_date]],"_",Tableau1[[#This Row],[Gender]])</f>
        <v>Diamond League Eugene 2022__44709_Male</v>
      </c>
      <c r="Y209" t="s">
        <v>362</v>
      </c>
      <c r="Z209" s="2" t="s">
        <v>43</v>
      </c>
      <c r="AA209" s="2"/>
      <c r="AB209" s="2" t="s">
        <v>65</v>
      </c>
      <c r="AC209" s="2">
        <v>44709</v>
      </c>
      <c r="AD209">
        <v>2022</v>
      </c>
      <c r="AE209" s="3">
        <v>14</v>
      </c>
      <c r="AF209" s="5">
        <v>0.93</v>
      </c>
      <c r="AG209" s="3" t="s">
        <v>94</v>
      </c>
    </row>
    <row r="210" spans="1:34" hidden="1" x14ac:dyDescent="0.35">
      <c r="A210" t="str">
        <f>_xlfn.CONCAT(Tableau1[[#This Row],[Athletes]],"_",Tableau1[[#This Row],[Nationality]],"_",Tableau1[[#This Row],[Competition_year]])</f>
        <v>Diribe WELTEJI_ETH_2023</v>
      </c>
      <c r="B210" t="s">
        <v>165</v>
      </c>
      <c r="C210" t="s">
        <v>47</v>
      </c>
      <c r="D210" t="s">
        <v>48</v>
      </c>
      <c r="E210">
        <v>14.8</v>
      </c>
      <c r="F210">
        <v>16.2</v>
      </c>
      <c r="G210">
        <v>16.399999999999999</v>
      </c>
      <c r="H210">
        <v>15.7</v>
      </c>
      <c r="I210">
        <v>15.9</v>
      </c>
      <c r="J210">
        <v>15.8</v>
      </c>
      <c r="K210">
        <v>15.6</v>
      </c>
      <c r="L210">
        <v>16</v>
      </c>
      <c r="M210">
        <v>15.9</v>
      </c>
      <c r="N210">
        <v>16.100000000000001</v>
      </c>
      <c r="O210">
        <v>15.3</v>
      </c>
      <c r="P210">
        <v>15.7</v>
      </c>
      <c r="Q210">
        <v>15.5</v>
      </c>
      <c r="R210">
        <v>14.9</v>
      </c>
      <c r="S210">
        <f>Tableau1[[#This Row],[Final_time]]-SUM(Tableau1[[#This Row],[0_100m]:[1300_1400m]])</f>
        <v>14.130000000000024</v>
      </c>
      <c r="T210">
        <v>233.93</v>
      </c>
      <c r="U210">
        <f t="shared" si="6"/>
        <v>233.93</v>
      </c>
      <c r="V210">
        <f t="shared" si="7"/>
        <v>0</v>
      </c>
      <c r="W210" s="12"/>
      <c r="X210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0" t="s">
        <v>267</v>
      </c>
      <c r="Z210" s="2" t="s">
        <v>43</v>
      </c>
      <c r="AA210" s="2"/>
      <c r="AB210" s="2" t="s">
        <v>65</v>
      </c>
      <c r="AC210" s="2">
        <v>45185</v>
      </c>
      <c r="AD210" s="3">
        <v>2023</v>
      </c>
      <c r="AE210" s="3">
        <v>25</v>
      </c>
      <c r="AF210" s="5">
        <v>0.45</v>
      </c>
      <c r="AG210" s="3" t="s">
        <v>71</v>
      </c>
      <c r="AH210" t="s">
        <v>268</v>
      </c>
    </row>
    <row r="211" spans="1:34" hidden="1" x14ac:dyDescent="0.35">
      <c r="A211" t="str">
        <f>_xlfn.CONCAT(Tableau1[[#This Row],[Athletes]],"_",Tableau1[[#This Row],[Nationality]],"_",Tableau1[[#This Row],[Competition_year]])</f>
        <v>Faith KIPYEGON_KEN_2023</v>
      </c>
      <c r="B211" t="s">
        <v>164</v>
      </c>
      <c r="C211" t="s">
        <v>47</v>
      </c>
      <c r="D211" t="s">
        <v>17</v>
      </c>
      <c r="E211">
        <v>14.7</v>
      </c>
      <c r="F211">
        <v>16.100000000000001</v>
      </c>
      <c r="G211">
        <v>16.399999999999999</v>
      </c>
      <c r="H211">
        <v>15.6</v>
      </c>
      <c r="I211">
        <v>16</v>
      </c>
      <c r="J211">
        <v>15.7</v>
      </c>
      <c r="K211">
        <v>15.4</v>
      </c>
      <c r="L211">
        <v>15.4</v>
      </c>
      <c r="M211">
        <v>15.2</v>
      </c>
      <c r="N211">
        <v>15.3</v>
      </c>
      <c r="O211">
        <v>15.3</v>
      </c>
      <c r="P211">
        <v>15</v>
      </c>
      <c r="Q211">
        <v>15.2</v>
      </c>
      <c r="R211">
        <v>15</v>
      </c>
      <c r="S211">
        <f>Tableau1[[#This Row],[Final_time]]-SUM(Tableau1[[#This Row],[0_100m]:[1300_1400m]])</f>
        <v>14.419999999999959</v>
      </c>
      <c r="T211">
        <v>230.72</v>
      </c>
      <c r="U211">
        <f t="shared" si="6"/>
        <v>230.72</v>
      </c>
      <c r="V211">
        <f t="shared" si="7"/>
        <v>0</v>
      </c>
      <c r="W211" s="12"/>
      <c r="X211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1" t="s">
        <v>267</v>
      </c>
      <c r="Z211" s="2" t="s">
        <v>43</v>
      </c>
      <c r="AA211" s="2"/>
      <c r="AB211" s="2" t="s">
        <v>65</v>
      </c>
      <c r="AC211" s="2">
        <v>45185</v>
      </c>
      <c r="AD211" s="3">
        <v>2023</v>
      </c>
      <c r="AE211" s="3">
        <v>25</v>
      </c>
      <c r="AF211" s="5">
        <v>0.45</v>
      </c>
      <c r="AG211" s="3" t="s">
        <v>71</v>
      </c>
      <c r="AH211" t="s">
        <v>268</v>
      </c>
    </row>
    <row r="212" spans="1:34" hidden="1" x14ac:dyDescent="0.35">
      <c r="A212" t="str">
        <f>_xlfn.CONCAT(Tableau1[[#This Row],[Athletes]],"_",Tableau1[[#This Row],[Nationality]],"_",Tableau1[[#This Row],[Competition_year]])</f>
        <v>Laura MUIR_GBR_2023</v>
      </c>
      <c r="B212" t="s">
        <v>153</v>
      </c>
      <c r="C212" t="s">
        <v>47</v>
      </c>
      <c r="D212" t="s">
        <v>20</v>
      </c>
      <c r="E212">
        <v>15</v>
      </c>
      <c r="F212">
        <v>16.5</v>
      </c>
      <c r="G212">
        <v>16.100000000000001</v>
      </c>
      <c r="H212">
        <v>15.7</v>
      </c>
      <c r="I212">
        <v>16</v>
      </c>
      <c r="J212">
        <v>15.7</v>
      </c>
      <c r="K212">
        <v>15.6</v>
      </c>
      <c r="L212">
        <v>16.100000000000001</v>
      </c>
      <c r="M212">
        <v>15.8</v>
      </c>
      <c r="N212">
        <v>16</v>
      </c>
      <c r="O212">
        <v>15.5</v>
      </c>
      <c r="P212">
        <v>15.8</v>
      </c>
      <c r="Q212">
        <v>15.3</v>
      </c>
      <c r="R212">
        <v>15</v>
      </c>
      <c r="S212">
        <f>Tableau1[[#This Row],[Final_time]]-SUM(Tableau1[[#This Row],[0_100m]:[1300_1400m]])</f>
        <v>15.059999999999974</v>
      </c>
      <c r="T212">
        <v>235.16</v>
      </c>
      <c r="U212">
        <f t="shared" si="6"/>
        <v>235.16</v>
      </c>
      <c r="V212">
        <f t="shared" si="7"/>
        <v>0</v>
      </c>
      <c r="W212" s="12"/>
      <c r="X212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2" t="s">
        <v>267</v>
      </c>
      <c r="Z212" s="2" t="s">
        <v>43</v>
      </c>
      <c r="AA212" s="2"/>
      <c r="AB212" s="2" t="s">
        <v>65</v>
      </c>
      <c r="AC212" s="2">
        <v>45185</v>
      </c>
      <c r="AD212" s="3">
        <v>2023</v>
      </c>
      <c r="AE212" s="3">
        <v>25</v>
      </c>
      <c r="AF212" s="5">
        <v>0.45</v>
      </c>
      <c r="AG212" s="3" t="s">
        <v>71</v>
      </c>
      <c r="AH212" t="s">
        <v>268</v>
      </c>
    </row>
    <row r="213" spans="1:34" hidden="1" x14ac:dyDescent="0.35">
      <c r="A213" t="str">
        <f>_xlfn.CONCAT(Tableau1[[#This Row],[Athletes]],"_",Tableau1[[#This Row],[Nationality]],"_",Tableau1[[#This Row],[Competition_year]])</f>
        <v>Linden HALL_AUS_2023</v>
      </c>
      <c r="B213" t="s">
        <v>184</v>
      </c>
      <c r="C213" t="s">
        <v>47</v>
      </c>
      <c r="D213" t="s">
        <v>21</v>
      </c>
      <c r="E213">
        <v>15.2</v>
      </c>
      <c r="F213">
        <v>16.5</v>
      </c>
      <c r="G213">
        <v>16.399999999999999</v>
      </c>
      <c r="H213">
        <v>16.5</v>
      </c>
      <c r="I213">
        <v>15.7</v>
      </c>
      <c r="J213">
        <v>15.8</v>
      </c>
      <c r="K213">
        <v>15.3</v>
      </c>
      <c r="L213">
        <v>15.7</v>
      </c>
      <c r="M213">
        <v>15.8</v>
      </c>
      <c r="N213">
        <v>16</v>
      </c>
      <c r="O213">
        <v>15.8</v>
      </c>
      <c r="P213">
        <v>15.7</v>
      </c>
      <c r="Q213">
        <v>15.6</v>
      </c>
      <c r="R213">
        <v>15.7</v>
      </c>
      <c r="S213">
        <f>Tableau1[[#This Row],[Final_time]]-SUM(Tableau1[[#This Row],[0_100m]:[1300_1400m]])</f>
        <v>15.219999999999999</v>
      </c>
      <c r="T213">
        <v>236.92</v>
      </c>
      <c r="U213">
        <f t="shared" si="6"/>
        <v>236.92</v>
      </c>
      <c r="V213">
        <f t="shared" si="7"/>
        <v>0</v>
      </c>
      <c r="W213" s="12"/>
      <c r="X213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3" t="s">
        <v>267</v>
      </c>
      <c r="Z213" s="2" t="s">
        <v>43</v>
      </c>
      <c r="AA213" s="2"/>
      <c r="AB213" s="2" t="s">
        <v>65</v>
      </c>
      <c r="AC213" s="2">
        <v>45185</v>
      </c>
      <c r="AD213" s="3">
        <v>2023</v>
      </c>
      <c r="AE213" s="3">
        <v>25</v>
      </c>
      <c r="AF213" s="5">
        <v>0.45</v>
      </c>
      <c r="AG213" s="3" t="s">
        <v>71</v>
      </c>
      <c r="AH213" t="s">
        <v>268</v>
      </c>
    </row>
    <row r="214" spans="1:34" hidden="1" x14ac:dyDescent="0.35">
      <c r="A214" t="str">
        <f>_xlfn.CONCAT(Tableau1[[#This Row],[Athletes]],"_",Tableau1[[#This Row],[Nationality]],"_",Tableau1[[#This Row],[Competition_year]])</f>
        <v>Freweyni HAILU_ETH_2023</v>
      </c>
      <c r="B214" t="s">
        <v>144</v>
      </c>
      <c r="C214" t="s">
        <v>47</v>
      </c>
      <c r="D214" t="s">
        <v>48</v>
      </c>
      <c r="E214">
        <v>14.9</v>
      </c>
      <c r="F214">
        <v>16.3</v>
      </c>
      <c r="G214">
        <v>16.399999999999999</v>
      </c>
      <c r="H214">
        <v>15.9</v>
      </c>
      <c r="I214">
        <v>16</v>
      </c>
      <c r="J214">
        <v>15.7</v>
      </c>
      <c r="K214">
        <v>15.6</v>
      </c>
      <c r="L214">
        <v>16.100000000000001</v>
      </c>
      <c r="M214">
        <v>15.9</v>
      </c>
      <c r="N214">
        <v>15.9</v>
      </c>
      <c r="O214">
        <v>15.5</v>
      </c>
      <c r="P214">
        <v>15.8</v>
      </c>
      <c r="Q214">
        <v>15.3</v>
      </c>
      <c r="R214">
        <v>15.1</v>
      </c>
      <c r="S214">
        <f>Tableau1[[#This Row],[Final_time]]-SUM(Tableau1[[#This Row],[0_100m]:[1300_1400m]])</f>
        <v>15.279999999999973</v>
      </c>
      <c r="T214">
        <v>235.68</v>
      </c>
      <c r="U214">
        <f t="shared" si="6"/>
        <v>235.68</v>
      </c>
      <c r="V214">
        <f t="shared" si="7"/>
        <v>0</v>
      </c>
      <c r="W214" s="12"/>
      <c r="X214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4" t="s">
        <v>267</v>
      </c>
      <c r="Z214" s="2" t="s">
        <v>43</v>
      </c>
      <c r="AA214" s="2"/>
      <c r="AB214" s="2" t="s">
        <v>65</v>
      </c>
      <c r="AC214" s="2">
        <v>45185</v>
      </c>
      <c r="AD214" s="3">
        <v>2023</v>
      </c>
      <c r="AE214" s="3">
        <v>25</v>
      </c>
      <c r="AF214" s="5">
        <v>0.45</v>
      </c>
      <c r="AG214" s="3" t="s">
        <v>71</v>
      </c>
      <c r="AH214" t="s">
        <v>268</v>
      </c>
    </row>
    <row r="215" spans="1:34" hidden="1" x14ac:dyDescent="0.35">
      <c r="A215" t="str">
        <f>_xlfn.CONCAT(Tableau1[[#This Row],[Athletes]],"_",Tableau1[[#This Row],[Nationality]],"_",Tableau1[[#This Row],[Competition_year]])</f>
        <v>Hirut MESHESHA_ETH_2023</v>
      </c>
      <c r="B215" t="s">
        <v>135</v>
      </c>
      <c r="C215" t="s">
        <v>47</v>
      </c>
      <c r="D215" t="s">
        <v>48</v>
      </c>
      <c r="E215">
        <v>15.2</v>
      </c>
      <c r="F215">
        <v>16.3</v>
      </c>
      <c r="G215">
        <v>16.600000000000001</v>
      </c>
      <c r="H215">
        <v>16</v>
      </c>
      <c r="I215">
        <v>15.8</v>
      </c>
      <c r="J215">
        <v>15.9</v>
      </c>
      <c r="K215">
        <v>15.4</v>
      </c>
      <c r="L215">
        <v>16.3</v>
      </c>
      <c r="M215">
        <v>15.8</v>
      </c>
      <c r="N215">
        <v>16.100000000000001</v>
      </c>
      <c r="O215">
        <v>15.7</v>
      </c>
      <c r="P215">
        <v>15.8</v>
      </c>
      <c r="Q215">
        <v>15.6</v>
      </c>
      <c r="R215">
        <v>15.6</v>
      </c>
      <c r="S215">
        <f>Tableau1[[#This Row],[Final_time]]-SUM(Tableau1[[#This Row],[0_100m]:[1300_1400m]])</f>
        <v>15.430000000000007</v>
      </c>
      <c r="T215">
        <v>237.53</v>
      </c>
      <c r="U215">
        <f t="shared" si="6"/>
        <v>237.53</v>
      </c>
      <c r="V215">
        <f t="shared" si="7"/>
        <v>0</v>
      </c>
      <c r="W215" s="12"/>
      <c r="X215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5" t="s">
        <v>267</v>
      </c>
      <c r="Z215" s="2" t="s">
        <v>43</v>
      </c>
      <c r="AA215" s="2"/>
      <c r="AB215" s="2" t="s">
        <v>65</v>
      </c>
      <c r="AC215" s="2">
        <v>45185</v>
      </c>
      <c r="AD215" s="3">
        <v>2023</v>
      </c>
      <c r="AE215" s="3">
        <v>25</v>
      </c>
      <c r="AF215" s="5">
        <v>0.45</v>
      </c>
      <c r="AG215" s="3" t="s">
        <v>71</v>
      </c>
      <c r="AH215" t="s">
        <v>268</v>
      </c>
    </row>
    <row r="216" spans="1:34" hidden="1" x14ac:dyDescent="0.35">
      <c r="A216" t="str">
        <f>_xlfn.CONCAT(Tableau1[[#This Row],[Athletes]],"_",Tableau1[[#This Row],[Nationality]],"_",Tableau1[[#This Row],[Competition_year]])</f>
        <v>Birke HAYLOM_ETH_2023</v>
      </c>
      <c r="B216" t="s">
        <v>179</v>
      </c>
      <c r="C216" t="s">
        <v>47</v>
      </c>
      <c r="D216" t="s">
        <v>48</v>
      </c>
      <c r="E216">
        <v>14.9</v>
      </c>
      <c r="F216">
        <v>16.399999999999999</v>
      </c>
      <c r="G216">
        <v>16.600000000000001</v>
      </c>
      <c r="H216">
        <v>15.9</v>
      </c>
      <c r="I216">
        <v>15.9</v>
      </c>
      <c r="J216">
        <v>15.6</v>
      </c>
      <c r="K216">
        <v>15.6</v>
      </c>
      <c r="L216">
        <v>15.3</v>
      </c>
      <c r="M216">
        <v>15.9</v>
      </c>
      <c r="N216">
        <v>16.3</v>
      </c>
      <c r="O216">
        <v>15.5</v>
      </c>
      <c r="P216">
        <v>15.7</v>
      </c>
      <c r="Q216">
        <v>15.8</v>
      </c>
      <c r="R216">
        <v>15.9</v>
      </c>
      <c r="S216">
        <f>Tableau1[[#This Row],[Final_time]]-SUM(Tableau1[[#This Row],[0_100m]:[1300_1400m]])</f>
        <v>15.679999999999978</v>
      </c>
      <c r="T216">
        <v>236.98</v>
      </c>
      <c r="U216">
        <f t="shared" si="6"/>
        <v>236.98</v>
      </c>
      <c r="V216">
        <f t="shared" si="7"/>
        <v>0</v>
      </c>
      <c r="W216" s="12"/>
      <c r="X216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6" t="s">
        <v>267</v>
      </c>
      <c r="Z216" s="2" t="s">
        <v>43</v>
      </c>
      <c r="AA216" s="2"/>
      <c r="AB216" s="2" t="s">
        <v>65</v>
      </c>
      <c r="AC216" s="2">
        <v>45185</v>
      </c>
      <c r="AD216" s="3">
        <v>2023</v>
      </c>
      <c r="AE216" s="3">
        <v>25</v>
      </c>
      <c r="AF216" s="5">
        <v>0.45</v>
      </c>
      <c r="AG216" s="3" t="s">
        <v>71</v>
      </c>
      <c r="AH216" t="s">
        <v>268</v>
      </c>
    </row>
    <row r="217" spans="1:34" hidden="1" x14ac:dyDescent="0.35">
      <c r="A217" t="str">
        <f>_xlfn.CONCAT(Tableau1[[#This Row],[Athletes]],"_",Tableau1[[#This Row],[Nationality]],"_",Tableau1[[#This Row],[Competition_year]])</f>
        <v>Worknesh MESELE_ETH_2023</v>
      </c>
      <c r="B217" t="s">
        <v>294</v>
      </c>
      <c r="C217" t="s">
        <v>47</v>
      </c>
      <c r="D217" t="s">
        <v>48</v>
      </c>
      <c r="E217">
        <v>15.1</v>
      </c>
      <c r="F217">
        <v>16.899999999999999</v>
      </c>
      <c r="G217">
        <v>16.399999999999999</v>
      </c>
      <c r="H217">
        <v>16.5</v>
      </c>
      <c r="I217">
        <v>15.8</v>
      </c>
      <c r="J217">
        <v>16</v>
      </c>
      <c r="K217">
        <v>16.100000000000001</v>
      </c>
      <c r="L217">
        <v>16.600000000000001</v>
      </c>
      <c r="M217">
        <v>17.100000000000001</v>
      </c>
      <c r="N217">
        <v>17.600000000000001</v>
      </c>
      <c r="O217">
        <v>17.399999999999999</v>
      </c>
      <c r="P217">
        <v>17.3</v>
      </c>
      <c r="Q217">
        <v>17.7</v>
      </c>
      <c r="R217">
        <v>17</v>
      </c>
      <c r="S217">
        <f>Tableau1[[#This Row],[Final_time]]-SUM(Tableau1[[#This Row],[0_100m]:[1300_1400m]])</f>
        <v>15.840000000000003</v>
      </c>
      <c r="T217">
        <v>249.34</v>
      </c>
      <c r="U217">
        <f t="shared" si="6"/>
        <v>249.34</v>
      </c>
      <c r="V217">
        <f t="shared" si="7"/>
        <v>0</v>
      </c>
      <c r="W217" s="12"/>
      <c r="X217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7" t="s">
        <v>267</v>
      </c>
      <c r="Z217" s="2" t="s">
        <v>43</v>
      </c>
      <c r="AA217" s="2"/>
      <c r="AB217" s="2" t="s">
        <v>65</v>
      </c>
      <c r="AC217" s="2">
        <v>45185</v>
      </c>
      <c r="AD217" s="3">
        <v>2023</v>
      </c>
      <c r="AE217" s="3">
        <v>25</v>
      </c>
      <c r="AF217" s="5">
        <v>0.45</v>
      </c>
      <c r="AG217" s="3" t="s">
        <v>71</v>
      </c>
      <c r="AH217" t="s">
        <v>268</v>
      </c>
    </row>
    <row r="218" spans="1:34" hidden="1" x14ac:dyDescent="0.35">
      <c r="A218" t="str">
        <f>_xlfn.CONCAT(Tableau1[[#This Row],[Athletes]],"_",Tableau1[[#This Row],[Nationality]],"_",Tableau1[[#This Row],[Competition_year]])</f>
        <v>Jessica HULL_AUS_2023</v>
      </c>
      <c r="B218" t="s">
        <v>187</v>
      </c>
      <c r="C218" t="s">
        <v>47</v>
      </c>
      <c r="D218" t="s">
        <v>21</v>
      </c>
      <c r="E218">
        <v>15.2</v>
      </c>
      <c r="F218">
        <v>16.5</v>
      </c>
      <c r="G218">
        <v>16.100000000000001</v>
      </c>
      <c r="H218">
        <v>15.9</v>
      </c>
      <c r="I218">
        <v>15.9</v>
      </c>
      <c r="J218">
        <v>15.8</v>
      </c>
      <c r="K218">
        <v>15.5</v>
      </c>
      <c r="L218">
        <v>15.9</v>
      </c>
      <c r="M218">
        <v>15.9</v>
      </c>
      <c r="N218">
        <v>15.9</v>
      </c>
      <c r="O218">
        <v>15.6</v>
      </c>
      <c r="P218">
        <v>15.7</v>
      </c>
      <c r="Q218">
        <v>15.8</v>
      </c>
      <c r="R218">
        <v>15.8</v>
      </c>
      <c r="S218">
        <f>Tableau1[[#This Row],[Final_time]]-SUM(Tableau1[[#This Row],[0_100m]:[1300_1400m]])</f>
        <v>16.069999999999993</v>
      </c>
      <c r="T218">
        <v>237.57</v>
      </c>
      <c r="U218">
        <f t="shared" si="6"/>
        <v>237.57</v>
      </c>
      <c r="V218">
        <f t="shared" si="7"/>
        <v>0</v>
      </c>
      <c r="W218" s="12"/>
      <c r="X218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8" t="s">
        <v>267</v>
      </c>
      <c r="Z218" s="2" t="s">
        <v>43</v>
      </c>
      <c r="AA218" s="2"/>
      <c r="AB218" s="2" t="s">
        <v>65</v>
      </c>
      <c r="AC218" s="2">
        <v>45185</v>
      </c>
      <c r="AD218" s="3">
        <v>2023</v>
      </c>
      <c r="AE218" s="3">
        <v>25</v>
      </c>
      <c r="AF218" s="5">
        <v>0.45</v>
      </c>
      <c r="AG218" s="3" t="s">
        <v>71</v>
      </c>
      <c r="AH218" t="s">
        <v>268</v>
      </c>
    </row>
    <row r="219" spans="1:34" hidden="1" x14ac:dyDescent="0.35">
      <c r="A219" t="str">
        <f>_xlfn.CONCAT(Tableau1[[#This Row],[Athletes]],"_",Tableau1[[#This Row],[Nationality]],"_",Tableau1[[#This Row],[Competition_year]])</f>
        <v>Melissa COURTNEY-BRYANT_GBR_2023</v>
      </c>
      <c r="B219" t="s">
        <v>168</v>
      </c>
      <c r="C219" t="s">
        <v>47</v>
      </c>
      <c r="D219" t="s">
        <v>20</v>
      </c>
      <c r="E219">
        <v>15.1</v>
      </c>
      <c r="F219">
        <v>16.399999999999999</v>
      </c>
      <c r="G219">
        <v>16.600000000000001</v>
      </c>
      <c r="H219">
        <v>16.3</v>
      </c>
      <c r="I219">
        <v>15.6</v>
      </c>
      <c r="J219">
        <v>15.8</v>
      </c>
      <c r="K219">
        <v>15.6</v>
      </c>
      <c r="L219">
        <v>16.3</v>
      </c>
      <c r="M219">
        <v>15.6</v>
      </c>
      <c r="N219">
        <v>16</v>
      </c>
      <c r="O219">
        <v>15.9</v>
      </c>
      <c r="P219">
        <v>16.2</v>
      </c>
      <c r="Q219">
        <v>15.9</v>
      </c>
      <c r="R219">
        <v>16</v>
      </c>
      <c r="S219">
        <f>Tableau1[[#This Row],[Final_time]]-SUM(Tableau1[[#This Row],[0_100m]:[1300_1400m]])</f>
        <v>16.27000000000001</v>
      </c>
      <c r="T219">
        <v>239.57</v>
      </c>
      <c r="U219">
        <f t="shared" si="6"/>
        <v>239.57</v>
      </c>
      <c r="V219">
        <f t="shared" si="7"/>
        <v>0</v>
      </c>
      <c r="W219" s="12"/>
      <c r="X219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19" t="s">
        <v>267</v>
      </c>
      <c r="Z219" s="2" t="s">
        <v>43</v>
      </c>
      <c r="AA219" s="2"/>
      <c r="AB219" s="2" t="s">
        <v>65</v>
      </c>
      <c r="AC219" s="2">
        <v>45185</v>
      </c>
      <c r="AD219" s="3">
        <v>2023</v>
      </c>
      <c r="AE219" s="3">
        <v>25</v>
      </c>
      <c r="AF219" s="5">
        <v>0.45</v>
      </c>
      <c r="AG219" s="3" t="s">
        <v>71</v>
      </c>
      <c r="AH219" t="s">
        <v>268</v>
      </c>
    </row>
    <row r="220" spans="1:34" hidden="1" x14ac:dyDescent="0.35">
      <c r="A220" t="str">
        <f>_xlfn.CONCAT(Tableau1[[#This Row],[Athletes]],"_",Tableau1[[#This Row],[Nationality]],"_",Tableau1[[#This Row],[Competition_year]])</f>
        <v>Sinclaire JOHNSON_USA_2023</v>
      </c>
      <c r="B220" t="s">
        <v>185</v>
      </c>
      <c r="C220" t="s">
        <v>47</v>
      </c>
      <c r="D220" t="s">
        <v>51</v>
      </c>
      <c r="E220">
        <v>14.9</v>
      </c>
      <c r="F220">
        <v>16.3</v>
      </c>
      <c r="G220">
        <v>16.7</v>
      </c>
      <c r="H220">
        <v>16.399999999999999</v>
      </c>
      <c r="I220">
        <v>15.8</v>
      </c>
      <c r="J220">
        <v>16.100000000000001</v>
      </c>
      <c r="K220">
        <v>15.8</v>
      </c>
      <c r="L220">
        <v>16.3</v>
      </c>
      <c r="M220">
        <v>16.100000000000001</v>
      </c>
      <c r="N220">
        <v>16.100000000000001</v>
      </c>
      <c r="O220">
        <v>16.2</v>
      </c>
      <c r="P220">
        <v>16.399999999999999</v>
      </c>
      <c r="Q220">
        <v>16.5</v>
      </c>
      <c r="R220">
        <v>16.8</v>
      </c>
      <c r="S220">
        <f>Tableau1[[#This Row],[Final_time]]-SUM(Tableau1[[#This Row],[0_100m]:[1300_1400m]])</f>
        <v>16.810000000000002</v>
      </c>
      <c r="T220">
        <v>243.21</v>
      </c>
      <c r="U220">
        <f t="shared" si="6"/>
        <v>243.21</v>
      </c>
      <c r="V220">
        <f t="shared" si="7"/>
        <v>0</v>
      </c>
      <c r="W220" s="12"/>
      <c r="X220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20" t="s">
        <v>267</v>
      </c>
      <c r="Z220" s="2" t="s">
        <v>43</v>
      </c>
      <c r="AA220" s="2"/>
      <c r="AB220" s="2" t="s">
        <v>65</v>
      </c>
      <c r="AC220" s="2">
        <v>45185</v>
      </c>
      <c r="AD220" s="3">
        <v>2023</v>
      </c>
      <c r="AE220" s="3">
        <v>25</v>
      </c>
      <c r="AF220" s="5">
        <v>0.45</v>
      </c>
      <c r="AG220" s="3" t="s">
        <v>71</v>
      </c>
      <c r="AH220" t="s">
        <v>268</v>
      </c>
    </row>
    <row r="221" spans="1:34" hidden="1" x14ac:dyDescent="0.35">
      <c r="A221" t="str">
        <f>_xlfn.CONCAT(Tableau1[[#This Row],[Athletes]],"_",Tableau1[[#This Row],[Nationality]],"_",Tableau1[[#This Row],[Competition_year]])</f>
        <v>Ciara MAGEEAN_IRL_2023</v>
      </c>
      <c r="B221" t="s">
        <v>180</v>
      </c>
      <c r="C221" t="s">
        <v>47</v>
      </c>
      <c r="D221" t="s">
        <v>35</v>
      </c>
      <c r="E221">
        <v>15</v>
      </c>
      <c r="F221">
        <v>16.3</v>
      </c>
      <c r="G221">
        <v>16.5</v>
      </c>
      <c r="H221">
        <v>16.100000000000001</v>
      </c>
      <c r="I221">
        <v>15.9</v>
      </c>
      <c r="J221">
        <v>15.8</v>
      </c>
      <c r="K221">
        <v>16</v>
      </c>
      <c r="L221">
        <v>16.3</v>
      </c>
      <c r="M221">
        <v>16.2</v>
      </c>
      <c r="N221">
        <v>16.2</v>
      </c>
      <c r="O221">
        <v>16.399999999999999</v>
      </c>
      <c r="P221">
        <v>16.100000000000001</v>
      </c>
      <c r="Q221">
        <v>16.399999999999999</v>
      </c>
      <c r="R221">
        <v>17</v>
      </c>
      <c r="S221">
        <f>Tableau1[[#This Row],[Final_time]]-SUM(Tableau1[[#This Row],[0_100m]:[1300_1400m]])</f>
        <v>16.890000000000015</v>
      </c>
      <c r="T221">
        <v>243.09</v>
      </c>
      <c r="U221">
        <f t="shared" si="6"/>
        <v>243.09</v>
      </c>
      <c r="V221">
        <f t="shared" si="7"/>
        <v>0</v>
      </c>
      <c r="W221" s="12"/>
      <c r="X221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21" t="s">
        <v>267</v>
      </c>
      <c r="Z221" s="2" t="s">
        <v>43</v>
      </c>
      <c r="AA221" s="2"/>
      <c r="AB221" s="2" t="s">
        <v>65</v>
      </c>
      <c r="AC221" s="2">
        <v>45185</v>
      </c>
      <c r="AD221" s="3">
        <v>2023</v>
      </c>
      <c r="AE221" s="3">
        <v>25</v>
      </c>
      <c r="AF221" s="5">
        <v>0.45</v>
      </c>
      <c r="AG221" s="3" t="s">
        <v>71</v>
      </c>
      <c r="AH221" t="s">
        <v>268</v>
      </c>
    </row>
    <row r="222" spans="1:34" hidden="1" x14ac:dyDescent="0.35">
      <c r="A222" t="str">
        <f>_xlfn.CONCAT(Tableau1[[#This Row],[Athletes]],"_",Tableau1[[#This Row],[Nationality]],"_",Tableau1[[#This Row],[Competition_year]])</f>
        <v>Cory Ann MCGEE_USA_2023</v>
      </c>
      <c r="B222" t="s">
        <v>181</v>
      </c>
      <c r="C222" t="s">
        <v>47</v>
      </c>
      <c r="D222" t="s">
        <v>51</v>
      </c>
      <c r="E222">
        <v>15.3</v>
      </c>
      <c r="F222">
        <v>16.3</v>
      </c>
      <c r="G222">
        <v>16.600000000000001</v>
      </c>
      <c r="H222">
        <v>16.399999999999999</v>
      </c>
      <c r="I222">
        <v>15.7</v>
      </c>
      <c r="J222">
        <v>15.9</v>
      </c>
      <c r="K222">
        <v>15.6</v>
      </c>
      <c r="L222">
        <v>16.3</v>
      </c>
      <c r="M222">
        <v>15.8</v>
      </c>
      <c r="N222">
        <v>15.7</v>
      </c>
      <c r="O222">
        <v>15.6</v>
      </c>
      <c r="P222">
        <v>15.9</v>
      </c>
      <c r="Q222">
        <v>15.8</v>
      </c>
      <c r="R222">
        <v>16.2</v>
      </c>
      <c r="S222">
        <f>Tableau1[[#This Row],[Final_time]]-SUM(Tableau1[[#This Row],[0_100m]:[1300_1400m]])</f>
        <v>18.180000000000007</v>
      </c>
      <c r="T222">
        <v>241.28</v>
      </c>
      <c r="U222">
        <f t="shared" si="6"/>
        <v>241.28</v>
      </c>
      <c r="V222">
        <f t="shared" si="7"/>
        <v>0</v>
      </c>
      <c r="W222" s="12"/>
      <c r="X222" t="str">
        <f>_xlfn.CONCAT(Tableau1[[#This Row],[Competition]],"_",Tableau1[[#This Row],[Championship_step]],"_",Tableau1[[#This Row],[Competition_date]],"_",Tableau1[[#This Row],[Gender]])</f>
        <v>Diamond League Eugene 2023__45185_Female</v>
      </c>
      <c r="Y222" t="s">
        <v>267</v>
      </c>
      <c r="Z222" s="2" t="s">
        <v>43</v>
      </c>
      <c r="AA222" s="2"/>
      <c r="AB222" s="2" t="s">
        <v>65</v>
      </c>
      <c r="AC222" s="2">
        <v>45185</v>
      </c>
      <c r="AD222" s="3">
        <v>2023</v>
      </c>
      <c r="AE222" s="3">
        <v>25</v>
      </c>
      <c r="AF222" s="5">
        <v>0.45</v>
      </c>
      <c r="AG222" s="3" t="s">
        <v>71</v>
      </c>
      <c r="AH222" t="s">
        <v>268</v>
      </c>
    </row>
    <row r="223" spans="1:34" hidden="1" x14ac:dyDescent="0.35">
      <c r="A223" t="str">
        <f>_xlfn.CONCAT(Tableau1[[#This Row],[Athletes]],"_",Tableau1[[#This Row],[Nationality]],"_",Tableau1[[#This Row],[Competition_year]])</f>
        <v>Faith KIPYEGON_KEN_2025</v>
      </c>
      <c r="B223" t="s">
        <v>164</v>
      </c>
      <c r="C223" t="s">
        <v>47</v>
      </c>
      <c r="D223" t="s">
        <v>17</v>
      </c>
      <c r="E223">
        <v>15.4</v>
      </c>
      <c r="F223">
        <v>15.2</v>
      </c>
      <c r="G223">
        <v>15.7</v>
      </c>
      <c r="H223">
        <v>15.6</v>
      </c>
      <c r="I223">
        <v>15.5</v>
      </c>
      <c r="J223">
        <v>15.3</v>
      </c>
      <c r="K223">
        <v>15.3</v>
      </c>
      <c r="L223">
        <v>15.4</v>
      </c>
      <c r="M223">
        <v>15.4</v>
      </c>
      <c r="N223">
        <v>15.5</v>
      </c>
      <c r="O223">
        <v>15.3</v>
      </c>
      <c r="P223">
        <v>15.1</v>
      </c>
      <c r="Q223">
        <v>15.1</v>
      </c>
      <c r="R223">
        <v>14.7</v>
      </c>
      <c r="S223">
        <f>Tableau1[[#This Row],[Final_time]]-SUM(Tableau1[[#This Row],[0_100m]:[1300_1400m]])</f>
        <v>14.180000000000007</v>
      </c>
      <c r="T223">
        <v>228.68</v>
      </c>
      <c r="U223">
        <f t="shared" si="6"/>
        <v>228.68</v>
      </c>
      <c r="V223">
        <f t="shared" si="7"/>
        <v>0</v>
      </c>
      <c r="W223" s="12"/>
      <c r="X223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3" t="s">
        <v>1351</v>
      </c>
      <c r="Z223" s="2" t="s">
        <v>43</v>
      </c>
      <c r="AA223" s="2"/>
      <c r="AB223" s="2" t="s">
        <v>65</v>
      </c>
      <c r="AC223" s="2">
        <v>45843</v>
      </c>
      <c r="AD223" s="3">
        <v>2025</v>
      </c>
      <c r="AE223" s="3">
        <v>25</v>
      </c>
      <c r="AF223" s="5">
        <v>0.35</v>
      </c>
      <c r="AG223" s="3" t="s">
        <v>71</v>
      </c>
    </row>
    <row r="224" spans="1:34" hidden="1" x14ac:dyDescent="0.35">
      <c r="A224" t="str">
        <f>_xlfn.CONCAT(Tableau1[[#This Row],[Athletes]],"_",Tableau1[[#This Row],[Nationality]],"_",Tableau1[[#This Row],[Competition_year]])</f>
        <v>Diribe WELTEJI_ETH_2025</v>
      </c>
      <c r="B224" t="s">
        <v>165</v>
      </c>
      <c r="C224" t="s">
        <v>47</v>
      </c>
      <c r="D224" t="s">
        <v>48</v>
      </c>
      <c r="E224">
        <v>15.1</v>
      </c>
      <c r="F224">
        <v>15.9</v>
      </c>
      <c r="G224">
        <v>15.7</v>
      </c>
      <c r="H224">
        <v>15.6</v>
      </c>
      <c r="I224">
        <v>15.4</v>
      </c>
      <c r="J224">
        <v>15.4</v>
      </c>
      <c r="K224">
        <v>15.3</v>
      </c>
      <c r="L224">
        <v>15.6</v>
      </c>
      <c r="M224">
        <v>15.5</v>
      </c>
      <c r="N224">
        <v>15.6</v>
      </c>
      <c r="O224">
        <v>15.3</v>
      </c>
      <c r="P224">
        <v>15.4</v>
      </c>
      <c r="Q224">
        <v>15.6</v>
      </c>
      <c r="R224">
        <v>15.1</v>
      </c>
      <c r="S224">
        <f>Tableau1[[#This Row],[Final_time]]-SUM(Tableau1[[#This Row],[0_100m]:[1300_1400m]])</f>
        <v>14.939999999999998</v>
      </c>
      <c r="T224">
        <v>231.44</v>
      </c>
      <c r="U224">
        <f t="shared" si="6"/>
        <v>231.44</v>
      </c>
      <c r="V224">
        <f t="shared" si="7"/>
        <v>0</v>
      </c>
      <c r="W224" s="12"/>
      <c r="X224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4" t="s">
        <v>1351</v>
      </c>
      <c r="Z224" s="2" t="s">
        <v>43</v>
      </c>
      <c r="AA224" s="2"/>
      <c r="AB224" s="2" t="s">
        <v>65</v>
      </c>
      <c r="AC224" s="2">
        <v>45843</v>
      </c>
      <c r="AD224" s="3">
        <v>2025</v>
      </c>
      <c r="AE224" s="3">
        <v>25</v>
      </c>
      <c r="AF224" s="5">
        <v>0.35</v>
      </c>
      <c r="AG224" s="3" t="s">
        <v>71</v>
      </c>
    </row>
    <row r="225" spans="1:33" hidden="1" x14ac:dyDescent="0.35">
      <c r="A225" t="str">
        <f>_xlfn.CONCAT(Tableau1[[#This Row],[Athletes]],"_",Tableau1[[#This Row],[Nationality]],"_",Tableau1[[#This Row],[Competition_year]])</f>
        <v>Saron BERHE_ETH_2025</v>
      </c>
      <c r="B225" t="s">
        <v>411</v>
      </c>
      <c r="C225" t="s">
        <v>47</v>
      </c>
      <c r="D225" t="s">
        <v>48</v>
      </c>
      <c r="E225">
        <v>16</v>
      </c>
      <c r="F225">
        <v>16</v>
      </c>
      <c r="G225">
        <v>16.3</v>
      </c>
      <c r="H225">
        <v>15.8</v>
      </c>
      <c r="I225">
        <v>15.6</v>
      </c>
      <c r="J225">
        <v>15.6</v>
      </c>
      <c r="K225">
        <v>15.8</v>
      </c>
      <c r="L225">
        <v>16.2</v>
      </c>
      <c r="M225">
        <v>16.2</v>
      </c>
      <c r="N225">
        <v>16.399999999999999</v>
      </c>
      <c r="O225">
        <v>15.6</v>
      </c>
      <c r="P225">
        <v>15.9</v>
      </c>
      <c r="Q225">
        <v>15.6</v>
      </c>
      <c r="R225">
        <v>15.7</v>
      </c>
      <c r="S225">
        <f>Tableau1[[#This Row],[Final_time]]-SUM(Tableau1[[#This Row],[0_100m]:[1300_1400m]])</f>
        <v>15.020000000000039</v>
      </c>
      <c r="T225">
        <v>237.72</v>
      </c>
      <c r="U225">
        <f t="shared" si="6"/>
        <v>237.72</v>
      </c>
      <c r="V225">
        <f t="shared" si="7"/>
        <v>0</v>
      </c>
      <c r="W225" s="12"/>
      <c r="X225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5" t="s">
        <v>1351</v>
      </c>
      <c r="Z225" s="2" t="s">
        <v>43</v>
      </c>
      <c r="AA225" s="2"/>
      <c r="AB225" s="2" t="s">
        <v>65</v>
      </c>
      <c r="AC225" s="2">
        <v>45843</v>
      </c>
      <c r="AD225" s="3">
        <v>2025</v>
      </c>
      <c r="AE225" s="3">
        <v>25</v>
      </c>
      <c r="AF225" s="5">
        <v>0.35</v>
      </c>
      <c r="AG225" s="3" t="s">
        <v>71</v>
      </c>
    </row>
    <row r="226" spans="1:33" hidden="1" x14ac:dyDescent="0.35">
      <c r="A226" t="str">
        <f>_xlfn.CONCAT(Tableau1[[#This Row],[Athletes]],"_",Tableau1[[#This Row],[Nationality]],"_",Tableau1[[#This Row],[Competition_year]])</f>
        <v>Sinclaire JOHNSON_USA_2025</v>
      </c>
      <c r="B226" t="s">
        <v>185</v>
      </c>
      <c r="C226" t="s">
        <v>47</v>
      </c>
      <c r="D226" t="s">
        <v>51</v>
      </c>
      <c r="E226">
        <v>17.3</v>
      </c>
      <c r="F226">
        <v>14.2</v>
      </c>
      <c r="G226">
        <v>16</v>
      </c>
      <c r="H226">
        <v>15.8</v>
      </c>
      <c r="I226">
        <v>15.6</v>
      </c>
      <c r="J226">
        <v>15.7</v>
      </c>
      <c r="K226">
        <v>15.8</v>
      </c>
      <c r="L226">
        <v>16.2</v>
      </c>
      <c r="M226">
        <v>16.3</v>
      </c>
      <c r="N226">
        <v>16.100000000000001</v>
      </c>
      <c r="O226">
        <v>15.8</v>
      </c>
      <c r="P226">
        <v>15.8</v>
      </c>
      <c r="Q226">
        <v>15.6</v>
      </c>
      <c r="R226">
        <v>15.6</v>
      </c>
      <c r="S226">
        <f>Tableau1[[#This Row],[Final_time]]-SUM(Tableau1[[#This Row],[0_100m]:[1300_1400m]])</f>
        <v>15.129999999999995</v>
      </c>
      <c r="T226">
        <v>236.93</v>
      </c>
      <c r="U226">
        <f t="shared" si="6"/>
        <v>236.93</v>
      </c>
      <c r="V226">
        <f t="shared" si="7"/>
        <v>0</v>
      </c>
      <c r="W226" s="12"/>
      <c r="X22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6" t="s">
        <v>1351</v>
      </c>
      <c r="Z226" s="2" t="s">
        <v>43</v>
      </c>
      <c r="AA226" s="2"/>
      <c r="AB226" s="2" t="s">
        <v>65</v>
      </c>
      <c r="AC226" s="2">
        <v>45843</v>
      </c>
      <c r="AD226" s="3">
        <v>2025</v>
      </c>
      <c r="AE226" s="3">
        <v>25</v>
      </c>
      <c r="AF226" s="5">
        <v>0.35</v>
      </c>
      <c r="AG226" s="3" t="s">
        <v>71</v>
      </c>
    </row>
    <row r="227" spans="1:33" hidden="1" x14ac:dyDescent="0.35">
      <c r="A227" t="str">
        <f>_xlfn.CONCAT(Tableau1[[#This Row],[Athletes]],"_",Tableau1[[#This Row],[Nationality]],"_",Tableau1[[#This Row],[Competition_year]])</f>
        <v>Freweyni HAILU_ETH_2025</v>
      </c>
      <c r="B227" t="s">
        <v>144</v>
      </c>
      <c r="C227" t="s">
        <v>47</v>
      </c>
      <c r="D227" t="s">
        <v>48</v>
      </c>
      <c r="E227">
        <v>18.100000000000001</v>
      </c>
      <c r="F227">
        <v>13.8</v>
      </c>
      <c r="G227">
        <v>15.2</v>
      </c>
      <c r="H227">
        <v>15.7</v>
      </c>
      <c r="I227">
        <v>15.2</v>
      </c>
      <c r="J227">
        <v>15.7</v>
      </c>
      <c r="K227">
        <v>16.399999999999999</v>
      </c>
      <c r="L227">
        <v>16.3</v>
      </c>
      <c r="M227">
        <v>16.8</v>
      </c>
      <c r="N227">
        <v>16.2</v>
      </c>
      <c r="O227">
        <v>15.8</v>
      </c>
      <c r="P227">
        <v>16</v>
      </c>
      <c r="Q227">
        <v>15.3</v>
      </c>
      <c r="R227">
        <v>16</v>
      </c>
      <c r="S227">
        <f>Tableau1[[#This Row],[Final_time]]-SUM(Tableau1[[#This Row],[0_100m]:[1300_1400m]])</f>
        <v>15.240000000000009</v>
      </c>
      <c r="T227">
        <v>237.74</v>
      </c>
      <c r="U227">
        <f t="shared" si="6"/>
        <v>237.74</v>
      </c>
      <c r="V227">
        <f t="shared" si="7"/>
        <v>0</v>
      </c>
      <c r="W227" s="12"/>
      <c r="X227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7" t="s">
        <v>1351</v>
      </c>
      <c r="Z227" s="2" t="s">
        <v>43</v>
      </c>
      <c r="AA227" s="2"/>
      <c r="AB227" s="2" t="s">
        <v>65</v>
      </c>
      <c r="AC227" s="2">
        <v>45843</v>
      </c>
      <c r="AD227" s="3">
        <v>2025</v>
      </c>
      <c r="AE227" s="3">
        <v>25</v>
      </c>
      <c r="AF227" s="5">
        <v>0.35</v>
      </c>
      <c r="AG227" s="3" t="s">
        <v>71</v>
      </c>
    </row>
    <row r="228" spans="1:33" hidden="1" x14ac:dyDescent="0.35">
      <c r="A228" t="str">
        <f>_xlfn.CONCAT(Tableau1[[#This Row],[Athletes]],"_",Tableau1[[#This Row],[Nationality]],"_",Tableau1[[#This Row],[Competition_year]])</f>
        <v>Sarah HEALY_IRL_2025</v>
      </c>
      <c r="B228" t="s">
        <v>166</v>
      </c>
      <c r="C228" t="s">
        <v>47</v>
      </c>
      <c r="D228" t="s">
        <v>35</v>
      </c>
      <c r="E228">
        <v>15.2</v>
      </c>
      <c r="F228">
        <v>16.5</v>
      </c>
      <c r="G228">
        <v>16</v>
      </c>
      <c r="H228">
        <v>15.8</v>
      </c>
      <c r="I228">
        <v>15.6</v>
      </c>
      <c r="J228">
        <v>15.6</v>
      </c>
      <c r="K228">
        <v>15.9</v>
      </c>
      <c r="L228">
        <v>16.100000000000001</v>
      </c>
      <c r="M228">
        <v>16</v>
      </c>
      <c r="N228">
        <v>15.9</v>
      </c>
      <c r="O228">
        <v>15.7</v>
      </c>
      <c r="P228">
        <v>15.9</v>
      </c>
      <c r="Q228">
        <v>15.8</v>
      </c>
      <c r="R228">
        <v>15.8</v>
      </c>
      <c r="S228">
        <f>Tableau1[[#This Row],[Final_time]]-SUM(Tableau1[[#This Row],[0_100m]:[1300_1400m]])</f>
        <v>15.399999999999977</v>
      </c>
      <c r="T228">
        <v>237.2</v>
      </c>
      <c r="U228">
        <f t="shared" si="6"/>
        <v>237.2</v>
      </c>
      <c r="V228">
        <f t="shared" si="7"/>
        <v>0</v>
      </c>
      <c r="W228" s="12"/>
      <c r="X228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8" t="s">
        <v>1351</v>
      </c>
      <c r="Z228" s="2" t="s">
        <v>43</v>
      </c>
      <c r="AA228" s="2"/>
      <c r="AB228" s="2" t="s">
        <v>65</v>
      </c>
      <c r="AC228" s="2">
        <v>45843</v>
      </c>
      <c r="AD228" s="3">
        <v>2025</v>
      </c>
      <c r="AE228" s="3">
        <v>25</v>
      </c>
      <c r="AF228" s="5">
        <v>0.35</v>
      </c>
      <c r="AG228" s="3" t="s">
        <v>71</v>
      </c>
    </row>
    <row r="229" spans="1:33" hidden="1" x14ac:dyDescent="0.35">
      <c r="A229" t="str">
        <f>_xlfn.CONCAT(Tableau1[[#This Row],[Athletes]],"_",Tableau1[[#This Row],[Nationality]],"_",Tableau1[[#This Row],[Competition_year]])</f>
        <v>Emily MACKAY_USA_2025</v>
      </c>
      <c r="B229" t="s">
        <v>415</v>
      </c>
      <c r="C229" t="s">
        <v>47</v>
      </c>
      <c r="D229" t="s">
        <v>51</v>
      </c>
      <c r="E229">
        <v>15.7</v>
      </c>
      <c r="F229">
        <v>16.3</v>
      </c>
      <c r="G229">
        <v>16</v>
      </c>
      <c r="H229">
        <v>16</v>
      </c>
      <c r="I229">
        <v>16.100000000000001</v>
      </c>
      <c r="J229">
        <v>15.7</v>
      </c>
      <c r="K229">
        <v>16.2</v>
      </c>
      <c r="L229">
        <v>16</v>
      </c>
      <c r="M229">
        <v>15.8</v>
      </c>
      <c r="N229">
        <v>16.3</v>
      </c>
      <c r="O229">
        <v>15.7</v>
      </c>
      <c r="P229">
        <v>15.8</v>
      </c>
      <c r="Q229">
        <v>15.5</v>
      </c>
      <c r="R229">
        <v>15.4</v>
      </c>
      <c r="S229">
        <f>Tableau1[[#This Row],[Final_time]]-SUM(Tableau1[[#This Row],[0_100m]:[1300_1400m]])</f>
        <v>15.409999999999968</v>
      </c>
      <c r="T229">
        <v>237.91</v>
      </c>
      <c r="U229">
        <f t="shared" si="6"/>
        <v>237.91</v>
      </c>
      <c r="V229">
        <f t="shared" si="7"/>
        <v>0</v>
      </c>
      <c r="W229" s="12"/>
      <c r="X229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29" t="s">
        <v>1351</v>
      </c>
      <c r="Z229" s="2" t="s">
        <v>43</v>
      </c>
      <c r="AA229" s="2"/>
      <c r="AB229" s="2" t="s">
        <v>65</v>
      </c>
      <c r="AC229" s="2">
        <v>45843</v>
      </c>
      <c r="AD229" s="3">
        <v>2025</v>
      </c>
      <c r="AE229" s="3">
        <v>25</v>
      </c>
      <c r="AF229" s="5">
        <v>0.35</v>
      </c>
      <c r="AG229" s="3" t="s">
        <v>71</v>
      </c>
    </row>
    <row r="230" spans="1:33" hidden="1" x14ac:dyDescent="0.35">
      <c r="A230" t="str">
        <f>_xlfn.CONCAT(Tableau1[[#This Row],[Athletes]],"_",Tableau1[[#This Row],[Nationality]],"_",Tableau1[[#This Row],[Competition_year]])</f>
        <v>Shelby HOULIHAN_USA_2025</v>
      </c>
      <c r="B230" t="s">
        <v>1352</v>
      </c>
      <c r="C230" t="s">
        <v>47</v>
      </c>
      <c r="D230" t="s">
        <v>51</v>
      </c>
      <c r="E230">
        <v>16.7</v>
      </c>
      <c r="F230">
        <v>15.4</v>
      </c>
      <c r="G230">
        <v>16.100000000000001</v>
      </c>
      <c r="H230">
        <v>15.7</v>
      </c>
      <c r="I230">
        <v>15.9</v>
      </c>
      <c r="J230">
        <v>15.8</v>
      </c>
      <c r="K230">
        <v>16.2</v>
      </c>
      <c r="L230">
        <v>16.100000000000001</v>
      </c>
      <c r="M230">
        <v>16.7</v>
      </c>
      <c r="N230">
        <v>16.5</v>
      </c>
      <c r="O230">
        <v>16.3</v>
      </c>
      <c r="P230">
        <v>16.399999999999999</v>
      </c>
      <c r="Q230">
        <v>16.600000000000001</v>
      </c>
      <c r="R230">
        <v>16.2</v>
      </c>
      <c r="S230">
        <f>Tableau1[[#This Row],[Final_time]]-SUM(Tableau1[[#This Row],[0_100m]:[1300_1400m]])</f>
        <v>15.780000000000001</v>
      </c>
      <c r="T230">
        <v>242.38</v>
      </c>
      <c r="U230">
        <f t="shared" si="6"/>
        <v>242.38</v>
      </c>
      <c r="V230">
        <f t="shared" si="7"/>
        <v>0</v>
      </c>
      <c r="W230" s="12"/>
      <c r="X230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0" t="s">
        <v>1351</v>
      </c>
      <c r="Z230" s="2" t="s">
        <v>43</v>
      </c>
      <c r="AA230" s="2"/>
      <c r="AB230" s="2" t="s">
        <v>65</v>
      </c>
      <c r="AC230" s="2">
        <v>45843</v>
      </c>
      <c r="AD230" s="3">
        <v>2025</v>
      </c>
      <c r="AE230" s="3">
        <v>25</v>
      </c>
      <c r="AF230" s="5">
        <v>0.35</v>
      </c>
      <c r="AG230" s="3" t="s">
        <v>71</v>
      </c>
    </row>
    <row r="231" spans="1:33" hidden="1" x14ac:dyDescent="0.35">
      <c r="A231" t="str">
        <f>_xlfn.CONCAT(Tableau1[[#This Row],[Athletes]],"_",Tableau1[[#This Row],[Nationality]],"_",Tableau1[[#This Row],[Competition_year]])</f>
        <v>Jessica HULL_AUS_2025</v>
      </c>
      <c r="B231" t="s">
        <v>187</v>
      </c>
      <c r="C231" t="s">
        <v>47</v>
      </c>
      <c r="D231" t="s">
        <v>21</v>
      </c>
      <c r="E231">
        <v>15</v>
      </c>
      <c r="F231">
        <v>15.8</v>
      </c>
      <c r="G231">
        <v>15.7</v>
      </c>
      <c r="H231">
        <v>15.6</v>
      </c>
      <c r="I231">
        <v>15.4</v>
      </c>
      <c r="J231">
        <v>15.3</v>
      </c>
      <c r="K231">
        <v>15.4</v>
      </c>
      <c r="L231">
        <v>15.4</v>
      </c>
      <c r="M231">
        <v>15.3</v>
      </c>
      <c r="N231">
        <v>15.6</v>
      </c>
      <c r="O231">
        <v>15.3</v>
      </c>
      <c r="P231">
        <v>15.2</v>
      </c>
      <c r="Q231">
        <v>15.8</v>
      </c>
      <c r="R231">
        <v>16</v>
      </c>
      <c r="S231">
        <f>Tableau1[[#This Row],[Final_time]]-SUM(Tableau1[[#This Row],[0_100m]:[1300_1400m]])</f>
        <v>15.869999999999976</v>
      </c>
      <c r="T231">
        <v>232.67</v>
      </c>
      <c r="U231">
        <f t="shared" si="6"/>
        <v>232.67</v>
      </c>
      <c r="V231">
        <f t="shared" si="7"/>
        <v>0</v>
      </c>
      <c r="W231" s="12"/>
      <c r="X231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1" t="s">
        <v>1351</v>
      </c>
      <c r="Z231" s="2" t="s">
        <v>43</v>
      </c>
      <c r="AA231" s="2"/>
      <c r="AB231" s="2" t="s">
        <v>65</v>
      </c>
      <c r="AC231" s="2">
        <v>45843</v>
      </c>
      <c r="AD231" s="3">
        <v>2025</v>
      </c>
      <c r="AE231" s="3">
        <v>25</v>
      </c>
      <c r="AF231" s="5">
        <v>0.35</v>
      </c>
      <c r="AG231" s="3" t="s">
        <v>71</v>
      </c>
    </row>
    <row r="232" spans="1:33" hidden="1" x14ac:dyDescent="0.35">
      <c r="A232" t="str">
        <f>_xlfn.CONCAT(Tableau1[[#This Row],[Athletes]],"_",Tableau1[[#This Row],[Nationality]],"_",Tableau1[[#This Row],[Competition_year]])</f>
        <v>Susan Lokayo EJORE_KEN_2025</v>
      </c>
      <c r="B232" t="s">
        <v>1264</v>
      </c>
      <c r="C232" t="s">
        <v>47</v>
      </c>
      <c r="D232" t="s">
        <v>17</v>
      </c>
      <c r="E232">
        <v>15.8</v>
      </c>
      <c r="F232">
        <v>15.9</v>
      </c>
      <c r="G232">
        <v>15.2</v>
      </c>
      <c r="H232">
        <v>15.9</v>
      </c>
      <c r="I232">
        <v>15.7</v>
      </c>
      <c r="J232">
        <v>16</v>
      </c>
      <c r="K232">
        <v>16.100000000000001</v>
      </c>
      <c r="L232">
        <v>16.100000000000001</v>
      </c>
      <c r="M232">
        <v>16.600000000000001</v>
      </c>
      <c r="N232">
        <v>15.7</v>
      </c>
      <c r="O232">
        <v>15.9</v>
      </c>
      <c r="P232">
        <v>15.8</v>
      </c>
      <c r="Q232">
        <v>15.8</v>
      </c>
      <c r="R232">
        <v>15.6</v>
      </c>
      <c r="S232">
        <f>Tableau1[[#This Row],[Final_time]]-SUM(Tableau1[[#This Row],[0_100m]:[1300_1400m]])</f>
        <v>15.950000000000017</v>
      </c>
      <c r="T232">
        <v>238.05</v>
      </c>
      <c r="U232">
        <f t="shared" si="6"/>
        <v>238.05</v>
      </c>
      <c r="V232">
        <f t="shared" si="7"/>
        <v>0</v>
      </c>
      <c r="W232" s="12"/>
      <c r="X232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2" t="s">
        <v>1351</v>
      </c>
      <c r="Z232" s="2" t="s">
        <v>43</v>
      </c>
      <c r="AA232" s="2"/>
      <c r="AB232" s="2" t="s">
        <v>65</v>
      </c>
      <c r="AC232" s="2">
        <v>45843</v>
      </c>
      <c r="AD232" s="3">
        <v>2025</v>
      </c>
      <c r="AE232" s="3">
        <v>25</v>
      </c>
      <c r="AF232" s="5">
        <v>0.35</v>
      </c>
      <c r="AG232" s="3" t="s">
        <v>71</v>
      </c>
    </row>
    <row r="233" spans="1:33" hidden="1" x14ac:dyDescent="0.35">
      <c r="A233" t="str">
        <f>_xlfn.CONCAT(Tableau1[[#This Row],[Athletes]],"_",Tableau1[[#This Row],[Nationality]],"_",Tableau1[[#This Row],[Competition_year]])</f>
        <v>Heather MACLEAN_USA_2025</v>
      </c>
      <c r="B233" t="s">
        <v>355</v>
      </c>
      <c r="C233" t="s">
        <v>47</v>
      </c>
      <c r="D233" t="s">
        <v>51</v>
      </c>
      <c r="E233">
        <v>12.2</v>
      </c>
      <c r="F233">
        <v>19.600000000000001</v>
      </c>
      <c r="G233">
        <v>16</v>
      </c>
      <c r="H233">
        <v>15.8</v>
      </c>
      <c r="I233">
        <v>15.7</v>
      </c>
      <c r="J233">
        <v>15.7</v>
      </c>
      <c r="K233">
        <v>15.8</v>
      </c>
      <c r="L233">
        <v>16.2</v>
      </c>
      <c r="M233">
        <v>16.3</v>
      </c>
      <c r="N233">
        <v>15.9</v>
      </c>
      <c r="O233">
        <v>15.9</v>
      </c>
      <c r="P233">
        <v>15.9</v>
      </c>
      <c r="Q233">
        <v>16.3</v>
      </c>
      <c r="R233">
        <v>16.3</v>
      </c>
      <c r="S233">
        <f>Tableau1[[#This Row],[Final_time]]-SUM(Tableau1[[#This Row],[0_100m]:[1300_1400m]])</f>
        <v>16.599999999999937</v>
      </c>
      <c r="T233">
        <v>240.2</v>
      </c>
      <c r="U233">
        <f t="shared" si="6"/>
        <v>240.2</v>
      </c>
      <c r="V233">
        <f t="shared" si="7"/>
        <v>0</v>
      </c>
      <c r="W233" s="12"/>
      <c r="X233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3" t="s">
        <v>1351</v>
      </c>
      <c r="Z233" s="2" t="s">
        <v>43</v>
      </c>
      <c r="AA233" s="2"/>
      <c r="AB233" s="2" t="s">
        <v>65</v>
      </c>
      <c r="AC233" s="2">
        <v>45843</v>
      </c>
      <c r="AD233" s="3">
        <v>2025</v>
      </c>
      <c r="AE233" s="3">
        <v>25</v>
      </c>
      <c r="AF233" s="5">
        <v>0.35</v>
      </c>
      <c r="AG233" s="3" t="s">
        <v>71</v>
      </c>
    </row>
    <row r="234" spans="1:33" hidden="1" x14ac:dyDescent="0.35">
      <c r="A234" t="str">
        <f>_xlfn.CONCAT(Tableau1[[#This Row],[Athletes]],"_",Tableau1[[#This Row],[Nationality]],"_",Tableau1[[#This Row],[Competition_year]])</f>
        <v>Elise CRANNY_USA_2025</v>
      </c>
      <c r="B234" t="s">
        <v>358</v>
      </c>
      <c r="C234" t="s">
        <v>47</v>
      </c>
      <c r="D234" t="s">
        <v>51</v>
      </c>
      <c r="E234">
        <v>15.3</v>
      </c>
      <c r="F234">
        <v>16.2</v>
      </c>
      <c r="G234">
        <v>15.7</v>
      </c>
      <c r="H234">
        <v>15.9</v>
      </c>
      <c r="I234">
        <v>15.6</v>
      </c>
      <c r="J234">
        <v>15.7</v>
      </c>
      <c r="K234">
        <v>16</v>
      </c>
      <c r="L234">
        <v>16.2</v>
      </c>
      <c r="M234">
        <v>16.7</v>
      </c>
      <c r="N234">
        <v>16.399999999999999</v>
      </c>
      <c r="O234">
        <v>16.3</v>
      </c>
      <c r="P234">
        <v>16.399999999999999</v>
      </c>
      <c r="Q234">
        <v>17.100000000000001</v>
      </c>
      <c r="R234">
        <v>17</v>
      </c>
      <c r="S234">
        <f>Tableau1[[#This Row],[Final_time]]-SUM(Tableau1[[#This Row],[0_100m]:[1300_1400m]])</f>
        <v>16.809999999999974</v>
      </c>
      <c r="T234">
        <v>243.31</v>
      </c>
      <c r="U234">
        <f t="shared" si="6"/>
        <v>243.31</v>
      </c>
      <c r="V234">
        <f t="shared" si="7"/>
        <v>0</v>
      </c>
      <c r="W234" s="12"/>
      <c r="X234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4" t="s">
        <v>1351</v>
      </c>
      <c r="Z234" s="2" t="s">
        <v>43</v>
      </c>
      <c r="AA234" s="2"/>
      <c r="AB234" s="2" t="s">
        <v>65</v>
      </c>
      <c r="AC234" s="2">
        <v>45843</v>
      </c>
      <c r="AD234" s="3">
        <v>2025</v>
      </c>
      <c r="AE234" s="3">
        <v>25</v>
      </c>
      <c r="AF234" s="5">
        <v>0.35</v>
      </c>
      <c r="AG234" s="3" t="s">
        <v>71</v>
      </c>
    </row>
    <row r="235" spans="1:33" hidden="1" x14ac:dyDescent="0.35">
      <c r="A235" t="str">
        <f>_xlfn.CONCAT(Tableau1[[#This Row],[Athletes]],"_",Tableau1[[#This Row],[Nationality]],"_",Tableau1[[#This Row],[Competition_year]])</f>
        <v>Erin WALLACE_GBR_2025</v>
      </c>
      <c r="B235" t="s">
        <v>407</v>
      </c>
      <c r="C235" t="s">
        <v>47</v>
      </c>
      <c r="D235" t="s">
        <v>20</v>
      </c>
      <c r="E235">
        <v>15.9</v>
      </c>
      <c r="F235">
        <v>16.5</v>
      </c>
      <c r="G235">
        <v>16</v>
      </c>
      <c r="H235">
        <v>15.9</v>
      </c>
      <c r="I235">
        <v>15.7</v>
      </c>
      <c r="J235">
        <v>15.8</v>
      </c>
      <c r="K235">
        <v>15.7</v>
      </c>
      <c r="L235">
        <v>16</v>
      </c>
      <c r="M235">
        <v>16</v>
      </c>
      <c r="N235">
        <v>16.399999999999999</v>
      </c>
      <c r="O235">
        <v>15.8</v>
      </c>
      <c r="P235">
        <v>16</v>
      </c>
      <c r="Q235">
        <v>16.100000000000001</v>
      </c>
      <c r="R235">
        <v>16.600000000000001</v>
      </c>
      <c r="S235">
        <f>Tableau1[[#This Row],[Final_time]]-SUM(Tableau1[[#This Row],[0_100m]:[1300_1400m]])</f>
        <v>21.870000000000005</v>
      </c>
      <c r="T235">
        <v>246.27</v>
      </c>
      <c r="U235">
        <f t="shared" si="6"/>
        <v>246.27</v>
      </c>
      <c r="V235">
        <f t="shared" si="7"/>
        <v>0</v>
      </c>
      <c r="W235" s="12"/>
      <c r="X235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5" t="s">
        <v>1351</v>
      </c>
      <c r="Z235" s="2" t="s">
        <v>43</v>
      </c>
      <c r="AA235" s="2"/>
      <c r="AB235" s="2" t="s">
        <v>65</v>
      </c>
      <c r="AC235" s="2">
        <v>45843</v>
      </c>
      <c r="AD235" s="3">
        <v>2025</v>
      </c>
      <c r="AE235" s="3">
        <v>25</v>
      </c>
      <c r="AF235" s="5">
        <v>0.35</v>
      </c>
      <c r="AG235" s="3" t="s">
        <v>71</v>
      </c>
    </row>
    <row r="236" spans="1:33" hidden="1" x14ac:dyDescent="0.35">
      <c r="A236" t="str">
        <f>_xlfn.CONCAT(Tableau1[[#This Row],[Athletes]],"_",Tableau1[[#This Row],[Nationality]],"_",Tableau1[[#This Row],[Competition_year]])</f>
        <v>Nikki HILTZ_USA_2025</v>
      </c>
      <c r="B236" t="s">
        <v>154</v>
      </c>
      <c r="C236" t="s">
        <v>47</v>
      </c>
      <c r="D236" t="s">
        <v>51</v>
      </c>
      <c r="T236">
        <v>235.96</v>
      </c>
      <c r="U236">
        <f t="shared" si="6"/>
        <v>0</v>
      </c>
      <c r="V236">
        <f t="shared" si="7"/>
        <v>235.96</v>
      </c>
      <c r="W236" s="12"/>
      <c r="X236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6" t="s">
        <v>1351</v>
      </c>
      <c r="Z236" s="2" t="s">
        <v>43</v>
      </c>
      <c r="AA236" s="2"/>
      <c r="AB236" s="2" t="s">
        <v>65</v>
      </c>
      <c r="AC236" s="2">
        <v>45843</v>
      </c>
      <c r="AD236" s="3">
        <v>2025</v>
      </c>
      <c r="AE236" s="3">
        <v>25</v>
      </c>
      <c r="AF236" s="5">
        <v>0.35</v>
      </c>
      <c r="AG236" s="3" t="s">
        <v>71</v>
      </c>
    </row>
    <row r="237" spans="1:33" hidden="1" x14ac:dyDescent="0.35">
      <c r="A237" t="str">
        <f>_xlfn.CONCAT(Tableau1[[#This Row],[Athletes]],"_",Tableau1[[#This Row],[Nationality]],"_",Tableau1[[#This Row],[Competition_year]])</f>
        <v>Georgia HUNTER BELL_GBR_2025</v>
      </c>
      <c r="B237" t="s">
        <v>1348</v>
      </c>
      <c r="C237" t="s">
        <v>47</v>
      </c>
      <c r="D237" t="s">
        <v>20</v>
      </c>
      <c r="T237">
        <v>234.76</v>
      </c>
      <c r="U237">
        <f t="shared" si="6"/>
        <v>0</v>
      </c>
      <c r="V237">
        <f t="shared" si="7"/>
        <v>234.76</v>
      </c>
      <c r="W237" s="12"/>
      <c r="X237" t="str">
        <f>_xlfn.CONCAT(Tableau1[[#This Row],[Competition]],"_",Tableau1[[#This Row],[Championship_step]],"_",Tableau1[[#This Row],[Competition_date]],"_",Tableau1[[#This Row],[Gender]])</f>
        <v>Diamond League Eugene 2025__45843_Female</v>
      </c>
      <c r="Y237" t="s">
        <v>1351</v>
      </c>
      <c r="Z237" s="2" t="s">
        <v>43</v>
      </c>
      <c r="AA237" s="2"/>
      <c r="AB237" s="2" t="s">
        <v>65</v>
      </c>
      <c r="AC237" s="2">
        <v>45843</v>
      </c>
      <c r="AD237" s="3">
        <v>2025</v>
      </c>
      <c r="AE237" s="3">
        <v>25</v>
      </c>
      <c r="AF237" s="5">
        <v>0.35</v>
      </c>
      <c r="AG237" s="3" t="s">
        <v>71</v>
      </c>
    </row>
    <row r="238" spans="1:33" hidden="1" x14ac:dyDescent="0.35">
      <c r="A238" t="str">
        <f>_xlfn.CONCAT(Tableau1[[#This Row],[Athletes]],"_",Tableau1[[#This Row],[Nationality]],"_",Tableau1[[#This Row],[Competition_year]])</f>
        <v>Sifan HASSAN_NED_2021</v>
      </c>
      <c r="B238" t="s">
        <v>152</v>
      </c>
      <c r="C238" t="s">
        <v>47</v>
      </c>
      <c r="D238" t="s">
        <v>39</v>
      </c>
      <c r="E238">
        <v>15.4</v>
      </c>
      <c r="F238">
        <v>16</v>
      </c>
      <c r="G238">
        <v>16</v>
      </c>
      <c r="H238">
        <v>15.9</v>
      </c>
      <c r="I238">
        <v>16.100000000000001</v>
      </c>
      <c r="J238">
        <v>16.2</v>
      </c>
      <c r="K238">
        <v>15.8</v>
      </c>
      <c r="L238">
        <v>15.7</v>
      </c>
      <c r="M238">
        <v>15.8</v>
      </c>
      <c r="N238">
        <v>15.7</v>
      </c>
      <c r="O238">
        <v>15.6</v>
      </c>
      <c r="P238">
        <v>15.6</v>
      </c>
      <c r="Q238">
        <v>15</v>
      </c>
      <c r="R238">
        <v>14.5</v>
      </c>
      <c r="S238">
        <f>Tableau1[[#This Row],[Final_time]]-SUM(Tableau1[[#This Row],[0_100m]:[1300_1400m]])</f>
        <v>14.330000000000013</v>
      </c>
      <c r="T238">
        <v>233.63</v>
      </c>
      <c r="U238">
        <f t="shared" si="6"/>
        <v>233.63</v>
      </c>
      <c r="V238">
        <f t="shared" si="7"/>
        <v>0</v>
      </c>
      <c r="W238" s="12"/>
      <c r="X238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38" t="s">
        <v>316</v>
      </c>
      <c r="Z238" t="s">
        <v>43</v>
      </c>
      <c r="AB238" t="s">
        <v>65</v>
      </c>
      <c r="AC238" s="2">
        <v>44357</v>
      </c>
      <c r="AD238">
        <v>2021</v>
      </c>
      <c r="AE238">
        <v>22</v>
      </c>
      <c r="AF238" s="5">
        <v>0.75</v>
      </c>
      <c r="AG238" s="3" t="s">
        <v>62</v>
      </c>
    </row>
    <row r="239" spans="1:33" hidden="1" x14ac:dyDescent="0.35">
      <c r="A239" t="str">
        <f>_xlfn.CONCAT(Tableau1[[#This Row],[Athletes]],"_",Tableau1[[#This Row],[Nationality]],"_",Tableau1[[#This Row],[Competition_year]])</f>
        <v>Faith KIPYEGON_KEN_2021</v>
      </c>
      <c r="B239" t="s">
        <v>164</v>
      </c>
      <c r="C239" t="s">
        <v>47</v>
      </c>
      <c r="D239" t="s">
        <v>17</v>
      </c>
      <c r="E239">
        <v>15.1</v>
      </c>
      <c r="F239">
        <v>16.5</v>
      </c>
      <c r="G239">
        <v>15.9</v>
      </c>
      <c r="H239">
        <v>15.8</v>
      </c>
      <c r="I239">
        <v>16.2</v>
      </c>
      <c r="J239">
        <v>16.100000000000001</v>
      </c>
      <c r="K239">
        <v>15.9</v>
      </c>
      <c r="L239">
        <v>15.8</v>
      </c>
      <c r="M239">
        <v>15.8</v>
      </c>
      <c r="N239">
        <v>15.6</v>
      </c>
      <c r="O239">
        <v>15.5</v>
      </c>
      <c r="P239">
        <v>15.6</v>
      </c>
      <c r="Q239">
        <v>15.1</v>
      </c>
      <c r="R239">
        <v>14.5</v>
      </c>
      <c r="S239">
        <f>Tableau1[[#This Row],[Final_time]]-SUM(Tableau1[[#This Row],[0_100m]:[1300_1400m]])</f>
        <v>14.509999999999991</v>
      </c>
      <c r="T239">
        <v>233.90999999999997</v>
      </c>
      <c r="U239">
        <f t="shared" si="6"/>
        <v>233.90999999999997</v>
      </c>
      <c r="V239">
        <f t="shared" si="7"/>
        <v>0</v>
      </c>
      <c r="W239" s="12"/>
      <c r="X239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39" t="s">
        <v>316</v>
      </c>
      <c r="Z239" t="s">
        <v>43</v>
      </c>
      <c r="AB239" t="s">
        <v>65</v>
      </c>
      <c r="AC239" s="2">
        <v>44357</v>
      </c>
      <c r="AD239">
        <v>2021</v>
      </c>
      <c r="AE239">
        <v>22</v>
      </c>
      <c r="AF239" s="5">
        <v>0.75</v>
      </c>
      <c r="AG239" s="3" t="s">
        <v>62</v>
      </c>
    </row>
    <row r="240" spans="1:33" hidden="1" x14ac:dyDescent="0.35">
      <c r="A240" t="str">
        <f>_xlfn.CONCAT(Tableau1[[#This Row],[Athletes]],"_",Tableau1[[#This Row],[Nationality]],"_",Tableau1[[#This Row],[Competition_year]])</f>
        <v>Laura MUIR_GBR_2021</v>
      </c>
      <c r="B240" t="s">
        <v>153</v>
      </c>
      <c r="C240" t="s">
        <v>47</v>
      </c>
      <c r="D240" t="s">
        <v>20</v>
      </c>
      <c r="E240">
        <v>14.9</v>
      </c>
      <c r="F240">
        <v>16.600000000000001</v>
      </c>
      <c r="G240">
        <v>16</v>
      </c>
      <c r="H240">
        <v>16</v>
      </c>
      <c r="I240">
        <v>16.2</v>
      </c>
      <c r="J240">
        <v>16.100000000000001</v>
      </c>
      <c r="K240">
        <v>15.9</v>
      </c>
      <c r="L240">
        <v>15.8</v>
      </c>
      <c r="M240">
        <v>15.8</v>
      </c>
      <c r="N240">
        <v>15.7</v>
      </c>
      <c r="O240">
        <v>15.5</v>
      </c>
      <c r="P240">
        <v>15.5</v>
      </c>
      <c r="Q240">
        <v>15.2</v>
      </c>
      <c r="R240">
        <v>15</v>
      </c>
      <c r="S240">
        <f>Tableau1[[#This Row],[Final_time]]-SUM(Tableau1[[#This Row],[0_100m]:[1300_1400m]])</f>
        <v>15.389999999999986</v>
      </c>
      <c r="T240">
        <v>235.58999999999997</v>
      </c>
      <c r="U240">
        <f t="shared" si="6"/>
        <v>235.58999999999997</v>
      </c>
      <c r="V240">
        <f t="shared" si="7"/>
        <v>0</v>
      </c>
      <c r="W240" s="12"/>
      <c r="X240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0" t="s">
        <v>316</v>
      </c>
      <c r="Z240" t="s">
        <v>43</v>
      </c>
      <c r="AB240" t="s">
        <v>65</v>
      </c>
      <c r="AC240" s="2">
        <v>44357</v>
      </c>
      <c r="AD240">
        <v>2021</v>
      </c>
      <c r="AE240">
        <v>22</v>
      </c>
      <c r="AF240" s="5">
        <v>0.75</v>
      </c>
      <c r="AG240" s="3" t="s">
        <v>62</v>
      </c>
    </row>
    <row r="241" spans="1:33" hidden="1" x14ac:dyDescent="0.35">
      <c r="A241" t="str">
        <f>_xlfn.CONCAT(Tableau1[[#This Row],[Athletes]],"_",Tableau1[[#This Row],[Nationality]],"_",Tableau1[[#This Row],[Competition_year]])</f>
        <v>Gabriela DEBUES-STAFFORD_CAN_2021</v>
      </c>
      <c r="B241" t="s">
        <v>298</v>
      </c>
      <c r="C241" t="s">
        <v>47</v>
      </c>
      <c r="D241" t="s">
        <v>55</v>
      </c>
      <c r="E241">
        <v>15</v>
      </c>
      <c r="F241">
        <v>16.7</v>
      </c>
      <c r="G241">
        <v>16.599999999999998</v>
      </c>
      <c r="H241">
        <v>16</v>
      </c>
      <c r="I241">
        <v>16.5</v>
      </c>
      <c r="J241">
        <v>16.200000000000003</v>
      </c>
      <c r="K241">
        <v>15.700000000000003</v>
      </c>
      <c r="L241">
        <v>15.700000000000003</v>
      </c>
      <c r="M241">
        <v>16.099999999999994</v>
      </c>
      <c r="N241">
        <v>16.300000000000011</v>
      </c>
      <c r="O241">
        <v>15.799999999999983</v>
      </c>
      <c r="P241">
        <v>15.800000000000011</v>
      </c>
      <c r="Q241">
        <v>16.299999999999983</v>
      </c>
      <c r="R241">
        <v>16.300000000000011</v>
      </c>
      <c r="S241">
        <f>Tableau1[[#This Row],[Final_time]]-SUM(Tableau1[[#This Row],[0_100m]:[1300_1400m]])</f>
        <v>15.460000000000008</v>
      </c>
      <c r="T241">
        <v>240.46</v>
      </c>
      <c r="U241">
        <f t="shared" si="6"/>
        <v>240.46</v>
      </c>
      <c r="V241">
        <f t="shared" si="7"/>
        <v>0</v>
      </c>
      <c r="W241" s="12"/>
      <c r="X241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1" t="s">
        <v>316</v>
      </c>
      <c r="Z241" t="s">
        <v>43</v>
      </c>
      <c r="AB241" t="s">
        <v>65</v>
      </c>
      <c r="AC241" s="2">
        <v>44357</v>
      </c>
      <c r="AD241">
        <v>2021</v>
      </c>
      <c r="AE241">
        <v>22</v>
      </c>
      <c r="AF241" s="5">
        <v>0.75</v>
      </c>
      <c r="AG241" s="3" t="s">
        <v>62</v>
      </c>
    </row>
    <row r="242" spans="1:33" hidden="1" x14ac:dyDescent="0.35">
      <c r="A242" t="str">
        <f>_xlfn.CONCAT(Tableau1[[#This Row],[Athletes]],"_",Tableau1[[#This Row],[Nationality]],"_",Tableau1[[#This Row],[Competition_year]])</f>
        <v>Winnie NANYONDO_UGA_2021</v>
      </c>
      <c r="B242" t="s">
        <v>241</v>
      </c>
      <c r="C242" t="s">
        <v>47</v>
      </c>
      <c r="D242" t="s">
        <v>52</v>
      </c>
      <c r="E242">
        <v>15.2</v>
      </c>
      <c r="F242">
        <v>16.600000000000001</v>
      </c>
      <c r="G242">
        <v>16.2</v>
      </c>
      <c r="H242">
        <v>16</v>
      </c>
      <c r="I242">
        <v>16.5</v>
      </c>
      <c r="J242">
        <v>16.5</v>
      </c>
      <c r="K242">
        <v>16</v>
      </c>
      <c r="L242">
        <v>15.900000000000006</v>
      </c>
      <c r="M242">
        <v>16.299999999999983</v>
      </c>
      <c r="N242">
        <v>16.300000000000011</v>
      </c>
      <c r="O242">
        <v>16.300000000000011</v>
      </c>
      <c r="P242">
        <v>16</v>
      </c>
      <c r="Q242">
        <v>15.899999999999977</v>
      </c>
      <c r="R242">
        <v>15.5</v>
      </c>
      <c r="S242">
        <f>Tableau1[[#This Row],[Final_time]]-SUM(Tableau1[[#This Row],[0_100m]:[1300_1400m]])</f>
        <v>15.640000000000015</v>
      </c>
      <c r="T242">
        <v>240.84</v>
      </c>
      <c r="U242">
        <f t="shared" si="6"/>
        <v>240.84</v>
      </c>
      <c r="V242">
        <f t="shared" si="7"/>
        <v>0</v>
      </c>
      <c r="W242" s="12"/>
      <c r="X242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2" t="s">
        <v>316</v>
      </c>
      <c r="Z242" t="s">
        <v>43</v>
      </c>
      <c r="AB242" t="s">
        <v>65</v>
      </c>
      <c r="AC242" s="2">
        <v>44357</v>
      </c>
      <c r="AD242">
        <v>2021</v>
      </c>
      <c r="AE242">
        <v>22</v>
      </c>
      <c r="AF242" s="5">
        <v>0.75</v>
      </c>
      <c r="AG242" s="3" t="s">
        <v>62</v>
      </c>
    </row>
    <row r="243" spans="1:33" hidden="1" x14ac:dyDescent="0.35">
      <c r="A243" t="str">
        <f>_xlfn.CONCAT(Tableau1[[#This Row],[Athletes]],"_",Tableau1[[#This Row],[Nationality]],"_",Tableau1[[#This Row],[Competition_year]])</f>
        <v>Esther GUERRERO_ESP_2021</v>
      </c>
      <c r="B243" t="s">
        <v>169</v>
      </c>
      <c r="C243" t="s">
        <v>47</v>
      </c>
      <c r="D243" t="s">
        <v>22</v>
      </c>
      <c r="E243">
        <v>15.6</v>
      </c>
      <c r="F243">
        <v>16.600000000000001</v>
      </c>
      <c r="G243">
        <v>16.599999999999994</v>
      </c>
      <c r="H243">
        <v>16.400000000000006</v>
      </c>
      <c r="I243">
        <v>16.399999999999991</v>
      </c>
      <c r="J243">
        <v>16.400000000000006</v>
      </c>
      <c r="K243">
        <v>15.900000000000006</v>
      </c>
      <c r="L243">
        <v>16.5</v>
      </c>
      <c r="M243">
        <v>16.400000000000006</v>
      </c>
      <c r="N243">
        <v>16.5</v>
      </c>
      <c r="O243">
        <v>16.099999999999994</v>
      </c>
      <c r="P243">
        <v>16.099999999999994</v>
      </c>
      <c r="Q243">
        <v>16.300000000000011</v>
      </c>
      <c r="R243">
        <v>16</v>
      </c>
      <c r="S243">
        <f>Tableau1[[#This Row],[Final_time]]-SUM(Tableau1[[#This Row],[0_100m]:[1300_1400m]])</f>
        <v>15.869999999999976</v>
      </c>
      <c r="T243">
        <v>243.67</v>
      </c>
      <c r="U243">
        <f t="shared" si="6"/>
        <v>243.67</v>
      </c>
      <c r="V243">
        <f t="shared" si="7"/>
        <v>0</v>
      </c>
      <c r="W243" s="12"/>
      <c r="X243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3" t="s">
        <v>316</v>
      </c>
      <c r="Z243" t="s">
        <v>43</v>
      </c>
      <c r="AB243" t="s">
        <v>65</v>
      </c>
      <c r="AC243" s="2">
        <v>44357</v>
      </c>
      <c r="AD243">
        <v>2021</v>
      </c>
      <c r="AE243">
        <v>22</v>
      </c>
      <c r="AF243" s="5">
        <v>0.75</v>
      </c>
      <c r="AG243" s="3" t="s">
        <v>62</v>
      </c>
    </row>
    <row r="244" spans="1:33" hidden="1" x14ac:dyDescent="0.35">
      <c r="A244" t="str">
        <f>_xlfn.CONCAT(Tableau1[[#This Row],[Athletes]],"_",Tableau1[[#This Row],[Nationality]],"_",Tableau1[[#This Row],[Competition_year]])</f>
        <v>Ciara MAGEEAN_IRL_2021</v>
      </c>
      <c r="B244" t="s">
        <v>180</v>
      </c>
      <c r="C244" t="s">
        <v>47</v>
      </c>
      <c r="D244" t="s">
        <v>35</v>
      </c>
      <c r="E244">
        <v>16</v>
      </c>
      <c r="F244">
        <v>16.399999999999999</v>
      </c>
      <c r="G244">
        <v>16.5</v>
      </c>
      <c r="H244">
        <v>16.199999999999996</v>
      </c>
      <c r="I244">
        <v>16.400000000000006</v>
      </c>
      <c r="J244">
        <v>16.299999999999997</v>
      </c>
      <c r="K244">
        <v>16.100000000000009</v>
      </c>
      <c r="L244">
        <v>16.5</v>
      </c>
      <c r="M244">
        <v>16.699999999999989</v>
      </c>
      <c r="N244">
        <v>16.5</v>
      </c>
      <c r="O244">
        <v>16.400000000000006</v>
      </c>
      <c r="P244">
        <v>16</v>
      </c>
      <c r="Q244">
        <v>16.400000000000006</v>
      </c>
      <c r="R244">
        <v>16</v>
      </c>
      <c r="S244">
        <f>Tableau1[[#This Row],[Final_time]]-SUM(Tableau1[[#This Row],[0_100m]:[1300_1400m]])</f>
        <v>15.919999999999987</v>
      </c>
      <c r="T244">
        <v>244.32</v>
      </c>
      <c r="U244">
        <f t="shared" si="6"/>
        <v>244.32</v>
      </c>
      <c r="V244">
        <f t="shared" si="7"/>
        <v>0</v>
      </c>
      <c r="W244" s="12"/>
      <c r="X244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4" t="s">
        <v>316</v>
      </c>
      <c r="Z244" t="s">
        <v>43</v>
      </c>
      <c r="AB244" t="s">
        <v>65</v>
      </c>
      <c r="AC244" s="2">
        <v>44357</v>
      </c>
      <c r="AD244">
        <v>2021</v>
      </c>
      <c r="AE244">
        <v>22</v>
      </c>
      <c r="AF244" s="5">
        <v>0.75</v>
      </c>
      <c r="AG244" s="3" t="s">
        <v>62</v>
      </c>
    </row>
    <row r="245" spans="1:33" hidden="1" x14ac:dyDescent="0.35">
      <c r="A245" t="str">
        <f>_xlfn.CONCAT(Tableau1[[#This Row],[Athletes]],"_",Tableau1[[#This Row],[Nationality]],"_",Tableau1[[#This Row],[Competition_year]])</f>
        <v>Eilish MCCOLGAN_GBR_2021</v>
      </c>
      <c r="B245" t="s">
        <v>861</v>
      </c>
      <c r="C245" t="s">
        <v>47</v>
      </c>
      <c r="D245" t="s">
        <v>20</v>
      </c>
      <c r="E245">
        <v>16</v>
      </c>
      <c r="F245">
        <v>16.399999999999999</v>
      </c>
      <c r="G245">
        <v>16.300000000000004</v>
      </c>
      <c r="H245">
        <v>16.099999999999994</v>
      </c>
      <c r="I245">
        <v>16.200000000000003</v>
      </c>
      <c r="J245">
        <v>16.299999999999997</v>
      </c>
      <c r="K245">
        <v>16.200000000000003</v>
      </c>
      <c r="L245">
        <v>16</v>
      </c>
      <c r="M245">
        <v>16.400000000000006</v>
      </c>
      <c r="N245">
        <v>16.099999999999994</v>
      </c>
      <c r="O245">
        <v>16.199999999999989</v>
      </c>
      <c r="P245">
        <v>15.800000000000011</v>
      </c>
      <c r="Q245">
        <v>16.199999999999989</v>
      </c>
      <c r="R245">
        <v>15.900000000000006</v>
      </c>
      <c r="S245">
        <f>Tableau1[[#This Row],[Final_time]]-SUM(Tableau1[[#This Row],[0_100m]:[1300_1400m]])</f>
        <v>16.02000000000001</v>
      </c>
      <c r="T245">
        <v>242.12</v>
      </c>
      <c r="U245">
        <f t="shared" si="6"/>
        <v>242.12</v>
      </c>
      <c r="V245">
        <f t="shared" si="7"/>
        <v>0</v>
      </c>
      <c r="W245" s="12"/>
      <c r="X245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5" t="s">
        <v>316</v>
      </c>
      <c r="Z245" t="s">
        <v>43</v>
      </c>
      <c r="AB245" t="s">
        <v>65</v>
      </c>
      <c r="AC245" s="2">
        <v>44357</v>
      </c>
      <c r="AD245">
        <v>2021</v>
      </c>
      <c r="AE245">
        <v>22</v>
      </c>
      <c r="AF245" s="5">
        <v>0.75</v>
      </c>
      <c r="AG245" s="3" t="s">
        <v>62</v>
      </c>
    </row>
    <row r="246" spans="1:33" hidden="1" x14ac:dyDescent="0.35">
      <c r="A246" t="str">
        <f>_xlfn.CONCAT(Tableau1[[#This Row],[Athletes]],"_",Tableau1[[#This Row],[Nationality]],"_",Tableau1[[#This Row],[Competition_year]])</f>
        <v>Elise VANDERELST_BEL_2021</v>
      </c>
      <c r="B246" t="s">
        <v>177</v>
      </c>
      <c r="C246" t="s">
        <v>47</v>
      </c>
      <c r="D246" t="s">
        <v>86</v>
      </c>
      <c r="E246">
        <v>15.6</v>
      </c>
      <c r="F246">
        <v>16.600000000000001</v>
      </c>
      <c r="G246">
        <v>16.5</v>
      </c>
      <c r="H246">
        <v>16</v>
      </c>
      <c r="I246">
        <v>16.599999999999994</v>
      </c>
      <c r="J246">
        <v>16.400000000000006</v>
      </c>
      <c r="K246">
        <v>16</v>
      </c>
      <c r="L246">
        <v>16.600000000000009</v>
      </c>
      <c r="M246">
        <v>15.899999999999977</v>
      </c>
      <c r="N246">
        <v>16.300000000000011</v>
      </c>
      <c r="O246">
        <v>16.199999999999989</v>
      </c>
      <c r="P246">
        <v>16</v>
      </c>
      <c r="Q246">
        <v>16</v>
      </c>
      <c r="R246">
        <v>15.900000000000006</v>
      </c>
      <c r="S246">
        <f>Tableau1[[#This Row],[Final_time]]-SUM(Tableau1[[#This Row],[0_100m]:[1300_1400m]])</f>
        <v>16.03</v>
      </c>
      <c r="T246">
        <v>242.63</v>
      </c>
      <c r="U246">
        <f t="shared" si="6"/>
        <v>242.63</v>
      </c>
      <c r="V246">
        <f t="shared" si="7"/>
        <v>0</v>
      </c>
      <c r="W246" s="12"/>
      <c r="X246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6" t="s">
        <v>316</v>
      </c>
      <c r="Z246" t="s">
        <v>43</v>
      </c>
      <c r="AB246" t="s">
        <v>65</v>
      </c>
      <c r="AC246" s="2">
        <v>44357</v>
      </c>
      <c r="AD246">
        <v>2021</v>
      </c>
      <c r="AE246">
        <v>22</v>
      </c>
      <c r="AF246" s="5">
        <v>0.75</v>
      </c>
      <c r="AG246" s="3" t="s">
        <v>62</v>
      </c>
    </row>
    <row r="247" spans="1:33" hidden="1" x14ac:dyDescent="0.35">
      <c r="A247" t="str">
        <f>_xlfn.CONCAT(Tableau1[[#This Row],[Athletes]],"_",Tableau1[[#This Row],[Nationality]],"_",Tableau1[[#This Row],[Competition_year]])</f>
        <v>Lemlem HAILU_ETH_2021</v>
      </c>
      <c r="B247" t="s">
        <v>271</v>
      </c>
      <c r="C247" t="s">
        <v>47</v>
      </c>
      <c r="D247" t="s">
        <v>48</v>
      </c>
      <c r="E247">
        <v>15.5</v>
      </c>
      <c r="F247">
        <v>16.5</v>
      </c>
      <c r="G247">
        <v>15.700000000000003</v>
      </c>
      <c r="H247">
        <v>16</v>
      </c>
      <c r="I247">
        <v>16.299999999999997</v>
      </c>
      <c r="J247">
        <v>16.099999999999994</v>
      </c>
      <c r="K247">
        <v>16</v>
      </c>
      <c r="L247">
        <v>15.900000000000006</v>
      </c>
      <c r="M247">
        <v>16.300000000000011</v>
      </c>
      <c r="N247">
        <v>16.5</v>
      </c>
      <c r="O247">
        <v>16.399999999999977</v>
      </c>
      <c r="P247">
        <v>16.5</v>
      </c>
      <c r="Q247">
        <v>16.300000000000011</v>
      </c>
      <c r="R247">
        <v>17.099999999999994</v>
      </c>
      <c r="S247">
        <f>Tableau1[[#This Row],[Final_time]]-SUM(Tableau1[[#This Row],[0_100m]:[1300_1400m]])</f>
        <v>16.140000000000015</v>
      </c>
      <c r="T247">
        <v>243.24</v>
      </c>
      <c r="U247">
        <f t="shared" si="6"/>
        <v>243.24</v>
      </c>
      <c r="V247">
        <f t="shared" si="7"/>
        <v>0</v>
      </c>
      <c r="W247" s="12"/>
      <c r="X247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7" t="s">
        <v>316</v>
      </c>
      <c r="Z247" t="s">
        <v>43</v>
      </c>
      <c r="AB247" t="s">
        <v>65</v>
      </c>
      <c r="AC247" s="2">
        <v>44357</v>
      </c>
      <c r="AD247">
        <v>2021</v>
      </c>
      <c r="AE247">
        <v>22</v>
      </c>
      <c r="AF247" s="5">
        <v>0.75</v>
      </c>
      <c r="AG247" s="3" t="s">
        <v>62</v>
      </c>
    </row>
    <row r="248" spans="1:33" hidden="1" x14ac:dyDescent="0.35">
      <c r="A248" t="str">
        <f>_xlfn.CONCAT(Tableau1[[#This Row],[Athletes]],"_",Tableau1[[#This Row],[Nationality]],"_",Tableau1[[#This Row],[Competition_year]])</f>
        <v>Gaia SABBATINI_ITA_2021</v>
      </c>
      <c r="B248" t="s">
        <v>167</v>
      </c>
      <c r="C248" t="s">
        <v>47</v>
      </c>
      <c r="D248" t="s">
        <v>19</v>
      </c>
      <c r="E248">
        <v>15.4</v>
      </c>
      <c r="F248">
        <v>16.600000000000001</v>
      </c>
      <c r="G248">
        <v>16.600000000000001</v>
      </c>
      <c r="H248">
        <v>15.899999999999999</v>
      </c>
      <c r="I248">
        <v>16.5</v>
      </c>
      <c r="J248">
        <v>16.5</v>
      </c>
      <c r="K248">
        <v>16.099999999999994</v>
      </c>
      <c r="L248">
        <v>16.5</v>
      </c>
      <c r="M248">
        <v>16.300000000000011</v>
      </c>
      <c r="N248">
        <v>16.5</v>
      </c>
      <c r="O248">
        <v>16.199999999999989</v>
      </c>
      <c r="P248">
        <v>16.099999999999994</v>
      </c>
      <c r="Q248">
        <v>16.800000000000011</v>
      </c>
      <c r="R248">
        <v>16</v>
      </c>
      <c r="S248">
        <f>Tableau1[[#This Row],[Final_time]]-SUM(Tableau1[[#This Row],[0_100m]:[1300_1400m]])</f>
        <v>16.22999999999999</v>
      </c>
      <c r="T248">
        <v>244.23</v>
      </c>
      <c r="U248">
        <f t="shared" si="6"/>
        <v>244.23</v>
      </c>
      <c r="V248">
        <f t="shared" si="7"/>
        <v>0</v>
      </c>
      <c r="W248" s="12"/>
      <c r="X248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8" t="s">
        <v>316</v>
      </c>
      <c r="Z248" t="s">
        <v>43</v>
      </c>
      <c r="AB248" t="s">
        <v>65</v>
      </c>
      <c r="AC248" s="2">
        <v>44357</v>
      </c>
      <c r="AD248">
        <v>2021</v>
      </c>
      <c r="AE248">
        <v>22</v>
      </c>
      <c r="AF248" s="5">
        <v>0.75</v>
      </c>
      <c r="AG248" s="3" t="s">
        <v>62</v>
      </c>
    </row>
    <row r="249" spans="1:33" hidden="1" x14ac:dyDescent="0.35">
      <c r="A249" t="str">
        <f>_xlfn.CONCAT(Tableau1[[#This Row],[Athletes]],"_",Tableau1[[#This Row],[Nationality]],"_",Tableau1[[#This Row],[Competition_year]])</f>
        <v>Rababe ARAFI_MAR_2021</v>
      </c>
      <c r="B249" t="s">
        <v>1183</v>
      </c>
      <c r="C249" t="s">
        <v>47</v>
      </c>
      <c r="D249" t="s">
        <v>75</v>
      </c>
      <c r="E249">
        <v>15.7</v>
      </c>
      <c r="F249">
        <f>31.7-Tableau1[[#This Row],[0_100m]]</f>
        <v>16</v>
      </c>
      <c r="G249">
        <f>47.8-SUM(Tableau1[[#This Row],[0_100m]:[100_200m]])</f>
        <v>16.099999999999998</v>
      </c>
      <c r="H249">
        <f>63.8-SUM(Tableau1[[#This Row],[0_100m]:[200_300m]])</f>
        <v>16</v>
      </c>
      <c r="I249">
        <f>80.3-SUM(Tableau1[[#This Row],[0_100m]:[300_400m]])</f>
        <v>16.5</v>
      </c>
      <c r="J249">
        <f>96.8-SUM(Tableau1[[#This Row],[0_100m]:[400_500m]])</f>
        <v>16.5</v>
      </c>
      <c r="K249">
        <f>113.4-SUM(Tableau1[[#This Row],[0_100m]:[500_600m]])</f>
        <v>16.600000000000009</v>
      </c>
      <c r="L249">
        <f>129.8-SUM(Tableau1[[#This Row],[0_100m]:[600_700m]])</f>
        <v>16.400000000000006</v>
      </c>
      <c r="M249">
        <f>146.5-SUM(Tableau1[[#This Row],[0_100m]:[700_800m]])</f>
        <v>16.699999999999989</v>
      </c>
      <c r="N249">
        <f>163-SUM(Tableau1[[#This Row],[0_100m]:[800_900m]])</f>
        <v>16.5</v>
      </c>
      <c r="O249">
        <f>178.8-SUM(Tableau1[[#This Row],[0_100m]:[900_1000m]])</f>
        <v>15.800000000000011</v>
      </c>
      <c r="P249">
        <f>195-SUM(Tableau1[[#This Row],[0_100m]:[1000_1100m]])</f>
        <v>16.199999999999989</v>
      </c>
      <c r="Q249">
        <f>211.5-SUM(Tableau1[[#This Row],[0_100m]:[1100_1200m]])</f>
        <v>16.5</v>
      </c>
      <c r="R249">
        <f>228.2-SUM(Tableau1[[#This Row],[0_100m]:[1200_1300m]])</f>
        <v>16.699999999999989</v>
      </c>
      <c r="S249">
        <f>Tableau1[[#This Row],[Final_time]]-SUM(Tableau1[[#This Row],[0_100m]:[1300_1400m]])</f>
        <v>16.52000000000001</v>
      </c>
      <c r="T249">
        <v>244.72</v>
      </c>
      <c r="U249">
        <f t="shared" si="6"/>
        <v>244.72</v>
      </c>
      <c r="V249">
        <f t="shared" si="7"/>
        <v>0</v>
      </c>
      <c r="W249" s="12"/>
      <c r="X249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49" t="s">
        <v>316</v>
      </c>
      <c r="Z249" t="s">
        <v>43</v>
      </c>
      <c r="AB249" t="s">
        <v>65</v>
      </c>
      <c r="AC249" s="2">
        <v>44357</v>
      </c>
      <c r="AD249">
        <v>2021</v>
      </c>
      <c r="AE249">
        <v>22</v>
      </c>
      <c r="AF249" s="5">
        <v>0.51</v>
      </c>
      <c r="AG249" s="3" t="s">
        <v>64</v>
      </c>
    </row>
    <row r="250" spans="1:33" hidden="1" x14ac:dyDescent="0.35">
      <c r="A250" t="str">
        <f>_xlfn.CONCAT(Tableau1[[#This Row],[Athletes]],"_",Tableau1[[#This Row],[Nationality]],"_",Tableau1[[#This Row],[Competition_year]])</f>
        <v>Katie SNOWDEN_GBR_2021</v>
      </c>
      <c r="B250" t="s">
        <v>186</v>
      </c>
      <c r="C250" t="s">
        <v>47</v>
      </c>
      <c r="D250" t="s">
        <v>20</v>
      </c>
      <c r="E250">
        <v>15.3</v>
      </c>
      <c r="F250">
        <v>16.7</v>
      </c>
      <c r="G250">
        <v>16.5</v>
      </c>
      <c r="H250">
        <v>16</v>
      </c>
      <c r="I250">
        <v>16.5</v>
      </c>
      <c r="J250">
        <v>16.299999999999997</v>
      </c>
      <c r="K250">
        <v>16</v>
      </c>
      <c r="L250">
        <v>16.100000000000009</v>
      </c>
      <c r="M250">
        <v>16.5</v>
      </c>
      <c r="N250">
        <v>16.400000000000006</v>
      </c>
      <c r="O250">
        <v>16.199999999999989</v>
      </c>
      <c r="P250">
        <v>16</v>
      </c>
      <c r="Q250">
        <v>16.199999999999989</v>
      </c>
      <c r="R250">
        <v>16.5</v>
      </c>
      <c r="S250">
        <f>Tableau1[[#This Row],[Final_time]]-SUM(Tableau1[[#This Row],[0_100m]:[1300_1400m]])</f>
        <v>16.660000000000025</v>
      </c>
      <c r="T250">
        <v>243.86</v>
      </c>
      <c r="U250">
        <f t="shared" si="6"/>
        <v>243.86</v>
      </c>
      <c r="V250">
        <f t="shared" si="7"/>
        <v>0</v>
      </c>
      <c r="W250" s="12"/>
      <c r="X250" t="str">
        <f>_xlfn.CONCAT(Tableau1[[#This Row],[Competition]],"_",Tableau1[[#This Row],[Championship_step]],"_",Tableau1[[#This Row],[Competition_date]],"_",Tableau1[[#This Row],[Gender]])</f>
        <v>Diamond League Florencia 2021__44357_Female</v>
      </c>
      <c r="Y250" t="s">
        <v>316</v>
      </c>
      <c r="Z250" t="s">
        <v>43</v>
      </c>
      <c r="AB250" t="s">
        <v>65</v>
      </c>
      <c r="AC250" s="2">
        <v>44357</v>
      </c>
      <c r="AD250">
        <v>2021</v>
      </c>
      <c r="AE250">
        <v>22</v>
      </c>
      <c r="AF250" s="5">
        <v>0.75</v>
      </c>
      <c r="AG250" s="3" t="s">
        <v>62</v>
      </c>
    </row>
    <row r="251" spans="1:33" hidden="1" x14ac:dyDescent="0.35">
      <c r="A251" t="str">
        <f>_xlfn.CONCAT(Tableau1[[#This Row],[Athletes]],"_",Tableau1[[#This Row],[Nationality]],"_",Tableau1[[#This Row],[Competition_year]])</f>
        <v>Laura MUIR_GBR_2021</v>
      </c>
      <c r="B251" t="s">
        <v>153</v>
      </c>
      <c r="C251" t="s">
        <v>47</v>
      </c>
      <c r="D251" t="s">
        <v>20</v>
      </c>
      <c r="E251">
        <v>15.6</v>
      </c>
      <c r="F251">
        <v>16.699999999999996</v>
      </c>
      <c r="G251">
        <v>17.400000000000006</v>
      </c>
      <c r="H251">
        <v>16.399999999999991</v>
      </c>
      <c r="I251">
        <v>16.5</v>
      </c>
      <c r="J251">
        <v>16.100000000000009</v>
      </c>
      <c r="K251">
        <v>16.5</v>
      </c>
      <c r="L251">
        <v>16.100000000000009</v>
      </c>
      <c r="M251">
        <v>17.099999999999994</v>
      </c>
      <c r="N251">
        <v>16.799999999999983</v>
      </c>
      <c r="O251">
        <v>16.600000000000023</v>
      </c>
      <c r="P251">
        <v>15.099999999999994</v>
      </c>
      <c r="Q251">
        <v>15.400000000000006</v>
      </c>
      <c r="R251">
        <v>15.5</v>
      </c>
      <c r="S251">
        <f>Tableau1[[#This Row],[Final_time]]-SUM(Tableau1[[#This Row],[0_100m]:[1300_1400m]])</f>
        <v>15.929999999999978</v>
      </c>
      <c r="T251">
        <v>243.73</v>
      </c>
      <c r="U251">
        <f t="shared" si="6"/>
        <v>243.73</v>
      </c>
      <c r="V251">
        <f t="shared" si="7"/>
        <v>0</v>
      </c>
      <c r="W251" s="12"/>
      <c r="X251" s="9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1" t="s">
        <v>318</v>
      </c>
      <c r="Z251" t="s">
        <v>43</v>
      </c>
      <c r="AB251" t="s">
        <v>65</v>
      </c>
      <c r="AC251" s="2">
        <v>44339</v>
      </c>
      <c r="AD251">
        <v>2021</v>
      </c>
      <c r="AE251">
        <v>9</v>
      </c>
      <c r="AF251" s="5">
        <v>0.84</v>
      </c>
      <c r="AG251" s="3" t="s">
        <v>61</v>
      </c>
    </row>
    <row r="252" spans="1:33" hidden="1" x14ac:dyDescent="0.35">
      <c r="A252" t="str">
        <f>_xlfn.CONCAT(Tableau1[[#This Row],[Athletes]],"_",Tableau1[[#This Row],[Nationality]],"_",Tableau1[[#This Row],[Competition_year]])</f>
        <v>Sarah HEALY_IRL_2021</v>
      </c>
      <c r="B252" t="s">
        <v>166</v>
      </c>
      <c r="C252" t="s">
        <v>47</v>
      </c>
      <c r="D252" t="s">
        <v>35</v>
      </c>
      <c r="E252">
        <v>16.2</v>
      </c>
      <c r="F252">
        <v>16.8</v>
      </c>
      <c r="G252">
        <v>17.299999999999997</v>
      </c>
      <c r="H252">
        <v>16.5</v>
      </c>
      <c r="I252">
        <v>16.600000000000009</v>
      </c>
      <c r="J252">
        <v>16.599999999999994</v>
      </c>
      <c r="K252">
        <v>16.5</v>
      </c>
      <c r="L252">
        <v>16.599999999999994</v>
      </c>
      <c r="M252">
        <v>16.5</v>
      </c>
      <c r="N252">
        <v>16.800000000000011</v>
      </c>
      <c r="O252">
        <v>17.099999999999994</v>
      </c>
      <c r="P252">
        <v>16.699999999999989</v>
      </c>
      <c r="Q252">
        <v>16.300000000000011</v>
      </c>
      <c r="R252">
        <v>16.900000000000006</v>
      </c>
      <c r="S252">
        <f>Tableau1[[#This Row],[Final_time]]-SUM(Tableau1[[#This Row],[0_100m]:[1300_1400m]])</f>
        <v>16.519999999999982</v>
      </c>
      <c r="T252">
        <v>249.92</v>
      </c>
      <c r="U252">
        <f t="shared" si="6"/>
        <v>249.92</v>
      </c>
      <c r="V252">
        <f t="shared" si="7"/>
        <v>0</v>
      </c>
      <c r="W252" s="12"/>
      <c r="X252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2" t="s">
        <v>318</v>
      </c>
      <c r="Z252" t="s">
        <v>43</v>
      </c>
      <c r="AB252" t="s">
        <v>65</v>
      </c>
      <c r="AC252" s="2">
        <v>44339</v>
      </c>
      <c r="AD252">
        <v>2021</v>
      </c>
      <c r="AE252">
        <v>9</v>
      </c>
      <c r="AF252" s="5">
        <v>0.84</v>
      </c>
      <c r="AG252" s="3" t="s">
        <v>61</v>
      </c>
    </row>
    <row r="253" spans="1:33" hidden="1" x14ac:dyDescent="0.35">
      <c r="A253" t="str">
        <f>_xlfn.CONCAT(Tableau1[[#This Row],[Athletes]],"_",Tableau1[[#This Row],[Nationality]],"_",Tableau1[[#This Row],[Competition_year]])</f>
        <v>Katie SNOWDEN_GBR_2021</v>
      </c>
      <c r="B253" t="s">
        <v>186</v>
      </c>
      <c r="C253" t="s">
        <v>47</v>
      </c>
      <c r="D253" t="s">
        <v>20</v>
      </c>
      <c r="E253">
        <v>15.8</v>
      </c>
      <c r="F253">
        <v>16.900000000000002</v>
      </c>
      <c r="G253">
        <v>17.099999999999994</v>
      </c>
      <c r="H253">
        <v>16.5</v>
      </c>
      <c r="I253">
        <v>16.5</v>
      </c>
      <c r="J253">
        <v>16.400000000000006</v>
      </c>
      <c r="K253">
        <v>16.5</v>
      </c>
      <c r="L253">
        <v>16.299999999999997</v>
      </c>
      <c r="M253">
        <v>17</v>
      </c>
      <c r="N253">
        <v>17</v>
      </c>
      <c r="O253">
        <v>16.699999999999989</v>
      </c>
      <c r="P253">
        <v>16.200000000000017</v>
      </c>
      <c r="Q253">
        <v>16.400000000000006</v>
      </c>
      <c r="R253">
        <v>16.799999999999983</v>
      </c>
      <c r="S253">
        <f>Tableau1[[#This Row],[Final_time]]-SUM(Tableau1[[#This Row],[0_100m]:[1300_1400m]])</f>
        <v>16.819999999999993</v>
      </c>
      <c r="T253">
        <v>248.92</v>
      </c>
      <c r="U253">
        <f t="shared" si="6"/>
        <v>248.92</v>
      </c>
      <c r="V253">
        <f t="shared" si="7"/>
        <v>0</v>
      </c>
      <c r="W253" s="12"/>
      <c r="X253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3" t="s">
        <v>318</v>
      </c>
      <c r="Z253" t="s">
        <v>43</v>
      </c>
      <c r="AB253" t="s">
        <v>65</v>
      </c>
      <c r="AC253" s="2">
        <v>44339</v>
      </c>
      <c r="AD253">
        <v>2021</v>
      </c>
      <c r="AE253">
        <v>9</v>
      </c>
      <c r="AF253" s="5">
        <v>0.84</v>
      </c>
      <c r="AG253" s="3" t="s">
        <v>61</v>
      </c>
    </row>
    <row r="254" spans="1:33" hidden="1" x14ac:dyDescent="0.35">
      <c r="A254" t="str">
        <f>_xlfn.CONCAT(Tableau1[[#This Row],[Athletes]],"_",Tableau1[[#This Row],[Nationality]],"_",Tableau1[[#This Row],[Competition_year]])</f>
        <v>Eilish MCCOLGAN_GBR_2021</v>
      </c>
      <c r="B254" t="s">
        <v>861</v>
      </c>
      <c r="C254" t="s">
        <v>47</v>
      </c>
      <c r="D254" t="s">
        <v>20</v>
      </c>
      <c r="E254">
        <v>16.399999999999999</v>
      </c>
      <c r="F254">
        <v>16.300000000000004</v>
      </c>
      <c r="G254">
        <v>16.899999999999999</v>
      </c>
      <c r="H254">
        <v>16.300000000000004</v>
      </c>
      <c r="I254">
        <v>16.399999999999991</v>
      </c>
      <c r="J254">
        <v>16.100000000000009</v>
      </c>
      <c r="K254">
        <v>16.5</v>
      </c>
      <c r="L254">
        <v>16.199999999999989</v>
      </c>
      <c r="M254">
        <v>17.099999999999994</v>
      </c>
      <c r="N254">
        <v>16.800000000000011</v>
      </c>
      <c r="O254">
        <v>17.5</v>
      </c>
      <c r="P254">
        <v>16.599999999999994</v>
      </c>
      <c r="Q254">
        <v>17.200000000000017</v>
      </c>
      <c r="R254">
        <v>17.099999999999994</v>
      </c>
      <c r="S254">
        <f>Tableau1[[#This Row],[Final_time]]-SUM(Tableau1[[#This Row],[0_100m]:[1300_1400m]])</f>
        <v>17.079999999999984</v>
      </c>
      <c r="T254">
        <v>250.48</v>
      </c>
      <c r="U254">
        <f t="shared" si="6"/>
        <v>250.48</v>
      </c>
      <c r="V254">
        <f t="shared" si="7"/>
        <v>0</v>
      </c>
      <c r="W254" s="12"/>
      <c r="X254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4" t="s">
        <v>318</v>
      </c>
      <c r="Z254" t="s">
        <v>43</v>
      </c>
      <c r="AB254" t="s">
        <v>65</v>
      </c>
      <c r="AC254" s="2">
        <v>44339</v>
      </c>
      <c r="AD254">
        <v>2021</v>
      </c>
      <c r="AE254">
        <v>9</v>
      </c>
      <c r="AF254" s="5">
        <v>0.84</v>
      </c>
      <c r="AG254" s="3" t="s">
        <v>61</v>
      </c>
    </row>
    <row r="255" spans="1:33" hidden="1" x14ac:dyDescent="0.35">
      <c r="A255" t="str">
        <f>_xlfn.CONCAT(Tableau1[[#This Row],[Athletes]],"_",Tableau1[[#This Row],[Nationality]],"_",Tableau1[[#This Row],[Competition_year]])</f>
        <v>Rababe ARAFI_MAR_2021</v>
      </c>
      <c r="B255" t="s">
        <v>1183</v>
      </c>
      <c r="C255" t="s">
        <v>47</v>
      </c>
      <c r="D255" t="s">
        <v>75</v>
      </c>
      <c r="E255">
        <v>16</v>
      </c>
      <c r="F255">
        <v>16.899999999999999</v>
      </c>
      <c r="G255">
        <v>17.200000000000003</v>
      </c>
      <c r="H255">
        <v>16.399999999999999</v>
      </c>
      <c r="I255">
        <v>16.5</v>
      </c>
      <c r="J255">
        <v>16.5</v>
      </c>
      <c r="K255">
        <v>16.400000000000006</v>
      </c>
      <c r="L255">
        <v>16.299999999999983</v>
      </c>
      <c r="M255">
        <v>17</v>
      </c>
      <c r="N255">
        <v>16.800000000000011</v>
      </c>
      <c r="O255">
        <v>16.199999999999989</v>
      </c>
      <c r="P255">
        <v>15.800000000000011</v>
      </c>
      <c r="Q255">
        <v>16.099999999999994</v>
      </c>
      <c r="R255">
        <v>16.5</v>
      </c>
      <c r="S255">
        <f>Tableau1[[#This Row],[Final_time]]-SUM(Tableau1[[#This Row],[0_100m]:[1300_1400m]])</f>
        <v>17.129999999999995</v>
      </c>
      <c r="T255">
        <v>247.73</v>
      </c>
      <c r="U255">
        <f t="shared" si="6"/>
        <v>247.73</v>
      </c>
      <c r="V255">
        <f t="shared" si="7"/>
        <v>0</v>
      </c>
      <c r="W255" s="12"/>
      <c r="X255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5" t="s">
        <v>318</v>
      </c>
      <c r="Z255" t="s">
        <v>43</v>
      </c>
      <c r="AB255" t="s">
        <v>65</v>
      </c>
      <c r="AC255" s="2">
        <v>44339</v>
      </c>
      <c r="AD255">
        <v>2021</v>
      </c>
      <c r="AE255">
        <v>9</v>
      </c>
      <c r="AF255" s="5">
        <v>0.84</v>
      </c>
      <c r="AG255" s="3" t="s">
        <v>61</v>
      </c>
    </row>
    <row r="256" spans="1:33" hidden="1" x14ac:dyDescent="0.35">
      <c r="A256" t="str">
        <f>_xlfn.CONCAT(Tableau1[[#This Row],[Athletes]],"_",Tableau1[[#This Row],[Nationality]],"_",Tableau1[[#This Row],[Competition_year]])</f>
        <v>Adelle TRACEY_JAM_2021</v>
      </c>
      <c r="B256" t="s">
        <v>188</v>
      </c>
      <c r="C256" t="s">
        <v>47</v>
      </c>
      <c r="D256" t="s">
        <v>108</v>
      </c>
      <c r="E256">
        <v>16</v>
      </c>
      <c r="F256">
        <v>16.899999999999999</v>
      </c>
      <c r="G256">
        <v>17.100000000000001</v>
      </c>
      <c r="H256">
        <v>16.5</v>
      </c>
      <c r="I256">
        <v>16.599999999999994</v>
      </c>
      <c r="J256">
        <v>16.600000000000009</v>
      </c>
      <c r="K256">
        <v>16.599999999999994</v>
      </c>
      <c r="L256">
        <v>16.500000000000014</v>
      </c>
      <c r="M256">
        <v>17</v>
      </c>
      <c r="N256">
        <v>16.799999999999983</v>
      </c>
      <c r="O256">
        <v>16.900000000000006</v>
      </c>
      <c r="P256">
        <v>16.400000000000006</v>
      </c>
      <c r="Q256">
        <v>17</v>
      </c>
      <c r="R256">
        <v>16.799999999999983</v>
      </c>
      <c r="S256">
        <f>Tableau1[[#This Row],[Final_time]]-SUM(Tableau1[[#This Row],[0_100m]:[1300_1400m]])</f>
        <v>17.230000000000018</v>
      </c>
      <c r="T256">
        <v>250.93</v>
      </c>
      <c r="U256">
        <f t="shared" si="6"/>
        <v>250.93</v>
      </c>
      <c r="V256">
        <f t="shared" si="7"/>
        <v>0</v>
      </c>
      <c r="W256" s="12"/>
      <c r="X256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6" t="s">
        <v>318</v>
      </c>
      <c r="Z256" t="s">
        <v>43</v>
      </c>
      <c r="AB256" t="s">
        <v>65</v>
      </c>
      <c r="AC256" s="2">
        <v>44339</v>
      </c>
      <c r="AD256">
        <v>2021</v>
      </c>
      <c r="AE256">
        <v>9</v>
      </c>
      <c r="AF256" s="5">
        <v>0.84</v>
      </c>
      <c r="AG256" s="3" t="s">
        <v>61</v>
      </c>
    </row>
    <row r="257" spans="1:33" hidden="1" x14ac:dyDescent="0.35">
      <c r="A257" t="str">
        <f>_xlfn.CONCAT(Tableau1[[#This Row],[Athletes]],"_",Tableau1[[#This Row],[Nationality]],"_",Tableau1[[#This Row],[Competition_year]])</f>
        <v>Gaia SABBATINI_ITA_2021</v>
      </c>
      <c r="B257" t="s">
        <v>167</v>
      </c>
      <c r="C257" t="s">
        <v>47</v>
      </c>
      <c r="D257" t="s">
        <v>19</v>
      </c>
      <c r="E257">
        <v>15.8</v>
      </c>
      <c r="F257">
        <v>16.8</v>
      </c>
      <c r="G257">
        <v>17.399999999999999</v>
      </c>
      <c r="H257">
        <v>16.400000000000006</v>
      </c>
      <c r="I257">
        <v>16.5</v>
      </c>
      <c r="J257">
        <v>16.5</v>
      </c>
      <c r="K257">
        <v>16.799999999999997</v>
      </c>
      <c r="L257">
        <v>16.499999999999986</v>
      </c>
      <c r="M257">
        <v>16.900000000000006</v>
      </c>
      <c r="N257">
        <v>16.900000000000006</v>
      </c>
      <c r="O257">
        <v>16.599999999999994</v>
      </c>
      <c r="P257">
        <v>16.099999999999994</v>
      </c>
      <c r="Q257">
        <v>16.900000000000006</v>
      </c>
      <c r="R257">
        <v>16.700000000000017</v>
      </c>
      <c r="S257">
        <f>Tableau1[[#This Row],[Final_time]]-SUM(Tableau1[[#This Row],[0_100m]:[1300_1400m]])</f>
        <v>17.409999999999997</v>
      </c>
      <c r="T257">
        <v>250.21</v>
      </c>
      <c r="U257">
        <f t="shared" si="6"/>
        <v>250.21</v>
      </c>
      <c r="V257">
        <f t="shared" si="7"/>
        <v>0</v>
      </c>
      <c r="W257" s="12"/>
      <c r="X257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7" t="s">
        <v>318</v>
      </c>
      <c r="Z257" t="s">
        <v>43</v>
      </c>
      <c r="AB257" t="s">
        <v>65</v>
      </c>
      <c r="AC257" s="2">
        <v>44339</v>
      </c>
      <c r="AD257">
        <v>2021</v>
      </c>
      <c r="AE257">
        <v>9</v>
      </c>
      <c r="AF257" s="5">
        <v>0.84</v>
      </c>
      <c r="AG257" s="3" t="s">
        <v>61</v>
      </c>
    </row>
    <row r="258" spans="1:33" hidden="1" x14ac:dyDescent="0.35">
      <c r="A258" t="str">
        <f>_xlfn.CONCAT(Tableau1[[#This Row],[Athletes]],"_",Tableau1[[#This Row],[Nationality]],"_",Tableau1[[#This Row],[Competition_year]])</f>
        <v>Marta PÉREZ_ESP_2021</v>
      </c>
      <c r="B258" t="s">
        <v>183</v>
      </c>
      <c r="C258" t="s">
        <v>47</v>
      </c>
      <c r="D258" t="s">
        <v>22</v>
      </c>
      <c r="E258">
        <v>16.100000000000001</v>
      </c>
      <c r="F258">
        <v>16.899999999999999</v>
      </c>
      <c r="G258">
        <v>17.299999999999997</v>
      </c>
      <c r="H258">
        <v>16.5</v>
      </c>
      <c r="I258">
        <v>16.5</v>
      </c>
      <c r="J258">
        <v>16.5</v>
      </c>
      <c r="K258">
        <v>16.900000000000006</v>
      </c>
      <c r="L258">
        <v>16.700000000000003</v>
      </c>
      <c r="M258">
        <v>16.799999999999983</v>
      </c>
      <c r="N258">
        <v>16.900000000000006</v>
      </c>
      <c r="O258">
        <v>16.800000000000011</v>
      </c>
      <c r="P258">
        <v>16.400000000000006</v>
      </c>
      <c r="Q258">
        <v>16.899999999999977</v>
      </c>
      <c r="R258">
        <v>16.900000000000006</v>
      </c>
      <c r="S258">
        <f>Tableau1[[#This Row],[Final_time]]-SUM(Tableau1[[#This Row],[0_100m]:[1300_1400m]])</f>
        <v>17.409999999999997</v>
      </c>
      <c r="T258">
        <v>251.51</v>
      </c>
      <c r="U258">
        <f t="shared" ref="U258:U321" si="8">SUM(E258:S258)</f>
        <v>251.51</v>
      </c>
      <c r="V258">
        <f t="shared" ref="V258:V321" si="9">ABS(U258-T258)</f>
        <v>0</v>
      </c>
      <c r="W258" s="12"/>
      <c r="X258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8" t="s">
        <v>318</v>
      </c>
      <c r="Z258" t="s">
        <v>43</v>
      </c>
      <c r="AB258" t="s">
        <v>65</v>
      </c>
      <c r="AC258" s="2">
        <v>44339</v>
      </c>
      <c r="AD258">
        <v>2021</v>
      </c>
      <c r="AE258">
        <v>9</v>
      </c>
      <c r="AF258" s="5">
        <v>0.84</v>
      </c>
      <c r="AG258" s="3" t="s">
        <v>61</v>
      </c>
    </row>
    <row r="259" spans="1:33" hidden="1" x14ac:dyDescent="0.35">
      <c r="A259" t="str">
        <f>_xlfn.CONCAT(Tableau1[[#This Row],[Athletes]],"_",Tableau1[[#This Row],[Nationality]],"_",Tableau1[[#This Row],[Competition_year]])</f>
        <v>Axumawit EMBAYE_ETH_2021</v>
      </c>
      <c r="B259" t="s">
        <v>269</v>
      </c>
      <c r="C259" t="s">
        <v>47</v>
      </c>
      <c r="D259" t="s">
        <v>48</v>
      </c>
      <c r="E259">
        <v>16.5</v>
      </c>
      <c r="F259">
        <v>16.700000000000003</v>
      </c>
      <c r="G259">
        <v>17.299999999999997</v>
      </c>
      <c r="H259">
        <v>16.5</v>
      </c>
      <c r="I259">
        <v>16.700000000000003</v>
      </c>
      <c r="J259">
        <v>16.700000000000003</v>
      </c>
      <c r="K259">
        <v>16.099999999999994</v>
      </c>
      <c r="L259">
        <v>16.699999999999989</v>
      </c>
      <c r="M259">
        <v>17.300000000000011</v>
      </c>
      <c r="N259">
        <v>17.199999999999989</v>
      </c>
      <c r="O259">
        <v>17.200000000000017</v>
      </c>
      <c r="P259">
        <v>17.099999999999994</v>
      </c>
      <c r="Q259">
        <v>18</v>
      </c>
      <c r="R259">
        <v>17.800000000000011</v>
      </c>
      <c r="S259">
        <f>Tableau1[[#This Row],[Final_time]]-SUM(Tableau1[[#This Row],[0_100m]:[1300_1400m]])</f>
        <v>17.429999999999978</v>
      </c>
      <c r="T259">
        <v>255.23</v>
      </c>
      <c r="U259">
        <f t="shared" si="8"/>
        <v>255.23</v>
      </c>
      <c r="V259">
        <f t="shared" si="9"/>
        <v>0</v>
      </c>
      <c r="W259" s="12"/>
      <c r="X259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59" t="s">
        <v>318</v>
      </c>
      <c r="Z259" t="s">
        <v>43</v>
      </c>
      <c r="AB259" t="s">
        <v>65</v>
      </c>
      <c r="AC259" s="2">
        <v>44339</v>
      </c>
      <c r="AD259">
        <v>2021</v>
      </c>
      <c r="AE259">
        <v>9</v>
      </c>
      <c r="AF259" s="5">
        <v>0.84</v>
      </c>
      <c r="AG259" s="3" t="s">
        <v>61</v>
      </c>
    </row>
    <row r="260" spans="1:33" hidden="1" x14ac:dyDescent="0.35">
      <c r="A260" t="str">
        <f>_xlfn.CONCAT(Tableau1[[#This Row],[Athletes]],"_",Tableau1[[#This Row],[Nationality]],"_",Tableau1[[#This Row],[Competition_year]])</f>
        <v>Winnie NANYONDO_UGA_2021</v>
      </c>
      <c r="B260" t="s">
        <v>241</v>
      </c>
      <c r="C260" t="s">
        <v>47</v>
      </c>
      <c r="D260" t="s">
        <v>52</v>
      </c>
      <c r="E260">
        <v>15.5</v>
      </c>
      <c r="F260">
        <v>16.700000000000003</v>
      </c>
      <c r="G260">
        <v>17.399999999999999</v>
      </c>
      <c r="H260">
        <v>16.300000000000004</v>
      </c>
      <c r="I260">
        <v>16.5</v>
      </c>
      <c r="J260">
        <v>16.5</v>
      </c>
      <c r="K260">
        <v>16.599999999999994</v>
      </c>
      <c r="L260">
        <v>16.199999999999989</v>
      </c>
      <c r="M260">
        <v>17.100000000000023</v>
      </c>
      <c r="N260">
        <v>17.099999999999994</v>
      </c>
      <c r="O260">
        <v>17.199999999999989</v>
      </c>
      <c r="P260">
        <v>16.5</v>
      </c>
      <c r="Q260">
        <v>16.599999999999994</v>
      </c>
      <c r="R260">
        <v>16.800000000000011</v>
      </c>
      <c r="S260">
        <f>Tableau1[[#This Row],[Final_time]]-SUM(Tableau1[[#This Row],[0_100m]:[1300_1400m]])</f>
        <v>17.5</v>
      </c>
      <c r="T260">
        <v>250.5</v>
      </c>
      <c r="U260">
        <f t="shared" si="8"/>
        <v>250.5</v>
      </c>
      <c r="V260">
        <f t="shared" si="9"/>
        <v>0</v>
      </c>
      <c r="W260" s="12"/>
      <c r="X260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60" t="s">
        <v>318</v>
      </c>
      <c r="Z260" t="s">
        <v>43</v>
      </c>
      <c r="AB260" t="s">
        <v>65</v>
      </c>
      <c r="AC260" s="2">
        <v>44339</v>
      </c>
      <c r="AD260">
        <v>2021</v>
      </c>
      <c r="AE260">
        <v>9</v>
      </c>
      <c r="AF260" s="5">
        <v>0.84</v>
      </c>
      <c r="AG260" s="3" t="s">
        <v>61</v>
      </c>
    </row>
    <row r="261" spans="1:33" hidden="1" x14ac:dyDescent="0.35">
      <c r="A261" t="str">
        <f>_xlfn.CONCAT(Tableau1[[#This Row],[Athletes]],"_",Tableau1[[#This Row],[Nationality]],"_",Tableau1[[#This Row],[Competition_year]])</f>
        <v>Elise VANDERELST_BEL_2021</v>
      </c>
      <c r="B261" t="s">
        <v>177</v>
      </c>
      <c r="C261" t="s">
        <v>47</v>
      </c>
      <c r="D261" t="s">
        <v>86</v>
      </c>
      <c r="E261">
        <v>16.3</v>
      </c>
      <c r="F261">
        <v>16.7</v>
      </c>
      <c r="G261">
        <v>17.399999999999999</v>
      </c>
      <c r="H261">
        <v>16.500000000000007</v>
      </c>
      <c r="I261">
        <v>16.199999999999989</v>
      </c>
      <c r="J261">
        <v>16.600000000000009</v>
      </c>
      <c r="K261">
        <v>16.700000000000003</v>
      </c>
      <c r="L261">
        <v>16.5</v>
      </c>
      <c r="M261">
        <v>17.099999999999994</v>
      </c>
      <c r="N261">
        <v>16.800000000000011</v>
      </c>
      <c r="O261">
        <v>16.5</v>
      </c>
      <c r="P261">
        <v>16.599999999999994</v>
      </c>
      <c r="Q261">
        <v>17.5</v>
      </c>
      <c r="R261">
        <v>18.199999999999989</v>
      </c>
      <c r="S261">
        <f>Tableau1[[#This Row],[Final_time]]-SUM(Tableau1[[#This Row],[0_100m]:[1300_1400m]])</f>
        <v>18.430000000000007</v>
      </c>
      <c r="T261">
        <v>254.03</v>
      </c>
      <c r="U261">
        <f t="shared" si="8"/>
        <v>254.03</v>
      </c>
      <c r="V261">
        <f t="shared" si="9"/>
        <v>0</v>
      </c>
      <c r="W261" s="12"/>
      <c r="X261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61" t="s">
        <v>318</v>
      </c>
      <c r="Z261" t="s">
        <v>43</v>
      </c>
      <c r="AB261" t="s">
        <v>65</v>
      </c>
      <c r="AC261" s="2">
        <v>44339</v>
      </c>
      <c r="AD261">
        <v>2021</v>
      </c>
      <c r="AE261">
        <v>9</v>
      </c>
      <c r="AF261" s="5">
        <v>0.84</v>
      </c>
      <c r="AG261" s="3" t="s">
        <v>61</v>
      </c>
    </row>
    <row r="262" spans="1:33" hidden="1" x14ac:dyDescent="0.35">
      <c r="A262" t="str">
        <f>_xlfn.CONCAT(Tableau1[[#This Row],[Athletes]],"_",Tableau1[[#This Row],[Nationality]],"_",Tableau1[[#This Row],[Competition_year]])</f>
        <v>Claudia Mihaela BOBOCEA_ROU_2021</v>
      </c>
      <c r="B262" t="s">
        <v>160</v>
      </c>
      <c r="C262" t="s">
        <v>47</v>
      </c>
      <c r="D262" t="s">
        <v>102</v>
      </c>
      <c r="E262">
        <v>15.7</v>
      </c>
      <c r="F262">
        <f>32.7-Tableau1[[#This Row],[0_100m]]</f>
        <v>17.000000000000004</v>
      </c>
      <c r="G262">
        <f>50.1-SUM(Tableau1[[#This Row],[0_100m]:[100_200m]])</f>
        <v>17.399999999999999</v>
      </c>
      <c r="H262">
        <f>66.7-SUM(Tableau1[[#This Row],[0_100m]:[200_300m]])</f>
        <v>16.600000000000001</v>
      </c>
      <c r="I262">
        <f>83.5-SUM(Tableau1[[#This Row],[0_100m]:[300_400m]])</f>
        <v>16.799999999999997</v>
      </c>
      <c r="J262">
        <f>100.1-SUM(Tableau1[[#This Row],[0_100m]:[400_500m]])</f>
        <v>16.599999999999994</v>
      </c>
      <c r="K262">
        <f>116.9-SUM(Tableau1[[#This Row],[0_100m]:[500_600m]])</f>
        <v>16.800000000000011</v>
      </c>
      <c r="L262">
        <f>133.5-SUM(Tableau1[[#This Row],[0_100m]:[600_700m]])</f>
        <v>16.599999999999994</v>
      </c>
      <c r="M262">
        <f>150.7-SUM(Tableau1[[#This Row],[0_100m]:[700_800m]])</f>
        <v>17.199999999999989</v>
      </c>
      <c r="N262">
        <f>167.9-SUM(Tableau1[[#This Row],[0_100m]:[800_900m]])</f>
        <v>17.200000000000017</v>
      </c>
      <c r="O262">
        <f>185.3-SUM(Tableau1[[#This Row],[0_100m]:[900_1000m]])</f>
        <v>17.400000000000006</v>
      </c>
      <c r="P262">
        <f>202.7-SUM(Tableau1[[#This Row],[0_100m]:[1000_1100m]])</f>
        <v>17.399999999999977</v>
      </c>
      <c r="Q262">
        <f>220.5-SUM(Tableau1[[#This Row],[0_100m]:[1100_1200m]])</f>
        <v>17.800000000000011</v>
      </c>
      <c r="R262">
        <f>238.5-SUM(Tableau1[[#This Row],[0_100m]:[1200_1300m]])</f>
        <v>18</v>
      </c>
      <c r="S262">
        <f>Tableau1[[#This Row],[Final_time]]-SUM(Tableau1[[#This Row],[0_100m]:[1300_1400m]])</f>
        <v>18.579999999999984</v>
      </c>
      <c r="T262">
        <v>257.08</v>
      </c>
      <c r="U262">
        <f t="shared" si="8"/>
        <v>257.08</v>
      </c>
      <c r="V262">
        <f t="shared" si="9"/>
        <v>0</v>
      </c>
      <c r="W262" s="12"/>
      <c r="X262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62" t="s">
        <v>318</v>
      </c>
      <c r="Z262" t="s">
        <v>43</v>
      </c>
      <c r="AB262" t="s">
        <v>65</v>
      </c>
      <c r="AC262" s="2">
        <v>44339</v>
      </c>
      <c r="AD262">
        <v>2021</v>
      </c>
      <c r="AE262">
        <v>9</v>
      </c>
      <c r="AF262" s="5">
        <v>0.84</v>
      </c>
      <c r="AG262" s="3" t="s">
        <v>61</v>
      </c>
    </row>
    <row r="263" spans="1:33" hidden="1" x14ac:dyDescent="0.35">
      <c r="A263" t="str">
        <f>_xlfn.CONCAT(Tableau1[[#This Row],[Athletes]],"_",Tableau1[[#This Row],[Nationality]],"_",Tableau1[[#This Row],[Competition_year]])</f>
        <v>Esther GUERRERO_ESP_2021</v>
      </c>
      <c r="B263" t="s">
        <v>169</v>
      </c>
      <c r="C263" t="s">
        <v>47</v>
      </c>
      <c r="D263" t="s">
        <v>22</v>
      </c>
      <c r="E263">
        <v>15.7</v>
      </c>
      <c r="F263">
        <v>16.7</v>
      </c>
      <c r="G263">
        <v>17.399999999999999</v>
      </c>
      <c r="H263">
        <v>16.299999999999997</v>
      </c>
      <c r="I263">
        <v>16.5</v>
      </c>
      <c r="J263">
        <v>16.600000000000009</v>
      </c>
      <c r="K263">
        <v>16.799999999999997</v>
      </c>
      <c r="L263">
        <v>16.5</v>
      </c>
      <c r="M263">
        <v>16.900000000000006</v>
      </c>
      <c r="N263">
        <v>16.900000000000006</v>
      </c>
      <c r="O263">
        <v>16.599999999999994</v>
      </c>
      <c r="P263">
        <v>16.699999999999989</v>
      </c>
      <c r="Q263">
        <v>17.400000000000006</v>
      </c>
      <c r="R263">
        <v>18.199999999999989</v>
      </c>
      <c r="S263">
        <f>Tableau1[[#This Row],[Final_time]]-SUM(Tableau1[[#This Row],[0_100m]:[1300_1400m]])</f>
        <v>19.350000000000023</v>
      </c>
      <c r="T263">
        <v>254.55</v>
      </c>
      <c r="U263">
        <f t="shared" si="8"/>
        <v>254.55</v>
      </c>
      <c r="V263">
        <f t="shared" si="9"/>
        <v>0</v>
      </c>
      <c r="W263" s="12"/>
      <c r="X263" t="str">
        <f>_xlfn.CONCAT(Tableau1[[#This Row],[Competition]],"_",Tableau1[[#This Row],[Championship_step]],"_",Tableau1[[#This Row],[Competition_date]],"_",Tableau1[[#This Row],[Gender]])</f>
        <v>Diamond League Gateshead 2021__44339_Female</v>
      </c>
      <c r="Y263" t="s">
        <v>318</v>
      </c>
      <c r="Z263" t="s">
        <v>43</v>
      </c>
      <c r="AB263" t="s">
        <v>65</v>
      </c>
      <c r="AC263" s="2">
        <v>44339</v>
      </c>
      <c r="AD263">
        <v>2021</v>
      </c>
      <c r="AE263">
        <v>9</v>
      </c>
      <c r="AF263" s="5">
        <v>0.84</v>
      </c>
      <c r="AG263" s="3" t="s">
        <v>61</v>
      </c>
    </row>
    <row r="264" spans="1:33" hidden="1" x14ac:dyDescent="0.35">
      <c r="A264" t="str">
        <f>_xlfn.CONCAT(Tableau1[[#This Row],[Athletes]],"_",Tableau1[[#This Row],[Nationality]],"_",Tableau1[[#This Row],[Competition_year]])</f>
        <v>Jakob INGEBRIGTSEN_NOR_2021</v>
      </c>
      <c r="B264" t="s">
        <v>151</v>
      </c>
      <c r="C264" t="s">
        <v>16</v>
      </c>
      <c r="D264" t="s">
        <v>30</v>
      </c>
      <c r="E264">
        <v>14.2</v>
      </c>
      <c r="F264">
        <v>14.3</v>
      </c>
      <c r="G264">
        <v>14.5</v>
      </c>
      <c r="H264">
        <v>14</v>
      </c>
      <c r="I264">
        <v>14.5</v>
      </c>
      <c r="J264">
        <v>14</v>
      </c>
      <c r="K264">
        <v>14.9</v>
      </c>
      <c r="L264">
        <v>14.7</v>
      </c>
      <c r="M264">
        <v>15</v>
      </c>
      <c r="N264">
        <v>15</v>
      </c>
      <c r="O264">
        <v>15.2</v>
      </c>
      <c r="P264">
        <v>14.4</v>
      </c>
      <c r="Q264">
        <v>14.1</v>
      </c>
      <c r="R264">
        <v>14.1</v>
      </c>
      <c r="S264">
        <f>Tableau1[[#This Row],[Final_time]]-SUM(Tableau1[[#This Row],[0_100m]:[1300_1400m]])</f>
        <v>13.370000000000005</v>
      </c>
      <c r="T264">
        <v>216.27</v>
      </c>
      <c r="U264">
        <f t="shared" si="8"/>
        <v>216.27</v>
      </c>
      <c r="V264">
        <f t="shared" si="9"/>
        <v>0</v>
      </c>
      <c r="W264" s="12"/>
      <c r="X264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64" t="s">
        <v>318</v>
      </c>
      <c r="Z264" t="s">
        <v>43</v>
      </c>
      <c r="AB264" t="s">
        <v>65</v>
      </c>
      <c r="AC264" s="2">
        <v>44339</v>
      </c>
      <c r="AD264">
        <v>2021</v>
      </c>
      <c r="AE264">
        <v>11</v>
      </c>
      <c r="AF264" s="5">
        <v>0.71</v>
      </c>
      <c r="AG264" s="3" t="s">
        <v>61</v>
      </c>
    </row>
    <row r="265" spans="1:33" hidden="1" x14ac:dyDescent="0.35">
      <c r="A265" t="str">
        <f>_xlfn.CONCAT(Tableau1[[#This Row],[Athletes]],"_",Tableau1[[#This Row],[Nationality]],"_",Tableau1[[#This Row],[Competition_year]])</f>
        <v>Oliver HOARE_AUS_2021</v>
      </c>
      <c r="B265" t="s">
        <v>249</v>
      </c>
      <c r="C265" t="s">
        <v>16</v>
      </c>
      <c r="D265" t="s">
        <v>21</v>
      </c>
      <c r="E265">
        <v>14</v>
      </c>
      <c r="F265">
        <v>14.5</v>
      </c>
      <c r="G265">
        <v>14.8</v>
      </c>
      <c r="H265">
        <v>13.9</v>
      </c>
      <c r="I265">
        <v>14.5</v>
      </c>
      <c r="J265">
        <v>14.1</v>
      </c>
      <c r="K265">
        <v>14.9</v>
      </c>
      <c r="L265">
        <v>14.6</v>
      </c>
      <c r="M265">
        <v>15.1</v>
      </c>
      <c r="N265">
        <v>14.8</v>
      </c>
      <c r="O265">
        <v>15.3</v>
      </c>
      <c r="P265">
        <v>14.6</v>
      </c>
      <c r="Q265">
        <v>13.8</v>
      </c>
      <c r="R265">
        <v>14.1</v>
      </c>
      <c r="S265">
        <f>Tableau1[[#This Row],[Final_time]]-SUM(Tableau1[[#This Row],[0_100m]:[1300_1400m]])</f>
        <v>13.580000000000013</v>
      </c>
      <c r="T265">
        <v>216.58</v>
      </c>
      <c r="U265">
        <f t="shared" si="8"/>
        <v>216.58</v>
      </c>
      <c r="V265">
        <f t="shared" si="9"/>
        <v>0</v>
      </c>
      <c r="W265" s="12"/>
      <c r="X265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65" t="s">
        <v>318</v>
      </c>
      <c r="Z265" t="s">
        <v>43</v>
      </c>
      <c r="AB265" t="s">
        <v>65</v>
      </c>
      <c r="AC265" s="2">
        <v>44339</v>
      </c>
      <c r="AD265">
        <v>2021</v>
      </c>
      <c r="AE265">
        <v>11</v>
      </c>
      <c r="AF265" s="5">
        <v>0.71</v>
      </c>
      <c r="AG265" s="3" t="s">
        <v>61</v>
      </c>
    </row>
    <row r="266" spans="1:33" hidden="1" x14ac:dyDescent="0.35">
      <c r="A266" t="str">
        <f>_xlfn.CONCAT(Tableau1[[#This Row],[Athletes]],"_",Tableau1[[#This Row],[Nationality]],"_",Tableau1[[#This Row],[Competition_year]])</f>
        <v>Stewart MCSWEYN_AUS_2021</v>
      </c>
      <c r="B266" t="s">
        <v>219</v>
      </c>
      <c r="C266" t="s">
        <v>16</v>
      </c>
      <c r="D266" t="s">
        <v>21</v>
      </c>
      <c r="E266">
        <v>14.4</v>
      </c>
      <c r="F266">
        <v>13.8</v>
      </c>
      <c r="G266">
        <v>14.6</v>
      </c>
      <c r="H266">
        <v>14.1</v>
      </c>
      <c r="I266">
        <v>14.3</v>
      </c>
      <c r="J266">
        <v>14.1</v>
      </c>
      <c r="K266">
        <v>14.9</v>
      </c>
      <c r="L266">
        <v>14.7</v>
      </c>
      <c r="M266">
        <v>15.1</v>
      </c>
      <c r="N266">
        <v>15</v>
      </c>
      <c r="O266">
        <v>15.4</v>
      </c>
      <c r="P266">
        <v>14.5</v>
      </c>
      <c r="Q266">
        <v>14.1</v>
      </c>
      <c r="R266">
        <v>14.2</v>
      </c>
      <c r="S266">
        <f>Tableau1[[#This Row],[Final_time]]-SUM(Tableau1[[#This Row],[0_100m]:[1300_1400m]])</f>
        <v>14.120000000000005</v>
      </c>
      <c r="T266">
        <v>217.32</v>
      </c>
      <c r="U266">
        <f t="shared" si="8"/>
        <v>217.32</v>
      </c>
      <c r="V266">
        <f t="shared" si="9"/>
        <v>0</v>
      </c>
      <c r="W266" s="12"/>
      <c r="X266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66" t="s">
        <v>318</v>
      </c>
      <c r="Z266" t="s">
        <v>43</v>
      </c>
      <c r="AB266" t="s">
        <v>65</v>
      </c>
      <c r="AC266" s="2">
        <v>44339</v>
      </c>
      <c r="AD266">
        <v>2021</v>
      </c>
      <c r="AE266">
        <v>11</v>
      </c>
      <c r="AF266" s="5">
        <v>0.71</v>
      </c>
      <c r="AG266" s="3" t="s">
        <v>61</v>
      </c>
    </row>
    <row r="267" spans="1:33" hidden="1" x14ac:dyDescent="0.35">
      <c r="A267" t="str">
        <f>_xlfn.CONCAT(Tableau1[[#This Row],[Athletes]],"_",Tableau1[[#This Row],[Nationality]],"_",Tableau1[[#This Row],[Competition_year]])</f>
        <v>Matthew RAMSDEN_AUS_2021</v>
      </c>
      <c r="B267" t="s">
        <v>198</v>
      </c>
      <c r="C267" t="s">
        <v>16</v>
      </c>
      <c r="D267" t="s">
        <v>21</v>
      </c>
      <c r="E267">
        <v>14.3</v>
      </c>
      <c r="F267">
        <v>14.599999999999998</v>
      </c>
      <c r="G267">
        <v>14.899999999999999</v>
      </c>
      <c r="H267">
        <v>14.100000000000001</v>
      </c>
      <c r="I267">
        <v>14.500000000000007</v>
      </c>
      <c r="J267">
        <v>14.199999999999989</v>
      </c>
      <c r="K267">
        <v>14.900000000000006</v>
      </c>
      <c r="L267">
        <v>14.5</v>
      </c>
      <c r="M267">
        <v>14.800000000000011</v>
      </c>
      <c r="N267">
        <v>14.599999999999994</v>
      </c>
      <c r="O267">
        <v>15.199999999999989</v>
      </c>
      <c r="P267">
        <v>14.700000000000017</v>
      </c>
      <c r="Q267">
        <v>14.399999999999977</v>
      </c>
      <c r="R267">
        <v>14</v>
      </c>
      <c r="S267">
        <f>Tableau1[[#This Row],[Final_time]]-SUM(Tableau1[[#This Row],[0_100m]:[1300_1400m]])</f>
        <v>14.280000000000001</v>
      </c>
      <c r="T267">
        <v>217.98</v>
      </c>
      <c r="U267">
        <f t="shared" si="8"/>
        <v>217.98</v>
      </c>
      <c r="V267">
        <f t="shared" si="9"/>
        <v>0</v>
      </c>
      <c r="W267" s="12"/>
      <c r="X267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67" t="s">
        <v>318</v>
      </c>
      <c r="Z267" t="s">
        <v>43</v>
      </c>
      <c r="AB267" t="s">
        <v>65</v>
      </c>
      <c r="AC267" s="2">
        <v>44339</v>
      </c>
      <c r="AD267">
        <v>2021</v>
      </c>
      <c r="AE267">
        <v>11</v>
      </c>
      <c r="AF267" s="5">
        <v>0.71</v>
      </c>
      <c r="AG267" s="3" t="s">
        <v>61</v>
      </c>
    </row>
    <row r="268" spans="1:33" hidden="1" x14ac:dyDescent="0.35">
      <c r="A268" t="str">
        <f>_xlfn.CONCAT(Tableau1[[#This Row],[Athletes]],"_",Tableau1[[#This Row],[Nationality]],"_",Tableau1[[#This Row],[Competition_year]])</f>
        <v>Ignacio FONTES_ESP_2021</v>
      </c>
      <c r="B268" t="s">
        <v>251</v>
      </c>
      <c r="C268" t="s">
        <v>16</v>
      </c>
      <c r="D268" t="s">
        <v>22</v>
      </c>
      <c r="E268">
        <v>14.3</v>
      </c>
      <c r="F268">
        <v>14.7</v>
      </c>
      <c r="G268">
        <v>15</v>
      </c>
      <c r="H268">
        <v>14.100000000000001</v>
      </c>
      <c r="I268">
        <v>14.499999999999993</v>
      </c>
      <c r="J268">
        <v>14.300000000000011</v>
      </c>
      <c r="K268">
        <v>14.799999999999997</v>
      </c>
      <c r="L268">
        <v>14.599999999999994</v>
      </c>
      <c r="M268">
        <v>14.899999999999991</v>
      </c>
      <c r="N268">
        <v>14.5</v>
      </c>
      <c r="O268">
        <v>15.100000000000023</v>
      </c>
      <c r="P268">
        <v>14.799999999999983</v>
      </c>
      <c r="Q268">
        <v>13.900000000000006</v>
      </c>
      <c r="R268">
        <v>13.900000000000006</v>
      </c>
      <c r="S268">
        <f>Tableau1[[#This Row],[Final_time]]-SUM(Tableau1[[#This Row],[0_100m]:[1300_1400m]])</f>
        <v>14.569999999999993</v>
      </c>
      <c r="T268">
        <v>217.97</v>
      </c>
      <c r="U268">
        <f t="shared" si="8"/>
        <v>217.97</v>
      </c>
      <c r="V268">
        <f t="shared" si="9"/>
        <v>0</v>
      </c>
      <c r="W268" s="12"/>
      <c r="X268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68" t="s">
        <v>318</v>
      </c>
      <c r="Z268" t="s">
        <v>43</v>
      </c>
      <c r="AB268" t="s">
        <v>65</v>
      </c>
      <c r="AC268" s="2">
        <v>44339</v>
      </c>
      <c r="AD268">
        <v>2021</v>
      </c>
      <c r="AE268">
        <v>11</v>
      </c>
      <c r="AF268" s="5">
        <v>0.71</v>
      </c>
      <c r="AG268" s="3" t="s">
        <v>61</v>
      </c>
    </row>
    <row r="269" spans="1:33" hidden="1" x14ac:dyDescent="0.35">
      <c r="A269" t="str">
        <f>_xlfn.CONCAT(Tableau1[[#This Row],[Athletes]],"_",Tableau1[[#This Row],[Nationality]],"_",Tableau1[[#This Row],[Competition_year]])</f>
        <v>George MILLS_GBR_2021</v>
      </c>
      <c r="B269" t="s">
        <v>279</v>
      </c>
      <c r="C269" t="s">
        <v>16</v>
      </c>
      <c r="D269" t="s">
        <v>20</v>
      </c>
      <c r="E269">
        <v>14.7</v>
      </c>
      <c r="F269">
        <v>14.8</v>
      </c>
      <c r="G269">
        <v>15.299999999999997</v>
      </c>
      <c r="H269">
        <v>14.700000000000003</v>
      </c>
      <c r="I269">
        <v>14.599999999999994</v>
      </c>
      <c r="J269">
        <v>14.5</v>
      </c>
      <c r="K269">
        <v>15.200000000000003</v>
      </c>
      <c r="L269">
        <v>14.700000000000003</v>
      </c>
      <c r="M269">
        <v>15.199999999999989</v>
      </c>
      <c r="N269">
        <v>14.900000000000006</v>
      </c>
      <c r="O269">
        <v>15.5</v>
      </c>
      <c r="P269">
        <v>14.700000000000017</v>
      </c>
      <c r="Q269">
        <v>14.599999999999994</v>
      </c>
      <c r="R269">
        <v>14.299999999999983</v>
      </c>
      <c r="S269">
        <f>Tableau1[[#This Row],[Final_time]]-SUM(Tableau1[[#This Row],[0_100m]:[1300_1400m]])</f>
        <v>15</v>
      </c>
      <c r="T269">
        <v>222.7</v>
      </c>
      <c r="U269">
        <f t="shared" si="8"/>
        <v>222.7</v>
      </c>
      <c r="V269">
        <f t="shared" si="9"/>
        <v>0</v>
      </c>
      <c r="W269" s="12"/>
      <c r="X269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69" t="s">
        <v>318</v>
      </c>
      <c r="Z269" t="s">
        <v>43</v>
      </c>
      <c r="AB269" t="s">
        <v>65</v>
      </c>
      <c r="AC269" s="2">
        <v>44339</v>
      </c>
      <c r="AD269">
        <v>2021</v>
      </c>
      <c r="AE269">
        <v>11</v>
      </c>
      <c r="AF269" s="5">
        <v>0.71</v>
      </c>
      <c r="AG269" s="3" t="s">
        <v>61</v>
      </c>
    </row>
    <row r="270" spans="1:33" hidden="1" x14ac:dyDescent="0.35">
      <c r="A270" t="str">
        <f>_xlfn.CONCAT(Tableau1[[#This Row],[Athletes]],"_",Tableau1[[#This Row],[Nationality]],"_",Tableau1[[#This Row],[Competition_year]])</f>
        <v>Archie DAVIS_GBR_2021</v>
      </c>
      <c r="B270" t="s">
        <v>764</v>
      </c>
      <c r="C270" t="s">
        <v>16</v>
      </c>
      <c r="D270" t="s">
        <v>20</v>
      </c>
      <c r="E270">
        <v>14.9</v>
      </c>
      <c r="F270">
        <v>14.799999999999999</v>
      </c>
      <c r="G270">
        <v>14.599999999999998</v>
      </c>
      <c r="H270">
        <v>14.400000000000006</v>
      </c>
      <c r="I270">
        <v>14.5</v>
      </c>
      <c r="J270">
        <v>14.299999999999997</v>
      </c>
      <c r="K270">
        <v>15.099999999999994</v>
      </c>
      <c r="L270">
        <v>14.5</v>
      </c>
      <c r="M270">
        <v>14.900000000000006</v>
      </c>
      <c r="N270">
        <v>14.699999999999989</v>
      </c>
      <c r="O270">
        <v>15.200000000000017</v>
      </c>
      <c r="P270">
        <v>14.599999999999994</v>
      </c>
      <c r="Q270">
        <v>15</v>
      </c>
      <c r="R270">
        <v>14.800000000000011</v>
      </c>
      <c r="S270">
        <f>Tableau1[[#This Row],[Final_time]]-SUM(Tableau1[[#This Row],[0_100m]:[1300_1400m]])</f>
        <v>15.359999999999985</v>
      </c>
      <c r="T270">
        <v>221.66</v>
      </c>
      <c r="U270">
        <f t="shared" si="8"/>
        <v>221.66</v>
      </c>
      <c r="V270">
        <f t="shared" si="9"/>
        <v>0</v>
      </c>
      <c r="W270" s="12"/>
      <c r="X270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0" t="s">
        <v>318</v>
      </c>
      <c r="Z270" t="s">
        <v>43</v>
      </c>
      <c r="AB270" t="s">
        <v>65</v>
      </c>
      <c r="AC270" s="2">
        <v>44339</v>
      </c>
      <c r="AD270">
        <v>2021</v>
      </c>
      <c r="AE270">
        <v>11</v>
      </c>
      <c r="AF270" s="5">
        <v>0.71</v>
      </c>
      <c r="AG270" s="3" t="s">
        <v>61</v>
      </c>
    </row>
    <row r="271" spans="1:33" hidden="1" x14ac:dyDescent="0.35">
      <c r="A271" t="str">
        <f>_xlfn.CONCAT(Tableau1[[#This Row],[Athletes]],"_",Tableau1[[#This Row],[Nationality]],"_",Tableau1[[#This Row],[Competition_year]])</f>
        <v>Ryan GREGSON_AUS_2021</v>
      </c>
      <c r="B271" t="s">
        <v>1207</v>
      </c>
      <c r="C271" t="s">
        <v>16</v>
      </c>
      <c r="D271" t="s">
        <v>21</v>
      </c>
      <c r="E271">
        <v>14.6</v>
      </c>
      <c r="F271">
        <v>14.6</v>
      </c>
      <c r="G271">
        <v>15.000000000000004</v>
      </c>
      <c r="H271">
        <v>14.199999999999996</v>
      </c>
      <c r="I271">
        <v>14.600000000000001</v>
      </c>
      <c r="J271">
        <v>14.599999999999994</v>
      </c>
      <c r="K271">
        <v>15.5</v>
      </c>
      <c r="L271">
        <v>15.200000000000003</v>
      </c>
      <c r="M271">
        <v>15.000000000000014</v>
      </c>
      <c r="N271">
        <v>15.199999999999989</v>
      </c>
      <c r="O271">
        <v>16</v>
      </c>
      <c r="P271">
        <v>15.199999999999989</v>
      </c>
      <c r="Q271">
        <v>15</v>
      </c>
      <c r="R271">
        <v>14.800000000000011</v>
      </c>
      <c r="S271">
        <f>Tableau1[[#This Row],[Final_time]]-SUM(Tableau1[[#This Row],[0_100m]:[1300_1400m]])</f>
        <v>15.860000000000014</v>
      </c>
      <c r="T271">
        <v>225.36</v>
      </c>
      <c r="U271">
        <f t="shared" si="8"/>
        <v>225.36</v>
      </c>
      <c r="V271">
        <f t="shared" si="9"/>
        <v>0</v>
      </c>
      <c r="W271" s="12"/>
      <c r="X271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1" t="s">
        <v>318</v>
      </c>
      <c r="Z271" t="s">
        <v>43</v>
      </c>
      <c r="AB271" t="s">
        <v>65</v>
      </c>
      <c r="AC271" s="2">
        <v>44339</v>
      </c>
      <c r="AD271">
        <v>2021</v>
      </c>
      <c r="AE271">
        <v>11</v>
      </c>
      <c r="AF271" s="5">
        <v>0.71</v>
      </c>
      <c r="AG271" s="3" t="s">
        <v>61</v>
      </c>
    </row>
    <row r="272" spans="1:33" hidden="1" x14ac:dyDescent="0.35">
      <c r="A272" t="str">
        <f>_xlfn.CONCAT(Tableau1[[#This Row],[Athletes]],"_",Tableau1[[#This Row],[Nationality]],"_",Tableau1[[#This Row],[Competition_year]])</f>
        <v>Thomas KEEN_GBR_2021</v>
      </c>
      <c r="B272" t="s">
        <v>1270</v>
      </c>
      <c r="C272" t="s">
        <v>16</v>
      </c>
      <c r="D272" t="s">
        <v>20</v>
      </c>
      <c r="E272">
        <v>14.4</v>
      </c>
      <c r="F272">
        <v>14.9</v>
      </c>
      <c r="G272">
        <v>15.099999999999998</v>
      </c>
      <c r="H272">
        <v>14.700000000000003</v>
      </c>
      <c r="I272">
        <v>14.600000000000001</v>
      </c>
      <c r="J272">
        <v>14.599999999999994</v>
      </c>
      <c r="K272">
        <v>15.200000000000003</v>
      </c>
      <c r="L272">
        <v>14.799999999999997</v>
      </c>
      <c r="M272">
        <v>15.200000000000003</v>
      </c>
      <c r="N272">
        <v>15.300000000000011</v>
      </c>
      <c r="O272">
        <v>15.399999999999977</v>
      </c>
      <c r="P272">
        <v>14.900000000000006</v>
      </c>
      <c r="Q272">
        <v>15.300000000000011</v>
      </c>
      <c r="R272">
        <v>15.400000000000006</v>
      </c>
      <c r="S272">
        <f>Tableau1[[#This Row],[Final_time]]-SUM(Tableau1[[#This Row],[0_100m]:[1300_1400m]])</f>
        <v>16.169999999999987</v>
      </c>
      <c r="T272">
        <v>225.97</v>
      </c>
      <c r="U272">
        <f t="shared" si="8"/>
        <v>225.97</v>
      </c>
      <c r="V272">
        <f t="shared" si="9"/>
        <v>0</v>
      </c>
      <c r="W272" s="12"/>
      <c r="X272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2" t="s">
        <v>318</v>
      </c>
      <c r="Z272" t="s">
        <v>43</v>
      </c>
      <c r="AB272" t="s">
        <v>65</v>
      </c>
      <c r="AC272" s="2">
        <v>44339</v>
      </c>
      <c r="AD272">
        <v>2021</v>
      </c>
      <c r="AE272">
        <v>11</v>
      </c>
      <c r="AF272" s="5">
        <v>0.71</v>
      </c>
      <c r="AG272" s="3" t="s">
        <v>61</v>
      </c>
    </row>
    <row r="273" spans="1:33" hidden="1" x14ac:dyDescent="0.35">
      <c r="A273" t="str">
        <f>_xlfn.CONCAT(Tableau1[[#This Row],[Athletes]],"_",Tableau1[[#This Row],[Nationality]],"_",Tableau1[[#This Row],[Competition_year]])</f>
        <v>Adam Ali MUSAB_QAT_2021</v>
      </c>
      <c r="B273" t="s">
        <v>714</v>
      </c>
      <c r="C273" t="s">
        <v>16</v>
      </c>
      <c r="D273" t="s">
        <v>57</v>
      </c>
      <c r="E273">
        <v>14</v>
      </c>
      <c r="F273">
        <v>14.7</v>
      </c>
      <c r="G273">
        <v>14.8</v>
      </c>
      <c r="H273">
        <v>14</v>
      </c>
      <c r="I273">
        <v>14.400000000000006</v>
      </c>
      <c r="J273">
        <v>14.099999999999994</v>
      </c>
      <c r="K273">
        <v>14.900000000000006</v>
      </c>
      <c r="L273">
        <v>14.699999999999989</v>
      </c>
      <c r="M273">
        <v>15</v>
      </c>
      <c r="N273">
        <v>14.900000000000006</v>
      </c>
      <c r="O273">
        <v>15.400000000000006</v>
      </c>
      <c r="P273">
        <v>14.599999999999994</v>
      </c>
      <c r="Q273">
        <v>15</v>
      </c>
      <c r="R273">
        <v>15.699999999999989</v>
      </c>
      <c r="S273">
        <f>Tableau1[[#This Row],[Final_time]]-SUM(Tableau1[[#This Row],[0_100m]:[1300_1400m]])</f>
        <v>17.600000000000023</v>
      </c>
      <c r="T273">
        <v>223.8</v>
      </c>
      <c r="U273">
        <f t="shared" si="8"/>
        <v>223.8</v>
      </c>
      <c r="V273">
        <f t="shared" si="9"/>
        <v>0</v>
      </c>
      <c r="W273" s="12"/>
      <c r="X273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3" t="s">
        <v>318</v>
      </c>
      <c r="Z273" t="s">
        <v>43</v>
      </c>
      <c r="AB273" t="s">
        <v>65</v>
      </c>
      <c r="AC273" s="2">
        <v>44339</v>
      </c>
      <c r="AD273">
        <v>2021</v>
      </c>
      <c r="AE273">
        <v>11</v>
      </c>
      <c r="AF273" s="5">
        <v>0.71</v>
      </c>
      <c r="AG273" s="3" t="s">
        <v>61</v>
      </c>
    </row>
    <row r="274" spans="1:33" hidden="1" x14ac:dyDescent="0.35">
      <c r="A274" t="str">
        <f>_xlfn.CONCAT(Tableau1[[#This Row],[Athletes]],"_",Tableau1[[#This Row],[Nationality]],"_",Tableau1[[#This Row],[Competition_year]])</f>
        <v>Andreas LINDGREEN_DEN_2021</v>
      </c>
      <c r="B274" t="s">
        <v>752</v>
      </c>
      <c r="C274" t="s">
        <v>16</v>
      </c>
      <c r="D274" t="s">
        <v>40</v>
      </c>
      <c r="E274">
        <v>14.6</v>
      </c>
      <c r="F274">
        <v>14.799999999999999</v>
      </c>
      <c r="G274">
        <v>15.200000000000003</v>
      </c>
      <c r="H274">
        <v>14.699999999999996</v>
      </c>
      <c r="I274">
        <v>14.600000000000009</v>
      </c>
      <c r="J274">
        <v>14.5</v>
      </c>
      <c r="K274">
        <v>15.199999999999989</v>
      </c>
      <c r="L274">
        <v>14.900000000000006</v>
      </c>
      <c r="M274">
        <v>15.300000000000011</v>
      </c>
      <c r="N274">
        <v>15.199999999999989</v>
      </c>
      <c r="O274">
        <v>15.800000000000011</v>
      </c>
      <c r="P274">
        <v>15.599999999999994</v>
      </c>
      <c r="Q274">
        <v>16.199999999999989</v>
      </c>
      <c r="R274">
        <v>16.900000000000006</v>
      </c>
      <c r="S274">
        <f>Tableau1[[#This Row],[Final_time]]-SUM(Tableau1[[#This Row],[0_100m]:[1300_1400m]])</f>
        <v>17.960000000000008</v>
      </c>
      <c r="T274">
        <v>231.46</v>
      </c>
      <c r="U274">
        <f t="shared" si="8"/>
        <v>231.46</v>
      </c>
      <c r="V274">
        <f t="shared" si="9"/>
        <v>0</v>
      </c>
      <c r="W274" s="12"/>
      <c r="X274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4" t="s">
        <v>318</v>
      </c>
      <c r="Z274" t="s">
        <v>43</v>
      </c>
      <c r="AB274" t="s">
        <v>65</v>
      </c>
      <c r="AC274" s="2">
        <v>44339</v>
      </c>
      <c r="AD274">
        <v>2021</v>
      </c>
      <c r="AE274">
        <v>11</v>
      </c>
      <c r="AF274" s="5">
        <v>0.71</v>
      </c>
      <c r="AG274" s="3" t="s">
        <v>61</v>
      </c>
    </row>
    <row r="275" spans="1:33" hidden="1" x14ac:dyDescent="0.35">
      <c r="A275" t="str">
        <f>_xlfn.CONCAT(Tableau1[[#This Row],[Athletes]],"_",Tableau1[[#This Row],[Nationality]],"_",Tableau1[[#This Row],[Competition_year]])</f>
        <v>Saúl ORDÓÑEZ_ESP_2021</v>
      </c>
      <c r="B275" t="s">
        <v>453</v>
      </c>
      <c r="C275" t="s">
        <v>16</v>
      </c>
      <c r="D275" t="s">
        <v>22</v>
      </c>
      <c r="E275">
        <v>14.1</v>
      </c>
      <c r="F275">
        <f>28.7-Tableau1[[#This Row],[0_100m]]</f>
        <v>14.6</v>
      </c>
      <c r="G275">
        <f>43.7-SUM(Tableau1[[#This Row],[0_100m]:[100_200m]])</f>
        <v>15.000000000000004</v>
      </c>
      <c r="H275">
        <f>57.7-SUM(Tableau1[[#This Row],[0_100m]:[200_300m]])</f>
        <v>14</v>
      </c>
      <c r="I275">
        <f>72.1-SUM(Tableau1[[#This Row],[0_100m]:[300_400m]])</f>
        <v>14.399999999999991</v>
      </c>
      <c r="J275">
        <f>86.3-SUM(Tableau1[[#This Row],[0_100m]:[400_500m]])</f>
        <v>14.200000000000003</v>
      </c>
      <c r="K275">
        <f>101.2-SUM(Tableau1[[#This Row],[0_100m]:[500_600m]])</f>
        <v>14.900000000000006</v>
      </c>
      <c r="L275">
        <f>115.8-SUM(Tableau1[[#This Row],[0_100m]:[600_700m]])</f>
        <v>14.599999999999994</v>
      </c>
      <c r="M275">
        <f>130.8-SUM(Tableau1[[#This Row],[0_100m]:[700_800m]])</f>
        <v>15.000000000000014</v>
      </c>
      <c r="N275">
        <f>145.7-SUM(Tableau1[[#This Row],[0_100m]:[800_900m]])</f>
        <v>14.899999999999977</v>
      </c>
      <c r="O275">
        <f>161-SUM(Tableau1[[#This Row],[0_100m]:[900_1000m]])</f>
        <v>15.300000000000011</v>
      </c>
      <c r="P275">
        <f>175.6-SUM(Tableau1[[#This Row],[0_100m]:[1000_1100m]])</f>
        <v>14.599999999999994</v>
      </c>
      <c r="Q275">
        <f>190.1-SUM(Tableau1[[#This Row],[0_100m]:[1100_1200m]])</f>
        <v>14.5</v>
      </c>
      <c r="R275">
        <f>215.2-SUM(Tableau1[[#This Row],[0_100m]:[1200_1300m]])</f>
        <v>25.099999999999994</v>
      </c>
      <c r="S275">
        <f>Tableau1[[#This Row],[Final_time]]-SUM(Tableau1[[#This Row],[0_100m]:[1300_1400m]])</f>
        <v>18.960000000000008</v>
      </c>
      <c r="T275">
        <v>234.16</v>
      </c>
      <c r="U275">
        <f t="shared" si="8"/>
        <v>234.16</v>
      </c>
      <c r="V275">
        <f t="shared" si="9"/>
        <v>0</v>
      </c>
      <c r="W275" s="12"/>
      <c r="X275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5" t="s">
        <v>318</v>
      </c>
      <c r="Z275" t="s">
        <v>43</v>
      </c>
      <c r="AB275" t="s">
        <v>65</v>
      </c>
      <c r="AC275" s="2">
        <v>44339</v>
      </c>
      <c r="AD275">
        <v>2021</v>
      </c>
      <c r="AE275">
        <v>11</v>
      </c>
      <c r="AF275" s="5">
        <v>0.71</v>
      </c>
      <c r="AG275" s="3" t="s">
        <v>61</v>
      </c>
    </row>
    <row r="276" spans="1:33" hidden="1" x14ac:dyDescent="0.35">
      <c r="A276" t="str">
        <f>_xlfn.CONCAT(Tableau1[[#This Row],[Athletes]],"_",Tableau1[[#This Row],[Nationality]],"_",Tableau1[[#This Row],[Competition_year]])</f>
        <v>Brimin Kiprono KIPROTICH_KEN_2021</v>
      </c>
      <c r="B276" t="s">
        <v>803</v>
      </c>
      <c r="C276" t="s">
        <v>16</v>
      </c>
      <c r="D276" t="s">
        <v>17</v>
      </c>
      <c r="E276">
        <v>13.8</v>
      </c>
      <c r="F276">
        <v>14.2</v>
      </c>
      <c r="G276">
        <v>14.5</v>
      </c>
      <c r="H276">
        <v>14.100000000000001</v>
      </c>
      <c r="I276">
        <v>14.399999999999999</v>
      </c>
      <c r="J276">
        <v>14.099999999999994</v>
      </c>
      <c r="K276">
        <v>14.900000000000006</v>
      </c>
      <c r="L276">
        <v>14.700000000000003</v>
      </c>
      <c r="M276">
        <v>15.100000000000009</v>
      </c>
      <c r="N276">
        <v>15</v>
      </c>
      <c r="O276">
        <v>15.599999999999994</v>
      </c>
      <c r="P276">
        <v>17.400000000000006</v>
      </c>
      <c r="Q276">
        <v>17.199999999999989</v>
      </c>
      <c r="R276">
        <v>17.900000000000006</v>
      </c>
      <c r="S276">
        <f>Tableau1[[#This Row],[Final_time]]-SUM(Tableau1[[#This Row],[0_100m]:[1300_1400m]])</f>
        <v>19.72999999999999</v>
      </c>
      <c r="T276">
        <v>232.63</v>
      </c>
      <c r="U276">
        <f t="shared" si="8"/>
        <v>232.63</v>
      </c>
      <c r="V276">
        <f t="shared" si="9"/>
        <v>0</v>
      </c>
      <c r="W276" s="12"/>
      <c r="X276" t="str">
        <f>_xlfn.CONCAT(Tableau1[[#This Row],[Competition]],"_",Tableau1[[#This Row],[Championship_step]],"_",Tableau1[[#This Row],[Competition_date]],"_",Tableau1[[#This Row],[Gender]])</f>
        <v>Diamond League Gateshead 2021__44339_Male</v>
      </c>
      <c r="Y276" t="s">
        <v>318</v>
      </c>
      <c r="Z276" t="s">
        <v>43</v>
      </c>
      <c r="AB276" t="s">
        <v>65</v>
      </c>
      <c r="AC276" s="2">
        <v>44339</v>
      </c>
      <c r="AD276">
        <v>2021</v>
      </c>
      <c r="AE276">
        <v>11</v>
      </c>
      <c r="AF276" s="5">
        <v>0.71</v>
      </c>
      <c r="AG276" s="3" t="s">
        <v>61</v>
      </c>
    </row>
    <row r="277" spans="1:33" hidden="1" x14ac:dyDescent="0.35">
      <c r="A277" t="str">
        <f>_xlfn.CONCAT(Tableau1[[#This Row],[Athletes]],"_",Tableau1[[#This Row],[Nationality]],"_",Tableau1[[#This Row],[Competition_year]])</f>
        <v>Malin RAHM_SUI_2021</v>
      </c>
      <c r="B277" t="s">
        <v>332</v>
      </c>
      <c r="C277" t="s">
        <v>47</v>
      </c>
      <c r="D277" t="s">
        <v>87</v>
      </c>
      <c r="E277">
        <v>18.5</v>
      </c>
      <c r="F277">
        <v>20</v>
      </c>
      <c r="G277">
        <v>17.7</v>
      </c>
      <c r="H277">
        <v>17.899999999999999</v>
      </c>
      <c r="I277">
        <v>18.3</v>
      </c>
      <c r="J277">
        <v>18</v>
      </c>
      <c r="K277">
        <v>17.899999999999999</v>
      </c>
      <c r="L277">
        <v>18.899999999999999</v>
      </c>
      <c r="M277">
        <v>19.2</v>
      </c>
      <c r="N277">
        <v>18.7</v>
      </c>
      <c r="O277">
        <v>18.899999999999999</v>
      </c>
      <c r="P277">
        <v>18.100000000000001</v>
      </c>
      <c r="Q277">
        <v>18.399999999999999</v>
      </c>
      <c r="R277">
        <v>18</v>
      </c>
      <c r="S277">
        <f>Tableau1[[#This Row],[Final_time]]-SUM(Tableau1[[#This Row],[0_100m]:[1300_1400m]])</f>
        <v>16.949999999999989</v>
      </c>
      <c r="T277">
        <v>275.45</v>
      </c>
      <c r="U277">
        <f t="shared" si="8"/>
        <v>275.45</v>
      </c>
      <c r="V277">
        <f t="shared" si="9"/>
        <v>0</v>
      </c>
      <c r="W277" s="12"/>
      <c r="X277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77" t="s">
        <v>328</v>
      </c>
      <c r="Z277" t="s">
        <v>43</v>
      </c>
      <c r="AA277" s="2"/>
      <c r="AB277" s="2" t="s">
        <v>44</v>
      </c>
      <c r="AC277" s="2">
        <v>44434</v>
      </c>
      <c r="AD277">
        <v>2021</v>
      </c>
      <c r="AE277" s="3">
        <v>23</v>
      </c>
      <c r="AF277" s="5">
        <v>0.48</v>
      </c>
      <c r="AG277" s="3" t="s">
        <v>71</v>
      </c>
    </row>
    <row r="278" spans="1:33" hidden="1" x14ac:dyDescent="0.35">
      <c r="A278" t="str">
        <f>_xlfn.CONCAT(Tableau1[[#This Row],[Athletes]],"_",Tableau1[[#This Row],[Nationality]],"_",Tableau1[[#This Row],[Competition_year]])</f>
        <v>Lisa DE BRUYN_SUI_2021</v>
      </c>
      <c r="B278" t="s">
        <v>1064</v>
      </c>
      <c r="C278" t="s">
        <v>47</v>
      </c>
      <c r="D278" t="s">
        <v>87</v>
      </c>
      <c r="E278">
        <v>18.899999999999999</v>
      </c>
      <c r="F278">
        <v>19.8</v>
      </c>
      <c r="G278">
        <v>18.399999999999999</v>
      </c>
      <c r="H278">
        <v>18.399999999999999</v>
      </c>
      <c r="I278">
        <v>18.399999999999999</v>
      </c>
      <c r="J278">
        <v>18.600000000000001</v>
      </c>
      <c r="K278">
        <v>18.600000000000001</v>
      </c>
      <c r="L278">
        <v>19</v>
      </c>
      <c r="M278">
        <v>18.7</v>
      </c>
      <c r="N278">
        <v>18.8</v>
      </c>
      <c r="O278">
        <v>18</v>
      </c>
      <c r="P278">
        <v>18</v>
      </c>
      <c r="Q278">
        <v>18.3</v>
      </c>
      <c r="R278">
        <v>17.7</v>
      </c>
      <c r="S278">
        <f>Tableau1[[#This Row],[Final_time]]-SUM(Tableau1[[#This Row],[0_100m]:[1300_1400m]])</f>
        <v>17.120000000000005</v>
      </c>
      <c r="T278">
        <v>276.72000000000003</v>
      </c>
      <c r="U278">
        <f t="shared" si="8"/>
        <v>276.72000000000003</v>
      </c>
      <c r="V278">
        <f t="shared" si="9"/>
        <v>0</v>
      </c>
      <c r="W278" s="12"/>
      <c r="X278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78" t="s">
        <v>328</v>
      </c>
      <c r="Z278" t="s">
        <v>43</v>
      </c>
      <c r="AA278" s="2"/>
      <c r="AB278" s="2" t="s">
        <v>44</v>
      </c>
      <c r="AC278" s="2">
        <v>44434</v>
      </c>
      <c r="AD278">
        <v>2021</v>
      </c>
      <c r="AE278" s="3">
        <v>23</v>
      </c>
      <c r="AF278" s="5">
        <v>0.48</v>
      </c>
      <c r="AG278" s="3" t="s">
        <v>71</v>
      </c>
    </row>
    <row r="279" spans="1:33" hidden="1" x14ac:dyDescent="0.35">
      <c r="A279" t="str">
        <f>_xlfn.CONCAT(Tableau1[[#This Row],[Athletes]],"_",Tableau1[[#This Row],[Nationality]],"_",Tableau1[[#This Row],[Competition_year]])</f>
        <v>Romane WOLHAUSER_SUI_2021</v>
      </c>
      <c r="B279" t="s">
        <v>330</v>
      </c>
      <c r="C279" t="s">
        <v>47</v>
      </c>
      <c r="D279" t="s">
        <v>87</v>
      </c>
      <c r="E279">
        <v>18.3</v>
      </c>
      <c r="F279">
        <v>19.600000000000001</v>
      </c>
      <c r="G279">
        <v>18</v>
      </c>
      <c r="H279">
        <v>17.899999999999999</v>
      </c>
      <c r="I279">
        <v>18.3</v>
      </c>
      <c r="J279">
        <v>17.8</v>
      </c>
      <c r="K279">
        <v>17.399999999999999</v>
      </c>
      <c r="L279">
        <v>18.8</v>
      </c>
      <c r="M279">
        <v>19.100000000000001</v>
      </c>
      <c r="N279">
        <v>19</v>
      </c>
      <c r="O279">
        <v>18.399999999999999</v>
      </c>
      <c r="P279">
        <v>18.7</v>
      </c>
      <c r="Q279">
        <v>18.100000000000001</v>
      </c>
      <c r="R279">
        <v>18.2</v>
      </c>
      <c r="S279">
        <f>Tableau1[[#This Row],[Final_time]]-SUM(Tableau1[[#This Row],[0_100m]:[1300_1400m]])</f>
        <v>17.139999999999986</v>
      </c>
      <c r="T279">
        <v>274.74</v>
      </c>
      <c r="U279">
        <f t="shared" si="8"/>
        <v>274.74</v>
      </c>
      <c r="V279">
        <f t="shared" si="9"/>
        <v>0</v>
      </c>
      <c r="W279" s="12"/>
      <c r="X279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79" t="s">
        <v>328</v>
      </c>
      <c r="Z279" t="s">
        <v>43</v>
      </c>
      <c r="AA279" s="2"/>
      <c r="AB279" s="2" t="s">
        <v>44</v>
      </c>
      <c r="AC279" s="2">
        <v>44434</v>
      </c>
      <c r="AD279">
        <v>2021</v>
      </c>
      <c r="AE279" s="3">
        <v>23</v>
      </c>
      <c r="AF279" s="5">
        <v>0.48</v>
      </c>
      <c r="AG279" s="3" t="s">
        <v>71</v>
      </c>
    </row>
    <row r="280" spans="1:33" hidden="1" x14ac:dyDescent="0.35">
      <c r="A280" t="str">
        <f>_xlfn.CONCAT(Tableau1[[#This Row],[Athletes]],"_",Tableau1[[#This Row],[Nationality]],"_",Tableau1[[#This Row],[Competition_year]])</f>
        <v>Giulia SALVADE'_SUI_2021</v>
      </c>
      <c r="B280" t="s">
        <v>924</v>
      </c>
      <c r="C280" t="s">
        <v>47</v>
      </c>
      <c r="D280" t="s">
        <v>87</v>
      </c>
      <c r="E280">
        <v>18.7</v>
      </c>
      <c r="F280">
        <v>19.399999999999999</v>
      </c>
      <c r="G280">
        <v>18.399999999999999</v>
      </c>
      <c r="H280">
        <v>18.5</v>
      </c>
      <c r="I280">
        <v>18.100000000000001</v>
      </c>
      <c r="J280">
        <v>18.8</v>
      </c>
      <c r="K280">
        <v>18.600000000000001</v>
      </c>
      <c r="L280">
        <v>19.399999999999999</v>
      </c>
      <c r="M280">
        <v>19.3</v>
      </c>
      <c r="N280">
        <v>19.100000000000001</v>
      </c>
      <c r="O280">
        <v>19.2</v>
      </c>
      <c r="P280">
        <v>19.399999999999999</v>
      </c>
      <c r="Q280">
        <v>19.8</v>
      </c>
      <c r="R280">
        <v>18.600000000000001</v>
      </c>
      <c r="S280">
        <f>Tableau1[[#This Row],[Final_time]]-SUM(Tableau1[[#This Row],[0_100m]:[1300_1400m]])</f>
        <v>17.509999999999991</v>
      </c>
      <c r="T280">
        <v>282.81</v>
      </c>
      <c r="U280">
        <f t="shared" si="8"/>
        <v>282.81</v>
      </c>
      <c r="V280">
        <f t="shared" si="9"/>
        <v>0</v>
      </c>
      <c r="W280" s="12"/>
      <c r="X280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0" t="s">
        <v>328</v>
      </c>
      <c r="Z280" t="s">
        <v>43</v>
      </c>
      <c r="AA280" s="2"/>
      <c r="AB280" s="2" t="s">
        <v>44</v>
      </c>
      <c r="AC280" s="2">
        <v>44434</v>
      </c>
      <c r="AD280">
        <v>2021</v>
      </c>
      <c r="AE280" s="3">
        <v>23</v>
      </c>
      <c r="AF280" s="5">
        <v>0.48</v>
      </c>
      <c r="AG280" s="3" t="s">
        <v>71</v>
      </c>
    </row>
    <row r="281" spans="1:33" hidden="1" x14ac:dyDescent="0.35">
      <c r="A281" t="str">
        <f>_xlfn.CONCAT(Tableau1[[#This Row],[Athletes]],"_",Tableau1[[#This Row],[Nationality]],"_",Tableau1[[#This Row],[Competition_year]])</f>
        <v>Constance PITTET_SUI_2021</v>
      </c>
      <c r="B281" t="s">
        <v>335</v>
      </c>
      <c r="C281" t="s">
        <v>47</v>
      </c>
      <c r="D281" t="s">
        <v>87</v>
      </c>
      <c r="E281">
        <v>18.5</v>
      </c>
      <c r="F281">
        <v>19.7</v>
      </c>
      <c r="G281">
        <v>18.2</v>
      </c>
      <c r="H281">
        <v>18.100000000000001</v>
      </c>
      <c r="I281">
        <v>18.399999999999999</v>
      </c>
      <c r="J281">
        <v>18.399999999999999</v>
      </c>
      <c r="K281">
        <v>18.2</v>
      </c>
      <c r="L281">
        <v>19</v>
      </c>
      <c r="M281">
        <v>19.3</v>
      </c>
      <c r="N281">
        <v>19.5</v>
      </c>
      <c r="O281">
        <v>19.100000000000001</v>
      </c>
      <c r="P281">
        <v>19.899999999999999</v>
      </c>
      <c r="Q281">
        <v>19.399999999999999</v>
      </c>
      <c r="R281">
        <v>18.7</v>
      </c>
      <c r="S281">
        <f>Tableau1[[#This Row],[Final_time]]-SUM(Tableau1[[#This Row],[0_100m]:[1300_1400m]])</f>
        <v>18.239999999999952</v>
      </c>
      <c r="T281">
        <v>282.64</v>
      </c>
      <c r="U281">
        <f t="shared" si="8"/>
        <v>282.64</v>
      </c>
      <c r="V281">
        <f t="shared" si="9"/>
        <v>0</v>
      </c>
      <c r="W281" s="12"/>
      <c r="X281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1" t="s">
        <v>328</v>
      </c>
      <c r="Z281" t="s">
        <v>43</v>
      </c>
      <c r="AA281" s="2"/>
      <c r="AB281" s="2" t="s">
        <v>44</v>
      </c>
      <c r="AC281" s="2">
        <v>44434</v>
      </c>
      <c r="AD281">
        <v>2021</v>
      </c>
      <c r="AE281" s="3">
        <v>23</v>
      </c>
      <c r="AF281" s="5">
        <v>0.48</v>
      </c>
      <c r="AG281" s="3" t="s">
        <v>71</v>
      </c>
    </row>
    <row r="282" spans="1:33" hidden="1" x14ac:dyDescent="0.35">
      <c r="A282" t="str">
        <f>_xlfn.CONCAT(Tableau1[[#This Row],[Athletes]],"_",Tableau1[[#This Row],[Nationality]],"_",Tableau1[[#This Row],[Competition_year]])</f>
        <v>Danika SLITS_SUI_2021</v>
      </c>
      <c r="B282" t="s">
        <v>334</v>
      </c>
      <c r="C282" t="s">
        <v>47</v>
      </c>
      <c r="D282" t="s">
        <v>87</v>
      </c>
      <c r="E282">
        <v>18.3</v>
      </c>
      <c r="F282">
        <v>20</v>
      </c>
      <c r="G282">
        <v>18.399999999999999</v>
      </c>
      <c r="H282">
        <v>18.100000000000001</v>
      </c>
      <c r="I282">
        <v>18.3</v>
      </c>
      <c r="J282">
        <v>18.3</v>
      </c>
      <c r="K282">
        <v>17.7</v>
      </c>
      <c r="L282">
        <v>18.899999999999999</v>
      </c>
      <c r="M282">
        <v>19.2</v>
      </c>
      <c r="N282">
        <v>19</v>
      </c>
      <c r="O282">
        <v>18.8</v>
      </c>
      <c r="P282">
        <v>19.399999999999999</v>
      </c>
      <c r="Q282">
        <v>19.5</v>
      </c>
      <c r="R282">
        <v>18.8</v>
      </c>
      <c r="S282">
        <f>Tableau1[[#This Row],[Final_time]]-SUM(Tableau1[[#This Row],[0_100m]:[1300_1400m]])</f>
        <v>18.400000000000034</v>
      </c>
      <c r="T282">
        <v>281.10000000000002</v>
      </c>
      <c r="U282">
        <f t="shared" si="8"/>
        <v>281.10000000000002</v>
      </c>
      <c r="V282">
        <f t="shared" si="9"/>
        <v>0</v>
      </c>
      <c r="W282" s="12"/>
      <c r="X282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2" t="s">
        <v>328</v>
      </c>
      <c r="Z282" t="s">
        <v>43</v>
      </c>
      <c r="AA282" s="2"/>
      <c r="AB282" s="2" t="s">
        <v>44</v>
      </c>
      <c r="AC282" s="2">
        <v>44434</v>
      </c>
      <c r="AD282">
        <v>2021</v>
      </c>
      <c r="AE282" s="3">
        <v>23</v>
      </c>
      <c r="AF282" s="5">
        <v>0.48</v>
      </c>
      <c r="AG282" s="3" t="s">
        <v>71</v>
      </c>
    </row>
    <row r="283" spans="1:33" hidden="1" x14ac:dyDescent="0.35">
      <c r="A283" t="str">
        <f>_xlfn.CONCAT(Tableau1[[#This Row],[Athletes]],"_",Tableau1[[#This Row],[Nationality]],"_",Tableau1[[#This Row],[Competition_year]])</f>
        <v>Elena EICHENBERGER_SUI_2021</v>
      </c>
      <c r="B283" t="s">
        <v>331</v>
      </c>
      <c r="C283" t="s">
        <v>47</v>
      </c>
      <c r="D283" t="s">
        <v>87</v>
      </c>
      <c r="E283">
        <v>18.2</v>
      </c>
      <c r="F283">
        <v>19.100000000000001</v>
      </c>
      <c r="G283">
        <v>18</v>
      </c>
      <c r="H283">
        <v>18.100000000000001</v>
      </c>
      <c r="I283">
        <v>18.2</v>
      </c>
      <c r="J283">
        <v>17.7</v>
      </c>
      <c r="K283">
        <v>17.7</v>
      </c>
      <c r="L283">
        <v>18.3</v>
      </c>
      <c r="M283">
        <v>18.3</v>
      </c>
      <c r="N283">
        <v>18.399999999999999</v>
      </c>
      <c r="O283">
        <v>18</v>
      </c>
      <c r="P283">
        <v>18.399999999999999</v>
      </c>
      <c r="Q283">
        <v>19</v>
      </c>
      <c r="R283">
        <v>19.100000000000001</v>
      </c>
      <c r="S283">
        <f>Tableau1[[#This Row],[Final_time]]-SUM(Tableau1[[#This Row],[0_100m]:[1300_1400m]])</f>
        <v>18.619999999999948</v>
      </c>
      <c r="T283">
        <v>275.12</v>
      </c>
      <c r="U283">
        <f t="shared" si="8"/>
        <v>275.12</v>
      </c>
      <c r="V283">
        <f t="shared" si="9"/>
        <v>0</v>
      </c>
      <c r="W283" s="12"/>
      <c r="X283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3" t="s">
        <v>328</v>
      </c>
      <c r="Z283" t="s">
        <v>43</v>
      </c>
      <c r="AA283" s="2"/>
      <c r="AB283" s="2" t="s">
        <v>44</v>
      </c>
      <c r="AC283" s="2">
        <v>44434</v>
      </c>
      <c r="AD283">
        <v>2021</v>
      </c>
      <c r="AE283" s="3">
        <v>23</v>
      </c>
      <c r="AF283" s="5">
        <v>0.48</v>
      </c>
      <c r="AG283" s="3" t="s">
        <v>71</v>
      </c>
    </row>
    <row r="284" spans="1:33" hidden="1" x14ac:dyDescent="0.35">
      <c r="A284" t="str">
        <f>_xlfn.CONCAT(Tableau1[[#This Row],[Athletes]],"_",Tableau1[[#This Row],[Nationality]],"_",Tableau1[[#This Row],[Competition_year]])</f>
        <v>Sophie BAUMANN_SUI_2021</v>
      </c>
      <c r="B284" t="s">
        <v>329</v>
      </c>
      <c r="C284" t="s">
        <v>47</v>
      </c>
      <c r="D284" t="s">
        <v>87</v>
      </c>
      <c r="E284">
        <v>17.899999999999999</v>
      </c>
      <c r="F284">
        <v>18.899999999999999</v>
      </c>
      <c r="G284">
        <v>17.899999999999999</v>
      </c>
      <c r="H284">
        <v>18</v>
      </c>
      <c r="I284">
        <v>18.3</v>
      </c>
      <c r="J284">
        <v>17.8</v>
      </c>
      <c r="K284">
        <v>17.600000000000001</v>
      </c>
      <c r="L284">
        <v>18.2</v>
      </c>
      <c r="M284">
        <v>18.100000000000001</v>
      </c>
      <c r="N284">
        <v>18</v>
      </c>
      <c r="O284">
        <v>17.600000000000001</v>
      </c>
      <c r="P284">
        <v>17.600000000000001</v>
      </c>
      <c r="Q284">
        <v>17.899999999999999</v>
      </c>
      <c r="R284">
        <v>19.2</v>
      </c>
      <c r="S284">
        <f>Tableau1[[#This Row],[Final_time]]-SUM(Tableau1[[#This Row],[0_100m]:[1300_1400m]])</f>
        <v>18.680000000000064</v>
      </c>
      <c r="T284">
        <v>271.68</v>
      </c>
      <c r="U284">
        <f t="shared" si="8"/>
        <v>271.68</v>
      </c>
      <c r="V284">
        <f t="shared" si="9"/>
        <v>0</v>
      </c>
      <c r="W284" s="12"/>
      <c r="X284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4" t="s">
        <v>328</v>
      </c>
      <c r="Z284" t="s">
        <v>43</v>
      </c>
      <c r="AA284" s="2"/>
      <c r="AB284" s="2" t="s">
        <v>44</v>
      </c>
      <c r="AC284" s="2">
        <v>44434</v>
      </c>
      <c r="AD284">
        <v>2021</v>
      </c>
      <c r="AE284" s="3">
        <v>23</v>
      </c>
      <c r="AF284" s="5">
        <v>0.48</v>
      </c>
      <c r="AG284" s="3" t="s">
        <v>71</v>
      </c>
    </row>
    <row r="285" spans="1:33" hidden="1" x14ac:dyDescent="0.35">
      <c r="A285" t="str">
        <f>_xlfn.CONCAT(Tableau1[[#This Row],[Athletes]],"_",Tableau1[[#This Row],[Nationality]],"_",Tableau1[[#This Row],[Competition_year]])</f>
        <v>Zoe RANZONI_SUI_2021</v>
      </c>
      <c r="B285" t="s">
        <v>336</v>
      </c>
      <c r="C285" t="s">
        <v>47</v>
      </c>
      <c r="D285" t="s">
        <v>87</v>
      </c>
      <c r="E285">
        <v>18.3</v>
      </c>
      <c r="F285">
        <v>19.399999999999999</v>
      </c>
      <c r="G285">
        <v>18</v>
      </c>
      <c r="H285">
        <v>18.100000000000001</v>
      </c>
      <c r="I285">
        <v>18.399999999999999</v>
      </c>
      <c r="J285">
        <v>17.899999999999999</v>
      </c>
      <c r="K285">
        <v>17.7</v>
      </c>
      <c r="L285">
        <v>18.899999999999999</v>
      </c>
      <c r="M285">
        <v>19.100000000000001</v>
      </c>
      <c r="N285">
        <v>19.100000000000001</v>
      </c>
      <c r="O285">
        <v>19</v>
      </c>
      <c r="P285">
        <v>19.899999999999999</v>
      </c>
      <c r="Q285">
        <v>20.6</v>
      </c>
      <c r="R285">
        <v>19.3</v>
      </c>
      <c r="S285">
        <f>Tableau1[[#This Row],[Final_time]]-SUM(Tableau1[[#This Row],[0_100m]:[1300_1400m]])</f>
        <v>19.420000000000016</v>
      </c>
      <c r="T285">
        <v>283.12</v>
      </c>
      <c r="U285">
        <f t="shared" si="8"/>
        <v>283.12</v>
      </c>
      <c r="V285">
        <f t="shared" si="9"/>
        <v>0</v>
      </c>
      <c r="W285" s="12"/>
      <c r="X285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5" t="s">
        <v>328</v>
      </c>
      <c r="Z285" t="s">
        <v>43</v>
      </c>
      <c r="AA285" s="2"/>
      <c r="AB285" s="2" t="s">
        <v>44</v>
      </c>
      <c r="AC285" s="2">
        <v>44434</v>
      </c>
      <c r="AD285">
        <v>2021</v>
      </c>
      <c r="AE285" s="3">
        <v>23</v>
      </c>
      <c r="AF285" s="5">
        <v>0.48</v>
      </c>
      <c r="AG285" s="3" t="s">
        <v>71</v>
      </c>
    </row>
    <row r="286" spans="1:33" hidden="1" x14ac:dyDescent="0.35">
      <c r="A286" t="str">
        <f>_xlfn.CONCAT(Tableau1[[#This Row],[Athletes]],"_",Tableau1[[#This Row],[Nationality]],"_",Tableau1[[#This Row],[Competition_year]])</f>
        <v>Leonie SAURER_SUI_2021</v>
      </c>
      <c r="B286" t="s">
        <v>337</v>
      </c>
      <c r="C286" t="s">
        <v>47</v>
      </c>
      <c r="D286" t="s">
        <v>87</v>
      </c>
      <c r="E286">
        <v>18.100000000000001</v>
      </c>
      <c r="F286">
        <v>19.3</v>
      </c>
      <c r="G286">
        <v>18.100000000000001</v>
      </c>
      <c r="H286">
        <v>18.100000000000001</v>
      </c>
      <c r="I286">
        <v>18.2</v>
      </c>
      <c r="J286">
        <v>17.8</v>
      </c>
      <c r="K286">
        <v>17.899999999999999</v>
      </c>
      <c r="L286">
        <v>19</v>
      </c>
      <c r="M286">
        <v>19</v>
      </c>
      <c r="N286">
        <v>19.100000000000001</v>
      </c>
      <c r="O286">
        <v>19.600000000000001</v>
      </c>
      <c r="P286">
        <v>20.2</v>
      </c>
      <c r="Q286">
        <v>20.8</v>
      </c>
      <c r="R286">
        <v>20.399999999999999</v>
      </c>
      <c r="S286">
        <f>Tableau1[[#This Row],[Final_time]]-SUM(Tableau1[[#This Row],[0_100m]:[1300_1400m]])</f>
        <v>20.210000000000036</v>
      </c>
      <c r="T286">
        <v>285.81</v>
      </c>
      <c r="U286">
        <f t="shared" si="8"/>
        <v>285.81</v>
      </c>
      <c r="V286">
        <f t="shared" si="9"/>
        <v>0</v>
      </c>
      <c r="W286" s="12"/>
      <c r="X286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6" t="s">
        <v>328</v>
      </c>
      <c r="Z286" t="s">
        <v>43</v>
      </c>
      <c r="AA286" s="2"/>
      <c r="AB286" s="2" t="s">
        <v>44</v>
      </c>
      <c r="AC286" s="2">
        <v>44434</v>
      </c>
      <c r="AD286">
        <v>2021</v>
      </c>
      <c r="AE286" s="3">
        <v>23</v>
      </c>
      <c r="AF286" s="5">
        <v>0.48</v>
      </c>
      <c r="AG286" s="3" t="s">
        <v>71</v>
      </c>
    </row>
    <row r="287" spans="1:33" hidden="1" x14ac:dyDescent="0.35">
      <c r="A287" t="str">
        <f>_xlfn.CONCAT(Tableau1[[#This Row],[Athletes]],"_",Tableau1[[#This Row],[Nationality]],"_",Tableau1[[#This Row],[Competition_year]])</f>
        <v>Tabea BLATTER_SUI_2021</v>
      </c>
      <c r="B287" t="s">
        <v>333</v>
      </c>
      <c r="C287" t="s">
        <v>47</v>
      </c>
      <c r="D287" t="s">
        <v>87</v>
      </c>
      <c r="E287">
        <v>18</v>
      </c>
      <c r="F287">
        <v>19</v>
      </c>
      <c r="G287">
        <v>18</v>
      </c>
      <c r="H287">
        <v>18.100000000000001</v>
      </c>
      <c r="I287">
        <v>18.2</v>
      </c>
      <c r="J287">
        <v>17.7</v>
      </c>
      <c r="K287">
        <v>17.7</v>
      </c>
      <c r="L287">
        <v>18.3</v>
      </c>
      <c r="M287">
        <v>18.399999999999999</v>
      </c>
      <c r="N287">
        <v>18.5</v>
      </c>
      <c r="O287">
        <v>18.7</v>
      </c>
      <c r="P287">
        <v>19</v>
      </c>
      <c r="Q287">
        <v>20.100000000000001</v>
      </c>
      <c r="R287">
        <v>19.7</v>
      </c>
      <c r="S287">
        <f>Tableau1[[#This Row],[Final_time]]-SUM(Tableau1[[#This Row],[0_100m]:[1300_1400m]])</f>
        <v>20.220000000000027</v>
      </c>
      <c r="T287">
        <v>279.62</v>
      </c>
      <c r="U287">
        <f t="shared" si="8"/>
        <v>279.62</v>
      </c>
      <c r="V287">
        <f t="shared" si="9"/>
        <v>0</v>
      </c>
      <c r="W287" s="12"/>
      <c r="X287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7" t="s">
        <v>328</v>
      </c>
      <c r="Z287" t="s">
        <v>43</v>
      </c>
      <c r="AA287" s="2"/>
      <c r="AB287" s="2" t="s">
        <v>44</v>
      </c>
      <c r="AC287" s="2">
        <v>44434</v>
      </c>
      <c r="AD287">
        <v>2021</v>
      </c>
      <c r="AE287" s="3">
        <v>23</v>
      </c>
      <c r="AF287" s="5">
        <v>0.48</v>
      </c>
      <c r="AG287" s="3" t="s">
        <v>71</v>
      </c>
    </row>
    <row r="288" spans="1:33" hidden="1" x14ac:dyDescent="0.35">
      <c r="A288" t="str">
        <f>_xlfn.CONCAT(Tableau1[[#This Row],[Athletes]],"_",Tableau1[[#This Row],[Nationality]],"_",Tableau1[[#This Row],[Competition_year]])</f>
        <v>Lieke WEHRUNG_SUI_2021</v>
      </c>
      <c r="B288" t="s">
        <v>338</v>
      </c>
      <c r="C288" t="s">
        <v>47</v>
      </c>
      <c r="D288" t="s">
        <v>87</v>
      </c>
      <c r="E288">
        <v>18.7</v>
      </c>
      <c r="F288">
        <v>20</v>
      </c>
      <c r="G288">
        <v>18.2</v>
      </c>
      <c r="H288">
        <v>18.399999999999999</v>
      </c>
      <c r="I288">
        <v>18.3</v>
      </c>
      <c r="J288">
        <v>18.7</v>
      </c>
      <c r="K288">
        <v>18.5</v>
      </c>
      <c r="L288">
        <v>19.600000000000001</v>
      </c>
      <c r="M288">
        <v>19.399999999999999</v>
      </c>
      <c r="N288">
        <v>19.3</v>
      </c>
      <c r="O288">
        <v>19.399999999999999</v>
      </c>
      <c r="P288">
        <v>19.7</v>
      </c>
      <c r="Q288">
        <v>20.7</v>
      </c>
      <c r="R288">
        <v>20.6</v>
      </c>
      <c r="S288">
        <f>Tableau1[[#This Row],[Final_time]]-SUM(Tableau1[[#This Row],[0_100m]:[1300_1400m]])</f>
        <v>20.279999999999973</v>
      </c>
      <c r="T288">
        <v>289.77999999999997</v>
      </c>
      <c r="U288">
        <f t="shared" si="8"/>
        <v>289.77999999999997</v>
      </c>
      <c r="V288">
        <f t="shared" si="9"/>
        <v>0</v>
      </c>
      <c r="W288" s="12"/>
      <c r="X288" t="str">
        <f>_xlfn.CONCAT(Tableau1[[#This Row],[Competition]],"_",Tableau1[[#This Row],[Championship_step]],"_",Tableau1[[#This Row],[Competition_date]],"_",Tableau1[[#This Row],[Gender]])</f>
        <v>Diamond League Lausanne 2021 - U18/U20__44434_Female</v>
      </c>
      <c r="Y288" t="s">
        <v>328</v>
      </c>
      <c r="Z288" t="s">
        <v>43</v>
      </c>
      <c r="AA288" s="2"/>
      <c r="AB288" s="2" t="s">
        <v>44</v>
      </c>
      <c r="AC288" s="2">
        <v>44434</v>
      </c>
      <c r="AD288">
        <v>2021</v>
      </c>
      <c r="AE288" s="3">
        <v>23</v>
      </c>
      <c r="AF288" s="5">
        <v>0.48</v>
      </c>
      <c r="AG288" s="3" t="s">
        <v>71</v>
      </c>
    </row>
    <row r="289" spans="1:33" hidden="1" x14ac:dyDescent="0.35">
      <c r="A289" t="str">
        <f>_xlfn.CONCAT(Tableau1[[#This Row],[Athletes]],"_",Tableau1[[#This Row],[Nationality]],"_",Tableau1[[#This Row],[Competition_year]])</f>
        <v>Miguel MATOS_SUI_2021</v>
      </c>
      <c r="B289" t="s">
        <v>1112</v>
      </c>
      <c r="C289" t="s">
        <v>16</v>
      </c>
      <c r="D289" t="s">
        <v>87</v>
      </c>
      <c r="E289">
        <v>16.3</v>
      </c>
      <c r="F289">
        <v>17.2</v>
      </c>
      <c r="G289">
        <v>15.9</v>
      </c>
      <c r="H289">
        <v>16.399999999999999</v>
      </c>
      <c r="I289">
        <v>16.399999999999999</v>
      </c>
      <c r="J289">
        <v>16.5</v>
      </c>
      <c r="K289">
        <v>16.399999999999999</v>
      </c>
      <c r="L289">
        <v>16.7</v>
      </c>
      <c r="M289">
        <v>17.3</v>
      </c>
      <c r="N289">
        <v>16.899999999999999</v>
      </c>
      <c r="O289">
        <v>15.5</v>
      </c>
      <c r="P289">
        <v>15.2</v>
      </c>
      <c r="Q289">
        <v>14.8</v>
      </c>
      <c r="R289">
        <v>14.5</v>
      </c>
      <c r="S289">
        <f>Tableau1[[#This Row],[Final_time]]-SUM(Tableau1[[#This Row],[0_100m]:[1300_1400m]])</f>
        <v>13.340000000000003</v>
      </c>
      <c r="T289">
        <v>239.34</v>
      </c>
      <c r="U289">
        <f t="shared" si="8"/>
        <v>239.34</v>
      </c>
      <c r="V289">
        <f t="shared" si="9"/>
        <v>0</v>
      </c>
      <c r="W289" s="12"/>
      <c r="X289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89" t="s">
        <v>328</v>
      </c>
      <c r="Z289" t="s">
        <v>43</v>
      </c>
      <c r="AA289" s="2"/>
      <c r="AB289" s="2" t="s">
        <v>44</v>
      </c>
      <c r="AC289" s="2">
        <v>44434</v>
      </c>
      <c r="AD289">
        <v>2021</v>
      </c>
      <c r="AE289" s="3">
        <v>23</v>
      </c>
      <c r="AF289" s="5">
        <v>0.48</v>
      </c>
      <c r="AG289" s="3" t="s">
        <v>71</v>
      </c>
    </row>
    <row r="290" spans="1:33" hidden="1" x14ac:dyDescent="0.35">
      <c r="A290" t="str">
        <f>_xlfn.CONCAT(Tableau1[[#This Row],[Athletes]],"_",Tableau1[[#This Row],[Nationality]],"_",Tableau1[[#This Row],[Competition_year]])</f>
        <v>Maxim WYSS_SUI_2021</v>
      </c>
      <c r="B290" t="s">
        <v>1102</v>
      </c>
      <c r="C290" t="s">
        <v>16</v>
      </c>
      <c r="D290" t="s">
        <v>87</v>
      </c>
      <c r="E290">
        <v>15.7</v>
      </c>
      <c r="F290">
        <v>16.8</v>
      </c>
      <c r="G290">
        <v>16.3</v>
      </c>
      <c r="H290">
        <v>16.2</v>
      </c>
      <c r="I290">
        <v>16.5</v>
      </c>
      <c r="J290">
        <v>16.2</v>
      </c>
      <c r="K290">
        <v>16.5</v>
      </c>
      <c r="L290">
        <v>16.899999999999999</v>
      </c>
      <c r="M290">
        <v>17.3</v>
      </c>
      <c r="N290">
        <v>17</v>
      </c>
      <c r="O290">
        <v>16</v>
      </c>
      <c r="P290">
        <v>15.2</v>
      </c>
      <c r="Q290">
        <v>14.8</v>
      </c>
      <c r="R290">
        <f>225.8-SUM(Tableau1[[#This Row],[0_100m]:[1200_1300m]])</f>
        <v>14.400000000000006</v>
      </c>
      <c r="S290">
        <f>Tableau1[[#This Row],[Final_time]]-SUM(Tableau1[[#This Row],[0_100m]:[1300_1400m]])</f>
        <v>13.97999999999999</v>
      </c>
      <c r="T290">
        <v>239.78</v>
      </c>
      <c r="U290">
        <f t="shared" si="8"/>
        <v>239.78</v>
      </c>
      <c r="V290">
        <f t="shared" si="9"/>
        <v>0</v>
      </c>
      <c r="W290" s="12"/>
      <c r="X290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0" t="s">
        <v>328</v>
      </c>
      <c r="Z290" t="s">
        <v>43</v>
      </c>
      <c r="AA290" s="2"/>
      <c r="AB290" s="2" t="s">
        <v>44</v>
      </c>
      <c r="AC290" s="2">
        <v>44434</v>
      </c>
      <c r="AD290">
        <v>2021</v>
      </c>
      <c r="AE290" s="3">
        <v>23</v>
      </c>
      <c r="AF290" s="5">
        <v>0.48</v>
      </c>
      <c r="AG290" s="3" t="s">
        <v>71</v>
      </c>
    </row>
    <row r="291" spans="1:33" hidden="1" x14ac:dyDescent="0.35">
      <c r="A291" t="str">
        <f>_xlfn.CONCAT(Tableau1[[#This Row],[Athletes]],"_",Tableau1[[#This Row],[Nationality]],"_",Tableau1[[#This Row],[Competition_year]])</f>
        <v>Jonathan RUCHTI_SUI_2021</v>
      </c>
      <c r="B291" t="s">
        <v>1006</v>
      </c>
      <c r="C291" t="s">
        <v>16</v>
      </c>
      <c r="D291" t="s">
        <v>87</v>
      </c>
      <c r="E291">
        <v>16.100000000000001</v>
      </c>
      <c r="F291">
        <v>16.8</v>
      </c>
      <c r="G291">
        <v>16.2</v>
      </c>
      <c r="H291">
        <v>16.5</v>
      </c>
      <c r="I291">
        <v>16.399999999999999</v>
      </c>
      <c r="J291">
        <v>16.5</v>
      </c>
      <c r="K291">
        <v>16.399999999999999</v>
      </c>
      <c r="L291">
        <v>16.600000000000001</v>
      </c>
      <c r="M291">
        <v>17.100000000000001</v>
      </c>
      <c r="N291">
        <v>17</v>
      </c>
      <c r="O291">
        <v>15.5</v>
      </c>
      <c r="P291">
        <v>15.1</v>
      </c>
      <c r="Q291">
        <v>14.8</v>
      </c>
      <c r="R291">
        <v>14.4</v>
      </c>
      <c r="S291">
        <f>Tableau1[[#This Row],[Final_time]]-SUM(Tableau1[[#This Row],[0_100m]:[1300_1400m]])</f>
        <v>14.039999999999992</v>
      </c>
      <c r="T291">
        <v>239.44</v>
      </c>
      <c r="U291">
        <f t="shared" si="8"/>
        <v>239.44</v>
      </c>
      <c r="V291">
        <f t="shared" si="9"/>
        <v>0</v>
      </c>
      <c r="W291" s="12"/>
      <c r="X291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1" t="s">
        <v>328</v>
      </c>
      <c r="Z291" t="s">
        <v>43</v>
      </c>
      <c r="AA291" s="2"/>
      <c r="AB291" s="2" t="s">
        <v>44</v>
      </c>
      <c r="AC291" s="2">
        <v>44434</v>
      </c>
      <c r="AD291">
        <v>2021</v>
      </c>
      <c r="AE291" s="3">
        <v>23</v>
      </c>
      <c r="AF291" s="5">
        <v>0.48</v>
      </c>
      <c r="AG291" s="3" t="s">
        <v>71</v>
      </c>
    </row>
    <row r="292" spans="1:33" hidden="1" x14ac:dyDescent="0.35">
      <c r="A292" t="str">
        <f>_xlfn.CONCAT(Tableau1[[#This Row],[Athletes]],"_",Tableau1[[#This Row],[Nationality]],"_",Tableau1[[#This Row],[Competition_year]])</f>
        <v>Pierre PERRUCHOUD_SUI_2021</v>
      </c>
      <c r="B292" t="s">
        <v>1175</v>
      </c>
      <c r="C292" t="s">
        <v>16</v>
      </c>
      <c r="D292" t="s">
        <v>87</v>
      </c>
      <c r="E292">
        <v>16.899999999999999</v>
      </c>
      <c r="F292">
        <v>17.7</v>
      </c>
      <c r="G292">
        <v>15.6</v>
      </c>
      <c r="H292">
        <v>16.2</v>
      </c>
      <c r="I292">
        <v>15.9</v>
      </c>
      <c r="J292">
        <v>16.100000000000001</v>
      </c>
      <c r="K292">
        <v>16.3</v>
      </c>
      <c r="L292">
        <f>131.7-SUM(Tableau1[[#This Row],[0_100m]:[600_700m]])</f>
        <v>16.999999999999986</v>
      </c>
      <c r="M292">
        <v>17.2</v>
      </c>
      <c r="N292">
        <v>16.899999999999999</v>
      </c>
      <c r="O292">
        <v>15.9</v>
      </c>
      <c r="P292">
        <v>15.5</v>
      </c>
      <c r="Q292">
        <v>14.6</v>
      </c>
      <c r="R292">
        <v>14.4</v>
      </c>
      <c r="S292">
        <f>Tableau1[[#This Row],[Final_time]]-SUM(Tableau1[[#This Row],[0_100m]:[1300_1400m]])</f>
        <v>14.530000000000001</v>
      </c>
      <c r="T292">
        <v>240.73</v>
      </c>
      <c r="U292">
        <f t="shared" si="8"/>
        <v>240.73</v>
      </c>
      <c r="V292">
        <f t="shared" si="9"/>
        <v>0</v>
      </c>
      <c r="W292" s="12"/>
      <c r="X292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2" t="s">
        <v>328</v>
      </c>
      <c r="Z292" t="s">
        <v>43</v>
      </c>
      <c r="AA292" s="2"/>
      <c r="AB292" s="2" t="s">
        <v>44</v>
      </c>
      <c r="AC292" s="2">
        <v>44434</v>
      </c>
      <c r="AD292">
        <v>2021</v>
      </c>
      <c r="AE292" s="3">
        <v>23</v>
      </c>
      <c r="AF292" s="5">
        <v>0.48</v>
      </c>
      <c r="AG292" s="3" t="s">
        <v>71</v>
      </c>
    </row>
    <row r="293" spans="1:33" hidden="1" x14ac:dyDescent="0.35">
      <c r="A293" t="str">
        <f>_xlfn.CONCAT(Tableau1[[#This Row],[Athletes]],"_",Tableau1[[#This Row],[Nationality]],"_",Tableau1[[#This Row],[Competition_year]])</f>
        <v>Tobias BONTORNO_SUI_2021</v>
      </c>
      <c r="B293" t="s">
        <v>1279</v>
      </c>
      <c r="C293" t="s">
        <v>16</v>
      </c>
      <c r="D293" t="s">
        <v>87</v>
      </c>
      <c r="E293">
        <v>16.7</v>
      </c>
      <c r="F293">
        <v>17.7</v>
      </c>
      <c r="G293">
        <v>16.5</v>
      </c>
      <c r="H293">
        <v>16.899999999999999</v>
      </c>
      <c r="I293">
        <v>16.600000000000001</v>
      </c>
      <c r="J293">
        <v>16.5</v>
      </c>
      <c r="K293">
        <v>16.7</v>
      </c>
      <c r="L293">
        <v>17.2</v>
      </c>
      <c r="M293">
        <f>152.4-SUM(Tableau1[[#This Row],[0_100m]:[700_800m]])</f>
        <v>17.599999999999994</v>
      </c>
      <c r="N293">
        <v>17</v>
      </c>
      <c r="O293">
        <v>15.9</v>
      </c>
      <c r="P293">
        <v>16.3</v>
      </c>
      <c r="Q293">
        <v>16.5</v>
      </c>
      <c r="R293">
        <v>15.4</v>
      </c>
      <c r="S293">
        <f>Tableau1[[#This Row],[Final_time]]-SUM(Tableau1[[#This Row],[0_100m]:[1300_1400m]])</f>
        <v>14.599999999999966</v>
      </c>
      <c r="T293">
        <v>248.1</v>
      </c>
      <c r="U293">
        <f t="shared" si="8"/>
        <v>248.1</v>
      </c>
      <c r="V293">
        <f t="shared" si="9"/>
        <v>0</v>
      </c>
      <c r="W293" s="12"/>
      <c r="X293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3" t="s">
        <v>328</v>
      </c>
      <c r="Z293" t="s">
        <v>43</v>
      </c>
      <c r="AA293" s="2"/>
      <c r="AB293" s="2" t="s">
        <v>44</v>
      </c>
      <c r="AC293" s="2">
        <v>44434</v>
      </c>
      <c r="AD293">
        <v>2021</v>
      </c>
      <c r="AE293" s="3">
        <v>23</v>
      </c>
      <c r="AF293" s="5">
        <v>0.48</v>
      </c>
      <c r="AG293" s="3" t="s">
        <v>71</v>
      </c>
    </row>
    <row r="294" spans="1:33" hidden="1" x14ac:dyDescent="0.35">
      <c r="A294" t="str">
        <f>_xlfn.CONCAT(Tableau1[[#This Row],[Athletes]],"_",Tableau1[[#This Row],[Nationality]],"_",Tableau1[[#This Row],[Competition_year]])</f>
        <v>Siro GENTILINI_SUI_2021</v>
      </c>
      <c r="B294" t="s">
        <v>1248</v>
      </c>
      <c r="C294" t="s">
        <v>16</v>
      </c>
      <c r="D294" t="s">
        <v>87</v>
      </c>
      <c r="E294">
        <v>16.399999999999999</v>
      </c>
      <c r="F294">
        <v>17.399999999999999</v>
      </c>
      <c r="G294">
        <v>16</v>
      </c>
      <c r="H294">
        <v>16.3</v>
      </c>
      <c r="I294">
        <v>16.3</v>
      </c>
      <c r="J294">
        <v>16.5</v>
      </c>
      <c r="K294">
        <v>16.5</v>
      </c>
      <c r="L294">
        <v>16.600000000000001</v>
      </c>
      <c r="M294">
        <v>16.899999999999999</v>
      </c>
      <c r="N294">
        <v>16.8</v>
      </c>
      <c r="O294">
        <v>15.6</v>
      </c>
      <c r="P294">
        <v>14.5</v>
      </c>
      <c r="Q294">
        <v>14.8</v>
      </c>
      <c r="R294">
        <v>15.1</v>
      </c>
      <c r="S294">
        <f>Tableau1[[#This Row],[Final_time]]-SUM(Tableau1[[#This Row],[0_100m]:[1300_1400m]])</f>
        <v>14.789999999999992</v>
      </c>
      <c r="T294">
        <v>240.49</v>
      </c>
      <c r="U294">
        <f t="shared" si="8"/>
        <v>240.49</v>
      </c>
      <c r="V294">
        <f t="shared" si="9"/>
        <v>0</v>
      </c>
      <c r="W294" s="12"/>
      <c r="X294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4" t="s">
        <v>328</v>
      </c>
      <c r="Z294" t="s">
        <v>43</v>
      </c>
      <c r="AA294" s="2"/>
      <c r="AB294" s="2" t="s">
        <v>44</v>
      </c>
      <c r="AC294" s="2">
        <v>44434</v>
      </c>
      <c r="AD294">
        <v>2021</v>
      </c>
      <c r="AE294" s="3">
        <v>23</v>
      </c>
      <c r="AF294" s="5">
        <v>0.48</v>
      </c>
      <c r="AG294" s="3" t="s">
        <v>71</v>
      </c>
    </row>
    <row r="295" spans="1:33" hidden="1" x14ac:dyDescent="0.35">
      <c r="A295" t="str">
        <f>_xlfn.CONCAT(Tableau1[[#This Row],[Athletes]],"_",Tableau1[[#This Row],[Nationality]],"_",Tableau1[[#This Row],[Competition_year]])</f>
        <v>Max HENROTIN_SUI_2021</v>
      </c>
      <c r="B295" t="s">
        <v>1101</v>
      </c>
      <c r="C295" t="s">
        <v>16</v>
      </c>
      <c r="D295" t="s">
        <v>87</v>
      </c>
      <c r="E295">
        <v>15.4</v>
      </c>
      <c r="F295">
        <v>17</v>
      </c>
      <c r="G295">
        <v>17</v>
      </c>
      <c r="H295">
        <v>17</v>
      </c>
      <c r="I295">
        <v>16.7</v>
      </c>
      <c r="J295">
        <v>16.899999999999999</v>
      </c>
      <c r="K295">
        <v>17.100000000000001</v>
      </c>
      <c r="L295">
        <v>17.600000000000001</v>
      </c>
      <c r="M295">
        <v>17.899999999999999</v>
      </c>
      <c r="N295">
        <v>17</v>
      </c>
      <c r="O295">
        <v>16.5</v>
      </c>
      <c r="P295">
        <v>16.2</v>
      </c>
      <c r="Q295">
        <v>16.399999999999999</v>
      </c>
      <c r="R295">
        <v>15.4</v>
      </c>
      <c r="S295">
        <f>Tableau1[[#This Row],[Final_time]]-SUM(Tableau1[[#This Row],[0_100m]:[1300_1400m]])</f>
        <v>14.890000000000015</v>
      </c>
      <c r="T295">
        <v>248.99</v>
      </c>
      <c r="U295">
        <f t="shared" si="8"/>
        <v>248.99</v>
      </c>
      <c r="V295">
        <f t="shared" si="9"/>
        <v>0</v>
      </c>
      <c r="W295" s="12"/>
      <c r="X295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5" t="s">
        <v>328</v>
      </c>
      <c r="Z295" t="s">
        <v>43</v>
      </c>
      <c r="AA295" s="2"/>
      <c r="AB295" s="2" t="s">
        <v>44</v>
      </c>
      <c r="AC295" s="2">
        <v>44434</v>
      </c>
      <c r="AD295">
        <v>2021</v>
      </c>
      <c r="AE295" s="3">
        <v>23</v>
      </c>
      <c r="AF295" s="5">
        <v>0.48</v>
      </c>
      <c r="AG295" s="3" t="s">
        <v>71</v>
      </c>
    </row>
    <row r="296" spans="1:33" hidden="1" x14ac:dyDescent="0.35">
      <c r="A296" t="str">
        <f>_xlfn.CONCAT(Tableau1[[#This Row],[Athletes]],"_",Tableau1[[#This Row],[Nationality]],"_",Tableau1[[#This Row],[Competition_year]])</f>
        <v>Léo LÄDERMANN_SUI_2021</v>
      </c>
      <c r="B296" t="s">
        <v>1057</v>
      </c>
      <c r="C296" t="s">
        <v>16</v>
      </c>
      <c r="D296" t="s">
        <v>87</v>
      </c>
      <c r="E296">
        <v>15.5</v>
      </c>
      <c r="F296">
        <v>17</v>
      </c>
      <c r="G296">
        <v>16.100000000000001</v>
      </c>
      <c r="H296">
        <v>16.5</v>
      </c>
      <c r="I296">
        <v>16.5</v>
      </c>
      <c r="J296">
        <v>16.399999999999999</v>
      </c>
      <c r="K296">
        <v>16.399999999999999</v>
      </c>
      <c r="L296">
        <v>16.8</v>
      </c>
      <c r="M296">
        <v>17.3</v>
      </c>
      <c r="N296">
        <v>16.899999999999999</v>
      </c>
      <c r="O296">
        <v>15.6</v>
      </c>
      <c r="P296">
        <v>15.2</v>
      </c>
      <c r="Q296">
        <v>15.5</v>
      </c>
      <c r="R296">
        <v>14.8</v>
      </c>
      <c r="S296">
        <f>Tableau1[[#This Row],[Final_time]]-SUM(Tableau1[[#This Row],[0_100m]:[1300_1400m]])</f>
        <v>14.979999999999961</v>
      </c>
      <c r="T296">
        <v>241.48</v>
      </c>
      <c r="U296">
        <f t="shared" si="8"/>
        <v>241.48</v>
      </c>
      <c r="V296">
        <f t="shared" si="9"/>
        <v>0</v>
      </c>
      <c r="W296" s="12"/>
      <c r="X296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6" t="s">
        <v>328</v>
      </c>
      <c r="Z296" t="s">
        <v>43</v>
      </c>
      <c r="AA296" s="2"/>
      <c r="AB296" s="2" t="s">
        <v>44</v>
      </c>
      <c r="AC296" s="2">
        <v>44434</v>
      </c>
      <c r="AD296">
        <v>2021</v>
      </c>
      <c r="AE296" s="3">
        <v>23</v>
      </c>
      <c r="AF296" s="5">
        <v>0.48</v>
      </c>
      <c r="AG296" s="3" t="s">
        <v>71</v>
      </c>
    </row>
    <row r="297" spans="1:33" hidden="1" x14ac:dyDescent="0.35">
      <c r="A297" t="str">
        <f>_xlfn.CONCAT(Tableau1[[#This Row],[Athletes]],"_",Tableau1[[#This Row],[Nationality]],"_",Tableau1[[#This Row],[Competition_year]])</f>
        <v>Moritz EBBESKOTTE_SUI_2021</v>
      </c>
      <c r="B297" t="s">
        <v>1126</v>
      </c>
      <c r="C297" t="s">
        <v>16</v>
      </c>
      <c r="D297" t="s">
        <v>87</v>
      </c>
      <c r="E297">
        <v>15.9</v>
      </c>
      <c r="F297">
        <v>16.8</v>
      </c>
      <c r="G297">
        <v>16.3</v>
      </c>
      <c r="H297">
        <v>16.3</v>
      </c>
      <c r="I297">
        <v>16.5</v>
      </c>
      <c r="J297">
        <v>16.399999999999999</v>
      </c>
      <c r="K297">
        <v>16.399999999999999</v>
      </c>
      <c r="L297">
        <v>16.8</v>
      </c>
      <c r="M297">
        <v>17.3</v>
      </c>
      <c r="N297">
        <v>16.8</v>
      </c>
      <c r="O297">
        <v>15.2</v>
      </c>
      <c r="P297">
        <v>14.8</v>
      </c>
      <c r="Q297">
        <v>13.9</v>
      </c>
      <c r="R297">
        <v>13.7</v>
      </c>
      <c r="S297">
        <f>Tableau1[[#This Row],[Final_time]]-SUM(Tableau1[[#This Row],[0_100m]:[1300_1400m]])</f>
        <v>15.119999999999976</v>
      </c>
      <c r="T297">
        <v>238.22</v>
      </c>
      <c r="U297">
        <f t="shared" si="8"/>
        <v>238.22</v>
      </c>
      <c r="V297">
        <f t="shared" si="9"/>
        <v>0</v>
      </c>
      <c r="W297" s="12"/>
      <c r="X297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7" t="s">
        <v>328</v>
      </c>
      <c r="Z297" t="s">
        <v>43</v>
      </c>
      <c r="AA297" s="2"/>
      <c r="AB297" s="2" t="s">
        <v>44</v>
      </c>
      <c r="AC297" s="2">
        <v>44434</v>
      </c>
      <c r="AD297">
        <v>2021</v>
      </c>
      <c r="AE297" s="3">
        <v>23</v>
      </c>
      <c r="AF297" s="5">
        <v>0.48</v>
      </c>
      <c r="AG297" s="3" t="s">
        <v>71</v>
      </c>
    </row>
    <row r="298" spans="1:33" hidden="1" x14ac:dyDescent="0.35">
      <c r="A298" t="str">
        <f>_xlfn.CONCAT(Tableau1[[#This Row],[Athletes]],"_",Tableau1[[#This Row],[Nationality]],"_",Tableau1[[#This Row],[Competition_year]])</f>
        <v>Sven KEUSCH_SUI_2021</v>
      </c>
      <c r="B298" t="s">
        <v>1265</v>
      </c>
      <c r="C298" t="s">
        <v>16</v>
      </c>
      <c r="D298" t="s">
        <v>87</v>
      </c>
      <c r="E298">
        <v>16.2</v>
      </c>
      <c r="F298">
        <v>17.3</v>
      </c>
      <c r="G298">
        <v>16.5</v>
      </c>
      <c r="H298">
        <v>16.7</v>
      </c>
      <c r="I298">
        <v>16.2</v>
      </c>
      <c r="J298">
        <v>16.399999999999999</v>
      </c>
      <c r="K298">
        <v>16.3</v>
      </c>
      <c r="L298">
        <v>16.7</v>
      </c>
      <c r="M298">
        <v>17.100000000000001</v>
      </c>
      <c r="N298">
        <v>16.899999999999999</v>
      </c>
      <c r="O298">
        <v>15.9</v>
      </c>
      <c r="P298">
        <v>15.6</v>
      </c>
      <c r="Q298">
        <v>15.6</v>
      </c>
      <c r="R298">
        <v>14.7</v>
      </c>
      <c r="S298">
        <f>Tableau1[[#This Row],[Final_time]]-SUM(Tableau1[[#This Row],[0_100m]:[1300_1400m]])</f>
        <v>15.430000000000007</v>
      </c>
      <c r="T298">
        <v>243.53</v>
      </c>
      <c r="U298">
        <f t="shared" si="8"/>
        <v>243.53</v>
      </c>
      <c r="V298">
        <f t="shared" si="9"/>
        <v>0</v>
      </c>
      <c r="W298" s="12"/>
      <c r="X298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8" t="s">
        <v>328</v>
      </c>
      <c r="Z298" t="s">
        <v>43</v>
      </c>
      <c r="AA298" s="2"/>
      <c r="AB298" s="2" t="s">
        <v>44</v>
      </c>
      <c r="AC298" s="2">
        <v>44434</v>
      </c>
      <c r="AD298">
        <v>2021</v>
      </c>
      <c r="AE298" s="3">
        <v>23</v>
      </c>
      <c r="AF298" s="5">
        <v>0.48</v>
      </c>
      <c r="AG298" s="3" t="s">
        <v>71</v>
      </c>
    </row>
    <row r="299" spans="1:33" hidden="1" x14ac:dyDescent="0.35">
      <c r="A299" t="str">
        <f>_xlfn.CONCAT(Tableau1[[#This Row],[Athletes]],"_",Tableau1[[#This Row],[Nationality]],"_",Tableau1[[#This Row],[Competition_year]])</f>
        <v>Maxwell KOULEN_SUI_2021</v>
      </c>
      <c r="B299" t="s">
        <v>1103</v>
      </c>
      <c r="C299" t="s">
        <v>16</v>
      </c>
      <c r="D299" t="s">
        <v>87</v>
      </c>
      <c r="E299">
        <v>16.600000000000001</v>
      </c>
      <c r="F299">
        <v>17.600000000000001</v>
      </c>
      <c r="G299">
        <v>16.3</v>
      </c>
      <c r="H299">
        <v>16.8</v>
      </c>
      <c r="I299">
        <v>16.3</v>
      </c>
      <c r="J299">
        <v>16.3</v>
      </c>
      <c r="K299">
        <v>16</v>
      </c>
      <c r="L299">
        <v>16.7</v>
      </c>
      <c r="M299">
        <v>17</v>
      </c>
      <c r="N299">
        <v>16.8</v>
      </c>
      <c r="O299">
        <v>15.4</v>
      </c>
      <c r="P299">
        <v>15.2</v>
      </c>
      <c r="Q299">
        <v>15.1</v>
      </c>
      <c r="R299">
        <v>14.9</v>
      </c>
      <c r="S299">
        <f>Tableau1[[#This Row],[Final_time]]-SUM(Tableau1[[#This Row],[0_100m]:[1300_1400m]])</f>
        <v>15.560000000000002</v>
      </c>
      <c r="T299">
        <v>242.56</v>
      </c>
      <c r="U299">
        <f t="shared" si="8"/>
        <v>242.56</v>
      </c>
      <c r="V299">
        <f t="shared" si="9"/>
        <v>0</v>
      </c>
      <c r="W299" s="12"/>
      <c r="X299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299" t="s">
        <v>328</v>
      </c>
      <c r="Z299" t="s">
        <v>43</v>
      </c>
      <c r="AA299" s="2"/>
      <c r="AB299" s="2" t="s">
        <v>44</v>
      </c>
      <c r="AC299" s="2">
        <v>44434</v>
      </c>
      <c r="AD299">
        <v>2021</v>
      </c>
      <c r="AE299" s="3">
        <v>23</v>
      </c>
      <c r="AF299" s="5">
        <v>0.48</v>
      </c>
      <c r="AG299" s="3" t="s">
        <v>71</v>
      </c>
    </row>
    <row r="300" spans="1:33" hidden="1" x14ac:dyDescent="0.35">
      <c r="A300" t="str">
        <f>_xlfn.CONCAT(Tableau1[[#This Row],[Athletes]],"_",Tableau1[[#This Row],[Nationality]],"_",Tableau1[[#This Row],[Competition_year]])</f>
        <v>David FISCHER_SUI_2021</v>
      </c>
      <c r="B300" t="s">
        <v>842</v>
      </c>
      <c r="C300" t="s">
        <v>16</v>
      </c>
      <c r="D300" t="s">
        <v>87</v>
      </c>
      <c r="E300">
        <v>16.5</v>
      </c>
      <c r="F300">
        <v>17.3</v>
      </c>
      <c r="G300">
        <v>16.5</v>
      </c>
      <c r="H300">
        <v>16.7</v>
      </c>
      <c r="I300">
        <v>16.399999999999999</v>
      </c>
      <c r="J300">
        <v>16.399999999999999</v>
      </c>
      <c r="K300">
        <v>16.399999999999999</v>
      </c>
      <c r="L300">
        <v>16.600000000000001</v>
      </c>
      <c r="M300">
        <v>17</v>
      </c>
      <c r="N300">
        <v>17</v>
      </c>
      <c r="O300">
        <v>16.5</v>
      </c>
      <c r="P300">
        <v>16.899999999999999</v>
      </c>
      <c r="Q300">
        <v>17.100000000000001</v>
      </c>
      <c r="R300">
        <v>16.600000000000001</v>
      </c>
      <c r="S300">
        <f>Tableau1[[#This Row],[Final_time]]-SUM(Tableau1[[#This Row],[0_100m]:[1300_1400m]])</f>
        <v>15.710000000000008</v>
      </c>
      <c r="T300">
        <v>249.61</v>
      </c>
      <c r="U300">
        <f t="shared" si="8"/>
        <v>249.61</v>
      </c>
      <c r="V300">
        <f t="shared" si="9"/>
        <v>0</v>
      </c>
      <c r="W300" s="12"/>
      <c r="X300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300" t="s">
        <v>328</v>
      </c>
      <c r="Z300" t="s">
        <v>43</v>
      </c>
      <c r="AA300" s="2"/>
      <c r="AB300" s="2" t="s">
        <v>44</v>
      </c>
      <c r="AC300" s="2">
        <v>44434</v>
      </c>
      <c r="AD300">
        <v>2021</v>
      </c>
      <c r="AE300" s="3">
        <v>23</v>
      </c>
      <c r="AF300" s="5">
        <v>0.48</v>
      </c>
      <c r="AG300" s="3" t="s">
        <v>71</v>
      </c>
    </row>
    <row r="301" spans="1:33" hidden="1" x14ac:dyDescent="0.35">
      <c r="A301" t="str">
        <f>_xlfn.CONCAT(Tableau1[[#This Row],[Athletes]],"_",Tableau1[[#This Row],[Nationality]],"_",Tableau1[[#This Row],[Competition_year]])</f>
        <v>Keanu SIMASOTCHI_SUI_2021</v>
      </c>
      <c r="B301" t="s">
        <v>1032</v>
      </c>
      <c r="C301" t="s">
        <v>16</v>
      </c>
      <c r="D301" t="s">
        <v>87</v>
      </c>
      <c r="E301">
        <v>17.100000000000001</v>
      </c>
      <c r="F301">
        <v>17.2</v>
      </c>
      <c r="G301">
        <v>16.5</v>
      </c>
      <c r="H301">
        <v>16.600000000000001</v>
      </c>
      <c r="I301">
        <v>16.399999999999999</v>
      </c>
      <c r="J301">
        <v>16.7</v>
      </c>
      <c r="K301">
        <v>16.7</v>
      </c>
      <c r="L301">
        <v>17.3</v>
      </c>
      <c r="M301">
        <v>17.8</v>
      </c>
      <c r="N301">
        <v>17</v>
      </c>
      <c r="O301">
        <v>17</v>
      </c>
      <c r="P301">
        <v>16.899999999999999</v>
      </c>
      <c r="Q301">
        <v>17.399999999999999</v>
      </c>
      <c r="R301">
        <v>16.7</v>
      </c>
      <c r="S301">
        <f>Tableau1[[#This Row],[Final_time]]-SUM(Tableau1[[#This Row],[0_100m]:[1300_1400m]])</f>
        <v>15.759999999999962</v>
      </c>
      <c r="T301">
        <v>253.06</v>
      </c>
      <c r="U301">
        <f t="shared" si="8"/>
        <v>253.06</v>
      </c>
      <c r="V301">
        <f t="shared" si="9"/>
        <v>0</v>
      </c>
      <c r="W301" s="12"/>
      <c r="X301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301" t="s">
        <v>328</v>
      </c>
      <c r="Z301" t="s">
        <v>43</v>
      </c>
      <c r="AA301" s="2"/>
      <c r="AB301" s="2" t="s">
        <v>44</v>
      </c>
      <c r="AC301" s="2">
        <v>44434</v>
      </c>
      <c r="AD301">
        <v>2021</v>
      </c>
      <c r="AE301" s="3">
        <v>23</v>
      </c>
      <c r="AF301" s="5">
        <v>0.48</v>
      </c>
      <c r="AG301" s="3" t="s">
        <v>71</v>
      </c>
    </row>
    <row r="302" spans="1:33" hidden="1" x14ac:dyDescent="0.35">
      <c r="A302" t="str">
        <f>_xlfn.CONCAT(Tableau1[[#This Row],[Athletes]],"_",Tableau1[[#This Row],[Nationality]],"_",Tableau1[[#This Row],[Competition_year]])</f>
        <v>Gian-Andrea ANTENER_SUI_2021</v>
      </c>
      <c r="B302" t="s">
        <v>923</v>
      </c>
      <c r="C302" t="s">
        <v>16</v>
      </c>
      <c r="D302" t="s">
        <v>87</v>
      </c>
      <c r="E302">
        <v>16.8</v>
      </c>
      <c r="F302">
        <v>17.5</v>
      </c>
      <c r="G302">
        <v>16.3</v>
      </c>
      <c r="H302">
        <v>17</v>
      </c>
      <c r="I302">
        <v>16.600000000000001</v>
      </c>
      <c r="J302">
        <v>16.600000000000001</v>
      </c>
      <c r="K302">
        <v>16.8</v>
      </c>
      <c r="L302">
        <v>17.3</v>
      </c>
      <c r="M302">
        <v>17.899999999999999</v>
      </c>
      <c r="N302">
        <v>17.100000000000001</v>
      </c>
      <c r="O302">
        <v>16.7</v>
      </c>
      <c r="P302">
        <v>16.899999999999999</v>
      </c>
      <c r="Q302">
        <v>17.5</v>
      </c>
      <c r="R302">
        <v>16.399999999999999</v>
      </c>
      <c r="S302">
        <f>Tableau1[[#This Row],[Final_time]]-SUM(Tableau1[[#This Row],[0_100m]:[1300_1400m]])</f>
        <v>16.550000000000011</v>
      </c>
      <c r="T302">
        <v>253.95</v>
      </c>
      <c r="U302">
        <f t="shared" si="8"/>
        <v>253.95</v>
      </c>
      <c r="V302">
        <f t="shared" si="9"/>
        <v>0</v>
      </c>
      <c r="W302" s="12"/>
      <c r="X302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302" t="s">
        <v>328</v>
      </c>
      <c r="Z302" t="s">
        <v>43</v>
      </c>
      <c r="AA302" s="2"/>
      <c r="AB302" s="2" t="s">
        <v>44</v>
      </c>
      <c r="AC302" s="2">
        <v>44434</v>
      </c>
      <c r="AD302">
        <v>2021</v>
      </c>
      <c r="AE302" s="3">
        <v>23</v>
      </c>
      <c r="AF302" s="5">
        <v>0.48</v>
      </c>
      <c r="AG302" s="3" t="s">
        <v>71</v>
      </c>
    </row>
    <row r="303" spans="1:33" hidden="1" x14ac:dyDescent="0.35">
      <c r="A303" t="str">
        <f>_xlfn.CONCAT(Tableau1[[#This Row],[Athletes]],"_",Tableau1[[#This Row],[Nationality]],"_",Tableau1[[#This Row],[Competition_year]])</f>
        <v>Arnaud GILLIÉRON_SUI_2021</v>
      </c>
      <c r="B303" t="s">
        <v>766</v>
      </c>
      <c r="C303" t="s">
        <v>16</v>
      </c>
      <c r="D303" t="s">
        <v>87</v>
      </c>
      <c r="E303">
        <v>17.2</v>
      </c>
      <c r="F303">
        <v>17.600000000000001</v>
      </c>
      <c r="G303">
        <v>16.2</v>
      </c>
      <c r="H303">
        <v>16.600000000000001</v>
      </c>
      <c r="I303">
        <f>84-SUM(Tableau1[[#This Row],[0_100m]:[300_400m]])</f>
        <v>16.400000000000006</v>
      </c>
      <c r="J303">
        <v>16.7</v>
      </c>
      <c r="K303">
        <v>16.600000000000001</v>
      </c>
      <c r="L303">
        <v>17.5</v>
      </c>
      <c r="M303">
        <v>17.3</v>
      </c>
      <c r="N303">
        <f>169.1-SUM(Tableau1[[#This Row],[0_100m]:[800_900m]])</f>
        <v>16.999999999999972</v>
      </c>
      <c r="O303">
        <f>186.1-SUM(Tableau1[[#This Row],[0_100m]:[900_1000m]])</f>
        <v>17</v>
      </c>
      <c r="P303">
        <v>17.600000000000001</v>
      </c>
      <c r="Q303">
        <v>18</v>
      </c>
      <c r="R303">
        <v>18.100000000000001</v>
      </c>
      <c r="S303">
        <f>Tableau1[[#This Row],[Final_time]]-SUM(Tableau1[[#This Row],[0_100m]:[1300_1400m]])</f>
        <v>18.039999999999992</v>
      </c>
      <c r="T303">
        <v>257.83999999999997</v>
      </c>
      <c r="U303">
        <f t="shared" si="8"/>
        <v>257.83999999999997</v>
      </c>
      <c r="V303">
        <f t="shared" si="9"/>
        <v>0</v>
      </c>
      <c r="W303" s="12"/>
      <c r="X303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303" t="s">
        <v>328</v>
      </c>
      <c r="Z303" t="s">
        <v>43</v>
      </c>
      <c r="AA303" s="2"/>
      <c r="AB303" s="2" t="s">
        <v>44</v>
      </c>
      <c r="AC303" s="2">
        <v>44434</v>
      </c>
      <c r="AD303">
        <v>2021</v>
      </c>
      <c r="AE303" s="3">
        <v>23</v>
      </c>
      <c r="AF303" s="5">
        <v>0.48</v>
      </c>
      <c r="AG303" s="3" t="s">
        <v>71</v>
      </c>
    </row>
    <row r="304" spans="1:33" hidden="1" x14ac:dyDescent="0.35">
      <c r="A304" t="str">
        <f>_xlfn.CONCAT(Tableau1[[#This Row],[Athletes]],"_",Tableau1[[#This Row],[Nationality]],"_",Tableau1[[#This Row],[Competition_year]])</f>
        <v>Romain FRIDEZ_SUI_2021</v>
      </c>
      <c r="B304" t="s">
        <v>1198</v>
      </c>
      <c r="C304" t="s">
        <v>16</v>
      </c>
      <c r="D304" t="s">
        <v>87</v>
      </c>
      <c r="E304">
        <v>16</v>
      </c>
      <c r="F304">
        <v>17.3</v>
      </c>
      <c r="G304">
        <v>16.8</v>
      </c>
      <c r="H304">
        <v>16.7</v>
      </c>
      <c r="I304">
        <v>16.600000000000001</v>
      </c>
      <c r="J304">
        <v>16.899999999999999</v>
      </c>
      <c r="K304">
        <v>16.600000000000001</v>
      </c>
      <c r="L304">
        <v>17.600000000000001</v>
      </c>
      <c r="M304">
        <v>18</v>
      </c>
      <c r="N304">
        <v>18</v>
      </c>
      <c r="O304">
        <v>17.899999999999999</v>
      </c>
      <c r="P304">
        <v>18.399999999999999</v>
      </c>
      <c r="Q304">
        <v>18.5</v>
      </c>
      <c r="R304">
        <v>18.100000000000001</v>
      </c>
      <c r="S304">
        <f>Tableau1[[#This Row],[Final_time]]-SUM(Tableau1[[#This Row],[0_100m]:[1300_1400m]])</f>
        <v>18.049999999999983</v>
      </c>
      <c r="T304">
        <v>261.45</v>
      </c>
      <c r="U304">
        <f t="shared" si="8"/>
        <v>261.45</v>
      </c>
      <c r="V304">
        <f t="shared" si="9"/>
        <v>0</v>
      </c>
      <c r="W304" s="12"/>
      <c r="X304" t="str">
        <f>_xlfn.CONCAT(Tableau1[[#This Row],[Competition]],"_",Tableau1[[#This Row],[Championship_step]],"_",Tableau1[[#This Row],[Competition_date]],"_",Tableau1[[#This Row],[Gender]])</f>
        <v>Diamond League Lausanne 2021 - U18/U20__44434_Male</v>
      </c>
      <c r="Y304" t="s">
        <v>328</v>
      </c>
      <c r="Z304" t="s">
        <v>43</v>
      </c>
      <c r="AA304" s="2"/>
      <c r="AB304" s="2" t="s">
        <v>44</v>
      </c>
      <c r="AC304" s="2">
        <v>44434</v>
      </c>
      <c r="AD304">
        <v>2021</v>
      </c>
      <c r="AE304" s="3">
        <v>23</v>
      </c>
      <c r="AF304" s="5">
        <v>0.48</v>
      </c>
      <c r="AG304" s="3" t="s">
        <v>71</v>
      </c>
    </row>
    <row r="305" spans="1:33" hidden="1" x14ac:dyDescent="0.35">
      <c r="A305" t="str">
        <f>_xlfn.CONCAT(Tableau1[[#This Row],[Athletes]],"_",Tableau1[[#This Row],[Nationality]],"_",Tableau1[[#This Row],[Competition_year]])</f>
        <v>Freweyni HAILU_ETH_2021</v>
      </c>
      <c r="B305" t="s">
        <v>144</v>
      </c>
      <c r="C305" t="s">
        <v>47</v>
      </c>
      <c r="D305" t="s">
        <v>48</v>
      </c>
      <c r="E305">
        <v>15.3</v>
      </c>
      <c r="F305">
        <v>15.3</v>
      </c>
      <c r="G305">
        <v>16.199999999999996</v>
      </c>
      <c r="H305">
        <v>16.200000000000003</v>
      </c>
      <c r="I305">
        <v>17.099999999999994</v>
      </c>
      <c r="J305">
        <v>17.200000000000003</v>
      </c>
      <c r="K305">
        <v>16</v>
      </c>
      <c r="L305">
        <v>17.000000000000014</v>
      </c>
      <c r="M305">
        <v>16.899999999999977</v>
      </c>
      <c r="N305">
        <v>16.800000000000011</v>
      </c>
      <c r="O305">
        <v>15.400000000000006</v>
      </c>
      <c r="P305">
        <v>16.199999999999989</v>
      </c>
      <c r="Q305">
        <v>16.099999999999994</v>
      </c>
      <c r="R305">
        <v>15.5</v>
      </c>
      <c r="S305">
        <f>Tableau1[[#This Row],[Final_time]]-SUM(Tableau1[[#This Row],[0_100m]:[1300_1400m]])</f>
        <v>15.04000000000002</v>
      </c>
      <c r="T305">
        <v>242.24</v>
      </c>
      <c r="U305">
        <f t="shared" si="8"/>
        <v>242.24</v>
      </c>
      <c r="V305">
        <f t="shared" si="9"/>
        <v>0</v>
      </c>
      <c r="W305" s="12"/>
      <c r="X305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05" t="s">
        <v>313</v>
      </c>
      <c r="Z305" t="s">
        <v>43</v>
      </c>
      <c r="AB305" t="s">
        <v>65</v>
      </c>
      <c r="AC305" s="2">
        <v>44434</v>
      </c>
      <c r="AD305">
        <v>2021</v>
      </c>
      <c r="AE305">
        <v>22</v>
      </c>
      <c r="AF305" s="5">
        <v>0.51</v>
      </c>
      <c r="AG305" s="3" t="s">
        <v>62</v>
      </c>
    </row>
    <row r="306" spans="1:33" hidden="1" x14ac:dyDescent="0.35">
      <c r="A306" t="str">
        <f>_xlfn.CONCAT(Tableau1[[#This Row],[Athletes]],"_",Tableau1[[#This Row],[Nationality]],"_",Tableau1[[#This Row],[Competition_year]])</f>
        <v>Josette ANDREWS_USA_2021</v>
      </c>
      <c r="B306" t="s">
        <v>296</v>
      </c>
      <c r="C306" t="s">
        <v>47</v>
      </c>
      <c r="D306" t="s">
        <v>51</v>
      </c>
      <c r="E306">
        <v>15.5</v>
      </c>
      <c r="F306">
        <v>15.5</v>
      </c>
      <c r="G306">
        <v>16.299999999999997</v>
      </c>
      <c r="H306">
        <v>16.300000000000004</v>
      </c>
      <c r="I306">
        <v>16.600000000000001</v>
      </c>
      <c r="J306">
        <v>17</v>
      </c>
      <c r="K306">
        <v>16.299999999999997</v>
      </c>
      <c r="L306">
        <v>16.5</v>
      </c>
      <c r="M306">
        <v>16.400000000000006</v>
      </c>
      <c r="N306">
        <v>16.900000000000006</v>
      </c>
      <c r="O306">
        <v>16.099999999999994</v>
      </c>
      <c r="P306">
        <v>16.400000000000006</v>
      </c>
      <c r="Q306">
        <v>16</v>
      </c>
      <c r="R306">
        <v>16</v>
      </c>
      <c r="S306">
        <f>Tableau1[[#This Row],[Final_time]]-SUM(Tableau1[[#This Row],[0_100m]:[1300_1400m]])</f>
        <v>15.469999999999999</v>
      </c>
      <c r="T306">
        <v>243.27</v>
      </c>
      <c r="U306">
        <f t="shared" si="8"/>
        <v>243.27</v>
      </c>
      <c r="V306">
        <f t="shared" si="9"/>
        <v>0</v>
      </c>
      <c r="W306" s="12"/>
      <c r="X30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06" t="s">
        <v>313</v>
      </c>
      <c r="Z306" t="s">
        <v>43</v>
      </c>
      <c r="AB306" t="s">
        <v>65</v>
      </c>
      <c r="AC306" s="2">
        <v>44434</v>
      </c>
      <c r="AD306">
        <v>2021</v>
      </c>
      <c r="AE306">
        <v>22</v>
      </c>
      <c r="AF306" s="5">
        <v>0.51</v>
      </c>
      <c r="AG306" s="3" t="s">
        <v>62</v>
      </c>
    </row>
    <row r="307" spans="1:33" hidden="1" x14ac:dyDescent="0.35">
      <c r="A307" t="str">
        <f>_xlfn.CONCAT(Tableau1[[#This Row],[Athletes]],"_",Tableau1[[#This Row],[Nationality]],"_",Tableau1[[#This Row],[Competition_year]])</f>
        <v>Marta PÉREZ_ESP_2021</v>
      </c>
      <c r="B307" t="s">
        <v>183</v>
      </c>
      <c r="C307" t="s">
        <v>47</v>
      </c>
      <c r="D307" t="s">
        <v>22</v>
      </c>
      <c r="E307">
        <v>16</v>
      </c>
      <c r="F307">
        <v>15.399999999999999</v>
      </c>
      <c r="G307">
        <v>16.300000000000004</v>
      </c>
      <c r="H307">
        <v>16.299999999999997</v>
      </c>
      <c r="I307">
        <v>16.5</v>
      </c>
      <c r="J307">
        <v>16.900000000000006</v>
      </c>
      <c r="K307">
        <v>16.199999999999989</v>
      </c>
      <c r="L307">
        <v>16.599999999999994</v>
      </c>
      <c r="M307">
        <v>16.300000000000011</v>
      </c>
      <c r="N307">
        <v>16.599999999999994</v>
      </c>
      <c r="O307">
        <v>16.599999999999994</v>
      </c>
      <c r="P307">
        <v>16.400000000000006</v>
      </c>
      <c r="Q307">
        <v>16.200000000000017</v>
      </c>
      <c r="R307">
        <v>15.899999999999977</v>
      </c>
      <c r="S307">
        <f>Tableau1[[#This Row],[Final_time]]-SUM(Tableau1[[#This Row],[0_100m]:[1300_1400m]])</f>
        <v>15.590000000000003</v>
      </c>
      <c r="T307">
        <v>243.79</v>
      </c>
      <c r="U307">
        <f t="shared" si="8"/>
        <v>243.79</v>
      </c>
      <c r="V307">
        <f t="shared" si="9"/>
        <v>0</v>
      </c>
      <c r="W307" s="12"/>
      <c r="X307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07" t="s">
        <v>313</v>
      </c>
      <c r="Z307" t="s">
        <v>43</v>
      </c>
      <c r="AB307" t="s">
        <v>65</v>
      </c>
      <c r="AC307" s="2">
        <v>44434</v>
      </c>
      <c r="AD307">
        <v>2021</v>
      </c>
      <c r="AE307">
        <v>22</v>
      </c>
      <c r="AF307" s="5">
        <v>0.51</v>
      </c>
      <c r="AG307" s="3" t="s">
        <v>62</v>
      </c>
    </row>
    <row r="308" spans="1:33" hidden="1" x14ac:dyDescent="0.35">
      <c r="A308" t="str">
        <f>_xlfn.CONCAT(Tableau1[[#This Row],[Athletes]],"_",Tableau1[[#This Row],[Nationality]],"_",Tableau1[[#This Row],[Competition_year]])</f>
        <v>Hirut MESHESHA_ETH_2021</v>
      </c>
      <c r="B308" t="s">
        <v>135</v>
      </c>
      <c r="C308" t="s">
        <v>47</v>
      </c>
      <c r="D308" t="s">
        <v>48</v>
      </c>
      <c r="E308">
        <v>15.5</v>
      </c>
      <c r="F308">
        <v>15.3</v>
      </c>
      <c r="G308">
        <v>16.400000000000002</v>
      </c>
      <c r="H308">
        <v>16.299999999999997</v>
      </c>
      <c r="I308">
        <v>16.400000000000006</v>
      </c>
      <c r="J308">
        <v>17</v>
      </c>
      <c r="K308">
        <v>16.199999999999989</v>
      </c>
      <c r="L308">
        <v>17.400000000000006</v>
      </c>
      <c r="M308">
        <v>16.400000000000006</v>
      </c>
      <c r="N308">
        <v>17.099999999999994</v>
      </c>
      <c r="O308">
        <v>16.099999999999994</v>
      </c>
      <c r="P308">
        <v>16.400000000000006</v>
      </c>
      <c r="Q308">
        <v>16.599999999999994</v>
      </c>
      <c r="R308">
        <v>16.400000000000006</v>
      </c>
      <c r="S308">
        <f>Tableau1[[#This Row],[Final_time]]-SUM(Tableau1[[#This Row],[0_100m]:[1300_1400m]])</f>
        <v>15.780000000000001</v>
      </c>
      <c r="T308">
        <v>245.28</v>
      </c>
      <c r="U308">
        <f t="shared" si="8"/>
        <v>245.28</v>
      </c>
      <c r="V308">
        <f t="shared" si="9"/>
        <v>0</v>
      </c>
      <c r="W308" s="12"/>
      <c r="X308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08" t="s">
        <v>313</v>
      </c>
      <c r="Z308" t="s">
        <v>43</v>
      </c>
      <c r="AB308" t="s">
        <v>65</v>
      </c>
      <c r="AC308" s="2">
        <v>44434</v>
      </c>
      <c r="AD308">
        <v>2021</v>
      </c>
      <c r="AE308">
        <v>22</v>
      </c>
      <c r="AF308" s="5">
        <v>0.51</v>
      </c>
      <c r="AG308" s="3" t="s">
        <v>62</v>
      </c>
    </row>
    <row r="309" spans="1:33" hidden="1" x14ac:dyDescent="0.35">
      <c r="A309" t="str">
        <f>_xlfn.CONCAT(Tableau1[[#This Row],[Athletes]],"_",Tableau1[[#This Row],[Nationality]],"_",Tableau1[[#This Row],[Competition_year]])</f>
        <v>Hanna KLEIN_GER_2021</v>
      </c>
      <c r="B309" t="s">
        <v>246</v>
      </c>
      <c r="C309" t="s">
        <v>47</v>
      </c>
      <c r="D309" t="s">
        <v>34</v>
      </c>
      <c r="E309">
        <v>16.399999999999999</v>
      </c>
      <c r="F309">
        <v>15.800000000000004</v>
      </c>
      <c r="G309">
        <v>16.099999999999994</v>
      </c>
      <c r="H309">
        <v>16.700000000000003</v>
      </c>
      <c r="I309">
        <v>16.299999999999997</v>
      </c>
      <c r="J309">
        <v>17.200000000000003</v>
      </c>
      <c r="K309">
        <v>16.599999999999994</v>
      </c>
      <c r="L309">
        <v>16.900000000000006</v>
      </c>
      <c r="M309">
        <v>16.699999999999989</v>
      </c>
      <c r="N309">
        <v>17</v>
      </c>
      <c r="O309">
        <v>17</v>
      </c>
      <c r="P309">
        <v>17.900000000000006</v>
      </c>
      <c r="Q309">
        <v>16.700000000000017</v>
      </c>
      <c r="R309">
        <v>16.299999999999983</v>
      </c>
      <c r="S309">
        <f>Tableau1[[#This Row],[Final_time]]-SUM(Tableau1[[#This Row],[0_100m]:[1300_1400m]])</f>
        <v>15.980000000000018</v>
      </c>
      <c r="T309">
        <v>249.58</v>
      </c>
      <c r="U309">
        <f t="shared" si="8"/>
        <v>249.58</v>
      </c>
      <c r="V309">
        <f t="shared" si="9"/>
        <v>0</v>
      </c>
      <c r="W309" s="12"/>
      <c r="X309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09" t="s">
        <v>313</v>
      </c>
      <c r="Z309" t="s">
        <v>43</v>
      </c>
      <c r="AB309" t="s">
        <v>65</v>
      </c>
      <c r="AC309" s="2">
        <v>44434</v>
      </c>
      <c r="AD309">
        <v>2021</v>
      </c>
      <c r="AE309">
        <v>22</v>
      </c>
      <c r="AF309" s="5">
        <v>0.51</v>
      </c>
      <c r="AG309" s="3" t="s">
        <v>62</v>
      </c>
    </row>
    <row r="310" spans="1:33" hidden="1" x14ac:dyDescent="0.35">
      <c r="A310" t="str">
        <f>_xlfn.CONCAT(Tableau1[[#This Row],[Athletes]],"_",Tableau1[[#This Row],[Nationality]],"_",Tableau1[[#This Row],[Competition_year]])</f>
        <v>Jemma REEKIE_GBR_2021</v>
      </c>
      <c r="B310" t="s">
        <v>374</v>
      </c>
      <c r="C310" t="s">
        <v>47</v>
      </c>
      <c r="D310" t="s">
        <v>20</v>
      </c>
      <c r="E310">
        <v>15.8</v>
      </c>
      <c r="F310">
        <v>15.399999999999999</v>
      </c>
      <c r="G310">
        <v>16.3</v>
      </c>
      <c r="H310">
        <v>16.200000000000003</v>
      </c>
      <c r="I310">
        <v>16.599999999999994</v>
      </c>
      <c r="J310">
        <v>17.5</v>
      </c>
      <c r="K310">
        <v>15.799999999999997</v>
      </c>
      <c r="L310">
        <v>16.900000000000006</v>
      </c>
      <c r="M310">
        <v>16.099999999999994</v>
      </c>
      <c r="N310">
        <v>16.900000000000006</v>
      </c>
      <c r="O310">
        <v>16.300000000000011</v>
      </c>
      <c r="P310">
        <v>16.399999999999977</v>
      </c>
      <c r="Q310">
        <v>16.400000000000006</v>
      </c>
      <c r="R310">
        <v>15.900000000000006</v>
      </c>
      <c r="S310">
        <f>Tableau1[[#This Row],[Final_time]]-SUM(Tableau1[[#This Row],[0_100m]:[1300_1400m]])</f>
        <v>16.22</v>
      </c>
      <c r="T310">
        <v>244.72</v>
      </c>
      <c r="U310">
        <f t="shared" si="8"/>
        <v>244.72</v>
      </c>
      <c r="V310">
        <f t="shared" si="9"/>
        <v>0</v>
      </c>
      <c r="W310" s="12"/>
      <c r="X310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0" t="s">
        <v>313</v>
      </c>
      <c r="Z310" t="s">
        <v>43</v>
      </c>
      <c r="AB310" t="s">
        <v>65</v>
      </c>
      <c r="AC310" s="2">
        <v>44434</v>
      </c>
      <c r="AD310">
        <v>2021</v>
      </c>
      <c r="AE310">
        <v>22</v>
      </c>
      <c r="AF310" s="5">
        <v>0.51</v>
      </c>
      <c r="AG310" s="3" t="s">
        <v>62</v>
      </c>
    </row>
    <row r="311" spans="1:33" hidden="1" x14ac:dyDescent="0.35">
      <c r="A311" t="str">
        <f>_xlfn.CONCAT(Tableau1[[#This Row],[Athletes]],"_",Tableau1[[#This Row],[Nationality]],"_",Tableau1[[#This Row],[Competition_year]])</f>
        <v>Linden HALL_AUS_2021</v>
      </c>
      <c r="B311" t="s">
        <v>184</v>
      </c>
      <c r="C311" t="s">
        <v>47</v>
      </c>
      <c r="D311" t="s">
        <v>21</v>
      </c>
      <c r="E311">
        <v>15.6</v>
      </c>
      <c r="F311">
        <v>15.4</v>
      </c>
      <c r="G311">
        <v>16</v>
      </c>
      <c r="H311">
        <v>16.299999999999997</v>
      </c>
      <c r="I311">
        <v>16.600000000000009</v>
      </c>
      <c r="J311">
        <v>16.099999999999994</v>
      </c>
      <c r="K311">
        <v>15.799999999999997</v>
      </c>
      <c r="L311">
        <v>16.200000000000003</v>
      </c>
      <c r="M311">
        <v>16.099999999999994</v>
      </c>
      <c r="N311">
        <v>16.5</v>
      </c>
      <c r="O311">
        <v>16.300000000000011</v>
      </c>
      <c r="P311">
        <v>16.5</v>
      </c>
      <c r="Q311">
        <v>16.699999999999989</v>
      </c>
      <c r="R311">
        <v>16.599999999999994</v>
      </c>
      <c r="S311">
        <f>Tableau1[[#This Row],[Final_time]]-SUM(Tableau1[[#This Row],[0_100m]:[1300_1400m]])</f>
        <v>16.25</v>
      </c>
      <c r="T311">
        <v>242.95</v>
      </c>
      <c r="U311">
        <f t="shared" si="8"/>
        <v>242.95</v>
      </c>
      <c r="V311">
        <f t="shared" si="9"/>
        <v>0</v>
      </c>
      <c r="W311" s="12"/>
      <c r="X311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1" t="s">
        <v>313</v>
      </c>
      <c r="Z311" t="s">
        <v>43</v>
      </c>
      <c r="AB311" t="s">
        <v>65</v>
      </c>
      <c r="AC311" s="2">
        <v>44434</v>
      </c>
      <c r="AD311">
        <v>2021</v>
      </c>
      <c r="AE311">
        <v>22</v>
      </c>
      <c r="AF311" s="5">
        <v>0.51</v>
      </c>
      <c r="AG311" s="3" t="s">
        <v>62</v>
      </c>
    </row>
    <row r="312" spans="1:33" hidden="1" x14ac:dyDescent="0.35">
      <c r="A312" t="str">
        <f>_xlfn.CONCAT(Tableau1[[#This Row],[Athletes]],"_",Tableau1[[#This Row],[Nationality]],"_",Tableau1[[#This Row],[Competition_year]])</f>
        <v>Katie SNOWDEN_GBR_2021</v>
      </c>
      <c r="B312" t="s">
        <v>186</v>
      </c>
      <c r="C312" t="s">
        <v>47</v>
      </c>
      <c r="D312" t="s">
        <v>20</v>
      </c>
      <c r="E312">
        <v>16.100000000000001</v>
      </c>
      <c r="F312">
        <v>15.7</v>
      </c>
      <c r="G312">
        <v>16.099999999999998</v>
      </c>
      <c r="H312">
        <v>16.399999999999999</v>
      </c>
      <c r="I312">
        <v>16.400000000000006</v>
      </c>
      <c r="J312">
        <v>17.299999999999997</v>
      </c>
      <c r="K312">
        <v>16.5</v>
      </c>
      <c r="L312">
        <v>16.800000000000011</v>
      </c>
      <c r="M312">
        <v>16.599999999999994</v>
      </c>
      <c r="N312">
        <v>16.900000000000006</v>
      </c>
      <c r="O312">
        <v>16.599999999999994</v>
      </c>
      <c r="P312">
        <v>16.900000000000006</v>
      </c>
      <c r="Q312">
        <v>17.199999999999989</v>
      </c>
      <c r="R312">
        <v>17</v>
      </c>
      <c r="S312">
        <f>Tableau1[[#This Row],[Final_time]]-SUM(Tableau1[[#This Row],[0_100m]:[1300_1400m]])</f>
        <v>17.310000000000002</v>
      </c>
      <c r="T312">
        <v>249.81</v>
      </c>
      <c r="U312">
        <f t="shared" si="8"/>
        <v>249.81</v>
      </c>
      <c r="V312">
        <f t="shared" si="9"/>
        <v>0</v>
      </c>
      <c r="W312" s="12"/>
      <c r="X312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2" t="s">
        <v>313</v>
      </c>
      <c r="Z312" t="s">
        <v>43</v>
      </c>
      <c r="AB312" t="s">
        <v>65</v>
      </c>
      <c r="AC312" s="2">
        <v>44434</v>
      </c>
      <c r="AD312">
        <v>2021</v>
      </c>
      <c r="AE312">
        <v>22</v>
      </c>
      <c r="AF312" s="5">
        <v>0.51</v>
      </c>
      <c r="AG312" s="3" t="s">
        <v>62</v>
      </c>
    </row>
    <row r="313" spans="1:33" hidden="1" x14ac:dyDescent="0.35">
      <c r="A313" t="str">
        <f>_xlfn.CONCAT(Tableau1[[#This Row],[Athletes]],"_",Tableau1[[#This Row],[Nationality]],"_",Tableau1[[#This Row],[Competition_year]])</f>
        <v>Gaia SABBATINI_ITA_2021</v>
      </c>
      <c r="B313" t="s">
        <v>167</v>
      </c>
      <c r="C313" t="s">
        <v>47</v>
      </c>
      <c r="D313" t="s">
        <v>19</v>
      </c>
      <c r="E313">
        <v>16</v>
      </c>
      <c r="F313">
        <v>15.399999999999999</v>
      </c>
      <c r="G313">
        <v>16.399999999999999</v>
      </c>
      <c r="H313">
        <v>16.299999999999997</v>
      </c>
      <c r="I313">
        <v>16.5</v>
      </c>
      <c r="J313">
        <v>17.300000000000011</v>
      </c>
      <c r="K313">
        <v>15.899999999999991</v>
      </c>
      <c r="L313">
        <v>17.000000000000014</v>
      </c>
      <c r="M313">
        <v>16.199999999999989</v>
      </c>
      <c r="N313">
        <v>16.800000000000011</v>
      </c>
      <c r="O313">
        <v>16.299999999999983</v>
      </c>
      <c r="P313">
        <v>16.800000000000011</v>
      </c>
      <c r="Q313">
        <v>17.599999999999994</v>
      </c>
      <c r="R313">
        <v>18</v>
      </c>
      <c r="S313">
        <f>Tableau1[[#This Row],[Final_time]]-SUM(Tableau1[[#This Row],[0_100m]:[1300_1400m]])</f>
        <v>18.110000000000014</v>
      </c>
      <c r="T313">
        <v>250.61</v>
      </c>
      <c r="U313">
        <f t="shared" si="8"/>
        <v>250.61</v>
      </c>
      <c r="V313">
        <f t="shared" si="9"/>
        <v>0</v>
      </c>
      <c r="W313" s="12"/>
      <c r="X313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3" t="s">
        <v>313</v>
      </c>
      <c r="Z313" t="s">
        <v>43</v>
      </c>
      <c r="AB313" t="s">
        <v>65</v>
      </c>
      <c r="AC313" s="2">
        <v>44434</v>
      </c>
      <c r="AD313">
        <v>2021</v>
      </c>
      <c r="AE313">
        <v>22</v>
      </c>
      <c r="AF313" s="5">
        <v>0.51</v>
      </c>
      <c r="AG313" s="3" t="s">
        <v>62</v>
      </c>
    </row>
    <row r="314" spans="1:33" hidden="1" x14ac:dyDescent="0.35">
      <c r="A314" t="str">
        <f>_xlfn.CONCAT(Tableau1[[#This Row],[Athletes]],"_",Tableau1[[#This Row],[Nationality]],"_",Tableau1[[#This Row],[Competition_year]])</f>
        <v>Kristiina SASÍNEK MÄKI_CZE_2021</v>
      </c>
      <c r="B314" t="s">
        <v>1046</v>
      </c>
      <c r="C314" t="s">
        <v>47</v>
      </c>
      <c r="D314" t="s">
        <v>140</v>
      </c>
      <c r="E314">
        <v>16.600000000000001</v>
      </c>
      <c r="F314">
        <v>15.600000000000001</v>
      </c>
      <c r="G314">
        <v>15.899999999999999</v>
      </c>
      <c r="H314">
        <v>16.699999999999996</v>
      </c>
      <c r="I314">
        <v>16.200000000000003</v>
      </c>
      <c r="J314">
        <v>17.299999999999997</v>
      </c>
      <c r="K314">
        <v>16.299999999999997</v>
      </c>
      <c r="L314">
        <v>17</v>
      </c>
      <c r="M314">
        <v>16.599999999999994</v>
      </c>
      <c r="N314">
        <v>16.700000000000017</v>
      </c>
      <c r="O314">
        <v>16.299999999999983</v>
      </c>
      <c r="P314">
        <v>17.100000000000023</v>
      </c>
      <c r="Q314">
        <v>18.099999999999994</v>
      </c>
      <c r="R314">
        <v>17.699999999999989</v>
      </c>
      <c r="S314">
        <f>Tableau1[[#This Row],[Final_time]]-SUM(Tableau1[[#This Row],[0_100m]:[1300_1400m]])</f>
        <v>18.47</v>
      </c>
      <c r="T314">
        <v>252.57</v>
      </c>
      <c r="U314">
        <f t="shared" si="8"/>
        <v>252.57</v>
      </c>
      <c r="V314">
        <f t="shared" si="9"/>
        <v>0</v>
      </c>
      <c r="W314" s="12"/>
      <c r="X314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4" t="s">
        <v>313</v>
      </c>
      <c r="Z314" t="s">
        <v>43</v>
      </c>
      <c r="AB314" t="s">
        <v>65</v>
      </c>
      <c r="AC314" s="2">
        <v>44434</v>
      </c>
      <c r="AD314">
        <v>2021</v>
      </c>
      <c r="AE314">
        <v>22</v>
      </c>
      <c r="AF314" s="5">
        <v>0.51</v>
      </c>
      <c r="AG314" s="3" t="s">
        <v>62</v>
      </c>
    </row>
    <row r="315" spans="1:33" hidden="1" x14ac:dyDescent="0.35">
      <c r="A315" t="str">
        <f>_xlfn.CONCAT(Tableau1[[#This Row],[Athletes]],"_",Tableau1[[#This Row],[Nationality]],"_",Tableau1[[#This Row],[Competition_year]])</f>
        <v>Sara KUIVISTO_FIN_2021</v>
      </c>
      <c r="B315" t="s">
        <v>353</v>
      </c>
      <c r="C315" t="s">
        <v>47</v>
      </c>
      <c r="D315" t="s">
        <v>119</v>
      </c>
      <c r="E315">
        <v>16.2</v>
      </c>
      <c r="F315">
        <v>15.8</v>
      </c>
      <c r="G315">
        <v>16</v>
      </c>
      <c r="H315">
        <v>16.599999999999994</v>
      </c>
      <c r="I315">
        <v>16.100000000000009</v>
      </c>
      <c r="J315">
        <v>17.5</v>
      </c>
      <c r="K315">
        <v>16.099999999999994</v>
      </c>
      <c r="L315">
        <v>16.799999999999997</v>
      </c>
      <c r="M315">
        <v>16.599999999999994</v>
      </c>
      <c r="N315">
        <v>17</v>
      </c>
      <c r="O315">
        <v>17.700000000000017</v>
      </c>
      <c r="P315">
        <v>18.599999999999994</v>
      </c>
      <c r="Q315">
        <v>19.400000000000006</v>
      </c>
      <c r="R315">
        <v>19.799999999999983</v>
      </c>
      <c r="S315">
        <f>Tableau1[[#This Row],[Final_time]]-SUM(Tableau1[[#This Row],[0_100m]:[1300_1400m]])</f>
        <v>20.480000000000018</v>
      </c>
      <c r="T315">
        <v>260.68</v>
      </c>
      <c r="U315">
        <f t="shared" si="8"/>
        <v>260.68</v>
      </c>
      <c r="V315">
        <f t="shared" si="9"/>
        <v>0</v>
      </c>
      <c r="W315" s="12"/>
      <c r="X315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5" t="s">
        <v>313</v>
      </c>
      <c r="Z315" t="s">
        <v>43</v>
      </c>
      <c r="AB315" t="s">
        <v>65</v>
      </c>
      <c r="AC315" s="2">
        <v>44434</v>
      </c>
      <c r="AD315">
        <v>2021</v>
      </c>
      <c r="AE315">
        <v>22</v>
      </c>
      <c r="AF315" s="5">
        <v>0.51</v>
      </c>
      <c r="AG315" s="3" t="s">
        <v>62</v>
      </c>
    </row>
    <row r="316" spans="1:33" hidden="1" x14ac:dyDescent="0.35">
      <c r="A316" t="str">
        <f>_xlfn.CONCAT(Tableau1[[#This Row],[Athletes]],"_",Tableau1[[#This Row],[Nationality]],"_",Tableau1[[#This Row],[Competition_year]])</f>
        <v>Caterina GRANZ_GER_2021</v>
      </c>
      <c r="B316" t="s">
        <v>813</v>
      </c>
      <c r="C316" t="s">
        <v>47</v>
      </c>
      <c r="D316" t="s">
        <v>34</v>
      </c>
      <c r="E316">
        <v>16.5</v>
      </c>
      <c r="F316">
        <v>15.899999999999999</v>
      </c>
      <c r="G316">
        <v>16</v>
      </c>
      <c r="H316">
        <v>16.699999999999996</v>
      </c>
      <c r="I316">
        <v>16.5</v>
      </c>
      <c r="J316">
        <v>16.900000000000006</v>
      </c>
      <c r="K316">
        <v>16.299999999999997</v>
      </c>
      <c r="L316">
        <v>17.000000000000014</v>
      </c>
      <c r="M316">
        <v>16.699999999999989</v>
      </c>
      <c r="N316">
        <v>16.800000000000011</v>
      </c>
      <c r="O316">
        <v>17.299999999999983</v>
      </c>
      <c r="P316">
        <v>18</v>
      </c>
      <c r="Q316">
        <v>19</v>
      </c>
      <c r="R316">
        <v>19.400000000000006</v>
      </c>
      <c r="S316">
        <f>Tableau1[[#This Row],[Final_time]]-SUM(Tableau1[[#This Row],[0_100m]:[1300_1400m]])</f>
        <v>20.610000000000014</v>
      </c>
      <c r="T316">
        <v>259.61</v>
      </c>
      <c r="U316">
        <f t="shared" si="8"/>
        <v>259.61</v>
      </c>
      <c r="V316">
        <f t="shared" si="9"/>
        <v>0</v>
      </c>
      <c r="W316" s="12"/>
      <c r="X316" t="str">
        <f>_xlfn.CONCAT(Tableau1[[#This Row],[Competition]],"_",Tableau1[[#This Row],[Championship_step]],"_",Tableau1[[#This Row],[Competition_date]],"_",Tableau1[[#This Row],[Gender]])</f>
        <v>Diamond League Lausanne 2021__44434_Female</v>
      </c>
      <c r="Y316" t="s">
        <v>313</v>
      </c>
      <c r="Z316" t="s">
        <v>43</v>
      </c>
      <c r="AB316" t="s">
        <v>65</v>
      </c>
      <c r="AC316" s="2">
        <v>44434</v>
      </c>
      <c r="AD316">
        <v>2021</v>
      </c>
      <c r="AE316">
        <v>22</v>
      </c>
      <c r="AF316" s="5">
        <v>0.51</v>
      </c>
      <c r="AG316" s="3" t="s">
        <v>62</v>
      </c>
    </row>
    <row r="317" spans="1:33" hidden="1" x14ac:dyDescent="0.35">
      <c r="A317" t="str">
        <f>_xlfn.CONCAT(Tableau1[[#This Row],[Athletes]],"_",Tableau1[[#This Row],[Nationality]],"_",Tableau1[[#This Row],[Competition_year]])</f>
        <v>Abel KIPSANG_KEN_2022</v>
      </c>
      <c r="B317" t="s">
        <v>227</v>
      </c>
      <c r="C317" t="s">
        <v>16</v>
      </c>
      <c r="D317" t="s">
        <v>17</v>
      </c>
      <c r="E317">
        <v>14</v>
      </c>
      <c r="F317">
        <v>14.3</v>
      </c>
      <c r="G317">
        <v>14.2</v>
      </c>
      <c r="H317">
        <v>14</v>
      </c>
      <c r="I317">
        <v>13.599999999999994</v>
      </c>
      <c r="J317">
        <v>14.100000000000009</v>
      </c>
      <c r="K317">
        <v>13.899999999999991</v>
      </c>
      <c r="L317">
        <v>14.300000000000011</v>
      </c>
      <c r="M317">
        <v>14.199999999999989</v>
      </c>
      <c r="N317">
        <v>14.300000000000011</v>
      </c>
      <c r="O317">
        <v>14</v>
      </c>
      <c r="P317">
        <v>14.099999999999994</v>
      </c>
      <c r="Q317">
        <v>13.400000000000006</v>
      </c>
      <c r="R317">
        <v>13.799999999999983</v>
      </c>
      <c r="S317">
        <f>Tableau1[[#This Row],[Final_time]]-SUM(Tableau1[[#This Row],[0_100m]:[1300_1400m]])</f>
        <v>13.730000000000018</v>
      </c>
      <c r="T317">
        <v>209.93</v>
      </c>
      <c r="U317">
        <f t="shared" si="8"/>
        <v>209.93</v>
      </c>
      <c r="V317">
        <f t="shared" si="9"/>
        <v>0</v>
      </c>
      <c r="W317" s="12"/>
      <c r="X317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17" t="s">
        <v>306</v>
      </c>
      <c r="Z317" t="s">
        <v>43</v>
      </c>
      <c r="AB317" t="s">
        <v>65</v>
      </c>
      <c r="AC317" s="2">
        <v>44799</v>
      </c>
      <c r="AD317">
        <v>2022</v>
      </c>
      <c r="AE317">
        <v>22</v>
      </c>
      <c r="AF317" s="5">
        <v>0.56999999999999995</v>
      </c>
      <c r="AG317" s="3" t="s">
        <v>62</v>
      </c>
    </row>
    <row r="318" spans="1:33" hidden="1" x14ac:dyDescent="0.35">
      <c r="A318" t="str">
        <f>_xlfn.CONCAT(Tableau1[[#This Row],[Athletes]],"_",Tableau1[[#This Row],[Nationality]],"_",Tableau1[[#This Row],[Competition_year]])</f>
        <v>Stewart MCSWEYN_AUS_2022</v>
      </c>
      <c r="B318" t="s">
        <v>219</v>
      </c>
      <c r="C318" t="s">
        <v>16</v>
      </c>
      <c r="D318" t="s">
        <v>21</v>
      </c>
      <c r="E318">
        <v>14.3</v>
      </c>
      <c r="F318">
        <v>13.8</v>
      </c>
      <c r="G318">
        <v>13.799999999999997</v>
      </c>
      <c r="H318">
        <v>13.800000000000004</v>
      </c>
      <c r="I318">
        <v>13.899999999999991</v>
      </c>
      <c r="J318">
        <v>13.900000000000006</v>
      </c>
      <c r="K318">
        <v>14.299999999999997</v>
      </c>
      <c r="L318">
        <v>14.200000000000003</v>
      </c>
      <c r="M318">
        <v>14.200000000000003</v>
      </c>
      <c r="N318">
        <v>14.299999999999997</v>
      </c>
      <c r="O318">
        <v>14.099999999999994</v>
      </c>
      <c r="P318">
        <v>14.200000000000017</v>
      </c>
      <c r="Q318">
        <v>13.899999999999977</v>
      </c>
      <c r="R318">
        <v>13.700000000000017</v>
      </c>
      <c r="S318">
        <f>Tableau1[[#This Row],[Final_time]]-SUM(Tableau1[[#This Row],[0_100m]:[1300_1400m]])</f>
        <v>13.780000000000001</v>
      </c>
      <c r="T318">
        <v>210.18</v>
      </c>
      <c r="U318">
        <f t="shared" si="8"/>
        <v>210.18</v>
      </c>
      <c r="V318">
        <f t="shared" si="9"/>
        <v>0</v>
      </c>
      <c r="W318" s="12"/>
      <c r="X318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18" t="s">
        <v>306</v>
      </c>
      <c r="Z318" t="s">
        <v>43</v>
      </c>
      <c r="AB318" t="s">
        <v>65</v>
      </c>
      <c r="AC318" s="2">
        <v>44799</v>
      </c>
      <c r="AD318">
        <v>2022</v>
      </c>
      <c r="AE318">
        <v>22</v>
      </c>
      <c r="AF318" s="5">
        <v>0.56999999999999995</v>
      </c>
      <c r="AG318" s="3" t="s">
        <v>62</v>
      </c>
    </row>
    <row r="319" spans="1:33" hidden="1" x14ac:dyDescent="0.35">
      <c r="A319" t="str">
        <f>_xlfn.CONCAT(Tableau1[[#This Row],[Athletes]],"_",Tableau1[[#This Row],[Nationality]],"_",Tableau1[[#This Row],[Competition_year]])</f>
        <v>Jakob INGEBRIGTSEN_NOR_2022</v>
      </c>
      <c r="B319" t="s">
        <v>151</v>
      </c>
      <c r="C319" t="s">
        <v>16</v>
      </c>
      <c r="D319" t="s">
        <v>30</v>
      </c>
      <c r="E319">
        <v>13.9</v>
      </c>
      <c r="F319">
        <v>13.9</v>
      </c>
      <c r="G319">
        <v>13.999999999999996</v>
      </c>
      <c r="H319">
        <v>13.700000000000003</v>
      </c>
      <c r="I319">
        <v>13.900000000000006</v>
      </c>
      <c r="J319">
        <v>13.899999999999991</v>
      </c>
      <c r="K319">
        <v>14.200000000000003</v>
      </c>
      <c r="L319">
        <v>14.299999999999997</v>
      </c>
      <c r="M319">
        <v>14.200000000000003</v>
      </c>
      <c r="N319">
        <v>14</v>
      </c>
      <c r="O319">
        <v>13.900000000000006</v>
      </c>
      <c r="P319">
        <v>13.900000000000006</v>
      </c>
      <c r="Q319">
        <v>13.799999999999983</v>
      </c>
      <c r="R319">
        <v>13.599999999999994</v>
      </c>
      <c r="S319">
        <f>Tableau1[[#This Row],[Final_time]]-SUM(Tableau1[[#This Row],[0_100m]:[1300_1400m]])</f>
        <v>13.850000000000023</v>
      </c>
      <c r="T319">
        <v>209.05</v>
      </c>
      <c r="U319">
        <f t="shared" si="8"/>
        <v>209.05</v>
      </c>
      <c r="V319">
        <f t="shared" si="9"/>
        <v>0</v>
      </c>
      <c r="W319" s="12"/>
      <c r="X319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19" t="s">
        <v>306</v>
      </c>
      <c r="Z319" t="s">
        <v>43</v>
      </c>
      <c r="AB319" t="s">
        <v>65</v>
      </c>
      <c r="AC319" s="2">
        <v>44799</v>
      </c>
      <c r="AD319">
        <v>2022</v>
      </c>
      <c r="AE319">
        <v>22</v>
      </c>
      <c r="AF319" s="5">
        <v>0.56999999999999995</v>
      </c>
      <c r="AG319" s="3" t="s">
        <v>62</v>
      </c>
    </row>
    <row r="320" spans="1:33" hidden="1" x14ac:dyDescent="0.35">
      <c r="A320" t="str">
        <f>_xlfn.CONCAT(Tableau1[[#This Row],[Athletes]],"_",Tableau1[[#This Row],[Nationality]],"_",Tableau1[[#This Row],[Competition_year]])</f>
        <v>Matthew STONIER_GBR_2022</v>
      </c>
      <c r="B320" t="s">
        <v>278</v>
      </c>
      <c r="C320" t="s">
        <v>16</v>
      </c>
      <c r="D320" t="s">
        <v>20</v>
      </c>
      <c r="E320">
        <v>14.3</v>
      </c>
      <c r="F320">
        <v>14.7</v>
      </c>
      <c r="G320">
        <v>14.399999999999999</v>
      </c>
      <c r="H320">
        <v>14.5</v>
      </c>
      <c r="I320">
        <v>13.800000000000004</v>
      </c>
      <c r="J320">
        <v>13.899999999999991</v>
      </c>
      <c r="K320">
        <v>14.300000000000011</v>
      </c>
      <c r="L320">
        <v>14.599999999999994</v>
      </c>
      <c r="M320">
        <v>14.699999999999989</v>
      </c>
      <c r="N320">
        <v>15.100000000000023</v>
      </c>
      <c r="O320">
        <v>14.599999999999994</v>
      </c>
      <c r="P320">
        <v>14.599999999999994</v>
      </c>
      <c r="Q320">
        <v>14.300000000000011</v>
      </c>
      <c r="R320">
        <v>13.899999999999977</v>
      </c>
      <c r="S320">
        <f>Tableau1[[#This Row],[Final_time]]-SUM(Tableau1[[#This Row],[0_100m]:[1300_1400m]])</f>
        <v>13.870000000000005</v>
      </c>
      <c r="T320">
        <v>215.57</v>
      </c>
      <c r="U320">
        <f t="shared" si="8"/>
        <v>215.57</v>
      </c>
      <c r="V320">
        <f t="shared" si="9"/>
        <v>0</v>
      </c>
      <c r="W320" s="12"/>
      <c r="X320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0" t="s">
        <v>306</v>
      </c>
      <c r="Z320" t="s">
        <v>43</v>
      </c>
      <c r="AB320" t="s">
        <v>65</v>
      </c>
      <c r="AC320" s="2">
        <v>44799</v>
      </c>
      <c r="AD320">
        <v>2022</v>
      </c>
      <c r="AE320">
        <v>22</v>
      </c>
      <c r="AF320" s="5">
        <v>0.56999999999999995</v>
      </c>
      <c r="AG320" s="3" t="s">
        <v>62</v>
      </c>
    </row>
    <row r="321" spans="1:34" hidden="1" x14ac:dyDescent="0.35">
      <c r="A321" t="str">
        <f>_xlfn.CONCAT(Tableau1[[#This Row],[Athletes]],"_",Tableau1[[#This Row],[Nationality]],"_",Tableau1[[#This Row],[Competition_year]])</f>
        <v>Michał ROZMYS_POL_2022</v>
      </c>
      <c r="B321" t="s">
        <v>236</v>
      </c>
      <c r="C321" t="s">
        <v>16</v>
      </c>
      <c r="D321" t="s">
        <v>83</v>
      </c>
      <c r="E321">
        <v>13.9</v>
      </c>
      <c r="F321">
        <v>14.1</v>
      </c>
      <c r="G321">
        <v>14.100000000000001</v>
      </c>
      <c r="H321">
        <v>14.100000000000001</v>
      </c>
      <c r="I321">
        <v>14</v>
      </c>
      <c r="J321">
        <v>14.200000000000003</v>
      </c>
      <c r="K321">
        <v>13.899999999999991</v>
      </c>
      <c r="L321">
        <v>14.400000000000006</v>
      </c>
      <c r="M321">
        <v>14.200000000000003</v>
      </c>
      <c r="N321">
        <v>14.5</v>
      </c>
      <c r="O321">
        <v>14.099999999999994</v>
      </c>
      <c r="P321">
        <v>14.400000000000006</v>
      </c>
      <c r="Q321">
        <v>14.199999999999989</v>
      </c>
      <c r="R321">
        <v>14.200000000000017</v>
      </c>
      <c r="S321">
        <f>Tableau1[[#This Row],[Final_time]]-SUM(Tableau1[[#This Row],[0_100m]:[1300_1400m]])</f>
        <v>14.129999999999995</v>
      </c>
      <c r="T321">
        <v>212.43</v>
      </c>
      <c r="U321">
        <f t="shared" si="8"/>
        <v>212.43</v>
      </c>
      <c r="V321">
        <f t="shared" si="9"/>
        <v>0</v>
      </c>
      <c r="W321" s="12"/>
      <c r="X321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1" t="s">
        <v>306</v>
      </c>
      <c r="Z321" t="s">
        <v>43</v>
      </c>
      <c r="AB321" t="s">
        <v>65</v>
      </c>
      <c r="AC321" s="2">
        <v>44799</v>
      </c>
      <c r="AD321">
        <v>2022</v>
      </c>
      <c r="AE321">
        <v>22</v>
      </c>
      <c r="AF321" s="5">
        <v>0.56999999999999995</v>
      </c>
      <c r="AG321" s="3" t="s">
        <v>62</v>
      </c>
    </row>
    <row r="322" spans="1:34" hidden="1" x14ac:dyDescent="0.35">
      <c r="A322" t="str">
        <f>_xlfn.CONCAT(Tableau1[[#This Row],[Athletes]],"_",Tableau1[[#This Row],[Nationality]],"_",Tableau1[[#This Row],[Competition_year]])</f>
        <v>Timothy CHERUIYOT_KEN_2022</v>
      </c>
      <c r="B322" t="s">
        <v>205</v>
      </c>
      <c r="C322" t="s">
        <v>16</v>
      </c>
      <c r="D322" t="s">
        <v>17</v>
      </c>
      <c r="E322">
        <v>14.1</v>
      </c>
      <c r="F322">
        <v>14.000000000000002</v>
      </c>
      <c r="G322">
        <v>14</v>
      </c>
      <c r="H322">
        <v>14</v>
      </c>
      <c r="I322">
        <v>13.800000000000004</v>
      </c>
      <c r="J322">
        <v>14</v>
      </c>
      <c r="K322">
        <v>14</v>
      </c>
      <c r="L322">
        <v>14.399999999999991</v>
      </c>
      <c r="M322">
        <v>14.200000000000003</v>
      </c>
      <c r="N322">
        <v>14.400000000000006</v>
      </c>
      <c r="O322">
        <v>14.099999999999994</v>
      </c>
      <c r="P322">
        <v>14.599999999999994</v>
      </c>
      <c r="Q322">
        <v>14</v>
      </c>
      <c r="R322">
        <v>14.800000000000011</v>
      </c>
      <c r="S322">
        <f>Tableau1[[#This Row],[Final_time]]-SUM(Tableau1[[#This Row],[0_100m]:[1300_1400m]])</f>
        <v>14.509999999999991</v>
      </c>
      <c r="T322">
        <v>212.91</v>
      </c>
      <c r="U322">
        <f t="shared" ref="U322:U385" si="10">SUM(E322:S322)</f>
        <v>212.91</v>
      </c>
      <c r="V322">
        <f t="shared" ref="V322:V385" si="11">ABS(U322-T322)</f>
        <v>0</v>
      </c>
      <c r="W322" s="12"/>
      <c r="X322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2" t="s">
        <v>306</v>
      </c>
      <c r="Z322" t="s">
        <v>43</v>
      </c>
      <c r="AB322" t="s">
        <v>65</v>
      </c>
      <c r="AC322" s="2">
        <v>44799</v>
      </c>
      <c r="AD322">
        <v>2022</v>
      </c>
      <c r="AE322">
        <v>22</v>
      </c>
      <c r="AF322" s="5">
        <v>0.56999999999999995</v>
      </c>
      <c r="AG322" s="3" t="s">
        <v>62</v>
      </c>
    </row>
    <row r="323" spans="1:34" hidden="1" x14ac:dyDescent="0.35">
      <c r="A323" t="str">
        <f>_xlfn.CONCAT(Tableau1[[#This Row],[Athletes]],"_",Tableau1[[#This Row],[Nationality]],"_",Tableau1[[#This Row],[Competition_year]])</f>
        <v>Mario GARCÍA_ESP_2022</v>
      </c>
      <c r="B323" t="s">
        <v>117</v>
      </c>
      <c r="C323" t="s">
        <v>16</v>
      </c>
      <c r="D323" t="s">
        <v>22</v>
      </c>
      <c r="E323">
        <v>14</v>
      </c>
      <c r="F323">
        <v>14.100000000000001</v>
      </c>
      <c r="G323">
        <v>14</v>
      </c>
      <c r="H323">
        <v>13.799999999999997</v>
      </c>
      <c r="I323">
        <v>14.000000000000007</v>
      </c>
      <c r="J323">
        <v>13.899999999999991</v>
      </c>
      <c r="K323">
        <v>14.200000000000003</v>
      </c>
      <c r="L323">
        <v>14.5</v>
      </c>
      <c r="M323">
        <v>14.200000000000003</v>
      </c>
      <c r="N323">
        <v>14.399999999999991</v>
      </c>
      <c r="O323">
        <v>14.200000000000017</v>
      </c>
      <c r="P323">
        <v>14.299999999999983</v>
      </c>
      <c r="Q323">
        <v>14.300000000000011</v>
      </c>
      <c r="R323">
        <v>14.299999999999983</v>
      </c>
      <c r="S323">
        <f>Tableau1[[#This Row],[Final_time]]-SUM(Tableau1[[#This Row],[0_100m]:[1300_1400m]])</f>
        <v>14.510000000000019</v>
      </c>
      <c r="T323">
        <v>212.71</v>
      </c>
      <c r="U323">
        <f t="shared" si="10"/>
        <v>212.71</v>
      </c>
      <c r="V323">
        <f t="shared" si="11"/>
        <v>0</v>
      </c>
      <c r="W323" s="12"/>
      <c r="X323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3" t="s">
        <v>306</v>
      </c>
      <c r="Z323" t="s">
        <v>43</v>
      </c>
      <c r="AB323" t="s">
        <v>65</v>
      </c>
      <c r="AC323" s="2">
        <v>44799</v>
      </c>
      <c r="AD323">
        <v>2022</v>
      </c>
      <c r="AE323">
        <v>22</v>
      </c>
      <c r="AF323" s="5">
        <v>0.56999999999999995</v>
      </c>
      <c r="AG323" s="3" t="s">
        <v>62</v>
      </c>
    </row>
    <row r="324" spans="1:34" hidden="1" x14ac:dyDescent="0.35">
      <c r="A324" t="str">
        <f>_xlfn.CONCAT(Tableau1[[#This Row],[Athletes]],"_",Tableau1[[#This Row],[Nationality]],"_",Tableau1[[#This Row],[Competition_year]])</f>
        <v>Josh KERR_GBR_2022</v>
      </c>
      <c r="B324" t="s">
        <v>189</v>
      </c>
      <c r="C324" t="s">
        <v>16</v>
      </c>
      <c r="D324" t="s">
        <v>20</v>
      </c>
      <c r="E324">
        <v>14</v>
      </c>
      <c r="F324">
        <v>14.5</v>
      </c>
      <c r="G324">
        <v>14.299999999999997</v>
      </c>
      <c r="H324">
        <v>14.300000000000004</v>
      </c>
      <c r="I324">
        <v>13.499999999999993</v>
      </c>
      <c r="J324">
        <v>14.100000000000009</v>
      </c>
      <c r="K324">
        <v>13.899999999999991</v>
      </c>
      <c r="L324">
        <v>14.5</v>
      </c>
      <c r="M324">
        <v>13.800000000000011</v>
      </c>
      <c r="N324">
        <v>14.299999999999983</v>
      </c>
      <c r="O324">
        <v>13.900000000000006</v>
      </c>
      <c r="P324">
        <v>14.300000000000011</v>
      </c>
      <c r="Q324">
        <v>14</v>
      </c>
      <c r="R324">
        <v>14.299999999999983</v>
      </c>
      <c r="S324">
        <f>Tableau1[[#This Row],[Final_time]]-SUM(Tableau1[[#This Row],[0_100m]:[1300_1400m]])</f>
        <v>14.580000000000013</v>
      </c>
      <c r="T324">
        <v>212.28</v>
      </c>
      <c r="U324">
        <f t="shared" si="10"/>
        <v>212.28</v>
      </c>
      <c r="V324">
        <f t="shared" si="11"/>
        <v>0</v>
      </c>
      <c r="W324" s="12"/>
      <c r="X324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4" t="s">
        <v>306</v>
      </c>
      <c r="Z324" t="s">
        <v>43</v>
      </c>
      <c r="AB324" t="s">
        <v>65</v>
      </c>
      <c r="AC324" s="2">
        <v>44799</v>
      </c>
      <c r="AD324">
        <v>2022</v>
      </c>
      <c r="AE324">
        <v>22</v>
      </c>
      <c r="AF324" s="5">
        <v>0.56999999999999995</v>
      </c>
      <c r="AG324" s="3" t="s">
        <v>62</v>
      </c>
    </row>
    <row r="325" spans="1:34" hidden="1" x14ac:dyDescent="0.35">
      <c r="A325" t="str">
        <f>_xlfn.CONCAT(Tableau1[[#This Row],[Athletes]],"_",Tableau1[[#This Row],[Nationality]],"_",Tableau1[[#This Row],[Competition_year]])</f>
        <v>Abdellatif SADIKI_MAR_2022</v>
      </c>
      <c r="B325" t="s">
        <v>221</v>
      </c>
      <c r="C325" t="s">
        <v>16</v>
      </c>
      <c r="D325" t="s">
        <v>75</v>
      </c>
      <c r="E325">
        <v>14.9</v>
      </c>
      <c r="F325">
        <v>13.799999999999999</v>
      </c>
      <c r="G325">
        <v>14.3</v>
      </c>
      <c r="H325">
        <v>14.299999999999997</v>
      </c>
      <c r="I325">
        <v>13.900000000000006</v>
      </c>
      <c r="J325">
        <v>14.200000000000003</v>
      </c>
      <c r="K325">
        <v>14.299999999999997</v>
      </c>
      <c r="L325">
        <v>14.5</v>
      </c>
      <c r="M325">
        <v>14.799999999999997</v>
      </c>
      <c r="N325">
        <v>15.099999999999994</v>
      </c>
      <c r="O325">
        <v>15.099999999999994</v>
      </c>
      <c r="P325">
        <v>14.700000000000017</v>
      </c>
      <c r="Q325">
        <v>14.400000000000006</v>
      </c>
      <c r="R325">
        <v>14.5</v>
      </c>
      <c r="S325">
        <f>Tableau1[[#This Row],[Final_time]]-SUM(Tableau1[[#This Row],[0_100m]:[1300_1400m]])</f>
        <v>14.609999999999985</v>
      </c>
      <c r="T325">
        <v>217.41</v>
      </c>
      <c r="U325">
        <f t="shared" si="10"/>
        <v>217.41</v>
      </c>
      <c r="V325">
        <f t="shared" si="11"/>
        <v>0</v>
      </c>
      <c r="W325" s="12"/>
      <c r="X325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5" t="s">
        <v>306</v>
      </c>
      <c r="Z325" t="s">
        <v>43</v>
      </c>
      <c r="AB325" t="s">
        <v>65</v>
      </c>
      <c r="AC325" s="2">
        <v>44799</v>
      </c>
      <c r="AD325">
        <v>2022</v>
      </c>
      <c r="AE325">
        <v>22</v>
      </c>
      <c r="AF325" s="5">
        <v>0.56999999999999995</v>
      </c>
      <c r="AG325" s="3" t="s">
        <v>62</v>
      </c>
    </row>
    <row r="326" spans="1:34" hidden="1" x14ac:dyDescent="0.35">
      <c r="A326" t="str">
        <f>_xlfn.CONCAT(Tableau1[[#This Row],[Athletes]],"_",Tableau1[[#This Row],[Nationality]],"_",Tableau1[[#This Row],[Competition_year]])</f>
        <v>Samuel TANNER_NZL_2022</v>
      </c>
      <c r="B326" t="s">
        <v>203</v>
      </c>
      <c r="C326" t="s">
        <v>16</v>
      </c>
      <c r="D326" t="s">
        <v>118</v>
      </c>
      <c r="E326">
        <v>14.1</v>
      </c>
      <c r="F326">
        <v>14.4</v>
      </c>
      <c r="G326">
        <v>14.100000000000001</v>
      </c>
      <c r="H326">
        <v>14.100000000000001</v>
      </c>
      <c r="I326">
        <v>13.799999999999997</v>
      </c>
      <c r="J326">
        <v>13.900000000000006</v>
      </c>
      <c r="K326">
        <v>14</v>
      </c>
      <c r="L326">
        <v>14.5</v>
      </c>
      <c r="M326">
        <v>14.399999999999991</v>
      </c>
      <c r="N326">
        <v>14.299999999999997</v>
      </c>
      <c r="O326">
        <v>14.300000000000011</v>
      </c>
      <c r="P326">
        <v>14.299999999999983</v>
      </c>
      <c r="Q326">
        <v>14.300000000000011</v>
      </c>
      <c r="R326">
        <v>14.5</v>
      </c>
      <c r="S326">
        <f>Tableau1[[#This Row],[Final_time]]-SUM(Tableau1[[#This Row],[0_100m]:[1300_1400m]])</f>
        <v>14.670000000000016</v>
      </c>
      <c r="T326">
        <v>213.67000000000002</v>
      </c>
      <c r="U326">
        <f t="shared" si="10"/>
        <v>213.67000000000002</v>
      </c>
      <c r="V326">
        <f t="shared" si="11"/>
        <v>0</v>
      </c>
      <c r="W326" s="12"/>
      <c r="X326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6" t="s">
        <v>306</v>
      </c>
      <c r="Z326" t="s">
        <v>43</v>
      </c>
      <c r="AB326" t="s">
        <v>65</v>
      </c>
      <c r="AC326" s="2">
        <v>44799</v>
      </c>
      <c r="AD326">
        <v>2022</v>
      </c>
      <c r="AE326">
        <v>22</v>
      </c>
      <c r="AF326" s="5">
        <v>0.56999999999999995</v>
      </c>
      <c r="AG326" s="3" t="s">
        <v>62</v>
      </c>
    </row>
    <row r="327" spans="1:34" hidden="1" x14ac:dyDescent="0.35">
      <c r="A327" t="str">
        <f>_xlfn.CONCAT(Tableau1[[#This Row],[Athletes]],"_",Tableau1[[#This Row],[Nationality]],"_",Tableau1[[#This Row],[Competition_year]])</f>
        <v>Jake HEYWARD_GBR_2022</v>
      </c>
      <c r="B327" t="s">
        <v>341</v>
      </c>
      <c r="C327" t="s">
        <v>16</v>
      </c>
      <c r="D327" t="s">
        <v>20</v>
      </c>
      <c r="E327">
        <v>14.3</v>
      </c>
      <c r="F327">
        <v>14.099999999999998</v>
      </c>
      <c r="G327">
        <v>14.300000000000004</v>
      </c>
      <c r="H327">
        <v>14.199999999999996</v>
      </c>
      <c r="I327">
        <v>13.800000000000004</v>
      </c>
      <c r="J327">
        <v>14.200000000000003</v>
      </c>
      <c r="K327">
        <v>13.899999999999991</v>
      </c>
      <c r="L327">
        <v>14.400000000000006</v>
      </c>
      <c r="M327">
        <v>14.299999999999997</v>
      </c>
      <c r="N327">
        <v>14.400000000000006</v>
      </c>
      <c r="O327">
        <v>14.199999999999989</v>
      </c>
      <c r="P327">
        <v>14.599999999999994</v>
      </c>
      <c r="Q327">
        <v>14.600000000000023</v>
      </c>
      <c r="R327">
        <v>14.799999999999983</v>
      </c>
      <c r="S327">
        <f>Tableau1[[#This Row],[Final_time]]-SUM(Tableau1[[#This Row],[0_100m]:[1300_1400m]])</f>
        <v>14.890000000000015</v>
      </c>
      <c r="T327">
        <v>214.99</v>
      </c>
      <c r="U327">
        <f t="shared" si="10"/>
        <v>214.99</v>
      </c>
      <c r="V327">
        <f t="shared" si="11"/>
        <v>0</v>
      </c>
      <c r="W327" s="12"/>
      <c r="X327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7" t="s">
        <v>306</v>
      </c>
      <c r="Z327" t="s">
        <v>43</v>
      </c>
      <c r="AB327" t="s">
        <v>65</v>
      </c>
      <c r="AC327" s="2">
        <v>44799</v>
      </c>
      <c r="AD327">
        <v>2022</v>
      </c>
      <c r="AE327">
        <v>22</v>
      </c>
      <c r="AF327" s="5">
        <v>0.56999999999999995</v>
      </c>
      <c r="AG327" s="3" t="s">
        <v>62</v>
      </c>
    </row>
    <row r="328" spans="1:34" hidden="1" x14ac:dyDescent="0.35">
      <c r="A328" t="str">
        <f>_xlfn.CONCAT(Tableau1[[#This Row],[Athletes]],"_",Tableau1[[#This Row],[Nationality]],"_",Tableau1[[#This Row],[Competition_year]])</f>
        <v>Gonzalo GARCÍA_ESP_2022</v>
      </c>
      <c r="B328" t="s">
        <v>925</v>
      </c>
      <c r="C328" t="s">
        <v>16</v>
      </c>
      <c r="D328" t="s">
        <v>22</v>
      </c>
      <c r="E328">
        <v>14.3</v>
      </c>
      <c r="F328">
        <f>29-Tableau1[[#This Row],[0_100m]]</f>
        <v>14.7</v>
      </c>
      <c r="G328">
        <f>43.2-SUM(Tableau1[[#This Row],[0_100m]:[100_200m]])</f>
        <v>14.200000000000003</v>
      </c>
      <c r="H328">
        <f>57.6-SUM(Tableau1[[#This Row],[0_100m]:[200_300m]])</f>
        <v>14.399999999999999</v>
      </c>
      <c r="I328">
        <f>71.4-SUM(Tableau1[[#This Row],[0_100m]:[300_400m]])</f>
        <v>13.800000000000004</v>
      </c>
      <c r="J328">
        <f>85.3-SUM(Tableau1[[#This Row],[0_100m]:[400_500m]])</f>
        <v>13.899999999999991</v>
      </c>
      <c r="K328">
        <f>99.3-SUM(Tableau1[[#This Row],[0_100m]:[500_600m]])</f>
        <v>14</v>
      </c>
      <c r="L328">
        <f>113.6-SUM(Tableau1[[#This Row],[0_100m]:[600_700m]])</f>
        <v>14.299999999999997</v>
      </c>
      <c r="M328">
        <f>127.9-SUM(Tableau1[[#This Row],[0_100m]:[700_800m]])</f>
        <v>14.300000000000011</v>
      </c>
      <c r="N328">
        <f>142.4-SUM(Tableau1[[#This Row],[0_100m]:[800_900m]])</f>
        <v>14.5</v>
      </c>
      <c r="O328">
        <f>157.2-SUM(Tableau1[[#This Row],[0_100m]:[900_1000m]])</f>
        <v>14.799999999999983</v>
      </c>
      <c r="P328">
        <f>172-SUM(Tableau1[[#This Row],[0_100m]:[1000_1100m]])</f>
        <v>14.800000000000011</v>
      </c>
      <c r="Q328">
        <f>187.1-SUM(Tableau1[[#This Row],[0_100m]:[1100_1200m]])</f>
        <v>15.099999999999994</v>
      </c>
      <c r="R328">
        <f>202.6-SUM(Tableau1[[#This Row],[0_100m]:[1200_1300m]])</f>
        <v>15.5</v>
      </c>
      <c r="S328">
        <f>Tableau1[[#This Row],[Final_time]]-SUM(Tableau1[[#This Row],[0_100m]:[1300_1400m]])</f>
        <v>16.039999999999992</v>
      </c>
      <c r="T328">
        <v>218.64</v>
      </c>
      <c r="U328">
        <f t="shared" si="10"/>
        <v>218.64</v>
      </c>
      <c r="V328">
        <f t="shared" si="11"/>
        <v>0</v>
      </c>
      <c r="W328" s="12"/>
      <c r="X328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8" t="s">
        <v>306</v>
      </c>
      <c r="Z328" t="s">
        <v>43</v>
      </c>
      <c r="AB328" t="s">
        <v>65</v>
      </c>
      <c r="AC328" s="2">
        <v>44799</v>
      </c>
      <c r="AD328">
        <v>2022</v>
      </c>
      <c r="AE328">
        <v>22</v>
      </c>
      <c r="AF328" s="5">
        <v>0.56999999999999995</v>
      </c>
      <c r="AG328" s="3" t="s">
        <v>62</v>
      </c>
    </row>
    <row r="329" spans="1:34" hidden="1" x14ac:dyDescent="0.35">
      <c r="A329" t="str">
        <f>_xlfn.CONCAT(Tableau1[[#This Row],[Athletes]],"_",Tableau1[[#This Row],[Nationality]],"_",Tableau1[[#This Row],[Competition_year]])</f>
        <v>Oliver HOARE_AUS_2022</v>
      </c>
      <c r="B329" t="s">
        <v>249</v>
      </c>
      <c r="C329" t="s">
        <v>16</v>
      </c>
      <c r="D329" t="s">
        <v>21</v>
      </c>
      <c r="E329">
        <v>13.8</v>
      </c>
      <c r="F329">
        <v>13.8</v>
      </c>
      <c r="G329">
        <v>13.899999999999999</v>
      </c>
      <c r="H329">
        <v>13.799999999999997</v>
      </c>
      <c r="I329">
        <v>13.900000000000006</v>
      </c>
      <c r="J329">
        <v>13.899999999999991</v>
      </c>
      <c r="K329">
        <v>14.200000000000003</v>
      </c>
      <c r="L329">
        <v>14.400000000000006</v>
      </c>
      <c r="M329">
        <v>14.5</v>
      </c>
      <c r="N329">
        <v>13.999999999999986</v>
      </c>
      <c r="O329">
        <v>14.300000000000011</v>
      </c>
      <c r="P329">
        <v>15</v>
      </c>
      <c r="Q329">
        <v>15.300000000000011</v>
      </c>
      <c r="R329">
        <v>16.099999999999994</v>
      </c>
      <c r="S329">
        <f>Tableau1[[#This Row],[Final_time]]-SUM(Tableau1[[#This Row],[0_100m]:[1300_1400m]])</f>
        <v>16.909999999999997</v>
      </c>
      <c r="T329">
        <v>217.81</v>
      </c>
      <c r="U329">
        <f t="shared" si="10"/>
        <v>217.81</v>
      </c>
      <c r="V329">
        <f t="shared" si="11"/>
        <v>0</v>
      </c>
      <c r="W329" s="12"/>
      <c r="X329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29" t="s">
        <v>306</v>
      </c>
      <c r="Z329" t="s">
        <v>43</v>
      </c>
      <c r="AB329" t="s">
        <v>65</v>
      </c>
      <c r="AC329" s="2">
        <v>44799</v>
      </c>
      <c r="AD329">
        <v>2022</v>
      </c>
      <c r="AE329">
        <v>22</v>
      </c>
      <c r="AF329" s="5">
        <v>0.56999999999999995</v>
      </c>
      <c r="AG329" s="3" t="s">
        <v>62</v>
      </c>
    </row>
    <row r="330" spans="1:34" hidden="1" x14ac:dyDescent="0.35">
      <c r="A330" t="str">
        <f>_xlfn.CONCAT(Tableau1[[#This Row],[Athletes]],"_",Tableau1[[#This Row],[Nationality]],"_",Tableau1[[#This Row],[Competition_year]])</f>
        <v>Neil GOURLEY_GBR_2022</v>
      </c>
      <c r="B330" t="s">
        <v>202</v>
      </c>
      <c r="C330" t="s">
        <v>16</v>
      </c>
      <c r="D330" t="s">
        <v>20</v>
      </c>
      <c r="E330">
        <v>14.2</v>
      </c>
      <c r="F330">
        <f>28.7-Tableau1[[#This Row],[0_100m]]</f>
        <v>14.5</v>
      </c>
      <c r="G330">
        <f>43-SUM(Tableau1[[#This Row],[0_100m]:[100_200m]])</f>
        <v>14.3</v>
      </c>
      <c r="H330">
        <f>57.4-SUM(Tableau1[[#This Row],[0_100m]:[200_300m]])</f>
        <v>14.399999999999999</v>
      </c>
      <c r="I330">
        <f>71.4-SUM(Tableau1[[#This Row],[0_100m]:[300_400m]])</f>
        <v>14.000000000000007</v>
      </c>
      <c r="J330">
        <f>85.5-SUM(Tableau1[[#This Row],[0_100m]:[400_500m]])</f>
        <v>14.099999999999994</v>
      </c>
      <c r="K330">
        <f>99.6-SUM(Tableau1[[#This Row],[0_100m]:[500_600m]])</f>
        <v>14.099999999999994</v>
      </c>
      <c r="L330">
        <f>114-SUM(Tableau1[[#This Row],[0_100m]:[600_700m]])</f>
        <v>14.400000000000006</v>
      </c>
      <c r="M330">
        <f>128.9-SUM(Tableau1[[#This Row],[0_100m]:[700_800m]])</f>
        <v>14.900000000000006</v>
      </c>
      <c r="N330">
        <f>144.5-SUM(Tableau1[[#This Row],[0_100m]:[800_900m]])</f>
        <v>15.599999999999994</v>
      </c>
      <c r="O330">
        <f>160.9-SUM(Tableau1[[#This Row],[0_100m]:[900_1000m]])</f>
        <v>16.400000000000006</v>
      </c>
      <c r="P330">
        <f>178.6-SUM(Tableau1[[#This Row],[0_100m]:[1000_1100m]])</f>
        <v>17.699999999999989</v>
      </c>
      <c r="Q330">
        <f>196.9-SUM(Tableau1[[#This Row],[0_100m]:[1100_1200m]])</f>
        <v>18.300000000000011</v>
      </c>
      <c r="R330">
        <f>215.4-SUM(Tableau1[[#This Row],[0_100m]:[1200_1300m]])</f>
        <v>18.5</v>
      </c>
      <c r="S330">
        <f>Tableau1[[#This Row],[Final_time]]-SUM(Tableau1[[#This Row],[0_100m]:[1300_1400m]])</f>
        <v>18.269999999999982</v>
      </c>
      <c r="T330">
        <v>233.67</v>
      </c>
      <c r="U330">
        <f t="shared" si="10"/>
        <v>233.67</v>
      </c>
      <c r="V330">
        <f t="shared" si="11"/>
        <v>0</v>
      </c>
      <c r="W330" s="12"/>
      <c r="X330" t="str">
        <f>_xlfn.CONCAT(Tableau1[[#This Row],[Competition]],"_",Tableau1[[#This Row],[Championship_step]],"_",Tableau1[[#This Row],[Competition_date]],"_",Tableau1[[#This Row],[Gender]])</f>
        <v>Diamond League Lausanne 2022__44799_Male</v>
      </c>
      <c r="Y330" t="s">
        <v>306</v>
      </c>
      <c r="Z330" t="s">
        <v>43</v>
      </c>
      <c r="AB330" t="s">
        <v>65</v>
      </c>
      <c r="AC330" s="2">
        <v>44799</v>
      </c>
      <c r="AD330">
        <v>2022</v>
      </c>
      <c r="AE330">
        <v>22</v>
      </c>
      <c r="AF330" s="5">
        <v>0.56999999999999995</v>
      </c>
      <c r="AG330" s="3" t="s">
        <v>62</v>
      </c>
    </row>
    <row r="331" spans="1:34" hidden="1" x14ac:dyDescent="0.35">
      <c r="A331" t="str">
        <f>_xlfn.CONCAT(Tableau1[[#This Row],[Athletes]],"_",Tableau1[[#This Row],[Nationality]],"_",Tableau1[[#This Row],[Competition_year]])</f>
        <v>Jakob INGEBRIGTSEN_NOR_2023</v>
      </c>
      <c r="B331" s="7" t="s">
        <v>151</v>
      </c>
      <c r="C331" s="7" t="s">
        <v>16</v>
      </c>
      <c r="D331" s="7" t="s">
        <v>30</v>
      </c>
      <c r="E331" s="7">
        <v>13.7</v>
      </c>
      <c r="F331" s="7">
        <v>14.1</v>
      </c>
      <c r="G331" s="7">
        <v>14.3</v>
      </c>
      <c r="H331" s="7">
        <v>14.2</v>
      </c>
      <c r="I331" s="7">
        <v>13.8</v>
      </c>
      <c r="J331" s="7">
        <v>14</v>
      </c>
      <c r="K331" s="7">
        <v>14</v>
      </c>
      <c r="L331" s="7">
        <v>13.9</v>
      </c>
      <c r="M331" s="7">
        <v>13.8</v>
      </c>
      <c r="N331" s="7">
        <v>13.9</v>
      </c>
      <c r="O331" s="7">
        <v>14.3</v>
      </c>
      <c r="P331" s="7">
        <v>14.1</v>
      </c>
      <c r="Q331" s="7">
        <v>13.8</v>
      </c>
      <c r="R331" s="7">
        <v>13.5</v>
      </c>
      <c r="S331">
        <f>Tableau1[[#This Row],[Final_time]]-SUM(Tableau1[[#This Row],[0_100m]:[1300_1400m]])</f>
        <v>13.319999999999993</v>
      </c>
      <c r="T331" s="7">
        <v>208.72</v>
      </c>
      <c r="U331">
        <f t="shared" si="10"/>
        <v>208.72</v>
      </c>
      <c r="V331">
        <f t="shared" si="11"/>
        <v>0</v>
      </c>
      <c r="W331" s="12"/>
      <c r="X331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1" t="s">
        <v>274</v>
      </c>
      <c r="Z331" s="2" t="s">
        <v>43</v>
      </c>
      <c r="AA331" s="2"/>
      <c r="AB331" s="2" t="s">
        <v>65</v>
      </c>
      <c r="AC331" s="2">
        <v>45107</v>
      </c>
      <c r="AD331" s="3">
        <v>2023</v>
      </c>
      <c r="AE331" s="3">
        <v>17</v>
      </c>
      <c r="AF331" s="5">
        <v>0.78</v>
      </c>
      <c r="AG331" s="3" t="s">
        <v>94</v>
      </c>
      <c r="AH331" t="s">
        <v>268</v>
      </c>
    </row>
    <row r="332" spans="1:34" hidden="1" x14ac:dyDescent="0.35">
      <c r="A332" t="str">
        <f>_xlfn.CONCAT(Tableau1[[#This Row],[Athletes]],"_",Tableau1[[#This Row],[Nationality]],"_",Tableau1[[#This Row],[Competition_year]])</f>
        <v>Lamecha GIRMA_ETH_2023</v>
      </c>
      <c r="B332" s="7" t="s">
        <v>273</v>
      </c>
      <c r="C332" s="7" t="s">
        <v>16</v>
      </c>
      <c r="D332" s="7" t="s">
        <v>48</v>
      </c>
      <c r="E332" s="7">
        <v>14.1</v>
      </c>
      <c r="F332" s="7">
        <v>14.1</v>
      </c>
      <c r="G332" s="7">
        <v>14.3</v>
      </c>
      <c r="H332" s="7">
        <v>14.4</v>
      </c>
      <c r="I332" s="7">
        <v>13.8</v>
      </c>
      <c r="J332" s="7">
        <v>14.1</v>
      </c>
      <c r="K332" s="7">
        <v>14</v>
      </c>
      <c r="L332" s="7">
        <v>13.9</v>
      </c>
      <c r="M332" s="7">
        <v>13.7</v>
      </c>
      <c r="N332" s="7">
        <v>14</v>
      </c>
      <c r="O332" s="7">
        <v>14.1</v>
      </c>
      <c r="P332" s="7">
        <v>14.1</v>
      </c>
      <c r="Q332" s="7">
        <v>13.7</v>
      </c>
      <c r="R332" s="7">
        <v>13.6</v>
      </c>
      <c r="S332">
        <f>Tableau1[[#This Row],[Final_time]]-SUM(Tableau1[[#This Row],[0_100m]:[1300_1400m]])</f>
        <v>13.610000000000014</v>
      </c>
      <c r="T332" s="7">
        <v>209.51</v>
      </c>
      <c r="U332">
        <f t="shared" si="10"/>
        <v>209.51</v>
      </c>
      <c r="V332">
        <f t="shared" si="11"/>
        <v>0</v>
      </c>
      <c r="W332" s="12"/>
      <c r="X332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2" t="s">
        <v>274</v>
      </c>
      <c r="Z332" s="2" t="s">
        <v>43</v>
      </c>
      <c r="AA332" s="2"/>
      <c r="AB332" s="2" t="s">
        <v>65</v>
      </c>
      <c r="AC332" s="2">
        <v>45107</v>
      </c>
      <c r="AD332" s="3">
        <v>2023</v>
      </c>
      <c r="AE332" s="3">
        <v>17</v>
      </c>
      <c r="AF332" s="5">
        <v>0.78</v>
      </c>
      <c r="AG332" s="3" t="s">
        <v>94</v>
      </c>
      <c r="AH332" t="s">
        <v>268</v>
      </c>
    </row>
    <row r="333" spans="1:34" hidden="1" x14ac:dyDescent="0.35">
      <c r="A333" t="str">
        <f>_xlfn.CONCAT(Tableau1[[#This Row],[Athletes]],"_",Tableau1[[#This Row],[Nationality]],"_",Tableau1[[#This Row],[Competition_year]])</f>
        <v>Josh KERR_GBR_2023</v>
      </c>
      <c r="B333" s="7" t="s">
        <v>189</v>
      </c>
      <c r="C333" s="7" t="s">
        <v>16</v>
      </c>
      <c r="D333" s="7" t="s">
        <v>20</v>
      </c>
      <c r="E333" s="7">
        <v>13.6</v>
      </c>
      <c r="F333" s="7">
        <v>14.3</v>
      </c>
      <c r="G333" s="7">
        <v>14.4</v>
      </c>
      <c r="H333" s="7">
        <v>14.2</v>
      </c>
      <c r="I333" s="7">
        <v>13.8</v>
      </c>
      <c r="J333" s="7">
        <v>14.1</v>
      </c>
      <c r="K333" s="7">
        <v>14</v>
      </c>
      <c r="L333" s="7">
        <v>13.8</v>
      </c>
      <c r="M333" s="7">
        <v>13.8</v>
      </c>
      <c r="N333" s="7">
        <v>13.9</v>
      </c>
      <c r="O333" s="7">
        <v>14.3</v>
      </c>
      <c r="P333" s="7">
        <v>14.1</v>
      </c>
      <c r="Q333" s="7">
        <v>13.8</v>
      </c>
      <c r="R333" s="7">
        <v>13.6</v>
      </c>
      <c r="S333">
        <f>Tableau1[[#This Row],[Final_time]]-SUM(Tableau1[[#This Row],[0_100m]:[1300_1400m]])</f>
        <v>13.939999999999998</v>
      </c>
      <c r="T333" s="7">
        <v>209.64</v>
      </c>
      <c r="U333">
        <f t="shared" si="10"/>
        <v>209.64</v>
      </c>
      <c r="V333">
        <f t="shared" si="11"/>
        <v>0</v>
      </c>
      <c r="W333" s="12"/>
      <c r="X333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3" t="s">
        <v>274</v>
      </c>
      <c r="Z333" s="2" t="s">
        <v>43</v>
      </c>
      <c r="AA333" s="2"/>
      <c r="AB333" s="2" t="s">
        <v>65</v>
      </c>
      <c r="AC333" s="2">
        <v>45107</v>
      </c>
      <c r="AD333" s="3">
        <v>2023</v>
      </c>
      <c r="AE333" s="3">
        <v>17</v>
      </c>
      <c r="AF333" s="5">
        <v>0.78</v>
      </c>
      <c r="AG333" s="3" t="s">
        <v>94</v>
      </c>
      <c r="AH333" t="s">
        <v>268</v>
      </c>
    </row>
    <row r="334" spans="1:34" hidden="1" x14ac:dyDescent="0.35">
      <c r="A334" t="str">
        <f>_xlfn.CONCAT(Tableau1[[#This Row],[Athletes]],"_",Tableau1[[#This Row],[Nationality]],"_",Tableau1[[#This Row],[Competition_year]])</f>
        <v>Elliot GILES_GBR_2023</v>
      </c>
      <c r="B334" s="7" t="s">
        <v>231</v>
      </c>
      <c r="C334" s="7" t="s">
        <v>16</v>
      </c>
      <c r="D334" s="7" t="s">
        <v>20</v>
      </c>
      <c r="E334" s="7">
        <v>13.7</v>
      </c>
      <c r="F334" s="7">
        <v>14.4</v>
      </c>
      <c r="G334" s="7">
        <v>14.4</v>
      </c>
      <c r="H334" s="7">
        <v>14.3</v>
      </c>
      <c r="I334" s="7">
        <v>14</v>
      </c>
      <c r="J334" s="7">
        <v>14.1</v>
      </c>
      <c r="K334" s="7">
        <v>14</v>
      </c>
      <c r="L334" s="7">
        <v>14.1</v>
      </c>
      <c r="M334" s="7">
        <v>13.7</v>
      </c>
      <c r="N334" s="7">
        <v>14.1</v>
      </c>
      <c r="O334" s="7">
        <v>14.4</v>
      </c>
      <c r="P334" s="7">
        <v>14.3</v>
      </c>
      <c r="Q334" s="7">
        <v>13.9</v>
      </c>
      <c r="R334" s="7">
        <v>14.1</v>
      </c>
      <c r="S334">
        <f>Tableau1[[#This Row],[Final_time]]-SUM(Tableau1[[#This Row],[0_100m]:[1300_1400m]])</f>
        <v>14.060000000000002</v>
      </c>
      <c r="T334" s="7">
        <v>211.56</v>
      </c>
      <c r="U334">
        <f t="shared" si="10"/>
        <v>211.56</v>
      </c>
      <c r="V334">
        <f t="shared" si="11"/>
        <v>0</v>
      </c>
      <c r="W334" s="12"/>
      <c r="X334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4" t="s">
        <v>274</v>
      </c>
      <c r="Z334" s="2" t="s">
        <v>43</v>
      </c>
      <c r="AA334" s="2"/>
      <c r="AB334" s="2" t="s">
        <v>65</v>
      </c>
      <c r="AC334" s="2">
        <v>45107</v>
      </c>
      <c r="AD334" s="3">
        <v>2023</v>
      </c>
      <c r="AE334" s="3">
        <v>17</v>
      </c>
      <c r="AF334" s="5">
        <v>0.78</v>
      </c>
      <c r="AG334" s="3" t="s">
        <v>94</v>
      </c>
      <c r="AH334" t="s">
        <v>268</v>
      </c>
    </row>
    <row r="335" spans="1:34" hidden="1" x14ac:dyDescent="0.35">
      <c r="A335" t="str">
        <f>_xlfn.CONCAT(Tableau1[[#This Row],[Athletes]],"_",Tableau1[[#This Row],[Nationality]],"_",Tableau1[[#This Row],[Competition_year]])</f>
        <v>Tom ELMER_SUI_2023</v>
      </c>
      <c r="B335" s="7" t="s">
        <v>199</v>
      </c>
      <c r="C335" s="7" t="s">
        <v>16</v>
      </c>
      <c r="D335" s="7" t="s">
        <v>87</v>
      </c>
      <c r="E335" s="7">
        <v>14.2</v>
      </c>
      <c r="F335" s="7">
        <v>14.5</v>
      </c>
      <c r="G335" s="7">
        <v>14.5</v>
      </c>
      <c r="H335" s="7">
        <v>14.5</v>
      </c>
      <c r="I335" s="7">
        <v>14</v>
      </c>
      <c r="J335" s="7">
        <v>14.5</v>
      </c>
      <c r="K335" s="7">
        <v>14.2</v>
      </c>
      <c r="L335" s="7">
        <v>14.3</v>
      </c>
      <c r="M335" s="7">
        <v>14.3</v>
      </c>
      <c r="N335" s="7">
        <v>14.8</v>
      </c>
      <c r="O335" s="7">
        <v>14.6</v>
      </c>
      <c r="P335" s="7">
        <v>14.6</v>
      </c>
      <c r="Q335" s="7">
        <v>14.4</v>
      </c>
      <c r="R335" s="7">
        <v>14.7</v>
      </c>
      <c r="S335">
        <f>Tableau1[[#This Row],[Final_time]]-SUM(Tableau1[[#This Row],[0_100m]:[1300_1400m]])</f>
        <v>14.439999999999998</v>
      </c>
      <c r="T335" s="7">
        <v>216.54</v>
      </c>
      <c r="U335">
        <f t="shared" si="10"/>
        <v>216.54</v>
      </c>
      <c r="V335">
        <f t="shared" si="11"/>
        <v>0</v>
      </c>
      <c r="W335" s="12"/>
      <c r="X335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5" t="s">
        <v>274</v>
      </c>
      <c r="Z335" s="2" t="s">
        <v>43</v>
      </c>
      <c r="AA335" s="2"/>
      <c r="AB335" s="2" t="s">
        <v>65</v>
      </c>
      <c r="AC335" s="2">
        <v>45107</v>
      </c>
      <c r="AD335" s="3">
        <v>2023</v>
      </c>
      <c r="AE335" s="3">
        <v>17</v>
      </c>
      <c r="AF335" s="5">
        <v>0.78</v>
      </c>
      <c r="AG335" s="3" t="s">
        <v>94</v>
      </c>
      <c r="AH335" t="s">
        <v>268</v>
      </c>
    </row>
    <row r="336" spans="1:34" hidden="1" x14ac:dyDescent="0.35">
      <c r="A336" t="str">
        <f>_xlfn.CONCAT(Tableau1[[#This Row],[Athletes]],"_",Tableau1[[#This Row],[Nationality]],"_",Tableau1[[#This Row],[Competition_year]])</f>
        <v>Neil GOURLEY_GBR_2023</v>
      </c>
      <c r="B336" s="7" t="s">
        <v>202</v>
      </c>
      <c r="C336" s="7" t="s">
        <v>16</v>
      </c>
      <c r="D336" s="7" t="s">
        <v>20</v>
      </c>
      <c r="E336" s="7">
        <v>13.8</v>
      </c>
      <c r="F336" s="7">
        <v>14.5</v>
      </c>
      <c r="G336" s="7">
        <v>14.4</v>
      </c>
      <c r="H336" s="7">
        <v>14.3</v>
      </c>
      <c r="I336" s="7">
        <v>13.9</v>
      </c>
      <c r="J336" s="7">
        <v>14.2</v>
      </c>
      <c r="K336" s="7">
        <v>14.1</v>
      </c>
      <c r="L336" s="7">
        <v>14</v>
      </c>
      <c r="M336" s="7">
        <v>13.7</v>
      </c>
      <c r="N336" s="7">
        <v>14</v>
      </c>
      <c r="O336" s="7">
        <v>14.2</v>
      </c>
      <c r="P336" s="7">
        <v>14.3</v>
      </c>
      <c r="Q336" s="7">
        <v>14.2</v>
      </c>
      <c r="R336" s="7">
        <v>14.3</v>
      </c>
      <c r="S336">
        <f>Tableau1[[#This Row],[Final_time]]-SUM(Tableau1[[#This Row],[0_100m]:[1300_1400m]])</f>
        <v>14.72999999999999</v>
      </c>
      <c r="T336" s="7">
        <v>212.63</v>
      </c>
      <c r="U336">
        <f t="shared" si="10"/>
        <v>212.63</v>
      </c>
      <c r="V336">
        <f t="shared" si="11"/>
        <v>0</v>
      </c>
      <c r="W336" s="12"/>
      <c r="X336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6" t="s">
        <v>274</v>
      </c>
      <c r="Z336" s="2" t="s">
        <v>43</v>
      </c>
      <c r="AA336" s="2"/>
      <c r="AB336" s="2" t="s">
        <v>65</v>
      </c>
      <c r="AC336" s="2">
        <v>45107</v>
      </c>
      <c r="AD336" s="3">
        <v>2023</v>
      </c>
      <c r="AE336" s="3">
        <v>17</v>
      </c>
      <c r="AF336" s="5">
        <v>0.78</v>
      </c>
      <c r="AG336" s="3" t="s">
        <v>94</v>
      </c>
      <c r="AH336" t="s">
        <v>268</v>
      </c>
    </row>
    <row r="337" spans="1:34" hidden="1" x14ac:dyDescent="0.35">
      <c r="A337" t="str">
        <f>_xlfn.CONCAT(Tableau1[[#This Row],[Athletes]],"_",Tableau1[[#This Row],[Nationality]],"_",Tableau1[[#This Row],[Competition_year]])</f>
        <v>Samuel TANNER_NZL_2023</v>
      </c>
      <c r="B337" s="7" t="s">
        <v>203</v>
      </c>
      <c r="C337" s="7" t="s">
        <v>16</v>
      </c>
      <c r="D337" s="7" t="s">
        <v>118</v>
      </c>
      <c r="E337" s="7">
        <v>13.9</v>
      </c>
      <c r="F337" s="7">
        <v>14.5</v>
      </c>
      <c r="G337" s="7">
        <v>14.5</v>
      </c>
      <c r="H337" s="7">
        <v>14.4</v>
      </c>
      <c r="I337" s="7">
        <v>13.9</v>
      </c>
      <c r="J337" s="7">
        <v>14.1</v>
      </c>
      <c r="K337" s="7">
        <v>14.2</v>
      </c>
      <c r="L337" s="7">
        <v>14.1</v>
      </c>
      <c r="M337" s="7">
        <v>13.6</v>
      </c>
      <c r="N337" s="7">
        <v>14</v>
      </c>
      <c r="O337" s="7">
        <v>14.1</v>
      </c>
      <c r="P337" s="7">
        <v>13.9</v>
      </c>
      <c r="Q337" s="7">
        <v>13.9</v>
      </c>
      <c r="R337" s="7">
        <v>14.2</v>
      </c>
      <c r="S337">
        <f>Tableau1[[#This Row],[Final_time]]-SUM(Tableau1[[#This Row],[0_100m]:[1300_1400m]])</f>
        <v>14.970000000000027</v>
      </c>
      <c r="T337" s="7">
        <v>212.27</v>
      </c>
      <c r="U337">
        <f t="shared" si="10"/>
        <v>212.27</v>
      </c>
      <c r="V337">
        <f t="shared" si="11"/>
        <v>0</v>
      </c>
      <c r="W337" s="12"/>
      <c r="X337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7" t="s">
        <v>274</v>
      </c>
      <c r="Z337" s="2" t="s">
        <v>43</v>
      </c>
      <c r="AA337" s="2"/>
      <c r="AB337" s="2" t="s">
        <v>65</v>
      </c>
      <c r="AC337" s="2">
        <v>45107</v>
      </c>
      <c r="AD337" s="3">
        <v>2023</v>
      </c>
      <c r="AE337" s="3">
        <v>17</v>
      </c>
      <c r="AF337" s="5">
        <v>0.78</v>
      </c>
      <c r="AG337" s="3" t="s">
        <v>94</v>
      </c>
      <c r="AH337" t="s">
        <v>268</v>
      </c>
    </row>
    <row r="338" spans="1:34" hidden="1" x14ac:dyDescent="0.35">
      <c r="A338" t="str">
        <f>_xlfn.CONCAT(Tableau1[[#This Row],[Athletes]],"_",Tableau1[[#This Row],[Nationality]],"_",Tableau1[[#This Row],[Competition_year]])</f>
        <v>Teddese LEMI_ETH_2023</v>
      </c>
      <c r="B338" s="7" t="s">
        <v>210</v>
      </c>
      <c r="C338" s="7" t="s">
        <v>16</v>
      </c>
      <c r="D338" s="7" t="s">
        <v>48</v>
      </c>
      <c r="E338" s="7">
        <v>14.3</v>
      </c>
      <c r="F338" s="7">
        <v>14.2</v>
      </c>
      <c r="G338" s="7">
        <v>14.9</v>
      </c>
      <c r="H338" s="7">
        <v>14.3</v>
      </c>
      <c r="I338" s="7">
        <v>13.7</v>
      </c>
      <c r="J338" s="7">
        <v>14.2</v>
      </c>
      <c r="K338" s="7">
        <v>14.2</v>
      </c>
      <c r="L338" s="7">
        <v>14</v>
      </c>
      <c r="M338" s="7">
        <v>13.8</v>
      </c>
      <c r="N338" s="7">
        <v>14.3</v>
      </c>
      <c r="O338" s="7">
        <v>14.4</v>
      </c>
      <c r="P338" s="7">
        <v>14.2</v>
      </c>
      <c r="Q338" s="7">
        <v>13.9</v>
      </c>
      <c r="R338" s="7">
        <v>14.7</v>
      </c>
      <c r="S338">
        <f>Tableau1[[#This Row],[Final_time]]-SUM(Tableau1[[#This Row],[0_100m]:[1300_1400m]])</f>
        <v>15.110000000000014</v>
      </c>
      <c r="T338" s="7">
        <v>214.21</v>
      </c>
      <c r="U338">
        <f t="shared" si="10"/>
        <v>214.21</v>
      </c>
      <c r="V338">
        <f t="shared" si="11"/>
        <v>0</v>
      </c>
      <c r="W338" s="12"/>
      <c r="X338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8" t="s">
        <v>274</v>
      </c>
      <c r="Z338" s="2" t="s">
        <v>43</v>
      </c>
      <c r="AA338" s="2"/>
      <c r="AB338" s="2" t="s">
        <v>65</v>
      </c>
      <c r="AC338" s="2">
        <v>45107</v>
      </c>
      <c r="AD338" s="3">
        <v>2023</v>
      </c>
      <c r="AE338" s="3">
        <v>17</v>
      </c>
      <c r="AF338" s="5">
        <v>0.78</v>
      </c>
      <c r="AG338" s="3" t="s">
        <v>94</v>
      </c>
      <c r="AH338" t="s">
        <v>268</v>
      </c>
    </row>
    <row r="339" spans="1:34" hidden="1" x14ac:dyDescent="0.35">
      <c r="A339" t="str">
        <f>_xlfn.CONCAT(Tableau1[[#This Row],[Athletes]],"_",Tableau1[[#This Row],[Nationality]],"_",Tableau1[[#This Row],[Competition_year]])</f>
        <v>Pietro ARESE_ITA_2023</v>
      </c>
      <c r="B339" s="7" t="s">
        <v>216</v>
      </c>
      <c r="C339" s="7" t="s">
        <v>16</v>
      </c>
      <c r="D339" s="7" t="s">
        <v>19</v>
      </c>
      <c r="E339" s="7">
        <v>13.9</v>
      </c>
      <c r="F339" s="7">
        <v>14.4</v>
      </c>
      <c r="G339" s="7">
        <v>14.4</v>
      </c>
      <c r="H339" s="7">
        <v>14.5</v>
      </c>
      <c r="I339" s="7">
        <v>13.9</v>
      </c>
      <c r="J339" s="7">
        <v>14.2</v>
      </c>
      <c r="K339" s="7">
        <v>14.1</v>
      </c>
      <c r="L339" s="7">
        <v>14</v>
      </c>
      <c r="M339" s="7">
        <v>13.8</v>
      </c>
      <c r="N339" s="7">
        <v>14.3</v>
      </c>
      <c r="O339" s="7">
        <v>14.6</v>
      </c>
      <c r="P339" s="7">
        <v>14.8</v>
      </c>
      <c r="Q339" s="7">
        <v>14.8</v>
      </c>
      <c r="R339" s="7">
        <v>15.2</v>
      </c>
      <c r="S339">
        <f>Tableau1[[#This Row],[Final_time]]-SUM(Tableau1[[#This Row],[0_100m]:[1300_1400m]])</f>
        <v>15.199999999999989</v>
      </c>
      <c r="T339" s="7">
        <v>216.1</v>
      </c>
      <c r="U339">
        <f t="shared" si="10"/>
        <v>216.1</v>
      </c>
      <c r="V339">
        <f t="shared" si="11"/>
        <v>0</v>
      </c>
      <c r="W339" s="12"/>
      <c r="X339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39" t="s">
        <v>274</v>
      </c>
      <c r="Z339" s="2" t="s">
        <v>43</v>
      </c>
      <c r="AA339" s="2"/>
      <c r="AB339" s="2" t="s">
        <v>65</v>
      </c>
      <c r="AC339" s="2">
        <v>45107</v>
      </c>
      <c r="AD339" s="3">
        <v>2023</v>
      </c>
      <c r="AE339" s="3">
        <v>17</v>
      </c>
      <c r="AF339" s="5">
        <v>0.78</v>
      </c>
      <c r="AG339" s="3" t="s">
        <v>94</v>
      </c>
      <c r="AH339" t="s">
        <v>268</v>
      </c>
    </row>
    <row r="340" spans="1:34" hidden="1" x14ac:dyDescent="0.35">
      <c r="A340" t="str">
        <f>_xlfn.CONCAT(Tableau1[[#This Row],[Athletes]],"_",Tableau1[[#This Row],[Nationality]],"_",Tableau1[[#This Row],[Competition_year]])</f>
        <v>Stewart MCSWEYN_AUS_2023</v>
      </c>
      <c r="B340" s="7" t="s">
        <v>219</v>
      </c>
      <c r="C340" s="7" t="s">
        <v>16</v>
      </c>
      <c r="D340" s="7" t="s">
        <v>21</v>
      </c>
      <c r="E340" s="7">
        <v>14.1</v>
      </c>
      <c r="F340" s="7">
        <v>13.9</v>
      </c>
      <c r="G340" s="7">
        <v>14.5</v>
      </c>
      <c r="H340" s="7">
        <v>14.2</v>
      </c>
      <c r="I340" s="7">
        <v>13.8</v>
      </c>
      <c r="J340" s="7">
        <v>14.1</v>
      </c>
      <c r="K340" s="7">
        <v>14</v>
      </c>
      <c r="L340" s="7">
        <v>13.9</v>
      </c>
      <c r="M340" s="7">
        <v>13.7</v>
      </c>
      <c r="N340" s="7">
        <v>14</v>
      </c>
      <c r="O340" s="7">
        <v>14.2</v>
      </c>
      <c r="P340" s="7">
        <v>14.2</v>
      </c>
      <c r="Q340" s="7">
        <v>14.2</v>
      </c>
      <c r="R340" s="7">
        <v>14.7</v>
      </c>
      <c r="S340">
        <f>Tableau1[[#This Row],[Final_time]]-SUM(Tableau1[[#This Row],[0_100m]:[1300_1400m]])</f>
        <v>15.350000000000051</v>
      </c>
      <c r="T340" s="7">
        <v>212.85</v>
      </c>
      <c r="U340">
        <f t="shared" si="10"/>
        <v>212.85</v>
      </c>
      <c r="V340">
        <f t="shared" si="11"/>
        <v>0</v>
      </c>
      <c r="W340" s="12"/>
      <c r="X340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40" t="s">
        <v>274</v>
      </c>
      <c r="Z340" s="2" t="s">
        <v>43</v>
      </c>
      <c r="AA340" s="2"/>
      <c r="AB340" s="2" t="s">
        <v>65</v>
      </c>
      <c r="AC340" s="2">
        <v>45107</v>
      </c>
      <c r="AD340" s="3">
        <v>2023</v>
      </c>
      <c r="AE340" s="3">
        <v>17</v>
      </c>
      <c r="AF340" s="5">
        <v>0.78</v>
      </c>
      <c r="AG340" s="3" t="s">
        <v>94</v>
      </c>
      <c r="AH340" t="s">
        <v>268</v>
      </c>
    </row>
    <row r="341" spans="1:34" hidden="1" x14ac:dyDescent="0.35">
      <c r="A341" t="str">
        <f>_xlfn.CONCAT(Tableau1[[#This Row],[Athletes]],"_",Tableau1[[#This Row],[Nationality]],"_",Tableau1[[#This Row],[Competition_year]])</f>
        <v>Julian RANC_FRA_2023</v>
      </c>
      <c r="B341" s="7" t="s">
        <v>213</v>
      </c>
      <c r="C341" s="7" t="s">
        <v>16</v>
      </c>
      <c r="D341" s="7" t="s">
        <v>18</v>
      </c>
      <c r="E341" s="7">
        <v>14.1</v>
      </c>
      <c r="F341" s="7">
        <v>14.4</v>
      </c>
      <c r="G341" s="7">
        <v>14.5</v>
      </c>
      <c r="H341" s="7">
        <v>14.5</v>
      </c>
      <c r="I341" s="7">
        <v>14.1</v>
      </c>
      <c r="J341" s="7">
        <v>14.4</v>
      </c>
      <c r="K341" s="7">
        <v>14.2</v>
      </c>
      <c r="L341" s="7">
        <v>14.3</v>
      </c>
      <c r="M341" s="7">
        <v>14.3</v>
      </c>
      <c r="N341" s="7">
        <v>14.8</v>
      </c>
      <c r="O341" s="7">
        <v>15.1</v>
      </c>
      <c r="P341" s="7">
        <v>14.6</v>
      </c>
      <c r="Q341" s="7">
        <v>14.7</v>
      </c>
      <c r="R341" s="7">
        <v>15</v>
      </c>
      <c r="S341">
        <f>Tableau1[[#This Row],[Final_time]]-SUM(Tableau1[[#This Row],[0_100m]:[1300_1400m]])</f>
        <v>15.610000000000014</v>
      </c>
      <c r="T341" s="7">
        <v>218.61</v>
      </c>
      <c r="U341">
        <f t="shared" si="10"/>
        <v>218.61</v>
      </c>
      <c r="V341">
        <f t="shared" si="11"/>
        <v>0</v>
      </c>
      <c r="W341" s="12"/>
      <c r="X341" t="str">
        <f>_xlfn.CONCAT(Tableau1[[#This Row],[Competition]],"_",Tableau1[[#This Row],[Championship_step]],"_",Tableau1[[#This Row],[Competition_date]],"_",Tableau1[[#This Row],[Gender]])</f>
        <v>Diamond League Lausanne 2023__45107_Male</v>
      </c>
      <c r="Y341" t="s">
        <v>274</v>
      </c>
      <c r="Z341" s="2" t="s">
        <v>43</v>
      </c>
      <c r="AA341" s="2"/>
      <c r="AB341" s="2" t="s">
        <v>65</v>
      </c>
      <c r="AC341" s="2">
        <v>45107</v>
      </c>
      <c r="AD341" s="3">
        <v>2023</v>
      </c>
      <c r="AE341" s="3">
        <v>17</v>
      </c>
      <c r="AF341" s="5">
        <v>0.78</v>
      </c>
      <c r="AG341" s="3" t="s">
        <v>94</v>
      </c>
      <c r="AH341" t="s">
        <v>268</v>
      </c>
    </row>
    <row r="342" spans="1:34" hidden="1" x14ac:dyDescent="0.35">
      <c r="A342" t="str">
        <f>_xlfn.CONCAT(Tableau1[[#This Row],[Athletes]],"_",Tableau1[[#This Row],[Nationality]],"_",Tableau1[[#This Row],[Competition_year]])</f>
        <v>Elliot VERMEULEN_BEL_2024</v>
      </c>
      <c r="B342" t="s">
        <v>879</v>
      </c>
      <c r="C342" t="s">
        <v>16</v>
      </c>
      <c r="D342" t="s">
        <v>86</v>
      </c>
      <c r="E342">
        <v>15.3</v>
      </c>
      <c r="F342">
        <v>15.7</v>
      </c>
      <c r="G342">
        <v>15</v>
      </c>
      <c r="H342">
        <v>15</v>
      </c>
      <c r="I342">
        <v>14.5</v>
      </c>
      <c r="J342">
        <v>14.7</v>
      </c>
      <c r="K342">
        <v>15.1</v>
      </c>
      <c r="L342">
        <v>14.9</v>
      </c>
      <c r="M342">
        <v>15.2</v>
      </c>
      <c r="N342">
        <v>15.3</v>
      </c>
      <c r="O342">
        <v>15.4</v>
      </c>
      <c r="P342">
        <v>15.2</v>
      </c>
      <c r="Q342">
        <v>15</v>
      </c>
      <c r="R342">
        <v>15.6</v>
      </c>
      <c r="S342">
        <f>Tableau1[[#This Row],[Final_time]]-SUM(Tableau1[[#This Row],[0_100m]:[1300_1400m]])</f>
        <v>14.659999999999997</v>
      </c>
      <c r="T342">
        <v>226.56</v>
      </c>
      <c r="U342">
        <f t="shared" si="10"/>
        <v>226.56</v>
      </c>
      <c r="V342">
        <f t="shared" si="11"/>
        <v>0</v>
      </c>
      <c r="W342" s="12"/>
      <c r="X342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2" t="s">
        <v>88</v>
      </c>
      <c r="Z342" s="2" t="s">
        <v>43</v>
      </c>
      <c r="AA342" s="2"/>
      <c r="AB342" s="2" t="s">
        <v>44</v>
      </c>
      <c r="AC342" s="2">
        <v>45526</v>
      </c>
      <c r="AD342" s="3">
        <v>2024</v>
      </c>
      <c r="AE342" s="3">
        <v>24</v>
      </c>
      <c r="AF342" s="5">
        <v>0.49</v>
      </c>
      <c r="AG342" s="3" t="s">
        <v>71</v>
      </c>
      <c r="AH342" t="s">
        <v>89</v>
      </c>
    </row>
    <row r="343" spans="1:34" hidden="1" x14ac:dyDescent="0.35">
      <c r="A343" t="str">
        <f>_xlfn.CONCAT(Tableau1[[#This Row],[Athletes]],"_",Tableau1[[#This Row],[Nationality]],"_",Tableau1[[#This Row],[Competition_year]])</f>
        <v>Julien STALHANDSKE_SUI_2024</v>
      </c>
      <c r="B343" t="s">
        <v>1017</v>
      </c>
      <c r="C343" t="s">
        <v>16</v>
      </c>
      <c r="D343" t="s">
        <v>87</v>
      </c>
      <c r="E343">
        <v>15.3</v>
      </c>
      <c r="F343">
        <v>15.5</v>
      </c>
      <c r="G343">
        <v>14.8</v>
      </c>
      <c r="H343">
        <v>15</v>
      </c>
      <c r="I343">
        <v>15.1</v>
      </c>
      <c r="J343">
        <v>15.4</v>
      </c>
      <c r="K343">
        <v>15.5</v>
      </c>
      <c r="L343">
        <v>15.5</v>
      </c>
      <c r="M343">
        <v>15.5</v>
      </c>
      <c r="N343">
        <v>15.4</v>
      </c>
      <c r="O343">
        <v>15.5</v>
      </c>
      <c r="P343">
        <v>15.3</v>
      </c>
      <c r="Q343">
        <v>14.8</v>
      </c>
      <c r="R343">
        <v>14.8</v>
      </c>
      <c r="S343">
        <f>Tableau1[[#This Row],[Final_time]]-SUM(Tableau1[[#This Row],[0_100m]:[1300_1400m]])</f>
        <v>14.669999999999931</v>
      </c>
      <c r="T343">
        <v>228.07</v>
      </c>
      <c r="U343">
        <f t="shared" si="10"/>
        <v>228.07</v>
      </c>
      <c r="V343">
        <f t="shared" si="11"/>
        <v>0</v>
      </c>
      <c r="W343" s="12"/>
      <c r="X343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3" t="s">
        <v>88</v>
      </c>
      <c r="Z343" s="2" t="s">
        <v>43</v>
      </c>
      <c r="AA343" s="2"/>
      <c r="AB343" s="2" t="s">
        <v>44</v>
      </c>
      <c r="AC343" s="2">
        <v>45526</v>
      </c>
      <c r="AD343" s="3">
        <v>2024</v>
      </c>
      <c r="AE343" s="3">
        <v>24</v>
      </c>
      <c r="AF343" s="5">
        <v>0.49</v>
      </c>
      <c r="AG343" s="3" t="s">
        <v>71</v>
      </c>
      <c r="AH343" t="s">
        <v>89</v>
      </c>
    </row>
    <row r="344" spans="1:34" hidden="1" x14ac:dyDescent="0.35">
      <c r="A344" t="str">
        <f>_xlfn.CONCAT(Tableau1[[#This Row],[Athletes]],"_",Tableau1[[#This Row],[Nationality]],"_",Tableau1[[#This Row],[Competition_year]])</f>
        <v>Wondimu BUSSY_SUI_2024</v>
      </c>
      <c r="B344" t="s">
        <v>1309</v>
      </c>
      <c r="C344" t="s">
        <v>16</v>
      </c>
      <c r="D344" t="s">
        <v>87</v>
      </c>
      <c r="E344">
        <v>15.4</v>
      </c>
      <c r="F344">
        <v>15</v>
      </c>
      <c r="G344">
        <v>14.5</v>
      </c>
      <c r="H344">
        <v>14.8</v>
      </c>
      <c r="I344">
        <v>15.3</v>
      </c>
      <c r="J344">
        <v>15</v>
      </c>
      <c r="K344">
        <v>15.1</v>
      </c>
      <c r="L344">
        <v>14.8</v>
      </c>
      <c r="M344">
        <v>15.3</v>
      </c>
      <c r="N344">
        <v>15.2</v>
      </c>
      <c r="O344">
        <v>15.4</v>
      </c>
      <c r="P344">
        <v>15.4</v>
      </c>
      <c r="Q344">
        <v>15.4</v>
      </c>
      <c r="R344">
        <v>15.4</v>
      </c>
      <c r="S344">
        <f>Tableau1[[#This Row],[Final_time]]-SUM(Tableau1[[#This Row],[0_100m]:[1300_1400m]])</f>
        <v>14.840000000000003</v>
      </c>
      <c r="T344">
        <v>226.84</v>
      </c>
      <c r="U344">
        <f t="shared" si="10"/>
        <v>226.84</v>
      </c>
      <c r="V344">
        <f t="shared" si="11"/>
        <v>0</v>
      </c>
      <c r="W344" s="12"/>
      <c r="X344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4" t="s">
        <v>88</v>
      </c>
      <c r="Z344" s="2" t="s">
        <v>43</v>
      </c>
      <c r="AA344" s="2"/>
      <c r="AB344" s="2" t="s">
        <v>44</v>
      </c>
      <c r="AC344" s="2">
        <v>45526</v>
      </c>
      <c r="AD344" s="3">
        <v>2024</v>
      </c>
      <c r="AE344" s="3">
        <v>24</v>
      </c>
      <c r="AF344" s="5">
        <v>0.49</v>
      </c>
      <c r="AG344" s="3" t="s">
        <v>71</v>
      </c>
      <c r="AH344" t="s">
        <v>89</v>
      </c>
    </row>
    <row r="345" spans="1:34" hidden="1" x14ac:dyDescent="0.35">
      <c r="A345" t="str">
        <f>_xlfn.CONCAT(Tableau1[[#This Row],[Athletes]],"_",Tableau1[[#This Row],[Nationality]],"_",Tableau1[[#This Row],[Competition_year]])</f>
        <v>Arnaud MONNEY_SUI_2024</v>
      </c>
      <c r="B345" t="s">
        <v>765</v>
      </c>
      <c r="C345" t="s">
        <v>16</v>
      </c>
      <c r="D345" t="s">
        <v>87</v>
      </c>
      <c r="E345">
        <v>15.7</v>
      </c>
      <c r="F345">
        <v>15.5</v>
      </c>
      <c r="G345">
        <v>15.1</v>
      </c>
      <c r="H345">
        <v>15</v>
      </c>
      <c r="I345">
        <v>15.1</v>
      </c>
      <c r="J345">
        <v>15.7</v>
      </c>
      <c r="K345">
        <v>15.4</v>
      </c>
      <c r="L345">
        <v>15.3</v>
      </c>
      <c r="M345">
        <v>15.2</v>
      </c>
      <c r="N345">
        <v>15.4</v>
      </c>
      <c r="O345">
        <v>15.2</v>
      </c>
      <c r="P345">
        <v>15.2</v>
      </c>
      <c r="Q345">
        <v>15.1</v>
      </c>
      <c r="R345">
        <v>15.3</v>
      </c>
      <c r="S345">
        <f>Tableau1[[#This Row],[Final_time]]-SUM(Tableau1[[#This Row],[0_100m]:[1300_1400m]])</f>
        <v>15.340000000000003</v>
      </c>
      <c r="T345">
        <v>229.54</v>
      </c>
      <c r="U345">
        <f t="shared" si="10"/>
        <v>229.54</v>
      </c>
      <c r="V345">
        <f t="shared" si="11"/>
        <v>0</v>
      </c>
      <c r="W345" s="12"/>
      <c r="X345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5" t="s">
        <v>88</v>
      </c>
      <c r="Z345" s="2" t="s">
        <v>43</v>
      </c>
      <c r="AA345" s="2"/>
      <c r="AB345" s="2" t="s">
        <v>44</v>
      </c>
      <c r="AC345" s="2">
        <v>45526</v>
      </c>
      <c r="AD345" s="3">
        <v>2024</v>
      </c>
      <c r="AE345" s="3">
        <v>24</v>
      </c>
      <c r="AF345" s="5">
        <v>0.49</v>
      </c>
      <c r="AG345" s="3" t="s">
        <v>71</v>
      </c>
      <c r="AH345" t="s">
        <v>89</v>
      </c>
    </row>
    <row r="346" spans="1:34" hidden="1" x14ac:dyDescent="0.35">
      <c r="A346" t="str">
        <f>_xlfn.CONCAT(Tableau1[[#This Row],[Athletes]],"_",Tableau1[[#This Row],[Nationality]],"_",Tableau1[[#This Row],[Competition_year]])</f>
        <v>Léo LÄDERMANN_SUI_2024</v>
      </c>
      <c r="B346" t="s">
        <v>1057</v>
      </c>
      <c r="C346" t="s">
        <v>16</v>
      </c>
      <c r="D346" t="s">
        <v>87</v>
      </c>
      <c r="E346">
        <v>15.1</v>
      </c>
      <c r="F346">
        <v>15.5</v>
      </c>
      <c r="G346">
        <v>14.8</v>
      </c>
      <c r="H346">
        <v>15</v>
      </c>
      <c r="I346">
        <v>15.1</v>
      </c>
      <c r="J346">
        <v>15.3</v>
      </c>
      <c r="K346">
        <v>15.1</v>
      </c>
      <c r="L346">
        <v>15.2</v>
      </c>
      <c r="M346">
        <v>15.1</v>
      </c>
      <c r="N346">
        <v>15.4</v>
      </c>
      <c r="O346">
        <v>15.4</v>
      </c>
      <c r="P346">
        <v>15.4</v>
      </c>
      <c r="Q346">
        <v>15.6</v>
      </c>
      <c r="R346">
        <v>16</v>
      </c>
      <c r="S346">
        <f>Tableau1[[#This Row],[Final_time]]-SUM(Tableau1[[#This Row],[0_100m]:[1300_1400m]])</f>
        <v>15.550000000000011</v>
      </c>
      <c r="T346">
        <v>229.55</v>
      </c>
      <c r="U346">
        <f t="shared" si="10"/>
        <v>229.55</v>
      </c>
      <c r="V346">
        <f t="shared" si="11"/>
        <v>0</v>
      </c>
      <c r="W346" s="12"/>
      <c r="X346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6" t="s">
        <v>88</v>
      </c>
      <c r="Z346" s="2" t="s">
        <v>43</v>
      </c>
      <c r="AA346" s="2"/>
      <c r="AB346" s="2" t="s">
        <v>44</v>
      </c>
      <c r="AC346" s="2">
        <v>45526</v>
      </c>
      <c r="AD346" s="3">
        <v>2024</v>
      </c>
      <c r="AE346" s="3">
        <v>24</v>
      </c>
      <c r="AF346" s="5">
        <v>0.49</v>
      </c>
      <c r="AG346" s="3" t="s">
        <v>71</v>
      </c>
      <c r="AH346" t="s">
        <v>89</v>
      </c>
    </row>
    <row r="347" spans="1:34" hidden="1" x14ac:dyDescent="0.35">
      <c r="A347" t="str">
        <f>_xlfn.CONCAT(Tableau1[[#This Row],[Athletes]],"_",Tableau1[[#This Row],[Nationality]],"_",Tableau1[[#This Row],[Competition_year]])</f>
        <v>Tobias BONTORNO_SUI_2024</v>
      </c>
      <c r="B347" t="s">
        <v>1279</v>
      </c>
      <c r="C347" t="s">
        <v>16</v>
      </c>
      <c r="D347" t="s">
        <v>87</v>
      </c>
      <c r="E347">
        <v>15.5</v>
      </c>
      <c r="F347">
        <v>16</v>
      </c>
      <c r="G347">
        <v>15</v>
      </c>
      <c r="H347">
        <v>15.1</v>
      </c>
      <c r="I347">
        <v>15.1</v>
      </c>
      <c r="J347">
        <v>15.2</v>
      </c>
      <c r="K347">
        <v>15.4</v>
      </c>
      <c r="L347">
        <v>15.3</v>
      </c>
      <c r="M347">
        <v>15.2</v>
      </c>
      <c r="N347">
        <v>15.4</v>
      </c>
      <c r="O347">
        <v>15.1</v>
      </c>
      <c r="P347">
        <v>15.3</v>
      </c>
      <c r="Q347">
        <v>15.5</v>
      </c>
      <c r="R347">
        <v>15.5</v>
      </c>
      <c r="S347">
        <f>Tableau1[[#This Row],[Final_time]]-SUM(Tableau1[[#This Row],[0_100m]:[1300_1400m]])</f>
        <v>15.599999999999966</v>
      </c>
      <c r="T347">
        <v>230.2</v>
      </c>
      <c r="U347">
        <f t="shared" si="10"/>
        <v>230.2</v>
      </c>
      <c r="V347">
        <f t="shared" si="11"/>
        <v>0</v>
      </c>
      <c r="W347" s="12"/>
      <c r="X347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7" t="s">
        <v>88</v>
      </c>
      <c r="Z347" s="2" t="s">
        <v>43</v>
      </c>
      <c r="AA347" s="2"/>
      <c r="AB347" s="2" t="s">
        <v>44</v>
      </c>
      <c r="AC347" s="2">
        <v>45526</v>
      </c>
      <c r="AD347" s="3">
        <v>2024</v>
      </c>
      <c r="AE347" s="3">
        <v>24</v>
      </c>
      <c r="AF347" s="5">
        <v>0.49</v>
      </c>
      <c r="AG347" s="3" t="s">
        <v>71</v>
      </c>
      <c r="AH347" t="s">
        <v>89</v>
      </c>
    </row>
    <row r="348" spans="1:34" hidden="1" x14ac:dyDescent="0.35">
      <c r="A348" t="str">
        <f>_xlfn.CONCAT(Tableau1[[#This Row],[Athletes]],"_",Tableau1[[#This Row],[Nationality]],"_",Tableau1[[#This Row],[Competition_year]])</f>
        <v>Diego KLOPFENSTEIN_SUI_2024</v>
      </c>
      <c r="B348" t="s">
        <v>620</v>
      </c>
      <c r="C348" t="s">
        <v>16</v>
      </c>
      <c r="D348" t="s">
        <v>87</v>
      </c>
      <c r="E348">
        <v>15.7</v>
      </c>
      <c r="F348">
        <v>16</v>
      </c>
      <c r="G348">
        <v>15</v>
      </c>
      <c r="H348">
        <v>15.1</v>
      </c>
      <c r="I348">
        <v>15.1</v>
      </c>
      <c r="J348">
        <v>15.2</v>
      </c>
      <c r="K348">
        <v>15</v>
      </c>
      <c r="L348">
        <v>15.2</v>
      </c>
      <c r="M348">
        <v>15</v>
      </c>
      <c r="N348">
        <v>15.1</v>
      </c>
      <c r="O348">
        <v>15</v>
      </c>
      <c r="P348">
        <v>15.2</v>
      </c>
      <c r="Q348">
        <v>15</v>
      </c>
      <c r="R348">
        <v>15.6</v>
      </c>
      <c r="S348">
        <f>Tableau1[[#This Row],[Final_time]]-SUM(Tableau1[[#This Row],[0_100m]:[1300_1400m]])</f>
        <v>15.79000000000002</v>
      </c>
      <c r="T348">
        <v>228.99</v>
      </c>
      <c r="U348">
        <f t="shared" si="10"/>
        <v>228.99</v>
      </c>
      <c r="V348">
        <f t="shared" si="11"/>
        <v>0</v>
      </c>
      <c r="W348" s="12"/>
      <c r="X348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8" t="s">
        <v>88</v>
      </c>
      <c r="Z348" s="2" t="s">
        <v>43</v>
      </c>
      <c r="AA348" s="2"/>
      <c r="AB348" s="2" t="s">
        <v>44</v>
      </c>
      <c r="AC348" s="2">
        <v>45526</v>
      </c>
      <c r="AD348" s="3">
        <v>2024</v>
      </c>
      <c r="AE348" s="3">
        <v>24</v>
      </c>
      <c r="AF348" s="5">
        <v>0.49</v>
      </c>
      <c r="AG348" s="3" t="s">
        <v>71</v>
      </c>
      <c r="AH348" t="s">
        <v>89</v>
      </c>
    </row>
    <row r="349" spans="1:34" hidden="1" x14ac:dyDescent="0.35">
      <c r="A349" t="str">
        <f>_xlfn.CONCAT(Tableau1[[#This Row],[Athletes]],"_",Tableau1[[#This Row],[Nationality]],"_",Tableau1[[#This Row],[Competition_year]])</f>
        <v>Paul MCINTYRE_SUI_2024</v>
      </c>
      <c r="B349" t="s">
        <v>1172</v>
      </c>
      <c r="C349" t="s">
        <v>16</v>
      </c>
      <c r="D349" t="s">
        <v>87</v>
      </c>
      <c r="E349">
        <v>14.9</v>
      </c>
      <c r="F349">
        <v>14.9</v>
      </c>
      <c r="G349">
        <v>14.6</v>
      </c>
      <c r="H349">
        <v>15</v>
      </c>
      <c r="I349">
        <v>15.3</v>
      </c>
      <c r="J349">
        <v>15</v>
      </c>
      <c r="K349">
        <v>15.1</v>
      </c>
      <c r="L349">
        <v>14.8</v>
      </c>
      <c r="M349">
        <v>15.3</v>
      </c>
      <c r="N349">
        <v>15.2</v>
      </c>
      <c r="O349">
        <v>15.5</v>
      </c>
      <c r="P349">
        <v>15.4</v>
      </c>
      <c r="Q349">
        <v>15.8</v>
      </c>
      <c r="R349">
        <v>16</v>
      </c>
      <c r="S349">
        <f>Tableau1[[#This Row],[Final_time]]-SUM(Tableau1[[#This Row],[0_100m]:[1300_1400m]])</f>
        <v>15.909999999999997</v>
      </c>
      <c r="T349">
        <v>228.71</v>
      </c>
      <c r="U349">
        <f t="shared" si="10"/>
        <v>228.71</v>
      </c>
      <c r="V349">
        <f t="shared" si="11"/>
        <v>0</v>
      </c>
      <c r="W349" s="12"/>
      <c r="X349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49" t="s">
        <v>88</v>
      </c>
      <c r="Z349" s="2" t="s">
        <v>43</v>
      </c>
      <c r="AA349" s="2"/>
      <c r="AB349" s="2" t="s">
        <v>44</v>
      </c>
      <c r="AC349" s="2">
        <v>45526</v>
      </c>
      <c r="AD349" s="3">
        <v>2024</v>
      </c>
      <c r="AE349" s="3">
        <v>24</v>
      </c>
      <c r="AF349" s="5">
        <v>0.49</v>
      </c>
      <c r="AG349" s="3" t="s">
        <v>71</v>
      </c>
      <c r="AH349" t="s">
        <v>89</v>
      </c>
    </row>
    <row r="350" spans="1:34" hidden="1" x14ac:dyDescent="0.35">
      <c r="A350" t="str">
        <f>_xlfn.CONCAT(Tableau1[[#This Row],[Athletes]],"_",Tableau1[[#This Row],[Nationality]],"_",Tableau1[[#This Row],[Competition_year]])</f>
        <v>Anton BROGGINI_SUI_2024</v>
      </c>
      <c r="B350" t="s">
        <v>762</v>
      </c>
      <c r="C350" t="s">
        <v>16</v>
      </c>
      <c r="D350" t="s">
        <v>87</v>
      </c>
      <c r="E350">
        <v>15.6</v>
      </c>
      <c r="F350">
        <v>16</v>
      </c>
      <c r="G350">
        <v>15.1</v>
      </c>
      <c r="H350">
        <v>15</v>
      </c>
      <c r="I350">
        <v>15</v>
      </c>
      <c r="J350">
        <v>15.5</v>
      </c>
      <c r="K350">
        <v>15.3</v>
      </c>
      <c r="L350">
        <v>15.5</v>
      </c>
      <c r="M350">
        <v>15.4</v>
      </c>
      <c r="N350">
        <v>15.5</v>
      </c>
      <c r="O350">
        <v>16.3</v>
      </c>
      <c r="P350">
        <v>17</v>
      </c>
      <c r="Q350">
        <v>17.399999999999999</v>
      </c>
      <c r="R350">
        <v>16.8</v>
      </c>
      <c r="S350">
        <f>Tableau1[[#This Row],[Final_time]]-SUM(Tableau1[[#This Row],[0_100m]:[1300_1400m]])</f>
        <v>16.639999999999958</v>
      </c>
      <c r="T350">
        <v>238.04</v>
      </c>
      <c r="U350">
        <f t="shared" si="10"/>
        <v>238.04</v>
      </c>
      <c r="V350">
        <f t="shared" si="11"/>
        <v>0</v>
      </c>
      <c r="W350" s="12"/>
      <c r="X350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50" t="s">
        <v>88</v>
      </c>
      <c r="Z350" s="2" t="s">
        <v>43</v>
      </c>
      <c r="AA350" s="2"/>
      <c r="AB350" s="2" t="s">
        <v>44</v>
      </c>
      <c r="AC350" s="2">
        <v>45526</v>
      </c>
      <c r="AD350" s="3">
        <v>2024</v>
      </c>
      <c r="AE350" s="3">
        <v>24</v>
      </c>
      <c r="AF350" s="5">
        <v>0.49</v>
      </c>
      <c r="AG350" s="3" t="s">
        <v>71</v>
      </c>
      <c r="AH350" t="s">
        <v>89</v>
      </c>
    </row>
    <row r="351" spans="1:34" hidden="1" x14ac:dyDescent="0.35">
      <c r="A351" t="str">
        <f>_xlfn.CONCAT(Tableau1[[#This Row],[Athletes]],"_",Tableau1[[#This Row],[Nationality]],"_",Tableau1[[#This Row],[Competition_year]])</f>
        <v>Thomas GMÜR_SUI_2024</v>
      </c>
      <c r="B351" t="s">
        <v>1273</v>
      </c>
      <c r="C351" t="s">
        <v>16</v>
      </c>
      <c r="D351" t="s">
        <v>87</v>
      </c>
      <c r="E351">
        <v>15.1</v>
      </c>
      <c r="F351">
        <v>15</v>
      </c>
      <c r="G351">
        <v>14.7</v>
      </c>
      <c r="H351">
        <v>15.2</v>
      </c>
      <c r="I351">
        <v>15.3</v>
      </c>
      <c r="J351">
        <v>15.3</v>
      </c>
      <c r="K351">
        <v>15.7</v>
      </c>
      <c r="L351">
        <v>15.6</v>
      </c>
      <c r="M351">
        <v>15.5</v>
      </c>
      <c r="N351">
        <v>15.9</v>
      </c>
      <c r="O351">
        <v>15.6</v>
      </c>
      <c r="P351">
        <v>15.2</v>
      </c>
      <c r="Q351">
        <v>15</v>
      </c>
      <c r="R351">
        <v>15.4</v>
      </c>
      <c r="S351">
        <f>Tableau1[[#This Row],[Final_time]]-SUM(Tableau1[[#This Row],[0_100m]:[1300_1400m]])</f>
        <v>16.710000000000036</v>
      </c>
      <c r="T351">
        <v>231.21</v>
      </c>
      <c r="U351">
        <f t="shared" si="10"/>
        <v>231.21</v>
      </c>
      <c r="V351">
        <f t="shared" si="11"/>
        <v>0</v>
      </c>
      <c r="W351" s="12"/>
      <c r="X351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51" t="s">
        <v>88</v>
      </c>
      <c r="Z351" s="2" t="s">
        <v>43</v>
      </c>
      <c r="AA351" s="2"/>
      <c r="AB351" s="2" t="s">
        <v>44</v>
      </c>
      <c r="AC351" s="2">
        <v>45526</v>
      </c>
      <c r="AD351" s="3">
        <v>2024</v>
      </c>
      <c r="AE351" s="3">
        <v>24</v>
      </c>
      <c r="AF351" s="5">
        <v>0.49</v>
      </c>
      <c r="AG351" s="3" t="s">
        <v>71</v>
      </c>
      <c r="AH351" t="s">
        <v>89</v>
      </c>
    </row>
    <row r="352" spans="1:34" hidden="1" x14ac:dyDescent="0.35">
      <c r="A352" t="str">
        <f>_xlfn.CONCAT(Tableau1[[#This Row],[Athletes]],"_",Tableau1[[#This Row],[Nationality]],"_",Tableau1[[#This Row],[Competition_year]])</f>
        <v>Andy COENDET_SUI_2024</v>
      </c>
      <c r="B352" t="s">
        <v>754</v>
      </c>
      <c r="C352" t="s">
        <v>16</v>
      </c>
      <c r="D352" t="s">
        <v>87</v>
      </c>
      <c r="E352">
        <v>15.9</v>
      </c>
      <c r="F352">
        <v>16</v>
      </c>
      <c r="G352">
        <v>15</v>
      </c>
      <c r="H352">
        <v>15.1</v>
      </c>
      <c r="I352">
        <v>15.1</v>
      </c>
      <c r="J352">
        <v>15.3</v>
      </c>
      <c r="K352">
        <v>15.4</v>
      </c>
      <c r="L352">
        <v>15.4</v>
      </c>
      <c r="M352">
        <v>15.6</v>
      </c>
      <c r="N352">
        <v>15.7</v>
      </c>
      <c r="O352">
        <v>16.399999999999999</v>
      </c>
      <c r="P352">
        <v>16.8</v>
      </c>
      <c r="Q352">
        <v>16.7</v>
      </c>
      <c r="R352">
        <v>17.3</v>
      </c>
      <c r="S352">
        <f>Tableau1[[#This Row],[Final_time]]-SUM(Tableau1[[#This Row],[0_100m]:[1300_1400m]])</f>
        <v>17.539999999999992</v>
      </c>
      <c r="T352">
        <v>239.24</v>
      </c>
      <c r="U352">
        <f t="shared" si="10"/>
        <v>239.24</v>
      </c>
      <c r="V352">
        <f t="shared" si="11"/>
        <v>0</v>
      </c>
      <c r="W352" s="12"/>
      <c r="X352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52" t="s">
        <v>88</v>
      </c>
      <c r="Z352" s="2" t="s">
        <v>43</v>
      </c>
      <c r="AA352" s="2"/>
      <c r="AB352" s="2" t="s">
        <v>44</v>
      </c>
      <c r="AC352" s="2">
        <v>45526</v>
      </c>
      <c r="AD352" s="3">
        <v>2024</v>
      </c>
      <c r="AE352" s="3">
        <v>24</v>
      </c>
      <c r="AF352" s="5">
        <v>0.49</v>
      </c>
      <c r="AG352" s="3" t="s">
        <v>71</v>
      </c>
      <c r="AH352" t="s">
        <v>89</v>
      </c>
    </row>
    <row r="353" spans="1:34" hidden="1" x14ac:dyDescent="0.35">
      <c r="A353" t="str">
        <f>_xlfn.CONCAT(Tableau1[[#This Row],[Athletes]],"_",Tableau1[[#This Row],[Nationality]],"_",Tableau1[[#This Row],[Competition_year]])</f>
        <v>Aidan TOOKER_USA_2024</v>
      </c>
      <c r="B353" t="s">
        <v>726</v>
      </c>
      <c r="C353" t="s">
        <v>16</v>
      </c>
      <c r="D353" t="s">
        <v>51</v>
      </c>
      <c r="E353">
        <v>14.7</v>
      </c>
      <c r="F353">
        <v>14.9</v>
      </c>
      <c r="G353">
        <v>14.5</v>
      </c>
      <c r="H353">
        <v>15.1</v>
      </c>
      <c r="I353">
        <v>15.2</v>
      </c>
      <c r="J353">
        <v>15.1</v>
      </c>
      <c r="K353">
        <v>15</v>
      </c>
      <c r="L353">
        <v>14.9</v>
      </c>
      <c r="M353">
        <v>15.2</v>
      </c>
      <c r="N353">
        <v>15.2</v>
      </c>
      <c r="O353">
        <v>15.4</v>
      </c>
      <c r="P353">
        <v>15.1</v>
      </c>
      <c r="Q353">
        <v>15.9</v>
      </c>
      <c r="R353">
        <v>16.5</v>
      </c>
      <c r="S353">
        <f>Tableau1[[#This Row],[Final_time]]-SUM(Tableau1[[#This Row],[0_100m]:[1300_1400m]])</f>
        <v>17.54000000000002</v>
      </c>
      <c r="T353">
        <v>230.24</v>
      </c>
      <c r="U353">
        <f t="shared" si="10"/>
        <v>230.24</v>
      </c>
      <c r="V353">
        <f t="shared" si="11"/>
        <v>0</v>
      </c>
      <c r="W353" s="12"/>
      <c r="X353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53" t="s">
        <v>88</v>
      </c>
      <c r="Z353" s="2" t="s">
        <v>43</v>
      </c>
      <c r="AA353" s="2"/>
      <c r="AB353" s="2" t="s">
        <v>44</v>
      </c>
      <c r="AC353" s="2">
        <v>45526</v>
      </c>
      <c r="AD353" s="3">
        <v>2024</v>
      </c>
      <c r="AE353" s="3">
        <v>24</v>
      </c>
      <c r="AF353" s="5">
        <v>0.49</v>
      </c>
      <c r="AG353" s="3" t="s">
        <v>71</v>
      </c>
      <c r="AH353" t="s">
        <v>89</v>
      </c>
    </row>
    <row r="354" spans="1:34" hidden="1" x14ac:dyDescent="0.35">
      <c r="A354" t="str">
        <f>_xlfn.CONCAT(Tableau1[[#This Row],[Athletes]],"_",Tableau1[[#This Row],[Nationality]],"_",Tableau1[[#This Row],[Competition_year]])</f>
        <v>Jonathan RUCHTI_SUI_2024</v>
      </c>
      <c r="B354" t="s">
        <v>1006</v>
      </c>
      <c r="C354" t="s">
        <v>16</v>
      </c>
      <c r="D354" t="s">
        <v>87</v>
      </c>
      <c r="E354">
        <v>15.5</v>
      </c>
      <c r="F354">
        <v>15.5</v>
      </c>
      <c r="G354">
        <v>14.9</v>
      </c>
      <c r="H354">
        <v>15</v>
      </c>
      <c r="I354">
        <v>15</v>
      </c>
      <c r="J354">
        <v>15.2</v>
      </c>
      <c r="K354">
        <v>15.1</v>
      </c>
      <c r="L354">
        <v>15.2</v>
      </c>
      <c r="M354">
        <v>15.5</v>
      </c>
      <c r="N354">
        <v>16.2</v>
      </c>
      <c r="O354">
        <v>16.899999999999999</v>
      </c>
      <c r="P354">
        <v>18.5</v>
      </c>
      <c r="Q354">
        <v>17.899999999999999</v>
      </c>
      <c r="R354">
        <v>17.8</v>
      </c>
      <c r="S354">
        <f>Tableau1[[#This Row],[Final_time]]-SUM(Tableau1[[#This Row],[0_100m]:[1300_1400m]])</f>
        <v>17.989999999999981</v>
      </c>
      <c r="T354">
        <v>242.19</v>
      </c>
      <c r="U354">
        <f t="shared" si="10"/>
        <v>242.19</v>
      </c>
      <c r="V354">
        <f t="shared" si="11"/>
        <v>0</v>
      </c>
      <c r="W354" s="12"/>
      <c r="X354" t="str">
        <f>_xlfn.CONCAT(Tableau1[[#This Row],[Competition]],"_",Tableau1[[#This Row],[Championship_step]],"_",Tableau1[[#This Row],[Competition_date]],"_",Tableau1[[#This Row],[Gender]])</f>
        <v>Diamond League Lausanne 2024 - B race__45526_Male</v>
      </c>
      <c r="Y354" t="s">
        <v>88</v>
      </c>
      <c r="Z354" s="2" t="s">
        <v>43</v>
      </c>
      <c r="AA354" s="2"/>
      <c r="AB354" s="2" t="s">
        <v>44</v>
      </c>
      <c r="AC354" s="2">
        <v>45526</v>
      </c>
      <c r="AD354" s="3">
        <v>2024</v>
      </c>
      <c r="AE354" s="3">
        <v>24</v>
      </c>
      <c r="AF354" s="5">
        <v>0.49</v>
      </c>
      <c r="AG354" s="3" t="s">
        <v>71</v>
      </c>
      <c r="AH354" t="s">
        <v>89</v>
      </c>
    </row>
    <row r="355" spans="1:34" hidden="1" x14ac:dyDescent="0.35">
      <c r="A355" t="str">
        <f>_xlfn.CONCAT(Tableau1[[#This Row],[Athletes]],"_",Tableau1[[#This Row],[Nationality]],"_",Tableau1[[#This Row],[Competition_year]])</f>
        <v>Reynold CHERUIYOT_KEN_2024</v>
      </c>
      <c r="B355" t="s">
        <v>1192</v>
      </c>
      <c r="C355" t="s">
        <v>16</v>
      </c>
      <c r="D355" t="s">
        <v>17</v>
      </c>
      <c r="E355">
        <v>14.5</v>
      </c>
      <c r="F355">
        <v>15.1</v>
      </c>
      <c r="G355">
        <v>14.6</v>
      </c>
      <c r="H355">
        <v>13.9</v>
      </c>
      <c r="I355">
        <v>13.8</v>
      </c>
      <c r="J355">
        <v>14</v>
      </c>
      <c r="K355">
        <v>13.7</v>
      </c>
      <c r="L355">
        <v>14</v>
      </c>
      <c r="M355">
        <v>13.9</v>
      </c>
      <c r="N355">
        <v>14.3</v>
      </c>
      <c r="O355">
        <v>14.1</v>
      </c>
      <c r="P355">
        <v>14.3</v>
      </c>
      <c r="Q355">
        <v>13.9</v>
      </c>
      <c r="R355">
        <v>13.8</v>
      </c>
      <c r="S355">
        <f>Tableau1[[#This Row],[Final_time]]-SUM(Tableau1[[#This Row],[0_100m]:[1300_1400m]])</f>
        <v>12.979999999999961</v>
      </c>
      <c r="T355">
        <v>210.88</v>
      </c>
      <c r="U355">
        <f t="shared" si="10"/>
        <v>210.88</v>
      </c>
      <c r="V355">
        <f t="shared" si="11"/>
        <v>0</v>
      </c>
      <c r="W355" s="12"/>
      <c r="X355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55" t="s">
        <v>84</v>
      </c>
      <c r="Z355" s="2" t="s">
        <v>43</v>
      </c>
      <c r="AA355" s="2"/>
      <c r="AB355" s="2" t="s">
        <v>65</v>
      </c>
      <c r="AC355" s="2">
        <v>45526</v>
      </c>
      <c r="AD355" s="3">
        <v>2024</v>
      </c>
      <c r="AE355" s="3">
        <v>23</v>
      </c>
      <c r="AF355" s="5">
        <v>0.56000000000000005</v>
      </c>
      <c r="AG355" s="3" t="s">
        <v>71</v>
      </c>
      <c r="AH355" t="s">
        <v>85</v>
      </c>
    </row>
    <row r="356" spans="1:34" hidden="1" x14ac:dyDescent="0.35">
      <c r="A356" t="str">
        <f>_xlfn.CONCAT(Tableau1[[#This Row],[Athletes]],"_",Tableau1[[#This Row],[Nationality]],"_",Tableau1[[#This Row],[Competition_year]])</f>
        <v>Jakob INGEBRIGTSEN_NOR_2024</v>
      </c>
      <c r="B356" t="s">
        <v>151</v>
      </c>
      <c r="C356" t="s">
        <v>16</v>
      </c>
      <c r="D356" t="s">
        <v>30</v>
      </c>
      <c r="E356">
        <v>13.9</v>
      </c>
      <c r="F356">
        <v>14.3</v>
      </c>
      <c r="G356">
        <v>14.1</v>
      </c>
      <c r="H356">
        <v>13.8</v>
      </c>
      <c r="I356">
        <v>13.9</v>
      </c>
      <c r="J356">
        <v>13.8</v>
      </c>
      <c r="K356">
        <v>14</v>
      </c>
      <c r="L356">
        <v>13.9</v>
      </c>
      <c r="M356">
        <v>13.8</v>
      </c>
      <c r="N356">
        <v>13.8</v>
      </c>
      <c r="O356">
        <v>14</v>
      </c>
      <c r="P356">
        <v>13.8</v>
      </c>
      <c r="Q356">
        <v>13.9</v>
      </c>
      <c r="R356">
        <v>13.5</v>
      </c>
      <c r="S356">
        <f>Tableau1[[#This Row],[Final_time]]-SUM(Tableau1[[#This Row],[0_100m]:[1300_1400m]])</f>
        <v>13.329999999999984</v>
      </c>
      <c r="T356">
        <v>207.83</v>
      </c>
      <c r="U356">
        <f t="shared" si="10"/>
        <v>207.83</v>
      </c>
      <c r="V356">
        <f t="shared" si="11"/>
        <v>0</v>
      </c>
      <c r="W356" s="12"/>
      <c r="X35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56" t="s">
        <v>84</v>
      </c>
      <c r="Z356" s="2" t="s">
        <v>43</v>
      </c>
      <c r="AA356" s="2"/>
      <c r="AB356" s="2" t="s">
        <v>65</v>
      </c>
      <c r="AC356" s="2">
        <v>45526</v>
      </c>
      <c r="AD356" s="3">
        <v>2024</v>
      </c>
      <c r="AE356" s="3">
        <v>23</v>
      </c>
      <c r="AF356" s="5">
        <v>0.56000000000000005</v>
      </c>
      <c r="AG356" s="3" t="s">
        <v>71</v>
      </c>
      <c r="AH356" t="s">
        <v>85</v>
      </c>
    </row>
    <row r="357" spans="1:34" hidden="1" x14ac:dyDescent="0.35">
      <c r="A357" t="str">
        <f>_xlfn.CONCAT(Tableau1[[#This Row],[Athletes]],"_",Tableau1[[#This Row],[Nationality]],"_",Tableau1[[#This Row],[Competition_year]])</f>
        <v>Azeddine HABZ_FRA_2024</v>
      </c>
      <c r="B357" t="s">
        <v>218</v>
      </c>
      <c r="C357" t="s">
        <v>16</v>
      </c>
      <c r="D357" t="s">
        <v>18</v>
      </c>
      <c r="E357">
        <v>14.2</v>
      </c>
      <c r="F357">
        <v>15.1</v>
      </c>
      <c r="G357">
        <v>14.5</v>
      </c>
      <c r="H357">
        <v>13.8</v>
      </c>
      <c r="I357">
        <v>13.7</v>
      </c>
      <c r="J357">
        <v>14</v>
      </c>
      <c r="K357">
        <v>14</v>
      </c>
      <c r="L357">
        <v>14.4</v>
      </c>
      <c r="M357">
        <v>14</v>
      </c>
      <c r="N357">
        <v>14.2</v>
      </c>
      <c r="O357">
        <v>14.2</v>
      </c>
      <c r="P357">
        <v>14.4</v>
      </c>
      <c r="Q357">
        <v>13.9</v>
      </c>
      <c r="R357">
        <v>13.9</v>
      </c>
      <c r="S357">
        <f>Tableau1[[#This Row],[Final_time]]-SUM(Tableau1[[#This Row],[0_100m]:[1300_1400m]])</f>
        <v>13.589999999999975</v>
      </c>
      <c r="T357">
        <v>211.89</v>
      </c>
      <c r="U357">
        <f t="shared" si="10"/>
        <v>211.89</v>
      </c>
      <c r="V357">
        <f t="shared" si="11"/>
        <v>0</v>
      </c>
      <c r="W357" s="12"/>
      <c r="X357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57" t="s">
        <v>84</v>
      </c>
      <c r="Z357" s="2" t="s">
        <v>43</v>
      </c>
      <c r="AA357" s="2"/>
      <c r="AB357" s="2" t="s">
        <v>65</v>
      </c>
      <c r="AC357" s="2">
        <v>45526</v>
      </c>
      <c r="AD357" s="3">
        <v>2024</v>
      </c>
      <c r="AE357" s="3">
        <v>23</v>
      </c>
      <c r="AF357" s="5">
        <v>0.56000000000000005</v>
      </c>
      <c r="AG357" s="3" t="s">
        <v>71</v>
      </c>
      <c r="AH357" t="s">
        <v>85</v>
      </c>
    </row>
    <row r="358" spans="1:34" hidden="1" x14ac:dyDescent="0.35">
      <c r="A358" t="str">
        <f>_xlfn.CONCAT(Tableau1[[#This Row],[Athletes]],"_",Tableau1[[#This Row],[Nationality]],"_",Tableau1[[#This Row],[Competition_year]])</f>
        <v>Jochem VERMEULEN_BEL_2024</v>
      </c>
      <c r="B358" t="s">
        <v>235</v>
      </c>
      <c r="C358" t="s">
        <v>16</v>
      </c>
      <c r="D358" t="s">
        <v>86</v>
      </c>
      <c r="E358">
        <v>14.5</v>
      </c>
      <c r="F358">
        <v>15</v>
      </c>
      <c r="G358">
        <v>14.5</v>
      </c>
      <c r="H358">
        <v>13.9</v>
      </c>
      <c r="I358">
        <v>13.7</v>
      </c>
      <c r="J358">
        <v>14</v>
      </c>
      <c r="K358">
        <v>14.2</v>
      </c>
      <c r="L358">
        <v>14.2</v>
      </c>
      <c r="M358">
        <v>14</v>
      </c>
      <c r="N358">
        <v>14.1</v>
      </c>
      <c r="O358">
        <v>14.1</v>
      </c>
      <c r="P358">
        <v>14.1</v>
      </c>
      <c r="Q358">
        <v>13.9</v>
      </c>
      <c r="R358">
        <v>13.9</v>
      </c>
      <c r="S358">
        <f>Tableau1[[#This Row],[Final_time]]-SUM(Tableau1[[#This Row],[0_100m]:[1300_1400m]])</f>
        <v>13.640000000000015</v>
      </c>
      <c r="T358">
        <v>211.74</v>
      </c>
      <c r="U358">
        <f t="shared" si="10"/>
        <v>211.74</v>
      </c>
      <c r="V358">
        <f t="shared" si="11"/>
        <v>0</v>
      </c>
      <c r="W358" s="12"/>
      <c r="X358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58" t="s">
        <v>84</v>
      </c>
      <c r="Z358" s="2" t="s">
        <v>43</v>
      </c>
      <c r="AA358" s="2"/>
      <c r="AB358" s="2" t="s">
        <v>65</v>
      </c>
      <c r="AC358" s="2">
        <v>45526</v>
      </c>
      <c r="AD358" s="3">
        <v>2024</v>
      </c>
      <c r="AE358" s="3">
        <v>23</v>
      </c>
      <c r="AF358" s="5">
        <v>0.56000000000000005</v>
      </c>
      <c r="AG358" s="3" t="s">
        <v>71</v>
      </c>
      <c r="AH358" t="s">
        <v>85</v>
      </c>
    </row>
    <row r="359" spans="1:34" hidden="1" x14ac:dyDescent="0.35">
      <c r="A359" t="str">
        <f>_xlfn.CONCAT(Tableau1[[#This Row],[Athletes]],"_",Tableau1[[#This Row],[Nationality]],"_",Tableau1[[#This Row],[Competition_year]])</f>
        <v>Dominic Lokinyomo LOBALU_SUI_2024</v>
      </c>
      <c r="B359" t="s">
        <v>853</v>
      </c>
      <c r="C359" t="s">
        <v>16</v>
      </c>
      <c r="D359" t="s">
        <v>87</v>
      </c>
      <c r="E359">
        <v>14.8</v>
      </c>
      <c r="F359">
        <v>15.4</v>
      </c>
      <c r="G359">
        <v>14.7</v>
      </c>
      <c r="H359">
        <v>14.3</v>
      </c>
      <c r="I359">
        <v>13.5</v>
      </c>
      <c r="J359">
        <v>14.1</v>
      </c>
      <c r="K359">
        <v>14</v>
      </c>
      <c r="L359">
        <v>14.3</v>
      </c>
      <c r="M359">
        <v>14</v>
      </c>
      <c r="N359">
        <v>14.3</v>
      </c>
      <c r="O359">
        <v>14.4</v>
      </c>
      <c r="P359">
        <v>14.4</v>
      </c>
      <c r="Q359">
        <v>14.1</v>
      </c>
      <c r="R359">
        <v>14.4</v>
      </c>
      <c r="S359">
        <f>Tableau1[[#This Row],[Final_time]]-SUM(Tableau1[[#This Row],[0_100m]:[1300_1400m]])</f>
        <v>13.689999999999969</v>
      </c>
      <c r="T359">
        <v>214.39</v>
      </c>
      <c r="U359">
        <f t="shared" si="10"/>
        <v>214.39</v>
      </c>
      <c r="V359">
        <f t="shared" si="11"/>
        <v>0</v>
      </c>
      <c r="W359" s="12"/>
      <c r="X359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59" t="s">
        <v>84</v>
      </c>
      <c r="Z359" s="2" t="s">
        <v>43</v>
      </c>
      <c r="AA359" s="2"/>
      <c r="AB359" s="2" t="s">
        <v>65</v>
      </c>
      <c r="AC359" s="2">
        <v>45526</v>
      </c>
      <c r="AD359" s="3">
        <v>2024</v>
      </c>
      <c r="AE359" s="3">
        <v>23</v>
      </c>
      <c r="AF359" s="5">
        <v>0.56000000000000005</v>
      </c>
      <c r="AG359" s="3" t="s">
        <v>71</v>
      </c>
      <c r="AH359" t="s">
        <v>85</v>
      </c>
    </row>
    <row r="360" spans="1:34" hidden="1" x14ac:dyDescent="0.35">
      <c r="A360" t="str">
        <f>_xlfn.CONCAT(Tableau1[[#This Row],[Athletes]],"_",Tableau1[[#This Row],[Nationality]],"_",Tableau1[[#This Row],[Competition_year]])</f>
        <v>Brian KOMEN_KEN_2024</v>
      </c>
      <c r="B360" t="s">
        <v>802</v>
      </c>
      <c r="C360" t="s">
        <v>16</v>
      </c>
      <c r="D360" t="s">
        <v>17</v>
      </c>
      <c r="E360">
        <v>14.3</v>
      </c>
      <c r="F360">
        <v>14.8</v>
      </c>
      <c r="G360">
        <v>14.3</v>
      </c>
      <c r="H360">
        <v>13.9</v>
      </c>
      <c r="I360">
        <v>13.7</v>
      </c>
      <c r="J360">
        <v>14.1</v>
      </c>
      <c r="K360">
        <v>14.1</v>
      </c>
      <c r="L360">
        <v>14.2</v>
      </c>
      <c r="M360">
        <v>13.9</v>
      </c>
      <c r="N360">
        <v>14.2</v>
      </c>
      <c r="O360">
        <v>14.1</v>
      </c>
      <c r="P360">
        <v>14.3</v>
      </c>
      <c r="Q360">
        <v>14</v>
      </c>
      <c r="R360">
        <v>13.8</v>
      </c>
      <c r="S360">
        <f>Tableau1[[#This Row],[Final_time]]-SUM(Tableau1[[#This Row],[0_100m]:[1300_1400m]])</f>
        <v>13.70999999999998</v>
      </c>
      <c r="T360">
        <v>211.41</v>
      </c>
      <c r="U360">
        <f t="shared" si="10"/>
        <v>211.41</v>
      </c>
      <c r="V360">
        <f t="shared" si="11"/>
        <v>0</v>
      </c>
      <c r="W360" s="12"/>
      <c r="X360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0" t="s">
        <v>84</v>
      </c>
      <c r="Z360" s="2" t="s">
        <v>43</v>
      </c>
      <c r="AA360" s="2"/>
      <c r="AB360" s="2" t="s">
        <v>65</v>
      </c>
      <c r="AC360" s="2">
        <v>45526</v>
      </c>
      <c r="AD360" s="3">
        <v>2024</v>
      </c>
      <c r="AE360" s="3">
        <v>23</v>
      </c>
      <c r="AF360" s="5">
        <v>0.56000000000000005</v>
      </c>
      <c r="AG360" s="3" t="s">
        <v>71</v>
      </c>
      <c r="AH360" t="s">
        <v>85</v>
      </c>
    </row>
    <row r="361" spans="1:34" hidden="1" x14ac:dyDescent="0.35">
      <c r="A361" t="str">
        <f>_xlfn.CONCAT(Tableau1[[#This Row],[Athletes]],"_",Tableau1[[#This Row],[Nationality]],"_",Tableau1[[#This Row],[Competition_year]])</f>
        <v>Stefan NILLESSEN_NED_2024</v>
      </c>
      <c r="B361" t="s">
        <v>1262</v>
      </c>
      <c r="C361" t="s">
        <v>16</v>
      </c>
      <c r="D361" t="s">
        <v>39</v>
      </c>
      <c r="E361">
        <v>14.5</v>
      </c>
      <c r="F361">
        <v>15.2</v>
      </c>
      <c r="G361">
        <v>14.8</v>
      </c>
      <c r="H361">
        <v>14</v>
      </c>
      <c r="I361">
        <v>13.6</v>
      </c>
      <c r="J361">
        <v>14.1</v>
      </c>
      <c r="K361">
        <v>13.9</v>
      </c>
      <c r="L361">
        <v>14.2</v>
      </c>
      <c r="M361">
        <v>14</v>
      </c>
      <c r="N361">
        <v>14.4</v>
      </c>
      <c r="O361">
        <v>14</v>
      </c>
      <c r="P361">
        <v>14.1</v>
      </c>
      <c r="Q361">
        <v>14</v>
      </c>
      <c r="R361">
        <v>13.6</v>
      </c>
      <c r="S361">
        <f>Tableau1[[#This Row],[Final_time]]-SUM(Tableau1[[#This Row],[0_100m]:[1300_1400m]])</f>
        <v>13.759999999999991</v>
      </c>
      <c r="T361">
        <v>212.16</v>
      </c>
      <c r="U361">
        <f t="shared" si="10"/>
        <v>212.16</v>
      </c>
      <c r="V361">
        <f t="shared" si="11"/>
        <v>0</v>
      </c>
      <c r="W361" s="12"/>
      <c r="X361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1" t="s">
        <v>84</v>
      </c>
      <c r="Z361" s="2" t="s">
        <v>43</v>
      </c>
      <c r="AA361" s="2"/>
      <c r="AB361" s="2" t="s">
        <v>65</v>
      </c>
      <c r="AC361" s="2">
        <v>45526</v>
      </c>
      <c r="AD361" s="3">
        <v>2024</v>
      </c>
      <c r="AE361" s="3">
        <v>23</v>
      </c>
      <c r="AF361" s="5">
        <v>0.56000000000000005</v>
      </c>
      <c r="AG361" s="3" t="s">
        <v>71</v>
      </c>
      <c r="AH361" t="s">
        <v>85</v>
      </c>
    </row>
    <row r="362" spans="1:34" hidden="1" x14ac:dyDescent="0.35">
      <c r="A362" t="str">
        <f>_xlfn.CONCAT(Tableau1[[#This Row],[Athletes]],"_",Tableau1[[#This Row],[Nationality]],"_",Tableau1[[#This Row],[Competition_year]])</f>
        <v>Isaac NADER_POR_2024</v>
      </c>
      <c r="B362" t="s">
        <v>191</v>
      </c>
      <c r="C362" t="s">
        <v>16</v>
      </c>
      <c r="D362" t="s">
        <v>33</v>
      </c>
      <c r="E362">
        <v>14.6</v>
      </c>
      <c r="F362">
        <v>15.2</v>
      </c>
      <c r="G362">
        <v>14.6</v>
      </c>
      <c r="H362">
        <v>13.9</v>
      </c>
      <c r="I362">
        <v>13.6</v>
      </c>
      <c r="J362">
        <v>14.1</v>
      </c>
      <c r="K362">
        <v>13.9</v>
      </c>
      <c r="L362">
        <v>14.2</v>
      </c>
      <c r="M362">
        <v>14</v>
      </c>
      <c r="N362">
        <v>14.4</v>
      </c>
      <c r="O362">
        <v>14</v>
      </c>
      <c r="P362">
        <v>14</v>
      </c>
      <c r="Q362">
        <v>14</v>
      </c>
      <c r="R362">
        <v>13.8</v>
      </c>
      <c r="S362">
        <f>Tableau1[[#This Row],[Final_time]]-SUM(Tableau1[[#This Row],[0_100m]:[1300_1400m]])</f>
        <v>14.189999999999998</v>
      </c>
      <c r="T362">
        <v>212.49</v>
      </c>
      <c r="U362">
        <f t="shared" si="10"/>
        <v>212.49</v>
      </c>
      <c r="V362">
        <f t="shared" si="11"/>
        <v>0</v>
      </c>
      <c r="W362" s="12"/>
      <c r="X362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2" t="s">
        <v>84</v>
      </c>
      <c r="Z362" s="2" t="s">
        <v>43</v>
      </c>
      <c r="AA362" s="2"/>
      <c r="AB362" s="2" t="s">
        <v>65</v>
      </c>
      <c r="AC362" s="2">
        <v>45526</v>
      </c>
      <c r="AD362" s="3">
        <v>2024</v>
      </c>
      <c r="AE362" s="3">
        <v>23</v>
      </c>
      <c r="AF362" s="5">
        <v>0.56000000000000005</v>
      </c>
      <c r="AG362" s="3" t="s">
        <v>71</v>
      </c>
      <c r="AH362" t="s">
        <v>85</v>
      </c>
    </row>
    <row r="363" spans="1:34" hidden="1" x14ac:dyDescent="0.35">
      <c r="A363" t="str">
        <f>_xlfn.CONCAT(Tableau1[[#This Row],[Athletes]],"_",Tableau1[[#This Row],[Nationality]],"_",Tableau1[[#This Row],[Competition_year]])</f>
        <v>George MILLS_GBR_2024</v>
      </c>
      <c r="B363" t="s">
        <v>279</v>
      </c>
      <c r="C363" t="s">
        <v>16</v>
      </c>
      <c r="D363" t="s">
        <v>20</v>
      </c>
      <c r="E363">
        <v>14.8</v>
      </c>
      <c r="F363">
        <v>15.3</v>
      </c>
      <c r="G363">
        <v>14.6</v>
      </c>
      <c r="H363">
        <v>14.1</v>
      </c>
      <c r="I363">
        <v>13.6</v>
      </c>
      <c r="J363">
        <v>14.1</v>
      </c>
      <c r="K363">
        <v>14</v>
      </c>
      <c r="L363">
        <v>14.3</v>
      </c>
      <c r="M363">
        <v>14.3</v>
      </c>
      <c r="N363">
        <v>14.7</v>
      </c>
      <c r="O363">
        <v>14.4</v>
      </c>
      <c r="P363">
        <v>14.4</v>
      </c>
      <c r="Q363">
        <v>14.7</v>
      </c>
      <c r="R363">
        <v>15</v>
      </c>
      <c r="S363">
        <f>Tableau1[[#This Row],[Final_time]]-SUM(Tableau1[[#This Row],[0_100m]:[1300_1400m]])</f>
        <v>14.500000000000028</v>
      </c>
      <c r="T363">
        <v>216.8</v>
      </c>
      <c r="U363">
        <f t="shared" si="10"/>
        <v>216.8</v>
      </c>
      <c r="V363">
        <f t="shared" si="11"/>
        <v>0</v>
      </c>
      <c r="W363" s="12"/>
      <c r="X363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3" t="s">
        <v>84</v>
      </c>
      <c r="Z363" s="2" t="s">
        <v>43</v>
      </c>
      <c r="AA363" s="2"/>
      <c r="AB363" s="2" t="s">
        <v>65</v>
      </c>
      <c r="AC363" s="2">
        <v>45526</v>
      </c>
      <c r="AD363" s="3">
        <v>2024</v>
      </c>
      <c r="AE363" s="3">
        <v>23</v>
      </c>
      <c r="AF363" s="5">
        <v>0.56000000000000005</v>
      </c>
      <c r="AG363" s="3" t="s">
        <v>71</v>
      </c>
      <c r="AH363" t="s">
        <v>85</v>
      </c>
    </row>
    <row r="364" spans="1:34" hidden="1" x14ac:dyDescent="0.35">
      <c r="A364" t="str">
        <f>_xlfn.CONCAT(Tableau1[[#This Row],[Athletes]],"_",Tableau1[[#This Row],[Nationality]],"_",Tableau1[[#This Row],[Competition_year]])</f>
        <v>Cole HOCKER_USA_2024</v>
      </c>
      <c r="B364" t="s">
        <v>215</v>
      </c>
      <c r="C364" t="s">
        <v>16</v>
      </c>
      <c r="D364" t="s">
        <v>51</v>
      </c>
      <c r="E364">
        <v>14.2</v>
      </c>
      <c r="F364">
        <v>14.3</v>
      </c>
      <c r="G364">
        <v>14.2</v>
      </c>
      <c r="H364">
        <v>13.9</v>
      </c>
      <c r="I364">
        <v>13.8</v>
      </c>
      <c r="J364">
        <v>13.8</v>
      </c>
      <c r="K364">
        <v>14.1</v>
      </c>
      <c r="L364">
        <v>13.8</v>
      </c>
      <c r="M364">
        <v>13.8</v>
      </c>
      <c r="N364">
        <v>13.9</v>
      </c>
      <c r="O364">
        <v>13.9</v>
      </c>
      <c r="P364">
        <v>13.9</v>
      </c>
      <c r="Q364">
        <v>13.9</v>
      </c>
      <c r="R364">
        <v>13.8</v>
      </c>
      <c r="S364">
        <f>Tableau1[[#This Row],[Final_time]]-SUM(Tableau1[[#This Row],[0_100m]:[1300_1400m]])</f>
        <v>14.549999999999983</v>
      </c>
      <c r="T364">
        <v>209.85</v>
      </c>
      <c r="U364">
        <f t="shared" si="10"/>
        <v>209.85</v>
      </c>
      <c r="V364">
        <f t="shared" si="11"/>
        <v>0</v>
      </c>
      <c r="W364" s="12"/>
      <c r="X364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4" t="s">
        <v>84</v>
      </c>
      <c r="Z364" s="2" t="s">
        <v>43</v>
      </c>
      <c r="AA364" s="2"/>
      <c r="AB364" s="2" t="s">
        <v>65</v>
      </c>
      <c r="AC364" s="2">
        <v>45526</v>
      </c>
      <c r="AD364" s="3">
        <v>2024</v>
      </c>
      <c r="AE364" s="3">
        <v>23</v>
      </c>
      <c r="AF364" s="5">
        <v>0.56000000000000005</v>
      </c>
      <c r="AG364" s="3" t="s">
        <v>71</v>
      </c>
      <c r="AH364" t="s">
        <v>85</v>
      </c>
    </row>
    <row r="365" spans="1:34" hidden="1" x14ac:dyDescent="0.35">
      <c r="A365" t="str">
        <f>_xlfn.CONCAT(Tableau1[[#This Row],[Athletes]],"_",Tableau1[[#This Row],[Nationality]],"_",Tableau1[[#This Row],[Competition_year]])</f>
        <v>Stewart MCSWEYN_AUS_2024</v>
      </c>
      <c r="B365" t="s">
        <v>219</v>
      </c>
      <c r="C365" t="s">
        <v>16</v>
      </c>
      <c r="D365" t="s">
        <v>21</v>
      </c>
      <c r="E365">
        <v>14.2</v>
      </c>
      <c r="F365">
        <v>14.5</v>
      </c>
      <c r="G365">
        <v>14.2</v>
      </c>
      <c r="H365">
        <v>13.9</v>
      </c>
      <c r="I365">
        <v>13.8</v>
      </c>
      <c r="J365">
        <v>13.9</v>
      </c>
      <c r="K365">
        <v>14</v>
      </c>
      <c r="L365">
        <v>13.9</v>
      </c>
      <c r="M365">
        <v>13.8</v>
      </c>
      <c r="N365">
        <v>14.3</v>
      </c>
      <c r="O365">
        <v>14.5</v>
      </c>
      <c r="P365">
        <v>15</v>
      </c>
      <c r="Q365">
        <v>15</v>
      </c>
      <c r="R365">
        <v>14.9</v>
      </c>
      <c r="S365">
        <f>Tableau1[[#This Row],[Final_time]]-SUM(Tableau1[[#This Row],[0_100m]:[1300_1400m]])</f>
        <v>14.900000000000006</v>
      </c>
      <c r="T365">
        <v>214.8</v>
      </c>
      <c r="U365">
        <f t="shared" si="10"/>
        <v>214.8</v>
      </c>
      <c r="V365">
        <f t="shared" si="11"/>
        <v>0</v>
      </c>
      <c r="W365" s="12"/>
      <c r="X365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5" t="s">
        <v>84</v>
      </c>
      <c r="Z365" s="2" t="s">
        <v>43</v>
      </c>
      <c r="AA365" s="2"/>
      <c r="AB365" s="2" t="s">
        <v>65</v>
      </c>
      <c r="AC365" s="2">
        <v>45526</v>
      </c>
      <c r="AD365" s="3">
        <v>2024</v>
      </c>
      <c r="AE365" s="3">
        <v>23</v>
      </c>
      <c r="AF365" s="5">
        <v>0.56000000000000005</v>
      </c>
      <c r="AG365" s="3" t="s">
        <v>71</v>
      </c>
      <c r="AH365" t="s">
        <v>85</v>
      </c>
    </row>
    <row r="366" spans="1:34" hidden="1" x14ac:dyDescent="0.35">
      <c r="A366" t="str">
        <f>_xlfn.CONCAT(Tableau1[[#This Row],[Athletes]],"_",Tableau1[[#This Row],[Nationality]],"_",Tableau1[[#This Row],[Competition_year]])</f>
        <v>Hobbs KESSLER_USA_2024</v>
      </c>
      <c r="B366" t="s">
        <v>365</v>
      </c>
      <c r="C366" t="s">
        <v>16</v>
      </c>
      <c r="D366" t="s">
        <v>51</v>
      </c>
      <c r="E366">
        <v>14</v>
      </c>
      <c r="F366">
        <v>14.3</v>
      </c>
      <c r="G366">
        <v>14.2</v>
      </c>
      <c r="H366">
        <v>13.8</v>
      </c>
      <c r="I366">
        <v>13.8</v>
      </c>
      <c r="J366">
        <v>13.9</v>
      </c>
      <c r="K366">
        <v>14</v>
      </c>
      <c r="L366">
        <v>13.9</v>
      </c>
      <c r="M366">
        <v>13.8</v>
      </c>
      <c r="N366">
        <v>13.8</v>
      </c>
      <c r="O366">
        <v>13.9</v>
      </c>
      <c r="P366">
        <v>13.9</v>
      </c>
      <c r="Q366">
        <v>13.9</v>
      </c>
      <c r="R366">
        <v>14.3</v>
      </c>
      <c r="S366">
        <f>Tableau1[[#This Row],[Final_time]]-SUM(Tableau1[[#This Row],[0_100m]:[1300_1400m]])</f>
        <v>14.96999999999997</v>
      </c>
      <c r="T366">
        <v>210.47</v>
      </c>
      <c r="U366">
        <f t="shared" si="10"/>
        <v>210.47</v>
      </c>
      <c r="V366">
        <f t="shared" si="11"/>
        <v>0</v>
      </c>
      <c r="W366" s="12"/>
      <c r="X366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6" t="s">
        <v>84</v>
      </c>
      <c r="Z366" s="2" t="s">
        <v>43</v>
      </c>
      <c r="AA366" s="2"/>
      <c r="AB366" s="2" t="s">
        <v>65</v>
      </c>
      <c r="AC366" s="2">
        <v>45526</v>
      </c>
      <c r="AD366" s="3">
        <v>2024</v>
      </c>
      <c r="AE366" s="3">
        <v>23</v>
      </c>
      <c r="AF366" s="5">
        <v>0.56000000000000005</v>
      </c>
      <c r="AG366" s="3" t="s">
        <v>71</v>
      </c>
      <c r="AH366" t="s">
        <v>85</v>
      </c>
    </row>
    <row r="367" spans="1:34" hidden="1" x14ac:dyDescent="0.35">
      <c r="A367" t="str">
        <f>_xlfn.CONCAT(Tableau1[[#This Row],[Athletes]],"_",Tableau1[[#This Row],[Nationality]],"_",Tableau1[[#This Row],[Competition_year]])</f>
        <v>Oliver HOARE_AUS_2024</v>
      </c>
      <c r="B367" t="s">
        <v>249</v>
      </c>
      <c r="C367" t="s">
        <v>16</v>
      </c>
      <c r="D367" t="s">
        <v>21</v>
      </c>
      <c r="E367">
        <v>14.1</v>
      </c>
      <c r="F367">
        <v>14.8</v>
      </c>
      <c r="G367">
        <v>14.2</v>
      </c>
      <c r="H367">
        <v>13.9</v>
      </c>
      <c r="I367">
        <v>13.8</v>
      </c>
      <c r="J367">
        <v>14</v>
      </c>
      <c r="K367">
        <v>14.7</v>
      </c>
      <c r="L367">
        <v>14.4</v>
      </c>
      <c r="M367">
        <v>13.8</v>
      </c>
      <c r="N367">
        <v>14.5</v>
      </c>
      <c r="O367">
        <v>14.5</v>
      </c>
      <c r="P367">
        <v>14.4</v>
      </c>
      <c r="Q367">
        <v>14.5</v>
      </c>
      <c r="R367">
        <v>15.1</v>
      </c>
      <c r="S367">
        <f>Tableau1[[#This Row],[Final_time]]-SUM(Tableau1[[#This Row],[0_100m]:[1300_1400m]])</f>
        <v>15.330000000000013</v>
      </c>
      <c r="T367">
        <v>216.03</v>
      </c>
      <c r="U367">
        <f t="shared" si="10"/>
        <v>216.03</v>
      </c>
      <c r="V367">
        <f t="shared" si="11"/>
        <v>0</v>
      </c>
      <c r="W367" s="12"/>
      <c r="X367" t="str">
        <f>_xlfn.CONCAT(Tableau1[[#This Row],[Competition]],"_",Tableau1[[#This Row],[Championship_step]],"_",Tableau1[[#This Row],[Competition_date]],"_",Tableau1[[#This Row],[Gender]])</f>
        <v>Diamond League Lausanne 2024__45526_Male</v>
      </c>
      <c r="Y367" t="s">
        <v>84</v>
      </c>
      <c r="Z367" s="2" t="s">
        <v>43</v>
      </c>
      <c r="AA367" s="2"/>
      <c r="AB367" s="2" t="s">
        <v>65</v>
      </c>
      <c r="AC367" s="2">
        <v>45526</v>
      </c>
      <c r="AD367" s="3">
        <v>2024</v>
      </c>
      <c r="AE367" s="3">
        <v>23</v>
      </c>
      <c r="AF367" s="5">
        <v>0.56000000000000005</v>
      </c>
      <c r="AG367" s="3" t="s">
        <v>71</v>
      </c>
      <c r="AH367" t="s">
        <v>85</v>
      </c>
    </row>
    <row r="368" spans="1:34" hidden="1" x14ac:dyDescent="0.35">
      <c r="A368" t="str">
        <f>_xlfn.CONCAT(Tableau1[[#This Row],[Athletes]],"_",Tableau1[[#This Row],[Nationality]],"_",Tableau1[[#This Row],[Competition_year]])</f>
        <v>Winny CHEBET_KEN_2022</v>
      </c>
      <c r="B368" t="s">
        <v>139</v>
      </c>
      <c r="C368" t="s">
        <v>47</v>
      </c>
      <c r="D368" t="s">
        <v>17</v>
      </c>
      <c r="E368">
        <v>14.9</v>
      </c>
      <c r="F368">
        <v>16.399999999999999</v>
      </c>
      <c r="G368">
        <v>17.599999999999998</v>
      </c>
      <c r="H368">
        <v>16.699999999999996</v>
      </c>
      <c r="I368">
        <v>16.300000000000011</v>
      </c>
      <c r="J368">
        <v>16.5</v>
      </c>
      <c r="K368">
        <v>16.599999999999994</v>
      </c>
      <c r="L368">
        <v>16.400000000000006</v>
      </c>
      <c r="M368">
        <v>16.299999999999983</v>
      </c>
      <c r="N368">
        <v>17</v>
      </c>
      <c r="O368">
        <v>16.400000000000006</v>
      </c>
      <c r="P368">
        <v>16.599999999999994</v>
      </c>
      <c r="Q368">
        <v>16.300000000000011</v>
      </c>
      <c r="R368">
        <v>16.099999999999994</v>
      </c>
      <c r="S368">
        <f>Tableau1[[#This Row],[Final_time]]-SUM(Tableau1[[#This Row],[0_100m]:[1300_1400m]])</f>
        <v>15.460000000000008</v>
      </c>
      <c r="T368">
        <v>245.56</v>
      </c>
      <c r="U368">
        <f t="shared" si="10"/>
        <v>245.56</v>
      </c>
      <c r="V368">
        <f t="shared" si="11"/>
        <v>0</v>
      </c>
      <c r="W368" s="12"/>
      <c r="X368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68" t="s">
        <v>375</v>
      </c>
      <c r="Z368" s="2" t="s">
        <v>43</v>
      </c>
      <c r="AA368" s="2"/>
      <c r="AB368" s="2" t="s">
        <v>65</v>
      </c>
      <c r="AC368" s="2">
        <v>44702</v>
      </c>
      <c r="AD368">
        <v>2022</v>
      </c>
      <c r="AE368" s="3">
        <v>18</v>
      </c>
      <c r="AF368" s="5">
        <v>0.53</v>
      </c>
      <c r="AG368" s="3" t="s">
        <v>94</v>
      </c>
    </row>
    <row r="369" spans="1:33" hidden="1" x14ac:dyDescent="0.35">
      <c r="A369" t="str">
        <f>_xlfn.CONCAT(Tableau1[[#This Row],[Athletes]],"_",Tableau1[[#This Row],[Nationality]],"_",Tableau1[[#This Row],[Competition_year]])</f>
        <v>Ciara MAGEEAN_IRL_2022</v>
      </c>
      <c r="B369" t="s">
        <v>180</v>
      </c>
      <c r="C369" t="s">
        <v>47</v>
      </c>
      <c r="D369" t="s">
        <v>35</v>
      </c>
      <c r="E369">
        <v>15</v>
      </c>
      <c r="F369">
        <v>16.2</v>
      </c>
      <c r="G369">
        <v>17.500000000000004</v>
      </c>
      <c r="H369">
        <v>16.599999999999994</v>
      </c>
      <c r="I369">
        <v>16.200000000000003</v>
      </c>
      <c r="J369">
        <v>16.400000000000006</v>
      </c>
      <c r="K369">
        <v>16.5</v>
      </c>
      <c r="L369">
        <v>16.5</v>
      </c>
      <c r="M369">
        <v>16.900000000000006</v>
      </c>
      <c r="N369">
        <v>17.199999999999989</v>
      </c>
      <c r="O369">
        <v>16.599999999999994</v>
      </c>
      <c r="P369">
        <v>16.300000000000011</v>
      </c>
      <c r="Q369">
        <v>16.299999999999983</v>
      </c>
      <c r="R369">
        <v>16</v>
      </c>
      <c r="S369">
        <f>Tableau1[[#This Row],[Final_time]]-SUM(Tableau1[[#This Row],[0_100m]:[1300_1400m]])</f>
        <v>15.5</v>
      </c>
      <c r="T369">
        <v>245.7</v>
      </c>
      <c r="U369">
        <f t="shared" si="10"/>
        <v>245.7</v>
      </c>
      <c r="V369">
        <f t="shared" si="11"/>
        <v>0</v>
      </c>
      <c r="W369" s="12"/>
      <c r="X369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69" t="s">
        <v>375</v>
      </c>
      <c r="Z369" s="2" t="s">
        <v>43</v>
      </c>
      <c r="AA369" s="2"/>
      <c r="AB369" s="2" t="s">
        <v>65</v>
      </c>
      <c r="AC369" s="2">
        <v>44702</v>
      </c>
      <c r="AD369">
        <v>2022</v>
      </c>
      <c r="AE369" s="3">
        <v>18</v>
      </c>
      <c r="AF369" s="5">
        <v>0.53</v>
      </c>
      <c r="AG369" s="3" t="s">
        <v>94</v>
      </c>
    </row>
    <row r="370" spans="1:33" hidden="1" x14ac:dyDescent="0.35">
      <c r="A370" t="str">
        <f>_xlfn.CONCAT(Tableau1[[#This Row],[Athletes]],"_",Tableau1[[#This Row],[Nationality]],"_",Tableau1[[#This Row],[Competition_year]])</f>
        <v>Laura MUIR_GBR_2022</v>
      </c>
      <c r="B370" t="s">
        <v>153</v>
      </c>
      <c r="C370" t="s">
        <v>47</v>
      </c>
      <c r="D370" t="s">
        <v>20</v>
      </c>
      <c r="E370">
        <v>14.8</v>
      </c>
      <c r="F370">
        <v>16.099999999999998</v>
      </c>
      <c r="G370">
        <v>17.399999999999999</v>
      </c>
      <c r="H370">
        <v>16.5</v>
      </c>
      <c r="I370">
        <v>16.100000000000009</v>
      </c>
      <c r="J370">
        <v>16.5</v>
      </c>
      <c r="K370">
        <v>16.099999999999994</v>
      </c>
      <c r="L370">
        <v>16.300000000000011</v>
      </c>
      <c r="M370">
        <v>16</v>
      </c>
      <c r="N370">
        <v>16.299999999999983</v>
      </c>
      <c r="O370">
        <v>16.200000000000017</v>
      </c>
      <c r="P370">
        <v>16.5</v>
      </c>
      <c r="Q370">
        <v>16.699999999999989</v>
      </c>
      <c r="R370">
        <v>15.800000000000011</v>
      </c>
      <c r="S370">
        <f>Tableau1[[#This Row],[Final_time]]-SUM(Tableau1[[#This Row],[0_100m]:[1300_1400m]])</f>
        <v>15.509999999999991</v>
      </c>
      <c r="T370">
        <v>242.81</v>
      </c>
      <c r="U370">
        <f t="shared" si="10"/>
        <v>242.81</v>
      </c>
      <c r="V370">
        <f t="shared" si="11"/>
        <v>0</v>
      </c>
      <c r="W370" s="12"/>
      <c r="X370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0" t="s">
        <v>375</v>
      </c>
      <c r="Z370" s="2" t="s">
        <v>43</v>
      </c>
      <c r="AA370" s="2"/>
      <c r="AB370" s="2" t="s">
        <v>65</v>
      </c>
      <c r="AC370" s="2">
        <v>44702</v>
      </c>
      <c r="AD370">
        <v>2022</v>
      </c>
      <c r="AE370" s="3">
        <v>18</v>
      </c>
      <c r="AF370" s="5">
        <v>0.53</v>
      </c>
      <c r="AG370" s="3" t="s">
        <v>94</v>
      </c>
    </row>
    <row r="371" spans="1:33" hidden="1" x14ac:dyDescent="0.35">
      <c r="A371" t="str">
        <f>_xlfn.CONCAT(Tableau1[[#This Row],[Athletes]],"_",Tableau1[[#This Row],[Nationality]],"_",Tableau1[[#This Row],[Competition_year]])</f>
        <v>Jessica HULL_AUS_2022</v>
      </c>
      <c r="B371" t="s">
        <v>187</v>
      </c>
      <c r="C371" t="s">
        <v>47</v>
      </c>
      <c r="D371" t="s">
        <v>21</v>
      </c>
      <c r="E371">
        <v>15</v>
      </c>
      <c r="F371">
        <v>16</v>
      </c>
      <c r="G371">
        <v>17.399999999999999</v>
      </c>
      <c r="H371">
        <v>16.600000000000001</v>
      </c>
      <c r="I371">
        <v>16.099999999999994</v>
      </c>
      <c r="J371">
        <v>16.5</v>
      </c>
      <c r="K371">
        <v>16.100000000000009</v>
      </c>
      <c r="L371">
        <v>16.299999999999997</v>
      </c>
      <c r="M371">
        <v>15.900000000000006</v>
      </c>
      <c r="N371">
        <v>16.400000000000006</v>
      </c>
      <c r="O371">
        <v>16.199999999999989</v>
      </c>
      <c r="P371">
        <v>16.5</v>
      </c>
      <c r="Q371">
        <v>16.699999999999989</v>
      </c>
      <c r="R371">
        <v>15.900000000000006</v>
      </c>
      <c r="S371">
        <f>Tableau1[[#This Row],[Final_time]]-SUM(Tableau1[[#This Row],[0_100m]:[1300_1400m]])</f>
        <v>15.819999999999993</v>
      </c>
      <c r="T371">
        <v>243.42</v>
      </c>
      <c r="U371">
        <f t="shared" si="10"/>
        <v>243.42</v>
      </c>
      <c r="V371">
        <f t="shared" si="11"/>
        <v>0</v>
      </c>
      <c r="W371" s="12"/>
      <c r="X371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1" t="s">
        <v>375</v>
      </c>
      <c r="Z371" s="2" t="s">
        <v>43</v>
      </c>
      <c r="AA371" s="2"/>
      <c r="AB371" s="2" t="s">
        <v>65</v>
      </c>
      <c r="AC371" s="2">
        <v>44702</v>
      </c>
      <c r="AD371">
        <v>2022</v>
      </c>
      <c r="AE371" s="3">
        <v>18</v>
      </c>
      <c r="AF371" s="5">
        <v>0.53</v>
      </c>
      <c r="AG371" s="3" t="s">
        <v>94</v>
      </c>
    </row>
    <row r="372" spans="1:33" hidden="1" x14ac:dyDescent="0.35">
      <c r="A372" t="str">
        <f>_xlfn.CONCAT(Tableau1[[#This Row],[Athletes]],"_",Tableau1[[#This Row],[Nationality]],"_",Tableau1[[#This Row],[Competition_year]])</f>
        <v>Jemma REEKIE_GBR_2022</v>
      </c>
      <c r="B372" t="s">
        <v>374</v>
      </c>
      <c r="C372" t="s">
        <v>47</v>
      </c>
      <c r="D372" t="s">
        <v>20</v>
      </c>
      <c r="E372">
        <v>15.3</v>
      </c>
      <c r="F372">
        <v>16.5</v>
      </c>
      <c r="G372">
        <v>17.599999999999998</v>
      </c>
      <c r="H372">
        <v>17.100000000000001</v>
      </c>
      <c r="I372">
        <v>16.5</v>
      </c>
      <c r="J372">
        <v>16.5</v>
      </c>
      <c r="K372">
        <v>16</v>
      </c>
      <c r="L372">
        <v>16.400000000000006</v>
      </c>
      <c r="M372">
        <v>16</v>
      </c>
      <c r="N372">
        <v>16.900000000000006</v>
      </c>
      <c r="O372">
        <v>16.5</v>
      </c>
      <c r="P372">
        <v>16.5</v>
      </c>
      <c r="Q372">
        <v>16.299999999999983</v>
      </c>
      <c r="R372">
        <v>16.400000000000006</v>
      </c>
      <c r="S372">
        <f>Tableau1[[#This Row],[Final_time]]-SUM(Tableau1[[#This Row],[0_100m]:[1300_1400m]])</f>
        <v>16.509999999999991</v>
      </c>
      <c r="T372">
        <v>247.01</v>
      </c>
      <c r="U372">
        <f t="shared" si="10"/>
        <v>247.01</v>
      </c>
      <c r="V372">
        <f t="shared" si="11"/>
        <v>0</v>
      </c>
      <c r="W372" s="12"/>
      <c r="X372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2" t="s">
        <v>375</v>
      </c>
      <c r="Z372" s="2" t="s">
        <v>43</v>
      </c>
      <c r="AA372" s="2"/>
      <c r="AB372" s="2" t="s">
        <v>65</v>
      </c>
      <c r="AC372" s="2">
        <v>44702</v>
      </c>
      <c r="AD372">
        <v>2022</v>
      </c>
      <c r="AE372" s="3">
        <v>18</v>
      </c>
      <c r="AF372" s="5">
        <v>0.53</v>
      </c>
      <c r="AG372" s="3" t="s">
        <v>94</v>
      </c>
    </row>
    <row r="373" spans="1:33" hidden="1" x14ac:dyDescent="0.35">
      <c r="A373" t="str">
        <f>_xlfn.CONCAT(Tableau1[[#This Row],[Athletes]],"_",Tableau1[[#This Row],[Nationality]],"_",Tableau1[[#This Row],[Competition_year]])</f>
        <v>Marta PÉREZ_ESP_2022</v>
      </c>
      <c r="B373" t="s">
        <v>183</v>
      </c>
      <c r="C373" t="s">
        <v>47</v>
      </c>
      <c r="D373" t="s">
        <v>22</v>
      </c>
      <c r="E373">
        <v>15.2</v>
      </c>
      <c r="F373">
        <v>16.5</v>
      </c>
      <c r="G373">
        <v>17.500000000000004</v>
      </c>
      <c r="H373">
        <v>16.799999999999997</v>
      </c>
      <c r="I373">
        <v>16.200000000000003</v>
      </c>
      <c r="J373">
        <v>16.5</v>
      </c>
      <c r="K373">
        <v>16.599999999999994</v>
      </c>
      <c r="L373">
        <v>16.600000000000009</v>
      </c>
      <c r="M373">
        <v>16.599999999999994</v>
      </c>
      <c r="N373">
        <v>16.900000000000006</v>
      </c>
      <c r="O373">
        <v>16.5</v>
      </c>
      <c r="P373">
        <v>16.400000000000006</v>
      </c>
      <c r="Q373">
        <v>16.299999999999983</v>
      </c>
      <c r="R373">
        <v>16.700000000000017</v>
      </c>
      <c r="S373">
        <f>Tableau1[[#This Row],[Final_time]]-SUM(Tableau1[[#This Row],[0_100m]:[1300_1400m]])</f>
        <v>16.629999999999995</v>
      </c>
      <c r="T373">
        <v>247.93</v>
      </c>
      <c r="U373">
        <f t="shared" si="10"/>
        <v>247.93</v>
      </c>
      <c r="V373">
        <f t="shared" si="11"/>
        <v>0</v>
      </c>
      <c r="W373" s="12"/>
      <c r="X373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3" t="s">
        <v>375</v>
      </c>
      <c r="Z373" s="2" t="s">
        <v>43</v>
      </c>
      <c r="AA373" s="2"/>
      <c r="AB373" s="2" t="s">
        <v>65</v>
      </c>
      <c r="AC373" s="2">
        <v>44702</v>
      </c>
      <c r="AD373">
        <v>2022</v>
      </c>
      <c r="AE373" s="3">
        <v>18</v>
      </c>
      <c r="AF373" s="5">
        <v>0.53</v>
      </c>
      <c r="AG373" s="3" t="s">
        <v>94</v>
      </c>
    </row>
    <row r="374" spans="1:33" hidden="1" x14ac:dyDescent="0.35">
      <c r="A374" t="str">
        <f>_xlfn.CONCAT(Tableau1[[#This Row],[Athletes]],"_",Tableau1[[#This Row],[Nationality]],"_",Tableau1[[#This Row],[Competition_year]])</f>
        <v>Katie SNOWDEN_GBR_2022</v>
      </c>
      <c r="B374" t="s">
        <v>186</v>
      </c>
      <c r="C374" t="s">
        <v>47</v>
      </c>
      <c r="D374" t="s">
        <v>20</v>
      </c>
      <c r="E374">
        <v>14.9</v>
      </c>
      <c r="F374">
        <v>16.200000000000003</v>
      </c>
      <c r="G374">
        <v>17.5</v>
      </c>
      <c r="H374">
        <v>16.699999999999996</v>
      </c>
      <c r="I374">
        <v>16.400000000000006</v>
      </c>
      <c r="J374">
        <v>16.399999999999991</v>
      </c>
      <c r="K374">
        <v>16.5</v>
      </c>
      <c r="L374">
        <v>16.599999999999994</v>
      </c>
      <c r="M374">
        <v>16.700000000000017</v>
      </c>
      <c r="N374">
        <v>17.199999999999989</v>
      </c>
      <c r="O374">
        <v>16.599999999999994</v>
      </c>
      <c r="P374">
        <v>16.400000000000006</v>
      </c>
      <c r="Q374">
        <v>16.400000000000006</v>
      </c>
      <c r="R374">
        <v>17</v>
      </c>
      <c r="S374">
        <f>Tableau1[[#This Row],[Final_time]]-SUM(Tableau1[[#This Row],[0_100m]:[1300_1400m]])</f>
        <v>16.830000000000013</v>
      </c>
      <c r="T374">
        <v>248.33</v>
      </c>
      <c r="U374">
        <f t="shared" si="10"/>
        <v>248.33</v>
      </c>
      <c r="V374">
        <f t="shared" si="11"/>
        <v>0</v>
      </c>
      <c r="W374" s="12"/>
      <c r="X374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4" t="s">
        <v>375</v>
      </c>
      <c r="Z374" s="2" t="s">
        <v>43</v>
      </c>
      <c r="AA374" s="2"/>
      <c r="AB374" s="2" t="s">
        <v>65</v>
      </c>
      <c r="AC374" s="2">
        <v>44702</v>
      </c>
      <c r="AD374">
        <v>2022</v>
      </c>
      <c r="AE374" s="3">
        <v>18</v>
      </c>
      <c r="AF374" s="5">
        <v>0.53</v>
      </c>
      <c r="AG374" s="3" t="s">
        <v>94</v>
      </c>
    </row>
    <row r="375" spans="1:33" hidden="1" x14ac:dyDescent="0.35">
      <c r="A375" t="str">
        <f>_xlfn.CONCAT(Tableau1[[#This Row],[Athletes]],"_",Tableau1[[#This Row],[Nationality]],"_",Tableau1[[#This Row],[Competition_year]])</f>
        <v>Cory Ann MCGEE_USA_2022</v>
      </c>
      <c r="B375" t="s">
        <v>181</v>
      </c>
      <c r="C375" t="s">
        <v>47</v>
      </c>
      <c r="D375" t="s">
        <v>51</v>
      </c>
      <c r="E375">
        <v>15.4</v>
      </c>
      <c r="F375">
        <v>16.200000000000003</v>
      </c>
      <c r="G375">
        <v>17.399999999999999</v>
      </c>
      <c r="H375">
        <v>17.200000000000003</v>
      </c>
      <c r="I375">
        <v>16.700000000000003</v>
      </c>
      <c r="J375">
        <v>16.399999999999991</v>
      </c>
      <c r="K375">
        <v>16.5</v>
      </c>
      <c r="L375">
        <v>16.399999999999991</v>
      </c>
      <c r="M375">
        <v>16.100000000000023</v>
      </c>
      <c r="N375">
        <v>17</v>
      </c>
      <c r="O375">
        <v>16.199999999999989</v>
      </c>
      <c r="P375">
        <v>16.5</v>
      </c>
      <c r="Q375">
        <v>16.400000000000006</v>
      </c>
      <c r="R375">
        <v>17</v>
      </c>
      <c r="S375">
        <f>Tableau1[[#This Row],[Final_time]]-SUM(Tableau1[[#This Row],[0_100m]:[1300_1400m]])</f>
        <v>16.859999999999985</v>
      </c>
      <c r="T375">
        <v>248.26</v>
      </c>
      <c r="U375">
        <f t="shared" si="10"/>
        <v>248.26</v>
      </c>
      <c r="V375">
        <f t="shared" si="11"/>
        <v>0</v>
      </c>
      <c r="W375" s="12"/>
      <c r="X375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5" t="s">
        <v>375</v>
      </c>
      <c r="Z375" s="2" t="s">
        <v>43</v>
      </c>
      <c r="AA375" s="2"/>
      <c r="AB375" s="2" t="s">
        <v>65</v>
      </c>
      <c r="AC375" s="2">
        <v>44702</v>
      </c>
      <c r="AD375">
        <v>2022</v>
      </c>
      <c r="AE375" s="3">
        <v>18</v>
      </c>
      <c r="AF375" s="5">
        <v>0.53</v>
      </c>
      <c r="AG375" s="3" t="s">
        <v>94</v>
      </c>
    </row>
    <row r="376" spans="1:33" hidden="1" x14ac:dyDescent="0.35">
      <c r="A376" t="str">
        <f>_xlfn.CONCAT(Tableau1[[#This Row],[Athletes]],"_",Tableau1[[#This Row],[Nationality]],"_",Tableau1[[#This Row],[Competition_year]])</f>
        <v>Sarah HEALY_IRL_2022</v>
      </c>
      <c r="B376" t="s">
        <v>166</v>
      </c>
      <c r="C376" t="s">
        <v>47</v>
      </c>
      <c r="D376" t="s">
        <v>35</v>
      </c>
      <c r="E376">
        <v>15.5</v>
      </c>
      <c r="F376">
        <v>16.399999999999999</v>
      </c>
      <c r="G376">
        <v>17.5</v>
      </c>
      <c r="H376">
        <v>16.800000000000004</v>
      </c>
      <c r="I376">
        <v>16.200000000000003</v>
      </c>
      <c r="J376">
        <v>16.899999999999991</v>
      </c>
      <c r="K376">
        <v>16.900000000000006</v>
      </c>
      <c r="L376">
        <v>16.600000000000009</v>
      </c>
      <c r="M376">
        <v>16.899999999999977</v>
      </c>
      <c r="N376">
        <v>17.700000000000017</v>
      </c>
      <c r="O376">
        <v>17.099999999999994</v>
      </c>
      <c r="P376">
        <v>17.400000000000006</v>
      </c>
      <c r="Q376">
        <v>17.900000000000006</v>
      </c>
      <c r="R376">
        <v>18.699999999999989</v>
      </c>
      <c r="S376">
        <f>Tableau1[[#This Row],[Final_time]]-SUM(Tableau1[[#This Row],[0_100m]:[1300_1400m]])</f>
        <v>17.47</v>
      </c>
      <c r="T376">
        <v>255.97</v>
      </c>
      <c r="U376">
        <f t="shared" si="10"/>
        <v>255.97</v>
      </c>
      <c r="V376">
        <f t="shared" si="11"/>
        <v>0</v>
      </c>
      <c r="W376" s="12"/>
      <c r="X376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6" t="s">
        <v>375</v>
      </c>
      <c r="Z376" s="2" t="s">
        <v>43</v>
      </c>
      <c r="AA376" s="2"/>
      <c r="AB376" s="2" t="s">
        <v>65</v>
      </c>
      <c r="AC376" s="2">
        <v>44702</v>
      </c>
      <c r="AD376">
        <v>2022</v>
      </c>
      <c r="AE376" s="3">
        <v>18</v>
      </c>
      <c r="AF376" s="5">
        <v>0.53</v>
      </c>
      <c r="AG376" s="3" t="s">
        <v>94</v>
      </c>
    </row>
    <row r="377" spans="1:33" hidden="1" x14ac:dyDescent="0.35">
      <c r="A377" t="str">
        <f>_xlfn.CONCAT(Tableau1[[#This Row],[Athletes]],"_",Tableau1[[#This Row],[Nationality]],"_",Tableau1[[#This Row],[Competition_year]])</f>
        <v>Elise VANDERELST_BEL_2022</v>
      </c>
      <c r="B377" t="s">
        <v>177</v>
      </c>
      <c r="C377" t="s">
        <v>47</v>
      </c>
      <c r="D377" t="s">
        <v>86</v>
      </c>
      <c r="E377">
        <v>15.1</v>
      </c>
      <c r="F377">
        <v>16.399999999999999</v>
      </c>
      <c r="G377">
        <v>17.700000000000003</v>
      </c>
      <c r="H377">
        <v>17.200000000000003</v>
      </c>
      <c r="I377">
        <v>16.699999999999989</v>
      </c>
      <c r="J377">
        <v>16.700000000000003</v>
      </c>
      <c r="K377">
        <v>16.100000000000009</v>
      </c>
      <c r="L377">
        <v>16.599999999999994</v>
      </c>
      <c r="M377">
        <v>16.099999999999994</v>
      </c>
      <c r="N377">
        <v>17</v>
      </c>
      <c r="O377">
        <v>16.5</v>
      </c>
      <c r="P377">
        <v>16.5</v>
      </c>
      <c r="Q377">
        <v>16.300000000000011</v>
      </c>
      <c r="R377">
        <v>16.699999999999989</v>
      </c>
      <c r="S377">
        <f>Tableau1[[#This Row],[Final_time]]-SUM(Tableau1[[#This Row],[0_100m]:[1300_1400m]])</f>
        <v>17.700000000000017</v>
      </c>
      <c r="T377">
        <v>249.3</v>
      </c>
      <c r="U377">
        <f t="shared" si="10"/>
        <v>249.3</v>
      </c>
      <c r="V377">
        <f t="shared" si="11"/>
        <v>0</v>
      </c>
      <c r="W377" s="12"/>
      <c r="X377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7" t="s">
        <v>375</v>
      </c>
      <c r="Z377" s="2" t="s">
        <v>43</v>
      </c>
      <c r="AA377" s="2"/>
      <c r="AB377" s="2" t="s">
        <v>65</v>
      </c>
      <c r="AC377" s="2">
        <v>44702</v>
      </c>
      <c r="AD377">
        <v>2022</v>
      </c>
      <c r="AE377" s="3">
        <v>18</v>
      </c>
      <c r="AF377" s="5">
        <v>0.53</v>
      </c>
      <c r="AG377" s="3" t="s">
        <v>94</v>
      </c>
    </row>
    <row r="378" spans="1:33" hidden="1" x14ac:dyDescent="0.35">
      <c r="A378" t="str">
        <f>_xlfn.CONCAT(Tableau1[[#This Row],[Athletes]],"_",Tableau1[[#This Row],[Nationality]],"_",Tableau1[[#This Row],[Competition_year]])</f>
        <v>Kristiina SASÍNEK MÄKI_CZE_2022</v>
      </c>
      <c r="B378" t="s">
        <v>1046</v>
      </c>
      <c r="C378" t="s">
        <v>47</v>
      </c>
      <c r="D378" t="s">
        <v>140</v>
      </c>
      <c r="E378">
        <v>15.3</v>
      </c>
      <c r="F378">
        <v>16.3</v>
      </c>
      <c r="G378">
        <v>17.399999999999999</v>
      </c>
      <c r="H378">
        <v>16.900000000000006</v>
      </c>
      <c r="I378">
        <v>16.799999999999997</v>
      </c>
      <c r="J378">
        <v>17</v>
      </c>
      <c r="K378">
        <v>16.799999999999997</v>
      </c>
      <c r="L378">
        <v>16.800000000000011</v>
      </c>
      <c r="M378">
        <v>16.699999999999989</v>
      </c>
      <c r="N378">
        <v>17.099999999999994</v>
      </c>
      <c r="O378">
        <v>16.900000000000006</v>
      </c>
      <c r="P378">
        <v>16.800000000000011</v>
      </c>
      <c r="Q378">
        <v>17</v>
      </c>
      <c r="R378">
        <v>17.599999999999994</v>
      </c>
      <c r="S378">
        <f>Tableau1[[#This Row],[Final_time]]-SUM(Tableau1[[#This Row],[0_100m]:[1300_1400m]])</f>
        <v>18.430000000000007</v>
      </c>
      <c r="T378">
        <v>253.83</v>
      </c>
      <c r="U378">
        <f t="shared" si="10"/>
        <v>253.83</v>
      </c>
      <c r="V378">
        <f t="shared" si="11"/>
        <v>0</v>
      </c>
      <c r="W378" s="12"/>
      <c r="X378" t="str">
        <f>_xlfn.CONCAT(Tableau1[[#This Row],[Competition]],"_",Tableau1[[#This Row],[Championship_step]],"_",Tableau1[[#This Row],[Competition_date]],"_",Tableau1[[#This Row],[Gender]])</f>
        <v>Diamond League London 2022__44702_Female</v>
      </c>
      <c r="Y378" t="s">
        <v>375</v>
      </c>
      <c r="Z378" s="2" t="s">
        <v>43</v>
      </c>
      <c r="AA378" s="2"/>
      <c r="AB378" s="2" t="s">
        <v>65</v>
      </c>
      <c r="AC378" s="2">
        <v>44702</v>
      </c>
      <c r="AD378">
        <v>2022</v>
      </c>
      <c r="AE378" s="3">
        <v>18</v>
      </c>
      <c r="AF378" s="5">
        <v>0.53</v>
      </c>
      <c r="AG378" s="3" t="s">
        <v>94</v>
      </c>
    </row>
    <row r="379" spans="1:33" hidden="1" x14ac:dyDescent="0.35">
      <c r="A379" t="str">
        <f>_xlfn.CONCAT(Tableau1[[#This Row],[Athletes]],"_",Tableau1[[#This Row],[Nationality]],"_",Tableau1[[#This Row],[Competition_year]])</f>
        <v>Abel KIPSANG_KEN_2022</v>
      </c>
      <c r="B379" t="s">
        <v>227</v>
      </c>
      <c r="C379" t="s">
        <v>16</v>
      </c>
      <c r="D379" t="s">
        <v>17</v>
      </c>
      <c r="E379">
        <v>13.5</v>
      </c>
      <c r="F379">
        <v>15.2</v>
      </c>
      <c r="G379">
        <v>14.3</v>
      </c>
      <c r="H379">
        <v>14.200000000000003</v>
      </c>
      <c r="I379">
        <v>14.399999999999991</v>
      </c>
      <c r="J379">
        <v>14.900000000000006</v>
      </c>
      <c r="K379">
        <v>15</v>
      </c>
      <c r="L379">
        <v>14.799999999999997</v>
      </c>
      <c r="M379">
        <v>15.100000000000009</v>
      </c>
      <c r="N379">
        <v>14.799999999999983</v>
      </c>
      <c r="O379">
        <v>14.5</v>
      </c>
      <c r="P379">
        <v>14.100000000000023</v>
      </c>
      <c r="Q379">
        <v>13.599999999999994</v>
      </c>
      <c r="R379">
        <v>13.599999999999994</v>
      </c>
      <c r="S379">
        <f>Tableau1[[#This Row],[Final_time]]-SUM(Tableau1[[#This Row],[0_100m]:[1300_1400m]])</f>
        <v>13.150000000000006</v>
      </c>
      <c r="T379">
        <v>215.15</v>
      </c>
      <c r="U379">
        <f t="shared" si="10"/>
        <v>215.15</v>
      </c>
      <c r="V379">
        <f t="shared" si="11"/>
        <v>0</v>
      </c>
      <c r="W379" s="12"/>
      <c r="X379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79" t="s">
        <v>375</v>
      </c>
      <c r="Z379" s="2" t="s">
        <v>43</v>
      </c>
      <c r="AA379" s="2"/>
      <c r="AB379" s="2" t="s">
        <v>65</v>
      </c>
      <c r="AC379" s="2">
        <v>44702</v>
      </c>
      <c r="AD379">
        <v>2022</v>
      </c>
      <c r="AE379" s="3">
        <v>18</v>
      </c>
      <c r="AF379" s="5">
        <v>0.48</v>
      </c>
      <c r="AG379" s="3" t="s">
        <v>94</v>
      </c>
    </row>
    <row r="380" spans="1:33" hidden="1" x14ac:dyDescent="0.35">
      <c r="A380" t="str">
        <f>_xlfn.CONCAT(Tableau1[[#This Row],[Athletes]],"_",Tableau1[[#This Row],[Nationality]],"_",Tableau1[[#This Row],[Competition_year]])</f>
        <v>Mohamed KATIR_ESP_2022</v>
      </c>
      <c r="B380" t="s">
        <v>149</v>
      </c>
      <c r="C380" t="s">
        <v>16</v>
      </c>
      <c r="D380" t="s">
        <v>22</v>
      </c>
      <c r="E380">
        <v>14.1</v>
      </c>
      <c r="F380">
        <v>15.4</v>
      </c>
      <c r="G380">
        <v>15</v>
      </c>
      <c r="H380">
        <v>14.5</v>
      </c>
      <c r="I380">
        <v>13.700000000000003</v>
      </c>
      <c r="J380">
        <v>14.399999999999991</v>
      </c>
      <c r="K380">
        <v>14.800000000000011</v>
      </c>
      <c r="L380">
        <v>14.799999999999997</v>
      </c>
      <c r="M380">
        <v>14.999999999999986</v>
      </c>
      <c r="N380">
        <v>14.900000000000006</v>
      </c>
      <c r="O380">
        <v>14.3</v>
      </c>
      <c r="P380">
        <v>14.2</v>
      </c>
      <c r="Q380">
        <v>13.5</v>
      </c>
      <c r="R380">
        <v>13.5</v>
      </c>
      <c r="S380">
        <f>Tableau1[[#This Row],[Final_time]]-SUM(Tableau1[[#This Row],[0_100m]:[1300_1400m]])</f>
        <v>13.52000000000001</v>
      </c>
      <c r="T380">
        <v>215.62</v>
      </c>
      <c r="U380">
        <f t="shared" si="10"/>
        <v>215.62</v>
      </c>
      <c r="V380">
        <f t="shared" si="11"/>
        <v>0</v>
      </c>
      <c r="W380" s="12"/>
      <c r="X380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0" t="s">
        <v>375</v>
      </c>
      <c r="Z380" s="2" t="s">
        <v>43</v>
      </c>
      <c r="AA380" s="2"/>
      <c r="AB380" s="2" t="s">
        <v>65</v>
      </c>
      <c r="AC380" s="2">
        <v>44702</v>
      </c>
      <c r="AD380">
        <v>2022</v>
      </c>
      <c r="AE380" s="3">
        <v>18</v>
      </c>
      <c r="AF380" s="5">
        <v>0.48</v>
      </c>
      <c r="AG380" s="3" t="s">
        <v>94</v>
      </c>
    </row>
    <row r="381" spans="1:33" hidden="1" x14ac:dyDescent="0.35">
      <c r="A381" t="str">
        <f>_xlfn.CONCAT(Tableau1[[#This Row],[Athletes]],"_",Tableau1[[#This Row],[Nationality]],"_",Tableau1[[#This Row],[Competition_year]])</f>
        <v>Oliver HOARE_AUS_2022</v>
      </c>
      <c r="B381" t="s">
        <v>249</v>
      </c>
      <c r="C381" t="s">
        <v>16</v>
      </c>
      <c r="D381" t="s">
        <v>21</v>
      </c>
      <c r="E381">
        <v>13.7</v>
      </c>
      <c r="F381">
        <v>15.2</v>
      </c>
      <c r="G381">
        <v>14.300000000000004</v>
      </c>
      <c r="H381">
        <v>14.099999999999994</v>
      </c>
      <c r="I381">
        <v>14.400000000000006</v>
      </c>
      <c r="J381">
        <v>14.899999999999991</v>
      </c>
      <c r="K381">
        <v>15.100000000000009</v>
      </c>
      <c r="L381">
        <v>14.799999999999997</v>
      </c>
      <c r="M381">
        <v>15</v>
      </c>
      <c r="N381">
        <v>14.900000000000006</v>
      </c>
      <c r="O381">
        <v>14.5</v>
      </c>
      <c r="P381">
        <v>14.099999999999994</v>
      </c>
      <c r="Q381">
        <v>13.5</v>
      </c>
      <c r="R381">
        <v>13.699999999999989</v>
      </c>
      <c r="S381">
        <f>Tableau1[[#This Row],[Final_time]]-SUM(Tableau1[[#This Row],[0_100m]:[1300_1400m]])</f>
        <v>13.560000000000002</v>
      </c>
      <c r="T381">
        <v>215.76</v>
      </c>
      <c r="U381">
        <f t="shared" si="10"/>
        <v>215.76</v>
      </c>
      <c r="V381">
        <f t="shared" si="11"/>
        <v>0</v>
      </c>
      <c r="W381" s="12"/>
      <c r="X381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1" t="s">
        <v>375</v>
      </c>
      <c r="Z381" s="2" t="s">
        <v>43</v>
      </c>
      <c r="AA381" s="2"/>
      <c r="AB381" s="2" t="s">
        <v>65</v>
      </c>
      <c r="AC381" s="2">
        <v>44702</v>
      </c>
      <c r="AD381">
        <v>2022</v>
      </c>
      <c r="AE381" s="3">
        <v>18</v>
      </c>
      <c r="AF381" s="5">
        <v>0.48</v>
      </c>
      <c r="AG381" s="3" t="s">
        <v>94</v>
      </c>
    </row>
    <row r="382" spans="1:33" hidden="1" x14ac:dyDescent="0.35">
      <c r="A382" t="str">
        <f>_xlfn.CONCAT(Tableau1[[#This Row],[Athletes]],"_",Tableau1[[#This Row],[Nationality]],"_",Tableau1[[#This Row],[Competition_year]])</f>
        <v>Michał ROZMYS_POL_2022</v>
      </c>
      <c r="B382" t="s">
        <v>236</v>
      </c>
      <c r="C382" t="s">
        <v>16</v>
      </c>
      <c r="D382" t="s">
        <v>83</v>
      </c>
      <c r="E382">
        <v>13.8</v>
      </c>
      <c r="F382">
        <v>15.2</v>
      </c>
      <c r="G382">
        <v>14.700000000000003</v>
      </c>
      <c r="H382">
        <v>14.599999999999994</v>
      </c>
      <c r="I382">
        <v>14.5</v>
      </c>
      <c r="J382">
        <v>15</v>
      </c>
      <c r="K382">
        <v>14.400000000000006</v>
      </c>
      <c r="L382">
        <v>15.099999999999994</v>
      </c>
      <c r="M382">
        <v>14.899999999999991</v>
      </c>
      <c r="N382">
        <v>14.800000000000011</v>
      </c>
      <c r="O382">
        <v>14.5</v>
      </c>
      <c r="P382">
        <v>14</v>
      </c>
      <c r="Q382">
        <v>13.5</v>
      </c>
      <c r="R382">
        <v>13.800000000000011</v>
      </c>
      <c r="S382">
        <f>Tableau1[[#This Row],[Final_time]]-SUM(Tableau1[[#This Row],[0_100m]:[1300_1400m]])</f>
        <v>13.060000000000002</v>
      </c>
      <c r="T382">
        <v>215.86</v>
      </c>
      <c r="U382">
        <f t="shared" si="10"/>
        <v>215.86</v>
      </c>
      <c r="V382">
        <f t="shared" si="11"/>
        <v>0</v>
      </c>
      <c r="W382" s="12"/>
      <c r="X382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2" t="s">
        <v>375</v>
      </c>
      <c r="Z382" s="2" t="s">
        <v>43</v>
      </c>
      <c r="AA382" s="2"/>
      <c r="AB382" s="2" t="s">
        <v>65</v>
      </c>
      <c r="AC382" s="2">
        <v>44702</v>
      </c>
      <c r="AD382">
        <v>2022</v>
      </c>
      <c r="AE382" s="3">
        <v>18</v>
      </c>
      <c r="AF382" s="5">
        <v>0.48</v>
      </c>
      <c r="AG382" s="3" t="s">
        <v>94</v>
      </c>
    </row>
    <row r="383" spans="1:33" hidden="1" x14ac:dyDescent="0.35">
      <c r="A383" t="str">
        <f>_xlfn.CONCAT(Tableau1[[#This Row],[Athletes]],"_",Tableau1[[#This Row],[Nationality]],"_",Tableau1[[#This Row],[Competition_year]])</f>
        <v>Josh KERR_GBR_2022</v>
      </c>
      <c r="B383" t="s">
        <v>189</v>
      </c>
      <c r="C383" t="s">
        <v>16</v>
      </c>
      <c r="D383" t="s">
        <v>20</v>
      </c>
      <c r="E383">
        <v>13.8</v>
      </c>
      <c r="F383">
        <v>15.399999999999999</v>
      </c>
      <c r="G383">
        <v>14.8</v>
      </c>
      <c r="H383">
        <v>14.600000000000001</v>
      </c>
      <c r="I383">
        <v>14.199999999999996</v>
      </c>
      <c r="J383">
        <v>14.600000000000009</v>
      </c>
      <c r="K383">
        <v>14.699999999999989</v>
      </c>
      <c r="L383">
        <v>14.900000000000006</v>
      </c>
      <c r="M383">
        <v>14.800000000000011</v>
      </c>
      <c r="N383">
        <v>15</v>
      </c>
      <c r="O383">
        <v>14.399999999999977</v>
      </c>
      <c r="P383">
        <v>14.200000000000017</v>
      </c>
      <c r="Q383">
        <v>13.599999999999994</v>
      </c>
      <c r="R383">
        <v>13.599999999999994</v>
      </c>
      <c r="S383">
        <f>Tableau1[[#This Row],[Final_time]]-SUM(Tableau1[[#This Row],[0_100m]:[1300_1400m]])</f>
        <v>13.319999999999993</v>
      </c>
      <c r="T383">
        <v>215.92</v>
      </c>
      <c r="U383">
        <f t="shared" si="10"/>
        <v>215.92</v>
      </c>
      <c r="V383">
        <f t="shared" si="11"/>
        <v>0</v>
      </c>
      <c r="W383" s="12"/>
      <c r="X383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3" t="s">
        <v>375</v>
      </c>
      <c r="Z383" s="2" t="s">
        <v>43</v>
      </c>
      <c r="AA383" s="2"/>
      <c r="AB383" s="2" t="s">
        <v>65</v>
      </c>
      <c r="AC383" s="2">
        <v>44702</v>
      </c>
      <c r="AD383">
        <v>2022</v>
      </c>
      <c r="AE383" s="3">
        <v>18</v>
      </c>
      <c r="AF383" s="5">
        <v>0.48</v>
      </c>
      <c r="AG383" s="3" t="s">
        <v>94</v>
      </c>
    </row>
    <row r="384" spans="1:33" hidden="1" x14ac:dyDescent="0.35">
      <c r="A384" t="str">
        <f>_xlfn.CONCAT(Tableau1[[#This Row],[Athletes]],"_",Tableau1[[#This Row],[Nationality]],"_",Tableau1[[#This Row],[Competition_year]])</f>
        <v>Adel MECHAAL_ESP_2022</v>
      </c>
      <c r="B384" t="s">
        <v>190</v>
      </c>
      <c r="C384" t="s">
        <v>16</v>
      </c>
      <c r="D384" t="s">
        <v>22</v>
      </c>
      <c r="E384">
        <v>14.2</v>
      </c>
      <c r="F384">
        <v>15.600000000000001</v>
      </c>
      <c r="G384">
        <v>14.900000000000002</v>
      </c>
      <c r="H384">
        <v>14.599999999999994</v>
      </c>
      <c r="I384">
        <v>14.299999999999997</v>
      </c>
      <c r="J384">
        <v>14.700000000000003</v>
      </c>
      <c r="K384">
        <v>14.200000000000003</v>
      </c>
      <c r="L384">
        <v>14.599999999999994</v>
      </c>
      <c r="M384">
        <v>14.800000000000011</v>
      </c>
      <c r="N384">
        <v>14.799999999999983</v>
      </c>
      <c r="O384">
        <v>14.400000000000006</v>
      </c>
      <c r="P384">
        <v>14.099999999999994</v>
      </c>
      <c r="Q384">
        <v>13.600000000000023</v>
      </c>
      <c r="R384">
        <v>13.599999999999994</v>
      </c>
      <c r="S384">
        <f>Tableau1[[#This Row],[Final_time]]-SUM(Tableau1[[#This Row],[0_100m]:[1300_1400m]])</f>
        <v>13.530000000000001</v>
      </c>
      <c r="T384">
        <v>215.93</v>
      </c>
      <c r="U384">
        <f t="shared" si="10"/>
        <v>215.93</v>
      </c>
      <c r="V384">
        <f t="shared" si="11"/>
        <v>0</v>
      </c>
      <c r="W384" s="12"/>
      <c r="X384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4" t="s">
        <v>375</v>
      </c>
      <c r="Z384" s="2" t="s">
        <v>43</v>
      </c>
      <c r="AA384" s="2"/>
      <c r="AB384" s="2" t="s">
        <v>65</v>
      </c>
      <c r="AC384" s="2">
        <v>44702</v>
      </c>
      <c r="AD384">
        <v>2022</v>
      </c>
      <c r="AE384" s="3">
        <v>18</v>
      </c>
      <c r="AF384" s="5">
        <v>0.48</v>
      </c>
      <c r="AG384" s="3" t="s">
        <v>94</v>
      </c>
    </row>
    <row r="385" spans="1:34" hidden="1" x14ac:dyDescent="0.35">
      <c r="A385" t="str">
        <f>_xlfn.CONCAT(Tableau1[[#This Row],[Athletes]],"_",Tableau1[[#This Row],[Nationality]],"_",Tableau1[[#This Row],[Competition_year]])</f>
        <v>Charles GRETHEN_LUX_2022</v>
      </c>
      <c r="B385" t="s">
        <v>230</v>
      </c>
      <c r="C385" t="s">
        <v>16</v>
      </c>
      <c r="D385" t="s">
        <v>76</v>
      </c>
      <c r="E385">
        <v>13.6</v>
      </c>
      <c r="F385">
        <v>15.200000000000001</v>
      </c>
      <c r="G385">
        <v>14.7</v>
      </c>
      <c r="H385">
        <v>14.5</v>
      </c>
      <c r="I385">
        <v>14.599999999999994</v>
      </c>
      <c r="J385">
        <v>14.800000000000011</v>
      </c>
      <c r="K385">
        <v>14.699999999999989</v>
      </c>
      <c r="L385">
        <v>15.100000000000009</v>
      </c>
      <c r="M385">
        <v>14.799999999999997</v>
      </c>
      <c r="N385">
        <v>14.900000000000006</v>
      </c>
      <c r="O385">
        <v>14.5</v>
      </c>
      <c r="P385">
        <v>14.299999999999983</v>
      </c>
      <c r="Q385">
        <v>13.1</v>
      </c>
      <c r="R385">
        <v>13.7</v>
      </c>
      <c r="S385">
        <f>Tableau1[[#This Row],[Final_time]]-SUM(Tableau1[[#This Row],[0_100m]:[1300_1400m]])</f>
        <v>14.500000000000028</v>
      </c>
      <c r="T385">
        <v>217</v>
      </c>
      <c r="U385">
        <f t="shared" si="10"/>
        <v>217</v>
      </c>
      <c r="V385">
        <f t="shared" si="11"/>
        <v>0</v>
      </c>
      <c r="W385" s="12"/>
      <c r="X385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5" t="s">
        <v>375</v>
      </c>
      <c r="Z385" s="2" t="s">
        <v>43</v>
      </c>
      <c r="AA385" s="2"/>
      <c r="AB385" s="2" t="s">
        <v>65</v>
      </c>
      <c r="AC385" s="2">
        <v>44702</v>
      </c>
      <c r="AD385">
        <v>2022</v>
      </c>
      <c r="AE385" s="3">
        <v>18</v>
      </c>
      <c r="AF385" s="5">
        <v>0.48</v>
      </c>
      <c r="AG385" s="3" t="s">
        <v>94</v>
      </c>
    </row>
    <row r="386" spans="1:34" hidden="1" x14ac:dyDescent="0.35">
      <c r="A386" t="str">
        <f>_xlfn.CONCAT(Tableau1[[#This Row],[Athletes]],"_",Tableau1[[#This Row],[Nationality]],"_",Tableau1[[#This Row],[Competition_year]])</f>
        <v>Matthew STONIER_GBR_2022</v>
      </c>
      <c r="B386" t="s">
        <v>278</v>
      </c>
      <c r="C386" t="s">
        <v>16</v>
      </c>
      <c r="D386" t="s">
        <v>20</v>
      </c>
      <c r="E386">
        <v>14.2</v>
      </c>
      <c r="F386">
        <v>15.600000000000001</v>
      </c>
      <c r="G386">
        <v>14.999999999999996</v>
      </c>
      <c r="H386">
        <v>14.800000000000004</v>
      </c>
      <c r="I386">
        <v>14.300000000000004</v>
      </c>
      <c r="J386">
        <v>14.599999999999994</v>
      </c>
      <c r="K386">
        <v>14.599999999999994</v>
      </c>
      <c r="L386">
        <v>15.200000000000003</v>
      </c>
      <c r="M386">
        <v>14.700000000000003</v>
      </c>
      <c r="N386">
        <v>14.900000000000006</v>
      </c>
      <c r="O386">
        <v>14.5</v>
      </c>
      <c r="P386">
        <v>14.099999999999994</v>
      </c>
      <c r="Q386">
        <v>13.599999999999994</v>
      </c>
      <c r="R386">
        <v>13.5</v>
      </c>
      <c r="S386">
        <f>Tableau1[[#This Row],[Final_time]]-SUM(Tableau1[[#This Row],[0_100m]:[1300_1400m]])</f>
        <v>13.650000000000006</v>
      </c>
      <c r="T386">
        <v>217.25</v>
      </c>
      <c r="U386">
        <f t="shared" ref="U386:U449" si="12">SUM(E386:S386)</f>
        <v>217.25</v>
      </c>
      <c r="V386">
        <f t="shared" ref="V386:V449" si="13">ABS(U386-T386)</f>
        <v>0</v>
      </c>
      <c r="W386" s="12"/>
      <c r="X386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6" t="s">
        <v>375</v>
      </c>
      <c r="Z386" s="2" t="s">
        <v>43</v>
      </c>
      <c r="AA386" s="2"/>
      <c r="AB386" s="2" t="s">
        <v>65</v>
      </c>
      <c r="AC386" s="2">
        <v>44702</v>
      </c>
      <c r="AD386">
        <v>2022</v>
      </c>
      <c r="AE386" s="3">
        <v>18</v>
      </c>
      <c r="AF386" s="5">
        <v>0.48</v>
      </c>
      <c r="AG386" s="3" t="s">
        <v>94</v>
      </c>
    </row>
    <row r="387" spans="1:34" hidden="1" x14ac:dyDescent="0.35">
      <c r="A387" t="str">
        <f>_xlfn.CONCAT(Tableau1[[#This Row],[Athletes]],"_",Tableau1[[#This Row],[Nationality]],"_",Tableau1[[#This Row],[Competition_year]])</f>
        <v>Geordie BEAMISH_NZL_2022</v>
      </c>
      <c r="B387" t="s">
        <v>918</v>
      </c>
      <c r="C387" t="s">
        <v>16</v>
      </c>
      <c r="D387" t="s">
        <v>118</v>
      </c>
      <c r="E387">
        <v>14</v>
      </c>
      <c r="F387">
        <v>15.3</v>
      </c>
      <c r="G387">
        <v>14.900000000000002</v>
      </c>
      <c r="H387">
        <v>14.699999999999996</v>
      </c>
      <c r="I387">
        <v>14.500000000000007</v>
      </c>
      <c r="J387">
        <v>14.699999999999989</v>
      </c>
      <c r="K387">
        <v>14.800000000000011</v>
      </c>
      <c r="L387">
        <v>15.099999999999994</v>
      </c>
      <c r="M387">
        <v>14.800000000000011</v>
      </c>
      <c r="N387">
        <v>14.8</v>
      </c>
      <c r="O387">
        <v>14.3</v>
      </c>
      <c r="P387">
        <v>14.8</v>
      </c>
      <c r="Q387">
        <v>13.7</v>
      </c>
      <c r="R387">
        <v>13.7</v>
      </c>
      <c r="S387">
        <f>Tableau1[[#This Row],[Final_time]]-SUM(Tableau1[[#This Row],[0_100m]:[1300_1400m]])</f>
        <v>13.349999999999966</v>
      </c>
      <c r="T387">
        <v>217.45</v>
      </c>
      <c r="U387">
        <f t="shared" si="12"/>
        <v>217.45</v>
      </c>
      <c r="V387">
        <f t="shared" si="13"/>
        <v>0</v>
      </c>
      <c r="W387" s="12"/>
      <c r="X387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7" t="s">
        <v>375</v>
      </c>
      <c r="Z387" s="2" t="s">
        <v>43</v>
      </c>
      <c r="AA387" s="2"/>
      <c r="AB387" s="2" t="s">
        <v>65</v>
      </c>
      <c r="AC387" s="2">
        <v>44702</v>
      </c>
      <c r="AD387">
        <v>2022</v>
      </c>
      <c r="AE387" s="3">
        <v>18</v>
      </c>
      <c r="AF387" s="5">
        <v>0.48</v>
      </c>
      <c r="AG387" s="3" t="s">
        <v>94</v>
      </c>
    </row>
    <row r="388" spans="1:34" hidden="1" x14ac:dyDescent="0.35">
      <c r="A388" t="str">
        <f>_xlfn.CONCAT(Tableau1[[#This Row],[Athletes]],"_",Tableau1[[#This Row],[Nationality]],"_",Tableau1[[#This Row],[Competition_year]])</f>
        <v>Ignacio FONTES_ESP_2022</v>
      </c>
      <c r="B388" t="s">
        <v>251</v>
      </c>
      <c r="C388" t="s">
        <v>16</v>
      </c>
      <c r="D388" t="s">
        <v>22</v>
      </c>
      <c r="E388">
        <v>14</v>
      </c>
      <c r="F388">
        <v>15.600000000000001</v>
      </c>
      <c r="G388">
        <v>15</v>
      </c>
      <c r="H388">
        <v>14.5</v>
      </c>
      <c r="I388">
        <v>14.300000000000004</v>
      </c>
      <c r="J388">
        <v>14.699999999999989</v>
      </c>
      <c r="K388">
        <v>14.5</v>
      </c>
      <c r="L388">
        <v>14.9</v>
      </c>
      <c r="M388">
        <v>14.699999999999989</v>
      </c>
      <c r="N388">
        <v>15</v>
      </c>
      <c r="O388">
        <v>14.400000000000006</v>
      </c>
      <c r="P388">
        <v>14.5</v>
      </c>
      <c r="Q388">
        <v>13.8</v>
      </c>
      <c r="R388">
        <v>14</v>
      </c>
      <c r="S388">
        <f>Tableau1[[#This Row],[Final_time]]-SUM(Tableau1[[#This Row],[0_100m]:[1300_1400m]])</f>
        <v>13.759999999999991</v>
      </c>
      <c r="T388">
        <v>217.66</v>
      </c>
      <c r="U388">
        <f t="shared" si="12"/>
        <v>217.66</v>
      </c>
      <c r="V388">
        <f t="shared" si="13"/>
        <v>0</v>
      </c>
      <c r="W388" s="12"/>
      <c r="X388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8" t="s">
        <v>375</v>
      </c>
      <c r="Z388" s="2" t="s">
        <v>43</v>
      </c>
      <c r="AA388" s="2"/>
      <c r="AB388" s="2" t="s">
        <v>65</v>
      </c>
      <c r="AC388" s="2">
        <v>44702</v>
      </c>
      <c r="AD388">
        <v>2022</v>
      </c>
      <c r="AE388" s="3">
        <v>18</v>
      </c>
      <c r="AF388" s="5">
        <v>0.48</v>
      </c>
      <c r="AG388" s="3" t="s">
        <v>94</v>
      </c>
    </row>
    <row r="389" spans="1:34" hidden="1" x14ac:dyDescent="0.35">
      <c r="A389" t="str">
        <f>_xlfn.CONCAT(Tableau1[[#This Row],[Athletes]],"_",Tableau1[[#This Row],[Nationality]],"_",Tableau1[[#This Row],[Competition_year]])</f>
        <v>Matthew RAMSDEN_AUS_2022</v>
      </c>
      <c r="B389" t="s">
        <v>198</v>
      </c>
      <c r="C389" t="s">
        <v>16</v>
      </c>
      <c r="D389" t="s">
        <v>21</v>
      </c>
      <c r="E389">
        <v>14.1</v>
      </c>
      <c r="F389">
        <v>14.4</v>
      </c>
      <c r="G389">
        <v>14.200000000000003</v>
      </c>
      <c r="H389">
        <v>14.099999999999994</v>
      </c>
      <c r="I389">
        <v>14.5</v>
      </c>
      <c r="J389">
        <v>14.900000000000006</v>
      </c>
      <c r="K389">
        <v>15</v>
      </c>
      <c r="L389">
        <v>14.899999999999991</v>
      </c>
      <c r="M389">
        <v>15</v>
      </c>
      <c r="N389">
        <v>14.700000000000017</v>
      </c>
      <c r="O389">
        <v>14.699999999999989</v>
      </c>
      <c r="P389">
        <v>14.8</v>
      </c>
      <c r="Q389">
        <v>14.7</v>
      </c>
      <c r="R389">
        <v>15</v>
      </c>
      <c r="S389">
        <f>Tableau1[[#This Row],[Final_time]]-SUM(Tableau1[[#This Row],[0_100m]:[1300_1400m]])</f>
        <v>14.650000000000006</v>
      </c>
      <c r="T389">
        <v>219.65</v>
      </c>
      <c r="U389">
        <f t="shared" si="12"/>
        <v>219.65</v>
      </c>
      <c r="V389">
        <f t="shared" si="13"/>
        <v>0</v>
      </c>
      <c r="W389" s="12"/>
      <c r="X389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89" t="s">
        <v>375</v>
      </c>
      <c r="Z389" s="2" t="s">
        <v>43</v>
      </c>
      <c r="AA389" s="2"/>
      <c r="AB389" s="2" t="s">
        <v>65</v>
      </c>
      <c r="AC389" s="2">
        <v>44702</v>
      </c>
      <c r="AD389">
        <v>2022</v>
      </c>
      <c r="AE389" s="3">
        <v>18</v>
      </c>
      <c r="AF389" s="5">
        <v>0.48</v>
      </c>
      <c r="AG389" s="3" t="s">
        <v>94</v>
      </c>
    </row>
    <row r="390" spans="1:34" hidden="1" x14ac:dyDescent="0.35">
      <c r="A390" t="str">
        <f>_xlfn.CONCAT(Tableau1[[#This Row],[Athletes]],"_",Tableau1[[#This Row],[Nationality]],"_",Tableau1[[#This Row],[Competition_year]])</f>
        <v>Baptiste MISCHLER_FRA_2022</v>
      </c>
      <c r="B390" t="s">
        <v>346</v>
      </c>
      <c r="C390" t="s">
        <v>16</v>
      </c>
      <c r="D390" t="s">
        <v>18</v>
      </c>
      <c r="E390">
        <v>14.4</v>
      </c>
      <c r="F390">
        <v>15.6</v>
      </c>
      <c r="G390">
        <v>14.899999999999999</v>
      </c>
      <c r="H390">
        <v>14.899999999999999</v>
      </c>
      <c r="I390">
        <v>14.299999999999997</v>
      </c>
      <c r="J390">
        <v>14.600000000000009</v>
      </c>
      <c r="K390">
        <v>14.200000000000003</v>
      </c>
      <c r="L390">
        <v>14.899999999999991</v>
      </c>
      <c r="M390">
        <v>14.799999999999997</v>
      </c>
      <c r="N390">
        <v>15.099999999999994</v>
      </c>
      <c r="O390">
        <v>14.600000000000023</v>
      </c>
      <c r="P390">
        <v>14.6</v>
      </c>
      <c r="Q390">
        <v>14.1</v>
      </c>
      <c r="R390">
        <v>14.400000000000006</v>
      </c>
      <c r="S390">
        <f>Tableau1[[#This Row],[Final_time]]-SUM(Tableau1[[#This Row],[0_100m]:[1300_1400m]])</f>
        <v>14.539999999999992</v>
      </c>
      <c r="T390">
        <v>219.94</v>
      </c>
      <c r="U390">
        <f t="shared" si="12"/>
        <v>219.94</v>
      </c>
      <c r="V390">
        <f t="shared" si="13"/>
        <v>0</v>
      </c>
      <c r="W390" s="12"/>
      <c r="X390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90" t="s">
        <v>375</v>
      </c>
      <c r="Z390" s="2" t="s">
        <v>43</v>
      </c>
      <c r="AA390" s="2"/>
      <c r="AB390" s="2" t="s">
        <v>65</v>
      </c>
      <c r="AC390" s="2">
        <v>44702</v>
      </c>
      <c r="AD390">
        <v>2022</v>
      </c>
      <c r="AE390" s="3">
        <v>18</v>
      </c>
      <c r="AF390" s="5">
        <v>0.48</v>
      </c>
      <c r="AG390" s="3" t="s">
        <v>94</v>
      </c>
    </row>
    <row r="391" spans="1:34" hidden="1" x14ac:dyDescent="0.35">
      <c r="A391" t="str">
        <f>_xlfn.CONCAT(Tableau1[[#This Row],[Athletes]],"_",Tableau1[[#This Row],[Nationality]],"_",Tableau1[[#This Row],[Competition_year]])</f>
        <v>George MILLS_GBR_2022</v>
      </c>
      <c r="B391" t="s">
        <v>279</v>
      </c>
      <c r="C391" t="s">
        <v>16</v>
      </c>
      <c r="D391" t="s">
        <v>20</v>
      </c>
      <c r="E391">
        <v>13.8</v>
      </c>
      <c r="F391">
        <v>15.2</v>
      </c>
      <c r="G391">
        <v>14.899999999999999</v>
      </c>
      <c r="H391">
        <v>14.600000000000001</v>
      </c>
      <c r="I391">
        <v>14.5</v>
      </c>
      <c r="J391">
        <v>14.599999999999994</v>
      </c>
      <c r="K391">
        <v>14.800000000000011</v>
      </c>
      <c r="L391">
        <v>15.299999999999997</v>
      </c>
      <c r="M391">
        <v>14.799999999999997</v>
      </c>
      <c r="N391">
        <v>15</v>
      </c>
      <c r="O391">
        <v>14.5</v>
      </c>
      <c r="P391">
        <v>14.9</v>
      </c>
      <c r="Q391">
        <v>14.700000000000017</v>
      </c>
      <c r="R391">
        <v>15.1</v>
      </c>
      <c r="S391">
        <f>Tableau1[[#This Row],[Final_time]]-SUM(Tableau1[[#This Row],[0_100m]:[1300_1400m]])</f>
        <v>15.629999999999995</v>
      </c>
      <c r="T391">
        <v>222.33</v>
      </c>
      <c r="U391">
        <f t="shared" si="12"/>
        <v>222.33</v>
      </c>
      <c r="V391">
        <f t="shared" si="13"/>
        <v>0</v>
      </c>
      <c r="W391" s="12"/>
      <c r="X391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91" t="s">
        <v>375</v>
      </c>
      <c r="Z391" s="2" t="s">
        <v>43</v>
      </c>
      <c r="AA391" s="2"/>
      <c r="AB391" s="2" t="s">
        <v>65</v>
      </c>
      <c r="AC391" s="2">
        <v>44702</v>
      </c>
      <c r="AD391">
        <v>2022</v>
      </c>
      <c r="AE391" s="3">
        <v>18</v>
      </c>
      <c r="AF391" s="5">
        <v>0.48</v>
      </c>
      <c r="AG391" s="3" t="s">
        <v>94</v>
      </c>
    </row>
    <row r="392" spans="1:34" hidden="1" x14ac:dyDescent="0.35">
      <c r="A392" t="str">
        <f>_xlfn.CONCAT(Tableau1[[#This Row],[Athletes]],"_",Tableau1[[#This Row],[Nationality]],"_",Tableau1[[#This Row],[Competition_year]])</f>
        <v>Stewart MCSWEYN_AUS_2022</v>
      </c>
      <c r="B392" t="s">
        <v>219</v>
      </c>
      <c r="C392" t="s">
        <v>16</v>
      </c>
      <c r="D392" t="s">
        <v>21</v>
      </c>
      <c r="E392">
        <v>13.9</v>
      </c>
      <c r="F392">
        <v>14.4</v>
      </c>
      <c r="G392">
        <v>14.2</v>
      </c>
      <c r="H392">
        <v>14.100000000000001</v>
      </c>
      <c r="I392">
        <v>14.399999999999999</v>
      </c>
      <c r="J392">
        <v>15</v>
      </c>
      <c r="K392">
        <v>15.299999999999997</v>
      </c>
      <c r="L392">
        <v>15.299999999999997</v>
      </c>
      <c r="M392">
        <v>15.5</v>
      </c>
      <c r="N392">
        <v>15.300000000000011</v>
      </c>
      <c r="O392">
        <v>15.299999999999983</v>
      </c>
      <c r="P392">
        <v>15.300000000000011</v>
      </c>
      <c r="Q392">
        <v>15.300000000000011</v>
      </c>
      <c r="R392">
        <v>15.599999999999994</v>
      </c>
      <c r="S392">
        <f>Tableau1[[#This Row],[Final_time]]-SUM(Tableau1[[#This Row],[0_100m]:[1300_1400m]])</f>
        <v>15.239999999999981</v>
      </c>
      <c r="T392">
        <v>224.14</v>
      </c>
      <c r="U392">
        <f t="shared" si="12"/>
        <v>224.14</v>
      </c>
      <c r="V392">
        <f t="shared" si="13"/>
        <v>0</v>
      </c>
      <c r="W392" s="12"/>
      <c r="X392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92" t="s">
        <v>375</v>
      </c>
      <c r="Z392" s="2" t="s">
        <v>43</v>
      </c>
      <c r="AA392" s="2"/>
      <c r="AB392" s="2" t="s">
        <v>65</v>
      </c>
      <c r="AC392" s="2">
        <v>44702</v>
      </c>
      <c r="AD392">
        <v>2022</v>
      </c>
      <c r="AE392" s="3">
        <v>18</v>
      </c>
      <c r="AF392" s="5">
        <v>0.48</v>
      </c>
      <c r="AG392" s="3" t="s">
        <v>94</v>
      </c>
    </row>
    <row r="393" spans="1:34" hidden="1" x14ac:dyDescent="0.35">
      <c r="A393" t="str">
        <f>_xlfn.CONCAT(Tableau1[[#This Row],[Athletes]],"_",Tableau1[[#This Row],[Nationality]],"_",Tableau1[[#This Row],[Competition_year]])</f>
        <v>Charles Cheboi SIMOTWO_KEN_2022</v>
      </c>
      <c r="B393" t="s">
        <v>258</v>
      </c>
      <c r="C393" t="s">
        <v>16</v>
      </c>
      <c r="D393" t="s">
        <v>17</v>
      </c>
      <c r="E393">
        <v>13.9</v>
      </c>
      <c r="F393">
        <v>15.499999999999998</v>
      </c>
      <c r="G393">
        <v>14.800000000000004</v>
      </c>
      <c r="H393">
        <v>14.599999999999994</v>
      </c>
      <c r="I393">
        <v>14.299999999999997</v>
      </c>
      <c r="J393">
        <v>14.700000000000003</v>
      </c>
      <c r="K393">
        <v>14.5</v>
      </c>
      <c r="L393">
        <v>14.5</v>
      </c>
      <c r="M393">
        <v>14.9</v>
      </c>
      <c r="N393">
        <v>14.900000000000006</v>
      </c>
      <c r="O393">
        <v>14.8</v>
      </c>
      <c r="P393">
        <v>15.2</v>
      </c>
      <c r="Q393">
        <v>15.3</v>
      </c>
      <c r="R393">
        <v>16.5</v>
      </c>
      <c r="S393">
        <f>Tableau1[[#This Row],[Final_time]]-SUM(Tableau1[[#This Row],[0_100m]:[1300_1400m]])</f>
        <v>16.419999999999987</v>
      </c>
      <c r="T393">
        <v>224.82</v>
      </c>
      <c r="U393">
        <f t="shared" si="12"/>
        <v>224.82</v>
      </c>
      <c r="V393">
        <f t="shared" si="13"/>
        <v>0</v>
      </c>
      <c r="W393" s="12"/>
      <c r="X393" t="str">
        <f>_xlfn.CONCAT(Tableau1[[#This Row],[Competition]],"_",Tableau1[[#This Row],[Championship_step]],"_",Tableau1[[#This Row],[Competition_date]],"_",Tableau1[[#This Row],[Gender]])</f>
        <v>Diamond League London 2022__44702_Male</v>
      </c>
      <c r="Y393" t="s">
        <v>375</v>
      </c>
      <c r="Z393" s="2" t="s">
        <v>43</v>
      </c>
      <c r="AA393" s="2"/>
      <c r="AB393" s="2" t="s">
        <v>65</v>
      </c>
      <c r="AC393" s="2">
        <v>44702</v>
      </c>
      <c r="AD393">
        <v>2022</v>
      </c>
      <c r="AE393" s="3">
        <v>18</v>
      </c>
      <c r="AF393" s="5">
        <v>0.48</v>
      </c>
      <c r="AG393" s="3" t="s">
        <v>94</v>
      </c>
    </row>
    <row r="394" spans="1:34" hidden="1" x14ac:dyDescent="0.35">
      <c r="A394" t="str">
        <f>_xlfn.CONCAT(Tableau1[[#This Row],[Athletes]],"_",Tableau1[[#This Row],[Nationality]],"_",Tableau1[[#This Row],[Competition_year]])</f>
        <v>Elliot GILES_GBR_2023</v>
      </c>
      <c r="B394" t="s">
        <v>231</v>
      </c>
      <c r="C394" t="s">
        <v>16</v>
      </c>
      <c r="D394" t="s">
        <v>20</v>
      </c>
      <c r="E394">
        <v>13.7</v>
      </c>
      <c r="F394">
        <v>14.9</v>
      </c>
      <c r="G394">
        <v>14.5</v>
      </c>
      <c r="H394">
        <v>14.3</v>
      </c>
      <c r="I394">
        <v>14.1</v>
      </c>
      <c r="J394">
        <v>14.2</v>
      </c>
      <c r="K394">
        <v>14.5</v>
      </c>
      <c r="L394">
        <v>14.5</v>
      </c>
      <c r="M394">
        <v>14.2</v>
      </c>
      <c r="N394">
        <v>14.3</v>
      </c>
      <c r="O394">
        <v>13.8</v>
      </c>
      <c r="P394">
        <v>14.1</v>
      </c>
      <c r="Q394">
        <v>13.2</v>
      </c>
      <c r="R394">
        <v>13.9</v>
      </c>
      <c r="S394">
        <f>Tableau1[[#This Row],[Final_time]]-SUM(Tableau1[[#This Row],[0_100m]:[1300_1400m]])</f>
        <v>12.71999999999997</v>
      </c>
      <c r="T394">
        <v>210.92</v>
      </c>
      <c r="U394">
        <f t="shared" si="12"/>
        <v>210.92</v>
      </c>
      <c r="V394">
        <f t="shared" si="13"/>
        <v>0</v>
      </c>
      <c r="W394" s="12"/>
      <c r="X394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394" t="s">
        <v>280</v>
      </c>
      <c r="Z394" s="2" t="s">
        <v>43</v>
      </c>
      <c r="AA394" s="2"/>
      <c r="AB394" s="2" t="s">
        <v>65</v>
      </c>
      <c r="AC394" s="2">
        <v>45130</v>
      </c>
      <c r="AD394" s="3">
        <v>2023</v>
      </c>
      <c r="AE394" s="3">
        <v>23</v>
      </c>
      <c r="AF394" s="5">
        <v>0.56999999999999995</v>
      </c>
      <c r="AG394" s="3" t="s">
        <v>281</v>
      </c>
      <c r="AH394" t="s">
        <v>268</v>
      </c>
    </row>
    <row r="395" spans="1:34" hidden="1" x14ac:dyDescent="0.35">
      <c r="A395" t="str">
        <f>_xlfn.CONCAT(Tableau1[[#This Row],[Athletes]],"_",Tableau1[[#This Row],[Nationality]],"_",Tableau1[[#This Row],[Competition_year]])</f>
        <v>Neil GOURLEY_GBR_2023</v>
      </c>
      <c r="B395" t="s">
        <v>202</v>
      </c>
      <c r="C395" t="s">
        <v>16</v>
      </c>
      <c r="D395" t="s">
        <v>20</v>
      </c>
      <c r="E395">
        <v>13.7</v>
      </c>
      <c r="F395">
        <v>15</v>
      </c>
      <c r="G395">
        <v>14.5</v>
      </c>
      <c r="H395">
        <v>14.4</v>
      </c>
      <c r="I395">
        <v>14.1</v>
      </c>
      <c r="J395">
        <v>14.2</v>
      </c>
      <c r="K395">
        <v>14.5</v>
      </c>
      <c r="L395">
        <v>14.6</v>
      </c>
      <c r="M395">
        <v>14.1</v>
      </c>
      <c r="N395">
        <v>14.3</v>
      </c>
      <c r="O395">
        <v>13.7</v>
      </c>
      <c r="P395">
        <v>14.1</v>
      </c>
      <c r="Q395">
        <v>13.2</v>
      </c>
      <c r="R395">
        <v>13.4</v>
      </c>
      <c r="S395">
        <f>Tableau1[[#This Row],[Final_time]]-SUM(Tableau1[[#This Row],[0_100m]:[1300_1400m]])</f>
        <v>12.800000000000011</v>
      </c>
      <c r="T395">
        <v>210.6</v>
      </c>
      <c r="U395">
        <f t="shared" si="12"/>
        <v>210.6</v>
      </c>
      <c r="V395">
        <f t="shared" si="13"/>
        <v>0</v>
      </c>
      <c r="W395" s="12"/>
      <c r="X395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395" t="s">
        <v>280</v>
      </c>
      <c r="Z395" s="2" t="s">
        <v>43</v>
      </c>
      <c r="AA395" s="2"/>
      <c r="AB395" s="2" t="s">
        <v>65</v>
      </c>
      <c r="AC395" s="2">
        <v>45130</v>
      </c>
      <c r="AD395" s="3">
        <v>2023</v>
      </c>
      <c r="AE395" s="3">
        <v>23</v>
      </c>
      <c r="AF395" s="5">
        <v>0.56999999999999995</v>
      </c>
      <c r="AG395" s="3" t="s">
        <v>281</v>
      </c>
      <c r="AH395" t="s">
        <v>268</v>
      </c>
    </row>
    <row r="396" spans="1:34" hidden="1" x14ac:dyDescent="0.35">
      <c r="A396" t="str">
        <f>_xlfn.CONCAT(Tableau1[[#This Row],[Athletes]],"_",Tableau1[[#This Row],[Nationality]],"_",Tableau1[[#This Row],[Competition_year]])</f>
        <v>Matthew STONIER_GBR_2023</v>
      </c>
      <c r="B396" t="s">
        <v>278</v>
      </c>
      <c r="C396" t="s">
        <v>16</v>
      </c>
      <c r="D396" t="s">
        <v>20</v>
      </c>
      <c r="E396">
        <v>13.9</v>
      </c>
      <c r="F396">
        <v>15</v>
      </c>
      <c r="G396">
        <v>14.6</v>
      </c>
      <c r="H396">
        <v>14.5</v>
      </c>
      <c r="I396">
        <v>14.1</v>
      </c>
      <c r="J396">
        <v>14.2</v>
      </c>
      <c r="K396">
        <v>14.5</v>
      </c>
      <c r="L396">
        <v>14.5</v>
      </c>
      <c r="M396">
        <v>14.2</v>
      </c>
      <c r="N396">
        <v>14.2</v>
      </c>
      <c r="O396">
        <v>13.8</v>
      </c>
      <c r="P396">
        <v>14</v>
      </c>
      <c r="Q396">
        <v>13.3</v>
      </c>
      <c r="R396">
        <v>13.6</v>
      </c>
      <c r="S396">
        <f>Tableau1[[#This Row],[Final_time]]-SUM(Tableau1[[#This Row],[0_100m]:[1300_1400m]])</f>
        <v>12.900000000000006</v>
      </c>
      <c r="T396">
        <v>211.3</v>
      </c>
      <c r="U396">
        <f t="shared" si="12"/>
        <v>211.3</v>
      </c>
      <c r="V396">
        <f t="shared" si="13"/>
        <v>0</v>
      </c>
      <c r="W396" s="12"/>
      <c r="X39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396" t="s">
        <v>280</v>
      </c>
      <c r="Z396" s="2" t="s">
        <v>43</v>
      </c>
      <c r="AA396" s="2"/>
      <c r="AB396" s="2" t="s">
        <v>65</v>
      </c>
      <c r="AC396" s="2">
        <v>45130</v>
      </c>
      <c r="AD396" s="3">
        <v>2023</v>
      </c>
      <c r="AE396" s="3">
        <v>23</v>
      </c>
      <c r="AF396" s="5">
        <v>0.56999999999999995</v>
      </c>
      <c r="AG396" s="3" t="s">
        <v>281</v>
      </c>
      <c r="AH396" t="s">
        <v>268</v>
      </c>
    </row>
    <row r="397" spans="1:34" hidden="1" x14ac:dyDescent="0.35">
      <c r="A397" t="str">
        <f>_xlfn.CONCAT(Tableau1[[#This Row],[Athletes]],"_",Tableau1[[#This Row],[Nationality]],"_",Tableau1[[#This Row],[Competition_year]])</f>
        <v>Yared NUGUSE_USA_2023</v>
      </c>
      <c r="B397" t="s">
        <v>228</v>
      </c>
      <c r="C397" t="s">
        <v>16</v>
      </c>
      <c r="D397" t="s">
        <v>51</v>
      </c>
      <c r="E397">
        <v>13.8</v>
      </c>
      <c r="F397">
        <v>14.8</v>
      </c>
      <c r="G397">
        <v>14.4</v>
      </c>
      <c r="H397">
        <v>14.4</v>
      </c>
      <c r="I397">
        <v>13.8</v>
      </c>
      <c r="J397">
        <v>14.2</v>
      </c>
      <c r="K397">
        <v>14.3</v>
      </c>
      <c r="L397">
        <v>14.4</v>
      </c>
      <c r="M397">
        <v>14.1</v>
      </c>
      <c r="N397">
        <v>14.1</v>
      </c>
      <c r="O397">
        <v>14.1</v>
      </c>
      <c r="P397">
        <v>13.9</v>
      </c>
      <c r="Q397">
        <v>13.6</v>
      </c>
      <c r="R397">
        <v>13.6</v>
      </c>
      <c r="S397">
        <f>Tableau1[[#This Row],[Final_time]]-SUM(Tableau1[[#This Row],[0_100m]:[1300_1400m]])</f>
        <v>12.939999999999998</v>
      </c>
      <c r="T397">
        <v>210.44</v>
      </c>
      <c r="U397">
        <f t="shared" si="12"/>
        <v>210.44</v>
      </c>
      <c r="V397">
        <f t="shared" si="13"/>
        <v>0</v>
      </c>
      <c r="W397" s="12"/>
      <c r="X397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397" t="s">
        <v>280</v>
      </c>
      <c r="Z397" s="2" t="s">
        <v>43</v>
      </c>
      <c r="AA397" s="2"/>
      <c r="AB397" s="2" t="s">
        <v>65</v>
      </c>
      <c r="AC397" s="2">
        <v>45130</v>
      </c>
      <c r="AD397" s="3">
        <v>2023</v>
      </c>
      <c r="AE397" s="3">
        <v>23</v>
      </c>
      <c r="AF397" s="5">
        <v>0.56999999999999995</v>
      </c>
      <c r="AG397" s="3" t="s">
        <v>281</v>
      </c>
      <c r="AH397" t="s">
        <v>268</v>
      </c>
    </row>
    <row r="398" spans="1:34" hidden="1" x14ac:dyDescent="0.35">
      <c r="A398" t="str">
        <f>_xlfn.CONCAT(Tableau1[[#This Row],[Athletes]],"_",Tableau1[[#This Row],[Nationality]],"_",Tableau1[[#This Row],[Competition_year]])</f>
        <v>Samuel TANNER_NZL_2023</v>
      </c>
      <c r="B398" t="s">
        <v>203</v>
      </c>
      <c r="C398" t="s">
        <v>16</v>
      </c>
      <c r="D398" t="s">
        <v>118</v>
      </c>
      <c r="E398">
        <v>13.7</v>
      </c>
      <c r="F398">
        <v>15</v>
      </c>
      <c r="G398">
        <v>14.6</v>
      </c>
      <c r="H398">
        <v>14.5</v>
      </c>
      <c r="I398">
        <v>14.1</v>
      </c>
      <c r="J398">
        <v>14.2</v>
      </c>
      <c r="K398">
        <v>14.5</v>
      </c>
      <c r="L398">
        <v>14.6</v>
      </c>
      <c r="M398">
        <v>14.1</v>
      </c>
      <c r="N398">
        <v>14.3</v>
      </c>
      <c r="O398">
        <v>13.7</v>
      </c>
      <c r="P398">
        <v>14</v>
      </c>
      <c r="Q398">
        <v>13.5</v>
      </c>
      <c r="R398">
        <v>13.7</v>
      </c>
      <c r="S398">
        <f>Tableau1[[#This Row],[Final_time]]-SUM(Tableau1[[#This Row],[0_100m]:[1300_1400m]])</f>
        <v>13.100000000000023</v>
      </c>
      <c r="T398">
        <v>211.6</v>
      </c>
      <c r="U398">
        <f t="shared" si="12"/>
        <v>211.6</v>
      </c>
      <c r="V398">
        <f t="shared" si="13"/>
        <v>0</v>
      </c>
      <c r="W398" s="12"/>
      <c r="X398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398" t="s">
        <v>280</v>
      </c>
      <c r="Z398" s="2" t="s">
        <v>43</v>
      </c>
      <c r="AA398" s="2"/>
      <c r="AB398" s="2" t="s">
        <v>65</v>
      </c>
      <c r="AC398" s="2">
        <v>45130</v>
      </c>
      <c r="AD398" s="3">
        <v>2023</v>
      </c>
      <c r="AE398" s="3">
        <v>23</v>
      </c>
      <c r="AF398" s="5">
        <v>0.56999999999999995</v>
      </c>
      <c r="AG398" s="3" t="s">
        <v>281</v>
      </c>
      <c r="AH398" t="s">
        <v>268</v>
      </c>
    </row>
    <row r="399" spans="1:34" hidden="1" x14ac:dyDescent="0.35">
      <c r="A399" t="str">
        <f>_xlfn.CONCAT(Tableau1[[#This Row],[Athletes]],"_",Tableau1[[#This Row],[Nationality]],"_",Tableau1[[#This Row],[Competition_year]])</f>
        <v>Adel MECHAAL_ESP_2023</v>
      </c>
      <c r="B399" t="s">
        <v>190</v>
      </c>
      <c r="C399" t="s">
        <v>16</v>
      </c>
      <c r="D399" t="s">
        <v>22</v>
      </c>
      <c r="E399">
        <v>14.1</v>
      </c>
      <c r="F399">
        <v>15</v>
      </c>
      <c r="G399">
        <v>14.7</v>
      </c>
      <c r="H399">
        <v>14.8</v>
      </c>
      <c r="I399">
        <v>14.2</v>
      </c>
      <c r="J399">
        <v>14.2</v>
      </c>
      <c r="K399">
        <v>14.2</v>
      </c>
      <c r="L399">
        <v>14.3</v>
      </c>
      <c r="M399">
        <v>13.9</v>
      </c>
      <c r="N399">
        <v>14.3</v>
      </c>
      <c r="O399">
        <v>13.7</v>
      </c>
      <c r="P399">
        <v>14</v>
      </c>
      <c r="Q399">
        <v>13.2</v>
      </c>
      <c r="R399">
        <v>13.7</v>
      </c>
      <c r="S399">
        <f>Tableau1[[#This Row],[Final_time]]-SUM(Tableau1[[#This Row],[0_100m]:[1300_1400m]])</f>
        <v>13.130000000000024</v>
      </c>
      <c r="T399">
        <v>211.43</v>
      </c>
      <c r="U399">
        <f t="shared" si="12"/>
        <v>211.43</v>
      </c>
      <c r="V399">
        <f t="shared" si="13"/>
        <v>0</v>
      </c>
      <c r="W399" s="12"/>
      <c r="X399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399" t="s">
        <v>280</v>
      </c>
      <c r="Z399" s="2" t="s">
        <v>43</v>
      </c>
      <c r="AA399" s="2"/>
      <c r="AB399" s="2" t="s">
        <v>65</v>
      </c>
      <c r="AC399" s="2">
        <v>45130</v>
      </c>
      <c r="AD399" s="3">
        <v>2023</v>
      </c>
      <c r="AE399" s="3">
        <v>23</v>
      </c>
      <c r="AF399" s="5">
        <v>0.56999999999999995</v>
      </c>
      <c r="AG399" s="3" t="s">
        <v>281</v>
      </c>
      <c r="AH399" t="s">
        <v>268</v>
      </c>
    </row>
    <row r="400" spans="1:34" hidden="1" x14ac:dyDescent="0.35">
      <c r="A400" t="str">
        <f>_xlfn.CONCAT(Tableau1[[#This Row],[Athletes]],"_",Tableau1[[#This Row],[Nationality]],"_",Tableau1[[#This Row],[Competition_year]])</f>
        <v>Adam SPENCER_AUS_2023</v>
      </c>
      <c r="B400" t="s">
        <v>229</v>
      </c>
      <c r="C400" t="s">
        <v>16</v>
      </c>
      <c r="D400" t="s">
        <v>21</v>
      </c>
      <c r="E400">
        <v>14.1</v>
      </c>
      <c r="F400">
        <v>15.1</v>
      </c>
      <c r="G400">
        <v>14.8</v>
      </c>
      <c r="H400">
        <v>14.8</v>
      </c>
      <c r="I400">
        <v>14.3</v>
      </c>
      <c r="J400">
        <v>14.1</v>
      </c>
      <c r="K400">
        <v>14.2</v>
      </c>
      <c r="L400">
        <v>14.4</v>
      </c>
      <c r="M400">
        <v>14</v>
      </c>
      <c r="N400">
        <v>14.2</v>
      </c>
      <c r="O400">
        <v>13.8</v>
      </c>
      <c r="P400">
        <v>14</v>
      </c>
      <c r="Q400">
        <v>13.3</v>
      </c>
      <c r="R400">
        <v>13.5</v>
      </c>
      <c r="S400">
        <f>Tableau1[[#This Row],[Final_time]]-SUM(Tableau1[[#This Row],[0_100m]:[1300_1400m]])</f>
        <v>13.20999999999998</v>
      </c>
      <c r="T400">
        <v>211.81</v>
      </c>
      <c r="U400">
        <f t="shared" si="12"/>
        <v>211.81</v>
      </c>
      <c r="V400">
        <f t="shared" si="13"/>
        <v>0</v>
      </c>
      <c r="W400" s="12"/>
      <c r="X400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0" t="s">
        <v>280</v>
      </c>
      <c r="Z400" s="2" t="s">
        <v>43</v>
      </c>
      <c r="AA400" s="2"/>
      <c r="AB400" s="2" t="s">
        <v>65</v>
      </c>
      <c r="AC400" s="2">
        <v>45130</v>
      </c>
      <c r="AD400" s="3">
        <v>2023</v>
      </c>
      <c r="AE400" s="3">
        <v>23</v>
      </c>
      <c r="AF400" s="5">
        <v>0.56999999999999995</v>
      </c>
      <c r="AG400" s="3" t="s">
        <v>281</v>
      </c>
      <c r="AH400" t="s">
        <v>268</v>
      </c>
    </row>
    <row r="401" spans="1:34" hidden="1" x14ac:dyDescent="0.35">
      <c r="A401" t="str">
        <f>_xlfn.CONCAT(Tableau1[[#This Row],[Athletes]],"_",Tableau1[[#This Row],[Nationality]],"_",Tableau1[[#This Row],[Competition_year]])</f>
        <v>Narve Gilje NORDÅS_NOR_2023</v>
      </c>
      <c r="B401" t="s">
        <v>217</v>
      </c>
      <c r="C401" t="s">
        <v>16</v>
      </c>
      <c r="D401" t="s">
        <v>30</v>
      </c>
      <c r="E401">
        <v>14.1</v>
      </c>
      <c r="F401">
        <v>14.9</v>
      </c>
      <c r="G401">
        <v>14.7</v>
      </c>
      <c r="H401">
        <v>14.7</v>
      </c>
      <c r="I401">
        <v>14.2</v>
      </c>
      <c r="J401">
        <v>14.2</v>
      </c>
      <c r="K401">
        <v>14.1</v>
      </c>
      <c r="L401">
        <v>14.5</v>
      </c>
      <c r="M401">
        <v>13.6</v>
      </c>
      <c r="N401">
        <v>14</v>
      </c>
      <c r="O401">
        <v>13.5</v>
      </c>
      <c r="P401">
        <v>13.5</v>
      </c>
      <c r="Q401">
        <v>13.7</v>
      </c>
      <c r="R401">
        <v>13.6</v>
      </c>
      <c r="S401">
        <f>Tableau1[[#This Row],[Final_time]]-SUM(Tableau1[[#This Row],[0_100m]:[1300_1400m]])</f>
        <v>13.28000000000003</v>
      </c>
      <c r="T401">
        <v>210.58</v>
      </c>
      <c r="U401">
        <f t="shared" si="12"/>
        <v>210.58</v>
      </c>
      <c r="V401">
        <f t="shared" si="13"/>
        <v>0</v>
      </c>
      <c r="W401" s="12"/>
      <c r="X401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1" t="s">
        <v>280</v>
      </c>
      <c r="Z401" s="2" t="s">
        <v>43</v>
      </c>
      <c r="AA401" s="2"/>
      <c r="AB401" s="2" t="s">
        <v>65</v>
      </c>
      <c r="AC401" s="2">
        <v>45130</v>
      </c>
      <c r="AD401" s="3">
        <v>2023</v>
      </c>
      <c r="AE401" s="3">
        <v>23</v>
      </c>
      <c r="AF401" s="5">
        <v>0.56999999999999995</v>
      </c>
      <c r="AG401" s="3" t="s">
        <v>281</v>
      </c>
      <c r="AH401" t="s">
        <v>268</v>
      </c>
    </row>
    <row r="402" spans="1:34" hidden="1" x14ac:dyDescent="0.35">
      <c r="A402" t="str">
        <f>_xlfn.CONCAT(Tableau1[[#This Row],[Athletes]],"_",Tableau1[[#This Row],[Nationality]],"_",Tableau1[[#This Row],[Competition_year]])</f>
        <v>Stewart MCSWEYN_AUS_2023</v>
      </c>
      <c r="B402" t="s">
        <v>219</v>
      </c>
      <c r="C402" t="s">
        <v>16</v>
      </c>
      <c r="D402" t="s">
        <v>21</v>
      </c>
      <c r="E402">
        <v>14</v>
      </c>
      <c r="F402">
        <v>14.3</v>
      </c>
      <c r="G402">
        <v>14.4</v>
      </c>
      <c r="H402">
        <v>14.1</v>
      </c>
      <c r="I402">
        <v>13.8</v>
      </c>
      <c r="J402">
        <v>14</v>
      </c>
      <c r="K402">
        <v>14</v>
      </c>
      <c r="L402">
        <v>14.1</v>
      </c>
      <c r="M402">
        <v>14.1</v>
      </c>
      <c r="N402">
        <v>14.3</v>
      </c>
      <c r="O402">
        <v>14.3</v>
      </c>
      <c r="P402">
        <v>14.5</v>
      </c>
      <c r="Q402">
        <v>14.1</v>
      </c>
      <c r="R402">
        <v>14</v>
      </c>
      <c r="S402">
        <f>Tableau1[[#This Row],[Final_time]]-SUM(Tableau1[[#This Row],[0_100m]:[1300_1400m]])</f>
        <v>13.419999999999987</v>
      </c>
      <c r="T402">
        <v>211.42</v>
      </c>
      <c r="U402">
        <f t="shared" si="12"/>
        <v>211.42</v>
      </c>
      <c r="V402">
        <f t="shared" si="13"/>
        <v>0</v>
      </c>
      <c r="W402" s="12"/>
      <c r="X402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2" t="s">
        <v>280</v>
      </c>
      <c r="Z402" s="2" t="s">
        <v>43</v>
      </c>
      <c r="AA402" s="2"/>
      <c r="AB402" s="2" t="s">
        <v>65</v>
      </c>
      <c r="AC402" s="2">
        <v>45130</v>
      </c>
      <c r="AD402" s="3">
        <v>2023</v>
      </c>
      <c r="AE402" s="3">
        <v>23</v>
      </c>
      <c r="AF402" s="5">
        <v>0.56999999999999995</v>
      </c>
      <c r="AG402" s="3" t="s">
        <v>281</v>
      </c>
      <c r="AH402" t="s">
        <v>268</v>
      </c>
    </row>
    <row r="403" spans="1:34" hidden="1" x14ac:dyDescent="0.35">
      <c r="A403" t="str">
        <f>_xlfn.CONCAT(Tableau1[[#This Row],[Athletes]],"_",Tableau1[[#This Row],[Nationality]],"_",Tableau1[[#This Row],[Competition_year]])</f>
        <v>Azeddine HABZ_FRA_2023</v>
      </c>
      <c r="B403" t="s">
        <v>218</v>
      </c>
      <c r="C403" t="s">
        <v>16</v>
      </c>
      <c r="D403" t="s">
        <v>18</v>
      </c>
      <c r="E403">
        <v>13.6</v>
      </c>
      <c r="F403">
        <v>14.8</v>
      </c>
      <c r="G403">
        <v>14.4</v>
      </c>
      <c r="H403">
        <v>14.4</v>
      </c>
      <c r="I403">
        <v>14.1</v>
      </c>
      <c r="J403">
        <v>14.3</v>
      </c>
      <c r="K403">
        <v>14.3</v>
      </c>
      <c r="L403">
        <v>14.5</v>
      </c>
      <c r="M403">
        <v>14.2</v>
      </c>
      <c r="N403">
        <v>14.4</v>
      </c>
      <c r="O403">
        <v>13.8</v>
      </c>
      <c r="P403">
        <v>14</v>
      </c>
      <c r="Q403">
        <v>13.6</v>
      </c>
      <c r="R403">
        <v>13.7</v>
      </c>
      <c r="S403">
        <f>Tableau1[[#This Row],[Final_time]]-SUM(Tableau1[[#This Row],[0_100m]:[1300_1400m]])</f>
        <v>13.480000000000018</v>
      </c>
      <c r="T403">
        <v>211.58</v>
      </c>
      <c r="U403">
        <f t="shared" si="12"/>
        <v>211.58</v>
      </c>
      <c r="V403">
        <f t="shared" si="13"/>
        <v>0</v>
      </c>
      <c r="W403" s="12"/>
      <c r="X403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3" t="s">
        <v>280</v>
      </c>
      <c r="Z403" s="2" t="s">
        <v>43</v>
      </c>
      <c r="AA403" s="2"/>
      <c r="AB403" s="2" t="s">
        <v>65</v>
      </c>
      <c r="AC403" s="2">
        <v>45130</v>
      </c>
      <c r="AD403" s="3">
        <v>2023</v>
      </c>
      <c r="AE403" s="3">
        <v>23</v>
      </c>
      <c r="AF403" s="5">
        <v>0.56999999999999995</v>
      </c>
      <c r="AG403" s="3" t="s">
        <v>281</v>
      </c>
      <c r="AH403" t="s">
        <v>268</v>
      </c>
    </row>
    <row r="404" spans="1:34" hidden="1" x14ac:dyDescent="0.35">
      <c r="A404" t="str">
        <f>_xlfn.CONCAT(Tableau1[[#This Row],[Athletes]],"_",Tableau1[[#This Row],[Nationality]],"_",Tableau1[[#This Row],[Competition_year]])</f>
        <v>Mario GARCÍA_ESP_2023</v>
      </c>
      <c r="B404" t="s">
        <v>117</v>
      </c>
      <c r="C404" t="s">
        <v>16</v>
      </c>
      <c r="D404" t="s">
        <v>22</v>
      </c>
      <c r="E404">
        <v>13.5</v>
      </c>
      <c r="F404">
        <v>14.7</v>
      </c>
      <c r="G404">
        <v>14.4</v>
      </c>
      <c r="H404">
        <v>14.4</v>
      </c>
      <c r="I404">
        <v>14.1</v>
      </c>
      <c r="J404">
        <v>14.1</v>
      </c>
      <c r="K404">
        <v>14.3</v>
      </c>
      <c r="L404">
        <v>14.7</v>
      </c>
      <c r="M404">
        <v>14.2</v>
      </c>
      <c r="N404">
        <v>14.2</v>
      </c>
      <c r="O404">
        <v>14</v>
      </c>
      <c r="P404">
        <v>14</v>
      </c>
      <c r="Q404">
        <v>13.6</v>
      </c>
      <c r="R404">
        <v>13.9</v>
      </c>
      <c r="S404">
        <f>Tableau1[[#This Row],[Final_time]]-SUM(Tableau1[[#This Row],[0_100m]:[1300_1400m]])</f>
        <v>13.580000000000041</v>
      </c>
      <c r="T404">
        <v>211.68</v>
      </c>
      <c r="U404">
        <f t="shared" si="12"/>
        <v>211.68</v>
      </c>
      <c r="V404">
        <f t="shared" si="13"/>
        <v>0</v>
      </c>
      <c r="W404" s="12"/>
      <c r="X404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4" t="s">
        <v>280</v>
      </c>
      <c r="Z404" s="2" t="s">
        <v>43</v>
      </c>
      <c r="AA404" s="2"/>
      <c r="AB404" s="2" t="s">
        <v>65</v>
      </c>
      <c r="AC404" s="2">
        <v>45130</v>
      </c>
      <c r="AD404" s="3">
        <v>2023</v>
      </c>
      <c r="AE404" s="3">
        <v>23</v>
      </c>
      <c r="AF404" s="5">
        <v>0.56999999999999995</v>
      </c>
      <c r="AG404" s="3" t="s">
        <v>281</v>
      </c>
      <c r="AH404" t="s">
        <v>268</v>
      </c>
    </row>
    <row r="405" spans="1:34" hidden="1" x14ac:dyDescent="0.35">
      <c r="A405" t="str">
        <f>_xlfn.CONCAT(Tableau1[[#This Row],[Athletes]],"_",Tableau1[[#This Row],[Nationality]],"_",Tableau1[[#This Row],[Competition_year]])</f>
        <v>Andrew COSCORAN_IRL_2023</v>
      </c>
      <c r="B405" t="s">
        <v>232</v>
      </c>
      <c r="C405" t="s">
        <v>16</v>
      </c>
      <c r="D405" t="s">
        <v>35</v>
      </c>
      <c r="E405">
        <v>13.9</v>
      </c>
      <c r="F405">
        <v>15.1</v>
      </c>
      <c r="G405">
        <v>14.7</v>
      </c>
      <c r="H405">
        <v>14.5</v>
      </c>
      <c r="I405">
        <v>14.2</v>
      </c>
      <c r="J405">
        <v>14.2</v>
      </c>
      <c r="K405">
        <v>14.5</v>
      </c>
      <c r="L405">
        <v>14.4</v>
      </c>
      <c r="M405">
        <v>14.1</v>
      </c>
      <c r="N405">
        <v>14.3</v>
      </c>
      <c r="O405">
        <v>13.7</v>
      </c>
      <c r="P405">
        <v>14</v>
      </c>
      <c r="Q405">
        <v>13.5</v>
      </c>
      <c r="R405">
        <v>13.7</v>
      </c>
      <c r="S405">
        <f>Tableau1[[#This Row],[Final_time]]-SUM(Tableau1[[#This Row],[0_100m]:[1300_1400m]])</f>
        <v>13.619999999999976</v>
      </c>
      <c r="T405">
        <v>212.42</v>
      </c>
      <c r="U405">
        <f t="shared" si="12"/>
        <v>212.42</v>
      </c>
      <c r="V405">
        <f t="shared" si="13"/>
        <v>0</v>
      </c>
      <c r="W405" s="12"/>
      <c r="X405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5" t="s">
        <v>280</v>
      </c>
      <c r="Z405" s="2" t="s">
        <v>43</v>
      </c>
      <c r="AA405" s="2"/>
      <c r="AB405" s="2" t="s">
        <v>65</v>
      </c>
      <c r="AC405" s="2">
        <v>45130</v>
      </c>
      <c r="AD405" s="3">
        <v>2023</v>
      </c>
      <c r="AE405" s="3">
        <v>23</v>
      </c>
      <c r="AF405" s="5">
        <v>0.56999999999999995</v>
      </c>
      <c r="AG405" s="3" t="s">
        <v>281</v>
      </c>
      <c r="AH405" t="s">
        <v>268</v>
      </c>
    </row>
    <row r="406" spans="1:34" hidden="1" x14ac:dyDescent="0.35">
      <c r="A406" t="str">
        <f>_xlfn.CONCAT(Tableau1[[#This Row],[Athletes]],"_",Tableau1[[#This Row],[Nationality]],"_",Tableau1[[#This Row],[Competition_year]])</f>
        <v>Timothy CHERUIYOT_KEN_2023</v>
      </c>
      <c r="B406" t="s">
        <v>205</v>
      </c>
      <c r="C406" t="s">
        <v>16</v>
      </c>
      <c r="D406" t="s">
        <v>17</v>
      </c>
      <c r="E406">
        <v>13.9</v>
      </c>
      <c r="F406">
        <v>14.9</v>
      </c>
      <c r="G406">
        <v>14.4</v>
      </c>
      <c r="H406">
        <v>14.4</v>
      </c>
      <c r="I406">
        <v>13.9</v>
      </c>
      <c r="J406">
        <v>14.3</v>
      </c>
      <c r="K406">
        <v>14.4</v>
      </c>
      <c r="L406">
        <v>14.2</v>
      </c>
      <c r="M406">
        <v>14.1</v>
      </c>
      <c r="N406">
        <v>14.3</v>
      </c>
      <c r="O406">
        <v>13.9</v>
      </c>
      <c r="P406">
        <v>14</v>
      </c>
      <c r="Q406">
        <v>13.4</v>
      </c>
      <c r="R406">
        <v>13.6</v>
      </c>
      <c r="S406">
        <f>Tableau1[[#This Row],[Final_time]]-SUM(Tableau1[[#This Row],[0_100m]:[1300_1400m]])</f>
        <v>13.739999999999981</v>
      </c>
      <c r="T406">
        <v>211.44</v>
      </c>
      <c r="U406">
        <f t="shared" si="12"/>
        <v>211.44</v>
      </c>
      <c r="V406">
        <f t="shared" si="13"/>
        <v>0</v>
      </c>
      <c r="W406" s="12"/>
      <c r="X406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6" t="s">
        <v>280</v>
      </c>
      <c r="Z406" s="2" t="s">
        <v>43</v>
      </c>
      <c r="AA406" s="2"/>
      <c r="AB406" s="2" t="s">
        <v>65</v>
      </c>
      <c r="AC406" s="2">
        <v>45130</v>
      </c>
      <c r="AD406" s="3">
        <v>2023</v>
      </c>
      <c r="AE406" s="3">
        <v>23</v>
      </c>
      <c r="AF406" s="5">
        <v>0.56999999999999995</v>
      </c>
      <c r="AG406" s="3" t="s">
        <v>281</v>
      </c>
      <c r="AH406" t="s">
        <v>268</v>
      </c>
    </row>
    <row r="407" spans="1:34" hidden="1" x14ac:dyDescent="0.35">
      <c r="A407" t="str">
        <f>_xlfn.CONCAT(Tableau1[[#This Row],[Athletes]],"_",Tableau1[[#This Row],[Nationality]],"_",Tableau1[[#This Row],[Competition_year]])</f>
        <v>Cole HOCKER_USA_2023</v>
      </c>
      <c r="B407" t="s">
        <v>215</v>
      </c>
      <c r="C407" t="s">
        <v>16</v>
      </c>
      <c r="D407" t="s">
        <v>51</v>
      </c>
      <c r="E407">
        <v>13.8</v>
      </c>
      <c r="F407">
        <v>15.1</v>
      </c>
      <c r="G407">
        <v>14.5</v>
      </c>
      <c r="H407">
        <v>14.4</v>
      </c>
      <c r="I407">
        <v>14</v>
      </c>
      <c r="J407">
        <v>14.3</v>
      </c>
      <c r="K407">
        <v>14.5</v>
      </c>
      <c r="L407">
        <v>14.6</v>
      </c>
      <c r="M407">
        <v>14.1</v>
      </c>
      <c r="N407">
        <v>14.3</v>
      </c>
      <c r="O407">
        <v>13.9</v>
      </c>
      <c r="P407">
        <v>14.1</v>
      </c>
      <c r="Q407">
        <v>13.2</v>
      </c>
      <c r="R407">
        <v>13.6</v>
      </c>
      <c r="S407">
        <f>Tableau1[[#This Row],[Final_time]]-SUM(Tableau1[[#This Row],[0_100m]:[1300_1400m]])</f>
        <v>13.740000000000009</v>
      </c>
      <c r="T407">
        <v>212.14</v>
      </c>
      <c r="U407">
        <f t="shared" si="12"/>
        <v>212.14</v>
      </c>
      <c r="V407">
        <f t="shared" si="13"/>
        <v>0</v>
      </c>
      <c r="W407" s="12"/>
      <c r="X407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7" t="s">
        <v>280</v>
      </c>
      <c r="Z407" s="2" t="s">
        <v>43</v>
      </c>
      <c r="AA407" s="2"/>
      <c r="AB407" s="2" t="s">
        <v>65</v>
      </c>
      <c r="AC407" s="2">
        <v>45130</v>
      </c>
      <c r="AD407" s="3">
        <v>2023</v>
      </c>
      <c r="AE407" s="3">
        <v>23</v>
      </c>
      <c r="AF407" s="5">
        <v>0.56999999999999995</v>
      </c>
      <c r="AG407" s="3" t="s">
        <v>281</v>
      </c>
      <c r="AH407" t="s">
        <v>268</v>
      </c>
    </row>
    <row r="408" spans="1:34" hidden="1" x14ac:dyDescent="0.35">
      <c r="A408" t="str">
        <f>_xlfn.CONCAT(Tableau1[[#This Row],[Athletes]],"_",Tableau1[[#This Row],[Nationality]],"_",Tableau1[[#This Row],[Competition_year]])</f>
        <v>George MILLS_GBR_2023</v>
      </c>
      <c r="B408" t="s">
        <v>279</v>
      </c>
      <c r="C408" t="s">
        <v>16</v>
      </c>
      <c r="D408" t="s">
        <v>20</v>
      </c>
      <c r="E408">
        <v>13.7</v>
      </c>
      <c r="F408">
        <v>14.8</v>
      </c>
      <c r="G408">
        <v>14.4</v>
      </c>
      <c r="H408">
        <v>14.4</v>
      </c>
      <c r="I408">
        <v>14.1</v>
      </c>
      <c r="J408">
        <v>14.3</v>
      </c>
      <c r="K408">
        <v>14.3</v>
      </c>
      <c r="L408">
        <v>14.6</v>
      </c>
      <c r="M408">
        <v>14.1</v>
      </c>
      <c r="N408">
        <v>14.2</v>
      </c>
      <c r="O408">
        <v>13.9</v>
      </c>
      <c r="P408">
        <v>14.2</v>
      </c>
      <c r="Q408">
        <v>13.9</v>
      </c>
      <c r="R408">
        <v>14.8</v>
      </c>
      <c r="S408">
        <f>Tableau1[[#This Row],[Final_time]]-SUM(Tableau1[[#This Row],[0_100m]:[1300_1400m]])</f>
        <v>16.060000000000002</v>
      </c>
      <c r="T408">
        <v>215.76</v>
      </c>
      <c r="U408">
        <f t="shared" si="12"/>
        <v>215.76</v>
      </c>
      <c r="V408">
        <f t="shared" si="13"/>
        <v>0</v>
      </c>
      <c r="W408" s="12"/>
      <c r="X408" t="str">
        <f>_xlfn.CONCAT(Tableau1[[#This Row],[Competition]],"_",Tableau1[[#This Row],[Championship_step]],"_",Tableau1[[#This Row],[Competition_date]],"_",Tableau1[[#This Row],[Gender]])</f>
        <v>Diamond League London 2023__45130_Male</v>
      </c>
      <c r="Y408" t="s">
        <v>280</v>
      </c>
      <c r="Z408" s="2" t="s">
        <v>43</v>
      </c>
      <c r="AA408" s="2"/>
      <c r="AB408" s="2" t="s">
        <v>65</v>
      </c>
      <c r="AC408" s="2">
        <v>45130</v>
      </c>
      <c r="AD408" s="3">
        <v>2023</v>
      </c>
      <c r="AE408" s="3">
        <v>23</v>
      </c>
      <c r="AF408" s="5">
        <v>0.56999999999999995</v>
      </c>
      <c r="AG408" s="3" t="s">
        <v>281</v>
      </c>
      <c r="AH408" t="s">
        <v>268</v>
      </c>
    </row>
    <row r="409" spans="1:34" hidden="1" x14ac:dyDescent="0.35">
      <c r="A409" t="str">
        <f>_xlfn.CONCAT(Tableau1[[#This Row],[Athletes]],"_",Tableau1[[#This Row],[Nationality]],"_",Tableau1[[#This Row],[Competition_year]])</f>
        <v>Phanuel Kipkosgei KOECH_KEN_2025</v>
      </c>
      <c r="B409" t="s">
        <v>1353</v>
      </c>
      <c r="C409" t="s">
        <v>16</v>
      </c>
      <c r="D409" t="s">
        <v>17</v>
      </c>
      <c r="E409">
        <v>13.4</v>
      </c>
      <c r="F409">
        <v>13.9</v>
      </c>
      <c r="G409">
        <v>14.9</v>
      </c>
      <c r="H409">
        <v>14.3</v>
      </c>
      <c r="I409">
        <v>13.9</v>
      </c>
      <c r="J409">
        <v>13.9</v>
      </c>
      <c r="K409">
        <v>14.1</v>
      </c>
      <c r="L409">
        <v>14</v>
      </c>
      <c r="M409">
        <v>13.9</v>
      </c>
      <c r="N409">
        <v>14.2</v>
      </c>
      <c r="O409">
        <v>14.2</v>
      </c>
      <c r="P409">
        <v>14</v>
      </c>
      <c r="Q409">
        <v>13.4</v>
      </c>
      <c r="R409">
        <v>13.3</v>
      </c>
      <c r="S409">
        <f>Tableau1[[#This Row],[Final_time]]-SUM(Tableau1[[#This Row],[0_100m]:[1300_1400m]])</f>
        <v>13.419999999999987</v>
      </c>
      <c r="T409">
        <v>208.82</v>
      </c>
      <c r="U409">
        <f t="shared" si="12"/>
        <v>208.82</v>
      </c>
      <c r="V409">
        <f t="shared" si="13"/>
        <v>0</v>
      </c>
      <c r="W409" s="12"/>
      <c r="X409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09" t="s">
        <v>1365</v>
      </c>
      <c r="Z409" s="2" t="s">
        <v>43</v>
      </c>
      <c r="AA409" s="2"/>
      <c r="AB409" s="2" t="s">
        <v>65</v>
      </c>
      <c r="AC409" s="2">
        <v>45857</v>
      </c>
      <c r="AD409" s="3">
        <v>2025</v>
      </c>
      <c r="AE409" s="3">
        <v>21</v>
      </c>
      <c r="AF409" s="5">
        <v>0.89</v>
      </c>
      <c r="AG409" s="3" t="s">
        <v>94</v>
      </c>
    </row>
    <row r="410" spans="1:34" hidden="1" x14ac:dyDescent="0.35">
      <c r="A410" t="str">
        <f>_xlfn.CONCAT(Tableau1[[#This Row],[Athletes]],"_",Tableau1[[#This Row],[Nationality]],"_",Tableau1[[#This Row],[Competition_year]])</f>
        <v>Josh KERR_GBR_2025</v>
      </c>
      <c r="B410" t="s">
        <v>189</v>
      </c>
      <c r="C410" t="s">
        <v>16</v>
      </c>
      <c r="D410" t="s">
        <v>20</v>
      </c>
      <c r="E410">
        <v>13.4</v>
      </c>
      <c r="F410">
        <v>13.7</v>
      </c>
      <c r="G410">
        <v>14.9</v>
      </c>
      <c r="H410">
        <v>14.3</v>
      </c>
      <c r="I410">
        <v>13.9</v>
      </c>
      <c r="J410">
        <v>13.9</v>
      </c>
      <c r="K410">
        <v>14</v>
      </c>
      <c r="L410">
        <v>14</v>
      </c>
      <c r="M410">
        <v>14</v>
      </c>
      <c r="N410">
        <v>14.2</v>
      </c>
      <c r="O410">
        <v>14.2</v>
      </c>
      <c r="P410">
        <v>14.1</v>
      </c>
      <c r="Q410">
        <v>13.6</v>
      </c>
      <c r="R410">
        <v>13.4</v>
      </c>
      <c r="S410">
        <f>Tableau1[[#This Row],[Final_time]]-SUM(Tableau1[[#This Row],[0_100m]:[1300_1400m]])</f>
        <v>13.77000000000001</v>
      </c>
      <c r="T410">
        <v>209.37</v>
      </c>
      <c r="U410">
        <f t="shared" si="12"/>
        <v>209.37</v>
      </c>
      <c r="V410">
        <f t="shared" si="13"/>
        <v>0</v>
      </c>
      <c r="W410" s="12"/>
      <c r="X410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0" t="s">
        <v>1365</v>
      </c>
      <c r="Z410" s="2" t="s">
        <v>43</v>
      </c>
      <c r="AA410" s="2"/>
      <c r="AB410" s="2" t="s">
        <v>65</v>
      </c>
      <c r="AC410" s="2">
        <v>45857</v>
      </c>
      <c r="AD410" s="3">
        <v>2025</v>
      </c>
      <c r="AE410" s="3">
        <v>21</v>
      </c>
      <c r="AF410" s="5">
        <v>0.89</v>
      </c>
      <c r="AG410" s="3" t="s">
        <v>94</v>
      </c>
    </row>
    <row r="411" spans="1:34" hidden="1" x14ac:dyDescent="0.35">
      <c r="A411" t="str">
        <f>_xlfn.CONCAT(Tableau1[[#This Row],[Athletes]],"_",Tableau1[[#This Row],[Nationality]],"_",Tableau1[[#This Row],[Competition_year]])</f>
        <v>Isaac NADER_POR_2025</v>
      </c>
      <c r="B411" t="s">
        <v>191</v>
      </c>
      <c r="C411" t="s">
        <v>16</v>
      </c>
      <c r="D411" t="s">
        <v>33</v>
      </c>
      <c r="E411">
        <v>13.2</v>
      </c>
      <c r="F411">
        <v>14</v>
      </c>
      <c r="G411">
        <v>15</v>
      </c>
      <c r="H411">
        <v>14.6</v>
      </c>
      <c r="I411">
        <v>13.8</v>
      </c>
      <c r="J411">
        <v>13.9</v>
      </c>
      <c r="K411">
        <v>14.1</v>
      </c>
      <c r="L411">
        <v>14</v>
      </c>
      <c r="M411">
        <v>13.9</v>
      </c>
      <c r="N411">
        <v>14.2</v>
      </c>
      <c r="O411">
        <v>14.2</v>
      </c>
      <c r="P411">
        <v>14.1</v>
      </c>
      <c r="Q411">
        <v>13.8</v>
      </c>
      <c r="R411">
        <v>14.4</v>
      </c>
      <c r="S411">
        <f>Tableau1[[#This Row],[Final_time]]-SUM(Tableau1[[#This Row],[0_100m]:[1300_1400m]])</f>
        <v>14.349999999999994</v>
      </c>
      <c r="T411">
        <v>211.55</v>
      </c>
      <c r="U411">
        <f t="shared" si="12"/>
        <v>211.55</v>
      </c>
      <c r="V411">
        <f t="shared" si="13"/>
        <v>0</v>
      </c>
      <c r="W411" s="12"/>
      <c r="X411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1" t="s">
        <v>1365</v>
      </c>
      <c r="Z411" s="2" t="s">
        <v>43</v>
      </c>
      <c r="AA411" s="2"/>
      <c r="AB411" s="2" t="s">
        <v>65</v>
      </c>
      <c r="AC411" s="2">
        <v>45857</v>
      </c>
      <c r="AD411" s="3">
        <v>2025</v>
      </c>
      <c r="AE411" s="3">
        <v>21</v>
      </c>
      <c r="AF411" s="5">
        <v>0.89</v>
      </c>
      <c r="AG411" s="3" t="s">
        <v>94</v>
      </c>
    </row>
    <row r="412" spans="1:34" hidden="1" x14ac:dyDescent="0.35">
      <c r="A412" t="str">
        <f>_xlfn.CONCAT(Tableau1[[#This Row],[Athletes]],"_",Tableau1[[#This Row],[Nationality]],"_",Tableau1[[#This Row],[Competition_year]])</f>
        <v>Jake WIGHTMAN_GBR_2025</v>
      </c>
      <c r="B412" t="s">
        <v>150</v>
      </c>
      <c r="C412" t="s">
        <v>16</v>
      </c>
      <c r="D412" t="s">
        <v>20</v>
      </c>
      <c r="E412">
        <v>13.3</v>
      </c>
      <c r="F412">
        <v>14.1</v>
      </c>
      <c r="G412">
        <v>15</v>
      </c>
      <c r="H412">
        <v>14.6</v>
      </c>
      <c r="I412">
        <v>13.9</v>
      </c>
      <c r="J412">
        <v>13.8</v>
      </c>
      <c r="K412">
        <v>14.1</v>
      </c>
      <c r="L412">
        <v>14</v>
      </c>
      <c r="M412">
        <v>13.9</v>
      </c>
      <c r="N412">
        <v>14.3</v>
      </c>
      <c r="O412">
        <v>14.1</v>
      </c>
      <c r="P412">
        <v>14.1</v>
      </c>
      <c r="Q412">
        <v>13.5</v>
      </c>
      <c r="R412">
        <v>14.2</v>
      </c>
      <c r="S412">
        <f>Tableau1[[#This Row],[Final_time]]-SUM(Tableau1[[#This Row],[0_100m]:[1300_1400m]])</f>
        <v>14.680000000000035</v>
      </c>
      <c r="T412">
        <v>211.58</v>
      </c>
      <c r="U412">
        <f t="shared" si="12"/>
        <v>211.58</v>
      </c>
      <c r="V412">
        <f t="shared" si="13"/>
        <v>0</v>
      </c>
      <c r="W412" s="12"/>
      <c r="X412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2" t="s">
        <v>1365</v>
      </c>
      <c r="Z412" s="2" t="s">
        <v>43</v>
      </c>
      <c r="AA412" s="2"/>
      <c r="AB412" s="2" t="s">
        <v>65</v>
      </c>
      <c r="AC412" s="2">
        <v>45857</v>
      </c>
      <c r="AD412" s="3">
        <v>2025</v>
      </c>
      <c r="AE412" s="3">
        <v>21</v>
      </c>
      <c r="AF412" s="5">
        <v>0.89</v>
      </c>
      <c r="AG412" s="3" t="s">
        <v>94</v>
      </c>
    </row>
    <row r="413" spans="1:34" hidden="1" x14ac:dyDescent="0.35">
      <c r="A413" t="str">
        <f>_xlfn.CONCAT(Tableau1[[#This Row],[Athletes]],"_",Tableau1[[#This Row],[Nationality]],"_",Tableau1[[#This Row],[Competition_year]])</f>
        <v>Jude THOMAS_AUS_2025</v>
      </c>
      <c r="B413" t="s">
        <v>1363</v>
      </c>
      <c r="C413" t="s">
        <v>16</v>
      </c>
      <c r="D413" t="s">
        <v>21</v>
      </c>
      <c r="E413">
        <v>13.6</v>
      </c>
      <c r="F413">
        <v>14.2</v>
      </c>
      <c r="G413">
        <v>15.1</v>
      </c>
      <c r="H413">
        <v>15.1</v>
      </c>
      <c r="I413">
        <v>13.7</v>
      </c>
      <c r="J413">
        <v>14</v>
      </c>
      <c r="K413">
        <v>13.9</v>
      </c>
      <c r="L413">
        <v>13.9</v>
      </c>
      <c r="M413">
        <v>13.9</v>
      </c>
      <c r="N413">
        <v>14.1</v>
      </c>
      <c r="O413">
        <v>14.2</v>
      </c>
      <c r="P413">
        <v>14.3</v>
      </c>
      <c r="Q413">
        <v>14</v>
      </c>
      <c r="R413">
        <v>14.4</v>
      </c>
      <c r="S413">
        <f>Tableau1[[#This Row],[Final_time]]-SUM(Tableau1[[#This Row],[0_100m]:[1300_1400m]])</f>
        <v>13.95999999999998</v>
      </c>
      <c r="T413">
        <v>212.36</v>
      </c>
      <c r="U413">
        <f t="shared" si="12"/>
        <v>212.36</v>
      </c>
      <c r="V413">
        <f t="shared" si="13"/>
        <v>0</v>
      </c>
      <c r="W413" s="12"/>
      <c r="X413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3" t="s">
        <v>1365</v>
      </c>
      <c r="Z413" s="2" t="s">
        <v>43</v>
      </c>
      <c r="AA413" s="2"/>
      <c r="AB413" s="2" t="s">
        <v>65</v>
      </c>
      <c r="AC413" s="2">
        <v>45857</v>
      </c>
      <c r="AD413" s="3">
        <v>2025</v>
      </c>
      <c r="AE413" s="3">
        <v>21</v>
      </c>
      <c r="AF413" s="5">
        <v>0.89</v>
      </c>
      <c r="AG413" s="3" t="s">
        <v>94</v>
      </c>
    </row>
    <row r="414" spans="1:34" hidden="1" x14ac:dyDescent="0.35">
      <c r="A414" t="str">
        <f>_xlfn.CONCAT(Tableau1[[#This Row],[Athletes]],"_",Tableau1[[#This Row],[Nationality]],"_",Tableau1[[#This Row],[Competition_year]])</f>
        <v>Elliot GILES_GBR_2025</v>
      </c>
      <c r="B414" t="s">
        <v>231</v>
      </c>
      <c r="C414" t="s">
        <v>16</v>
      </c>
      <c r="D414" t="s">
        <v>20</v>
      </c>
      <c r="E414">
        <v>13.4</v>
      </c>
      <c r="F414">
        <v>14.2</v>
      </c>
      <c r="G414">
        <v>15.1</v>
      </c>
      <c r="H414">
        <v>14.9</v>
      </c>
      <c r="I414">
        <v>13.9</v>
      </c>
      <c r="J414">
        <v>13.8</v>
      </c>
      <c r="K414">
        <v>14.2</v>
      </c>
      <c r="L414">
        <v>14.1</v>
      </c>
      <c r="M414">
        <v>14.1</v>
      </c>
      <c r="N414">
        <v>14</v>
      </c>
      <c r="O414">
        <v>14.3</v>
      </c>
      <c r="P414">
        <v>14.2</v>
      </c>
      <c r="Q414">
        <v>14</v>
      </c>
      <c r="R414">
        <v>14.4</v>
      </c>
      <c r="S414">
        <f>Tableau1[[#This Row],[Final_time]]-SUM(Tableau1[[#This Row],[0_100m]:[1300_1400m]])</f>
        <v>13.909999999999997</v>
      </c>
      <c r="T414">
        <v>212.51</v>
      </c>
      <c r="U414">
        <f t="shared" si="12"/>
        <v>212.51</v>
      </c>
      <c r="V414">
        <f t="shared" si="13"/>
        <v>0</v>
      </c>
      <c r="W414" s="12"/>
      <c r="X414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4" t="s">
        <v>1365</v>
      </c>
      <c r="Z414" s="2" t="s">
        <v>43</v>
      </c>
      <c r="AA414" s="2"/>
      <c r="AB414" s="2" t="s">
        <v>65</v>
      </c>
      <c r="AC414" s="2">
        <v>45857</v>
      </c>
      <c r="AD414" s="3">
        <v>2025</v>
      </c>
      <c r="AE414" s="3">
        <v>21</v>
      </c>
      <c r="AF414" s="5">
        <v>0.89</v>
      </c>
      <c r="AG414" s="3" t="s">
        <v>94</v>
      </c>
    </row>
    <row r="415" spans="1:34" hidden="1" x14ac:dyDescent="0.35">
      <c r="A415" t="str">
        <f>_xlfn.CONCAT(Tableau1[[#This Row],[Athletes]],"_",Tableau1[[#This Row],[Nationality]],"_",Tableau1[[#This Row],[Competition_year]])</f>
        <v>Narve Gilje NORDÅS_NOR_2025</v>
      </c>
      <c r="B415" t="s">
        <v>217</v>
      </c>
      <c r="C415" t="s">
        <v>16</v>
      </c>
      <c r="D415" t="s">
        <v>30</v>
      </c>
      <c r="E415">
        <v>14</v>
      </c>
      <c r="F415">
        <v>14.1</v>
      </c>
      <c r="G415">
        <v>14.5</v>
      </c>
      <c r="H415">
        <v>15.1</v>
      </c>
      <c r="I415">
        <v>14.4</v>
      </c>
      <c r="J415">
        <v>14</v>
      </c>
      <c r="K415">
        <v>14.2</v>
      </c>
      <c r="L415">
        <v>13.9</v>
      </c>
      <c r="M415">
        <v>14.1</v>
      </c>
      <c r="N415">
        <v>14</v>
      </c>
      <c r="O415">
        <v>14.2</v>
      </c>
      <c r="P415">
        <v>14</v>
      </c>
      <c r="Q415">
        <v>13.5</v>
      </c>
      <c r="R415">
        <v>15.3</v>
      </c>
      <c r="S415">
        <f>Tableau1[[#This Row],[Final_time]]-SUM(Tableau1[[#This Row],[0_100m]:[1300_1400m]])</f>
        <v>13.239999999999981</v>
      </c>
      <c r="T415">
        <v>212.54</v>
      </c>
      <c r="U415">
        <f t="shared" si="12"/>
        <v>212.54</v>
      </c>
      <c r="V415">
        <f t="shared" si="13"/>
        <v>0</v>
      </c>
      <c r="W415" s="12"/>
      <c r="X415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5" t="s">
        <v>1365</v>
      </c>
      <c r="Z415" s="2" t="s">
        <v>43</v>
      </c>
      <c r="AA415" s="2"/>
      <c r="AB415" s="2" t="s">
        <v>65</v>
      </c>
      <c r="AC415" s="2">
        <v>45857</v>
      </c>
      <c r="AD415" s="3">
        <v>2025</v>
      </c>
      <c r="AE415" s="3">
        <v>21</v>
      </c>
      <c r="AF415" s="5">
        <v>0.89</v>
      </c>
      <c r="AG415" s="3" t="s">
        <v>94</v>
      </c>
    </row>
    <row r="416" spans="1:34" hidden="1" x14ac:dyDescent="0.35">
      <c r="A416" t="str">
        <f>_xlfn.CONCAT(Tableau1[[#This Row],[Athletes]],"_",Tableau1[[#This Row],[Nationality]],"_",Tableau1[[#This Row],[Competition_year]])</f>
        <v>Adam SPENCER_AUS_2025</v>
      </c>
      <c r="B416" t="s">
        <v>229</v>
      </c>
      <c r="C416" t="s">
        <v>16</v>
      </c>
      <c r="D416" t="s">
        <v>21</v>
      </c>
      <c r="E416">
        <v>13.9</v>
      </c>
      <c r="F416">
        <v>14</v>
      </c>
      <c r="G416">
        <v>15.1</v>
      </c>
      <c r="H416">
        <v>15.2</v>
      </c>
      <c r="I416">
        <v>13.9</v>
      </c>
      <c r="J416">
        <v>14.2</v>
      </c>
      <c r="K416">
        <v>14.1</v>
      </c>
      <c r="L416">
        <v>14.1</v>
      </c>
      <c r="M416">
        <v>13.9</v>
      </c>
      <c r="N416">
        <v>14.2</v>
      </c>
      <c r="O416">
        <v>14.2</v>
      </c>
      <c r="P416">
        <v>14.5</v>
      </c>
      <c r="Q416">
        <v>14</v>
      </c>
      <c r="R416">
        <v>13.9</v>
      </c>
      <c r="S416">
        <f>Tableau1[[#This Row],[Final_time]]-SUM(Tableau1[[#This Row],[0_100m]:[1300_1400m]])</f>
        <v>13.680000000000007</v>
      </c>
      <c r="T416">
        <v>212.88</v>
      </c>
      <c r="U416">
        <f t="shared" si="12"/>
        <v>212.88</v>
      </c>
      <c r="V416">
        <f t="shared" si="13"/>
        <v>0</v>
      </c>
      <c r="W416" s="12"/>
      <c r="X416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6" t="s">
        <v>1365</v>
      </c>
      <c r="Z416" s="2" t="s">
        <v>43</v>
      </c>
      <c r="AA416" s="2"/>
      <c r="AB416" s="2" t="s">
        <v>65</v>
      </c>
      <c r="AC416" s="2">
        <v>45857</v>
      </c>
      <c r="AD416" s="3">
        <v>2025</v>
      </c>
      <c r="AE416" s="3">
        <v>21</v>
      </c>
      <c r="AF416" s="5">
        <v>0.89</v>
      </c>
      <c r="AG416" s="3" t="s">
        <v>94</v>
      </c>
    </row>
    <row r="417" spans="1:33" hidden="1" x14ac:dyDescent="0.35">
      <c r="A417" t="str">
        <f>_xlfn.CONCAT(Tableau1[[#This Row],[Athletes]],"_",Tableau1[[#This Row],[Nationality]],"_",Tableau1[[#This Row],[Competition_year]])</f>
        <v>Selemon BAREGA_ETH_2025</v>
      </c>
      <c r="B417" t="s">
        <v>1364</v>
      </c>
      <c r="C417" t="s">
        <v>16</v>
      </c>
      <c r="D417" t="s">
        <v>48</v>
      </c>
      <c r="E417">
        <v>14.1</v>
      </c>
      <c r="F417">
        <v>14</v>
      </c>
      <c r="G417">
        <v>15</v>
      </c>
      <c r="H417">
        <v>15.2</v>
      </c>
      <c r="I417">
        <v>13.9</v>
      </c>
      <c r="J417">
        <v>14.2</v>
      </c>
      <c r="K417">
        <v>13.5</v>
      </c>
      <c r="L417">
        <v>13.9</v>
      </c>
      <c r="M417">
        <v>14.2</v>
      </c>
      <c r="N417">
        <v>14.1</v>
      </c>
      <c r="O417">
        <v>14.1</v>
      </c>
      <c r="P417">
        <v>13.9</v>
      </c>
      <c r="Q417">
        <v>13.7</v>
      </c>
      <c r="R417">
        <v>14.4</v>
      </c>
      <c r="S417">
        <f>Tableau1[[#This Row],[Final_time]]-SUM(Tableau1[[#This Row],[0_100m]:[1300_1400m]])</f>
        <v>14.730000000000018</v>
      </c>
      <c r="T417">
        <v>212.93</v>
      </c>
      <c r="U417">
        <f t="shared" si="12"/>
        <v>212.93</v>
      </c>
      <c r="V417">
        <f t="shared" si="13"/>
        <v>0</v>
      </c>
      <c r="W417" s="12"/>
      <c r="X417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7" t="s">
        <v>1365</v>
      </c>
      <c r="Z417" s="2" t="s">
        <v>43</v>
      </c>
      <c r="AA417" s="2"/>
      <c r="AB417" s="2" t="s">
        <v>65</v>
      </c>
      <c r="AC417" s="2">
        <v>45857</v>
      </c>
      <c r="AD417" s="3">
        <v>2025</v>
      </c>
      <c r="AE417" s="3">
        <v>21</v>
      </c>
      <c r="AF417" s="5">
        <v>0.89</v>
      </c>
      <c r="AG417" s="3" t="s">
        <v>94</v>
      </c>
    </row>
    <row r="418" spans="1:33" hidden="1" x14ac:dyDescent="0.35">
      <c r="A418" t="str">
        <f>_xlfn.CONCAT(Tableau1[[#This Row],[Athletes]],"_",Tableau1[[#This Row],[Nationality]],"_",Tableau1[[#This Row],[Competition_year]])</f>
        <v>Neil GOURLEY_GBR_2025</v>
      </c>
      <c r="B418" t="s">
        <v>202</v>
      </c>
      <c r="C418" t="s">
        <v>16</v>
      </c>
      <c r="D418" t="s">
        <v>20</v>
      </c>
      <c r="E418">
        <v>13.8</v>
      </c>
      <c r="F418">
        <v>14.1</v>
      </c>
      <c r="G418">
        <v>14.9</v>
      </c>
      <c r="H418">
        <v>15.1</v>
      </c>
      <c r="I418">
        <v>13.9</v>
      </c>
      <c r="J418">
        <v>14.1</v>
      </c>
      <c r="K418">
        <v>13.8</v>
      </c>
      <c r="L418">
        <v>14</v>
      </c>
      <c r="M418">
        <v>14.2</v>
      </c>
      <c r="N418">
        <v>14</v>
      </c>
      <c r="O418">
        <v>14.3</v>
      </c>
      <c r="P418">
        <v>14.2</v>
      </c>
      <c r="Q418">
        <v>13.8</v>
      </c>
      <c r="R418">
        <v>14.9</v>
      </c>
      <c r="S418">
        <f>Tableau1[[#This Row],[Final_time]]-SUM(Tableau1[[#This Row],[0_100m]:[1300_1400m]])</f>
        <v>14.590000000000003</v>
      </c>
      <c r="T418">
        <v>213.69</v>
      </c>
      <c r="U418">
        <f t="shared" si="12"/>
        <v>213.69</v>
      </c>
      <c r="V418">
        <f t="shared" si="13"/>
        <v>0</v>
      </c>
      <c r="W418" s="12"/>
      <c r="X418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8" t="s">
        <v>1365</v>
      </c>
      <c r="Z418" s="2" t="s">
        <v>43</v>
      </c>
      <c r="AA418" s="2"/>
      <c r="AB418" s="2" t="s">
        <v>65</v>
      </c>
      <c r="AC418" s="2">
        <v>45857</v>
      </c>
      <c r="AD418" s="3">
        <v>2025</v>
      </c>
      <c r="AE418" s="3">
        <v>21</v>
      </c>
      <c r="AF418" s="5">
        <v>0.89</v>
      </c>
      <c r="AG418" s="3" t="s">
        <v>94</v>
      </c>
    </row>
    <row r="419" spans="1:33" hidden="1" x14ac:dyDescent="0.35">
      <c r="A419" t="str">
        <f>_xlfn.CONCAT(Tableau1[[#This Row],[Athletes]],"_",Tableau1[[#This Row],[Nationality]],"_",Tableau1[[#This Row],[Competition_year]])</f>
        <v>Oliver HOARE_AUS_2025</v>
      </c>
      <c r="B419" t="s">
        <v>249</v>
      </c>
      <c r="C419" t="s">
        <v>16</v>
      </c>
      <c r="D419" t="s">
        <v>21</v>
      </c>
      <c r="E419">
        <v>13.7</v>
      </c>
      <c r="F419">
        <v>14</v>
      </c>
      <c r="G419">
        <v>14.8</v>
      </c>
      <c r="H419">
        <v>14.8</v>
      </c>
      <c r="I419">
        <v>14.1</v>
      </c>
      <c r="J419">
        <v>13.7</v>
      </c>
      <c r="K419">
        <v>14.2</v>
      </c>
      <c r="L419">
        <v>14.1</v>
      </c>
      <c r="M419">
        <v>13.8</v>
      </c>
      <c r="N419">
        <v>14.1</v>
      </c>
      <c r="O419">
        <v>14.2</v>
      </c>
      <c r="P419">
        <v>14.2</v>
      </c>
      <c r="Q419">
        <v>13.9</v>
      </c>
      <c r="R419">
        <v>15.4</v>
      </c>
      <c r="S419">
        <f>Tableau1[[#This Row],[Final_time]]-SUM(Tableau1[[#This Row],[0_100m]:[1300_1400m]])</f>
        <v>15.03000000000003</v>
      </c>
      <c r="T419">
        <v>214.03</v>
      </c>
      <c r="U419">
        <f t="shared" si="12"/>
        <v>214.03</v>
      </c>
      <c r="V419">
        <f t="shared" si="13"/>
        <v>0</v>
      </c>
      <c r="W419" s="12"/>
      <c r="X419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19" t="s">
        <v>1365</v>
      </c>
      <c r="Z419" s="2" t="s">
        <v>43</v>
      </c>
      <c r="AA419" s="2"/>
      <c r="AB419" s="2" t="s">
        <v>65</v>
      </c>
      <c r="AC419" s="2">
        <v>45857</v>
      </c>
      <c r="AD419" s="3">
        <v>2025</v>
      </c>
      <c r="AE419" s="3">
        <v>21</v>
      </c>
      <c r="AF419" s="5">
        <v>0.89</v>
      </c>
      <c r="AG419" s="3" t="s">
        <v>94</v>
      </c>
    </row>
    <row r="420" spans="1:33" hidden="1" x14ac:dyDescent="0.35">
      <c r="A420" t="str">
        <f>_xlfn.CONCAT(Tableau1[[#This Row],[Athletes]],"_",Tableau1[[#This Row],[Nationality]],"_",Tableau1[[#This Row],[Competition_year]])</f>
        <v>George MILLS_GBR_2025</v>
      </c>
      <c r="B420" t="s">
        <v>279</v>
      </c>
      <c r="C420" t="s">
        <v>16</v>
      </c>
      <c r="D420" t="s">
        <v>20</v>
      </c>
      <c r="E420">
        <v>13.3</v>
      </c>
      <c r="F420">
        <v>13.7</v>
      </c>
      <c r="G420">
        <v>14.8</v>
      </c>
      <c r="H420">
        <v>14.2</v>
      </c>
      <c r="I420">
        <v>14</v>
      </c>
      <c r="J420">
        <v>13.9</v>
      </c>
      <c r="K420">
        <v>14</v>
      </c>
      <c r="L420">
        <v>14</v>
      </c>
      <c r="M420">
        <v>14</v>
      </c>
      <c r="N420">
        <v>14.2</v>
      </c>
      <c r="O420">
        <v>14.2</v>
      </c>
      <c r="P420">
        <v>14.1</v>
      </c>
      <c r="Q420">
        <v>14.1</v>
      </c>
      <c r="R420">
        <v>52.1</v>
      </c>
      <c r="S420">
        <f>Tableau1[[#This Row],[Final_time]]-SUM(Tableau1[[#This Row],[0_100m]:[1300_1400m]])</f>
        <v>23.770000000000039</v>
      </c>
      <c r="T420">
        <v>258.37</v>
      </c>
      <c r="U420">
        <f t="shared" si="12"/>
        <v>258.37</v>
      </c>
      <c r="V420">
        <f t="shared" si="13"/>
        <v>0</v>
      </c>
      <c r="W420" s="12"/>
      <c r="X420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20" t="s">
        <v>1365</v>
      </c>
      <c r="Z420" s="2" t="s">
        <v>43</v>
      </c>
      <c r="AA420" s="2"/>
      <c r="AB420" s="2" t="s">
        <v>65</v>
      </c>
      <c r="AC420" s="2">
        <v>45857</v>
      </c>
      <c r="AD420" s="3">
        <v>2025</v>
      </c>
      <c r="AE420" s="3">
        <v>21</v>
      </c>
      <c r="AF420" s="5">
        <v>0.89</v>
      </c>
      <c r="AG420" s="3" t="s">
        <v>94</v>
      </c>
    </row>
    <row r="421" spans="1:33" hidden="1" x14ac:dyDescent="0.35">
      <c r="A421" t="str">
        <f>_xlfn.CONCAT(Tableau1[[#This Row],[Athletes]],"_",Tableau1[[#This Row],[Nationality]],"_",Tableau1[[#This Row],[Competition_year]])</f>
        <v>Cameron MYERS_AUS_2025</v>
      </c>
      <c r="B421" t="s">
        <v>808</v>
      </c>
      <c r="C421" t="s">
        <v>16</v>
      </c>
      <c r="D421" t="s">
        <v>21</v>
      </c>
      <c r="E421">
        <v>13.4</v>
      </c>
      <c r="F421">
        <v>14.1</v>
      </c>
      <c r="G421">
        <v>15.1</v>
      </c>
      <c r="H421">
        <v>14.8</v>
      </c>
      <c r="I421">
        <v>14.1</v>
      </c>
      <c r="J421">
        <v>13.9</v>
      </c>
      <c r="K421">
        <v>13.9</v>
      </c>
      <c r="L421">
        <v>13.9</v>
      </c>
      <c r="M421">
        <v>13.5</v>
      </c>
      <c r="N421">
        <v>14.2</v>
      </c>
      <c r="O421">
        <v>13.9</v>
      </c>
      <c r="P421">
        <v>14.1</v>
      </c>
      <c r="Q421">
        <v>13.7</v>
      </c>
      <c r="R421">
        <v>57.4</v>
      </c>
      <c r="S421">
        <f>Tableau1[[#This Row],[Final_time]]-SUM(Tableau1[[#This Row],[0_100m]:[1300_1400m]])</f>
        <v>24.029999999999973</v>
      </c>
      <c r="T421">
        <v>264.02999999999997</v>
      </c>
      <c r="U421">
        <f t="shared" si="12"/>
        <v>264.02999999999997</v>
      </c>
      <c r="V421">
        <f t="shared" si="13"/>
        <v>0</v>
      </c>
      <c r="W421" s="12"/>
      <c r="X421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21" t="s">
        <v>1365</v>
      </c>
      <c r="Z421" s="2" t="s">
        <v>43</v>
      </c>
      <c r="AA421" s="2"/>
      <c r="AB421" s="2" t="s">
        <v>65</v>
      </c>
      <c r="AC421" s="2">
        <v>45857</v>
      </c>
      <c r="AD421" s="3">
        <v>2025</v>
      </c>
      <c r="AE421" s="3">
        <v>21</v>
      </c>
      <c r="AF421" s="5">
        <v>0.89</v>
      </c>
      <c r="AG421" s="3" t="s">
        <v>94</v>
      </c>
    </row>
    <row r="422" spans="1:33" hidden="1" x14ac:dyDescent="0.35">
      <c r="A422" t="str">
        <f>_xlfn.CONCAT(Tableau1[[#This Row],[Athletes]],"_",Tableau1[[#This Row],[Nationality]],"_",Tableau1[[#This Row],[Competition_year]])</f>
        <v>Robert FARKEN_GER_2025</v>
      </c>
      <c r="B422" t="s">
        <v>342</v>
      </c>
      <c r="C422" t="s">
        <v>16</v>
      </c>
      <c r="D422" t="s">
        <v>34</v>
      </c>
      <c r="T422">
        <v>267.54000000000002</v>
      </c>
      <c r="U422">
        <f t="shared" si="12"/>
        <v>0</v>
      </c>
      <c r="V422">
        <f t="shared" si="13"/>
        <v>267.54000000000002</v>
      </c>
      <c r="W422" s="12"/>
      <c r="X422" t="str">
        <f>_xlfn.CONCAT(Tableau1[[#This Row],[Competition]],"_",Tableau1[[#This Row],[Championship_step]],"_",Tableau1[[#This Row],[Competition_date]],"_",Tableau1[[#This Row],[Gender]])</f>
        <v>Diamond League London 2025__45857_Male</v>
      </c>
      <c r="Y422" t="s">
        <v>1365</v>
      </c>
      <c r="Z422" s="2" t="s">
        <v>43</v>
      </c>
      <c r="AA422" s="2"/>
      <c r="AB422" s="2" t="s">
        <v>65</v>
      </c>
      <c r="AC422" s="2">
        <v>45857</v>
      </c>
      <c r="AD422" s="3">
        <v>2025</v>
      </c>
      <c r="AE422" s="3">
        <v>21</v>
      </c>
      <c r="AF422" s="5">
        <v>0.89</v>
      </c>
      <c r="AG422" s="3" t="s">
        <v>94</v>
      </c>
    </row>
    <row r="423" spans="1:33" hidden="1" x14ac:dyDescent="0.35">
      <c r="A423" t="str">
        <f>_xlfn.CONCAT(Tableau1[[#This Row],[Athletes]],"_",Tableau1[[#This Row],[Nationality]],"_",Tableau1[[#This Row],[Competition_year]])</f>
        <v>Faith KIPYEGON_KEN_2021</v>
      </c>
      <c r="B423" t="s">
        <v>164</v>
      </c>
      <c r="C423" t="s">
        <v>47</v>
      </c>
      <c r="D423" t="s">
        <v>17</v>
      </c>
      <c r="E423">
        <v>15.3</v>
      </c>
      <c r="F423">
        <v>15.5</v>
      </c>
      <c r="G423">
        <v>15.8</v>
      </c>
      <c r="H423">
        <v>15.5</v>
      </c>
      <c r="I423">
        <v>15.3</v>
      </c>
      <c r="J423">
        <v>15.5</v>
      </c>
      <c r="K423">
        <v>15.8</v>
      </c>
      <c r="L423">
        <v>15.6</v>
      </c>
      <c r="M423">
        <v>15.7</v>
      </c>
      <c r="N423">
        <v>15.6</v>
      </c>
      <c r="O423">
        <v>15.7</v>
      </c>
      <c r="P423">
        <v>15.3</v>
      </c>
      <c r="Q423">
        <v>15</v>
      </c>
      <c r="R423">
        <v>15.2</v>
      </c>
      <c r="S423">
        <f>Tableau1[[#This Row],[Final_time]]-SUM(Tableau1[[#This Row],[0_100m]:[1300_1400m]])</f>
        <v>14.27000000000001</v>
      </c>
      <c r="T423">
        <v>231.07</v>
      </c>
      <c r="U423">
        <f t="shared" si="12"/>
        <v>231.07</v>
      </c>
      <c r="V423">
        <f t="shared" si="13"/>
        <v>0</v>
      </c>
      <c r="W423" s="12"/>
      <c r="X423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3" t="s">
        <v>315</v>
      </c>
      <c r="Z423" t="s">
        <v>43</v>
      </c>
      <c r="AB423" t="s">
        <v>65</v>
      </c>
      <c r="AC423" s="2">
        <v>44386</v>
      </c>
      <c r="AD423">
        <v>2021</v>
      </c>
      <c r="AE423">
        <v>27</v>
      </c>
      <c r="AF423" s="5">
        <v>0.51</v>
      </c>
      <c r="AG423" s="3" t="s">
        <v>64</v>
      </c>
    </row>
    <row r="424" spans="1:33" hidden="1" x14ac:dyDescent="0.35">
      <c r="A424" t="str">
        <f>_xlfn.CONCAT(Tableau1[[#This Row],[Athletes]],"_",Tableau1[[#This Row],[Nationality]],"_",Tableau1[[#This Row],[Competition_year]])</f>
        <v>Esther GUERRERO_ESP_2021</v>
      </c>
      <c r="B424" t="s">
        <v>169</v>
      </c>
      <c r="C424" t="s">
        <v>47</v>
      </c>
      <c r="D424" t="s">
        <v>22</v>
      </c>
      <c r="E424">
        <v>16</v>
      </c>
      <c r="F424">
        <v>16.399999999999999</v>
      </c>
      <c r="G424">
        <v>15.899999999999999</v>
      </c>
      <c r="H424">
        <v>16</v>
      </c>
      <c r="I424">
        <v>16.299999999999997</v>
      </c>
      <c r="J424">
        <v>16.300000000000011</v>
      </c>
      <c r="K424">
        <v>16.599999999999994</v>
      </c>
      <c r="L424">
        <v>16.599999999999994</v>
      </c>
      <c r="M424">
        <v>16.800000000000011</v>
      </c>
      <c r="N424">
        <v>16.5</v>
      </c>
      <c r="O424">
        <v>16</v>
      </c>
      <c r="P424">
        <v>16</v>
      </c>
      <c r="Q424">
        <v>16.099999999999994</v>
      </c>
      <c r="R424">
        <v>15.800000000000011</v>
      </c>
      <c r="S424">
        <f>Tableau1[[#This Row],[Final_time]]-SUM(Tableau1[[#This Row],[0_100m]:[1300_1400m]])</f>
        <v>15.22999999999999</v>
      </c>
      <c r="T424">
        <v>242.53</v>
      </c>
      <c r="U424">
        <f t="shared" si="12"/>
        <v>242.53</v>
      </c>
      <c r="V424">
        <f t="shared" si="13"/>
        <v>0</v>
      </c>
      <c r="W424" s="12"/>
      <c r="X424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4" t="s">
        <v>315</v>
      </c>
      <c r="Z424" t="s">
        <v>43</v>
      </c>
      <c r="AB424" t="s">
        <v>65</v>
      </c>
      <c r="AC424" s="2">
        <v>44386</v>
      </c>
      <c r="AD424">
        <v>2021</v>
      </c>
      <c r="AE424">
        <v>27</v>
      </c>
      <c r="AF424" s="5">
        <v>0.51</v>
      </c>
      <c r="AG424" s="3" t="s">
        <v>64</v>
      </c>
    </row>
    <row r="425" spans="1:33" hidden="1" x14ac:dyDescent="0.35">
      <c r="A425" t="str">
        <f>_xlfn.CONCAT(Tableau1[[#This Row],[Athletes]],"_",Tableau1[[#This Row],[Nationality]],"_",Tableau1[[#This Row],[Competition_year]])</f>
        <v>Ciara MAGEEAN_IRL_2021</v>
      </c>
      <c r="B425" t="s">
        <v>180</v>
      </c>
      <c r="C425" t="s">
        <v>47</v>
      </c>
      <c r="D425" t="s">
        <v>35</v>
      </c>
      <c r="E425">
        <v>16.100000000000001</v>
      </c>
      <c r="F425">
        <v>15.099999999999998</v>
      </c>
      <c r="G425">
        <v>16.8</v>
      </c>
      <c r="H425">
        <v>16.099999999999994</v>
      </c>
      <c r="I425">
        <v>16.300000000000011</v>
      </c>
      <c r="J425">
        <v>16.299999999999997</v>
      </c>
      <c r="K425">
        <v>16.5</v>
      </c>
      <c r="L425">
        <v>16.600000000000009</v>
      </c>
      <c r="M425">
        <v>16.899999999999977</v>
      </c>
      <c r="N425">
        <v>16.600000000000023</v>
      </c>
      <c r="O425">
        <v>16.299999999999983</v>
      </c>
      <c r="P425">
        <v>16</v>
      </c>
      <c r="Q425">
        <v>15.700000000000017</v>
      </c>
      <c r="R425">
        <v>15.699999999999989</v>
      </c>
      <c r="S425">
        <f>Tableau1[[#This Row],[Final_time]]-SUM(Tableau1[[#This Row],[0_100m]:[1300_1400m]])</f>
        <v>15.47999999999999</v>
      </c>
      <c r="T425">
        <v>242.48</v>
      </c>
      <c r="U425">
        <f t="shared" si="12"/>
        <v>242.48</v>
      </c>
      <c r="V425">
        <f t="shared" si="13"/>
        <v>0</v>
      </c>
      <c r="W425" s="12"/>
      <c r="X425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5" t="s">
        <v>315</v>
      </c>
      <c r="Z425" t="s">
        <v>43</v>
      </c>
      <c r="AB425" t="s">
        <v>65</v>
      </c>
      <c r="AC425" s="2">
        <v>44386</v>
      </c>
      <c r="AD425">
        <v>2021</v>
      </c>
      <c r="AE425">
        <v>27</v>
      </c>
      <c r="AF425" s="5">
        <v>0.51</v>
      </c>
      <c r="AG425" s="3" t="s">
        <v>64</v>
      </c>
    </row>
    <row r="426" spans="1:33" hidden="1" x14ac:dyDescent="0.35">
      <c r="A426" t="str">
        <f>_xlfn.CONCAT(Tableau1[[#This Row],[Athletes]],"_",Tableau1[[#This Row],[Nationality]],"_",Tableau1[[#This Row],[Competition_year]])</f>
        <v>Aurore FLEURY_FRA_2021</v>
      </c>
      <c r="B426" t="s">
        <v>360</v>
      </c>
      <c r="C426" t="s">
        <v>47</v>
      </c>
      <c r="D426" t="s">
        <v>18</v>
      </c>
      <c r="E426">
        <v>16.399999999999999</v>
      </c>
      <c r="F426">
        <v>16.800000000000004</v>
      </c>
      <c r="G426">
        <v>15.799999999999997</v>
      </c>
      <c r="H426">
        <v>15.900000000000006</v>
      </c>
      <c r="I426">
        <v>16.299999999999997</v>
      </c>
      <c r="J426">
        <v>16.399999999999991</v>
      </c>
      <c r="K426">
        <v>16.400000000000006</v>
      </c>
      <c r="L426">
        <v>16.599999999999994</v>
      </c>
      <c r="M426">
        <v>16.800000000000011</v>
      </c>
      <c r="N426">
        <v>16.599999999999994</v>
      </c>
      <c r="O426">
        <v>16.400000000000006</v>
      </c>
      <c r="P426">
        <v>16</v>
      </c>
      <c r="Q426">
        <v>16</v>
      </c>
      <c r="R426">
        <v>15.299999999999983</v>
      </c>
      <c r="S426">
        <f>Tableau1[[#This Row],[Final_time]]-SUM(Tableau1[[#This Row],[0_100m]:[1300_1400m]])</f>
        <v>15.75</v>
      </c>
      <c r="T426">
        <v>243.45</v>
      </c>
      <c r="U426">
        <f t="shared" si="12"/>
        <v>243.45</v>
      </c>
      <c r="V426">
        <f t="shared" si="13"/>
        <v>0</v>
      </c>
      <c r="W426" s="12"/>
      <c r="X426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6" t="s">
        <v>315</v>
      </c>
      <c r="Z426" t="s">
        <v>43</v>
      </c>
      <c r="AB426" t="s">
        <v>65</v>
      </c>
      <c r="AC426" s="2">
        <v>44386</v>
      </c>
      <c r="AD426">
        <v>2021</v>
      </c>
      <c r="AE426">
        <v>27</v>
      </c>
      <c r="AF426" s="5">
        <v>0.51</v>
      </c>
      <c r="AG426" s="3" t="s">
        <v>64</v>
      </c>
    </row>
    <row r="427" spans="1:33" hidden="1" x14ac:dyDescent="0.35">
      <c r="A427" t="str">
        <f>_xlfn.CONCAT(Tableau1[[#This Row],[Athletes]],"_",Tableau1[[#This Row],[Nationality]],"_",Tableau1[[#This Row],[Competition_year]])</f>
        <v>Hanna KLEIN_GER_2021</v>
      </c>
      <c r="B427" t="s">
        <v>246</v>
      </c>
      <c r="C427" t="s">
        <v>47</v>
      </c>
      <c r="D427" t="s">
        <v>34</v>
      </c>
      <c r="E427">
        <v>16.2</v>
      </c>
      <c r="F427">
        <v>16.400000000000002</v>
      </c>
      <c r="G427">
        <v>16</v>
      </c>
      <c r="H427">
        <v>15.899999999999999</v>
      </c>
      <c r="I427">
        <v>16.299999999999997</v>
      </c>
      <c r="J427">
        <v>16.400000000000006</v>
      </c>
      <c r="K427">
        <v>16.399999999999991</v>
      </c>
      <c r="L427">
        <v>16.599999999999994</v>
      </c>
      <c r="M427">
        <v>16.700000000000017</v>
      </c>
      <c r="N427">
        <v>16.699999999999989</v>
      </c>
      <c r="O427">
        <v>16.200000000000017</v>
      </c>
      <c r="P427">
        <v>16</v>
      </c>
      <c r="Q427">
        <v>16</v>
      </c>
      <c r="R427">
        <v>15.799999999999983</v>
      </c>
      <c r="S427">
        <f>Tableau1[[#This Row],[Final_time]]-SUM(Tableau1[[#This Row],[0_100m]:[1300_1400m]])</f>
        <v>15.819999999999993</v>
      </c>
      <c r="T427">
        <v>243.42</v>
      </c>
      <c r="U427">
        <f t="shared" si="12"/>
        <v>243.42</v>
      </c>
      <c r="V427">
        <f t="shared" si="13"/>
        <v>0</v>
      </c>
      <c r="W427" s="12"/>
      <c r="X427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7" t="s">
        <v>315</v>
      </c>
      <c r="Z427" t="s">
        <v>43</v>
      </c>
      <c r="AB427" t="s">
        <v>65</v>
      </c>
      <c r="AC427" s="2">
        <v>44386</v>
      </c>
      <c r="AD427">
        <v>2021</v>
      </c>
      <c r="AE427">
        <v>27</v>
      </c>
      <c r="AF427" s="5">
        <v>0.51</v>
      </c>
      <c r="AG427" s="3" t="s">
        <v>64</v>
      </c>
    </row>
    <row r="428" spans="1:33" hidden="1" x14ac:dyDescent="0.35">
      <c r="A428" t="str">
        <f>_xlfn.CONCAT(Tableau1[[#This Row],[Athletes]],"_",Tableau1[[#This Row],[Nationality]],"_",Tableau1[[#This Row],[Competition_year]])</f>
        <v>Winny CHEBET_KEN_2021</v>
      </c>
      <c r="B428" t="s">
        <v>139</v>
      </c>
      <c r="C428" t="s">
        <v>47</v>
      </c>
      <c r="D428" t="s">
        <v>17</v>
      </c>
      <c r="E428">
        <v>15.9</v>
      </c>
      <c r="F428">
        <v>15.999999999999998</v>
      </c>
      <c r="G428">
        <v>15.899999999999999</v>
      </c>
      <c r="H428">
        <v>16</v>
      </c>
      <c r="I428">
        <v>16.400000000000006</v>
      </c>
      <c r="J428">
        <v>16.299999999999997</v>
      </c>
      <c r="K428">
        <v>16.599999999999994</v>
      </c>
      <c r="L428">
        <v>16.599999999999994</v>
      </c>
      <c r="M428">
        <v>17.100000000000023</v>
      </c>
      <c r="N428">
        <v>16.699999999999989</v>
      </c>
      <c r="O428">
        <v>16.099999999999994</v>
      </c>
      <c r="P428">
        <v>15.900000000000006</v>
      </c>
      <c r="Q428">
        <v>15.800000000000011</v>
      </c>
      <c r="R428">
        <v>15.599999999999994</v>
      </c>
      <c r="S428">
        <f>Tableau1[[#This Row],[Final_time]]-SUM(Tableau1[[#This Row],[0_100m]:[1300_1400m]])</f>
        <v>15.870000000000005</v>
      </c>
      <c r="T428">
        <v>242.77</v>
      </c>
      <c r="U428">
        <f t="shared" si="12"/>
        <v>242.77</v>
      </c>
      <c r="V428">
        <f t="shared" si="13"/>
        <v>0</v>
      </c>
      <c r="W428" s="12"/>
      <c r="X428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8" t="s">
        <v>315</v>
      </c>
      <c r="Z428" t="s">
        <v>43</v>
      </c>
      <c r="AB428" t="s">
        <v>65</v>
      </c>
      <c r="AC428" s="2">
        <v>44386</v>
      </c>
      <c r="AD428">
        <v>2021</v>
      </c>
      <c r="AE428">
        <v>27</v>
      </c>
      <c r="AF428" s="5">
        <v>0.51</v>
      </c>
      <c r="AG428" s="3" t="s">
        <v>64</v>
      </c>
    </row>
    <row r="429" spans="1:33" hidden="1" x14ac:dyDescent="0.35">
      <c r="A429" t="str">
        <f>_xlfn.CONCAT(Tableau1[[#This Row],[Athletes]],"_",Tableau1[[#This Row],[Nationality]],"_",Tableau1[[#This Row],[Competition_year]])</f>
        <v>Winnie NANYONDO_UGA_2021</v>
      </c>
      <c r="B429" t="s">
        <v>241</v>
      </c>
      <c r="C429" t="s">
        <v>47</v>
      </c>
      <c r="D429" t="s">
        <v>52</v>
      </c>
      <c r="E429">
        <v>15.5</v>
      </c>
      <c r="F429">
        <v>15.899999999999999</v>
      </c>
      <c r="G429">
        <v>15.800000000000004</v>
      </c>
      <c r="H429">
        <v>15.699999999999996</v>
      </c>
      <c r="I429">
        <v>15.699999999999996</v>
      </c>
      <c r="J429">
        <v>16.200000000000003</v>
      </c>
      <c r="K429">
        <v>16.5</v>
      </c>
      <c r="L429">
        <v>16.299999999999997</v>
      </c>
      <c r="M429">
        <v>16.599999999999994</v>
      </c>
      <c r="N429">
        <v>16.400000000000006</v>
      </c>
      <c r="O429">
        <v>16.400000000000006</v>
      </c>
      <c r="P429">
        <v>16.199999999999989</v>
      </c>
      <c r="Q429">
        <v>15.900000000000006</v>
      </c>
      <c r="R429">
        <v>16</v>
      </c>
      <c r="S429">
        <f>Tableau1[[#This Row],[Final_time]]-SUM(Tableau1[[#This Row],[0_100m]:[1300_1400m]])</f>
        <v>16.080000000000013</v>
      </c>
      <c r="T429">
        <v>241.18</v>
      </c>
      <c r="U429">
        <f t="shared" si="12"/>
        <v>241.18</v>
      </c>
      <c r="V429">
        <f t="shared" si="13"/>
        <v>0</v>
      </c>
      <c r="W429" s="12"/>
      <c r="X429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29" t="s">
        <v>315</v>
      </c>
      <c r="Z429" t="s">
        <v>43</v>
      </c>
      <c r="AB429" t="s">
        <v>65</v>
      </c>
      <c r="AC429" s="2">
        <v>44386</v>
      </c>
      <c r="AD429">
        <v>2021</v>
      </c>
      <c r="AE429">
        <v>27</v>
      </c>
      <c r="AF429" s="5">
        <v>0.51</v>
      </c>
      <c r="AG429" s="3" t="s">
        <v>64</v>
      </c>
    </row>
    <row r="430" spans="1:33" hidden="1" x14ac:dyDescent="0.35">
      <c r="A430" t="str">
        <f>_xlfn.CONCAT(Tableau1[[#This Row],[Athletes]],"_",Tableau1[[#This Row],[Nationality]],"_",Tableau1[[#This Row],[Competition_year]])</f>
        <v>Heather MACLEAN_USA_2021</v>
      </c>
      <c r="B430" t="s">
        <v>355</v>
      </c>
      <c r="C430" t="s">
        <v>47</v>
      </c>
      <c r="D430" t="s">
        <v>51</v>
      </c>
      <c r="E430">
        <v>16.100000000000001</v>
      </c>
      <c r="F430">
        <v>16.5</v>
      </c>
      <c r="G430">
        <v>16.199999999999996</v>
      </c>
      <c r="H430">
        <v>15.799999999999997</v>
      </c>
      <c r="I430">
        <v>16.400000000000006</v>
      </c>
      <c r="J430">
        <v>16.299999999999997</v>
      </c>
      <c r="K430">
        <v>16.5</v>
      </c>
      <c r="L430">
        <v>16.600000000000009</v>
      </c>
      <c r="M430">
        <v>16.799999999999983</v>
      </c>
      <c r="N430">
        <v>16.600000000000023</v>
      </c>
      <c r="O430">
        <v>16.299999999999983</v>
      </c>
      <c r="P430">
        <v>15.900000000000006</v>
      </c>
      <c r="Q430">
        <v>15.699999999999989</v>
      </c>
      <c r="R430">
        <v>15.700000000000017</v>
      </c>
      <c r="S430">
        <f>Tableau1[[#This Row],[Final_time]]-SUM(Tableau1[[#This Row],[0_100m]:[1300_1400m]])</f>
        <v>16.22999999999999</v>
      </c>
      <c r="T430">
        <v>243.63</v>
      </c>
      <c r="U430">
        <f t="shared" si="12"/>
        <v>243.63</v>
      </c>
      <c r="V430">
        <f t="shared" si="13"/>
        <v>0</v>
      </c>
      <c r="W430" s="12"/>
      <c r="X430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30" t="s">
        <v>315</v>
      </c>
      <c r="Z430" t="s">
        <v>43</v>
      </c>
      <c r="AB430" t="s">
        <v>65</v>
      </c>
      <c r="AC430" s="2">
        <v>44386</v>
      </c>
      <c r="AD430">
        <v>2021</v>
      </c>
      <c r="AE430">
        <v>27</v>
      </c>
      <c r="AF430" s="5">
        <v>0.51</v>
      </c>
      <c r="AG430" s="3" t="s">
        <v>64</v>
      </c>
    </row>
    <row r="431" spans="1:33" hidden="1" x14ac:dyDescent="0.35">
      <c r="A431" t="str">
        <f>_xlfn.CONCAT(Tableau1[[#This Row],[Athletes]],"_",Tableau1[[#This Row],[Nationality]],"_",Tableau1[[#This Row],[Competition_year]])</f>
        <v>Freweyni HAILU_ETH_2021</v>
      </c>
      <c r="B431" t="s">
        <v>144</v>
      </c>
      <c r="C431" t="s">
        <v>47</v>
      </c>
      <c r="D431" t="s">
        <v>48</v>
      </c>
      <c r="E431">
        <v>15.3</v>
      </c>
      <c r="F431">
        <v>15.8</v>
      </c>
      <c r="G431">
        <v>15.9</v>
      </c>
      <c r="H431">
        <v>15.5</v>
      </c>
      <c r="I431">
        <v>15.3</v>
      </c>
      <c r="J431">
        <v>15.4</v>
      </c>
      <c r="K431">
        <v>15.7</v>
      </c>
      <c r="L431">
        <v>15.7</v>
      </c>
      <c r="M431">
        <v>15.7</v>
      </c>
      <c r="N431">
        <v>15.6</v>
      </c>
      <c r="O431">
        <v>15.6</v>
      </c>
      <c r="P431">
        <v>15.7</v>
      </c>
      <c r="Q431">
        <v>16.100000000000001</v>
      </c>
      <c r="R431">
        <v>16.600000000000001</v>
      </c>
      <c r="S431">
        <f>Tableau1[[#This Row],[Final_time]]-SUM(Tableau1[[#This Row],[0_100m]:[1300_1400m]])</f>
        <v>16.379999999999995</v>
      </c>
      <c r="T431">
        <v>236.27999999999997</v>
      </c>
      <c r="U431">
        <f t="shared" si="12"/>
        <v>236.27999999999997</v>
      </c>
      <c r="V431">
        <f t="shared" si="13"/>
        <v>0</v>
      </c>
      <c r="W431" s="12"/>
      <c r="X431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31" t="s">
        <v>315</v>
      </c>
      <c r="Z431" t="s">
        <v>43</v>
      </c>
      <c r="AB431" t="s">
        <v>65</v>
      </c>
      <c r="AC431" s="2">
        <v>44386</v>
      </c>
      <c r="AD431">
        <v>2021</v>
      </c>
      <c r="AE431">
        <v>27</v>
      </c>
      <c r="AF431" s="5">
        <v>0.51</v>
      </c>
      <c r="AG431" s="3" t="s">
        <v>64</v>
      </c>
    </row>
    <row r="432" spans="1:33" hidden="1" x14ac:dyDescent="0.35">
      <c r="A432" t="str">
        <f>_xlfn.CONCAT(Tableau1[[#This Row],[Athletes]],"_",Tableau1[[#This Row],[Nationality]],"_",Tableau1[[#This Row],[Competition_year]])</f>
        <v>Sifan HASSAN_NED_2021</v>
      </c>
      <c r="B432" t="s">
        <v>152</v>
      </c>
      <c r="C432" t="s">
        <v>47</v>
      </c>
      <c r="D432" t="s">
        <v>39</v>
      </c>
      <c r="E432">
        <v>15.3</v>
      </c>
      <c r="F432">
        <v>15.3</v>
      </c>
      <c r="G432">
        <v>15.8</v>
      </c>
      <c r="H432">
        <v>15.5</v>
      </c>
      <c r="I432">
        <v>15.3</v>
      </c>
      <c r="J432">
        <v>15.5</v>
      </c>
      <c r="K432">
        <v>15.8</v>
      </c>
      <c r="L432">
        <v>15.6</v>
      </c>
      <c r="M432">
        <v>15.7</v>
      </c>
      <c r="N432">
        <v>15.6</v>
      </c>
      <c r="O432">
        <v>15.7</v>
      </c>
      <c r="P432">
        <v>15.3</v>
      </c>
      <c r="Q432">
        <v>15.1</v>
      </c>
      <c r="R432">
        <v>15.4</v>
      </c>
      <c r="S432">
        <f>Tableau1[[#This Row],[Final_time]]-SUM(Tableau1[[#This Row],[0_100m]:[1300_1400m]])</f>
        <v>16.699999999999989</v>
      </c>
      <c r="T432">
        <v>233.59999999999997</v>
      </c>
      <c r="U432">
        <f t="shared" si="12"/>
        <v>233.59999999999997</v>
      </c>
      <c r="V432">
        <f t="shared" si="13"/>
        <v>0</v>
      </c>
      <c r="W432" s="12"/>
      <c r="X432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32" t="s">
        <v>315</v>
      </c>
      <c r="Z432" t="s">
        <v>43</v>
      </c>
      <c r="AB432" t="s">
        <v>65</v>
      </c>
      <c r="AC432" s="2">
        <v>44386</v>
      </c>
      <c r="AD432">
        <v>2021</v>
      </c>
      <c r="AE432">
        <v>27</v>
      </c>
      <c r="AF432" s="5">
        <v>0.51</v>
      </c>
      <c r="AG432" s="3" t="s">
        <v>64</v>
      </c>
    </row>
    <row r="433" spans="1:34" hidden="1" x14ac:dyDescent="0.35">
      <c r="A433" t="str">
        <f>_xlfn.CONCAT(Tableau1[[#This Row],[Athletes]],"_",Tableau1[[#This Row],[Nationality]],"_",Tableau1[[#This Row],[Competition_year]])</f>
        <v>Sara BENFARES_GER_2021</v>
      </c>
      <c r="B433" t="s">
        <v>1229</v>
      </c>
      <c r="C433" t="s">
        <v>47</v>
      </c>
      <c r="D433" t="s">
        <v>34</v>
      </c>
      <c r="E433">
        <v>16.600000000000001</v>
      </c>
      <c r="F433">
        <v>16.5</v>
      </c>
      <c r="G433">
        <v>16.100000000000001</v>
      </c>
      <c r="H433">
        <v>15.899999999999991</v>
      </c>
      <c r="I433">
        <v>16.400000000000006</v>
      </c>
      <c r="J433">
        <v>16.299999999999997</v>
      </c>
      <c r="K433">
        <v>16.5</v>
      </c>
      <c r="L433">
        <v>16.600000000000009</v>
      </c>
      <c r="M433">
        <v>16.799999999999983</v>
      </c>
      <c r="N433">
        <v>16.600000000000023</v>
      </c>
      <c r="O433">
        <v>16.5</v>
      </c>
      <c r="P433">
        <v>16.199999999999989</v>
      </c>
      <c r="Q433">
        <v>16.599999999999994</v>
      </c>
      <c r="R433">
        <v>16.900000000000006</v>
      </c>
      <c r="S433">
        <f>Tableau1[[#This Row],[Final_time]]-SUM(Tableau1[[#This Row],[0_100m]:[1300_1400m]])</f>
        <v>16.800000000000011</v>
      </c>
      <c r="T433">
        <v>247.3</v>
      </c>
      <c r="U433">
        <f t="shared" si="12"/>
        <v>247.3</v>
      </c>
      <c r="V433">
        <f t="shared" si="13"/>
        <v>0</v>
      </c>
      <c r="W433" s="12"/>
      <c r="X433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33" t="s">
        <v>315</v>
      </c>
      <c r="Z433" t="s">
        <v>43</v>
      </c>
      <c r="AB433" t="s">
        <v>65</v>
      </c>
      <c r="AC433" s="2">
        <v>44386</v>
      </c>
      <c r="AD433">
        <v>2021</v>
      </c>
      <c r="AE433">
        <v>27</v>
      </c>
      <c r="AF433" s="5">
        <v>0.51</v>
      </c>
      <c r="AG433" s="3" t="s">
        <v>64</v>
      </c>
    </row>
    <row r="434" spans="1:34" hidden="1" x14ac:dyDescent="0.35">
      <c r="A434" t="str">
        <f>_xlfn.CONCAT(Tableau1[[#This Row],[Athletes]],"_",Tableau1[[#This Row],[Nationality]],"_",Tableau1[[#This Row],[Competition_year]])</f>
        <v>Cory Ann MCGEE_USA_2021</v>
      </c>
      <c r="B434" t="s">
        <v>181</v>
      </c>
      <c r="C434" t="s">
        <v>47</v>
      </c>
      <c r="D434" t="s">
        <v>51</v>
      </c>
      <c r="E434">
        <v>15.6</v>
      </c>
      <c r="F434">
        <v>16</v>
      </c>
      <c r="G434">
        <v>15.899999999999999</v>
      </c>
      <c r="H434">
        <v>15.700000000000003</v>
      </c>
      <c r="I434">
        <v>15.899999999999991</v>
      </c>
      <c r="J434">
        <v>16</v>
      </c>
      <c r="K434">
        <v>16</v>
      </c>
      <c r="L434">
        <v>16.300000000000011</v>
      </c>
      <c r="M434">
        <v>16.599999999999994</v>
      </c>
      <c r="N434">
        <v>16.300000000000011</v>
      </c>
      <c r="O434">
        <v>16.5</v>
      </c>
      <c r="P434">
        <v>16.199999999999989</v>
      </c>
      <c r="Q434">
        <v>16.599999999999994</v>
      </c>
      <c r="R434">
        <v>16.700000000000017</v>
      </c>
      <c r="S434">
        <f>Tableau1[[#This Row],[Final_time]]-SUM(Tableau1[[#This Row],[0_100m]:[1300_1400m]])</f>
        <v>17.899999999999977</v>
      </c>
      <c r="T434">
        <v>244.2</v>
      </c>
      <c r="U434">
        <f t="shared" si="12"/>
        <v>244.2</v>
      </c>
      <c r="V434">
        <f t="shared" si="13"/>
        <v>0</v>
      </c>
      <c r="W434" s="12"/>
      <c r="X434" t="str">
        <f>_xlfn.CONCAT(Tableau1[[#This Row],[Competition]],"_",Tableau1[[#This Row],[Championship_step]],"_",Tableau1[[#This Row],[Competition_date]],"_",Tableau1[[#This Row],[Gender]])</f>
        <v>Diamond League Monaco 2021__44386_Female</v>
      </c>
      <c r="Y434" t="s">
        <v>315</v>
      </c>
      <c r="Z434" t="s">
        <v>43</v>
      </c>
      <c r="AB434" t="s">
        <v>65</v>
      </c>
      <c r="AC434" s="2">
        <v>44386</v>
      </c>
      <c r="AD434">
        <v>2021</v>
      </c>
      <c r="AE434">
        <v>27</v>
      </c>
      <c r="AF434" s="5">
        <v>0.51</v>
      </c>
      <c r="AG434" s="3" t="s">
        <v>64</v>
      </c>
    </row>
    <row r="435" spans="1:34" hidden="1" x14ac:dyDescent="0.35">
      <c r="A435" t="str">
        <f>_xlfn.CONCAT(Tableau1[[#This Row],[Athletes]],"_",Tableau1[[#This Row],[Nationality]],"_",Tableau1[[#This Row],[Competition_year]])</f>
        <v>Heather MACLEAN_USA_2022</v>
      </c>
      <c r="B435" t="s">
        <v>355</v>
      </c>
      <c r="C435" t="s">
        <v>47</v>
      </c>
      <c r="D435" t="s">
        <v>51</v>
      </c>
      <c r="E435">
        <v>15.6</v>
      </c>
      <c r="F435">
        <v>16</v>
      </c>
      <c r="G435">
        <v>15.899999999999999</v>
      </c>
      <c r="H435">
        <v>15.899999999999999</v>
      </c>
      <c r="I435">
        <v>15.899999999999999</v>
      </c>
      <c r="J435">
        <v>16.700000000000003</v>
      </c>
      <c r="K435">
        <v>16.299999999999997</v>
      </c>
      <c r="L435">
        <v>16.799999999999997</v>
      </c>
      <c r="M435">
        <v>16.400000000000006</v>
      </c>
      <c r="N435">
        <v>16.800000000000011</v>
      </c>
      <c r="O435">
        <v>16.099999999999994</v>
      </c>
      <c r="P435">
        <v>15.699999999999989</v>
      </c>
      <c r="Q435">
        <v>15</v>
      </c>
      <c r="R435">
        <v>14.700000000000017</v>
      </c>
      <c r="S435">
        <f>Tableau1[[#This Row],[Final_time]]-SUM(Tableau1[[#This Row],[0_100m]:[1300_1400m]])</f>
        <v>15.089999999999975</v>
      </c>
      <c r="T435">
        <v>238.89</v>
      </c>
      <c r="U435">
        <f t="shared" si="12"/>
        <v>238.89</v>
      </c>
      <c r="V435">
        <f t="shared" si="13"/>
        <v>0</v>
      </c>
      <c r="W435" s="12"/>
      <c r="X435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35" t="s">
        <v>307</v>
      </c>
      <c r="Z435" t="s">
        <v>43</v>
      </c>
      <c r="AB435" t="s">
        <v>65</v>
      </c>
      <c r="AC435" s="2">
        <v>44783</v>
      </c>
      <c r="AD435">
        <v>2022</v>
      </c>
      <c r="AE435">
        <v>27</v>
      </c>
      <c r="AF435" s="5">
        <v>0.56999999999999995</v>
      </c>
      <c r="AG435" s="3" t="s">
        <v>94</v>
      </c>
    </row>
    <row r="436" spans="1:34" hidden="1" x14ac:dyDescent="0.35">
      <c r="A436" t="str">
        <f>_xlfn.CONCAT(Tableau1[[#This Row],[Athletes]],"_",Tableau1[[#This Row],[Nationality]],"_",Tableau1[[#This Row],[Competition_year]])</f>
        <v>Faith KIPYEGON_KEN_2022</v>
      </c>
      <c r="B436" t="s">
        <v>164</v>
      </c>
      <c r="C436" t="s">
        <v>47</v>
      </c>
      <c r="D436" t="s">
        <v>17</v>
      </c>
      <c r="E436">
        <v>14.7</v>
      </c>
      <c r="F436">
        <v>15.100000000000001</v>
      </c>
      <c r="G436">
        <v>15.499999999999996</v>
      </c>
      <c r="H436">
        <v>15.200000000000003</v>
      </c>
      <c r="I436">
        <v>15.400000000000006</v>
      </c>
      <c r="J436">
        <v>15.399999999999991</v>
      </c>
      <c r="K436">
        <v>15.700000000000003</v>
      </c>
      <c r="L436">
        <v>15.599999999999994</v>
      </c>
      <c r="M436">
        <v>15.400000000000006</v>
      </c>
      <c r="N436">
        <v>15.400000000000006</v>
      </c>
      <c r="O436">
        <v>15.699999999999989</v>
      </c>
      <c r="P436">
        <v>15.599999999999994</v>
      </c>
      <c r="Q436">
        <v>15.300000000000011</v>
      </c>
      <c r="R436">
        <v>15.199999999999989</v>
      </c>
      <c r="S436">
        <f>Tableau1[[#This Row],[Final_time]]-SUM(Tableau1[[#This Row],[0_100m]:[1300_1400m]])</f>
        <v>15.170000000000016</v>
      </c>
      <c r="T436">
        <v>230.37</v>
      </c>
      <c r="U436">
        <f t="shared" si="12"/>
        <v>230.37</v>
      </c>
      <c r="V436">
        <f t="shared" si="13"/>
        <v>0</v>
      </c>
      <c r="W436" s="12"/>
      <c r="X43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36" t="s">
        <v>307</v>
      </c>
      <c r="Z436" t="s">
        <v>43</v>
      </c>
      <c r="AB436" t="s">
        <v>65</v>
      </c>
      <c r="AC436" s="2">
        <v>44783</v>
      </c>
      <c r="AD436">
        <v>2022</v>
      </c>
      <c r="AE436">
        <v>27</v>
      </c>
      <c r="AF436" s="5">
        <v>0.56999999999999995</v>
      </c>
      <c r="AG436" s="3" t="s">
        <v>94</v>
      </c>
    </row>
    <row r="437" spans="1:34" hidden="1" x14ac:dyDescent="0.35">
      <c r="A437" t="str">
        <f>_xlfn.CONCAT(Tableau1[[#This Row],[Athletes]],"_",Tableau1[[#This Row],[Nationality]],"_",Tableau1[[#This Row],[Competition_year]])</f>
        <v>Cory Ann MCGEE_USA_2022</v>
      </c>
      <c r="B437" t="s">
        <v>181</v>
      </c>
      <c r="C437" t="s">
        <v>47</v>
      </c>
      <c r="D437" t="s">
        <v>51</v>
      </c>
      <c r="E437">
        <v>15.5</v>
      </c>
      <c r="F437">
        <v>16</v>
      </c>
      <c r="G437">
        <v>15.799999999999997</v>
      </c>
      <c r="H437">
        <v>15.900000000000006</v>
      </c>
      <c r="I437">
        <v>15.899999999999991</v>
      </c>
      <c r="J437">
        <v>16.700000000000003</v>
      </c>
      <c r="K437">
        <v>16.400000000000006</v>
      </c>
      <c r="L437">
        <v>16.700000000000003</v>
      </c>
      <c r="M437">
        <v>16.400000000000006</v>
      </c>
      <c r="N437">
        <v>16.799999999999983</v>
      </c>
      <c r="O437">
        <v>16.099999999999994</v>
      </c>
      <c r="P437">
        <v>16</v>
      </c>
      <c r="Q437">
        <v>15.5</v>
      </c>
      <c r="R437">
        <v>15.400000000000006</v>
      </c>
      <c r="S437">
        <f>Tableau1[[#This Row],[Final_time]]-SUM(Tableau1[[#This Row],[0_100m]:[1300_1400m]])</f>
        <v>15.599999999999994</v>
      </c>
      <c r="T437">
        <v>240.7</v>
      </c>
      <c r="U437">
        <f t="shared" si="12"/>
        <v>240.7</v>
      </c>
      <c r="V437">
        <f t="shared" si="13"/>
        <v>0</v>
      </c>
      <c r="W437" s="12"/>
      <c r="X437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37" t="s">
        <v>307</v>
      </c>
      <c r="Z437" t="s">
        <v>43</v>
      </c>
      <c r="AB437" t="s">
        <v>65</v>
      </c>
      <c r="AC437" s="2">
        <v>44783</v>
      </c>
      <c r="AD437">
        <v>2022</v>
      </c>
      <c r="AE437">
        <v>27</v>
      </c>
      <c r="AF437" s="5">
        <v>0.56999999999999995</v>
      </c>
      <c r="AG437" s="3" t="s">
        <v>94</v>
      </c>
    </row>
    <row r="438" spans="1:34" hidden="1" x14ac:dyDescent="0.35">
      <c r="A438" t="str">
        <f>_xlfn.CONCAT(Tableau1[[#This Row],[Athletes]],"_",Tableau1[[#This Row],[Nationality]],"_",Tableau1[[#This Row],[Competition_year]])</f>
        <v>Winnie NANYONDO_UGA_2022</v>
      </c>
      <c r="B438" t="s">
        <v>241</v>
      </c>
      <c r="C438" t="s">
        <v>47</v>
      </c>
      <c r="D438" t="s">
        <v>52</v>
      </c>
      <c r="E438">
        <v>15.4</v>
      </c>
      <c r="F438">
        <v>15.9</v>
      </c>
      <c r="G438">
        <v>15.499999999999996</v>
      </c>
      <c r="H438">
        <v>15.900000000000006</v>
      </c>
      <c r="I438">
        <v>16</v>
      </c>
      <c r="J438">
        <v>16.700000000000003</v>
      </c>
      <c r="K438">
        <v>16.299999999999997</v>
      </c>
      <c r="L438">
        <v>16.799999999999997</v>
      </c>
      <c r="M438">
        <v>16.300000000000011</v>
      </c>
      <c r="N438">
        <v>16.699999999999989</v>
      </c>
      <c r="O438">
        <v>16.099999999999994</v>
      </c>
      <c r="P438">
        <v>16.200000000000017</v>
      </c>
      <c r="Q438">
        <v>15.5</v>
      </c>
      <c r="R438">
        <v>15.5</v>
      </c>
      <c r="S438">
        <f>Tableau1[[#This Row],[Final_time]]-SUM(Tableau1[[#This Row],[0_100m]:[1300_1400m]])</f>
        <v>16.009999999999991</v>
      </c>
      <c r="T438">
        <v>240.81</v>
      </c>
      <c r="U438">
        <f t="shared" si="12"/>
        <v>240.81</v>
      </c>
      <c r="V438">
        <f t="shared" si="13"/>
        <v>0</v>
      </c>
      <c r="W438" s="12"/>
      <c r="X438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38" t="s">
        <v>307</v>
      </c>
      <c r="Z438" t="s">
        <v>43</v>
      </c>
      <c r="AB438" t="s">
        <v>65</v>
      </c>
      <c r="AC438" s="2">
        <v>44783</v>
      </c>
      <c r="AD438">
        <v>2022</v>
      </c>
      <c r="AE438">
        <v>27</v>
      </c>
      <c r="AF438" s="5">
        <v>0.56999999999999995</v>
      </c>
      <c r="AG438" s="3" t="s">
        <v>94</v>
      </c>
    </row>
    <row r="439" spans="1:34" hidden="1" x14ac:dyDescent="0.35">
      <c r="A439" t="str">
        <f>_xlfn.CONCAT(Tableau1[[#This Row],[Athletes]],"_",Tableau1[[#This Row],[Nationality]],"_",Tableau1[[#This Row],[Competition_year]])</f>
        <v>Elise CRANNY_USA_2022</v>
      </c>
      <c r="B439" t="s">
        <v>358</v>
      </c>
      <c r="C439" t="s">
        <v>47</v>
      </c>
      <c r="D439" t="s">
        <v>51</v>
      </c>
      <c r="E439">
        <v>15.1</v>
      </c>
      <c r="F439">
        <v>15.700000000000001</v>
      </c>
      <c r="G439">
        <v>15.3</v>
      </c>
      <c r="H439">
        <v>15.899999999999999</v>
      </c>
      <c r="I439">
        <v>16.099999999999994</v>
      </c>
      <c r="J439">
        <v>16.700000000000003</v>
      </c>
      <c r="K439">
        <v>16.5</v>
      </c>
      <c r="L439">
        <v>16.899999999999991</v>
      </c>
      <c r="M439">
        <v>16.700000000000017</v>
      </c>
      <c r="N439">
        <v>16.900000000000006</v>
      </c>
      <c r="O439">
        <v>15.699999999999989</v>
      </c>
      <c r="P439">
        <v>14.900000000000006</v>
      </c>
      <c r="Q439">
        <v>15.199999999999989</v>
      </c>
      <c r="R439">
        <v>15.400000000000006</v>
      </c>
      <c r="S439">
        <f>Tableau1[[#This Row],[Final_time]]-SUM(Tableau1[[#This Row],[0_100m]:[1300_1400m]])</f>
        <v>16.060000000000002</v>
      </c>
      <c r="T439">
        <v>239.06</v>
      </c>
      <c r="U439">
        <f t="shared" si="12"/>
        <v>239.06</v>
      </c>
      <c r="V439">
        <f t="shared" si="13"/>
        <v>0</v>
      </c>
      <c r="W439" s="12"/>
      <c r="X439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39" t="s">
        <v>307</v>
      </c>
      <c r="Z439" t="s">
        <v>43</v>
      </c>
      <c r="AB439" t="s">
        <v>65</v>
      </c>
      <c r="AC439" s="2">
        <v>44783</v>
      </c>
      <c r="AD439">
        <v>2022</v>
      </c>
      <c r="AE439">
        <v>27</v>
      </c>
      <c r="AF439" s="5">
        <v>0.56999999999999995</v>
      </c>
      <c r="AG439" s="3" t="s">
        <v>94</v>
      </c>
    </row>
    <row r="440" spans="1:34" hidden="1" x14ac:dyDescent="0.35">
      <c r="A440" t="str">
        <f>_xlfn.CONCAT(Tableau1[[#This Row],[Athletes]],"_",Tableau1[[#This Row],[Nationality]],"_",Tableau1[[#This Row],[Competition_year]])</f>
        <v>Jessica HULL_AUS_2022</v>
      </c>
      <c r="B440" t="s">
        <v>187</v>
      </c>
      <c r="C440" t="s">
        <v>47</v>
      </c>
      <c r="D440" t="s">
        <v>21</v>
      </c>
      <c r="E440">
        <v>15.3</v>
      </c>
      <c r="F440">
        <v>15.7</v>
      </c>
      <c r="G440">
        <v>15.299999999999997</v>
      </c>
      <c r="H440">
        <v>15.900000000000006</v>
      </c>
      <c r="I440">
        <v>16.099999999999994</v>
      </c>
      <c r="J440">
        <v>16.700000000000003</v>
      </c>
      <c r="K440">
        <v>16.5</v>
      </c>
      <c r="L440">
        <v>16.900000000000006</v>
      </c>
      <c r="M440">
        <v>16.400000000000006</v>
      </c>
      <c r="N440">
        <v>16.799999999999983</v>
      </c>
      <c r="O440">
        <v>16.099999999999994</v>
      </c>
      <c r="P440">
        <v>15.900000000000006</v>
      </c>
      <c r="Q440">
        <v>15.900000000000006</v>
      </c>
      <c r="R440">
        <v>16</v>
      </c>
      <c r="S440">
        <f>Tableau1[[#This Row],[Final_time]]-SUM(Tableau1[[#This Row],[0_100m]:[1300_1400m]])</f>
        <v>16.22999999999999</v>
      </c>
      <c r="T440">
        <v>241.73</v>
      </c>
      <c r="U440">
        <f t="shared" si="12"/>
        <v>241.73</v>
      </c>
      <c r="V440">
        <f t="shared" si="13"/>
        <v>0</v>
      </c>
      <c r="W440" s="12"/>
      <c r="X440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0" t="s">
        <v>307</v>
      </c>
      <c r="Z440" t="s">
        <v>43</v>
      </c>
      <c r="AB440" t="s">
        <v>65</v>
      </c>
      <c r="AC440" s="2">
        <v>44783</v>
      </c>
      <c r="AD440">
        <v>2022</v>
      </c>
      <c r="AE440">
        <v>27</v>
      </c>
      <c r="AF440" s="5">
        <v>0.56999999999999995</v>
      </c>
      <c r="AG440" s="3" t="s">
        <v>94</v>
      </c>
    </row>
    <row r="441" spans="1:34" hidden="1" x14ac:dyDescent="0.35">
      <c r="A441" t="str">
        <f>_xlfn.CONCAT(Tableau1[[#This Row],[Athletes]],"_",Tableau1[[#This Row],[Nationality]],"_",Tableau1[[#This Row],[Competition_year]])</f>
        <v>Hirut MESHESHA_ETH_2022</v>
      </c>
      <c r="B441" t="s">
        <v>135</v>
      </c>
      <c r="C441" t="s">
        <v>47</v>
      </c>
      <c r="D441" t="s">
        <v>48</v>
      </c>
      <c r="E441">
        <v>14.9</v>
      </c>
      <c r="F441">
        <v>15.4</v>
      </c>
      <c r="G441">
        <v>15.400000000000002</v>
      </c>
      <c r="H441">
        <v>15.699999999999996</v>
      </c>
      <c r="I441">
        <v>16.199999999999996</v>
      </c>
      <c r="J441">
        <v>16.900000000000006</v>
      </c>
      <c r="K441">
        <v>16.700000000000003</v>
      </c>
      <c r="L441">
        <v>17.100000000000009</v>
      </c>
      <c r="M441">
        <v>16.199999999999989</v>
      </c>
      <c r="N441">
        <v>16</v>
      </c>
      <c r="O441">
        <v>15.599999999999994</v>
      </c>
      <c r="P441">
        <v>16.200000000000017</v>
      </c>
      <c r="Q441">
        <v>16</v>
      </c>
      <c r="R441">
        <v>15.699999999999989</v>
      </c>
      <c r="S441">
        <f>Tableau1[[#This Row],[Final_time]]-SUM(Tableau1[[#This Row],[0_100m]:[1300_1400m]])</f>
        <v>16.509999999999991</v>
      </c>
      <c r="T441">
        <v>240.51</v>
      </c>
      <c r="U441">
        <f t="shared" si="12"/>
        <v>240.51</v>
      </c>
      <c r="V441">
        <f t="shared" si="13"/>
        <v>0</v>
      </c>
      <c r="W441" s="12"/>
      <c r="X441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1" t="s">
        <v>307</v>
      </c>
      <c r="Z441" t="s">
        <v>43</v>
      </c>
      <c r="AB441" t="s">
        <v>65</v>
      </c>
      <c r="AC441" s="2">
        <v>44783</v>
      </c>
      <c r="AD441">
        <v>2022</v>
      </c>
      <c r="AE441">
        <v>27</v>
      </c>
      <c r="AF441" s="5">
        <v>0.56999999999999995</v>
      </c>
      <c r="AG441" s="3" t="s">
        <v>94</v>
      </c>
    </row>
    <row r="442" spans="1:34" hidden="1" x14ac:dyDescent="0.35">
      <c r="A442" t="str">
        <f>_xlfn.CONCAT(Tableau1[[#This Row],[Athletes]],"_",Tableau1[[#This Row],[Nationality]],"_",Tableau1[[#This Row],[Competition_year]])</f>
        <v>Sinclaire JOHNSON_USA_2022</v>
      </c>
      <c r="B442" t="s">
        <v>185</v>
      </c>
      <c r="C442" t="s">
        <v>47</v>
      </c>
      <c r="D442" t="s">
        <v>51</v>
      </c>
      <c r="E442">
        <v>15.4</v>
      </c>
      <c r="F442">
        <v>15.799999999999999</v>
      </c>
      <c r="G442">
        <v>15.400000000000002</v>
      </c>
      <c r="H442">
        <v>15.799999999999997</v>
      </c>
      <c r="I442">
        <v>16.100000000000001</v>
      </c>
      <c r="J442">
        <v>16.799999999999997</v>
      </c>
      <c r="K442">
        <v>16.5</v>
      </c>
      <c r="L442">
        <v>16.899999999999991</v>
      </c>
      <c r="M442">
        <v>16.400000000000006</v>
      </c>
      <c r="N442">
        <v>16.800000000000011</v>
      </c>
      <c r="O442">
        <v>16</v>
      </c>
      <c r="P442">
        <v>16.099999999999994</v>
      </c>
      <c r="Q442">
        <v>16</v>
      </c>
      <c r="R442">
        <v>16.300000000000011</v>
      </c>
      <c r="S442">
        <f>Tableau1[[#This Row],[Final_time]]-SUM(Tableau1[[#This Row],[0_100m]:[1300_1400m]])</f>
        <v>16.569999999999993</v>
      </c>
      <c r="T442">
        <v>242.87</v>
      </c>
      <c r="U442">
        <f t="shared" si="12"/>
        <v>242.87</v>
      </c>
      <c r="V442">
        <f t="shared" si="13"/>
        <v>0</v>
      </c>
      <c r="W442" s="12"/>
      <c r="X442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2" t="s">
        <v>307</v>
      </c>
      <c r="Z442" t="s">
        <v>43</v>
      </c>
      <c r="AB442" t="s">
        <v>65</v>
      </c>
      <c r="AC442" s="2">
        <v>44783</v>
      </c>
      <c r="AD442">
        <v>2022</v>
      </c>
      <c r="AE442">
        <v>27</v>
      </c>
      <c r="AF442" s="5">
        <v>0.56999999999999995</v>
      </c>
      <c r="AG442" s="3" t="s">
        <v>94</v>
      </c>
    </row>
    <row r="443" spans="1:34" hidden="1" x14ac:dyDescent="0.35">
      <c r="A443" t="str">
        <f>_xlfn.CONCAT(Tableau1[[#This Row],[Athletes]],"_",Tableau1[[#This Row],[Nationality]],"_",Tableau1[[#This Row],[Competition_year]])</f>
        <v>Gaia SABBATINI_ITA_2022</v>
      </c>
      <c r="B443" t="s">
        <v>167</v>
      </c>
      <c r="C443" t="s">
        <v>47</v>
      </c>
      <c r="D443" t="s">
        <v>19</v>
      </c>
      <c r="E443">
        <v>15.5</v>
      </c>
      <c r="F443">
        <v>15.899999999999999</v>
      </c>
      <c r="G443">
        <v>15.700000000000003</v>
      </c>
      <c r="H443">
        <v>15.799999999999997</v>
      </c>
      <c r="I443">
        <v>16.000000000000007</v>
      </c>
      <c r="J443">
        <v>16.699999999999989</v>
      </c>
      <c r="K443">
        <v>16.5</v>
      </c>
      <c r="L443">
        <v>16.800000000000011</v>
      </c>
      <c r="M443">
        <v>16.599999999999994</v>
      </c>
      <c r="N443">
        <v>16.800000000000011</v>
      </c>
      <c r="O443">
        <v>16.299999999999983</v>
      </c>
      <c r="P443">
        <v>16.200000000000017</v>
      </c>
      <c r="Q443">
        <v>16.299999999999983</v>
      </c>
      <c r="R443">
        <v>16.700000000000017</v>
      </c>
      <c r="S443">
        <f>Tableau1[[#This Row],[Final_time]]-SUM(Tableau1[[#This Row],[0_100m]:[1300_1400m]])</f>
        <v>17.159999999999997</v>
      </c>
      <c r="T443">
        <v>244.96</v>
      </c>
      <c r="U443">
        <f t="shared" si="12"/>
        <v>244.96</v>
      </c>
      <c r="V443">
        <f t="shared" si="13"/>
        <v>0</v>
      </c>
      <c r="W443" s="12"/>
      <c r="X443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3" t="s">
        <v>307</v>
      </c>
      <c r="Z443" t="s">
        <v>43</v>
      </c>
      <c r="AB443" t="s">
        <v>65</v>
      </c>
      <c r="AC443" s="2">
        <v>44783</v>
      </c>
      <c r="AD443">
        <v>2022</v>
      </c>
      <c r="AE443">
        <v>27</v>
      </c>
      <c r="AF443" s="5">
        <v>0.56999999999999995</v>
      </c>
      <c r="AG443" s="3" t="s">
        <v>94</v>
      </c>
    </row>
    <row r="444" spans="1:34" hidden="1" x14ac:dyDescent="0.35">
      <c r="A444" t="str">
        <f>_xlfn.CONCAT(Tableau1[[#This Row],[Athletes]],"_",Tableau1[[#This Row],[Nationality]],"_",Tableau1[[#This Row],[Competition_year]])</f>
        <v>Marta PÉREZ_ESP_2022</v>
      </c>
      <c r="B444" t="s">
        <v>183</v>
      </c>
      <c r="C444" t="s">
        <v>47</v>
      </c>
      <c r="D444" t="s">
        <v>22</v>
      </c>
      <c r="E444">
        <v>15.8</v>
      </c>
      <c r="F444">
        <v>16</v>
      </c>
      <c r="G444">
        <v>15.8</v>
      </c>
      <c r="H444">
        <v>15.899999999999999</v>
      </c>
      <c r="I444">
        <v>15.5</v>
      </c>
      <c r="J444">
        <v>16.599999999999994</v>
      </c>
      <c r="K444">
        <v>16.400000000000006</v>
      </c>
      <c r="L444">
        <v>16.699999999999989</v>
      </c>
      <c r="M444">
        <v>16.400000000000006</v>
      </c>
      <c r="N444">
        <v>16.599999999999994</v>
      </c>
      <c r="O444">
        <v>16.400000000000006</v>
      </c>
      <c r="P444">
        <v>16.5</v>
      </c>
      <c r="Q444">
        <v>16.200000000000017</v>
      </c>
      <c r="R444">
        <v>16.899999999999977</v>
      </c>
      <c r="S444">
        <f>Tableau1[[#This Row],[Final_time]]-SUM(Tableau1[[#This Row],[0_100m]:[1300_1400m]])</f>
        <v>17.900000000000006</v>
      </c>
      <c r="T444">
        <v>245.6</v>
      </c>
      <c r="U444">
        <f t="shared" si="12"/>
        <v>245.6</v>
      </c>
      <c r="V444">
        <f t="shared" si="13"/>
        <v>0</v>
      </c>
      <c r="W444" s="12"/>
      <c r="X444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4" t="s">
        <v>307</v>
      </c>
      <c r="Z444" t="s">
        <v>43</v>
      </c>
      <c r="AB444" t="s">
        <v>65</v>
      </c>
      <c r="AC444" s="2">
        <v>44783</v>
      </c>
      <c r="AD444">
        <v>2022</v>
      </c>
      <c r="AE444">
        <v>27</v>
      </c>
      <c r="AF444" s="5">
        <v>0.56999999999999995</v>
      </c>
      <c r="AG444" s="3" t="s">
        <v>94</v>
      </c>
    </row>
    <row r="445" spans="1:34" hidden="1" x14ac:dyDescent="0.35">
      <c r="A445" t="str">
        <f>_xlfn.CONCAT(Tableau1[[#This Row],[Athletes]],"_",Tableau1[[#This Row],[Nationality]],"_",Tableau1[[#This Row],[Competition_year]])</f>
        <v>Aurore FLEURY_FRA_2022</v>
      </c>
      <c r="B445" t="s">
        <v>360</v>
      </c>
      <c r="C445" t="s">
        <v>47</v>
      </c>
      <c r="D445" t="s">
        <v>18</v>
      </c>
      <c r="E445">
        <v>15.6</v>
      </c>
      <c r="F445">
        <v>16.200000000000003</v>
      </c>
      <c r="G445">
        <v>15.900000000000002</v>
      </c>
      <c r="H445">
        <v>15.899999999999999</v>
      </c>
      <c r="I445">
        <v>15.999999999999993</v>
      </c>
      <c r="J445">
        <v>16.600000000000009</v>
      </c>
      <c r="K445">
        <v>16.5</v>
      </c>
      <c r="L445">
        <v>16.899999999999991</v>
      </c>
      <c r="M445">
        <v>17</v>
      </c>
      <c r="N445">
        <v>16.900000000000006</v>
      </c>
      <c r="O445">
        <v>17.099999999999994</v>
      </c>
      <c r="P445">
        <v>17.300000000000011</v>
      </c>
      <c r="Q445">
        <v>17.099999999999994</v>
      </c>
      <c r="R445">
        <v>17.099999999999994</v>
      </c>
      <c r="S445">
        <f>Tableau1[[#This Row],[Final_time]]-SUM(Tableau1[[#This Row],[0_100m]:[1300_1400m]])</f>
        <v>17.909999999999997</v>
      </c>
      <c r="T445">
        <v>250.01</v>
      </c>
      <c r="U445">
        <f t="shared" si="12"/>
        <v>250.01</v>
      </c>
      <c r="V445">
        <f t="shared" si="13"/>
        <v>0</v>
      </c>
      <c r="W445" s="12"/>
      <c r="X445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5" t="s">
        <v>307</v>
      </c>
      <c r="Z445" t="s">
        <v>43</v>
      </c>
      <c r="AB445" t="s">
        <v>65</v>
      </c>
      <c r="AC445" s="2">
        <v>44783</v>
      </c>
      <c r="AD445">
        <v>2022</v>
      </c>
      <c r="AE445">
        <v>27</v>
      </c>
      <c r="AF445" s="5">
        <v>0.56999999999999995</v>
      </c>
      <c r="AG445" s="3" t="s">
        <v>94</v>
      </c>
    </row>
    <row r="446" spans="1:34" hidden="1" x14ac:dyDescent="0.35">
      <c r="A446" t="str">
        <f>_xlfn.CONCAT(Tableau1[[#This Row],[Athletes]],"_",Tableau1[[#This Row],[Nationality]],"_",Tableau1[[#This Row],[Competition_year]])</f>
        <v>Georgia GRIFFITH_AUS_2022</v>
      </c>
      <c r="B446" t="s">
        <v>248</v>
      </c>
      <c r="C446" t="s">
        <v>47</v>
      </c>
      <c r="D446" t="s">
        <v>21</v>
      </c>
      <c r="E446">
        <v>15.7</v>
      </c>
      <c r="F446">
        <v>16.2</v>
      </c>
      <c r="G446">
        <v>15.399999999999999</v>
      </c>
      <c r="H446">
        <v>15.900000000000006</v>
      </c>
      <c r="I446">
        <v>15.599999999999994</v>
      </c>
      <c r="J446">
        <v>16.200000000000003</v>
      </c>
      <c r="K446">
        <v>16.5</v>
      </c>
      <c r="L446">
        <v>16.5</v>
      </c>
      <c r="M446">
        <v>16.300000000000011</v>
      </c>
      <c r="N446">
        <v>15.699999999999989</v>
      </c>
      <c r="O446">
        <v>16</v>
      </c>
      <c r="P446">
        <v>15.5</v>
      </c>
      <c r="Q446">
        <v>15.400000000000006</v>
      </c>
      <c r="R446">
        <v>16.099999999999994</v>
      </c>
      <c r="S446">
        <f>Tableau1[[#This Row],[Final_time]]-SUM(Tableau1[[#This Row],[0_100m]:[1300_1400m]])</f>
        <v>17.960000000000008</v>
      </c>
      <c r="T446">
        <v>240.96</v>
      </c>
      <c r="U446">
        <f t="shared" si="12"/>
        <v>240.96</v>
      </c>
      <c r="V446">
        <f t="shared" si="13"/>
        <v>0</v>
      </c>
      <c r="W446" s="12"/>
      <c r="X446" t="str">
        <f>_xlfn.CONCAT(Tableau1[[#This Row],[Competition]],"_",Tableau1[[#This Row],[Championship_step]],"_",Tableau1[[#This Row],[Competition_date]],"_",Tableau1[[#This Row],[Gender]])</f>
        <v>Diamond League Monaco 2022__44783_Female</v>
      </c>
      <c r="Y446" t="s">
        <v>307</v>
      </c>
      <c r="Z446" t="s">
        <v>43</v>
      </c>
      <c r="AB446" t="s">
        <v>65</v>
      </c>
      <c r="AC446" s="2">
        <v>44783</v>
      </c>
      <c r="AD446">
        <v>2022</v>
      </c>
      <c r="AE446">
        <v>27</v>
      </c>
      <c r="AF446" s="5">
        <v>0.56999999999999995</v>
      </c>
      <c r="AG446" s="3" t="s">
        <v>94</v>
      </c>
    </row>
    <row r="447" spans="1:34" hidden="1" x14ac:dyDescent="0.35">
      <c r="A447" t="str">
        <f>_xlfn.CONCAT(Tableau1[[#This Row],[Athletes]],"_",Tableau1[[#This Row],[Nationality]],"_",Tableau1[[#This Row],[Competition_year]])</f>
        <v>Narve Gilje NORDÅS_NOR_2024</v>
      </c>
      <c r="B447" t="s">
        <v>217</v>
      </c>
      <c r="C447" t="s">
        <v>16</v>
      </c>
      <c r="D447" t="s">
        <v>30</v>
      </c>
      <c r="E447">
        <v>14.3</v>
      </c>
      <c r="F447">
        <v>14.4</v>
      </c>
      <c r="G447">
        <v>14.5</v>
      </c>
      <c r="H447">
        <v>14.4</v>
      </c>
      <c r="I447">
        <v>13.8</v>
      </c>
      <c r="J447">
        <v>14.2</v>
      </c>
      <c r="K447">
        <v>14.3</v>
      </c>
      <c r="L447">
        <v>14.2</v>
      </c>
      <c r="M447">
        <v>13.8</v>
      </c>
      <c r="N447">
        <v>14.4</v>
      </c>
      <c r="O447">
        <v>13.8</v>
      </c>
      <c r="P447">
        <v>14.1</v>
      </c>
      <c r="Q447">
        <v>13.6</v>
      </c>
      <c r="R447">
        <v>13.9</v>
      </c>
      <c r="S447">
        <f>Tableau1[[#This Row],[Final_time]]-SUM(Tableau1[[#This Row],[0_100m]:[1300_1400m]])</f>
        <v>13.359999999999985</v>
      </c>
      <c r="T447">
        <v>211.06</v>
      </c>
      <c r="U447">
        <f t="shared" si="12"/>
        <v>211.06</v>
      </c>
      <c r="V447">
        <f t="shared" si="13"/>
        <v>0</v>
      </c>
      <c r="W447" s="12"/>
      <c r="X447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47" t="s">
        <v>79</v>
      </c>
      <c r="Z447" s="2" t="s">
        <v>43</v>
      </c>
      <c r="AA447" s="2"/>
      <c r="AB447" s="2" t="s">
        <v>65</v>
      </c>
      <c r="AC447" s="2">
        <v>45485</v>
      </c>
      <c r="AD447" s="3">
        <v>2024</v>
      </c>
      <c r="AE447" s="3">
        <v>24</v>
      </c>
      <c r="AF447" s="5">
        <v>0.87</v>
      </c>
      <c r="AG447" s="3" t="s">
        <v>62</v>
      </c>
      <c r="AH447" t="s">
        <v>80</v>
      </c>
    </row>
    <row r="448" spans="1:34" hidden="1" x14ac:dyDescent="0.35">
      <c r="A448" t="str">
        <f>_xlfn.CONCAT(Tableau1[[#This Row],[Athletes]],"_",Tableau1[[#This Row],[Nationality]],"_",Tableau1[[#This Row],[Competition_year]])</f>
        <v>Brian KOMEN_KEN_2024</v>
      </c>
      <c r="B448" t="s">
        <v>802</v>
      </c>
      <c r="C448" t="s">
        <v>16</v>
      </c>
      <c r="D448" t="s">
        <v>17</v>
      </c>
      <c r="E448">
        <v>13.5</v>
      </c>
      <c r="F448">
        <v>14.1</v>
      </c>
      <c r="G448">
        <v>14.7</v>
      </c>
      <c r="H448">
        <v>14.2</v>
      </c>
      <c r="I448">
        <v>13.7</v>
      </c>
      <c r="J448">
        <v>14.2</v>
      </c>
      <c r="K448">
        <v>14</v>
      </c>
      <c r="L448">
        <v>13.8</v>
      </c>
      <c r="M448">
        <v>14</v>
      </c>
      <c r="N448">
        <v>14</v>
      </c>
      <c r="O448">
        <v>14.2</v>
      </c>
      <c r="P448">
        <v>14</v>
      </c>
      <c r="Q448">
        <v>13.5</v>
      </c>
      <c r="R448">
        <v>13.5</v>
      </c>
      <c r="S448">
        <f>Tableau1[[#This Row],[Final_time]]-SUM(Tableau1[[#This Row],[0_100m]:[1300_1400m]])</f>
        <v>13.400000000000034</v>
      </c>
      <c r="T448">
        <v>208.8</v>
      </c>
      <c r="U448">
        <f t="shared" si="12"/>
        <v>208.8</v>
      </c>
      <c r="V448">
        <f t="shared" si="13"/>
        <v>0</v>
      </c>
      <c r="W448" s="12"/>
      <c r="X448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48" t="s">
        <v>79</v>
      </c>
      <c r="Z448" s="2" t="s">
        <v>43</v>
      </c>
      <c r="AA448" s="2"/>
      <c r="AB448" s="2" t="s">
        <v>65</v>
      </c>
      <c r="AC448" s="2">
        <v>45485</v>
      </c>
      <c r="AD448" s="3">
        <v>2024</v>
      </c>
      <c r="AE448" s="3">
        <v>24</v>
      </c>
      <c r="AF448" s="5">
        <v>0.87</v>
      </c>
      <c r="AG448" s="3" t="s">
        <v>62</v>
      </c>
      <c r="AH448" t="s">
        <v>80</v>
      </c>
    </row>
    <row r="449" spans="1:34" hidden="1" x14ac:dyDescent="0.35">
      <c r="A449" t="str">
        <f>_xlfn.CONCAT(Tableau1[[#This Row],[Athletes]],"_",Tableau1[[#This Row],[Nationality]],"_",Tableau1[[#This Row],[Competition_year]])</f>
        <v>Timothy CHERUIYOT_KEN_2024</v>
      </c>
      <c r="B449" t="s">
        <v>205</v>
      </c>
      <c r="C449" t="s">
        <v>16</v>
      </c>
      <c r="D449" t="s">
        <v>17</v>
      </c>
      <c r="E449">
        <v>13.7</v>
      </c>
      <c r="F449">
        <v>13.8</v>
      </c>
      <c r="G449">
        <v>14.5</v>
      </c>
      <c r="H449">
        <v>14</v>
      </c>
      <c r="I449">
        <v>13.6</v>
      </c>
      <c r="J449">
        <v>14.1</v>
      </c>
      <c r="K449">
        <v>13.8</v>
      </c>
      <c r="L449">
        <v>13.9</v>
      </c>
      <c r="M449">
        <v>13.9</v>
      </c>
      <c r="N449">
        <v>13.8</v>
      </c>
      <c r="O449">
        <v>14</v>
      </c>
      <c r="P449">
        <v>14.2</v>
      </c>
      <c r="Q449">
        <v>14</v>
      </c>
      <c r="R449">
        <v>14</v>
      </c>
      <c r="S449">
        <f>Tableau1[[#This Row],[Final_time]]-SUM(Tableau1[[#This Row],[0_100m]:[1300_1400m]])</f>
        <v>13.410000000000025</v>
      </c>
      <c r="T449">
        <v>208.71</v>
      </c>
      <c r="U449">
        <f t="shared" si="12"/>
        <v>208.71</v>
      </c>
      <c r="V449">
        <f t="shared" si="13"/>
        <v>0</v>
      </c>
      <c r="W449" s="12"/>
      <c r="X449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49" t="s">
        <v>79</v>
      </c>
      <c r="Z449" s="2" t="s">
        <v>43</v>
      </c>
      <c r="AA449" s="2"/>
      <c r="AB449" s="2" t="s">
        <v>65</v>
      </c>
      <c r="AC449" s="2">
        <v>45485</v>
      </c>
      <c r="AD449" s="3">
        <v>2024</v>
      </c>
      <c r="AE449" s="3">
        <v>24</v>
      </c>
      <c r="AF449" s="5">
        <v>0.87</v>
      </c>
      <c r="AG449" s="3" t="s">
        <v>62</v>
      </c>
      <c r="AH449" t="s">
        <v>80</v>
      </c>
    </row>
    <row r="450" spans="1:34" hidden="1" x14ac:dyDescent="0.35">
      <c r="A450" t="str">
        <f>_xlfn.CONCAT(Tableau1[[#This Row],[Athletes]],"_",Tableau1[[#This Row],[Nationality]],"_",Tableau1[[#This Row],[Competition_year]])</f>
        <v>Jakob INGEBRIGTSEN_NOR_2024</v>
      </c>
      <c r="B450" t="s">
        <v>151</v>
      </c>
      <c r="C450" t="s">
        <v>16</v>
      </c>
      <c r="D450" t="s">
        <v>30</v>
      </c>
      <c r="E450">
        <v>13.5</v>
      </c>
      <c r="F450">
        <v>13.8</v>
      </c>
      <c r="G450">
        <v>14.5</v>
      </c>
      <c r="H450">
        <v>14</v>
      </c>
      <c r="I450">
        <v>13.7</v>
      </c>
      <c r="J450">
        <v>14</v>
      </c>
      <c r="K450">
        <v>13.8</v>
      </c>
      <c r="L450">
        <v>13.9</v>
      </c>
      <c r="M450">
        <v>13.8</v>
      </c>
      <c r="N450">
        <v>13.8</v>
      </c>
      <c r="O450">
        <v>13.9</v>
      </c>
      <c r="P450">
        <v>13.8</v>
      </c>
      <c r="Q450">
        <v>13.4</v>
      </c>
      <c r="R450">
        <v>13.4</v>
      </c>
      <c r="S450">
        <f>Tableau1[[#This Row],[Final_time]]-SUM(Tableau1[[#This Row],[0_100m]:[1300_1400m]])</f>
        <v>13.42999999999995</v>
      </c>
      <c r="T450">
        <v>206.73</v>
      </c>
      <c r="U450">
        <f t="shared" ref="U450:U513" si="14">SUM(E450:S450)</f>
        <v>206.73</v>
      </c>
      <c r="V450">
        <f t="shared" ref="V450:V513" si="15">ABS(U450-T450)</f>
        <v>0</v>
      </c>
      <c r="W450" s="12"/>
      <c r="X450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0" t="s">
        <v>79</v>
      </c>
      <c r="Z450" s="2" t="s">
        <v>43</v>
      </c>
      <c r="AA450" s="2"/>
      <c r="AB450" s="2" t="s">
        <v>65</v>
      </c>
      <c r="AC450" s="2">
        <v>45485</v>
      </c>
      <c r="AD450" s="3">
        <v>2024</v>
      </c>
      <c r="AE450" s="3">
        <v>24</v>
      </c>
      <c r="AF450" s="5">
        <v>0.87</v>
      </c>
      <c r="AG450" s="3" t="s">
        <v>62</v>
      </c>
      <c r="AH450" t="s">
        <v>80</v>
      </c>
    </row>
    <row r="451" spans="1:34" hidden="1" x14ac:dyDescent="0.35">
      <c r="A451" t="str">
        <f>_xlfn.CONCAT(Tableau1[[#This Row],[Athletes]],"_",Tableau1[[#This Row],[Nationality]],"_",Tableau1[[#This Row],[Competition_year]])</f>
        <v>Yared NUGUSE_USA_2024</v>
      </c>
      <c r="B451" t="s">
        <v>228</v>
      </c>
      <c r="C451" t="s">
        <v>16</v>
      </c>
      <c r="D451" t="s">
        <v>51</v>
      </c>
      <c r="E451">
        <v>13.4</v>
      </c>
      <c r="F451">
        <v>14</v>
      </c>
      <c r="G451">
        <v>14.5</v>
      </c>
      <c r="H451">
        <v>14.1</v>
      </c>
      <c r="I451">
        <v>13.8</v>
      </c>
      <c r="J451">
        <v>14.1</v>
      </c>
      <c r="K451">
        <v>13.9</v>
      </c>
      <c r="L451">
        <v>13.8</v>
      </c>
      <c r="M451">
        <v>14</v>
      </c>
      <c r="N451">
        <v>13.8</v>
      </c>
      <c r="O451">
        <v>14</v>
      </c>
      <c r="P451">
        <v>14</v>
      </c>
      <c r="Q451">
        <v>13.7</v>
      </c>
      <c r="R451">
        <v>14</v>
      </c>
      <c r="S451">
        <f>Tableau1[[#This Row],[Final_time]]-SUM(Tableau1[[#This Row],[0_100m]:[1300_1400m]])</f>
        <v>14.030000000000001</v>
      </c>
      <c r="T451">
        <v>209.13</v>
      </c>
      <c r="U451">
        <f t="shared" si="14"/>
        <v>209.13</v>
      </c>
      <c r="V451">
        <f t="shared" si="15"/>
        <v>0</v>
      </c>
      <c r="W451" s="12"/>
      <c r="X451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1" t="s">
        <v>79</v>
      </c>
      <c r="Z451" s="2" t="s">
        <v>43</v>
      </c>
      <c r="AA451" s="2"/>
      <c r="AB451" s="2" t="s">
        <v>65</v>
      </c>
      <c r="AC451" s="2">
        <v>45485</v>
      </c>
      <c r="AD451" s="3">
        <v>2024</v>
      </c>
      <c r="AE451" s="3">
        <v>24</v>
      </c>
      <c r="AF451" s="5">
        <v>0.87</v>
      </c>
      <c r="AG451" s="3" t="s">
        <v>62</v>
      </c>
      <c r="AH451" t="s">
        <v>80</v>
      </c>
    </row>
    <row r="452" spans="1:34" hidden="1" x14ac:dyDescent="0.35">
      <c r="A452" t="str">
        <f>_xlfn.CONCAT(Tableau1[[#This Row],[Athletes]],"_",Tableau1[[#This Row],[Nationality]],"_",Tableau1[[#This Row],[Competition_year]])</f>
        <v>Neil GOURLEY_GBR_2024</v>
      </c>
      <c r="B452" t="s">
        <v>202</v>
      </c>
      <c r="C452" t="s">
        <v>16</v>
      </c>
      <c r="D452" t="s">
        <v>20</v>
      </c>
      <c r="E452">
        <v>13.6</v>
      </c>
      <c r="F452">
        <v>14.4</v>
      </c>
      <c r="G452">
        <v>14.6</v>
      </c>
      <c r="H452">
        <v>14.2</v>
      </c>
      <c r="I452">
        <v>13.8</v>
      </c>
      <c r="J452">
        <v>14.4</v>
      </c>
      <c r="K452">
        <v>13.9</v>
      </c>
      <c r="L452">
        <v>14</v>
      </c>
      <c r="M452">
        <v>13.9</v>
      </c>
      <c r="N452">
        <v>14.1</v>
      </c>
      <c r="O452">
        <v>14.1</v>
      </c>
      <c r="P452">
        <v>14.2</v>
      </c>
      <c r="Q452">
        <v>13.6</v>
      </c>
      <c r="R452">
        <v>13.7</v>
      </c>
      <c r="S452">
        <f>Tableau1[[#This Row],[Final_time]]-SUM(Tableau1[[#This Row],[0_100m]:[1300_1400m]])</f>
        <v>14.150000000000034</v>
      </c>
      <c r="T452">
        <v>210.65</v>
      </c>
      <c r="U452">
        <f t="shared" si="14"/>
        <v>210.65</v>
      </c>
      <c r="V452">
        <f t="shared" si="15"/>
        <v>0</v>
      </c>
      <c r="W452" s="12"/>
      <c r="X452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2" t="s">
        <v>79</v>
      </c>
      <c r="Z452" s="2" t="s">
        <v>43</v>
      </c>
      <c r="AA452" s="2"/>
      <c r="AB452" s="2" t="s">
        <v>65</v>
      </c>
      <c r="AC452" s="2">
        <v>45485</v>
      </c>
      <c r="AD452" s="3">
        <v>2024</v>
      </c>
      <c r="AE452" s="3">
        <v>24</v>
      </c>
      <c r="AF452" s="5">
        <v>0.87</v>
      </c>
      <c r="AG452" s="3" t="s">
        <v>62</v>
      </c>
      <c r="AH452" t="s">
        <v>80</v>
      </c>
    </row>
    <row r="453" spans="1:34" hidden="1" x14ac:dyDescent="0.35">
      <c r="A453" t="str">
        <f>_xlfn.CONCAT(Tableau1[[#This Row],[Athletes]],"_",Tableau1[[#This Row],[Nationality]],"_",Tableau1[[#This Row],[Competition_year]])</f>
        <v>Vincent CIATTEI_USA_2024</v>
      </c>
      <c r="B453" t="s">
        <v>363</v>
      </c>
      <c r="C453" t="s">
        <v>16</v>
      </c>
      <c r="D453" t="s">
        <v>51</v>
      </c>
      <c r="E453">
        <v>13.9</v>
      </c>
      <c r="F453">
        <v>14.3</v>
      </c>
      <c r="G453">
        <v>14.6</v>
      </c>
      <c r="H453">
        <v>14.3</v>
      </c>
      <c r="I453">
        <v>13.8</v>
      </c>
      <c r="J453">
        <v>14.3</v>
      </c>
      <c r="K453">
        <v>14.1</v>
      </c>
      <c r="L453">
        <v>14.1</v>
      </c>
      <c r="M453">
        <v>14</v>
      </c>
      <c r="N453">
        <v>14</v>
      </c>
      <c r="O453">
        <v>14</v>
      </c>
      <c r="P453">
        <v>14.2</v>
      </c>
      <c r="Q453">
        <v>13.9</v>
      </c>
      <c r="R453">
        <v>14.1</v>
      </c>
      <c r="S453">
        <f>Tableau1[[#This Row],[Final_time]]-SUM(Tableau1[[#This Row],[0_100m]:[1300_1400m]])</f>
        <v>14.440000000000026</v>
      </c>
      <c r="T453">
        <v>212.04</v>
      </c>
      <c r="U453">
        <f t="shared" si="14"/>
        <v>212.04</v>
      </c>
      <c r="V453">
        <f t="shared" si="15"/>
        <v>0</v>
      </c>
      <c r="W453" s="12"/>
      <c r="X453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3" t="s">
        <v>79</v>
      </c>
      <c r="Z453" s="2" t="s">
        <v>43</v>
      </c>
      <c r="AA453" s="2"/>
      <c r="AB453" s="2" t="s">
        <v>65</v>
      </c>
      <c r="AC453" s="2">
        <v>45485</v>
      </c>
      <c r="AD453" s="3">
        <v>2024</v>
      </c>
      <c r="AE453" s="3">
        <v>24</v>
      </c>
      <c r="AF453" s="5">
        <v>0.87</v>
      </c>
      <c r="AG453" s="3" t="s">
        <v>62</v>
      </c>
      <c r="AH453" t="s">
        <v>80</v>
      </c>
    </row>
    <row r="454" spans="1:34" hidden="1" x14ac:dyDescent="0.35">
      <c r="A454" t="str">
        <f>_xlfn.CONCAT(Tableau1[[#This Row],[Athletes]],"_",Tableau1[[#This Row],[Nationality]],"_",Tableau1[[#This Row],[Competition_year]])</f>
        <v>Azeddine HABZ_FRA_2024</v>
      </c>
      <c r="B454" t="s">
        <v>218</v>
      </c>
      <c r="C454" t="s">
        <v>16</v>
      </c>
      <c r="D454" t="s">
        <v>18</v>
      </c>
      <c r="E454">
        <v>13.6</v>
      </c>
      <c r="F454">
        <v>14</v>
      </c>
      <c r="G454">
        <v>14.6</v>
      </c>
      <c r="H454">
        <v>14</v>
      </c>
      <c r="I454">
        <v>13.9</v>
      </c>
      <c r="J454">
        <v>14.1</v>
      </c>
      <c r="K454">
        <v>14.3</v>
      </c>
      <c r="L454">
        <v>13.9</v>
      </c>
      <c r="M454">
        <v>14</v>
      </c>
      <c r="N454">
        <v>14</v>
      </c>
      <c r="O454">
        <v>14.2</v>
      </c>
      <c r="P454">
        <v>14.1</v>
      </c>
      <c r="Q454">
        <v>14.1</v>
      </c>
      <c r="R454">
        <v>14.4</v>
      </c>
      <c r="S454">
        <f>Tableau1[[#This Row],[Final_time]]-SUM(Tableau1[[#This Row],[0_100m]:[1300_1400m]])</f>
        <v>14.590000000000003</v>
      </c>
      <c r="T454">
        <v>211.79</v>
      </c>
      <c r="U454">
        <f t="shared" si="14"/>
        <v>211.79</v>
      </c>
      <c r="V454">
        <f t="shared" si="15"/>
        <v>0</v>
      </c>
      <c r="W454" s="12"/>
      <c r="X454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4" t="s">
        <v>79</v>
      </c>
      <c r="Z454" s="2" t="s">
        <v>43</v>
      </c>
      <c r="AA454" s="2"/>
      <c r="AB454" s="2" t="s">
        <v>65</v>
      </c>
      <c r="AC454" s="2">
        <v>45485</v>
      </c>
      <c r="AD454" s="3">
        <v>2024</v>
      </c>
      <c r="AE454" s="3">
        <v>24</v>
      </c>
      <c r="AF454" s="5">
        <v>0.87</v>
      </c>
      <c r="AG454" s="3" t="s">
        <v>62</v>
      </c>
      <c r="AH454" t="s">
        <v>80</v>
      </c>
    </row>
    <row r="455" spans="1:34" hidden="1" x14ac:dyDescent="0.35">
      <c r="A455" t="str">
        <f>_xlfn.CONCAT(Tableau1[[#This Row],[Athletes]],"_",Tableau1[[#This Row],[Nationality]],"_",Tableau1[[#This Row],[Competition_year]])</f>
        <v>Oliver HOARE_AUS_2024</v>
      </c>
      <c r="B455" t="s">
        <v>249</v>
      </c>
      <c r="C455" t="s">
        <v>16</v>
      </c>
      <c r="D455" t="s">
        <v>21</v>
      </c>
      <c r="E455">
        <v>13.4</v>
      </c>
      <c r="F455">
        <v>14</v>
      </c>
      <c r="G455">
        <v>14.7</v>
      </c>
      <c r="H455">
        <v>14.1</v>
      </c>
      <c r="I455">
        <v>13.8</v>
      </c>
      <c r="J455">
        <v>14.1</v>
      </c>
      <c r="K455">
        <v>13.9</v>
      </c>
      <c r="L455">
        <v>13.9</v>
      </c>
      <c r="M455">
        <v>13.9</v>
      </c>
      <c r="N455">
        <v>13.9</v>
      </c>
      <c r="O455">
        <v>14</v>
      </c>
      <c r="P455">
        <v>14.1</v>
      </c>
      <c r="Q455">
        <v>14.1</v>
      </c>
      <c r="R455">
        <v>14.4</v>
      </c>
      <c r="S455">
        <f>Tableau1[[#This Row],[Final_time]]-SUM(Tableau1[[#This Row],[0_100m]:[1300_1400m]])</f>
        <v>14.769999999999982</v>
      </c>
      <c r="T455">
        <v>211.07</v>
      </c>
      <c r="U455">
        <f t="shared" si="14"/>
        <v>211.07</v>
      </c>
      <c r="V455">
        <f t="shared" si="15"/>
        <v>0</v>
      </c>
      <c r="W455" s="12"/>
      <c r="X455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5" t="s">
        <v>79</v>
      </c>
      <c r="Z455" s="2" t="s">
        <v>43</v>
      </c>
      <c r="AA455" s="2"/>
      <c r="AB455" s="2" t="s">
        <v>65</v>
      </c>
      <c r="AC455" s="2">
        <v>45485</v>
      </c>
      <c r="AD455" s="3">
        <v>2024</v>
      </c>
      <c r="AE455" s="3">
        <v>24</v>
      </c>
      <c r="AF455" s="5">
        <v>0.87</v>
      </c>
      <c r="AG455" s="3" t="s">
        <v>62</v>
      </c>
      <c r="AH455" t="s">
        <v>80</v>
      </c>
    </row>
    <row r="456" spans="1:34" hidden="1" x14ac:dyDescent="0.35">
      <c r="A456" t="str">
        <f>_xlfn.CONCAT(Tableau1[[#This Row],[Athletes]],"_",Tableau1[[#This Row],[Nationality]],"_",Tableau1[[#This Row],[Competition_year]])</f>
        <v>Pietro ARESE_ITA_2024</v>
      </c>
      <c r="B456" t="s">
        <v>216</v>
      </c>
      <c r="C456" t="s">
        <v>16</v>
      </c>
      <c r="D456" t="s">
        <v>19</v>
      </c>
      <c r="E456">
        <v>14.2</v>
      </c>
      <c r="F456">
        <v>14.7</v>
      </c>
      <c r="G456">
        <v>14.5</v>
      </c>
      <c r="H456">
        <v>14.4</v>
      </c>
      <c r="I456">
        <v>13.8</v>
      </c>
      <c r="J456">
        <v>14.1</v>
      </c>
      <c r="K456">
        <v>14</v>
      </c>
      <c r="L456">
        <v>14.1</v>
      </c>
      <c r="M456">
        <v>13.9</v>
      </c>
      <c r="N456">
        <v>14.2</v>
      </c>
      <c r="O456">
        <v>14.4</v>
      </c>
      <c r="P456">
        <v>14.3</v>
      </c>
      <c r="Q456">
        <v>14.5</v>
      </c>
      <c r="R456">
        <v>14.9</v>
      </c>
      <c r="S456">
        <f>Tableau1[[#This Row],[Final_time]]-SUM(Tableau1[[#This Row],[0_100m]:[1300_1400m]])</f>
        <v>15.189999999999998</v>
      </c>
      <c r="T456">
        <v>215.19</v>
      </c>
      <c r="U456">
        <f t="shared" si="14"/>
        <v>215.19</v>
      </c>
      <c r="V456">
        <f t="shared" si="15"/>
        <v>0</v>
      </c>
      <c r="W456" s="12"/>
      <c r="X456" t="str">
        <f>_xlfn.CONCAT(Tableau1[[#This Row],[Competition]],"_",Tableau1[[#This Row],[Championship_step]],"_",Tableau1[[#This Row],[Competition_date]],"_",Tableau1[[#This Row],[Gender]])</f>
        <v>Diamond League Monaco 2024__45485_Male</v>
      </c>
      <c r="Y456" t="s">
        <v>79</v>
      </c>
      <c r="Z456" s="2" t="s">
        <v>43</v>
      </c>
      <c r="AA456" s="2"/>
      <c r="AB456" s="2" t="s">
        <v>65</v>
      </c>
      <c r="AC456" s="2">
        <v>45485</v>
      </c>
      <c r="AD456" s="3">
        <v>2024</v>
      </c>
      <c r="AE456" s="3">
        <v>24</v>
      </c>
      <c r="AF456" s="5">
        <v>0.87</v>
      </c>
      <c r="AG456" s="3" t="s">
        <v>62</v>
      </c>
      <c r="AH456" t="s">
        <v>80</v>
      </c>
    </row>
    <row r="457" spans="1:34" hidden="1" x14ac:dyDescent="0.35">
      <c r="A457" t="str">
        <f>_xlfn.CONCAT(Tableau1[[#This Row],[Athletes]],"_",Tableau1[[#This Row],[Nationality]],"_",Tableau1[[#This Row],[Competition_year]])</f>
        <v>Even Brøndbo DAHL_NOR_2022</v>
      </c>
      <c r="B457" t="s">
        <v>380</v>
      </c>
      <c r="C457" t="s">
        <v>16</v>
      </c>
      <c r="D457" t="s">
        <v>30</v>
      </c>
      <c r="E457">
        <v>14.9</v>
      </c>
      <c r="F457">
        <v>14.200000000000001</v>
      </c>
      <c r="G457">
        <v>14.699999999999996</v>
      </c>
      <c r="H457">
        <v>14.900000000000006</v>
      </c>
      <c r="I457">
        <v>14.799999999999997</v>
      </c>
      <c r="J457">
        <v>15</v>
      </c>
      <c r="K457">
        <v>14.799999999999997</v>
      </c>
      <c r="L457">
        <v>14.900000000000006</v>
      </c>
      <c r="M457">
        <v>15.299999999999997</v>
      </c>
      <c r="N457">
        <v>15.5</v>
      </c>
      <c r="O457">
        <v>15.300000000000011</v>
      </c>
      <c r="P457">
        <v>15</v>
      </c>
      <c r="Q457">
        <v>14.399999999999977</v>
      </c>
      <c r="R457">
        <v>14.100000000000023</v>
      </c>
      <c r="S457">
        <f>Tableau1[[#This Row],[Final_time]]-SUM(Tableau1[[#This Row],[0_100m]:[1300_1400m]])</f>
        <v>13.879999999999995</v>
      </c>
      <c r="T457">
        <v>221.68</v>
      </c>
      <c r="U457">
        <f t="shared" si="14"/>
        <v>221.68</v>
      </c>
      <c r="V457">
        <f t="shared" si="15"/>
        <v>0</v>
      </c>
      <c r="W457" s="12"/>
      <c r="X457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57" t="s">
        <v>389</v>
      </c>
      <c r="Z457" s="2" t="s">
        <v>43</v>
      </c>
      <c r="AA457" s="2"/>
      <c r="AB457" s="2" t="s">
        <v>44</v>
      </c>
      <c r="AC457" s="2">
        <v>44728</v>
      </c>
      <c r="AD457">
        <v>2022</v>
      </c>
      <c r="AE457" s="3">
        <v>22</v>
      </c>
      <c r="AF457" s="5">
        <v>0.47</v>
      </c>
      <c r="AG457" s="3" t="s">
        <v>62</v>
      </c>
    </row>
    <row r="458" spans="1:34" hidden="1" x14ac:dyDescent="0.35">
      <c r="A458" t="str">
        <f>_xlfn.CONCAT(Tableau1[[#This Row],[Athletes]],"_",Tableau1[[#This Row],[Nationality]],"_",Tableau1[[#This Row],[Competition_year]])</f>
        <v>Sigurd TVEIT_NOR_2022</v>
      </c>
      <c r="B458" t="s">
        <v>378</v>
      </c>
      <c r="C458" t="s">
        <v>16</v>
      </c>
      <c r="D458" t="s">
        <v>30</v>
      </c>
      <c r="E458">
        <v>14.3</v>
      </c>
      <c r="F458">
        <v>13.899999999999999</v>
      </c>
      <c r="G458">
        <v>15.099999999999998</v>
      </c>
      <c r="H458">
        <v>14.5</v>
      </c>
      <c r="I458">
        <v>14.900000000000006</v>
      </c>
      <c r="J458">
        <v>14.799999999999997</v>
      </c>
      <c r="K458">
        <v>14.900000000000006</v>
      </c>
      <c r="L458">
        <v>15.199999999999989</v>
      </c>
      <c r="M458">
        <v>15.400000000000006</v>
      </c>
      <c r="N458">
        <v>15.800000000000011</v>
      </c>
      <c r="O458">
        <v>15.299999999999983</v>
      </c>
      <c r="P458">
        <v>14.700000000000017</v>
      </c>
      <c r="Q458">
        <v>14.399999999999977</v>
      </c>
      <c r="R458">
        <v>14</v>
      </c>
      <c r="S458">
        <f>Tableau1[[#This Row],[Final_time]]-SUM(Tableau1[[#This Row],[0_100m]:[1300_1400m]])</f>
        <v>13.960000000000008</v>
      </c>
      <c r="T458">
        <v>221.16</v>
      </c>
      <c r="U458">
        <f t="shared" si="14"/>
        <v>221.16</v>
      </c>
      <c r="V458">
        <f t="shared" si="15"/>
        <v>0</v>
      </c>
      <c r="W458" s="12"/>
      <c r="X458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58" t="s">
        <v>389</v>
      </c>
      <c r="Z458" s="2" t="s">
        <v>43</v>
      </c>
      <c r="AA458" s="2"/>
      <c r="AB458" s="2" t="s">
        <v>44</v>
      </c>
      <c r="AC458" s="2">
        <v>44728</v>
      </c>
      <c r="AD458">
        <v>2022</v>
      </c>
      <c r="AE458" s="3">
        <v>22</v>
      </c>
      <c r="AF458" s="5">
        <v>0.47</v>
      </c>
      <c r="AG458" s="3" t="s">
        <v>62</v>
      </c>
    </row>
    <row r="459" spans="1:34" hidden="1" x14ac:dyDescent="0.35">
      <c r="A459" t="str">
        <f>_xlfn.CONCAT(Tableau1[[#This Row],[Athletes]],"_",Tableau1[[#This Row],[Nationality]],"_",Tableau1[[#This Row],[Competition_year]])</f>
        <v>Elmer Mulleri SKALLE_NOR_2022</v>
      </c>
      <c r="B459" t="s">
        <v>385</v>
      </c>
      <c r="C459" t="s">
        <v>16</v>
      </c>
      <c r="D459" t="s">
        <v>30</v>
      </c>
      <c r="E459">
        <v>15.3</v>
      </c>
      <c r="F459">
        <v>15.399999999999999</v>
      </c>
      <c r="G459">
        <v>14.599999999999998</v>
      </c>
      <c r="H459">
        <v>15.100000000000001</v>
      </c>
      <c r="I459">
        <v>14.600000000000001</v>
      </c>
      <c r="J459">
        <v>15</v>
      </c>
      <c r="K459">
        <v>15.299999999999997</v>
      </c>
      <c r="L459">
        <v>15.5</v>
      </c>
      <c r="M459">
        <v>15.500000000000014</v>
      </c>
      <c r="N459">
        <v>15.599999999999994</v>
      </c>
      <c r="O459">
        <v>16</v>
      </c>
      <c r="P459">
        <v>15.699999999999989</v>
      </c>
      <c r="Q459">
        <v>15.099999999999994</v>
      </c>
      <c r="R459">
        <v>15</v>
      </c>
      <c r="S459">
        <f>Tableau1[[#This Row],[Final_time]]-SUM(Tableau1[[#This Row],[0_100m]:[1300_1400m]])</f>
        <v>14.100000000000023</v>
      </c>
      <c r="T459">
        <v>227.8</v>
      </c>
      <c r="U459">
        <f t="shared" si="14"/>
        <v>227.8</v>
      </c>
      <c r="V459">
        <f t="shared" si="15"/>
        <v>0</v>
      </c>
      <c r="W459" s="12"/>
      <c r="X459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59" t="s">
        <v>389</v>
      </c>
      <c r="Z459" s="2" t="s">
        <v>43</v>
      </c>
      <c r="AA459" s="2"/>
      <c r="AB459" s="2" t="s">
        <v>44</v>
      </c>
      <c r="AC459" s="2">
        <v>44728</v>
      </c>
      <c r="AD459">
        <v>2022</v>
      </c>
      <c r="AE459" s="3">
        <v>22</v>
      </c>
      <c r="AF459" s="5">
        <v>0.47</v>
      </c>
      <c r="AG459" s="3" t="s">
        <v>62</v>
      </c>
    </row>
    <row r="460" spans="1:34" hidden="1" x14ac:dyDescent="0.35">
      <c r="A460" t="str">
        <f>_xlfn.CONCAT(Tableau1[[#This Row],[Athletes]],"_",Tableau1[[#This Row],[Nationality]],"_",Tableau1[[#This Row],[Competition_year]])</f>
        <v>Esten Hansen-Møllerud HAUEN_NOR_2022</v>
      </c>
      <c r="B460" t="s">
        <v>381</v>
      </c>
      <c r="C460" t="s">
        <v>16</v>
      </c>
      <c r="D460" t="s">
        <v>30</v>
      </c>
      <c r="E460">
        <v>14.7</v>
      </c>
      <c r="F460">
        <v>15.100000000000001</v>
      </c>
      <c r="G460">
        <v>14.599999999999998</v>
      </c>
      <c r="H460">
        <v>14.899999999999999</v>
      </c>
      <c r="I460">
        <v>14.799999999999997</v>
      </c>
      <c r="J460">
        <v>15</v>
      </c>
      <c r="K460">
        <v>15.100000000000009</v>
      </c>
      <c r="L460">
        <v>14.899999999999991</v>
      </c>
      <c r="M460">
        <v>14.800000000000011</v>
      </c>
      <c r="N460">
        <v>15.400000000000006</v>
      </c>
      <c r="O460">
        <v>15.199999999999989</v>
      </c>
      <c r="P460">
        <v>15</v>
      </c>
      <c r="Q460">
        <v>14.400000000000006</v>
      </c>
      <c r="R460">
        <v>14</v>
      </c>
      <c r="S460">
        <f>Tableau1[[#This Row],[Final_time]]-SUM(Tableau1[[#This Row],[0_100m]:[1300_1400m]])</f>
        <v>14.150000000000006</v>
      </c>
      <c r="T460">
        <v>222.05</v>
      </c>
      <c r="U460">
        <f t="shared" si="14"/>
        <v>222.05</v>
      </c>
      <c r="V460">
        <f t="shared" si="15"/>
        <v>0</v>
      </c>
      <c r="W460" s="12"/>
      <c r="X460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0" t="s">
        <v>389</v>
      </c>
      <c r="Z460" s="2" t="s">
        <v>43</v>
      </c>
      <c r="AA460" s="2"/>
      <c r="AB460" s="2" t="s">
        <v>44</v>
      </c>
      <c r="AC460" s="2">
        <v>44728</v>
      </c>
      <c r="AD460">
        <v>2022</v>
      </c>
      <c r="AE460" s="3">
        <v>22</v>
      </c>
      <c r="AF460" s="5">
        <v>0.47</v>
      </c>
      <c r="AG460" s="3" t="s">
        <v>62</v>
      </c>
    </row>
    <row r="461" spans="1:34" hidden="1" x14ac:dyDescent="0.35">
      <c r="A461" t="str">
        <f>_xlfn.CONCAT(Tableau1[[#This Row],[Athletes]],"_",Tableau1[[#This Row],[Nationality]],"_",Tableau1[[#This Row],[Competition_year]])</f>
        <v>Bjørnar Sandnes LILLEFOSSE_NOR_2022</v>
      </c>
      <c r="B461" t="s">
        <v>794</v>
      </c>
      <c r="C461" t="s">
        <v>16</v>
      </c>
      <c r="D461" t="s">
        <v>30</v>
      </c>
      <c r="E461">
        <v>14.6</v>
      </c>
      <c r="F461">
        <v>14.200000000000001</v>
      </c>
      <c r="G461">
        <v>14.900000000000002</v>
      </c>
      <c r="H461">
        <v>14.699999999999996</v>
      </c>
      <c r="I461">
        <v>14.800000000000004</v>
      </c>
      <c r="J461">
        <v>15</v>
      </c>
      <c r="K461">
        <v>15.399999999999991</v>
      </c>
      <c r="L461">
        <v>15.300000000000011</v>
      </c>
      <c r="M461">
        <v>15.400000000000006</v>
      </c>
      <c r="N461">
        <v>15.599999999999994</v>
      </c>
      <c r="O461">
        <v>15.599999999999994</v>
      </c>
      <c r="P461">
        <v>15.300000000000011</v>
      </c>
      <c r="Q461">
        <v>15.199999999999989</v>
      </c>
      <c r="R461">
        <v>15</v>
      </c>
      <c r="S461">
        <f>Tableau1[[#This Row],[Final_time]]-SUM(Tableau1[[#This Row],[0_100m]:[1300_1400m]])</f>
        <v>14.379999999999995</v>
      </c>
      <c r="T461">
        <v>225.38</v>
      </c>
      <c r="U461">
        <f t="shared" si="14"/>
        <v>225.38</v>
      </c>
      <c r="V461">
        <f t="shared" si="15"/>
        <v>0</v>
      </c>
      <c r="W461" s="12"/>
      <c r="X461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1" t="s">
        <v>389</v>
      </c>
      <c r="Z461" s="2" t="s">
        <v>43</v>
      </c>
      <c r="AA461" s="2"/>
      <c r="AB461" s="2" t="s">
        <v>44</v>
      </c>
      <c r="AC461" s="2">
        <v>44728</v>
      </c>
      <c r="AD461">
        <v>2022</v>
      </c>
      <c r="AE461" s="3">
        <v>22</v>
      </c>
      <c r="AF461" s="5">
        <v>0.47</v>
      </c>
      <c r="AG461" s="3" t="s">
        <v>62</v>
      </c>
    </row>
    <row r="462" spans="1:34" hidden="1" x14ac:dyDescent="0.35">
      <c r="A462" t="str">
        <f>_xlfn.CONCAT(Tableau1[[#This Row],[Athletes]],"_",Tableau1[[#This Row],[Nationality]],"_",Tableau1[[#This Row],[Competition_year]])</f>
        <v>Eivind Tym WIKSHÅLAND_NOR_2022</v>
      </c>
      <c r="B462" t="s">
        <v>862</v>
      </c>
      <c r="C462" t="s">
        <v>16</v>
      </c>
      <c r="D462" t="s">
        <v>30</v>
      </c>
      <c r="E462">
        <v>14.9</v>
      </c>
      <c r="F462">
        <v>14.4</v>
      </c>
      <c r="G462">
        <v>14.8</v>
      </c>
      <c r="H462">
        <v>14.799999999999997</v>
      </c>
      <c r="I462">
        <v>15.000000000000007</v>
      </c>
      <c r="J462">
        <v>15</v>
      </c>
      <c r="K462">
        <v>15.099999999999994</v>
      </c>
      <c r="L462">
        <v>15.099999999999994</v>
      </c>
      <c r="M462">
        <v>15</v>
      </c>
      <c r="N462">
        <v>15.5</v>
      </c>
      <c r="O462">
        <v>15.5</v>
      </c>
      <c r="P462">
        <v>15.099999999999994</v>
      </c>
      <c r="Q462">
        <v>14.700000000000017</v>
      </c>
      <c r="R462">
        <v>14.599999999999994</v>
      </c>
      <c r="S462">
        <f>Tableau1[[#This Row],[Final_time]]-SUM(Tableau1[[#This Row],[0_100m]:[1300_1400m]])</f>
        <v>14.449999999999989</v>
      </c>
      <c r="T462">
        <v>223.95</v>
      </c>
      <c r="U462">
        <f t="shared" si="14"/>
        <v>223.95</v>
      </c>
      <c r="V462">
        <f t="shared" si="15"/>
        <v>0</v>
      </c>
      <c r="W462" s="12"/>
      <c r="X462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2" t="s">
        <v>389</v>
      </c>
      <c r="Z462" s="2" t="s">
        <v>43</v>
      </c>
      <c r="AA462" s="2"/>
      <c r="AB462" s="2" t="s">
        <v>44</v>
      </c>
      <c r="AC462" s="2">
        <v>44728</v>
      </c>
      <c r="AD462">
        <v>2022</v>
      </c>
      <c r="AE462" s="3">
        <v>22</v>
      </c>
      <c r="AF462" s="5">
        <v>0.47</v>
      </c>
      <c r="AG462" s="3" t="s">
        <v>62</v>
      </c>
    </row>
    <row r="463" spans="1:34" hidden="1" x14ac:dyDescent="0.35">
      <c r="A463" t="str">
        <f>_xlfn.CONCAT(Tableau1[[#This Row],[Athletes]],"_",Tableau1[[#This Row],[Nationality]],"_",Tableau1[[#This Row],[Competition_year]])</f>
        <v>Job IJTSMA_NED_2022</v>
      </c>
      <c r="B463" t="s">
        <v>379</v>
      </c>
      <c r="C463" t="s">
        <v>16</v>
      </c>
      <c r="D463" t="s">
        <v>39</v>
      </c>
      <c r="E463">
        <v>14.1</v>
      </c>
      <c r="F463">
        <v>13.9</v>
      </c>
      <c r="G463">
        <v>15.100000000000001</v>
      </c>
      <c r="H463">
        <v>14.5</v>
      </c>
      <c r="I463">
        <v>14.899999999999999</v>
      </c>
      <c r="J463">
        <v>14.799999999999997</v>
      </c>
      <c r="K463">
        <v>14.900000000000006</v>
      </c>
      <c r="L463">
        <v>15.200000000000003</v>
      </c>
      <c r="M463">
        <v>15.5</v>
      </c>
      <c r="N463">
        <v>15.699999999999989</v>
      </c>
      <c r="O463">
        <v>14.900000000000006</v>
      </c>
      <c r="P463">
        <v>14.699999999999989</v>
      </c>
      <c r="Q463">
        <v>14.300000000000011</v>
      </c>
      <c r="R463">
        <v>14.5</v>
      </c>
      <c r="S463">
        <f>Tableau1[[#This Row],[Final_time]]-SUM(Tableau1[[#This Row],[0_100m]:[1300_1400m]])</f>
        <v>14.52000000000001</v>
      </c>
      <c r="T463">
        <v>221.52</v>
      </c>
      <c r="U463">
        <f t="shared" si="14"/>
        <v>221.52</v>
      </c>
      <c r="V463">
        <f t="shared" si="15"/>
        <v>0</v>
      </c>
      <c r="W463" s="12"/>
      <c r="X463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3" t="s">
        <v>389</v>
      </c>
      <c r="Z463" s="2" t="s">
        <v>43</v>
      </c>
      <c r="AA463" s="2"/>
      <c r="AB463" s="2" t="s">
        <v>44</v>
      </c>
      <c r="AC463" s="2">
        <v>44728</v>
      </c>
      <c r="AD463">
        <v>2022</v>
      </c>
      <c r="AE463" s="3">
        <v>22</v>
      </c>
      <c r="AF463" s="5">
        <v>0.47</v>
      </c>
      <c r="AG463" s="3" t="s">
        <v>62</v>
      </c>
    </row>
    <row r="464" spans="1:34" hidden="1" x14ac:dyDescent="0.35">
      <c r="A464" t="str">
        <f>_xlfn.CONCAT(Tableau1[[#This Row],[Athletes]],"_",Tableau1[[#This Row],[Nationality]],"_",Tableau1[[#This Row],[Competition_year]])</f>
        <v>Gregory BERNAGE_FRA_2022</v>
      </c>
      <c r="B464" t="s">
        <v>382</v>
      </c>
      <c r="C464" t="s">
        <v>16</v>
      </c>
      <c r="D464" t="s">
        <v>18</v>
      </c>
      <c r="E464">
        <v>14.9</v>
      </c>
      <c r="F464">
        <v>15.299999999999999</v>
      </c>
      <c r="G464">
        <v>14.500000000000004</v>
      </c>
      <c r="H464">
        <v>15</v>
      </c>
      <c r="I464">
        <v>14.599999999999994</v>
      </c>
      <c r="J464">
        <v>15.100000000000009</v>
      </c>
      <c r="K464">
        <v>15</v>
      </c>
      <c r="L464">
        <v>15</v>
      </c>
      <c r="M464">
        <v>14.900000000000006</v>
      </c>
      <c r="N464">
        <v>15.399999999999977</v>
      </c>
      <c r="O464">
        <v>14.900000000000006</v>
      </c>
      <c r="P464">
        <v>15.099999999999994</v>
      </c>
      <c r="Q464">
        <v>14</v>
      </c>
      <c r="R464">
        <v>13.900000000000006</v>
      </c>
      <c r="S464">
        <f>Tableau1[[#This Row],[Final_time]]-SUM(Tableau1[[#This Row],[0_100m]:[1300_1400m]])</f>
        <v>14.530000000000001</v>
      </c>
      <c r="T464">
        <v>222.13</v>
      </c>
      <c r="U464">
        <f t="shared" si="14"/>
        <v>222.13</v>
      </c>
      <c r="V464">
        <f t="shared" si="15"/>
        <v>0</v>
      </c>
      <c r="W464" s="12"/>
      <c r="X464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4" t="s">
        <v>389</v>
      </c>
      <c r="Z464" s="2" t="s">
        <v>43</v>
      </c>
      <c r="AA464" s="2"/>
      <c r="AB464" s="2" t="s">
        <v>44</v>
      </c>
      <c r="AC464" s="2">
        <v>44728</v>
      </c>
      <c r="AD464">
        <v>2022</v>
      </c>
      <c r="AE464" s="3">
        <v>22</v>
      </c>
      <c r="AF464" s="5">
        <v>0.47</v>
      </c>
      <c r="AG464" s="3" t="s">
        <v>62</v>
      </c>
    </row>
    <row r="465" spans="1:34" hidden="1" x14ac:dyDescent="0.35">
      <c r="A465" t="str">
        <f>_xlfn.CONCAT(Tableau1[[#This Row],[Athletes]],"_",Tableau1[[#This Row],[Nationality]],"_",Tableau1[[#This Row],[Competition_year]])</f>
        <v>Sondre RISHØI_NOR_2022</v>
      </c>
      <c r="B465" t="s">
        <v>388</v>
      </c>
      <c r="C465" t="s">
        <v>16</v>
      </c>
      <c r="D465" t="s">
        <v>30</v>
      </c>
      <c r="E465">
        <v>15.8</v>
      </c>
      <c r="F465">
        <v>15.5</v>
      </c>
      <c r="G465">
        <v>14.400000000000002</v>
      </c>
      <c r="H465">
        <v>15.199999999999996</v>
      </c>
      <c r="I465">
        <v>14.600000000000001</v>
      </c>
      <c r="J465">
        <v>15</v>
      </c>
      <c r="K465">
        <v>15.299999999999997</v>
      </c>
      <c r="L465">
        <v>15.100000000000009</v>
      </c>
      <c r="M465">
        <v>15.199999999999989</v>
      </c>
      <c r="N465">
        <v>15.599999999999994</v>
      </c>
      <c r="O465">
        <v>16</v>
      </c>
      <c r="P465">
        <v>15.900000000000006</v>
      </c>
      <c r="Q465">
        <v>16.300000000000011</v>
      </c>
      <c r="R465">
        <v>16.099999999999994</v>
      </c>
      <c r="S465">
        <f>Tableau1[[#This Row],[Final_time]]-SUM(Tableau1[[#This Row],[0_100m]:[1300_1400m]])</f>
        <v>14.949999999999989</v>
      </c>
      <c r="T465">
        <v>230.95</v>
      </c>
      <c r="U465">
        <f t="shared" si="14"/>
        <v>230.95</v>
      </c>
      <c r="V465">
        <f t="shared" si="15"/>
        <v>0</v>
      </c>
      <c r="W465" s="12"/>
      <c r="X465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5" t="s">
        <v>389</v>
      </c>
      <c r="Z465" s="2" t="s">
        <v>43</v>
      </c>
      <c r="AA465" s="2"/>
      <c r="AB465" s="2" t="s">
        <v>44</v>
      </c>
      <c r="AC465" s="2">
        <v>44728</v>
      </c>
      <c r="AD465">
        <v>2022</v>
      </c>
      <c r="AE465" s="3">
        <v>22</v>
      </c>
      <c r="AF465" s="5">
        <v>0.47</v>
      </c>
      <c r="AG465" s="3" t="s">
        <v>62</v>
      </c>
    </row>
    <row r="466" spans="1:34" hidden="1" x14ac:dyDescent="0.35">
      <c r="A466" t="str">
        <f>_xlfn.CONCAT(Tableau1[[#This Row],[Athletes]],"_",Tableau1[[#This Row],[Nationality]],"_",Tableau1[[#This Row],[Competition_year]])</f>
        <v>Andreas FJELD HALVORSEN_NOR_2022</v>
      </c>
      <c r="B466" t="s">
        <v>749</v>
      </c>
      <c r="C466" t="s">
        <v>16</v>
      </c>
      <c r="D466" t="s">
        <v>30</v>
      </c>
      <c r="E466">
        <v>15.1</v>
      </c>
      <c r="F466">
        <v>14.500000000000002</v>
      </c>
      <c r="G466">
        <v>14.699999999999996</v>
      </c>
      <c r="H466">
        <v>14.800000000000004</v>
      </c>
      <c r="I466">
        <v>14.600000000000001</v>
      </c>
      <c r="J466">
        <v>15</v>
      </c>
      <c r="K466">
        <v>14.799999999999997</v>
      </c>
      <c r="L466">
        <v>14.900000000000006</v>
      </c>
      <c r="M466">
        <v>15.299999999999983</v>
      </c>
      <c r="N466">
        <v>15.700000000000017</v>
      </c>
      <c r="O466">
        <v>15.400000000000006</v>
      </c>
      <c r="P466">
        <v>15.199999999999989</v>
      </c>
      <c r="Q466">
        <v>15.099999999999994</v>
      </c>
      <c r="R466">
        <v>14.900000000000006</v>
      </c>
      <c r="S466">
        <f>Tableau1[[#This Row],[Final_time]]-SUM(Tableau1[[#This Row],[0_100m]:[1300_1400m]])</f>
        <v>15.199999999999989</v>
      </c>
      <c r="T466">
        <v>225.2</v>
      </c>
      <c r="U466">
        <f t="shared" si="14"/>
        <v>225.2</v>
      </c>
      <c r="V466">
        <f t="shared" si="15"/>
        <v>0</v>
      </c>
      <c r="W466" s="12"/>
      <c r="X466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6" t="s">
        <v>389</v>
      </c>
      <c r="Z466" s="2" t="s">
        <v>43</v>
      </c>
      <c r="AA466" s="2"/>
      <c r="AB466" s="2" t="s">
        <v>44</v>
      </c>
      <c r="AC466" s="2">
        <v>44728</v>
      </c>
      <c r="AD466">
        <v>2022</v>
      </c>
      <c r="AE466" s="3">
        <v>22</v>
      </c>
      <c r="AF466" s="5">
        <v>0.47</v>
      </c>
      <c r="AG466" s="3" t="s">
        <v>62</v>
      </c>
    </row>
    <row r="467" spans="1:34" hidden="1" x14ac:dyDescent="0.35">
      <c r="A467" t="str">
        <f>_xlfn.CONCAT(Tableau1[[#This Row],[Athletes]],"_",Tableau1[[#This Row],[Nationality]],"_",Tableau1[[#This Row],[Competition_year]])</f>
        <v>Anders BJØRNDAL_NOR_2022</v>
      </c>
      <c r="B467" t="s">
        <v>383</v>
      </c>
      <c r="C467" t="s">
        <v>16</v>
      </c>
      <c r="D467" t="s">
        <v>30</v>
      </c>
      <c r="E467">
        <v>15.1</v>
      </c>
      <c r="F467">
        <v>15.4</v>
      </c>
      <c r="G467">
        <v>14.399999999999999</v>
      </c>
      <c r="H467">
        <v>15.100000000000001</v>
      </c>
      <c r="I467">
        <v>14.599999999999994</v>
      </c>
      <c r="J467">
        <v>15</v>
      </c>
      <c r="K467">
        <v>15</v>
      </c>
      <c r="L467">
        <v>15.100000000000009</v>
      </c>
      <c r="M467">
        <v>14.999999999999986</v>
      </c>
      <c r="N467">
        <v>15.400000000000006</v>
      </c>
      <c r="O467">
        <v>15.599999999999994</v>
      </c>
      <c r="P467">
        <v>15.300000000000011</v>
      </c>
      <c r="Q467">
        <v>15</v>
      </c>
      <c r="R467">
        <v>15.199999999999989</v>
      </c>
      <c r="S467">
        <f>Tableau1[[#This Row],[Final_time]]-SUM(Tableau1[[#This Row],[0_100m]:[1300_1400m]])</f>
        <v>15.25</v>
      </c>
      <c r="T467">
        <v>226.45</v>
      </c>
      <c r="U467">
        <f t="shared" si="14"/>
        <v>226.45</v>
      </c>
      <c r="V467">
        <f t="shared" si="15"/>
        <v>0</v>
      </c>
      <c r="W467" s="12"/>
      <c r="X467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7" t="s">
        <v>389</v>
      </c>
      <c r="Z467" s="2" t="s">
        <v>43</v>
      </c>
      <c r="AA467" s="2"/>
      <c r="AB467" s="2" t="s">
        <v>44</v>
      </c>
      <c r="AC467" s="2">
        <v>44728</v>
      </c>
      <c r="AD467">
        <v>2022</v>
      </c>
      <c r="AE467" s="3">
        <v>22</v>
      </c>
      <c r="AF467" s="5">
        <v>0.47</v>
      </c>
      <c r="AG467" s="3" t="s">
        <v>62</v>
      </c>
    </row>
    <row r="468" spans="1:34" hidden="1" x14ac:dyDescent="0.35">
      <c r="A468" t="str">
        <f>_xlfn.CONCAT(Tableau1[[#This Row],[Athletes]],"_",Tableau1[[#This Row],[Nationality]],"_",Tableau1[[#This Row],[Competition_year]])</f>
        <v>Benjamin OLSEN_NOR_2022</v>
      </c>
      <c r="B468" t="s">
        <v>387</v>
      </c>
      <c r="C468" t="s">
        <v>16</v>
      </c>
      <c r="D468" t="s">
        <v>30</v>
      </c>
      <c r="E468">
        <v>15.6</v>
      </c>
      <c r="F468">
        <v>15.299999999999999</v>
      </c>
      <c r="G468">
        <v>14.200000000000003</v>
      </c>
      <c r="H468">
        <v>15.100000000000001</v>
      </c>
      <c r="I468">
        <v>14.599999999999994</v>
      </c>
      <c r="J468">
        <v>15</v>
      </c>
      <c r="K468">
        <v>15.100000000000009</v>
      </c>
      <c r="L468">
        <v>15.099999999999994</v>
      </c>
      <c r="M468">
        <v>15.300000000000011</v>
      </c>
      <c r="N468">
        <v>15.5</v>
      </c>
      <c r="O468">
        <v>15.599999999999994</v>
      </c>
      <c r="P468">
        <v>15.299999999999983</v>
      </c>
      <c r="Q468">
        <v>15.200000000000017</v>
      </c>
      <c r="R468">
        <v>15.5</v>
      </c>
      <c r="S468">
        <f>Tableau1[[#This Row],[Final_time]]-SUM(Tableau1[[#This Row],[0_100m]:[1300_1400m]])</f>
        <v>15.699999999999989</v>
      </c>
      <c r="T468">
        <v>228.1</v>
      </c>
      <c r="U468">
        <f t="shared" si="14"/>
        <v>228.1</v>
      </c>
      <c r="V468">
        <f t="shared" si="15"/>
        <v>0</v>
      </c>
      <c r="W468" s="12"/>
      <c r="X468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8" t="s">
        <v>389</v>
      </c>
      <c r="Z468" s="2" t="s">
        <v>43</v>
      </c>
      <c r="AA468" s="2"/>
      <c r="AB468" s="2" t="s">
        <v>44</v>
      </c>
      <c r="AC468" s="2">
        <v>44728</v>
      </c>
      <c r="AD468">
        <v>2022</v>
      </c>
      <c r="AE468" s="3">
        <v>22</v>
      </c>
      <c r="AF468" s="5">
        <v>0.47</v>
      </c>
      <c r="AG468" s="3" t="s">
        <v>62</v>
      </c>
    </row>
    <row r="469" spans="1:34" hidden="1" x14ac:dyDescent="0.35">
      <c r="A469" t="str">
        <f>_xlfn.CONCAT(Tableau1[[#This Row],[Athletes]],"_",Tableau1[[#This Row],[Nationality]],"_",Tableau1[[#This Row],[Competition_year]])</f>
        <v>Moa Abounnachat BOLLERØD_NOR_2022</v>
      </c>
      <c r="B469" t="s">
        <v>386</v>
      </c>
      <c r="C469" t="s">
        <v>16</v>
      </c>
      <c r="D469" t="s">
        <v>30</v>
      </c>
      <c r="E469">
        <v>13.9</v>
      </c>
      <c r="F469">
        <v>13.799999999999999</v>
      </c>
      <c r="G469">
        <v>15.099999999999998</v>
      </c>
      <c r="H469">
        <v>14.600000000000001</v>
      </c>
      <c r="I469">
        <v>14.800000000000004</v>
      </c>
      <c r="J469">
        <v>14.899999999999991</v>
      </c>
      <c r="K469">
        <v>14.900000000000006</v>
      </c>
      <c r="L469">
        <v>15.200000000000003</v>
      </c>
      <c r="M469">
        <v>15.499999999999986</v>
      </c>
      <c r="N469">
        <v>15.900000000000006</v>
      </c>
      <c r="O469">
        <v>15.300000000000011</v>
      </c>
      <c r="P469">
        <v>15.900000000000006</v>
      </c>
      <c r="Q469">
        <v>16</v>
      </c>
      <c r="R469">
        <v>16</v>
      </c>
      <c r="S469">
        <f>Tableau1[[#This Row],[Final_time]]-SUM(Tableau1[[#This Row],[0_100m]:[1300_1400m]])</f>
        <v>16.22</v>
      </c>
      <c r="T469">
        <v>228.02</v>
      </c>
      <c r="U469">
        <f t="shared" si="14"/>
        <v>228.02</v>
      </c>
      <c r="V469">
        <f t="shared" si="15"/>
        <v>0</v>
      </c>
      <c r="W469" s="12"/>
      <c r="X469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69" t="s">
        <v>389</v>
      </c>
      <c r="Z469" s="2" t="s">
        <v>43</v>
      </c>
      <c r="AA469" s="2"/>
      <c r="AB469" s="2" t="s">
        <v>44</v>
      </c>
      <c r="AC469" s="2">
        <v>44728</v>
      </c>
      <c r="AD469">
        <v>2022</v>
      </c>
      <c r="AE469" s="3">
        <v>22</v>
      </c>
      <c r="AF469" s="5">
        <v>0.47</v>
      </c>
      <c r="AG469" s="3" t="s">
        <v>62</v>
      </c>
    </row>
    <row r="470" spans="1:34" hidden="1" x14ac:dyDescent="0.35">
      <c r="A470" t="str">
        <f>_xlfn.CONCAT(Tableau1[[#This Row],[Athletes]],"_",Tableau1[[#This Row],[Nationality]],"_",Tableau1[[#This Row],[Competition_year]])</f>
        <v>Jurjen POLDERMAN_NED_2022</v>
      </c>
      <c r="B470" t="s">
        <v>384</v>
      </c>
      <c r="C470" t="s">
        <v>16</v>
      </c>
      <c r="D470" t="s">
        <v>39</v>
      </c>
      <c r="E470">
        <v>14.5</v>
      </c>
      <c r="F470">
        <v>14</v>
      </c>
      <c r="G470">
        <v>15</v>
      </c>
      <c r="H470">
        <v>14.600000000000001</v>
      </c>
      <c r="I470">
        <v>14.899999999999999</v>
      </c>
      <c r="J470">
        <v>14.700000000000003</v>
      </c>
      <c r="K470">
        <v>15</v>
      </c>
      <c r="L470">
        <v>15.200000000000003</v>
      </c>
      <c r="M470">
        <v>15.299999999999983</v>
      </c>
      <c r="N470">
        <v>15.900000000000006</v>
      </c>
      <c r="O470">
        <v>15.599999999999994</v>
      </c>
      <c r="P470">
        <v>15.5</v>
      </c>
      <c r="Q470">
        <v>15.100000000000023</v>
      </c>
      <c r="R470">
        <v>15.099999999999994</v>
      </c>
      <c r="S470">
        <f>Tableau1[[#This Row],[Final_time]]-SUM(Tableau1[[#This Row],[0_100m]:[1300_1400m]])</f>
        <v>16.239999999999981</v>
      </c>
      <c r="T470">
        <v>226.64</v>
      </c>
      <c r="U470">
        <f t="shared" si="14"/>
        <v>226.64</v>
      </c>
      <c r="V470">
        <f t="shared" si="15"/>
        <v>0</v>
      </c>
      <c r="W470" s="12"/>
      <c r="X470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70" t="s">
        <v>389</v>
      </c>
      <c r="Z470" s="2" t="s">
        <v>43</v>
      </c>
      <c r="AA470" s="2"/>
      <c r="AB470" s="2" t="s">
        <v>44</v>
      </c>
      <c r="AC470" s="2">
        <v>44728</v>
      </c>
      <c r="AD470">
        <v>2022</v>
      </c>
      <c r="AE470" s="3">
        <v>22</v>
      </c>
      <c r="AF470" s="5">
        <v>0.47</v>
      </c>
      <c r="AG470" s="3" t="s">
        <v>62</v>
      </c>
    </row>
    <row r="471" spans="1:34" hidden="1" x14ac:dyDescent="0.35">
      <c r="A471" t="str">
        <f>_xlfn.CONCAT(Tableau1[[#This Row],[Athletes]],"_",Tableau1[[#This Row],[Nationality]],"_",Tableau1[[#This Row],[Competition_year]])</f>
        <v>Halvor NYMOEN_NOR_2022</v>
      </c>
      <c r="B471" t="s">
        <v>937</v>
      </c>
      <c r="C471" t="s">
        <v>16</v>
      </c>
      <c r="D471" t="s">
        <v>30</v>
      </c>
      <c r="E471">
        <v>15.5</v>
      </c>
      <c r="F471">
        <v>15.600000000000001</v>
      </c>
      <c r="G471">
        <v>14.399999999999999</v>
      </c>
      <c r="H471">
        <v>15.100000000000001</v>
      </c>
      <c r="I471">
        <v>14.699999999999996</v>
      </c>
      <c r="J471">
        <v>15</v>
      </c>
      <c r="K471">
        <v>15.200000000000003</v>
      </c>
      <c r="L471">
        <v>15.099999999999994</v>
      </c>
      <c r="M471">
        <v>15.200000000000017</v>
      </c>
      <c r="N471">
        <v>15.399999999999977</v>
      </c>
      <c r="O471">
        <v>15.800000000000011</v>
      </c>
      <c r="P471">
        <v>15.699999999999989</v>
      </c>
      <c r="Q471">
        <v>16.200000000000017</v>
      </c>
      <c r="R471">
        <v>16.099999999999994</v>
      </c>
      <c r="S471">
        <f>Tableau1[[#This Row],[Final_time]]-SUM(Tableau1[[#This Row],[0_100m]:[1300_1400m]])</f>
        <v>16.659999999999997</v>
      </c>
      <c r="T471">
        <v>231.66</v>
      </c>
      <c r="U471">
        <f t="shared" si="14"/>
        <v>231.66</v>
      </c>
      <c r="V471">
        <f t="shared" si="15"/>
        <v>0</v>
      </c>
      <c r="W471" s="12"/>
      <c r="X471" t="str">
        <f>_xlfn.CONCAT(Tableau1[[#This Row],[Competition]],"_",Tableau1[[#This Row],[Championship_step]],"_",Tableau1[[#This Row],[Competition_date]],"_",Tableau1[[#This Row],[Gender]])</f>
        <v>Diamond League Oslo 2022 - B race__44728_Male</v>
      </c>
      <c r="Y471" t="s">
        <v>389</v>
      </c>
      <c r="Z471" s="2" t="s">
        <v>43</v>
      </c>
      <c r="AA471" s="2"/>
      <c r="AB471" s="2" t="s">
        <v>44</v>
      </c>
      <c r="AC471" s="2">
        <v>44728</v>
      </c>
      <c r="AD471">
        <v>2022</v>
      </c>
      <c r="AE471" s="3">
        <v>22</v>
      </c>
      <c r="AF471" s="5">
        <v>0.47</v>
      </c>
      <c r="AG471" s="3" t="s">
        <v>62</v>
      </c>
    </row>
    <row r="472" spans="1:34" hidden="1" x14ac:dyDescent="0.35">
      <c r="A472" t="str">
        <f>_xlfn.CONCAT(Tableau1[[#This Row],[Athletes]],"_",Tableau1[[#This Row],[Nationality]],"_",Tableau1[[#This Row],[Competition_year]])</f>
        <v>Jakob INGEBRIGTSEN_NOR_2023</v>
      </c>
      <c r="B472" t="s">
        <v>151</v>
      </c>
      <c r="C472" t="s">
        <v>16</v>
      </c>
      <c r="D472" t="s">
        <v>30</v>
      </c>
      <c r="E472">
        <v>13.65</v>
      </c>
      <c r="F472">
        <v>13.65</v>
      </c>
      <c r="G472">
        <v>14.3</v>
      </c>
      <c r="H472">
        <v>14.1</v>
      </c>
      <c r="I472">
        <v>14</v>
      </c>
      <c r="J472">
        <v>14.1</v>
      </c>
      <c r="K472">
        <v>14</v>
      </c>
      <c r="L472">
        <v>14.1</v>
      </c>
      <c r="M472">
        <v>13.7</v>
      </c>
      <c r="N472">
        <v>13.6</v>
      </c>
      <c r="O472">
        <v>13.8</v>
      </c>
      <c r="P472">
        <v>13.9</v>
      </c>
      <c r="Q472">
        <v>13.8</v>
      </c>
      <c r="R472">
        <v>13.8</v>
      </c>
      <c r="S472">
        <f>Tableau1[[#This Row],[Final_time]]-SUM(Tableau1[[#This Row],[0_100m]:[1300_1400m]])</f>
        <v>13.44999999999996</v>
      </c>
      <c r="T472">
        <v>207.95</v>
      </c>
      <c r="U472">
        <f t="shared" si="14"/>
        <v>207.95</v>
      </c>
      <c r="V472">
        <f t="shared" si="15"/>
        <v>0</v>
      </c>
      <c r="W472" s="12"/>
      <c r="X472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2" t="s">
        <v>277</v>
      </c>
      <c r="Z472" s="2" t="s">
        <v>43</v>
      </c>
      <c r="AA472" s="2"/>
      <c r="AB472" s="2" t="s">
        <v>65</v>
      </c>
      <c r="AC472" s="2">
        <v>45092</v>
      </c>
      <c r="AD472" s="3">
        <v>2023</v>
      </c>
      <c r="AE472" s="3">
        <v>24</v>
      </c>
      <c r="AF472" s="5">
        <v>0.46</v>
      </c>
      <c r="AG472" s="3" t="s">
        <v>62</v>
      </c>
      <c r="AH472" t="s">
        <v>268</v>
      </c>
    </row>
    <row r="473" spans="1:34" hidden="1" x14ac:dyDescent="0.35">
      <c r="A473" t="str">
        <f>_xlfn.CONCAT(Tableau1[[#This Row],[Athletes]],"_",Tableau1[[#This Row],[Nationality]],"_",Tableau1[[#This Row],[Competition_year]])</f>
        <v>Mohamed KATIR_ESP_2023</v>
      </c>
      <c r="B473" t="s">
        <v>149</v>
      </c>
      <c r="C473" t="s">
        <v>16</v>
      </c>
      <c r="D473" t="s">
        <v>22</v>
      </c>
      <c r="E473">
        <v>13.9</v>
      </c>
      <c r="F473">
        <v>14.1</v>
      </c>
      <c r="G473">
        <v>14.1</v>
      </c>
      <c r="H473">
        <v>14.3</v>
      </c>
      <c r="I473">
        <v>14</v>
      </c>
      <c r="J473">
        <v>14.2</v>
      </c>
      <c r="K473">
        <v>13.6</v>
      </c>
      <c r="L473">
        <v>14</v>
      </c>
      <c r="M473">
        <v>13.5</v>
      </c>
      <c r="N473">
        <v>13.8</v>
      </c>
      <c r="O473">
        <v>13.7</v>
      </c>
      <c r="P473">
        <v>13.9</v>
      </c>
      <c r="Q473">
        <v>13.8</v>
      </c>
      <c r="R473">
        <v>13.8</v>
      </c>
      <c r="S473">
        <f>Tableau1[[#This Row],[Final_time]]-SUM(Tableau1[[#This Row],[0_100m]:[1300_1400m]])</f>
        <v>14.189999999999969</v>
      </c>
      <c r="T473">
        <v>208.89</v>
      </c>
      <c r="U473">
        <f t="shared" si="14"/>
        <v>208.89</v>
      </c>
      <c r="V473">
        <f t="shared" si="15"/>
        <v>0</v>
      </c>
      <c r="W473" s="12"/>
      <c r="X473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3" t="s">
        <v>277</v>
      </c>
      <c r="Z473" s="2" t="s">
        <v>43</v>
      </c>
      <c r="AA473" s="2"/>
      <c r="AB473" s="2" t="s">
        <v>65</v>
      </c>
      <c r="AC473" s="2">
        <v>45092</v>
      </c>
      <c r="AD473" s="3">
        <v>2023</v>
      </c>
      <c r="AE473" s="3">
        <v>24</v>
      </c>
      <c r="AF473" s="5">
        <v>0.46</v>
      </c>
      <c r="AG473" s="3" t="s">
        <v>62</v>
      </c>
      <c r="AH473" t="s">
        <v>268</v>
      </c>
    </row>
    <row r="474" spans="1:34" hidden="1" x14ac:dyDescent="0.35">
      <c r="A474" t="str">
        <f>_xlfn.CONCAT(Tableau1[[#This Row],[Athletes]],"_",Tableau1[[#This Row],[Nationality]],"_",Tableau1[[#This Row],[Competition_year]])</f>
        <v>Yared NUGUSE_USA_2023</v>
      </c>
      <c r="B474" t="s">
        <v>228</v>
      </c>
      <c r="C474" t="s">
        <v>16</v>
      </c>
      <c r="D474" t="s">
        <v>51</v>
      </c>
      <c r="E474">
        <v>13.45</v>
      </c>
      <c r="F474">
        <v>13.75</v>
      </c>
      <c r="G474">
        <v>14.6</v>
      </c>
      <c r="H474">
        <v>14.1</v>
      </c>
      <c r="I474">
        <v>14</v>
      </c>
      <c r="J474">
        <v>14.3</v>
      </c>
      <c r="K474">
        <v>14</v>
      </c>
      <c r="L474">
        <v>14.2</v>
      </c>
      <c r="M474">
        <v>13.6</v>
      </c>
      <c r="N474">
        <v>13.9</v>
      </c>
      <c r="O474">
        <v>13.7</v>
      </c>
      <c r="P474">
        <v>13.8</v>
      </c>
      <c r="Q474">
        <v>13.9</v>
      </c>
      <c r="R474">
        <v>14</v>
      </c>
      <c r="S474">
        <f>Tableau1[[#This Row],[Final_time]]-SUM(Tableau1[[#This Row],[0_100m]:[1300_1400m]])</f>
        <v>13.719999999999999</v>
      </c>
      <c r="T474">
        <v>209.02</v>
      </c>
      <c r="U474">
        <f t="shared" si="14"/>
        <v>209.02</v>
      </c>
      <c r="V474">
        <f t="shared" si="15"/>
        <v>0</v>
      </c>
      <c r="W474" s="12"/>
      <c r="X474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4" t="s">
        <v>277</v>
      </c>
      <c r="Z474" s="2" t="s">
        <v>43</v>
      </c>
      <c r="AA474" s="2"/>
      <c r="AB474" s="2" t="s">
        <v>65</v>
      </c>
      <c r="AC474" s="2">
        <v>45092</v>
      </c>
      <c r="AD474" s="3">
        <v>2023</v>
      </c>
      <c r="AE474" s="3">
        <v>24</v>
      </c>
      <c r="AF474" s="5">
        <v>0.46</v>
      </c>
      <c r="AG474" s="3" t="s">
        <v>62</v>
      </c>
      <c r="AH474" t="s">
        <v>268</v>
      </c>
    </row>
    <row r="475" spans="1:34" hidden="1" x14ac:dyDescent="0.35">
      <c r="A475" t="str">
        <f>_xlfn.CONCAT(Tableau1[[#This Row],[Athletes]],"_",Tableau1[[#This Row],[Nationality]],"_",Tableau1[[#This Row],[Competition_year]])</f>
        <v>Timothy CHERUIYOT_KEN_2023</v>
      </c>
      <c r="B475" t="s">
        <v>205</v>
      </c>
      <c r="C475" t="s">
        <v>16</v>
      </c>
      <c r="D475" t="s">
        <v>17</v>
      </c>
      <c r="E475">
        <v>14.3</v>
      </c>
      <c r="F475">
        <v>13.6</v>
      </c>
      <c r="G475">
        <v>14</v>
      </c>
      <c r="H475">
        <v>14</v>
      </c>
      <c r="I475">
        <v>14</v>
      </c>
      <c r="J475">
        <v>14.1</v>
      </c>
      <c r="K475">
        <v>14</v>
      </c>
      <c r="L475">
        <v>14.1</v>
      </c>
      <c r="M475">
        <v>13.7</v>
      </c>
      <c r="N475">
        <v>14.1</v>
      </c>
      <c r="O475">
        <v>14</v>
      </c>
      <c r="P475">
        <v>14.4</v>
      </c>
      <c r="Q475">
        <v>13.5</v>
      </c>
      <c r="R475">
        <v>13.8</v>
      </c>
      <c r="S475">
        <f>Tableau1[[#This Row],[Final_time]]-SUM(Tableau1[[#This Row],[0_100m]:[1300_1400m]])</f>
        <v>13.47999999999999</v>
      </c>
      <c r="T475">
        <v>209.08</v>
      </c>
      <c r="U475">
        <f t="shared" si="14"/>
        <v>209.08</v>
      </c>
      <c r="V475">
        <f t="shared" si="15"/>
        <v>0</v>
      </c>
      <c r="W475" s="12"/>
      <c r="X475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5" t="s">
        <v>277</v>
      </c>
      <c r="Z475" s="2" t="s">
        <v>43</v>
      </c>
      <c r="AA475" s="2"/>
      <c r="AB475" s="2" t="s">
        <v>65</v>
      </c>
      <c r="AC475" s="2">
        <v>45092</v>
      </c>
      <c r="AD475" s="3">
        <v>2023</v>
      </c>
      <c r="AE475" s="3">
        <v>24</v>
      </c>
      <c r="AF475" s="5">
        <v>0.46</v>
      </c>
      <c r="AG475" s="3" t="s">
        <v>62</v>
      </c>
      <c r="AH475" t="s">
        <v>268</v>
      </c>
    </row>
    <row r="476" spans="1:34" hidden="1" x14ac:dyDescent="0.35">
      <c r="A476" t="str">
        <f>_xlfn.CONCAT(Tableau1[[#This Row],[Athletes]],"_",Tableau1[[#This Row],[Nationality]],"_",Tableau1[[#This Row],[Competition_year]])</f>
        <v>Mario GARCÍA_ESP_2023</v>
      </c>
      <c r="B476" t="s">
        <v>117</v>
      </c>
      <c r="C476" t="s">
        <v>16</v>
      </c>
      <c r="D476" t="s">
        <v>22</v>
      </c>
      <c r="E476">
        <v>13.85</v>
      </c>
      <c r="F476">
        <v>14.05</v>
      </c>
      <c r="G476">
        <v>14.6</v>
      </c>
      <c r="H476">
        <v>14.4</v>
      </c>
      <c r="I476">
        <v>13.9</v>
      </c>
      <c r="J476">
        <v>14.2</v>
      </c>
      <c r="K476">
        <v>13.8</v>
      </c>
      <c r="L476">
        <v>14.2</v>
      </c>
      <c r="M476">
        <v>13.7</v>
      </c>
      <c r="N476">
        <v>13.8</v>
      </c>
      <c r="O476">
        <v>13.7</v>
      </c>
      <c r="P476">
        <v>13.9</v>
      </c>
      <c r="Q476">
        <v>13.6</v>
      </c>
      <c r="R476">
        <v>13.9</v>
      </c>
      <c r="S476">
        <f>Tableau1[[#This Row],[Final_time]]-SUM(Tableau1[[#This Row],[0_100m]:[1300_1400m]])</f>
        <v>13.580000000000013</v>
      </c>
      <c r="T476">
        <v>209.18</v>
      </c>
      <c r="U476">
        <f t="shared" si="14"/>
        <v>209.18</v>
      </c>
      <c r="V476">
        <f t="shared" si="15"/>
        <v>0</v>
      </c>
      <c r="W476" s="12"/>
      <c r="X476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6" t="s">
        <v>277</v>
      </c>
      <c r="Z476" s="2" t="s">
        <v>43</v>
      </c>
      <c r="AA476" s="2"/>
      <c r="AB476" s="2" t="s">
        <v>65</v>
      </c>
      <c r="AC476" s="2">
        <v>45092</v>
      </c>
      <c r="AD476" s="3">
        <v>2023</v>
      </c>
      <c r="AE476" s="3">
        <v>24</v>
      </c>
      <c r="AF476" s="5">
        <v>0.46</v>
      </c>
      <c r="AG476" s="3" t="s">
        <v>62</v>
      </c>
      <c r="AH476" t="s">
        <v>268</v>
      </c>
    </row>
    <row r="477" spans="1:34" hidden="1" x14ac:dyDescent="0.35">
      <c r="A477" t="str">
        <f>_xlfn.CONCAT(Tableau1[[#This Row],[Athletes]],"_",Tableau1[[#This Row],[Nationality]],"_",Tableau1[[#This Row],[Competition_year]])</f>
        <v>Azeddine HABZ_FRA_2023</v>
      </c>
      <c r="B477" t="s">
        <v>218</v>
      </c>
      <c r="C477" t="s">
        <v>16</v>
      </c>
      <c r="D477" t="s">
        <v>18</v>
      </c>
      <c r="E477">
        <v>13.7</v>
      </c>
      <c r="F477">
        <v>14</v>
      </c>
      <c r="G477">
        <v>14.7</v>
      </c>
      <c r="H477">
        <v>14.2</v>
      </c>
      <c r="I477">
        <v>14</v>
      </c>
      <c r="J477">
        <v>14.2</v>
      </c>
      <c r="K477">
        <v>13.8</v>
      </c>
      <c r="L477">
        <v>14.1</v>
      </c>
      <c r="M477">
        <v>13.7</v>
      </c>
      <c r="N477">
        <v>13.8</v>
      </c>
      <c r="O477">
        <v>13.9</v>
      </c>
      <c r="P477">
        <v>14.2</v>
      </c>
      <c r="Q477">
        <v>13.7</v>
      </c>
      <c r="R477">
        <v>13.9</v>
      </c>
      <c r="S477">
        <f>Tableau1[[#This Row],[Final_time]]-SUM(Tableau1[[#This Row],[0_100m]:[1300_1400m]])</f>
        <v>13.360000000000014</v>
      </c>
      <c r="T477">
        <v>209.26</v>
      </c>
      <c r="U477">
        <f t="shared" si="14"/>
        <v>209.26</v>
      </c>
      <c r="V477">
        <f t="shared" si="15"/>
        <v>0</v>
      </c>
      <c r="W477" s="12"/>
      <c r="X477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7" t="s">
        <v>277</v>
      </c>
      <c r="Z477" s="2" t="s">
        <v>43</v>
      </c>
      <c r="AA477" s="2"/>
      <c r="AB477" s="2" t="s">
        <v>65</v>
      </c>
      <c r="AC477" s="2">
        <v>45092</v>
      </c>
      <c r="AD477" s="3">
        <v>2023</v>
      </c>
      <c r="AE477" s="3">
        <v>24</v>
      </c>
      <c r="AF477" s="5">
        <v>0.46</v>
      </c>
      <c r="AG477" s="3" t="s">
        <v>62</v>
      </c>
      <c r="AH477" t="s">
        <v>268</v>
      </c>
    </row>
    <row r="478" spans="1:34" hidden="1" x14ac:dyDescent="0.35">
      <c r="A478" t="str">
        <f>_xlfn.CONCAT(Tableau1[[#This Row],[Athletes]],"_",Tableau1[[#This Row],[Nationality]],"_",Tableau1[[#This Row],[Competition_year]])</f>
        <v>Oliver HOARE_AUS_2023</v>
      </c>
      <c r="B478" t="s">
        <v>249</v>
      </c>
      <c r="C478" t="s">
        <v>16</v>
      </c>
      <c r="D478" t="s">
        <v>21</v>
      </c>
      <c r="E478">
        <v>13.5</v>
      </c>
      <c r="F478">
        <v>13.9</v>
      </c>
      <c r="G478">
        <v>14.6</v>
      </c>
      <c r="H478">
        <v>14.2</v>
      </c>
      <c r="I478">
        <v>13.9</v>
      </c>
      <c r="J478">
        <v>14.2</v>
      </c>
      <c r="K478">
        <v>14.1</v>
      </c>
      <c r="L478">
        <v>14.2</v>
      </c>
      <c r="M478">
        <v>13.6</v>
      </c>
      <c r="N478">
        <v>13.9</v>
      </c>
      <c r="O478">
        <v>13.7</v>
      </c>
      <c r="P478">
        <v>13.9</v>
      </c>
      <c r="Q478">
        <v>13.7</v>
      </c>
      <c r="R478">
        <v>14</v>
      </c>
      <c r="S478">
        <f>Tableau1[[#This Row],[Final_time]]-SUM(Tableau1[[#This Row],[0_100m]:[1300_1400m]])</f>
        <v>14.010000000000019</v>
      </c>
      <c r="T478">
        <v>209.41</v>
      </c>
      <c r="U478">
        <f t="shared" si="14"/>
        <v>209.41</v>
      </c>
      <c r="V478">
        <f t="shared" si="15"/>
        <v>0</v>
      </c>
      <c r="W478" s="12"/>
      <c r="X478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8" t="s">
        <v>277</v>
      </c>
      <c r="Z478" s="2" t="s">
        <v>43</v>
      </c>
      <c r="AA478" s="2"/>
      <c r="AB478" s="2" t="s">
        <v>65</v>
      </c>
      <c r="AC478" s="2">
        <v>45092</v>
      </c>
      <c r="AD478" s="3">
        <v>2023</v>
      </c>
      <c r="AE478" s="3">
        <v>24</v>
      </c>
      <c r="AF478" s="5">
        <v>0.46</v>
      </c>
      <c r="AG478" s="3" t="s">
        <v>62</v>
      </c>
      <c r="AH478" t="s">
        <v>268</v>
      </c>
    </row>
    <row r="479" spans="1:34" hidden="1" x14ac:dyDescent="0.35">
      <c r="A479" t="str">
        <f>_xlfn.CONCAT(Tableau1[[#This Row],[Athletes]],"_",Tableau1[[#This Row],[Nationality]],"_",Tableau1[[#This Row],[Competition_year]])</f>
        <v>Narve Gilje NORDÅS_NOR_2023</v>
      </c>
      <c r="B479" t="s">
        <v>217</v>
      </c>
      <c r="C479" t="s">
        <v>16</v>
      </c>
      <c r="D479" t="s">
        <v>30</v>
      </c>
      <c r="E479">
        <v>14.2</v>
      </c>
      <c r="F479">
        <v>14.2</v>
      </c>
      <c r="G479">
        <v>14.7</v>
      </c>
      <c r="H479">
        <v>14.6</v>
      </c>
      <c r="I479">
        <v>13.6</v>
      </c>
      <c r="J479">
        <v>14.4</v>
      </c>
      <c r="K479">
        <v>14</v>
      </c>
      <c r="L479">
        <v>14</v>
      </c>
      <c r="M479">
        <v>13.8</v>
      </c>
      <c r="N479">
        <v>14</v>
      </c>
      <c r="O479">
        <v>13.7</v>
      </c>
      <c r="P479">
        <v>13.7</v>
      </c>
      <c r="Q479">
        <v>13.3</v>
      </c>
      <c r="R479">
        <v>13.6</v>
      </c>
      <c r="S479">
        <f>Tableau1[[#This Row],[Final_time]]-SUM(Tableau1[[#This Row],[0_100m]:[1300_1400m]])</f>
        <v>13.670000000000016</v>
      </c>
      <c r="T479">
        <v>209.47</v>
      </c>
      <c r="U479">
        <f t="shared" si="14"/>
        <v>209.47</v>
      </c>
      <c r="V479">
        <f t="shared" si="15"/>
        <v>0</v>
      </c>
      <c r="W479" s="12"/>
      <c r="X479" t="str">
        <f>_xlfn.CONCAT(Tableau1[[#This Row],[Competition]],"_",Tableau1[[#This Row],[Championship_step]],"_",Tableau1[[#This Row],[Competition_date]],"_",Tableau1[[#This Row],[Gender]])</f>
        <v>Diamond League Oslo 2023__45092_Male</v>
      </c>
      <c r="Y479" t="s">
        <v>277</v>
      </c>
      <c r="Z479" s="2" t="s">
        <v>43</v>
      </c>
      <c r="AA479" s="2"/>
      <c r="AB479" s="2" t="s">
        <v>65</v>
      </c>
      <c r="AC479" s="2">
        <v>45092</v>
      </c>
      <c r="AD479" s="3">
        <v>2023</v>
      </c>
      <c r="AE479" s="3">
        <v>24</v>
      </c>
      <c r="AF479" s="5">
        <v>0.46</v>
      </c>
      <c r="AG479" s="3" t="s">
        <v>62</v>
      </c>
      <c r="AH479" t="s">
        <v>268</v>
      </c>
    </row>
    <row r="480" spans="1:34" hidden="1" x14ac:dyDescent="0.35">
      <c r="A480" t="str">
        <f>_xlfn.CONCAT(Tableau1[[#This Row],[Athletes]],"_",Tableau1[[#This Row],[Nationality]],"_",Tableau1[[#This Row],[Competition_year]])</f>
        <v>Josh KERR_GBR_2023</v>
      </c>
      <c r="B480" t="s">
        <v>189</v>
      </c>
      <c r="C480" t="s">
        <v>16</v>
      </c>
      <c r="D480" t="s">
        <v>20</v>
      </c>
      <c r="E480">
        <v>13.65</v>
      </c>
      <c r="F480">
        <v>14.05</v>
      </c>
      <c r="G480">
        <v>14.5</v>
      </c>
      <c r="H480">
        <v>14.2</v>
      </c>
      <c r="I480">
        <v>13.9</v>
      </c>
      <c r="J480">
        <v>14.2</v>
      </c>
      <c r="K480">
        <v>14.1</v>
      </c>
      <c r="L480">
        <v>14.3</v>
      </c>
      <c r="M480">
        <v>13.5</v>
      </c>
      <c r="N480">
        <v>13.9</v>
      </c>
      <c r="O480">
        <v>13.7</v>
      </c>
      <c r="P480">
        <v>14</v>
      </c>
      <c r="Q480">
        <v>13.9</v>
      </c>
      <c r="R480">
        <v>14.1</v>
      </c>
      <c r="S480">
        <f>Tableau1[[#This Row],[Final_time]]-SUM(Tableau1[[#This Row],[0_100m]:[1300_1400m]])</f>
        <v>14.069999999999993</v>
      </c>
      <c r="T480">
        <v>210.07</v>
      </c>
      <c r="U480">
        <f t="shared" si="14"/>
        <v>210.07</v>
      </c>
      <c r="V480">
        <f t="shared" si="15"/>
        <v>0</v>
      </c>
      <c r="W480" s="12"/>
      <c r="X480" t="str">
        <f>_xlfn.CONCAT(Tableau1[[#This Row],[Competition]],"_",Tableau1[[#This Row],[Championship_step]],"_",Tableau1[[#This Row],[Competition_date]],"_",Tableau1[[#This Row],[Gender]])</f>
        <v>Diamond League Oslo 2023__45092_Male</v>
      </c>
      <c r="Y480" t="s">
        <v>277</v>
      </c>
      <c r="Z480" s="2" t="s">
        <v>43</v>
      </c>
      <c r="AA480" s="2"/>
      <c r="AB480" s="2" t="s">
        <v>65</v>
      </c>
      <c r="AC480" s="2">
        <v>45092</v>
      </c>
      <c r="AD480" s="3">
        <v>2023</v>
      </c>
      <c r="AE480" s="3">
        <v>24</v>
      </c>
      <c r="AF480" s="5">
        <v>0.46</v>
      </c>
      <c r="AG480" s="3" t="s">
        <v>62</v>
      </c>
      <c r="AH480" t="s">
        <v>268</v>
      </c>
    </row>
    <row r="481" spans="1:34" hidden="1" x14ac:dyDescent="0.35">
      <c r="A481" t="str">
        <f>_xlfn.CONCAT(Tableau1[[#This Row],[Athletes]],"_",Tableau1[[#This Row],[Nationality]],"_",Tableau1[[#This Row],[Competition_year]])</f>
        <v>Neil GOURLEY_GBR_2023</v>
      </c>
      <c r="B481" t="s">
        <v>202</v>
      </c>
      <c r="C481" t="s">
        <v>16</v>
      </c>
      <c r="D481" t="s">
        <v>20</v>
      </c>
      <c r="E481">
        <v>13.7</v>
      </c>
      <c r="F481">
        <v>14.3</v>
      </c>
      <c r="G481">
        <v>14.7</v>
      </c>
      <c r="H481">
        <v>14.3</v>
      </c>
      <c r="I481">
        <v>13.9</v>
      </c>
      <c r="J481">
        <v>14.2</v>
      </c>
      <c r="K481">
        <v>14</v>
      </c>
      <c r="L481">
        <v>14</v>
      </c>
      <c r="M481">
        <v>13.6</v>
      </c>
      <c r="N481">
        <v>14</v>
      </c>
      <c r="O481">
        <v>13.8</v>
      </c>
      <c r="P481">
        <v>14.1</v>
      </c>
      <c r="Q481">
        <v>13.9</v>
      </c>
      <c r="R481">
        <v>13.9</v>
      </c>
      <c r="S481">
        <f>Tableau1[[#This Row],[Final_time]]-SUM(Tableau1[[#This Row],[0_100m]:[1300_1400m]])</f>
        <v>14.47999999999999</v>
      </c>
      <c r="T481">
        <v>210.88</v>
      </c>
      <c r="U481">
        <f t="shared" si="14"/>
        <v>210.88</v>
      </c>
      <c r="V481">
        <f t="shared" si="15"/>
        <v>0</v>
      </c>
      <c r="W481" s="12"/>
      <c r="X481" t="str">
        <f>_xlfn.CONCAT(Tableau1[[#This Row],[Competition]],"_",Tableau1[[#This Row],[Championship_step]],"_",Tableau1[[#This Row],[Competition_date]],"_",Tableau1[[#This Row],[Gender]])</f>
        <v>Diamond League Oslo 2023__45092_Male</v>
      </c>
      <c r="Y481" t="s">
        <v>277</v>
      </c>
      <c r="Z481" s="2" t="s">
        <v>43</v>
      </c>
      <c r="AA481" s="2"/>
      <c r="AB481" s="2" t="s">
        <v>65</v>
      </c>
      <c r="AC481" s="2">
        <v>45092</v>
      </c>
      <c r="AD481" s="3">
        <v>2023</v>
      </c>
      <c r="AE481" s="3">
        <v>24</v>
      </c>
      <c r="AF481" s="5">
        <v>0.46</v>
      </c>
      <c r="AG481" s="3" t="s">
        <v>62</v>
      </c>
      <c r="AH481" t="s">
        <v>268</v>
      </c>
    </row>
    <row r="482" spans="1:34" hidden="1" x14ac:dyDescent="0.35">
      <c r="A482" t="str">
        <f>_xlfn.CONCAT(Tableau1[[#This Row],[Athletes]],"_",Tableau1[[#This Row],[Nationality]],"_",Tableau1[[#This Row],[Competition_year]])</f>
        <v>Abel KIPSANG_KEN_2023</v>
      </c>
      <c r="B482" t="s">
        <v>227</v>
      </c>
      <c r="C482" t="s">
        <v>16</v>
      </c>
      <c r="D482" t="s">
        <v>17</v>
      </c>
      <c r="E482">
        <v>13.5</v>
      </c>
      <c r="F482">
        <v>14</v>
      </c>
      <c r="G482">
        <v>14.4</v>
      </c>
      <c r="H482">
        <v>14.3</v>
      </c>
      <c r="I482">
        <v>14</v>
      </c>
      <c r="J482">
        <v>14.1</v>
      </c>
      <c r="K482">
        <v>13.9</v>
      </c>
      <c r="L482">
        <v>14.5</v>
      </c>
      <c r="M482">
        <v>13.8</v>
      </c>
      <c r="N482">
        <v>14.2</v>
      </c>
      <c r="O482">
        <v>14.1</v>
      </c>
      <c r="P482">
        <v>14.3</v>
      </c>
      <c r="Q482">
        <v>13.9</v>
      </c>
      <c r="R482">
        <v>14.4</v>
      </c>
      <c r="S482">
        <f>Tableau1[[#This Row],[Final_time]]-SUM(Tableau1[[#This Row],[0_100m]:[1300_1400m]])</f>
        <v>14.359999999999985</v>
      </c>
      <c r="T482">
        <v>211.76</v>
      </c>
      <c r="U482">
        <f t="shared" si="14"/>
        <v>211.76</v>
      </c>
      <c r="V482">
        <f t="shared" si="15"/>
        <v>0</v>
      </c>
      <c r="W482" s="12"/>
      <c r="X482" t="str">
        <f>_xlfn.CONCAT(Tableau1[[#This Row],[Competition]],"_",Tableau1[[#This Row],[Championship_step]],"_",Tableau1[[#This Row],[Competition_date]],"_",Tableau1[[#This Row],[Gender]])</f>
        <v>Diamond League Oslo 2023__45092_Male</v>
      </c>
      <c r="Y482" t="s">
        <v>277</v>
      </c>
      <c r="Z482" s="2" t="s">
        <v>43</v>
      </c>
      <c r="AA482" s="2"/>
      <c r="AB482" s="2" t="s">
        <v>65</v>
      </c>
      <c r="AC482" s="2">
        <v>45092</v>
      </c>
      <c r="AD482" s="3">
        <v>2023</v>
      </c>
      <c r="AE482" s="3">
        <v>24</v>
      </c>
      <c r="AF482" s="5">
        <v>0.46</v>
      </c>
      <c r="AG482" s="3" t="s">
        <v>62</v>
      </c>
      <c r="AH482" t="s">
        <v>268</v>
      </c>
    </row>
    <row r="483" spans="1:34" hidden="1" x14ac:dyDescent="0.35">
      <c r="A483" t="str">
        <f>_xlfn.CONCAT(Tableau1[[#This Row],[Athletes]],"_",Tableau1[[#This Row],[Nationality]],"_",Tableau1[[#This Row],[Competition_year]])</f>
        <v>Andreas ALMGREN_SWE_2023</v>
      </c>
      <c r="B483" t="s">
        <v>276</v>
      </c>
      <c r="C483" t="s">
        <v>16</v>
      </c>
      <c r="D483" t="s">
        <v>56</v>
      </c>
      <c r="E483">
        <v>14.3</v>
      </c>
      <c r="F483">
        <v>14.3</v>
      </c>
      <c r="G483">
        <v>14.6</v>
      </c>
      <c r="H483">
        <v>14.7</v>
      </c>
      <c r="I483">
        <v>13.8</v>
      </c>
      <c r="J483">
        <v>14.3</v>
      </c>
      <c r="K483">
        <v>13.9</v>
      </c>
      <c r="L483">
        <v>14.1</v>
      </c>
      <c r="M483">
        <v>13.8</v>
      </c>
      <c r="N483">
        <v>14</v>
      </c>
      <c r="O483">
        <v>14</v>
      </c>
      <c r="P483">
        <v>13.8</v>
      </c>
      <c r="Q483">
        <v>13.9</v>
      </c>
      <c r="R483">
        <v>14.1</v>
      </c>
      <c r="S483">
        <f>Tableau1[[#This Row],[Final_time]]-SUM(Tableau1[[#This Row],[0_100m]:[1300_1400m]])</f>
        <v>14.399999999999977</v>
      </c>
      <c r="T483">
        <v>212</v>
      </c>
      <c r="U483">
        <f t="shared" si="14"/>
        <v>212</v>
      </c>
      <c r="V483">
        <f t="shared" si="15"/>
        <v>0</v>
      </c>
      <c r="W483" s="12"/>
      <c r="X483" t="str">
        <f>_xlfn.CONCAT(Tableau1[[#This Row],[Competition]],"_",Tableau1[[#This Row],[Championship_step]],"_",Tableau1[[#This Row],[Competition_date]],"_",Tableau1[[#This Row],[Gender]])</f>
        <v>Diamond League Oslo 2023__45092_Male</v>
      </c>
      <c r="Y483" t="s">
        <v>277</v>
      </c>
      <c r="Z483" s="2" t="s">
        <v>43</v>
      </c>
      <c r="AA483" s="2"/>
      <c r="AB483" s="2" t="s">
        <v>65</v>
      </c>
      <c r="AC483" s="2">
        <v>45092</v>
      </c>
      <c r="AD483" s="3">
        <v>2023</v>
      </c>
      <c r="AE483" s="3">
        <v>24</v>
      </c>
      <c r="AF483" s="5">
        <v>0.46</v>
      </c>
      <c r="AG483" s="3" t="s">
        <v>62</v>
      </c>
      <c r="AH483" t="s">
        <v>268</v>
      </c>
    </row>
    <row r="484" spans="1:34" hidden="1" x14ac:dyDescent="0.35">
      <c r="A484" t="str">
        <f>_xlfn.CONCAT(Tableau1[[#This Row],[Athletes]],"_",Tableau1[[#This Row],[Nationality]],"_",Tableau1[[#This Row],[Competition_year]])</f>
        <v>Teddese LEMI_ETH_2023</v>
      </c>
      <c r="B484" t="s">
        <v>210</v>
      </c>
      <c r="C484" t="s">
        <v>16</v>
      </c>
      <c r="D484" t="s">
        <v>48</v>
      </c>
      <c r="E484">
        <v>14.65</v>
      </c>
      <c r="F484">
        <v>14.25</v>
      </c>
      <c r="G484">
        <v>14.4</v>
      </c>
      <c r="H484">
        <v>14.3</v>
      </c>
      <c r="I484">
        <v>14.3</v>
      </c>
      <c r="J484">
        <v>14.4</v>
      </c>
      <c r="K484">
        <v>14</v>
      </c>
      <c r="L484">
        <v>14.1</v>
      </c>
      <c r="M484">
        <v>13.8</v>
      </c>
      <c r="N484">
        <v>13.9</v>
      </c>
      <c r="O484">
        <v>14</v>
      </c>
      <c r="P484">
        <v>13.9</v>
      </c>
      <c r="Q484">
        <v>13.9</v>
      </c>
      <c r="R484">
        <v>14.1</v>
      </c>
      <c r="S484">
        <f>Tableau1[[#This Row],[Final_time]]-SUM(Tableau1[[#This Row],[0_100m]:[1300_1400m]])</f>
        <v>14.240000000000009</v>
      </c>
      <c r="T484">
        <v>212.24</v>
      </c>
      <c r="U484">
        <f t="shared" si="14"/>
        <v>212.24</v>
      </c>
      <c r="V484">
        <f t="shared" si="15"/>
        <v>0</v>
      </c>
      <c r="W484" s="12"/>
      <c r="X484" t="str">
        <f>_xlfn.CONCAT(Tableau1[[#This Row],[Competition]],"_",Tableau1[[#This Row],[Championship_step]],"_",Tableau1[[#This Row],[Competition_date]],"_",Tableau1[[#This Row],[Gender]])</f>
        <v>Diamond League Oslo 2023__45092_Male</v>
      </c>
      <c r="Y484" t="s">
        <v>277</v>
      </c>
      <c r="Z484" s="2" t="s">
        <v>43</v>
      </c>
      <c r="AA484" s="2"/>
      <c r="AB484" s="2" t="s">
        <v>65</v>
      </c>
      <c r="AC484" s="2">
        <v>45092</v>
      </c>
      <c r="AD484" s="3">
        <v>2023</v>
      </c>
      <c r="AE484" s="3">
        <v>24</v>
      </c>
      <c r="AF484" s="5">
        <v>0.46</v>
      </c>
      <c r="AG484" s="3" t="s">
        <v>62</v>
      </c>
      <c r="AH484" t="s">
        <v>268</v>
      </c>
    </row>
    <row r="485" spans="1:34" hidden="1" x14ac:dyDescent="0.35">
      <c r="A485" t="str">
        <f>_xlfn.CONCAT(Tableau1[[#This Row],[Athletes]],"_",Tableau1[[#This Row],[Nationality]],"_",Tableau1[[#This Row],[Competition_year]])</f>
        <v>Charles GRETHEN_LUX_2023</v>
      </c>
      <c r="B485" t="s">
        <v>230</v>
      </c>
      <c r="C485" t="s">
        <v>16</v>
      </c>
      <c r="D485" t="s">
        <v>76</v>
      </c>
      <c r="E485">
        <v>14</v>
      </c>
      <c r="F485">
        <v>14.2</v>
      </c>
      <c r="G485">
        <v>14.7</v>
      </c>
      <c r="H485">
        <v>14.5</v>
      </c>
      <c r="I485">
        <v>13.8</v>
      </c>
      <c r="J485">
        <v>14.3</v>
      </c>
      <c r="K485">
        <v>14.4</v>
      </c>
      <c r="L485">
        <v>14.3</v>
      </c>
      <c r="M485">
        <v>14.2</v>
      </c>
      <c r="N485">
        <v>14.5</v>
      </c>
      <c r="O485">
        <v>14.3</v>
      </c>
      <c r="P485">
        <v>14.5</v>
      </c>
      <c r="Q485">
        <v>14.3</v>
      </c>
      <c r="R485">
        <v>14.8</v>
      </c>
      <c r="S485">
        <f>Tableau1[[#This Row],[Final_time]]-SUM(Tableau1[[#This Row],[0_100m]:[1300_1400m]])</f>
        <v>15.46999999999997</v>
      </c>
      <c r="T485">
        <v>216.27</v>
      </c>
      <c r="U485">
        <f t="shared" si="14"/>
        <v>216.27</v>
      </c>
      <c r="V485">
        <f t="shared" si="15"/>
        <v>0</v>
      </c>
      <c r="W485" s="12"/>
      <c r="X485" t="str">
        <f>_xlfn.CONCAT(Tableau1[[#This Row],[Competition]],"_",Tableau1[[#This Row],[Championship_step]],"_",Tableau1[[#This Row],[Competition_date]],"_",Tableau1[[#This Row],[Gender]])</f>
        <v>Diamond League Oslo 2023__45092_Male</v>
      </c>
      <c r="Y485" t="s">
        <v>277</v>
      </c>
      <c r="Z485" s="2" t="s">
        <v>43</v>
      </c>
      <c r="AA485" s="2"/>
      <c r="AB485" s="2" t="s">
        <v>65</v>
      </c>
      <c r="AC485" s="2">
        <v>45092</v>
      </c>
      <c r="AD485" s="3">
        <v>2023</v>
      </c>
      <c r="AE485" s="3">
        <v>24</v>
      </c>
      <c r="AF485" s="5">
        <v>0.46</v>
      </c>
      <c r="AG485" s="3" t="s">
        <v>62</v>
      </c>
      <c r="AH485" t="s">
        <v>268</v>
      </c>
    </row>
    <row r="486" spans="1:34" hidden="1" x14ac:dyDescent="0.35">
      <c r="A486" t="str">
        <f>_xlfn.CONCAT(Tableau1[[#This Row],[Athletes]],"_",Tableau1[[#This Row],[Nationality]],"_",Tableau1[[#This Row],[Competition_year]])</f>
        <v>Stefan NILLESSEN_NED_2024</v>
      </c>
      <c r="B486" t="s">
        <v>1262</v>
      </c>
      <c r="C486" t="s">
        <v>16</v>
      </c>
      <c r="D486" t="s">
        <v>39</v>
      </c>
      <c r="E486">
        <v>14.3</v>
      </c>
      <c r="F486">
        <v>14.1</v>
      </c>
      <c r="G486">
        <v>14.4</v>
      </c>
      <c r="H486">
        <v>14.4</v>
      </c>
      <c r="I486">
        <v>14.9</v>
      </c>
      <c r="J486">
        <v>14.5</v>
      </c>
      <c r="K486">
        <v>14.8</v>
      </c>
      <c r="L486">
        <v>14.8</v>
      </c>
      <c r="M486">
        <v>14.9</v>
      </c>
      <c r="N486">
        <v>14.6</v>
      </c>
      <c r="O486">
        <v>14.4</v>
      </c>
      <c r="P486">
        <v>14.3</v>
      </c>
      <c r="Q486">
        <v>14.5</v>
      </c>
      <c r="R486">
        <v>14.1</v>
      </c>
      <c r="S486">
        <f>Tableau1[[#This Row],[Final_time]]-SUM(Tableau1[[#This Row],[0_100m]:[1300_1400m]])</f>
        <v>13.930000000000007</v>
      </c>
      <c r="T486">
        <v>216.93</v>
      </c>
      <c r="U486">
        <f t="shared" si="14"/>
        <v>216.93</v>
      </c>
      <c r="V486">
        <f t="shared" si="15"/>
        <v>0</v>
      </c>
      <c r="W486" s="12"/>
      <c r="X486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86" t="s">
        <v>37</v>
      </c>
      <c r="Z486" s="2" t="s">
        <v>43</v>
      </c>
      <c r="AA486" s="2"/>
      <c r="AB486" s="2" t="s">
        <v>44</v>
      </c>
      <c r="AC486" s="2">
        <v>45442</v>
      </c>
      <c r="AD486" s="3">
        <v>2024</v>
      </c>
      <c r="AE486">
        <v>17</v>
      </c>
      <c r="AF486" s="5">
        <v>0.74</v>
      </c>
      <c r="AG486" t="s">
        <v>62</v>
      </c>
      <c r="AH486" s="4" t="s">
        <v>38</v>
      </c>
    </row>
    <row r="487" spans="1:34" hidden="1" x14ac:dyDescent="0.35">
      <c r="A487" t="str">
        <f>_xlfn.CONCAT(Tableau1[[#This Row],[Athletes]],"_",Tableau1[[#This Row],[Nationality]],"_",Tableau1[[#This Row],[Competition_year]])</f>
        <v>Abdullahi Dahir RABI_NOR_2024</v>
      </c>
      <c r="B487" t="s">
        <v>707</v>
      </c>
      <c r="C487" t="s">
        <v>16</v>
      </c>
      <c r="D487" t="s">
        <v>30</v>
      </c>
      <c r="E487">
        <v>15.6</v>
      </c>
      <c r="F487">
        <v>15.3</v>
      </c>
      <c r="G487">
        <v>14.3</v>
      </c>
      <c r="H487">
        <v>14.7</v>
      </c>
      <c r="I487">
        <v>14.8</v>
      </c>
      <c r="J487">
        <v>15</v>
      </c>
      <c r="K487">
        <v>15</v>
      </c>
      <c r="L487">
        <v>15.5</v>
      </c>
      <c r="M487">
        <v>15.6</v>
      </c>
      <c r="N487">
        <v>15.5</v>
      </c>
      <c r="O487">
        <v>15.6</v>
      </c>
      <c r="P487">
        <v>15.8</v>
      </c>
      <c r="Q487">
        <v>16</v>
      </c>
      <c r="R487">
        <v>16.399999999999999</v>
      </c>
      <c r="S487">
        <f>Tableau1[[#This Row],[Final_time]]-SUM(Tableau1[[#This Row],[0_100m]:[1300_1400m]])</f>
        <v>14.149999999999977</v>
      </c>
      <c r="T487">
        <v>229.25</v>
      </c>
      <c r="U487">
        <f t="shared" si="14"/>
        <v>229.25</v>
      </c>
      <c r="V487">
        <f t="shared" si="15"/>
        <v>0</v>
      </c>
      <c r="W487" s="12"/>
      <c r="X487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87" t="s">
        <v>37</v>
      </c>
      <c r="Z487" s="2" t="s">
        <v>43</v>
      </c>
      <c r="AA487" s="2"/>
      <c r="AB487" s="2" t="s">
        <v>44</v>
      </c>
      <c r="AC487" s="2">
        <v>45442</v>
      </c>
      <c r="AD487" s="3">
        <v>2024</v>
      </c>
      <c r="AE487">
        <v>17</v>
      </c>
      <c r="AF487" s="5">
        <v>0.74</v>
      </c>
      <c r="AG487" t="s">
        <v>62</v>
      </c>
      <c r="AH487" t="s">
        <v>38</v>
      </c>
    </row>
    <row r="488" spans="1:34" hidden="1" x14ac:dyDescent="0.35">
      <c r="A488" t="str">
        <f>_xlfn.CONCAT(Tableau1[[#This Row],[Athletes]],"_",Tableau1[[#This Row],[Nationality]],"_",Tableau1[[#This Row],[Competition_year]])</f>
        <v>Kristoffer SAGLI_NOR_2024</v>
      </c>
      <c r="B488" t="s">
        <v>1047</v>
      </c>
      <c r="C488" t="s">
        <v>16</v>
      </c>
      <c r="D488" t="s">
        <v>30</v>
      </c>
      <c r="E488">
        <v>15.1</v>
      </c>
      <c r="F488">
        <v>14.8</v>
      </c>
      <c r="G488">
        <v>14.5</v>
      </c>
      <c r="H488">
        <v>14.6</v>
      </c>
      <c r="I488">
        <v>14.9</v>
      </c>
      <c r="J488">
        <v>14.8</v>
      </c>
      <c r="K488">
        <v>14.6</v>
      </c>
      <c r="L488">
        <v>15</v>
      </c>
      <c r="M488">
        <v>14.8</v>
      </c>
      <c r="N488">
        <v>15.5</v>
      </c>
      <c r="O488">
        <v>15.1</v>
      </c>
      <c r="P488">
        <v>15.1</v>
      </c>
      <c r="Q488">
        <v>14.9</v>
      </c>
      <c r="R488">
        <v>15.2</v>
      </c>
      <c r="S488">
        <f>Tableau1[[#This Row],[Final_time]]-SUM(Tableau1[[#This Row],[0_100m]:[1300_1400m]])</f>
        <v>14.250000000000028</v>
      </c>
      <c r="T488">
        <v>223.15</v>
      </c>
      <c r="U488">
        <f t="shared" si="14"/>
        <v>223.15</v>
      </c>
      <c r="V488">
        <f t="shared" si="15"/>
        <v>0</v>
      </c>
      <c r="W488" s="12"/>
      <c r="X488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88" t="s">
        <v>37</v>
      </c>
      <c r="Z488" s="2" t="s">
        <v>43</v>
      </c>
      <c r="AA488" s="2"/>
      <c r="AB488" s="2" t="s">
        <v>44</v>
      </c>
      <c r="AC488" s="2">
        <v>45442</v>
      </c>
      <c r="AD488" s="3">
        <v>2024</v>
      </c>
      <c r="AE488">
        <v>17</v>
      </c>
      <c r="AF488" s="5">
        <v>0.74</v>
      </c>
      <c r="AG488" t="s">
        <v>62</v>
      </c>
      <c r="AH488" t="s">
        <v>38</v>
      </c>
    </row>
    <row r="489" spans="1:34" hidden="1" x14ac:dyDescent="0.35">
      <c r="A489" t="str">
        <f>_xlfn.CONCAT(Tableau1[[#This Row],[Athletes]],"_",Tableau1[[#This Row],[Nationality]],"_",Tableau1[[#This Row],[Competition_year]])</f>
        <v>Kane ELLIOTT_GBR_2024</v>
      </c>
      <c r="B489" t="s">
        <v>1025</v>
      </c>
      <c r="C489" t="s">
        <v>16</v>
      </c>
      <c r="D489" t="s">
        <v>20</v>
      </c>
      <c r="E489">
        <v>14.6</v>
      </c>
      <c r="F489">
        <v>13.6</v>
      </c>
      <c r="G489">
        <v>14.9</v>
      </c>
      <c r="H489">
        <v>14.6</v>
      </c>
      <c r="I489">
        <v>14.9</v>
      </c>
      <c r="J489">
        <v>14.5</v>
      </c>
      <c r="K489">
        <v>14.7</v>
      </c>
      <c r="L489">
        <v>14.8</v>
      </c>
      <c r="M489">
        <v>14.6</v>
      </c>
      <c r="N489">
        <v>14.9</v>
      </c>
      <c r="O489">
        <v>14.5</v>
      </c>
      <c r="P489">
        <v>14.3</v>
      </c>
      <c r="Q489">
        <v>14.6</v>
      </c>
      <c r="R489">
        <v>14</v>
      </c>
      <c r="S489">
        <f>Tableau1[[#This Row],[Final_time]]-SUM(Tableau1[[#This Row],[0_100m]:[1300_1400m]])</f>
        <v>14.279999999999973</v>
      </c>
      <c r="T489">
        <v>217.78</v>
      </c>
      <c r="U489">
        <f t="shared" si="14"/>
        <v>217.78</v>
      </c>
      <c r="V489">
        <f t="shared" si="15"/>
        <v>0</v>
      </c>
      <c r="W489" s="12"/>
      <c r="X489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89" t="s">
        <v>37</v>
      </c>
      <c r="Z489" s="2" t="s">
        <v>43</v>
      </c>
      <c r="AA489" s="2"/>
      <c r="AB489" s="2" t="s">
        <v>44</v>
      </c>
      <c r="AC489" s="2">
        <v>45442</v>
      </c>
      <c r="AD489" s="3">
        <v>2024</v>
      </c>
      <c r="AE489">
        <v>17</v>
      </c>
      <c r="AF489" s="5">
        <v>0.74</v>
      </c>
      <c r="AG489" t="s">
        <v>62</v>
      </c>
      <c r="AH489" t="s">
        <v>38</v>
      </c>
    </row>
    <row r="490" spans="1:34" hidden="1" x14ac:dyDescent="0.35">
      <c r="A490" t="str">
        <f>_xlfn.CONCAT(Tableau1[[#This Row],[Athletes]],"_",Tableau1[[#This Row],[Nationality]],"_",Tableau1[[#This Row],[Competition_year]])</f>
        <v>Joel Ibler LILLESØ_DEN_2024</v>
      </c>
      <c r="B490" t="s">
        <v>996</v>
      </c>
      <c r="C490" t="s">
        <v>16</v>
      </c>
      <c r="D490" t="s">
        <v>40</v>
      </c>
      <c r="E490">
        <v>15.5</v>
      </c>
      <c r="F490">
        <v>15.1</v>
      </c>
      <c r="G490">
        <v>14.4</v>
      </c>
      <c r="H490">
        <v>14.6</v>
      </c>
      <c r="I490">
        <v>14.9</v>
      </c>
      <c r="J490">
        <v>14.9</v>
      </c>
      <c r="K490">
        <v>14.4</v>
      </c>
      <c r="L490">
        <v>14.7</v>
      </c>
      <c r="M490">
        <v>14.8</v>
      </c>
      <c r="N490">
        <v>15.1</v>
      </c>
      <c r="O490">
        <v>14.8</v>
      </c>
      <c r="P490">
        <v>14.6</v>
      </c>
      <c r="Q490">
        <v>14.7</v>
      </c>
      <c r="R490">
        <v>14.8</v>
      </c>
      <c r="S490">
        <f>Tableau1[[#This Row],[Final_time]]-SUM(Tableau1[[#This Row],[0_100m]:[1300_1400m]])</f>
        <v>14.319999999999993</v>
      </c>
      <c r="T490">
        <v>221.62</v>
      </c>
      <c r="U490">
        <f t="shared" si="14"/>
        <v>221.62</v>
      </c>
      <c r="V490">
        <f t="shared" si="15"/>
        <v>0</v>
      </c>
      <c r="W490" s="12"/>
      <c r="X490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0" t="s">
        <v>37</v>
      </c>
      <c r="Z490" s="2" t="s">
        <v>43</v>
      </c>
      <c r="AA490" s="2"/>
      <c r="AB490" s="2" t="s">
        <v>44</v>
      </c>
      <c r="AC490" s="2">
        <v>45442</v>
      </c>
      <c r="AD490" s="3">
        <v>2024</v>
      </c>
      <c r="AE490">
        <v>17</v>
      </c>
      <c r="AF490" s="5">
        <v>0.74</v>
      </c>
      <c r="AG490" t="s">
        <v>62</v>
      </c>
      <c r="AH490" t="s">
        <v>38</v>
      </c>
    </row>
    <row r="491" spans="1:34" hidden="1" x14ac:dyDescent="0.35">
      <c r="A491" t="str">
        <f>_xlfn.CONCAT(Tableau1[[#This Row],[Athletes]],"_",Tableau1[[#This Row],[Nationality]],"_",Tableau1[[#This Row],[Competition_year]])</f>
        <v>Juan ZIJDERLAAN_NED_2024</v>
      </c>
      <c r="B491" t="s">
        <v>1013</v>
      </c>
      <c r="C491" t="s">
        <v>16</v>
      </c>
      <c r="D491" t="s">
        <v>39</v>
      </c>
      <c r="E491">
        <v>14.8</v>
      </c>
      <c r="F491">
        <v>14.8</v>
      </c>
      <c r="G491">
        <v>14.3</v>
      </c>
      <c r="H491">
        <v>14.6</v>
      </c>
      <c r="I491">
        <v>15</v>
      </c>
      <c r="J491">
        <v>14.8</v>
      </c>
      <c r="K491">
        <v>14.8</v>
      </c>
      <c r="L491">
        <v>15</v>
      </c>
      <c r="M491">
        <v>15.1</v>
      </c>
      <c r="N491">
        <v>15.6</v>
      </c>
      <c r="O491">
        <v>15.2</v>
      </c>
      <c r="P491">
        <v>14.4</v>
      </c>
      <c r="Q491">
        <v>14.4</v>
      </c>
      <c r="R491">
        <v>14.7</v>
      </c>
      <c r="S491">
        <f>Tableau1[[#This Row],[Final_time]]-SUM(Tableau1[[#This Row],[0_100m]:[1300_1400m]])</f>
        <v>14.380000000000024</v>
      </c>
      <c r="T491">
        <v>221.88</v>
      </c>
      <c r="U491">
        <f t="shared" si="14"/>
        <v>221.88</v>
      </c>
      <c r="V491">
        <f t="shared" si="15"/>
        <v>0</v>
      </c>
      <c r="W491" s="12"/>
      <c r="X491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1" t="s">
        <v>37</v>
      </c>
      <c r="Z491" s="2" t="s">
        <v>43</v>
      </c>
      <c r="AA491" s="2"/>
      <c r="AB491" s="2" t="s">
        <v>44</v>
      </c>
      <c r="AC491" s="2">
        <v>45442</v>
      </c>
      <c r="AD491" s="3">
        <v>2024</v>
      </c>
      <c r="AE491">
        <v>17</v>
      </c>
      <c r="AF491" s="5">
        <v>0.74</v>
      </c>
      <c r="AG491" t="s">
        <v>62</v>
      </c>
      <c r="AH491" t="s">
        <v>38</v>
      </c>
    </row>
    <row r="492" spans="1:34" hidden="1" x14ac:dyDescent="0.35">
      <c r="A492" t="str">
        <f>_xlfn.CONCAT(Tableau1[[#This Row],[Athletes]],"_",Tableau1[[#This Row],[Nationality]],"_",Tableau1[[#This Row],[Competition_year]])</f>
        <v>Moa Abounnachat BOLLERØD_NOR_2024</v>
      </c>
      <c r="B492" t="s">
        <v>386</v>
      </c>
      <c r="C492" t="s">
        <v>16</v>
      </c>
      <c r="D492" t="s">
        <v>30</v>
      </c>
      <c r="E492">
        <v>15.3</v>
      </c>
      <c r="F492">
        <v>14.9</v>
      </c>
      <c r="G492">
        <v>14.4</v>
      </c>
      <c r="H492">
        <v>14.6</v>
      </c>
      <c r="I492">
        <v>14.9</v>
      </c>
      <c r="J492">
        <v>15</v>
      </c>
      <c r="K492">
        <v>15.3</v>
      </c>
      <c r="L492">
        <v>15.6</v>
      </c>
      <c r="M492">
        <v>16</v>
      </c>
      <c r="N492">
        <v>15.8</v>
      </c>
      <c r="O492">
        <v>16.2</v>
      </c>
      <c r="P492">
        <v>15.9</v>
      </c>
      <c r="Q492">
        <v>16</v>
      </c>
      <c r="R492">
        <v>15.6</v>
      </c>
      <c r="S492">
        <f>Tableau1[[#This Row],[Final_time]]-SUM(Tableau1[[#This Row],[0_100m]:[1300_1400m]])</f>
        <v>14.409999999999997</v>
      </c>
      <c r="T492">
        <v>229.91</v>
      </c>
      <c r="U492">
        <f t="shared" si="14"/>
        <v>229.91</v>
      </c>
      <c r="V492">
        <f t="shared" si="15"/>
        <v>0</v>
      </c>
      <c r="W492" s="12"/>
      <c r="X492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2" t="s">
        <v>37</v>
      </c>
      <c r="Z492" s="2" t="s">
        <v>43</v>
      </c>
      <c r="AA492" s="2"/>
      <c r="AB492" s="2" t="s">
        <v>44</v>
      </c>
      <c r="AC492" s="2">
        <v>45442</v>
      </c>
      <c r="AD492" s="3">
        <v>2024</v>
      </c>
      <c r="AE492">
        <v>17</v>
      </c>
      <c r="AF492" s="5">
        <v>0.74</v>
      </c>
      <c r="AG492" t="s">
        <v>62</v>
      </c>
      <c r="AH492" t="s">
        <v>38</v>
      </c>
    </row>
    <row r="493" spans="1:34" hidden="1" x14ac:dyDescent="0.35">
      <c r="A493" t="str">
        <f>_xlfn.CONCAT(Tableau1[[#This Row],[Athletes]],"_",Tableau1[[#This Row],[Nationality]],"_",Tableau1[[#This Row],[Competition_year]])</f>
        <v>Håkon MOE BERG_NOR_2024</v>
      </c>
      <c r="B493" t="s">
        <v>935</v>
      </c>
      <c r="C493" t="s">
        <v>16</v>
      </c>
      <c r="D493" t="s">
        <v>30</v>
      </c>
      <c r="E493">
        <v>14.8</v>
      </c>
      <c r="F493">
        <v>14.5</v>
      </c>
      <c r="G493">
        <v>14.4</v>
      </c>
      <c r="H493">
        <v>14.4</v>
      </c>
      <c r="I493">
        <v>14.9</v>
      </c>
      <c r="J493">
        <v>14.6</v>
      </c>
      <c r="K493">
        <v>14.5</v>
      </c>
      <c r="L493">
        <v>14.7</v>
      </c>
      <c r="M493">
        <v>14.9</v>
      </c>
      <c r="N493">
        <v>14.7</v>
      </c>
      <c r="O493">
        <v>14.4</v>
      </c>
      <c r="P493">
        <v>14.5</v>
      </c>
      <c r="Q493">
        <v>14.4</v>
      </c>
      <c r="R493">
        <v>14.2</v>
      </c>
      <c r="S493">
        <f>Tableau1[[#This Row],[Final_time]]-SUM(Tableau1[[#This Row],[0_100m]:[1300_1400m]])</f>
        <v>14.750000000000028</v>
      </c>
      <c r="T493">
        <v>218.65</v>
      </c>
      <c r="U493">
        <f t="shared" si="14"/>
        <v>218.65</v>
      </c>
      <c r="V493">
        <f t="shared" si="15"/>
        <v>0</v>
      </c>
      <c r="W493" s="12"/>
      <c r="X493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3" t="s">
        <v>37</v>
      </c>
      <c r="Z493" s="2" t="s">
        <v>43</v>
      </c>
      <c r="AA493" s="2"/>
      <c r="AB493" s="2" t="s">
        <v>44</v>
      </c>
      <c r="AC493" s="2">
        <v>45442</v>
      </c>
      <c r="AD493" s="3">
        <v>2024</v>
      </c>
      <c r="AE493">
        <v>17</v>
      </c>
      <c r="AF493" s="5">
        <v>0.74</v>
      </c>
      <c r="AG493" t="s">
        <v>62</v>
      </c>
      <c r="AH493" t="s">
        <v>38</v>
      </c>
    </row>
    <row r="494" spans="1:34" hidden="1" x14ac:dyDescent="0.35">
      <c r="A494" t="str">
        <f>_xlfn.CONCAT(Tableau1[[#This Row],[Athletes]],"_",Tableau1[[#This Row],[Nationality]],"_",Tableau1[[#This Row],[Competition_year]])</f>
        <v>Kjetil BRENNO GAGNÅS_NOR_2024</v>
      </c>
      <c r="B494" t="s">
        <v>1041</v>
      </c>
      <c r="C494" t="s">
        <v>16</v>
      </c>
      <c r="D494" t="s">
        <v>30</v>
      </c>
      <c r="E494">
        <v>16</v>
      </c>
      <c r="F494">
        <v>15.1</v>
      </c>
      <c r="G494">
        <v>14.3</v>
      </c>
      <c r="H494">
        <v>14.7</v>
      </c>
      <c r="I494">
        <v>14.8</v>
      </c>
      <c r="J494">
        <v>15</v>
      </c>
      <c r="K494">
        <v>15</v>
      </c>
      <c r="L494">
        <v>15.5</v>
      </c>
      <c r="M494">
        <v>15.5</v>
      </c>
      <c r="N494">
        <v>15.6</v>
      </c>
      <c r="O494">
        <v>14.9</v>
      </c>
      <c r="P494">
        <v>14.6</v>
      </c>
      <c r="Q494">
        <v>14.9</v>
      </c>
      <c r="R494">
        <v>14.6</v>
      </c>
      <c r="S494">
        <f>Tableau1[[#This Row],[Final_time]]-SUM(Tableau1[[#This Row],[0_100m]:[1300_1400m]])</f>
        <v>14.77000000000001</v>
      </c>
      <c r="T494">
        <v>225.27</v>
      </c>
      <c r="U494">
        <f t="shared" si="14"/>
        <v>225.27</v>
      </c>
      <c r="V494">
        <f t="shared" si="15"/>
        <v>0</v>
      </c>
      <c r="W494" s="12"/>
      <c r="X494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4" t="s">
        <v>37</v>
      </c>
      <c r="Z494" s="2" t="s">
        <v>43</v>
      </c>
      <c r="AA494" s="2"/>
      <c r="AB494" s="2" t="s">
        <v>44</v>
      </c>
      <c r="AC494" s="2">
        <v>45442</v>
      </c>
      <c r="AD494" s="3">
        <v>2024</v>
      </c>
      <c r="AE494">
        <v>17</v>
      </c>
      <c r="AF494" s="5">
        <v>0.74</v>
      </c>
      <c r="AG494" t="s">
        <v>62</v>
      </c>
      <c r="AH494" t="s">
        <v>38</v>
      </c>
    </row>
    <row r="495" spans="1:34" hidden="1" x14ac:dyDescent="0.35">
      <c r="A495" t="str">
        <f>_xlfn.CONCAT(Tableau1[[#This Row],[Athletes]],"_",Tableau1[[#This Row],[Nationality]],"_",Tableau1[[#This Row],[Competition_year]])</f>
        <v>Rick VAN RIEL_NED_2024</v>
      </c>
      <c r="B495" t="s">
        <v>1193</v>
      </c>
      <c r="C495" t="s">
        <v>16</v>
      </c>
      <c r="D495" t="s">
        <v>39</v>
      </c>
      <c r="E495">
        <v>14.7</v>
      </c>
      <c r="F495">
        <v>14.4</v>
      </c>
      <c r="G495">
        <v>14.3</v>
      </c>
      <c r="H495">
        <v>14.5</v>
      </c>
      <c r="I495">
        <v>14.9</v>
      </c>
      <c r="J495">
        <v>14.6</v>
      </c>
      <c r="K495">
        <v>14.9</v>
      </c>
      <c r="L495">
        <v>14.7</v>
      </c>
      <c r="M495">
        <v>15</v>
      </c>
      <c r="N495">
        <v>14.7</v>
      </c>
      <c r="O495">
        <v>14.7</v>
      </c>
      <c r="P495">
        <v>14.5</v>
      </c>
      <c r="Q495">
        <v>14.9</v>
      </c>
      <c r="R495">
        <v>14.5</v>
      </c>
      <c r="S495">
        <f>Tableau1[[#This Row],[Final_time]]-SUM(Tableau1[[#This Row],[0_100m]:[1300_1400m]])</f>
        <v>14.810000000000031</v>
      </c>
      <c r="T495">
        <v>220.11</v>
      </c>
      <c r="U495">
        <f t="shared" si="14"/>
        <v>220.11</v>
      </c>
      <c r="V495">
        <f t="shared" si="15"/>
        <v>0</v>
      </c>
      <c r="W495" s="12"/>
      <c r="X495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5" t="s">
        <v>37</v>
      </c>
      <c r="Z495" s="2" t="s">
        <v>43</v>
      </c>
      <c r="AA495" s="2"/>
      <c r="AB495" s="2" t="s">
        <v>44</v>
      </c>
      <c r="AC495" s="2">
        <v>45442</v>
      </c>
      <c r="AD495" s="3">
        <v>2024</v>
      </c>
      <c r="AE495">
        <v>17</v>
      </c>
      <c r="AF495" s="5">
        <v>0.74</v>
      </c>
      <c r="AG495" t="s">
        <v>62</v>
      </c>
      <c r="AH495" t="s">
        <v>38</v>
      </c>
    </row>
    <row r="496" spans="1:34" hidden="1" x14ac:dyDescent="0.35">
      <c r="A496" t="str">
        <f>_xlfn.CONCAT(Tableau1[[#This Row],[Athletes]],"_",Tableau1[[#This Row],[Nationality]],"_",Tableau1[[#This Row],[Competition_year]])</f>
        <v>Esten Hansen-Møllerud HAUEN_NOR_2024</v>
      </c>
      <c r="B496" t="s">
        <v>381</v>
      </c>
      <c r="C496" t="s">
        <v>16</v>
      </c>
      <c r="D496" t="s">
        <v>30</v>
      </c>
      <c r="E496">
        <v>15</v>
      </c>
      <c r="F496">
        <v>14.7</v>
      </c>
      <c r="G496">
        <v>14.5</v>
      </c>
      <c r="H496">
        <v>14.5</v>
      </c>
      <c r="I496">
        <v>15</v>
      </c>
      <c r="J496">
        <v>14.8</v>
      </c>
      <c r="K496">
        <v>14.5</v>
      </c>
      <c r="L496">
        <v>14.9</v>
      </c>
      <c r="M496">
        <v>14.6</v>
      </c>
      <c r="N496">
        <v>14.5</v>
      </c>
      <c r="O496">
        <v>15</v>
      </c>
      <c r="P496">
        <v>14.8</v>
      </c>
      <c r="Q496">
        <v>15.3</v>
      </c>
      <c r="R496">
        <v>15</v>
      </c>
      <c r="S496">
        <f>Tableau1[[#This Row],[Final_time]]-SUM(Tableau1[[#This Row],[0_100m]:[1300_1400m]])</f>
        <v>14.859999999999985</v>
      </c>
      <c r="T496">
        <v>221.96</v>
      </c>
      <c r="U496">
        <f t="shared" si="14"/>
        <v>221.96</v>
      </c>
      <c r="V496">
        <f t="shared" si="15"/>
        <v>0</v>
      </c>
      <c r="W496" s="12"/>
      <c r="X496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6" t="s">
        <v>37</v>
      </c>
      <c r="Z496" s="2" t="s">
        <v>43</v>
      </c>
      <c r="AA496" s="2"/>
      <c r="AB496" s="2" t="s">
        <v>44</v>
      </c>
      <c r="AC496" s="2">
        <v>45442</v>
      </c>
      <c r="AD496" s="3">
        <v>2024</v>
      </c>
      <c r="AE496">
        <v>17</v>
      </c>
      <c r="AF496" s="5">
        <v>0.74</v>
      </c>
      <c r="AG496" t="s">
        <v>62</v>
      </c>
      <c r="AH496" t="s">
        <v>38</v>
      </c>
    </row>
    <row r="497" spans="1:34" hidden="1" x14ac:dyDescent="0.35">
      <c r="A497" t="str">
        <f>_xlfn.CONCAT(Tableau1[[#This Row],[Athletes]],"_",Tableau1[[#This Row],[Nationality]],"_",Tableau1[[#This Row],[Competition_year]])</f>
        <v>Mikkel Blikstad THOMASSEN_NOR_2024</v>
      </c>
      <c r="B497" t="s">
        <v>1113</v>
      </c>
      <c r="C497" t="s">
        <v>16</v>
      </c>
      <c r="D497" t="s">
        <v>30</v>
      </c>
      <c r="E497">
        <v>15.4</v>
      </c>
      <c r="F497">
        <v>15</v>
      </c>
      <c r="G497">
        <v>14.4</v>
      </c>
      <c r="H497">
        <v>14.6</v>
      </c>
      <c r="I497">
        <v>14.9</v>
      </c>
      <c r="J497">
        <v>15</v>
      </c>
      <c r="K497">
        <v>14.8</v>
      </c>
      <c r="L497">
        <v>14.6</v>
      </c>
      <c r="M497">
        <v>14.8</v>
      </c>
      <c r="N497">
        <v>15</v>
      </c>
      <c r="O497">
        <v>14.7</v>
      </c>
      <c r="P497">
        <v>14.1</v>
      </c>
      <c r="Q497">
        <v>14.4</v>
      </c>
      <c r="R497">
        <v>14.9</v>
      </c>
      <c r="S497">
        <f>Tableau1[[#This Row],[Final_time]]-SUM(Tableau1[[#This Row],[0_100m]:[1300_1400m]])</f>
        <v>15.349999999999994</v>
      </c>
      <c r="T497">
        <v>221.95</v>
      </c>
      <c r="U497">
        <f t="shared" si="14"/>
        <v>221.95</v>
      </c>
      <c r="V497">
        <f t="shared" si="15"/>
        <v>0</v>
      </c>
      <c r="W497" s="12"/>
      <c r="X497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7" t="s">
        <v>37</v>
      </c>
      <c r="Z497" s="2" t="s">
        <v>43</v>
      </c>
      <c r="AA497" s="2"/>
      <c r="AB497" s="2" t="s">
        <v>44</v>
      </c>
      <c r="AC497" s="2">
        <v>45442</v>
      </c>
      <c r="AD497" s="3">
        <v>2024</v>
      </c>
      <c r="AE497">
        <v>17</v>
      </c>
      <c r="AF497" s="5">
        <v>0.74</v>
      </c>
      <c r="AG497" t="s">
        <v>62</v>
      </c>
      <c r="AH497" t="s">
        <v>38</v>
      </c>
    </row>
    <row r="498" spans="1:34" hidden="1" x14ac:dyDescent="0.35">
      <c r="A498" t="str">
        <f>_xlfn.CONCAT(Tableau1[[#This Row],[Athletes]],"_",Tableau1[[#This Row],[Nationality]],"_",Tableau1[[#This Row],[Competition_year]])</f>
        <v>Kevin KAMENSCHAK_AUT_2024</v>
      </c>
      <c r="B498" t="s">
        <v>1034</v>
      </c>
      <c r="C498" t="s">
        <v>16</v>
      </c>
      <c r="D498" t="s">
        <v>41</v>
      </c>
      <c r="E498">
        <v>15.5</v>
      </c>
      <c r="F498">
        <v>14.4</v>
      </c>
      <c r="G498">
        <v>14.3</v>
      </c>
      <c r="H498">
        <v>14.4</v>
      </c>
      <c r="I498">
        <v>14.9</v>
      </c>
      <c r="J498">
        <v>14.6</v>
      </c>
      <c r="K498">
        <v>14.8</v>
      </c>
      <c r="L498">
        <v>14.9</v>
      </c>
      <c r="M498">
        <v>15.2</v>
      </c>
      <c r="N498">
        <v>15.1</v>
      </c>
      <c r="O498">
        <v>14.8</v>
      </c>
      <c r="P498">
        <v>14.7</v>
      </c>
      <c r="Q498">
        <v>14.7</v>
      </c>
      <c r="R498">
        <v>15.3</v>
      </c>
      <c r="S498">
        <f>Tableau1[[#This Row],[Final_time]]-SUM(Tableau1[[#This Row],[0_100m]:[1300_1400m]])</f>
        <v>15.819999999999993</v>
      </c>
      <c r="T498">
        <v>223.42</v>
      </c>
      <c r="U498">
        <f t="shared" si="14"/>
        <v>223.42</v>
      </c>
      <c r="V498">
        <f t="shared" si="15"/>
        <v>0</v>
      </c>
      <c r="W498" s="12"/>
      <c r="X498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8" t="s">
        <v>37</v>
      </c>
      <c r="Z498" s="2" t="s">
        <v>43</v>
      </c>
      <c r="AA498" s="2"/>
      <c r="AB498" s="2" t="s">
        <v>44</v>
      </c>
      <c r="AC498" s="2">
        <v>45442</v>
      </c>
      <c r="AD498" s="3">
        <v>2024</v>
      </c>
      <c r="AE498">
        <v>17</v>
      </c>
      <c r="AF498" s="5">
        <v>0.74</v>
      </c>
      <c r="AG498" t="s">
        <v>62</v>
      </c>
      <c r="AH498" t="s">
        <v>38</v>
      </c>
    </row>
    <row r="499" spans="1:34" hidden="1" x14ac:dyDescent="0.35">
      <c r="A499" t="str">
        <f>_xlfn.CONCAT(Tableau1[[#This Row],[Athletes]],"_",Tableau1[[#This Row],[Nationality]],"_",Tableau1[[#This Row],[Competition_year]])</f>
        <v>Andreas FJELD HALVORSEN_NOR_2024</v>
      </c>
      <c r="B499" t="s">
        <v>749</v>
      </c>
      <c r="C499" t="s">
        <v>16</v>
      </c>
      <c r="D499" t="s">
        <v>30</v>
      </c>
      <c r="E499">
        <v>15.2</v>
      </c>
      <c r="F499">
        <v>14.5</v>
      </c>
      <c r="G499">
        <v>14.2</v>
      </c>
      <c r="H499">
        <v>14.4</v>
      </c>
      <c r="I499">
        <v>15</v>
      </c>
      <c r="J499">
        <v>14.6</v>
      </c>
      <c r="K499">
        <v>14.8</v>
      </c>
      <c r="L499">
        <v>14.9</v>
      </c>
      <c r="M499">
        <v>15.3</v>
      </c>
      <c r="N499">
        <v>15.6</v>
      </c>
      <c r="O499">
        <v>15.5</v>
      </c>
      <c r="P499">
        <v>15.8</v>
      </c>
      <c r="Q499">
        <v>16.3</v>
      </c>
      <c r="R499">
        <v>16.2</v>
      </c>
      <c r="S499">
        <f>Tableau1[[#This Row],[Final_time]]-SUM(Tableau1[[#This Row],[0_100m]:[1300_1400m]])</f>
        <v>16.810000000000002</v>
      </c>
      <c r="T499">
        <v>229.11</v>
      </c>
      <c r="U499">
        <f t="shared" si="14"/>
        <v>229.11</v>
      </c>
      <c r="V499">
        <f t="shared" si="15"/>
        <v>0</v>
      </c>
      <c r="W499" s="12"/>
      <c r="X499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499" t="s">
        <v>37</v>
      </c>
      <c r="Z499" s="2" t="s">
        <v>43</v>
      </c>
      <c r="AA499" s="2"/>
      <c r="AB499" s="2" t="s">
        <v>44</v>
      </c>
      <c r="AC499" s="2">
        <v>45442</v>
      </c>
      <c r="AD499" s="3">
        <v>2024</v>
      </c>
      <c r="AE499">
        <v>17</v>
      </c>
      <c r="AF499" s="5">
        <v>0.74</v>
      </c>
      <c r="AG499" t="s">
        <v>62</v>
      </c>
      <c r="AH499" t="s">
        <v>38</v>
      </c>
    </row>
    <row r="500" spans="1:34" hidden="1" x14ac:dyDescent="0.35">
      <c r="A500" t="str">
        <f>_xlfn.CONCAT(Tableau1[[#This Row],[Athletes]],"_",Tableau1[[#This Row],[Nationality]],"_",Tableau1[[#This Row],[Competition_year]])</f>
        <v>August DA SILVA SVEEN_NOR_2024</v>
      </c>
      <c r="B500" t="s">
        <v>771</v>
      </c>
      <c r="C500" t="s">
        <v>16</v>
      </c>
      <c r="D500" t="s">
        <v>30</v>
      </c>
      <c r="E500">
        <v>15.8</v>
      </c>
      <c r="F500">
        <v>15.2</v>
      </c>
      <c r="G500">
        <v>14.6</v>
      </c>
      <c r="H500">
        <v>14.9</v>
      </c>
      <c r="I500">
        <v>15.2</v>
      </c>
      <c r="J500">
        <v>15.4</v>
      </c>
      <c r="K500">
        <v>15.4</v>
      </c>
      <c r="L500">
        <v>15.4</v>
      </c>
      <c r="M500">
        <v>15.6</v>
      </c>
      <c r="N500">
        <v>15.9</v>
      </c>
      <c r="O500">
        <v>16</v>
      </c>
      <c r="P500">
        <v>16.3</v>
      </c>
      <c r="Q500">
        <v>16.399999999999999</v>
      </c>
      <c r="R500">
        <v>16.8</v>
      </c>
      <c r="S500">
        <f>Tableau1[[#This Row],[Final_time]]-SUM(Tableau1[[#This Row],[0_100m]:[1300_1400m]])</f>
        <v>17.989999999999924</v>
      </c>
      <c r="T500">
        <v>236.89</v>
      </c>
      <c r="U500">
        <f t="shared" si="14"/>
        <v>236.89</v>
      </c>
      <c r="V500">
        <f t="shared" si="15"/>
        <v>0</v>
      </c>
      <c r="W500" s="12"/>
      <c r="X500" t="str">
        <f>_xlfn.CONCAT(Tableau1[[#This Row],[Competition]],"_",Tableau1[[#This Row],[Championship_step]],"_",Tableau1[[#This Row],[Competition_date]],"_",Tableau1[[#This Row],[Gender]])</f>
        <v>Diamond League Oslo 2024 - B race__45442_Male</v>
      </c>
      <c r="Y500" t="s">
        <v>37</v>
      </c>
      <c r="Z500" s="2" t="s">
        <v>43</v>
      </c>
      <c r="AA500" s="2"/>
      <c r="AB500" s="2" t="s">
        <v>44</v>
      </c>
      <c r="AC500" s="2">
        <v>45442</v>
      </c>
      <c r="AD500" s="3">
        <v>2024</v>
      </c>
      <c r="AE500">
        <v>17</v>
      </c>
      <c r="AF500" s="5">
        <v>0.74</v>
      </c>
      <c r="AG500" t="s">
        <v>62</v>
      </c>
      <c r="AH500" t="s">
        <v>38</v>
      </c>
    </row>
    <row r="501" spans="1:34" hidden="1" x14ac:dyDescent="0.35">
      <c r="A501" t="str">
        <f>_xlfn.CONCAT(Tableau1[[#This Row],[Athletes]],"_",Tableau1[[#This Row],[Nationality]],"_",Tableau1[[#This Row],[Competition_year]])</f>
        <v>Jakob INGEBRIGTSEN_NOR_2024</v>
      </c>
      <c r="B501" t="s">
        <v>151</v>
      </c>
      <c r="C501" t="s">
        <v>16</v>
      </c>
      <c r="D501" t="s">
        <v>30</v>
      </c>
      <c r="E501">
        <v>13.6</v>
      </c>
      <c r="F501">
        <v>13.8</v>
      </c>
      <c r="G501">
        <v>14.2</v>
      </c>
      <c r="H501">
        <v>14.2</v>
      </c>
      <c r="I501">
        <v>14.3</v>
      </c>
      <c r="J501">
        <v>14.1</v>
      </c>
      <c r="K501">
        <v>14.2</v>
      </c>
      <c r="L501">
        <v>14.1</v>
      </c>
      <c r="M501">
        <v>14</v>
      </c>
      <c r="N501">
        <v>14.2</v>
      </c>
      <c r="O501">
        <v>14.1</v>
      </c>
      <c r="P501">
        <v>14</v>
      </c>
      <c r="Q501">
        <v>14</v>
      </c>
      <c r="R501">
        <v>13.5</v>
      </c>
      <c r="S501">
        <f>Tableau1[[#This Row],[Final_time]]-SUM(Tableau1[[#This Row],[0_100m]:[1300_1400m]])</f>
        <v>13.440000000000026</v>
      </c>
      <c r="T501">
        <v>209.74</v>
      </c>
      <c r="U501">
        <f t="shared" si="14"/>
        <v>209.74</v>
      </c>
      <c r="V501">
        <f t="shared" si="15"/>
        <v>0</v>
      </c>
      <c r="W501" s="12"/>
      <c r="X501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1" t="s">
        <v>31</v>
      </c>
      <c r="Z501" s="2" t="s">
        <v>43</v>
      </c>
      <c r="AA501" s="2"/>
      <c r="AB501" s="2" t="s">
        <v>65</v>
      </c>
      <c r="AC501" s="2">
        <v>45442</v>
      </c>
      <c r="AD501" s="3">
        <v>2024</v>
      </c>
      <c r="AE501">
        <v>16</v>
      </c>
      <c r="AF501" s="5">
        <v>0.69</v>
      </c>
      <c r="AG501" t="s">
        <v>61</v>
      </c>
      <c r="AH501" t="s">
        <v>32</v>
      </c>
    </row>
    <row r="502" spans="1:34" hidden="1" x14ac:dyDescent="0.35">
      <c r="A502" t="str">
        <f>_xlfn.CONCAT(Tableau1[[#This Row],[Athletes]],"_",Tableau1[[#This Row],[Nationality]],"_",Tableau1[[#This Row],[Competition_year]])</f>
        <v>Timothy CHERUIYOT_KEN_2024</v>
      </c>
      <c r="B502" t="s">
        <v>205</v>
      </c>
      <c r="C502" t="s">
        <v>16</v>
      </c>
      <c r="D502" t="s">
        <v>17</v>
      </c>
      <c r="E502">
        <v>13.9</v>
      </c>
      <c r="F502">
        <v>13.7</v>
      </c>
      <c r="G502">
        <v>14.2</v>
      </c>
      <c r="H502">
        <v>14.2</v>
      </c>
      <c r="I502">
        <v>14.2</v>
      </c>
      <c r="J502">
        <v>14.2</v>
      </c>
      <c r="K502">
        <v>14.2</v>
      </c>
      <c r="L502">
        <v>14.1</v>
      </c>
      <c r="M502">
        <v>14.1</v>
      </c>
      <c r="N502">
        <v>14.1</v>
      </c>
      <c r="O502">
        <v>14.1</v>
      </c>
      <c r="P502">
        <v>14</v>
      </c>
      <c r="Q502">
        <v>13.9</v>
      </c>
      <c r="R502">
        <v>13.7</v>
      </c>
      <c r="S502">
        <f>Tableau1[[#This Row],[Final_time]]-SUM(Tableau1[[#This Row],[0_100m]:[1300_1400m]])</f>
        <v>13.170000000000016</v>
      </c>
      <c r="T502">
        <v>209.77</v>
      </c>
      <c r="U502">
        <f t="shared" si="14"/>
        <v>209.77</v>
      </c>
      <c r="V502">
        <f t="shared" si="15"/>
        <v>0</v>
      </c>
      <c r="W502" s="12"/>
      <c r="X502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2" t="s">
        <v>31</v>
      </c>
      <c r="Z502" s="2" t="s">
        <v>43</v>
      </c>
      <c r="AA502" s="2"/>
      <c r="AB502" s="2" t="s">
        <v>65</v>
      </c>
      <c r="AC502" s="2">
        <v>45442</v>
      </c>
      <c r="AD502" s="3">
        <v>2024</v>
      </c>
      <c r="AE502">
        <v>16</v>
      </c>
      <c r="AF502" s="5">
        <v>0.69</v>
      </c>
      <c r="AG502" t="s">
        <v>61</v>
      </c>
      <c r="AH502" t="s">
        <v>32</v>
      </c>
    </row>
    <row r="503" spans="1:34" hidden="1" x14ac:dyDescent="0.35">
      <c r="A503" t="str">
        <f>_xlfn.CONCAT(Tableau1[[#This Row],[Athletes]],"_",Tableau1[[#This Row],[Nationality]],"_",Tableau1[[#This Row],[Competition_year]])</f>
        <v>Azeddine HABZ_FRA_2024</v>
      </c>
      <c r="B503" t="s">
        <v>218</v>
      </c>
      <c r="C503" t="s">
        <v>16</v>
      </c>
      <c r="D503" t="s">
        <v>18</v>
      </c>
      <c r="E503">
        <v>13.5</v>
      </c>
      <c r="F503">
        <v>14.4</v>
      </c>
      <c r="G503">
        <v>14.3</v>
      </c>
      <c r="H503">
        <v>14.6</v>
      </c>
      <c r="I503">
        <v>14.2</v>
      </c>
      <c r="J503">
        <v>14.4</v>
      </c>
      <c r="K503">
        <v>14.4</v>
      </c>
      <c r="L503">
        <v>14.1</v>
      </c>
      <c r="M503">
        <v>13.6</v>
      </c>
      <c r="N503">
        <v>14.4</v>
      </c>
      <c r="O503">
        <v>14.2</v>
      </c>
      <c r="P503">
        <v>14</v>
      </c>
      <c r="Q503">
        <v>13.6</v>
      </c>
      <c r="R503">
        <v>13.4</v>
      </c>
      <c r="S503">
        <f>Tableau1[[#This Row],[Final_time]]-SUM(Tableau1[[#This Row],[0_100m]:[1300_1400m]])</f>
        <v>13.700000000000017</v>
      </c>
      <c r="T503">
        <v>210.8</v>
      </c>
      <c r="U503">
        <f t="shared" si="14"/>
        <v>210.8</v>
      </c>
      <c r="V503">
        <f t="shared" si="15"/>
        <v>0</v>
      </c>
      <c r="W503" s="12"/>
      <c r="X503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3" t="s">
        <v>31</v>
      </c>
      <c r="Z503" s="2" t="s">
        <v>43</v>
      </c>
      <c r="AA503" s="2"/>
      <c r="AB503" s="2" t="s">
        <v>65</v>
      </c>
      <c r="AC503" s="2">
        <v>45442</v>
      </c>
      <c r="AD503" s="3">
        <v>2024</v>
      </c>
      <c r="AE503">
        <v>16</v>
      </c>
      <c r="AF503" s="5">
        <v>0.69</v>
      </c>
      <c r="AG503" t="s">
        <v>61</v>
      </c>
      <c r="AH503" t="s">
        <v>32</v>
      </c>
    </row>
    <row r="504" spans="1:34" hidden="1" x14ac:dyDescent="0.35">
      <c r="A504" t="str">
        <f>_xlfn.CONCAT(Tableau1[[#This Row],[Athletes]],"_",Tableau1[[#This Row],[Nationality]],"_",Tableau1[[#This Row],[Competition_year]])</f>
        <v>Isaac NADER_POR_2024</v>
      </c>
      <c r="B504" t="s">
        <v>191</v>
      </c>
      <c r="C504" t="s">
        <v>16</v>
      </c>
      <c r="D504" t="s">
        <v>33</v>
      </c>
      <c r="E504">
        <v>13.7</v>
      </c>
      <c r="F504">
        <v>15.1</v>
      </c>
      <c r="G504">
        <v>13.6</v>
      </c>
      <c r="H504">
        <v>14.3</v>
      </c>
      <c r="I504">
        <v>14.1</v>
      </c>
      <c r="J504">
        <v>14.2</v>
      </c>
      <c r="K504">
        <v>14.3</v>
      </c>
      <c r="L504">
        <v>14.1</v>
      </c>
      <c r="M504">
        <v>14</v>
      </c>
      <c r="N504">
        <v>14.2</v>
      </c>
      <c r="O504">
        <v>13.6</v>
      </c>
      <c r="P504">
        <v>14</v>
      </c>
      <c r="Q504">
        <v>13.8</v>
      </c>
      <c r="R504">
        <v>13.7</v>
      </c>
      <c r="S504">
        <f>Tableau1[[#This Row],[Final_time]]-SUM(Tableau1[[#This Row],[0_100m]:[1300_1400m]])</f>
        <v>14.140000000000015</v>
      </c>
      <c r="T504">
        <v>210.84</v>
      </c>
      <c r="U504">
        <f t="shared" si="14"/>
        <v>210.84</v>
      </c>
      <c r="V504">
        <f t="shared" si="15"/>
        <v>0</v>
      </c>
      <c r="W504" s="12"/>
      <c r="X504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4" t="s">
        <v>31</v>
      </c>
      <c r="Z504" s="2" t="s">
        <v>43</v>
      </c>
      <c r="AA504" s="2"/>
      <c r="AB504" s="2" t="s">
        <v>65</v>
      </c>
      <c r="AC504" s="2">
        <v>45442</v>
      </c>
      <c r="AD504" s="3">
        <v>2024</v>
      </c>
      <c r="AE504">
        <v>16</v>
      </c>
      <c r="AF504" s="5">
        <v>0.69</v>
      </c>
      <c r="AG504" t="s">
        <v>61</v>
      </c>
      <c r="AH504" t="s">
        <v>32</v>
      </c>
    </row>
    <row r="505" spans="1:34" hidden="1" x14ac:dyDescent="0.35">
      <c r="A505" t="str">
        <f>_xlfn.CONCAT(Tableau1[[#This Row],[Athletes]],"_",Tableau1[[#This Row],[Nationality]],"_",Tableau1[[#This Row],[Competition_year]])</f>
        <v>Elliot GILES_GBR_2024</v>
      </c>
      <c r="B505" t="s">
        <v>231</v>
      </c>
      <c r="C505" t="s">
        <v>16</v>
      </c>
      <c r="D505" t="s">
        <v>20</v>
      </c>
      <c r="E505">
        <v>13.5</v>
      </c>
      <c r="F505">
        <v>14</v>
      </c>
      <c r="G505">
        <v>14.3</v>
      </c>
      <c r="H505">
        <v>14.3</v>
      </c>
      <c r="I505">
        <v>14.3</v>
      </c>
      <c r="J505">
        <v>14.3</v>
      </c>
      <c r="K505">
        <v>14.2</v>
      </c>
      <c r="L505">
        <v>14.1</v>
      </c>
      <c r="M505">
        <v>14</v>
      </c>
      <c r="N505">
        <v>13.9</v>
      </c>
      <c r="O505">
        <v>14.4</v>
      </c>
      <c r="P505">
        <v>14.1</v>
      </c>
      <c r="Q505">
        <v>13.8</v>
      </c>
      <c r="R505">
        <v>13.9</v>
      </c>
      <c r="S505">
        <f>Tableau1[[#This Row],[Final_time]]-SUM(Tableau1[[#This Row],[0_100m]:[1300_1400m]])</f>
        <v>13.960000000000008</v>
      </c>
      <c r="T505">
        <v>211.06</v>
      </c>
      <c r="U505">
        <f t="shared" si="14"/>
        <v>211.06</v>
      </c>
      <c r="V505">
        <f t="shared" si="15"/>
        <v>0</v>
      </c>
      <c r="W505" s="12"/>
      <c r="X505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5" t="s">
        <v>31</v>
      </c>
      <c r="Z505" s="2" t="s">
        <v>43</v>
      </c>
      <c r="AA505" s="2"/>
      <c r="AB505" s="2" t="s">
        <v>65</v>
      </c>
      <c r="AC505" s="2">
        <v>45442</v>
      </c>
      <c r="AD505" s="3">
        <v>2024</v>
      </c>
      <c r="AE505">
        <v>16</v>
      </c>
      <c r="AF505" s="5">
        <v>0.69</v>
      </c>
      <c r="AG505" t="s">
        <v>61</v>
      </c>
      <c r="AH505" t="s">
        <v>32</v>
      </c>
    </row>
    <row r="506" spans="1:34" hidden="1" x14ac:dyDescent="0.35">
      <c r="A506" t="str">
        <f>_xlfn.CONCAT(Tableau1[[#This Row],[Athletes]],"_",Tableau1[[#This Row],[Nationality]],"_",Tableau1[[#This Row],[Competition_year]])</f>
        <v>Oliver HOARE_AUS_2024</v>
      </c>
      <c r="B506" t="s">
        <v>249</v>
      </c>
      <c r="C506" t="s">
        <v>16</v>
      </c>
      <c r="D506" t="s">
        <v>21</v>
      </c>
      <c r="E506">
        <v>13.6</v>
      </c>
      <c r="F506">
        <v>14.5</v>
      </c>
      <c r="G506">
        <v>14.1</v>
      </c>
      <c r="H506">
        <v>14.3</v>
      </c>
      <c r="I506">
        <v>14.3</v>
      </c>
      <c r="J506">
        <v>14.2</v>
      </c>
      <c r="K506">
        <v>14.3</v>
      </c>
      <c r="L506">
        <v>14</v>
      </c>
      <c r="M506">
        <v>13.9</v>
      </c>
      <c r="N506">
        <v>14.2</v>
      </c>
      <c r="O506">
        <v>14.3</v>
      </c>
      <c r="P506">
        <v>14.1</v>
      </c>
      <c r="Q506">
        <v>13.8</v>
      </c>
      <c r="R506">
        <v>13.8</v>
      </c>
      <c r="S506">
        <f>Tableau1[[#This Row],[Final_time]]-SUM(Tableau1[[#This Row],[0_100m]:[1300_1400m]])</f>
        <v>13.679999999999978</v>
      </c>
      <c r="T506">
        <v>211.08</v>
      </c>
      <c r="U506">
        <f t="shared" si="14"/>
        <v>211.08</v>
      </c>
      <c r="V506">
        <f t="shared" si="15"/>
        <v>0</v>
      </c>
      <c r="W506" s="12"/>
      <c r="X506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6" t="s">
        <v>31</v>
      </c>
      <c r="Z506" s="2" t="s">
        <v>43</v>
      </c>
      <c r="AA506" s="2"/>
      <c r="AB506" s="2" t="s">
        <v>65</v>
      </c>
      <c r="AC506" s="2">
        <v>45442</v>
      </c>
      <c r="AD506" s="3">
        <v>2024</v>
      </c>
      <c r="AE506">
        <v>16</v>
      </c>
      <c r="AF506" s="5">
        <v>0.69</v>
      </c>
      <c r="AG506" t="s">
        <v>61</v>
      </c>
      <c r="AH506" t="s">
        <v>32</v>
      </c>
    </row>
    <row r="507" spans="1:34" hidden="1" x14ac:dyDescent="0.35">
      <c r="A507" t="str">
        <f>_xlfn.CONCAT(Tableau1[[#This Row],[Athletes]],"_",Tableau1[[#This Row],[Nationality]],"_",Tableau1[[#This Row],[Competition_year]])</f>
        <v>George MILLS_GBR_2024</v>
      </c>
      <c r="B507" t="s">
        <v>279</v>
      </c>
      <c r="C507" t="s">
        <v>16</v>
      </c>
      <c r="D507" t="s">
        <v>20</v>
      </c>
      <c r="E507">
        <v>14</v>
      </c>
      <c r="F507">
        <v>14.5</v>
      </c>
      <c r="G507">
        <v>14.1</v>
      </c>
      <c r="H507">
        <v>14.4</v>
      </c>
      <c r="I507">
        <v>14.2</v>
      </c>
      <c r="J507">
        <v>14.2</v>
      </c>
      <c r="K507">
        <v>14</v>
      </c>
      <c r="L507">
        <v>14.1</v>
      </c>
      <c r="M507">
        <v>13.7</v>
      </c>
      <c r="N507">
        <v>14.2</v>
      </c>
      <c r="O507">
        <v>14.1</v>
      </c>
      <c r="P507">
        <v>14.3</v>
      </c>
      <c r="Q507">
        <v>14.1</v>
      </c>
      <c r="R507">
        <v>13.7</v>
      </c>
      <c r="S507">
        <f>Tableau1[[#This Row],[Final_time]]-SUM(Tableau1[[#This Row],[0_100m]:[1300_1400m]])</f>
        <v>13.969999999999999</v>
      </c>
      <c r="T507">
        <v>211.57</v>
      </c>
      <c r="U507">
        <f t="shared" si="14"/>
        <v>211.57</v>
      </c>
      <c r="V507">
        <f t="shared" si="15"/>
        <v>0</v>
      </c>
      <c r="W507" s="12"/>
      <c r="X507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7" t="s">
        <v>31</v>
      </c>
      <c r="Z507" s="2" t="s">
        <v>43</v>
      </c>
      <c r="AA507" s="2"/>
      <c r="AB507" s="2" t="s">
        <v>65</v>
      </c>
      <c r="AC507" s="2">
        <v>45442</v>
      </c>
      <c r="AD507" s="3">
        <v>2024</v>
      </c>
      <c r="AE507">
        <v>16</v>
      </c>
      <c r="AF507" s="5">
        <v>0.69</v>
      </c>
      <c r="AG507" t="s">
        <v>61</v>
      </c>
      <c r="AH507" t="s">
        <v>32</v>
      </c>
    </row>
    <row r="508" spans="1:34" hidden="1" x14ac:dyDescent="0.35">
      <c r="A508" t="str">
        <f>_xlfn.CONCAT(Tableau1[[#This Row],[Athletes]],"_",Tableau1[[#This Row],[Nationality]],"_",Tableau1[[#This Row],[Competition_year]])</f>
        <v>Pietro ARESE_ITA_2024</v>
      </c>
      <c r="B508" t="s">
        <v>216</v>
      </c>
      <c r="C508" t="s">
        <v>16</v>
      </c>
      <c r="D508" t="s">
        <v>19</v>
      </c>
      <c r="E508">
        <v>14.2</v>
      </c>
      <c r="F508">
        <v>14.4</v>
      </c>
      <c r="G508">
        <v>14.2</v>
      </c>
      <c r="H508">
        <v>14.4</v>
      </c>
      <c r="I508">
        <v>14.3</v>
      </c>
      <c r="J508">
        <v>14.3</v>
      </c>
      <c r="K508">
        <v>14.1</v>
      </c>
      <c r="L508">
        <v>14.3</v>
      </c>
      <c r="M508">
        <v>13.8</v>
      </c>
      <c r="N508">
        <v>14</v>
      </c>
      <c r="O508">
        <v>13.9</v>
      </c>
      <c r="P508">
        <v>14.1</v>
      </c>
      <c r="Q508">
        <v>14.1</v>
      </c>
      <c r="R508">
        <v>13.9</v>
      </c>
      <c r="S508">
        <f>Tableau1[[#This Row],[Final_time]]-SUM(Tableau1[[#This Row],[0_100m]:[1300_1400m]])</f>
        <v>14.129999999999995</v>
      </c>
      <c r="T508">
        <v>212.13</v>
      </c>
      <c r="U508">
        <f t="shared" si="14"/>
        <v>212.13</v>
      </c>
      <c r="V508">
        <f t="shared" si="15"/>
        <v>0</v>
      </c>
      <c r="W508" s="12"/>
      <c r="X508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8" t="s">
        <v>31</v>
      </c>
      <c r="Z508" s="2" t="s">
        <v>43</v>
      </c>
      <c r="AA508" s="2"/>
      <c r="AB508" s="2" t="s">
        <v>65</v>
      </c>
      <c r="AC508" s="2">
        <v>45442</v>
      </c>
      <c r="AD508" s="3">
        <v>2024</v>
      </c>
      <c r="AE508">
        <v>16</v>
      </c>
      <c r="AF508" s="5">
        <v>0.69</v>
      </c>
      <c r="AG508" t="s">
        <v>61</v>
      </c>
      <c r="AH508" t="s">
        <v>32</v>
      </c>
    </row>
    <row r="509" spans="1:34" hidden="1" x14ac:dyDescent="0.35">
      <c r="A509" t="str">
        <f>_xlfn.CONCAT(Tableau1[[#This Row],[Athletes]],"_",Tableau1[[#This Row],[Nationality]],"_",Tableau1[[#This Row],[Competition_year]])</f>
        <v>Robert FARKEN_GER_2024</v>
      </c>
      <c r="B509" t="s">
        <v>342</v>
      </c>
      <c r="C509" t="s">
        <v>16</v>
      </c>
      <c r="D509" t="s">
        <v>34</v>
      </c>
      <c r="E509">
        <v>13.6</v>
      </c>
      <c r="F509">
        <v>14.2</v>
      </c>
      <c r="G509">
        <v>14.3</v>
      </c>
      <c r="H509">
        <v>14.2</v>
      </c>
      <c r="I509">
        <v>14.3</v>
      </c>
      <c r="J509">
        <v>14.3</v>
      </c>
      <c r="K509">
        <v>14.2</v>
      </c>
      <c r="L509">
        <v>14.1</v>
      </c>
      <c r="M509">
        <v>14</v>
      </c>
      <c r="N509">
        <v>14.8</v>
      </c>
      <c r="O509">
        <v>14</v>
      </c>
      <c r="P509">
        <v>14.1</v>
      </c>
      <c r="Q509">
        <v>14</v>
      </c>
      <c r="R509">
        <v>14</v>
      </c>
      <c r="S509">
        <f>Tableau1[[#This Row],[Final_time]]-SUM(Tableau1[[#This Row],[0_100m]:[1300_1400m]])</f>
        <v>14.099999999999994</v>
      </c>
      <c r="T509">
        <v>212.2</v>
      </c>
      <c r="U509">
        <f t="shared" si="14"/>
        <v>212.2</v>
      </c>
      <c r="V509">
        <f t="shared" si="15"/>
        <v>0</v>
      </c>
      <c r="W509" s="12"/>
      <c r="X509" t="str">
        <f>_xlfn.CONCAT(Tableau1[[#This Row],[Competition]],"_",Tableau1[[#This Row],[Championship_step]],"_",Tableau1[[#This Row],[Competition_date]],"_",Tableau1[[#This Row],[Gender]])</f>
        <v>Diamond League Oslo 2024__45442_Male</v>
      </c>
      <c r="Y509" t="s">
        <v>31</v>
      </c>
      <c r="Z509" s="2" t="s">
        <v>43</v>
      </c>
      <c r="AA509" s="2"/>
      <c r="AB509" s="2" t="s">
        <v>65</v>
      </c>
      <c r="AC509" s="2">
        <v>45442</v>
      </c>
      <c r="AD509" s="3">
        <v>2024</v>
      </c>
      <c r="AE509">
        <v>16</v>
      </c>
      <c r="AF509" s="5">
        <v>0.69</v>
      </c>
      <c r="AG509" t="s">
        <v>61</v>
      </c>
      <c r="AH509" t="s">
        <v>32</v>
      </c>
    </row>
    <row r="510" spans="1:34" hidden="1" x14ac:dyDescent="0.35">
      <c r="A510" t="str">
        <f>_xlfn.CONCAT(Tableau1[[#This Row],[Athletes]],"_",Tableau1[[#This Row],[Nationality]],"_",Tableau1[[#This Row],[Competition_year]])</f>
        <v>Andrew COSCORAN_IRL_2024</v>
      </c>
      <c r="B510" t="s">
        <v>232</v>
      </c>
      <c r="C510" t="s">
        <v>16</v>
      </c>
      <c r="D510" t="s">
        <v>35</v>
      </c>
      <c r="E510">
        <v>13.7</v>
      </c>
      <c r="F510">
        <v>14.3</v>
      </c>
      <c r="G510">
        <v>14.4</v>
      </c>
      <c r="H510">
        <v>14.6</v>
      </c>
      <c r="I510">
        <v>14.2</v>
      </c>
      <c r="J510">
        <v>14.4</v>
      </c>
      <c r="K510">
        <v>14.3</v>
      </c>
      <c r="L510">
        <v>14.2</v>
      </c>
      <c r="M510">
        <v>13.7</v>
      </c>
      <c r="N510">
        <v>13.9</v>
      </c>
      <c r="O510">
        <v>14</v>
      </c>
      <c r="P510">
        <v>14</v>
      </c>
      <c r="Q510">
        <v>14</v>
      </c>
      <c r="R510">
        <v>14.3</v>
      </c>
      <c r="S510">
        <f>Tableau1[[#This Row],[Final_time]]-SUM(Tableau1[[#This Row],[0_100m]:[1300_1400m]])</f>
        <v>14.679999999999978</v>
      </c>
      <c r="T510">
        <v>212.68</v>
      </c>
      <c r="U510">
        <f t="shared" si="14"/>
        <v>212.68</v>
      </c>
      <c r="V510">
        <f t="shared" si="15"/>
        <v>0</v>
      </c>
      <c r="W510" s="12"/>
      <c r="X510" t="str">
        <f>_xlfn.CONCAT(Tableau1[[#This Row],[Competition]],"_",Tableau1[[#This Row],[Championship_step]],"_",Tableau1[[#This Row],[Competition_date]],"_",Tableau1[[#This Row],[Gender]])</f>
        <v>Diamond League Oslo 2024__45442_Male</v>
      </c>
      <c r="Y510" t="s">
        <v>31</v>
      </c>
      <c r="Z510" s="2" t="s">
        <v>43</v>
      </c>
      <c r="AA510" s="2"/>
      <c r="AB510" s="2" t="s">
        <v>65</v>
      </c>
      <c r="AC510" s="2">
        <v>45442</v>
      </c>
      <c r="AD510" s="3">
        <v>2024</v>
      </c>
      <c r="AE510">
        <v>16</v>
      </c>
      <c r="AF510" s="5">
        <v>0.69</v>
      </c>
      <c r="AG510" t="s">
        <v>61</v>
      </c>
      <c r="AH510" t="s">
        <v>32</v>
      </c>
    </row>
    <row r="511" spans="1:34" hidden="1" x14ac:dyDescent="0.35">
      <c r="A511" t="str">
        <f>_xlfn.CONCAT(Tableau1[[#This Row],[Athletes]],"_",Tableau1[[#This Row],[Nationality]],"_",Tableau1[[#This Row],[Competition_year]])</f>
        <v>Adel MECHAAL_ESP_2024</v>
      </c>
      <c r="B511" t="s">
        <v>190</v>
      </c>
      <c r="C511" t="s">
        <v>16</v>
      </c>
      <c r="D511" t="s">
        <v>22</v>
      </c>
      <c r="E511">
        <v>14.4</v>
      </c>
      <c r="F511">
        <v>14.3</v>
      </c>
      <c r="G511">
        <v>14.3</v>
      </c>
      <c r="H511">
        <v>14.5</v>
      </c>
      <c r="I511">
        <v>14.1</v>
      </c>
      <c r="J511">
        <v>14.4</v>
      </c>
      <c r="K511">
        <v>14.4</v>
      </c>
      <c r="L511">
        <v>14.1</v>
      </c>
      <c r="M511">
        <v>14</v>
      </c>
      <c r="N511">
        <v>13.8</v>
      </c>
      <c r="O511">
        <v>14.2</v>
      </c>
      <c r="P511">
        <v>14.1</v>
      </c>
      <c r="Q511">
        <v>14</v>
      </c>
      <c r="R511">
        <v>14.1</v>
      </c>
      <c r="S511">
        <f>Tableau1[[#This Row],[Final_time]]-SUM(Tableau1[[#This Row],[0_100m]:[1300_1400m]])</f>
        <v>14.510000000000019</v>
      </c>
      <c r="T511">
        <v>213.21</v>
      </c>
      <c r="U511">
        <f t="shared" si="14"/>
        <v>213.21</v>
      </c>
      <c r="V511">
        <f t="shared" si="15"/>
        <v>0</v>
      </c>
      <c r="W511" s="12"/>
      <c r="X511" t="str">
        <f>_xlfn.CONCAT(Tableau1[[#This Row],[Competition]],"_",Tableau1[[#This Row],[Championship_step]],"_",Tableau1[[#This Row],[Competition_date]],"_",Tableau1[[#This Row],[Gender]])</f>
        <v>Diamond League Oslo 2024__45442_Male</v>
      </c>
      <c r="Y511" t="s">
        <v>31</v>
      </c>
      <c r="Z511" s="2" t="s">
        <v>43</v>
      </c>
      <c r="AA511" s="2"/>
      <c r="AB511" s="2" t="s">
        <v>65</v>
      </c>
      <c r="AC511" s="2">
        <v>45442</v>
      </c>
      <c r="AD511" s="3">
        <v>2024</v>
      </c>
      <c r="AE511">
        <v>16</v>
      </c>
      <c r="AF511" s="5">
        <v>0.69</v>
      </c>
      <c r="AG511" t="s">
        <v>61</v>
      </c>
      <c r="AH511" t="s">
        <v>32</v>
      </c>
    </row>
    <row r="512" spans="1:34" hidden="1" x14ac:dyDescent="0.35">
      <c r="A512" t="str">
        <f>_xlfn.CONCAT(Tableau1[[#This Row],[Athletes]],"_",Tableau1[[#This Row],[Nationality]],"_",Tableau1[[#This Row],[Competition_year]])</f>
        <v>Ryan MPHAHLELE_RSA_2024</v>
      </c>
      <c r="B512" t="s">
        <v>195</v>
      </c>
      <c r="C512" t="s">
        <v>16</v>
      </c>
      <c r="D512" t="s">
        <v>36</v>
      </c>
      <c r="E512">
        <v>14.3</v>
      </c>
      <c r="F512">
        <v>14.4</v>
      </c>
      <c r="G512">
        <v>14.2</v>
      </c>
      <c r="H512">
        <v>14.5</v>
      </c>
      <c r="I512">
        <v>14.1</v>
      </c>
      <c r="J512">
        <v>14.1</v>
      </c>
      <c r="K512">
        <v>14.1</v>
      </c>
      <c r="L512">
        <v>14.1</v>
      </c>
      <c r="M512">
        <v>14</v>
      </c>
      <c r="N512">
        <v>14.3</v>
      </c>
      <c r="O512">
        <v>14.2</v>
      </c>
      <c r="P512">
        <v>14.2</v>
      </c>
      <c r="Q512">
        <v>13.9</v>
      </c>
      <c r="R512">
        <v>14.1</v>
      </c>
      <c r="S512">
        <f>Tableau1[[#This Row],[Final_time]]-SUM(Tableau1[[#This Row],[0_100m]:[1300_1400m]])</f>
        <v>15.350000000000023</v>
      </c>
      <c r="T512">
        <v>213.85</v>
      </c>
      <c r="U512">
        <f t="shared" si="14"/>
        <v>213.85</v>
      </c>
      <c r="V512">
        <f t="shared" si="15"/>
        <v>0</v>
      </c>
      <c r="W512" s="12"/>
      <c r="X512" t="str">
        <f>_xlfn.CONCAT(Tableau1[[#This Row],[Competition]],"_",Tableau1[[#This Row],[Championship_step]],"_",Tableau1[[#This Row],[Competition_date]],"_",Tableau1[[#This Row],[Gender]])</f>
        <v>Diamond League Oslo 2024__45442_Male</v>
      </c>
      <c r="Y512" t="s">
        <v>31</v>
      </c>
      <c r="Z512" s="2" t="s">
        <v>43</v>
      </c>
      <c r="AA512" s="2"/>
      <c r="AB512" s="2" t="s">
        <v>65</v>
      </c>
      <c r="AC512" s="2">
        <v>45442</v>
      </c>
      <c r="AD512" s="3">
        <v>2024</v>
      </c>
      <c r="AE512">
        <v>16</v>
      </c>
      <c r="AF512" s="5">
        <v>0.69</v>
      </c>
      <c r="AG512" t="s">
        <v>61</v>
      </c>
      <c r="AH512" t="s">
        <v>32</v>
      </c>
    </row>
    <row r="513" spans="1:34" hidden="1" x14ac:dyDescent="0.35">
      <c r="A513" t="str">
        <f>_xlfn.CONCAT(Tableau1[[#This Row],[Athletes]],"_",Tableau1[[#This Row],[Nationality]],"_",Tableau1[[#This Row],[Competition_year]])</f>
        <v>Narve Gilje NORDÅS_NOR_2024</v>
      </c>
      <c r="B513" t="s">
        <v>217</v>
      </c>
      <c r="C513" t="s">
        <v>16</v>
      </c>
      <c r="D513" t="s">
        <v>30</v>
      </c>
      <c r="E513">
        <v>13.9</v>
      </c>
      <c r="F513">
        <v>14.3</v>
      </c>
      <c r="G513">
        <v>14.3</v>
      </c>
      <c r="H513">
        <v>14.7</v>
      </c>
      <c r="I513">
        <v>14.1</v>
      </c>
      <c r="J513">
        <v>14.4</v>
      </c>
      <c r="K513">
        <v>14.5</v>
      </c>
      <c r="L513">
        <v>14.1</v>
      </c>
      <c r="M513">
        <v>13.9</v>
      </c>
      <c r="N513">
        <v>13.9</v>
      </c>
      <c r="O513">
        <v>14.3</v>
      </c>
      <c r="P513">
        <v>14.4</v>
      </c>
      <c r="Q513">
        <v>14.1</v>
      </c>
      <c r="R513">
        <v>14.7</v>
      </c>
      <c r="S513">
        <f>Tableau1[[#This Row],[Final_time]]-SUM(Tableau1[[#This Row],[0_100m]:[1300_1400m]])</f>
        <v>15.260000000000019</v>
      </c>
      <c r="T513">
        <v>214.86</v>
      </c>
      <c r="U513">
        <f t="shared" si="14"/>
        <v>214.86</v>
      </c>
      <c r="V513">
        <f t="shared" si="15"/>
        <v>0</v>
      </c>
      <c r="W513" s="12"/>
      <c r="X513" t="str">
        <f>_xlfn.CONCAT(Tableau1[[#This Row],[Competition]],"_",Tableau1[[#This Row],[Championship_step]],"_",Tableau1[[#This Row],[Competition_date]],"_",Tableau1[[#This Row],[Gender]])</f>
        <v>Diamond League Oslo 2024__45442_Male</v>
      </c>
      <c r="Y513" t="s">
        <v>31</v>
      </c>
      <c r="Z513" s="2" t="s">
        <v>43</v>
      </c>
      <c r="AA513" s="2"/>
      <c r="AB513" s="2" t="s">
        <v>65</v>
      </c>
      <c r="AC513" s="2">
        <v>45442</v>
      </c>
      <c r="AD513" s="3">
        <v>2024</v>
      </c>
      <c r="AE513">
        <v>16</v>
      </c>
      <c r="AF513" s="5">
        <v>0.69</v>
      </c>
      <c r="AG513" t="s">
        <v>61</v>
      </c>
      <c r="AH513" t="s">
        <v>32</v>
      </c>
    </row>
    <row r="514" spans="1:34" hidden="1" x14ac:dyDescent="0.35">
      <c r="A514" t="str">
        <f>_xlfn.CONCAT(Tableau1[[#This Row],[Athletes]],"_",Tableau1[[#This Row],[Nationality]],"_",Tableau1[[#This Row],[Competition_year]])</f>
        <v>Stewart MCSWEYN_AUS_2024</v>
      </c>
      <c r="B514" t="s">
        <v>219</v>
      </c>
      <c r="C514" t="s">
        <v>16</v>
      </c>
      <c r="D514" t="s">
        <v>21</v>
      </c>
      <c r="E514">
        <v>14.1</v>
      </c>
      <c r="F514">
        <v>13.6</v>
      </c>
      <c r="G514">
        <v>14.3</v>
      </c>
      <c r="H514">
        <v>14.2</v>
      </c>
      <c r="I514">
        <v>14.4</v>
      </c>
      <c r="J514">
        <v>14.6</v>
      </c>
      <c r="K514">
        <v>14.5</v>
      </c>
      <c r="L514">
        <v>14.3</v>
      </c>
      <c r="M514">
        <v>14.3</v>
      </c>
      <c r="N514">
        <v>14.8</v>
      </c>
      <c r="O514">
        <v>14.5</v>
      </c>
      <c r="P514">
        <v>15</v>
      </c>
      <c r="Q514">
        <v>15.1</v>
      </c>
      <c r="R514">
        <v>15.1</v>
      </c>
      <c r="S514">
        <f>Tableau1[[#This Row],[Final_time]]-SUM(Tableau1[[#This Row],[0_100m]:[1300_1400m]])</f>
        <v>15.419999999999987</v>
      </c>
      <c r="T514">
        <v>218.22</v>
      </c>
      <c r="U514">
        <f t="shared" ref="U514:U577" si="16">SUM(E514:S514)</f>
        <v>218.22</v>
      </c>
      <c r="V514">
        <f t="shared" ref="V514:V577" si="17">ABS(U514-T514)</f>
        <v>0</v>
      </c>
      <c r="W514" s="12"/>
      <c r="X514" t="str">
        <f>_xlfn.CONCAT(Tableau1[[#This Row],[Competition]],"_",Tableau1[[#This Row],[Championship_step]],"_",Tableau1[[#This Row],[Competition_date]],"_",Tableau1[[#This Row],[Gender]])</f>
        <v>Diamond League Oslo 2024__45442_Male</v>
      </c>
      <c r="Y514" t="s">
        <v>31</v>
      </c>
      <c r="Z514" s="2" t="s">
        <v>43</v>
      </c>
      <c r="AA514" s="2"/>
      <c r="AB514" s="2" t="s">
        <v>65</v>
      </c>
      <c r="AC514" s="2">
        <v>45442</v>
      </c>
      <c r="AD514" s="3">
        <v>2024</v>
      </c>
      <c r="AE514">
        <v>16</v>
      </c>
      <c r="AF514" s="5">
        <v>0.69</v>
      </c>
      <c r="AG514" t="s">
        <v>61</v>
      </c>
      <c r="AH514" t="s">
        <v>32</v>
      </c>
    </row>
    <row r="515" spans="1:34" hidden="1" x14ac:dyDescent="0.35">
      <c r="A515" t="str">
        <f>_xlfn.CONCAT(Tableau1[[#This Row],[Athletes]],"_",Tableau1[[#This Row],[Nationality]],"_",Tableau1[[#This Row],[Competition_year]])</f>
        <v>Håkon MOE BERG_NOR_2025</v>
      </c>
      <c r="B515" t="s">
        <v>935</v>
      </c>
      <c r="C515" t="s">
        <v>16</v>
      </c>
      <c r="D515" t="s">
        <v>30</v>
      </c>
      <c r="E515">
        <v>14.1</v>
      </c>
      <c r="F515">
        <v>13.9</v>
      </c>
      <c r="G515">
        <v>14.7</v>
      </c>
      <c r="H515">
        <v>15</v>
      </c>
      <c r="I515">
        <v>14.8</v>
      </c>
      <c r="J515">
        <v>14.5</v>
      </c>
      <c r="K515">
        <v>14.1</v>
      </c>
      <c r="L515">
        <v>14.5</v>
      </c>
      <c r="M515">
        <v>14.5</v>
      </c>
      <c r="N515">
        <v>14.7</v>
      </c>
      <c r="O515">
        <v>14.8</v>
      </c>
      <c r="P515">
        <v>14.5</v>
      </c>
      <c r="Q515">
        <v>14.2</v>
      </c>
      <c r="R515">
        <v>13.6</v>
      </c>
      <c r="S515">
        <f>Tableau1[[#This Row],[Final_time]]-SUM(Tableau1[[#This Row],[0_100m]:[1300_1400m]])</f>
        <v>13.510000000000019</v>
      </c>
      <c r="T515">
        <v>215.41</v>
      </c>
      <c r="U515">
        <f t="shared" si="16"/>
        <v>215.41</v>
      </c>
      <c r="V515">
        <f t="shared" si="17"/>
        <v>0</v>
      </c>
      <c r="W515" s="12"/>
      <c r="X515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15" t="s">
        <v>1347</v>
      </c>
      <c r="Z515" s="2" t="s">
        <v>43</v>
      </c>
      <c r="AA515" s="2"/>
      <c r="AB515" s="2" t="s">
        <v>44</v>
      </c>
      <c r="AC515" s="2">
        <v>45820</v>
      </c>
      <c r="AD515" s="3">
        <v>2025</v>
      </c>
      <c r="AE515" s="3">
        <v>19</v>
      </c>
      <c r="AF515" s="5">
        <v>0.34</v>
      </c>
      <c r="AG515" s="3" t="s">
        <v>62</v>
      </c>
    </row>
    <row r="516" spans="1:34" hidden="1" x14ac:dyDescent="0.35">
      <c r="A516" t="str">
        <f>_xlfn.CONCAT(Tableau1[[#This Row],[Athletes]],"_",Tableau1[[#This Row],[Nationality]],"_",Tableau1[[#This Row],[Competition_year]])</f>
        <v>Jose Carlos PINTO_POR_2025</v>
      </c>
      <c r="B516" t="s">
        <v>1338</v>
      </c>
      <c r="C516" t="s">
        <v>16</v>
      </c>
      <c r="D516" t="s">
        <v>33</v>
      </c>
      <c r="E516">
        <v>14.3</v>
      </c>
      <c r="F516">
        <v>13.6</v>
      </c>
      <c r="G516">
        <v>14.4</v>
      </c>
      <c r="H516">
        <v>15</v>
      </c>
      <c r="I516">
        <v>14.7</v>
      </c>
      <c r="J516">
        <v>14.3</v>
      </c>
      <c r="K516">
        <v>14.2</v>
      </c>
      <c r="L516">
        <v>14.6</v>
      </c>
      <c r="M516">
        <v>14.6</v>
      </c>
      <c r="N516">
        <v>14.7</v>
      </c>
      <c r="O516">
        <v>14.8</v>
      </c>
      <c r="P516">
        <v>14.2</v>
      </c>
      <c r="Q516">
        <v>14.2</v>
      </c>
      <c r="R516">
        <v>13.6</v>
      </c>
      <c r="S516">
        <f>Tableau1[[#This Row],[Final_time]]-SUM(Tableau1[[#This Row],[0_100m]:[1300_1400m]])</f>
        <v>13.900000000000034</v>
      </c>
      <c r="T516">
        <v>215.1</v>
      </c>
      <c r="U516">
        <f t="shared" si="16"/>
        <v>215.1</v>
      </c>
      <c r="V516">
        <f t="shared" si="17"/>
        <v>0</v>
      </c>
      <c r="W516" s="12"/>
      <c r="X516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16" t="s">
        <v>1347</v>
      </c>
      <c r="Z516" s="2" t="s">
        <v>43</v>
      </c>
      <c r="AA516" s="2"/>
      <c r="AB516" s="2" t="s">
        <v>44</v>
      </c>
      <c r="AC516" s="2">
        <v>45820</v>
      </c>
      <c r="AD516" s="3">
        <v>2025</v>
      </c>
      <c r="AE516" s="3">
        <v>19</v>
      </c>
      <c r="AF516" s="5">
        <v>0.34</v>
      </c>
      <c r="AG516" s="3" t="s">
        <v>62</v>
      </c>
    </row>
    <row r="517" spans="1:34" hidden="1" x14ac:dyDescent="0.35">
      <c r="A517" t="str">
        <f>_xlfn.CONCAT(Tableau1[[#This Row],[Athletes]],"_",Tableau1[[#This Row],[Nationality]],"_",Tableau1[[#This Row],[Competition_year]])</f>
        <v>Kristian Uldbjerg HANSEN_DEN_2025</v>
      </c>
      <c r="B517" t="s">
        <v>238</v>
      </c>
      <c r="C517" t="s">
        <v>16</v>
      </c>
      <c r="D517" t="s">
        <v>40</v>
      </c>
      <c r="E517">
        <v>14.1</v>
      </c>
      <c r="F517">
        <v>14</v>
      </c>
      <c r="G517">
        <v>14.4</v>
      </c>
      <c r="H517">
        <v>14.9</v>
      </c>
      <c r="I517">
        <v>14.9</v>
      </c>
      <c r="J517">
        <v>14.3</v>
      </c>
      <c r="K517">
        <v>14.1</v>
      </c>
      <c r="L517">
        <v>14.6</v>
      </c>
      <c r="M517">
        <v>14.6</v>
      </c>
      <c r="N517">
        <v>14.7</v>
      </c>
      <c r="O517">
        <v>14.8</v>
      </c>
      <c r="P517">
        <v>14.2</v>
      </c>
      <c r="Q517">
        <v>13.8</v>
      </c>
      <c r="R517">
        <v>13.5</v>
      </c>
      <c r="S517">
        <f>Tableau1[[#This Row],[Final_time]]-SUM(Tableau1[[#This Row],[0_100m]:[1300_1400m]])</f>
        <v>13.940000000000026</v>
      </c>
      <c r="T517">
        <v>214.84</v>
      </c>
      <c r="U517">
        <f t="shared" si="16"/>
        <v>214.84</v>
      </c>
      <c r="V517">
        <f t="shared" si="17"/>
        <v>0</v>
      </c>
      <c r="W517" s="12"/>
      <c r="X517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17" t="s">
        <v>1347</v>
      </c>
      <c r="Z517" s="2" t="s">
        <v>43</v>
      </c>
      <c r="AA517" s="2"/>
      <c r="AB517" s="2" t="s">
        <v>44</v>
      </c>
      <c r="AC517" s="2">
        <v>45820</v>
      </c>
      <c r="AD517" s="3">
        <v>2025</v>
      </c>
      <c r="AE517" s="3">
        <v>19</v>
      </c>
      <c r="AF517" s="5">
        <v>0.34</v>
      </c>
      <c r="AG517" s="3" t="s">
        <v>62</v>
      </c>
    </row>
    <row r="518" spans="1:34" hidden="1" x14ac:dyDescent="0.35">
      <c r="A518" t="str">
        <f>_xlfn.CONCAT(Tableau1[[#This Row],[Athletes]],"_",Tableau1[[#This Row],[Nationality]],"_",Tableau1[[#This Row],[Competition_year]])</f>
        <v>Callum DAVIES_AUS_2025</v>
      </c>
      <c r="B518" t="s">
        <v>1339</v>
      </c>
      <c r="C518" t="s">
        <v>16</v>
      </c>
      <c r="D518" t="s">
        <v>21</v>
      </c>
      <c r="E518">
        <v>13.9</v>
      </c>
      <c r="F518">
        <v>13.5</v>
      </c>
      <c r="G518">
        <v>14.4</v>
      </c>
      <c r="H518">
        <v>14.9</v>
      </c>
      <c r="I518">
        <v>14.6</v>
      </c>
      <c r="J518">
        <v>14.4</v>
      </c>
      <c r="K518">
        <v>14.2</v>
      </c>
      <c r="L518">
        <v>14.8</v>
      </c>
      <c r="M518">
        <v>14.6</v>
      </c>
      <c r="N518">
        <v>14.6</v>
      </c>
      <c r="O518">
        <v>15.3</v>
      </c>
      <c r="P518">
        <v>14.7</v>
      </c>
      <c r="Q518">
        <v>14.6</v>
      </c>
      <c r="R518">
        <v>14</v>
      </c>
      <c r="S518">
        <f>Tableau1[[#This Row],[Final_time]]-SUM(Tableau1[[#This Row],[0_100m]:[1300_1400m]])</f>
        <v>14.560000000000002</v>
      </c>
      <c r="T518">
        <v>217.06</v>
      </c>
      <c r="U518">
        <f t="shared" si="16"/>
        <v>217.06</v>
      </c>
      <c r="V518">
        <f t="shared" si="17"/>
        <v>0</v>
      </c>
      <c r="W518" s="12"/>
      <c r="X518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18" t="s">
        <v>1347</v>
      </c>
      <c r="Z518" s="2" t="s">
        <v>43</v>
      </c>
      <c r="AA518" s="2"/>
      <c r="AB518" s="2" t="s">
        <v>44</v>
      </c>
      <c r="AC518" s="2">
        <v>45820</v>
      </c>
      <c r="AD518" s="3">
        <v>2025</v>
      </c>
      <c r="AE518" s="3">
        <v>19</v>
      </c>
      <c r="AF518" s="5">
        <v>0.34</v>
      </c>
      <c r="AG518" s="3" t="s">
        <v>62</v>
      </c>
    </row>
    <row r="519" spans="1:34" hidden="1" x14ac:dyDescent="0.35">
      <c r="A519" t="str">
        <f>_xlfn.CONCAT(Tableau1[[#This Row],[Athletes]],"_",Tableau1[[#This Row],[Nationality]],"_",Tableau1[[#This Row],[Competition_year]])</f>
        <v>Wiktor MILKOWSKI_POL_2025</v>
      </c>
      <c r="B519" t="s">
        <v>1341</v>
      </c>
      <c r="C519" t="s">
        <v>16</v>
      </c>
      <c r="D519" t="s">
        <v>83</v>
      </c>
      <c r="E519">
        <v>14.3</v>
      </c>
      <c r="F519">
        <v>13.9</v>
      </c>
      <c r="G519">
        <v>14.7</v>
      </c>
      <c r="H519">
        <v>15</v>
      </c>
      <c r="I519">
        <v>14.8</v>
      </c>
      <c r="J519">
        <v>14.6</v>
      </c>
      <c r="K519">
        <v>14.6</v>
      </c>
      <c r="L519">
        <v>14.8</v>
      </c>
      <c r="M519">
        <v>15.2</v>
      </c>
      <c r="N519">
        <v>14.7</v>
      </c>
      <c r="O519">
        <v>15.5</v>
      </c>
      <c r="P519">
        <v>15</v>
      </c>
      <c r="Q519">
        <v>15.4</v>
      </c>
      <c r="R519">
        <v>15</v>
      </c>
      <c r="S519">
        <f>Tableau1[[#This Row],[Final_time]]-SUM(Tableau1[[#This Row],[0_100m]:[1300_1400m]])</f>
        <v>14.78000000000003</v>
      </c>
      <c r="T519">
        <v>222.28</v>
      </c>
      <c r="U519">
        <f t="shared" si="16"/>
        <v>222.28</v>
      </c>
      <c r="V519">
        <f t="shared" si="17"/>
        <v>0</v>
      </c>
      <c r="W519" s="12"/>
      <c r="X519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19" t="s">
        <v>1347</v>
      </c>
      <c r="Z519" s="2" t="s">
        <v>43</v>
      </c>
      <c r="AA519" s="2"/>
      <c r="AB519" s="2" t="s">
        <v>44</v>
      </c>
      <c r="AC519" s="2">
        <v>45820</v>
      </c>
      <c r="AD519" s="3">
        <v>2025</v>
      </c>
      <c r="AE519" s="3">
        <v>19</v>
      </c>
      <c r="AF519" s="5">
        <v>0.34</v>
      </c>
      <c r="AG519" s="3" t="s">
        <v>62</v>
      </c>
    </row>
    <row r="520" spans="1:34" hidden="1" x14ac:dyDescent="0.35">
      <c r="A520" t="str">
        <f>_xlfn.CONCAT(Tableau1[[#This Row],[Athletes]],"_",Tableau1[[#This Row],[Nationality]],"_",Tableau1[[#This Row],[Competition_year]])</f>
        <v>Joseph ROGERS_GBR_2025</v>
      </c>
      <c r="B520" t="s">
        <v>1343</v>
      </c>
      <c r="C520" t="s">
        <v>16</v>
      </c>
      <c r="D520" t="s">
        <v>20</v>
      </c>
      <c r="E520">
        <v>14.6</v>
      </c>
      <c r="F520">
        <v>14.1</v>
      </c>
      <c r="G520">
        <v>14.5</v>
      </c>
      <c r="H520">
        <v>15.1</v>
      </c>
      <c r="I520">
        <v>14.9</v>
      </c>
      <c r="J520">
        <v>14.9</v>
      </c>
      <c r="K520">
        <v>15</v>
      </c>
      <c r="L520">
        <v>15.1</v>
      </c>
      <c r="M520">
        <v>15.2</v>
      </c>
      <c r="N520">
        <v>15.6</v>
      </c>
      <c r="O520">
        <v>15.1</v>
      </c>
      <c r="P520">
        <v>14.7</v>
      </c>
      <c r="Q520">
        <v>15.4</v>
      </c>
      <c r="R520">
        <v>15.4</v>
      </c>
      <c r="S520">
        <f>Tableau1[[#This Row],[Final_time]]-SUM(Tableau1[[#This Row],[0_100m]:[1300_1400m]])</f>
        <v>15.110000000000014</v>
      </c>
      <c r="T520">
        <v>224.71</v>
      </c>
      <c r="U520">
        <f t="shared" si="16"/>
        <v>224.71</v>
      </c>
      <c r="V520">
        <f t="shared" si="17"/>
        <v>0</v>
      </c>
      <c r="W520" s="12"/>
      <c r="X520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0" t="s">
        <v>1347</v>
      </c>
      <c r="Z520" s="2" t="s">
        <v>43</v>
      </c>
      <c r="AA520" s="2"/>
      <c r="AB520" s="2" t="s">
        <v>44</v>
      </c>
      <c r="AC520" s="2">
        <v>45820</v>
      </c>
      <c r="AD520" s="3">
        <v>2025</v>
      </c>
      <c r="AE520" s="3">
        <v>19</v>
      </c>
      <c r="AF520" s="5">
        <v>0.34</v>
      </c>
      <c r="AG520" s="3" t="s">
        <v>62</v>
      </c>
    </row>
    <row r="521" spans="1:34" hidden="1" x14ac:dyDescent="0.35">
      <c r="A521" t="str">
        <f>_xlfn.CONCAT(Tableau1[[#This Row],[Athletes]],"_",Tableau1[[#This Row],[Nationality]],"_",Tableau1[[#This Row],[Competition_year]])</f>
        <v>Vetle FARBU-SOLBAKKEN_NOR_2025</v>
      </c>
      <c r="B521" t="s">
        <v>1342</v>
      </c>
      <c r="C521" t="s">
        <v>16</v>
      </c>
      <c r="D521" t="s">
        <v>30</v>
      </c>
      <c r="E521">
        <v>14.8</v>
      </c>
      <c r="F521">
        <v>14.1</v>
      </c>
      <c r="G521">
        <v>14.5</v>
      </c>
      <c r="H521">
        <v>15.1</v>
      </c>
      <c r="I521">
        <v>14.9</v>
      </c>
      <c r="J521">
        <v>14.9</v>
      </c>
      <c r="K521">
        <v>14.5</v>
      </c>
      <c r="L521">
        <v>14.7</v>
      </c>
      <c r="M521">
        <v>14.7</v>
      </c>
      <c r="N521">
        <v>14.8</v>
      </c>
      <c r="O521">
        <v>15</v>
      </c>
      <c r="P521">
        <v>14.7</v>
      </c>
      <c r="Q521">
        <v>15.2</v>
      </c>
      <c r="R521">
        <v>15.3</v>
      </c>
      <c r="S521">
        <f>Tableau1[[#This Row],[Final_time]]-SUM(Tableau1[[#This Row],[0_100m]:[1300_1400m]])</f>
        <v>15.139999999999986</v>
      </c>
      <c r="T521">
        <v>222.34</v>
      </c>
      <c r="U521">
        <f t="shared" si="16"/>
        <v>222.34</v>
      </c>
      <c r="V521">
        <f t="shared" si="17"/>
        <v>0</v>
      </c>
      <c r="W521" s="12"/>
      <c r="X521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1" t="s">
        <v>1347</v>
      </c>
      <c r="Z521" s="2" t="s">
        <v>43</v>
      </c>
      <c r="AA521" s="2"/>
      <c r="AB521" s="2" t="s">
        <v>44</v>
      </c>
      <c r="AC521" s="2">
        <v>45820</v>
      </c>
      <c r="AD521" s="3">
        <v>2025</v>
      </c>
      <c r="AE521" s="3">
        <v>19</v>
      </c>
      <c r="AF521" s="5">
        <v>0.34</v>
      </c>
      <c r="AG521" s="3" t="s">
        <v>62</v>
      </c>
    </row>
    <row r="522" spans="1:34" hidden="1" x14ac:dyDescent="0.35">
      <c r="A522" t="str">
        <f>_xlfn.CONCAT(Tableau1[[#This Row],[Athletes]],"_",Tableau1[[#This Row],[Nationality]],"_",Tableau1[[#This Row],[Competition_year]])</f>
        <v>Miguel de la TORRE_ESP_2025</v>
      </c>
      <c r="B522" t="s">
        <v>1344</v>
      </c>
      <c r="C522" t="s">
        <v>16</v>
      </c>
      <c r="D522" t="s">
        <v>22</v>
      </c>
      <c r="E522">
        <v>15</v>
      </c>
      <c r="F522">
        <v>14.1</v>
      </c>
      <c r="G522">
        <v>14.8</v>
      </c>
      <c r="H522">
        <v>15.2</v>
      </c>
      <c r="I522">
        <v>15.1</v>
      </c>
      <c r="J522">
        <v>15.6</v>
      </c>
      <c r="K522">
        <v>15.5</v>
      </c>
      <c r="L522">
        <v>16</v>
      </c>
      <c r="M522">
        <v>16.100000000000001</v>
      </c>
      <c r="N522">
        <v>16.2</v>
      </c>
      <c r="O522">
        <v>16.2</v>
      </c>
      <c r="P522">
        <v>16.100000000000001</v>
      </c>
      <c r="Q522">
        <v>16</v>
      </c>
      <c r="R522">
        <v>16.100000000000001</v>
      </c>
      <c r="S522">
        <f>Tableau1[[#This Row],[Final_time]]-SUM(Tableau1[[#This Row],[0_100m]:[1300_1400m]])</f>
        <v>15.760000000000019</v>
      </c>
      <c r="T522">
        <v>233.76</v>
      </c>
      <c r="U522">
        <f t="shared" si="16"/>
        <v>233.76</v>
      </c>
      <c r="V522">
        <f t="shared" si="17"/>
        <v>0</v>
      </c>
      <c r="W522" s="12"/>
      <c r="X522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2" t="s">
        <v>1347</v>
      </c>
      <c r="Z522" s="2" t="s">
        <v>43</v>
      </c>
      <c r="AA522" s="2"/>
      <c r="AB522" s="2" t="s">
        <v>44</v>
      </c>
      <c r="AC522" s="2">
        <v>45820</v>
      </c>
      <c r="AD522" s="3">
        <v>2025</v>
      </c>
      <c r="AE522" s="3">
        <v>19</v>
      </c>
      <c r="AF522" s="5">
        <v>0.34</v>
      </c>
      <c r="AG522" s="3" t="s">
        <v>62</v>
      </c>
    </row>
    <row r="523" spans="1:34" hidden="1" x14ac:dyDescent="0.35">
      <c r="A523" t="str">
        <f>_xlfn.CONCAT(Tableau1[[#This Row],[Athletes]],"_",Tableau1[[#This Row],[Nationality]],"_",Tableau1[[#This Row],[Competition_year]])</f>
        <v>Skjalg KONGSSUND_NOR_2025</v>
      </c>
      <c r="B523" t="s">
        <v>1346</v>
      </c>
      <c r="C523" t="s">
        <v>16</v>
      </c>
      <c r="D523" t="s">
        <v>30</v>
      </c>
      <c r="E523">
        <v>17</v>
      </c>
      <c r="F523">
        <v>16.100000000000001</v>
      </c>
      <c r="G523">
        <v>17</v>
      </c>
      <c r="H523">
        <v>17.3</v>
      </c>
      <c r="I523">
        <v>17.399999999999999</v>
      </c>
      <c r="J523">
        <v>17.600000000000001</v>
      </c>
      <c r="K523">
        <v>18.100000000000001</v>
      </c>
      <c r="L523">
        <v>18.5</v>
      </c>
      <c r="M523">
        <v>18.5</v>
      </c>
      <c r="N523">
        <v>19.2</v>
      </c>
      <c r="O523">
        <v>19.2</v>
      </c>
      <c r="P523">
        <v>19.100000000000001</v>
      </c>
      <c r="Q523">
        <v>18.7</v>
      </c>
      <c r="R523">
        <v>18.2</v>
      </c>
      <c r="S523">
        <f>Tableau1[[#This Row],[Final_time]]-SUM(Tableau1[[#This Row],[0_100m]:[1300_1400m]])</f>
        <v>17.210000000000065</v>
      </c>
      <c r="T523">
        <v>269.11</v>
      </c>
      <c r="U523">
        <f t="shared" si="16"/>
        <v>269.11</v>
      </c>
      <c r="V523">
        <f t="shared" si="17"/>
        <v>0</v>
      </c>
      <c r="W523" s="12"/>
      <c r="X523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3" t="s">
        <v>1347</v>
      </c>
      <c r="Z523" s="2" t="s">
        <v>43</v>
      </c>
      <c r="AA523" s="2"/>
      <c r="AB523" s="2" t="s">
        <v>44</v>
      </c>
      <c r="AC523" s="2">
        <v>45820</v>
      </c>
      <c r="AD523" s="3">
        <v>2025</v>
      </c>
      <c r="AE523" s="3">
        <v>19</v>
      </c>
      <c r="AF523" s="5">
        <v>0.34</v>
      </c>
      <c r="AG523" s="3" t="s">
        <v>62</v>
      </c>
    </row>
    <row r="524" spans="1:34" hidden="1" x14ac:dyDescent="0.35">
      <c r="A524" t="str">
        <f>_xlfn.CONCAT(Tableau1[[#This Row],[Athletes]],"_",Tableau1[[#This Row],[Nationality]],"_",Tableau1[[#This Row],[Competition_year]])</f>
        <v>Markus Kirk KJELDSEN_DEN_2025</v>
      </c>
      <c r="B524" t="s">
        <v>1345</v>
      </c>
      <c r="C524" t="s">
        <v>16</v>
      </c>
      <c r="D524" t="s">
        <v>40</v>
      </c>
      <c r="E524">
        <v>14</v>
      </c>
      <c r="F524">
        <v>13.6</v>
      </c>
      <c r="G524">
        <v>14.4</v>
      </c>
      <c r="H524">
        <v>14.9</v>
      </c>
      <c r="I524">
        <v>14.7</v>
      </c>
      <c r="J524">
        <v>15.2</v>
      </c>
      <c r="K524">
        <v>15.7</v>
      </c>
      <c r="L524">
        <v>15.6</v>
      </c>
      <c r="M524">
        <v>16.2</v>
      </c>
      <c r="N524">
        <v>16.600000000000001</v>
      </c>
      <c r="O524">
        <v>16.7</v>
      </c>
      <c r="P524">
        <v>16.7</v>
      </c>
      <c r="Q524">
        <v>17.2</v>
      </c>
      <c r="R524">
        <v>17.2</v>
      </c>
      <c r="S524">
        <f>Tableau1[[#This Row],[Final_time]]-SUM(Tableau1[[#This Row],[0_100m]:[1300_1400m]])</f>
        <v>17.270000000000067</v>
      </c>
      <c r="T524">
        <v>235.97</v>
      </c>
      <c r="U524">
        <f t="shared" si="16"/>
        <v>235.97</v>
      </c>
      <c r="V524">
        <f t="shared" si="17"/>
        <v>0</v>
      </c>
      <c r="W524" s="12"/>
      <c r="X524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4" t="s">
        <v>1347</v>
      </c>
      <c r="Z524" s="2" t="s">
        <v>43</v>
      </c>
      <c r="AA524" s="2"/>
      <c r="AB524" s="2" t="s">
        <v>44</v>
      </c>
      <c r="AC524" s="2">
        <v>45820</v>
      </c>
      <c r="AD524" s="3">
        <v>2025</v>
      </c>
      <c r="AE524" s="3">
        <v>19</v>
      </c>
      <c r="AF524" s="5">
        <v>0.34</v>
      </c>
      <c r="AG524" s="3" t="s">
        <v>62</v>
      </c>
    </row>
    <row r="525" spans="1:34" hidden="1" x14ac:dyDescent="0.35">
      <c r="A525" t="str">
        <f>_xlfn.CONCAT(Tableau1[[#This Row],[Athletes]],"_",Tableau1[[#This Row],[Nationality]],"_",Tableau1[[#This Row],[Competition_year]])</f>
        <v>Andreas FJELD HALVORSEN_NOR_2025</v>
      </c>
      <c r="B525" t="s">
        <v>749</v>
      </c>
      <c r="C525" t="s">
        <v>16</v>
      </c>
      <c r="D525" t="s">
        <v>30</v>
      </c>
      <c r="E525">
        <v>14.1</v>
      </c>
      <c r="F525">
        <v>13.7</v>
      </c>
      <c r="G525">
        <v>14.4</v>
      </c>
      <c r="H525">
        <v>14.9</v>
      </c>
      <c r="I525">
        <v>14.7</v>
      </c>
      <c r="J525">
        <v>14.3</v>
      </c>
      <c r="K525">
        <v>14.2</v>
      </c>
      <c r="L525">
        <v>14.6</v>
      </c>
      <c r="M525">
        <v>14.6</v>
      </c>
      <c r="N525">
        <v>14.7</v>
      </c>
      <c r="O525">
        <v>14.9</v>
      </c>
      <c r="P525">
        <v>14.6</v>
      </c>
      <c r="Q525">
        <v>40.5</v>
      </c>
      <c r="R525">
        <v>28</v>
      </c>
      <c r="S525">
        <f>Tableau1[[#This Row],[Final_time]]-SUM(Tableau1[[#This Row],[0_100m]:[1300_1400m]])</f>
        <v>24.689999999999998</v>
      </c>
      <c r="T525">
        <v>266.89</v>
      </c>
      <c r="U525">
        <f t="shared" si="16"/>
        <v>266.89</v>
      </c>
      <c r="V525">
        <f t="shared" si="17"/>
        <v>0</v>
      </c>
      <c r="W525" s="12"/>
      <c r="X525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5" t="s">
        <v>1347</v>
      </c>
      <c r="Z525" s="2" t="s">
        <v>43</v>
      </c>
      <c r="AA525" s="2"/>
      <c r="AB525" s="2" t="s">
        <v>44</v>
      </c>
      <c r="AC525" s="2">
        <v>45820</v>
      </c>
      <c r="AD525" s="3">
        <v>2025</v>
      </c>
      <c r="AE525" s="3">
        <v>19</v>
      </c>
      <c r="AF525" s="5">
        <v>0.34</v>
      </c>
      <c r="AG525" s="3" t="s">
        <v>62</v>
      </c>
    </row>
    <row r="526" spans="1:34" hidden="1" x14ac:dyDescent="0.35">
      <c r="A526" t="str">
        <f>_xlfn.CONCAT(Tableau1[[#This Row],[Athletes]],"_",Tableau1[[#This Row],[Nationality]],"_",Tableau1[[#This Row],[Competition_year]])</f>
        <v>Ibrahim BURAS_NOR_2025</v>
      </c>
      <c r="B526" t="s">
        <v>1340</v>
      </c>
      <c r="C526" t="s">
        <v>16</v>
      </c>
      <c r="D526" t="s">
        <v>30</v>
      </c>
      <c r="T526">
        <v>218.73</v>
      </c>
      <c r="U526">
        <f t="shared" si="16"/>
        <v>0</v>
      </c>
      <c r="V526">
        <f t="shared" si="17"/>
        <v>218.73</v>
      </c>
      <c r="W526" s="12"/>
      <c r="X526" t="str">
        <f>_xlfn.CONCAT(Tableau1[[#This Row],[Competition]],"_",Tableau1[[#This Row],[Championship_step]],"_",Tableau1[[#This Row],[Competition_date]],"_",Tableau1[[#This Row],[Gender]])</f>
        <v>Diamond League Oslo 2025 - National__45820_Male</v>
      </c>
      <c r="Y526" t="s">
        <v>1347</v>
      </c>
      <c r="Z526" s="2" t="s">
        <v>43</v>
      </c>
      <c r="AA526" s="2"/>
      <c r="AB526" s="2" t="s">
        <v>44</v>
      </c>
      <c r="AC526" s="2">
        <v>45820</v>
      </c>
      <c r="AD526" s="3">
        <v>2025</v>
      </c>
      <c r="AE526" s="3">
        <v>19</v>
      </c>
      <c r="AF526" s="5">
        <v>0.34</v>
      </c>
      <c r="AG526" s="3" t="s">
        <v>62</v>
      </c>
    </row>
    <row r="527" spans="1:34" hidden="1" x14ac:dyDescent="0.35">
      <c r="A527" t="str">
        <f>_xlfn.CONCAT(Tableau1[[#This Row],[Athletes]],"_",Tableau1[[#This Row],[Nationality]],"_",Tableau1[[#This Row],[Competition_year]])</f>
        <v>Georgia HUNTER BELL_GBR_2024</v>
      </c>
      <c r="B527" t="s">
        <v>1348</v>
      </c>
      <c r="C527" t="s">
        <v>47</v>
      </c>
      <c r="D527" t="s">
        <v>20</v>
      </c>
      <c r="E527">
        <v>15.2</v>
      </c>
      <c r="F527">
        <v>15.9</v>
      </c>
      <c r="G527">
        <v>16.5</v>
      </c>
      <c r="H527">
        <v>16.600000000000001</v>
      </c>
      <c r="I527">
        <v>16.2</v>
      </c>
      <c r="J527">
        <v>15.5</v>
      </c>
      <c r="K527">
        <v>16</v>
      </c>
      <c r="L527">
        <v>16.3</v>
      </c>
      <c r="M527">
        <v>15.9</v>
      </c>
      <c r="N527">
        <v>15.8</v>
      </c>
      <c r="O527">
        <v>15.8</v>
      </c>
      <c r="P527">
        <v>15.9</v>
      </c>
      <c r="Q527">
        <v>15.3</v>
      </c>
      <c r="R527">
        <v>15.2</v>
      </c>
      <c r="S527">
        <f>Tableau1[[#This Row],[Final_time]]-SUM(Tableau1[[#This Row],[0_100m]:[1300_1400m]])</f>
        <v>14.439999999999941</v>
      </c>
      <c r="T527">
        <v>236.54</v>
      </c>
      <c r="U527">
        <f t="shared" si="16"/>
        <v>236.54</v>
      </c>
      <c r="V527">
        <f t="shared" si="17"/>
        <v>0</v>
      </c>
      <c r="W527" s="12"/>
      <c r="X527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27" t="s">
        <v>77</v>
      </c>
      <c r="Z527" s="2" t="s">
        <v>43</v>
      </c>
      <c r="AA527" s="2"/>
      <c r="AB527" s="2" t="s">
        <v>65</v>
      </c>
      <c r="AC527" s="2">
        <v>45480</v>
      </c>
      <c r="AD527" s="3">
        <v>2024</v>
      </c>
      <c r="AE527" s="3">
        <v>24</v>
      </c>
      <c r="AF527" s="5">
        <v>0.35</v>
      </c>
      <c r="AG527" s="3" t="s">
        <v>62</v>
      </c>
      <c r="AH527" t="s">
        <v>78</v>
      </c>
    </row>
    <row r="528" spans="1:34" hidden="1" x14ac:dyDescent="0.35">
      <c r="A528" t="str">
        <f>_xlfn.CONCAT(Tableau1[[#This Row],[Athletes]],"_",Tableau1[[#This Row],[Nationality]],"_",Tableau1[[#This Row],[Competition_year]])</f>
        <v>Agathe GUILLEMOT_FRA_2024</v>
      </c>
      <c r="B528" t="s">
        <v>171</v>
      </c>
      <c r="C528" t="s">
        <v>47</v>
      </c>
      <c r="D528" t="s">
        <v>18</v>
      </c>
      <c r="E528">
        <v>15.7</v>
      </c>
      <c r="F528">
        <v>16.2</v>
      </c>
      <c r="G528">
        <v>16.600000000000001</v>
      </c>
      <c r="H528">
        <v>16.8</v>
      </c>
      <c r="I528">
        <v>16.100000000000001</v>
      </c>
      <c r="J528">
        <v>15.8</v>
      </c>
      <c r="K528">
        <v>16.100000000000001</v>
      </c>
      <c r="L528">
        <v>16</v>
      </c>
      <c r="M528">
        <v>15.9</v>
      </c>
      <c r="N528">
        <v>15.8</v>
      </c>
      <c r="O528">
        <v>15.8</v>
      </c>
      <c r="P528">
        <v>15.7</v>
      </c>
      <c r="Q528">
        <v>15.3</v>
      </c>
      <c r="R528">
        <v>15.3</v>
      </c>
      <c r="S528">
        <f>Tableau1[[#This Row],[Final_time]]-SUM(Tableau1[[#This Row],[0_100m]:[1300_1400m]])</f>
        <v>14.94999999999996</v>
      </c>
      <c r="T528">
        <v>238.05</v>
      </c>
      <c r="U528">
        <f t="shared" si="16"/>
        <v>238.05</v>
      </c>
      <c r="V528">
        <f t="shared" si="17"/>
        <v>0</v>
      </c>
      <c r="W528" s="12"/>
      <c r="X528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28" t="s">
        <v>77</v>
      </c>
      <c r="Z528" s="2" t="s">
        <v>43</v>
      </c>
      <c r="AA528" s="2"/>
      <c r="AB528" s="2" t="s">
        <v>65</v>
      </c>
      <c r="AC528" s="2">
        <v>45480</v>
      </c>
      <c r="AD528" s="3">
        <v>2024</v>
      </c>
      <c r="AE528" s="3">
        <v>24</v>
      </c>
      <c r="AF528" s="5">
        <v>0.35</v>
      </c>
      <c r="AG528" s="3" t="s">
        <v>62</v>
      </c>
      <c r="AH528" t="s">
        <v>78</v>
      </c>
    </row>
    <row r="529" spans="1:34" hidden="1" x14ac:dyDescent="0.35">
      <c r="A529" t="str">
        <f>_xlfn.CONCAT(Tableau1[[#This Row],[Athletes]],"_",Tableau1[[#This Row],[Nationality]],"_",Tableau1[[#This Row],[Competition_year]])</f>
        <v>Laura MUIR_GBR_2024</v>
      </c>
      <c r="B529" t="s">
        <v>153</v>
      </c>
      <c r="C529" t="s">
        <v>47</v>
      </c>
      <c r="D529" t="s">
        <v>20</v>
      </c>
      <c r="E529">
        <v>14.7</v>
      </c>
      <c r="F529">
        <v>15.8</v>
      </c>
      <c r="G529">
        <v>16.8</v>
      </c>
      <c r="H529">
        <v>16.5</v>
      </c>
      <c r="I529">
        <v>15.9</v>
      </c>
      <c r="J529">
        <v>15.4</v>
      </c>
      <c r="K529">
        <v>16.100000000000001</v>
      </c>
      <c r="L529">
        <v>16.3</v>
      </c>
      <c r="M529">
        <v>15.8</v>
      </c>
      <c r="N529">
        <v>15.4</v>
      </c>
      <c r="O529">
        <v>15.6</v>
      </c>
      <c r="P529">
        <v>15.5</v>
      </c>
      <c r="Q529">
        <v>14.4</v>
      </c>
      <c r="R529">
        <v>14.6</v>
      </c>
      <c r="S529">
        <f>Tableau1[[#This Row],[Final_time]]-SUM(Tableau1[[#This Row],[0_100m]:[1300_1400m]])</f>
        <v>14.989999999999981</v>
      </c>
      <c r="T529">
        <v>233.79</v>
      </c>
      <c r="U529">
        <f t="shared" si="16"/>
        <v>233.79</v>
      </c>
      <c r="V529">
        <f t="shared" si="17"/>
        <v>0</v>
      </c>
      <c r="W529" s="12"/>
      <c r="X529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29" t="s">
        <v>77</v>
      </c>
      <c r="Z529" s="2" t="s">
        <v>43</v>
      </c>
      <c r="AA529" s="2"/>
      <c r="AB529" s="2" t="s">
        <v>65</v>
      </c>
      <c r="AC529" s="2">
        <v>45480</v>
      </c>
      <c r="AD529" s="3">
        <v>2024</v>
      </c>
      <c r="AE529" s="3">
        <v>24</v>
      </c>
      <c r="AF529" s="5">
        <v>0.35</v>
      </c>
      <c r="AG529" s="3" t="s">
        <v>62</v>
      </c>
      <c r="AH529" t="s">
        <v>78</v>
      </c>
    </row>
    <row r="530" spans="1:34" hidden="1" x14ac:dyDescent="0.35">
      <c r="A530" t="str">
        <f>_xlfn.CONCAT(Tableau1[[#This Row],[Athletes]],"_",Tableau1[[#This Row],[Nationality]],"_",Tableau1[[#This Row],[Competition_year]])</f>
        <v>Faith KIPYEGON_KEN_2024</v>
      </c>
      <c r="B530" t="s">
        <v>164</v>
      </c>
      <c r="C530" t="s">
        <v>47</v>
      </c>
      <c r="D530" t="s">
        <v>17</v>
      </c>
      <c r="E530">
        <v>14.4</v>
      </c>
      <c r="F530">
        <v>15.3</v>
      </c>
      <c r="G530">
        <v>16.399999999999999</v>
      </c>
      <c r="H530">
        <v>16.3</v>
      </c>
      <c r="I530">
        <v>15.4</v>
      </c>
      <c r="J530">
        <v>15.1</v>
      </c>
      <c r="K530">
        <v>15.8</v>
      </c>
      <c r="L530">
        <v>15.3</v>
      </c>
      <c r="M530">
        <v>15.2</v>
      </c>
      <c r="N530">
        <v>15</v>
      </c>
      <c r="O530">
        <v>15.5</v>
      </c>
      <c r="P530">
        <v>15.1</v>
      </c>
      <c r="Q530">
        <v>14.4</v>
      </c>
      <c r="R530">
        <v>14.7</v>
      </c>
      <c r="S530">
        <f>Tableau1[[#This Row],[Final_time]]-SUM(Tableau1[[#This Row],[0_100m]:[1300_1400m]])</f>
        <v>15.140000000000015</v>
      </c>
      <c r="T530">
        <v>229.04</v>
      </c>
      <c r="U530">
        <f t="shared" si="16"/>
        <v>229.04</v>
      </c>
      <c r="V530">
        <f t="shared" si="17"/>
        <v>0</v>
      </c>
      <c r="W530" s="12"/>
      <c r="X530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0" t="s">
        <v>77</v>
      </c>
      <c r="Z530" s="2" t="s">
        <v>43</v>
      </c>
      <c r="AA530" s="2"/>
      <c r="AB530" s="2" t="s">
        <v>65</v>
      </c>
      <c r="AC530" s="2">
        <v>45480</v>
      </c>
      <c r="AD530" s="3">
        <v>2024</v>
      </c>
      <c r="AE530" s="3">
        <v>24</v>
      </c>
      <c r="AF530" s="5">
        <v>0.35</v>
      </c>
      <c r="AG530" s="3" t="s">
        <v>62</v>
      </c>
      <c r="AH530" t="s">
        <v>78</v>
      </c>
    </row>
    <row r="531" spans="1:34" hidden="1" x14ac:dyDescent="0.35">
      <c r="A531" t="str">
        <f>_xlfn.CONCAT(Tableau1[[#This Row],[Athletes]],"_",Tableau1[[#This Row],[Nationality]],"_",Tableau1[[#This Row],[Competition_year]])</f>
        <v>Susan Lokayo EJORE_KEN_2024</v>
      </c>
      <c r="B531" t="s">
        <v>1264</v>
      </c>
      <c r="C531" t="s">
        <v>47</v>
      </c>
      <c r="D531" t="s">
        <v>17</v>
      </c>
      <c r="E531">
        <v>15.2</v>
      </c>
      <c r="F531">
        <v>16.2</v>
      </c>
      <c r="G531">
        <v>16</v>
      </c>
      <c r="H531">
        <v>16.5</v>
      </c>
      <c r="I531">
        <v>16</v>
      </c>
      <c r="J531">
        <v>15.5</v>
      </c>
      <c r="K531">
        <v>16</v>
      </c>
      <c r="L531">
        <v>16.3</v>
      </c>
      <c r="M531">
        <v>16</v>
      </c>
      <c r="N531">
        <v>15.6</v>
      </c>
      <c r="O531">
        <v>16.100000000000001</v>
      </c>
      <c r="P531">
        <v>15.9</v>
      </c>
      <c r="Q531">
        <v>15.5</v>
      </c>
      <c r="R531">
        <v>15.1</v>
      </c>
      <c r="S531">
        <f>Tableau1[[#This Row],[Final_time]]-SUM(Tableau1[[#This Row],[0_100m]:[1300_1400m]])</f>
        <v>15.360000000000014</v>
      </c>
      <c r="T531">
        <v>237.26</v>
      </c>
      <c r="U531">
        <f t="shared" si="16"/>
        <v>237.26</v>
      </c>
      <c r="V531">
        <f t="shared" si="17"/>
        <v>0</v>
      </c>
      <c r="W531" s="12"/>
      <c r="X531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1" t="s">
        <v>77</v>
      </c>
      <c r="Z531" s="2" t="s">
        <v>43</v>
      </c>
      <c r="AA531" s="2"/>
      <c r="AB531" s="2" t="s">
        <v>65</v>
      </c>
      <c r="AC531" s="2">
        <v>45480</v>
      </c>
      <c r="AD531" s="3">
        <v>2024</v>
      </c>
      <c r="AE531" s="3">
        <v>24</v>
      </c>
      <c r="AF531" s="5">
        <v>0.35</v>
      </c>
      <c r="AG531" s="3" t="s">
        <v>62</v>
      </c>
      <c r="AH531" t="s">
        <v>78</v>
      </c>
    </row>
    <row r="532" spans="1:34" hidden="1" x14ac:dyDescent="0.35">
      <c r="A532" t="str">
        <f>_xlfn.CONCAT(Tableau1[[#This Row],[Athletes]],"_",Tableau1[[#This Row],[Nationality]],"_",Tableau1[[#This Row],[Competition_year]])</f>
        <v>Jessica HULL_AUS_2024</v>
      </c>
      <c r="B532" t="s">
        <v>187</v>
      </c>
      <c r="C532" t="s">
        <v>47</v>
      </c>
      <c r="D532" t="s">
        <v>21</v>
      </c>
      <c r="E532">
        <v>14.6</v>
      </c>
      <c r="F532">
        <v>15.3</v>
      </c>
      <c r="G532">
        <v>16.399999999999999</v>
      </c>
      <c r="H532">
        <v>16.3</v>
      </c>
      <c r="I532">
        <v>15.4</v>
      </c>
      <c r="J532">
        <v>15.1</v>
      </c>
      <c r="K532">
        <v>15.8</v>
      </c>
      <c r="L532">
        <v>15.4</v>
      </c>
      <c r="M532">
        <v>15.1</v>
      </c>
      <c r="N532">
        <v>15</v>
      </c>
      <c r="O532">
        <v>15.5</v>
      </c>
      <c r="P532">
        <v>15.1</v>
      </c>
      <c r="Q532">
        <v>14.9</v>
      </c>
      <c r="R532">
        <v>15.3</v>
      </c>
      <c r="S532">
        <f>Tableau1[[#This Row],[Final_time]]-SUM(Tableau1[[#This Row],[0_100m]:[1300_1400m]])</f>
        <v>15.629999999999995</v>
      </c>
      <c r="T532">
        <v>230.83</v>
      </c>
      <c r="U532">
        <f t="shared" si="16"/>
        <v>230.83</v>
      </c>
      <c r="V532">
        <f t="shared" si="17"/>
        <v>0</v>
      </c>
      <c r="W532" s="12"/>
      <c r="X532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2" t="s">
        <v>77</v>
      </c>
      <c r="Z532" s="2" t="s">
        <v>43</v>
      </c>
      <c r="AA532" s="2"/>
      <c r="AB532" s="2" t="s">
        <v>65</v>
      </c>
      <c r="AC532" s="2">
        <v>45480</v>
      </c>
      <c r="AD532" s="3">
        <v>2024</v>
      </c>
      <c r="AE532" s="3">
        <v>24</v>
      </c>
      <c r="AF532" s="5">
        <v>0.35</v>
      </c>
      <c r="AG532" s="3" t="s">
        <v>62</v>
      </c>
      <c r="AH532" t="s">
        <v>78</v>
      </c>
    </row>
    <row r="533" spans="1:34" hidden="1" x14ac:dyDescent="0.35">
      <c r="A533" t="str">
        <f>_xlfn.CONCAT(Tableau1[[#This Row],[Athletes]],"_",Tableau1[[#This Row],[Nationality]],"_",Tableau1[[#This Row],[Competition_year]])</f>
        <v>Esther GUERRERO_ESP_2024</v>
      </c>
      <c r="B533" t="s">
        <v>169</v>
      </c>
      <c r="C533" t="s">
        <v>47</v>
      </c>
      <c r="D533" t="s">
        <v>22</v>
      </c>
      <c r="E533">
        <v>15.4</v>
      </c>
      <c r="F533">
        <v>16.2</v>
      </c>
      <c r="G533">
        <v>16.7</v>
      </c>
      <c r="H533">
        <v>16.7</v>
      </c>
      <c r="I533">
        <v>16.100000000000001</v>
      </c>
      <c r="J533">
        <v>15.7</v>
      </c>
      <c r="K533">
        <v>16.3</v>
      </c>
      <c r="L533">
        <v>15.9</v>
      </c>
      <c r="M533">
        <v>15.9</v>
      </c>
      <c r="N533">
        <v>15.9</v>
      </c>
      <c r="O533">
        <v>16.2</v>
      </c>
      <c r="P533">
        <v>16</v>
      </c>
      <c r="Q533">
        <v>15.8</v>
      </c>
      <c r="R533">
        <v>15.3</v>
      </c>
      <c r="S533">
        <f>Tableau1[[#This Row],[Final_time]]-SUM(Tableau1[[#This Row],[0_100m]:[1300_1400m]])</f>
        <v>15.639999999999986</v>
      </c>
      <c r="T533">
        <v>239.74</v>
      </c>
      <c r="U533">
        <f t="shared" si="16"/>
        <v>239.74</v>
      </c>
      <c r="V533">
        <f t="shared" si="17"/>
        <v>0</v>
      </c>
      <c r="W533" s="12"/>
      <c r="X533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3" t="s">
        <v>77</v>
      </c>
      <c r="Z533" s="2" t="s">
        <v>43</v>
      </c>
      <c r="AA533" s="2"/>
      <c r="AB533" s="2" t="s">
        <v>65</v>
      </c>
      <c r="AC533" s="2">
        <v>45480</v>
      </c>
      <c r="AD533" s="3">
        <v>2024</v>
      </c>
      <c r="AE533" s="3">
        <v>24</v>
      </c>
      <c r="AF533" s="5">
        <v>0.35</v>
      </c>
      <c r="AG533" s="3" t="s">
        <v>62</v>
      </c>
      <c r="AH533" t="s">
        <v>78</v>
      </c>
    </row>
    <row r="534" spans="1:34" hidden="1" x14ac:dyDescent="0.35">
      <c r="A534" t="str">
        <f>_xlfn.CONCAT(Tableau1[[#This Row],[Athletes]],"_",Tableau1[[#This Row],[Nationality]],"_",Tableau1[[#This Row],[Competition_year]])</f>
        <v>Katie SNOWDEN_GBR_2024</v>
      </c>
      <c r="B534" t="s">
        <v>186</v>
      </c>
      <c r="C534" t="s">
        <v>47</v>
      </c>
      <c r="D534" t="s">
        <v>20</v>
      </c>
      <c r="E534">
        <v>15</v>
      </c>
      <c r="F534">
        <v>16.100000000000001</v>
      </c>
      <c r="G534">
        <v>16.8</v>
      </c>
      <c r="H534">
        <v>16.7</v>
      </c>
      <c r="I534">
        <v>16.100000000000001</v>
      </c>
      <c r="J534">
        <v>15.6</v>
      </c>
      <c r="K534">
        <v>15.7</v>
      </c>
      <c r="L534">
        <v>16.399999999999999</v>
      </c>
      <c r="M534">
        <v>15.6</v>
      </c>
      <c r="N534">
        <v>15.7</v>
      </c>
      <c r="O534">
        <v>15.8</v>
      </c>
      <c r="P534">
        <v>15.9</v>
      </c>
      <c r="Q534">
        <v>15.4</v>
      </c>
      <c r="R534">
        <v>15.6</v>
      </c>
      <c r="S534">
        <f>Tableau1[[#This Row],[Final_time]]-SUM(Tableau1[[#This Row],[0_100m]:[1300_1400m]])</f>
        <v>15.72999999999999</v>
      </c>
      <c r="T534">
        <v>238.13</v>
      </c>
      <c r="U534">
        <f t="shared" si="16"/>
        <v>238.13</v>
      </c>
      <c r="V534">
        <f t="shared" si="17"/>
        <v>0</v>
      </c>
      <c r="W534" s="12"/>
      <c r="X534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4" t="s">
        <v>77</v>
      </c>
      <c r="Z534" s="2" t="s">
        <v>43</v>
      </c>
      <c r="AA534" s="2"/>
      <c r="AB534" s="2" t="s">
        <v>65</v>
      </c>
      <c r="AC534" s="2">
        <v>45480</v>
      </c>
      <c r="AD534" s="3">
        <v>2024</v>
      </c>
      <c r="AE534" s="3">
        <v>24</v>
      </c>
      <c r="AF534" s="5">
        <v>0.35</v>
      </c>
      <c r="AG534" s="3" t="s">
        <v>62</v>
      </c>
      <c r="AH534" t="s">
        <v>78</v>
      </c>
    </row>
    <row r="535" spans="1:34" hidden="1" x14ac:dyDescent="0.35">
      <c r="A535" t="str">
        <f>_xlfn.CONCAT(Tableau1[[#This Row],[Athletes]],"_",Tableau1[[#This Row],[Nationality]],"_",Tableau1[[#This Row],[Competition_year]])</f>
        <v>Sarah HEALY_IRL_2024</v>
      </c>
      <c r="B535" t="s">
        <v>166</v>
      </c>
      <c r="C535" t="s">
        <v>47</v>
      </c>
      <c r="D535" t="s">
        <v>35</v>
      </c>
      <c r="E535">
        <v>15.3</v>
      </c>
      <c r="F535">
        <v>16</v>
      </c>
      <c r="G535">
        <v>16.5</v>
      </c>
      <c r="H535">
        <v>16.600000000000001</v>
      </c>
      <c r="I535">
        <v>16.100000000000001</v>
      </c>
      <c r="J535">
        <v>15.6</v>
      </c>
      <c r="K535">
        <v>16</v>
      </c>
      <c r="L535">
        <v>16.100000000000001</v>
      </c>
      <c r="M535">
        <v>16</v>
      </c>
      <c r="N535">
        <v>15.8</v>
      </c>
      <c r="O535">
        <v>15.9</v>
      </c>
      <c r="P535">
        <v>15.7</v>
      </c>
      <c r="Q535">
        <v>15</v>
      </c>
      <c r="R535">
        <v>15.1</v>
      </c>
      <c r="S535">
        <f>Tableau1[[#This Row],[Final_time]]-SUM(Tableau1[[#This Row],[0_100m]:[1300_1400m]])</f>
        <v>15.760000000000019</v>
      </c>
      <c r="T535">
        <v>237.46</v>
      </c>
      <c r="U535">
        <f t="shared" si="16"/>
        <v>237.46</v>
      </c>
      <c r="V535">
        <f t="shared" si="17"/>
        <v>0</v>
      </c>
      <c r="W535" s="12"/>
      <c r="X535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5" t="s">
        <v>77</v>
      </c>
      <c r="Z535" s="2" t="s">
        <v>43</v>
      </c>
      <c r="AA535" s="2"/>
      <c r="AB535" s="2" t="s">
        <v>65</v>
      </c>
      <c r="AC535" s="2">
        <v>45480</v>
      </c>
      <c r="AD535" s="3">
        <v>2024</v>
      </c>
      <c r="AE535" s="3">
        <v>24</v>
      </c>
      <c r="AF535" s="5">
        <v>0.35</v>
      </c>
      <c r="AG535" s="3" t="s">
        <v>62</v>
      </c>
      <c r="AH535" t="s">
        <v>78</v>
      </c>
    </row>
    <row r="536" spans="1:34" hidden="1" x14ac:dyDescent="0.35">
      <c r="A536" t="str">
        <f>_xlfn.CONCAT(Tableau1[[#This Row],[Athletes]],"_",Tableau1[[#This Row],[Nationality]],"_",Tableau1[[#This Row],[Competition_year]])</f>
        <v>Ciara MAGEEAN_IRL_2024</v>
      </c>
      <c r="B536" t="s">
        <v>180</v>
      </c>
      <c r="C536" t="s">
        <v>47</v>
      </c>
      <c r="D536" t="s">
        <v>35</v>
      </c>
      <c r="E536">
        <v>14.8</v>
      </c>
      <c r="F536">
        <v>15.9</v>
      </c>
      <c r="G536">
        <v>16.8</v>
      </c>
      <c r="H536">
        <v>16.600000000000001</v>
      </c>
      <c r="I536">
        <v>16.100000000000001</v>
      </c>
      <c r="J536">
        <v>15.5</v>
      </c>
      <c r="K536">
        <v>16</v>
      </c>
      <c r="L536">
        <v>16.399999999999999</v>
      </c>
      <c r="M536">
        <v>16.2</v>
      </c>
      <c r="N536">
        <v>16</v>
      </c>
      <c r="O536">
        <v>15.9</v>
      </c>
      <c r="P536">
        <v>15.7</v>
      </c>
      <c r="Q536">
        <v>15.3</v>
      </c>
      <c r="R536">
        <v>15.6</v>
      </c>
      <c r="S536">
        <f>Tableau1[[#This Row],[Final_time]]-SUM(Tableau1[[#This Row],[0_100m]:[1300_1400m]])</f>
        <v>15.890000000000015</v>
      </c>
      <c r="T536">
        <v>238.69</v>
      </c>
      <c r="U536">
        <f t="shared" si="16"/>
        <v>238.69</v>
      </c>
      <c r="V536">
        <f t="shared" si="17"/>
        <v>0</v>
      </c>
      <c r="W536" s="12"/>
      <c r="X536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6" t="s">
        <v>77</v>
      </c>
      <c r="Z536" s="2" t="s">
        <v>43</v>
      </c>
      <c r="AA536" s="2"/>
      <c r="AB536" s="2" t="s">
        <v>65</v>
      </c>
      <c r="AC536" s="2">
        <v>45480</v>
      </c>
      <c r="AD536" s="3">
        <v>2024</v>
      </c>
      <c r="AE536" s="3">
        <v>24</v>
      </c>
      <c r="AF536" s="5">
        <v>0.35</v>
      </c>
      <c r="AG536" s="3" t="s">
        <v>62</v>
      </c>
      <c r="AH536" t="s">
        <v>78</v>
      </c>
    </row>
    <row r="537" spans="1:34" hidden="1" x14ac:dyDescent="0.35">
      <c r="A537" t="str">
        <f>_xlfn.CONCAT(Tableau1[[#This Row],[Athletes]],"_",Tableau1[[#This Row],[Nationality]],"_",Tableau1[[#This Row],[Competition_year]])</f>
        <v>Linden HALL_AUS_2024</v>
      </c>
      <c r="B537" t="s">
        <v>184</v>
      </c>
      <c r="C537" t="s">
        <v>47</v>
      </c>
      <c r="D537" t="s">
        <v>21</v>
      </c>
      <c r="E537">
        <v>15</v>
      </c>
      <c r="F537">
        <v>15.9</v>
      </c>
      <c r="G537">
        <v>16.2</v>
      </c>
      <c r="H537">
        <v>16.600000000000001</v>
      </c>
      <c r="I537">
        <v>15.8</v>
      </c>
      <c r="J537">
        <v>15.4</v>
      </c>
      <c r="K537">
        <v>16.2</v>
      </c>
      <c r="L537">
        <v>16.2</v>
      </c>
      <c r="M537">
        <v>15.7</v>
      </c>
      <c r="N537">
        <v>15.5</v>
      </c>
      <c r="O537">
        <v>15.7</v>
      </c>
      <c r="P537">
        <v>15.7</v>
      </c>
      <c r="Q537">
        <v>15.3</v>
      </c>
      <c r="R537">
        <v>15.3</v>
      </c>
      <c r="S537">
        <f>Tableau1[[#This Row],[Final_time]]-SUM(Tableau1[[#This Row],[0_100m]:[1300_1400m]])</f>
        <v>15.900000000000006</v>
      </c>
      <c r="T537">
        <v>236.4</v>
      </c>
      <c r="U537">
        <f t="shared" si="16"/>
        <v>236.4</v>
      </c>
      <c r="V537">
        <f t="shared" si="17"/>
        <v>0</v>
      </c>
      <c r="W537" s="12"/>
      <c r="X537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7" t="s">
        <v>77</v>
      </c>
      <c r="Z537" s="2" t="s">
        <v>43</v>
      </c>
      <c r="AA537" s="2"/>
      <c r="AB537" s="2" t="s">
        <v>65</v>
      </c>
      <c r="AC537" s="2">
        <v>45480</v>
      </c>
      <c r="AD537" s="3">
        <v>2024</v>
      </c>
      <c r="AE537" s="3">
        <v>24</v>
      </c>
      <c r="AF537" s="5">
        <v>0.35</v>
      </c>
      <c r="AG537" s="3" t="s">
        <v>62</v>
      </c>
      <c r="AH537" t="s">
        <v>78</v>
      </c>
    </row>
    <row r="538" spans="1:34" hidden="1" x14ac:dyDescent="0.35">
      <c r="A538" t="str">
        <f>_xlfn.CONCAT(Tableau1[[#This Row],[Athletes]],"_",Tableau1[[#This Row],[Nationality]],"_",Tableau1[[#This Row],[Competition_year]])</f>
        <v>Nigist GETACHEW_ETH_2024</v>
      </c>
      <c r="B538" t="s">
        <v>1150</v>
      </c>
      <c r="C538" t="s">
        <v>47</v>
      </c>
      <c r="D538" t="s">
        <v>48</v>
      </c>
      <c r="E538">
        <v>14.6</v>
      </c>
      <c r="F538">
        <v>16.2</v>
      </c>
      <c r="G538">
        <v>17</v>
      </c>
      <c r="H538">
        <v>16.600000000000001</v>
      </c>
      <c r="I538">
        <v>16.2</v>
      </c>
      <c r="J538">
        <v>15.9</v>
      </c>
      <c r="K538">
        <v>15.1</v>
      </c>
      <c r="L538">
        <v>16.3</v>
      </c>
      <c r="M538">
        <v>16</v>
      </c>
      <c r="N538">
        <v>15.7</v>
      </c>
      <c r="O538">
        <v>16.3</v>
      </c>
      <c r="P538">
        <v>16.3</v>
      </c>
      <c r="Q538">
        <v>15.1</v>
      </c>
      <c r="R538">
        <v>15.7</v>
      </c>
      <c r="S538">
        <f>Tableau1[[#This Row],[Final_time]]-SUM(Tableau1[[#This Row],[0_100m]:[1300_1400m]])</f>
        <v>15.97999999999999</v>
      </c>
      <c r="T538">
        <v>238.98</v>
      </c>
      <c r="U538">
        <f t="shared" si="16"/>
        <v>238.98</v>
      </c>
      <c r="V538">
        <f t="shared" si="17"/>
        <v>0</v>
      </c>
      <c r="W538" s="12"/>
      <c r="X538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8" t="s">
        <v>77</v>
      </c>
      <c r="Z538" s="2" t="s">
        <v>43</v>
      </c>
      <c r="AA538" s="2"/>
      <c r="AB538" s="2" t="s">
        <v>65</v>
      </c>
      <c r="AC538" s="2">
        <v>45480</v>
      </c>
      <c r="AD538" s="3">
        <v>2024</v>
      </c>
      <c r="AE538" s="3">
        <v>24</v>
      </c>
      <c r="AF538" s="5">
        <v>0.35</v>
      </c>
      <c r="AG538" s="3" t="s">
        <v>62</v>
      </c>
      <c r="AH538" t="s">
        <v>78</v>
      </c>
    </row>
    <row r="539" spans="1:34" hidden="1" x14ac:dyDescent="0.35">
      <c r="A539" t="str">
        <f>_xlfn.CONCAT(Tableau1[[#This Row],[Athletes]],"_",Tableau1[[#This Row],[Nationality]],"_",Tableau1[[#This Row],[Competition_year]])</f>
        <v>Cory Ann MCGEE_USA_2024</v>
      </c>
      <c r="B539" t="s">
        <v>181</v>
      </c>
      <c r="C539" t="s">
        <v>47</v>
      </c>
      <c r="D539" t="s">
        <v>51</v>
      </c>
      <c r="E539">
        <v>15</v>
      </c>
      <c r="F539">
        <v>16.2</v>
      </c>
      <c r="G539">
        <v>16.899999999999999</v>
      </c>
      <c r="H539">
        <v>16.7</v>
      </c>
      <c r="I539">
        <v>16.100000000000001</v>
      </c>
      <c r="J539">
        <v>15.8</v>
      </c>
      <c r="K539">
        <v>16</v>
      </c>
      <c r="L539">
        <v>15.9</v>
      </c>
      <c r="M539">
        <v>15.9</v>
      </c>
      <c r="N539">
        <v>16.100000000000001</v>
      </c>
      <c r="O539">
        <v>16</v>
      </c>
      <c r="P539">
        <v>15.7</v>
      </c>
      <c r="Q539">
        <v>15.9</v>
      </c>
      <c r="R539">
        <v>15.9</v>
      </c>
      <c r="S539">
        <f>Tableau1[[#This Row],[Final_time]]-SUM(Tableau1[[#This Row],[0_100m]:[1300_1400m]])</f>
        <v>17.080000000000013</v>
      </c>
      <c r="T539">
        <v>241.18</v>
      </c>
      <c r="U539">
        <f t="shared" si="16"/>
        <v>241.18</v>
      </c>
      <c r="V539">
        <f t="shared" si="17"/>
        <v>0</v>
      </c>
      <c r="W539" s="12"/>
      <c r="X539" t="str">
        <f>_xlfn.CONCAT(Tableau1[[#This Row],[Competition]],"_",Tableau1[[#This Row],[Championship_step]],"_",Tableau1[[#This Row],[Competition_date]],"_",Tableau1[[#This Row],[Gender]])</f>
        <v>Diamond League Paris 2024__45480_Female</v>
      </c>
      <c r="Y539" t="s">
        <v>77</v>
      </c>
      <c r="Z539" s="2" t="s">
        <v>43</v>
      </c>
      <c r="AA539" s="2"/>
      <c r="AB539" s="2" t="s">
        <v>65</v>
      </c>
      <c r="AC539" s="2">
        <v>45480</v>
      </c>
      <c r="AD539" s="3">
        <v>2024</v>
      </c>
      <c r="AE539" s="3">
        <v>24</v>
      </c>
      <c r="AF539" s="5">
        <v>0.35</v>
      </c>
      <c r="AG539" s="3" t="s">
        <v>62</v>
      </c>
      <c r="AH539" t="s">
        <v>78</v>
      </c>
    </row>
    <row r="540" spans="1:34" hidden="1" x14ac:dyDescent="0.35">
      <c r="A540" t="str">
        <f>_xlfn.CONCAT(Tableau1[[#This Row],[Athletes]],"_",Tableau1[[#This Row],[Nationality]],"_",Tableau1[[#This Row],[Competition_year]])</f>
        <v>Nelly CHEPCHIRCHIR_KEN_2025</v>
      </c>
      <c r="B540" t="s">
        <v>178</v>
      </c>
      <c r="C540" t="s">
        <v>47</v>
      </c>
      <c r="D540" t="s">
        <v>17</v>
      </c>
      <c r="E540">
        <v>15</v>
      </c>
      <c r="F540">
        <v>16.399999999999999</v>
      </c>
      <c r="G540">
        <v>16.2</v>
      </c>
      <c r="H540">
        <v>16.100000000000001</v>
      </c>
      <c r="I540">
        <v>15.7</v>
      </c>
      <c r="J540">
        <v>16</v>
      </c>
      <c r="K540">
        <v>15.8</v>
      </c>
      <c r="L540">
        <v>15.3</v>
      </c>
      <c r="M540">
        <v>15.8</v>
      </c>
      <c r="N540">
        <v>15.9</v>
      </c>
      <c r="O540">
        <v>16.100000000000001</v>
      </c>
      <c r="P540">
        <v>16.100000000000001</v>
      </c>
      <c r="Q540">
        <v>15.7</v>
      </c>
      <c r="R540">
        <v>15.7</v>
      </c>
      <c r="S540">
        <f>Tableau1[[#This Row],[Final_time]]-SUM(Tableau1[[#This Row],[0_100m]:[1300_1400m]])</f>
        <v>15.220000000000056</v>
      </c>
      <c r="T540">
        <v>237.02</v>
      </c>
      <c r="U540">
        <f t="shared" si="16"/>
        <v>237.02</v>
      </c>
      <c r="V540">
        <f t="shared" si="17"/>
        <v>0</v>
      </c>
      <c r="W540" s="12"/>
      <c r="X540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0" t="s">
        <v>1350</v>
      </c>
      <c r="Z540" s="2" t="s">
        <v>43</v>
      </c>
      <c r="AA540" s="2"/>
      <c r="AB540" s="2" t="s">
        <v>65</v>
      </c>
      <c r="AC540" s="2">
        <v>45828</v>
      </c>
      <c r="AD540" s="3">
        <v>2025</v>
      </c>
      <c r="AE540" s="3">
        <v>26</v>
      </c>
      <c r="AF540" s="5">
        <v>0.44</v>
      </c>
      <c r="AG540" s="3" t="s">
        <v>64</v>
      </c>
    </row>
    <row r="541" spans="1:34" hidden="1" x14ac:dyDescent="0.35">
      <c r="A541" t="str">
        <f>_xlfn.CONCAT(Tableau1[[#This Row],[Athletes]],"_",Tableau1[[#This Row],[Nationality]],"_",Tableau1[[#This Row],[Competition_year]])</f>
        <v>Sarah HEALY_IRL_2025</v>
      </c>
      <c r="B541" t="s">
        <v>166</v>
      </c>
      <c r="C541" t="s">
        <v>47</v>
      </c>
      <c r="D541" t="s">
        <v>35</v>
      </c>
      <c r="E541">
        <v>15.1</v>
      </c>
      <c r="F541">
        <v>16.5</v>
      </c>
      <c r="G541">
        <v>16.2</v>
      </c>
      <c r="H541">
        <v>16</v>
      </c>
      <c r="I541">
        <v>15.7</v>
      </c>
      <c r="J541">
        <v>15.9</v>
      </c>
      <c r="K541">
        <v>15.8</v>
      </c>
      <c r="L541">
        <v>15.8</v>
      </c>
      <c r="M541">
        <v>15.9</v>
      </c>
      <c r="N541">
        <v>15.9</v>
      </c>
      <c r="O541">
        <v>15.8</v>
      </c>
      <c r="P541">
        <v>16.3</v>
      </c>
      <c r="Q541">
        <v>15.8</v>
      </c>
      <c r="R541">
        <v>15.7</v>
      </c>
      <c r="S541">
        <f>Tableau1[[#This Row],[Final_time]]-SUM(Tableau1[[#This Row],[0_100m]:[1300_1400m]])</f>
        <v>14.749999999999972</v>
      </c>
      <c r="T541">
        <v>237.15</v>
      </c>
      <c r="U541">
        <f t="shared" si="16"/>
        <v>237.15</v>
      </c>
      <c r="V541">
        <f t="shared" si="17"/>
        <v>0</v>
      </c>
      <c r="W541" s="12"/>
      <c r="X541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1" t="s">
        <v>1350</v>
      </c>
      <c r="Z541" s="2" t="s">
        <v>43</v>
      </c>
      <c r="AA541" s="2"/>
      <c r="AB541" s="2" t="s">
        <v>65</v>
      </c>
      <c r="AC541" s="2">
        <v>45828</v>
      </c>
      <c r="AD541" s="3">
        <v>2025</v>
      </c>
      <c r="AE541" s="3">
        <v>26</v>
      </c>
      <c r="AF541" s="5">
        <v>0.44</v>
      </c>
      <c r="AG541" s="3" t="s">
        <v>64</v>
      </c>
    </row>
    <row r="542" spans="1:34" hidden="1" x14ac:dyDescent="0.35">
      <c r="A542" t="str">
        <f>_xlfn.CONCAT(Tableau1[[#This Row],[Athletes]],"_",Tableau1[[#This Row],[Nationality]],"_",Tableau1[[#This Row],[Competition_year]])</f>
        <v>Birke HAYLOM_ETH_2025</v>
      </c>
      <c r="B542" t="s">
        <v>179</v>
      </c>
      <c r="C542" t="s">
        <v>47</v>
      </c>
      <c r="D542" t="s">
        <v>48</v>
      </c>
      <c r="E542">
        <v>14.9</v>
      </c>
      <c r="F542">
        <v>16.5</v>
      </c>
      <c r="G542">
        <v>15.8</v>
      </c>
      <c r="H542">
        <v>15.7</v>
      </c>
      <c r="I542">
        <v>16.100000000000001</v>
      </c>
      <c r="J542">
        <v>15.7</v>
      </c>
      <c r="K542">
        <v>15.7</v>
      </c>
      <c r="L542">
        <v>15.6</v>
      </c>
      <c r="M542">
        <v>15.8</v>
      </c>
      <c r="N542">
        <v>15.9</v>
      </c>
      <c r="O542">
        <v>16.5</v>
      </c>
      <c r="P542">
        <v>16.399999999999999</v>
      </c>
      <c r="Q542">
        <v>15.7</v>
      </c>
      <c r="R542">
        <v>15.7</v>
      </c>
      <c r="S542">
        <f>Tableau1[[#This Row],[Final_time]]-SUM(Tableau1[[#This Row],[0_100m]:[1300_1400m]])</f>
        <v>15.5</v>
      </c>
      <c r="T542">
        <v>237.5</v>
      </c>
      <c r="U542">
        <f t="shared" si="16"/>
        <v>237.5</v>
      </c>
      <c r="V542">
        <f t="shared" si="17"/>
        <v>0</v>
      </c>
      <c r="W542" s="12"/>
      <c r="X542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2" t="s">
        <v>1350</v>
      </c>
      <c r="Z542" s="2" t="s">
        <v>43</v>
      </c>
      <c r="AA542" s="2"/>
      <c r="AB542" s="2" t="s">
        <v>65</v>
      </c>
      <c r="AC542" s="2">
        <v>45828</v>
      </c>
      <c r="AD542" s="3">
        <v>2025</v>
      </c>
      <c r="AE542" s="3">
        <v>26</v>
      </c>
      <c r="AF542" s="5">
        <v>0.44</v>
      </c>
      <c r="AG542" s="3" t="s">
        <v>64</v>
      </c>
    </row>
    <row r="543" spans="1:34" hidden="1" x14ac:dyDescent="0.35">
      <c r="A543" t="str">
        <f>_xlfn.CONCAT(Tableau1[[#This Row],[Athletes]],"_",Tableau1[[#This Row],[Nationality]],"_",Tableau1[[#This Row],[Competition_year]])</f>
        <v>Linden HALL_AUS_2025</v>
      </c>
      <c r="B543" t="s">
        <v>184</v>
      </c>
      <c r="C543" t="s">
        <v>47</v>
      </c>
      <c r="D543" t="s">
        <v>21</v>
      </c>
      <c r="E543">
        <v>15.3</v>
      </c>
      <c r="F543">
        <v>16.7</v>
      </c>
      <c r="G543">
        <v>16.2</v>
      </c>
      <c r="H543">
        <v>15.9</v>
      </c>
      <c r="I543">
        <v>15.7</v>
      </c>
      <c r="J543">
        <v>15.9</v>
      </c>
      <c r="K543">
        <v>15.8</v>
      </c>
      <c r="L543">
        <v>15.9</v>
      </c>
      <c r="M543">
        <v>15.8</v>
      </c>
      <c r="N543">
        <v>15.7</v>
      </c>
      <c r="O543">
        <v>16</v>
      </c>
      <c r="P543">
        <v>16.100000000000001</v>
      </c>
      <c r="Q543">
        <v>15.7</v>
      </c>
      <c r="R543">
        <v>15.7</v>
      </c>
      <c r="S543">
        <f>Tableau1[[#This Row],[Final_time]]-SUM(Tableau1[[#This Row],[0_100m]:[1300_1400m]])</f>
        <v>15.230000000000018</v>
      </c>
      <c r="T543">
        <v>237.63</v>
      </c>
      <c r="U543">
        <f t="shared" si="16"/>
        <v>237.63</v>
      </c>
      <c r="V543">
        <f t="shared" si="17"/>
        <v>0</v>
      </c>
      <c r="W543" s="12"/>
      <c r="X543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3" t="s">
        <v>1350</v>
      </c>
      <c r="Z543" s="2" t="s">
        <v>43</v>
      </c>
      <c r="AA543" s="2"/>
      <c r="AB543" s="2" t="s">
        <v>65</v>
      </c>
      <c r="AC543" s="2">
        <v>45828</v>
      </c>
      <c r="AD543" s="3">
        <v>2025</v>
      </c>
      <c r="AE543" s="3">
        <v>26</v>
      </c>
      <c r="AF543" s="5">
        <v>0.44</v>
      </c>
      <c r="AG543" s="3" t="s">
        <v>64</v>
      </c>
    </row>
    <row r="544" spans="1:34" hidden="1" x14ac:dyDescent="0.35">
      <c r="A544" t="str">
        <f>_xlfn.CONCAT(Tableau1[[#This Row],[Athletes]],"_",Tableau1[[#This Row],[Nationality]],"_",Tableau1[[#This Row],[Competition_year]])</f>
        <v>Worknesh MESELE_ETH_2025</v>
      </c>
      <c r="B544" t="s">
        <v>294</v>
      </c>
      <c r="C544" t="s">
        <v>47</v>
      </c>
      <c r="D544" t="s">
        <v>48</v>
      </c>
      <c r="E544">
        <v>15.3</v>
      </c>
      <c r="F544">
        <v>16.8</v>
      </c>
      <c r="G544">
        <v>16.2</v>
      </c>
      <c r="H544">
        <v>15.9</v>
      </c>
      <c r="I544">
        <v>15.7</v>
      </c>
      <c r="J544">
        <v>16.600000000000001</v>
      </c>
      <c r="K544">
        <v>15.7</v>
      </c>
      <c r="L544">
        <v>15.7</v>
      </c>
      <c r="M544">
        <v>16.2</v>
      </c>
      <c r="N544">
        <v>15.7</v>
      </c>
      <c r="O544">
        <v>15.7</v>
      </c>
      <c r="P544">
        <v>15.7</v>
      </c>
      <c r="Q544">
        <v>15.8</v>
      </c>
      <c r="R544">
        <v>15.7</v>
      </c>
      <c r="S544">
        <f>Tableau1[[#This Row],[Final_time]]-SUM(Tableau1[[#This Row],[0_100m]:[1300_1400m]])</f>
        <v>15.250000000000028</v>
      </c>
      <c r="T544">
        <v>237.95</v>
      </c>
      <c r="U544">
        <f t="shared" si="16"/>
        <v>237.95</v>
      </c>
      <c r="V544">
        <f t="shared" si="17"/>
        <v>0</v>
      </c>
      <c r="W544" s="12"/>
      <c r="X544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4" t="s">
        <v>1350</v>
      </c>
      <c r="Z544" s="2" t="s">
        <v>43</v>
      </c>
      <c r="AA544" s="2"/>
      <c r="AB544" s="2" t="s">
        <v>65</v>
      </c>
      <c r="AC544" s="2">
        <v>45828</v>
      </c>
      <c r="AD544" s="3">
        <v>2025</v>
      </c>
      <c r="AE544" s="3">
        <v>26</v>
      </c>
      <c r="AF544" s="5">
        <v>0.44</v>
      </c>
      <c r="AG544" s="3" t="s">
        <v>64</v>
      </c>
    </row>
    <row r="545" spans="1:33" hidden="1" x14ac:dyDescent="0.35">
      <c r="A545" t="str">
        <f>_xlfn.CONCAT(Tableau1[[#This Row],[Athletes]],"_",Tableau1[[#This Row],[Nationality]],"_",Tableau1[[#This Row],[Competition_year]])</f>
        <v>Georgia HUNTER BELL_GBR_2025</v>
      </c>
      <c r="B545" t="s">
        <v>1348</v>
      </c>
      <c r="C545" t="s">
        <v>47</v>
      </c>
      <c r="D545" t="s">
        <v>20</v>
      </c>
      <c r="E545">
        <v>15</v>
      </c>
      <c r="F545">
        <v>16.2</v>
      </c>
      <c r="G545">
        <v>16.3</v>
      </c>
      <c r="H545">
        <v>16</v>
      </c>
      <c r="I545">
        <v>15.8</v>
      </c>
      <c r="J545">
        <v>15.9</v>
      </c>
      <c r="K545">
        <v>15.8</v>
      </c>
      <c r="L545">
        <v>15.9</v>
      </c>
      <c r="M545">
        <v>15.6</v>
      </c>
      <c r="N545">
        <v>15.9</v>
      </c>
      <c r="O545">
        <v>16.2</v>
      </c>
      <c r="P545">
        <v>16.2</v>
      </c>
      <c r="Q545">
        <v>15.9</v>
      </c>
      <c r="R545">
        <v>16</v>
      </c>
      <c r="S545">
        <f>Tableau1[[#This Row],[Final_time]]-SUM(Tableau1[[#This Row],[0_100m]:[1300_1400m]])</f>
        <v>15.360000000000014</v>
      </c>
      <c r="T545">
        <v>238.06</v>
      </c>
      <c r="U545">
        <f t="shared" si="16"/>
        <v>238.06</v>
      </c>
      <c r="V545">
        <f t="shared" si="17"/>
        <v>0</v>
      </c>
      <c r="W545" s="12"/>
      <c r="X545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5" t="s">
        <v>1350</v>
      </c>
      <c r="Z545" s="2" t="s">
        <v>43</v>
      </c>
      <c r="AA545" s="2"/>
      <c r="AB545" s="2" t="s">
        <v>65</v>
      </c>
      <c r="AC545" s="2">
        <v>45828</v>
      </c>
      <c r="AD545" s="3">
        <v>2025</v>
      </c>
      <c r="AE545" s="3">
        <v>26</v>
      </c>
      <c r="AF545" s="5">
        <v>0.44</v>
      </c>
      <c r="AG545" s="3" t="s">
        <v>64</v>
      </c>
    </row>
    <row r="546" spans="1:33" hidden="1" x14ac:dyDescent="0.35">
      <c r="A546" t="str">
        <f>_xlfn.CONCAT(Tableau1[[#This Row],[Athletes]],"_",Tableau1[[#This Row],[Nationality]],"_",Tableau1[[#This Row],[Competition_year]])</f>
        <v>Agathe GUILLEMOT_FRA_2025</v>
      </c>
      <c r="B546" t="s">
        <v>171</v>
      </c>
      <c r="C546" t="s">
        <v>47</v>
      </c>
      <c r="D546" t="s">
        <v>18</v>
      </c>
      <c r="E546">
        <v>14.9</v>
      </c>
      <c r="F546">
        <v>16.3</v>
      </c>
      <c r="G546">
        <v>16.3</v>
      </c>
      <c r="H546">
        <v>16.2</v>
      </c>
      <c r="I546">
        <v>16.2</v>
      </c>
      <c r="J546">
        <v>16.2</v>
      </c>
      <c r="K546">
        <v>16.3</v>
      </c>
      <c r="L546">
        <v>16.2</v>
      </c>
      <c r="M546">
        <v>16.100000000000001</v>
      </c>
      <c r="N546">
        <v>15.9</v>
      </c>
      <c r="O546">
        <v>15.8</v>
      </c>
      <c r="P546">
        <v>15.8</v>
      </c>
      <c r="Q546">
        <v>15.9</v>
      </c>
      <c r="R546">
        <v>15.3</v>
      </c>
      <c r="S546">
        <f>Tableau1[[#This Row],[Final_time]]-SUM(Tableau1[[#This Row],[0_100m]:[1300_1400m]])</f>
        <v>15.039999999999964</v>
      </c>
      <c r="T546">
        <v>238.44</v>
      </c>
      <c r="U546">
        <f t="shared" si="16"/>
        <v>238.44</v>
      </c>
      <c r="V546">
        <f t="shared" si="17"/>
        <v>0</v>
      </c>
      <c r="W546" s="12"/>
      <c r="X546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6" t="s">
        <v>1350</v>
      </c>
      <c r="Z546" s="2" t="s">
        <v>43</v>
      </c>
      <c r="AA546" s="2"/>
      <c r="AB546" s="2" t="s">
        <v>65</v>
      </c>
      <c r="AC546" s="2">
        <v>45828</v>
      </c>
      <c r="AD546" s="3">
        <v>2025</v>
      </c>
      <c r="AE546" s="3">
        <v>26</v>
      </c>
      <c r="AF546" s="5">
        <v>0.44</v>
      </c>
      <c r="AG546" s="3" t="s">
        <v>64</v>
      </c>
    </row>
    <row r="547" spans="1:33" hidden="1" x14ac:dyDescent="0.35">
      <c r="A547" t="str">
        <f>_xlfn.CONCAT(Tableau1[[#This Row],[Athletes]],"_",Tableau1[[#This Row],[Nationality]],"_",Tableau1[[#This Row],[Competition_year]])</f>
        <v>Susan Lokayo EJORE_KEN_2025</v>
      </c>
      <c r="B547" t="s">
        <v>1264</v>
      </c>
      <c r="C547" t="s">
        <v>47</v>
      </c>
      <c r="D547" t="s">
        <v>17</v>
      </c>
      <c r="E547">
        <v>15.1</v>
      </c>
      <c r="F547">
        <v>16.5</v>
      </c>
      <c r="G547">
        <v>16.2</v>
      </c>
      <c r="H547">
        <v>16</v>
      </c>
      <c r="I547">
        <v>15.8</v>
      </c>
      <c r="J547">
        <v>15.9</v>
      </c>
      <c r="K547">
        <v>15.8</v>
      </c>
      <c r="L547">
        <v>15.7</v>
      </c>
      <c r="M547">
        <v>15.7</v>
      </c>
      <c r="N547">
        <v>15.9</v>
      </c>
      <c r="O547">
        <v>15.9</v>
      </c>
      <c r="P547">
        <v>16.2</v>
      </c>
      <c r="Q547">
        <v>15.8</v>
      </c>
      <c r="R547">
        <v>15.8</v>
      </c>
      <c r="S547">
        <f>Tableau1[[#This Row],[Final_time]]-SUM(Tableau1[[#This Row],[0_100m]:[1300_1400m]])</f>
        <v>16.349999999999994</v>
      </c>
      <c r="T547">
        <v>238.65</v>
      </c>
      <c r="U547">
        <f t="shared" si="16"/>
        <v>238.65</v>
      </c>
      <c r="V547">
        <f t="shared" si="17"/>
        <v>0</v>
      </c>
      <c r="W547" s="12"/>
      <c r="X547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7" t="s">
        <v>1350</v>
      </c>
      <c r="Z547" s="2" t="s">
        <v>43</v>
      </c>
      <c r="AA547" s="2"/>
      <c r="AB547" s="2" t="s">
        <v>65</v>
      </c>
      <c r="AC547" s="2">
        <v>45828</v>
      </c>
      <c r="AD547" s="3">
        <v>2025</v>
      </c>
      <c r="AE547" s="3">
        <v>26</v>
      </c>
      <c r="AF547" s="5">
        <v>0.44</v>
      </c>
      <c r="AG547" s="3" t="s">
        <v>64</v>
      </c>
    </row>
    <row r="548" spans="1:33" hidden="1" x14ac:dyDescent="0.35">
      <c r="A548" t="str">
        <f>_xlfn.CONCAT(Tableau1[[#This Row],[Athletes]],"_",Tableau1[[#This Row],[Nationality]],"_",Tableau1[[#This Row],[Competition_year]])</f>
        <v>Sarah MADELEINE_FRA_2025</v>
      </c>
      <c r="B548" t="s">
        <v>1349</v>
      </c>
      <c r="C548" t="s">
        <v>47</v>
      </c>
      <c r="D548" t="s">
        <v>18</v>
      </c>
      <c r="E548">
        <v>15.9</v>
      </c>
      <c r="F548">
        <v>17</v>
      </c>
      <c r="G548">
        <v>16.3</v>
      </c>
      <c r="H548">
        <v>15.8</v>
      </c>
      <c r="I548">
        <v>15.6</v>
      </c>
      <c r="J548">
        <v>16.5</v>
      </c>
      <c r="K548">
        <v>16.100000000000001</v>
      </c>
      <c r="L548">
        <v>16.5</v>
      </c>
      <c r="M548">
        <v>16.100000000000001</v>
      </c>
      <c r="N548">
        <v>16.3</v>
      </c>
      <c r="O548">
        <v>15.9</v>
      </c>
      <c r="P548">
        <v>15.9</v>
      </c>
      <c r="Q548">
        <v>15.4</v>
      </c>
      <c r="R548">
        <v>14.7</v>
      </c>
      <c r="S548">
        <f>Tableau1[[#This Row],[Final_time]]-SUM(Tableau1[[#This Row],[0_100m]:[1300_1400m]])</f>
        <v>15.060000000000002</v>
      </c>
      <c r="T548">
        <v>239.06</v>
      </c>
      <c r="U548">
        <f t="shared" si="16"/>
        <v>239.06</v>
      </c>
      <c r="V548">
        <f t="shared" si="17"/>
        <v>0</v>
      </c>
      <c r="W548" s="12"/>
      <c r="X548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8" t="s">
        <v>1350</v>
      </c>
      <c r="Z548" s="2" t="s">
        <v>43</v>
      </c>
      <c r="AA548" s="2"/>
      <c r="AB548" s="2" t="s">
        <v>65</v>
      </c>
      <c r="AC548" s="2">
        <v>45828</v>
      </c>
      <c r="AD548" s="3">
        <v>2025</v>
      </c>
      <c r="AE548" s="3">
        <v>26</v>
      </c>
      <c r="AF548" s="5">
        <v>0.44</v>
      </c>
      <c r="AG548" s="3" t="s">
        <v>64</v>
      </c>
    </row>
    <row r="549" spans="1:33" hidden="1" x14ac:dyDescent="0.35">
      <c r="A549" t="str">
        <f>_xlfn.CONCAT(Tableau1[[#This Row],[Athletes]],"_",Tableau1[[#This Row],[Nationality]],"_",Tableau1[[#This Row],[Competition_year]])</f>
        <v>Salomé AFONSO_POR_2025</v>
      </c>
      <c r="B549" t="s">
        <v>174</v>
      </c>
      <c r="C549" t="s">
        <v>47</v>
      </c>
      <c r="D549" t="s">
        <v>33</v>
      </c>
      <c r="E549">
        <v>15.5</v>
      </c>
      <c r="F549">
        <v>17</v>
      </c>
      <c r="G549">
        <v>16.399999999999999</v>
      </c>
      <c r="H549">
        <v>15.7</v>
      </c>
      <c r="I549">
        <v>15.9</v>
      </c>
      <c r="J549">
        <v>16.399999999999999</v>
      </c>
      <c r="K549">
        <v>16.100000000000001</v>
      </c>
      <c r="L549">
        <v>16.2</v>
      </c>
      <c r="M549">
        <v>16.100000000000001</v>
      </c>
      <c r="N549">
        <v>16.100000000000001</v>
      </c>
      <c r="O549">
        <v>15.8</v>
      </c>
      <c r="P549">
        <v>15.4</v>
      </c>
      <c r="Q549">
        <v>15.4</v>
      </c>
      <c r="R549">
        <v>15.4</v>
      </c>
      <c r="S549">
        <f>Tableau1[[#This Row],[Final_time]]-SUM(Tableau1[[#This Row],[0_100m]:[1300_1400m]])</f>
        <v>15.919999999999987</v>
      </c>
      <c r="T549">
        <v>239.32</v>
      </c>
      <c r="U549">
        <f t="shared" si="16"/>
        <v>239.32</v>
      </c>
      <c r="V549">
        <f t="shared" si="17"/>
        <v>0</v>
      </c>
      <c r="W549" s="12"/>
      <c r="X549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49" t="s">
        <v>1350</v>
      </c>
      <c r="Z549" s="2" t="s">
        <v>43</v>
      </c>
      <c r="AA549" s="2"/>
      <c r="AB549" s="2" t="s">
        <v>65</v>
      </c>
      <c r="AC549" s="2">
        <v>45828</v>
      </c>
      <c r="AD549" s="3">
        <v>2025</v>
      </c>
      <c r="AE549" s="3">
        <v>26</v>
      </c>
      <c r="AF549" s="5">
        <v>0.44</v>
      </c>
      <c r="AG549" s="3" t="s">
        <v>64</v>
      </c>
    </row>
    <row r="550" spans="1:33" hidden="1" x14ac:dyDescent="0.35">
      <c r="A550" t="str">
        <f>_xlfn.CONCAT(Tableau1[[#This Row],[Athletes]],"_",Tableau1[[#This Row],[Nationality]],"_",Tableau1[[#This Row],[Competition_year]])</f>
        <v>Jemma REEKIE_GBR_2025</v>
      </c>
      <c r="B550" t="s">
        <v>374</v>
      </c>
      <c r="C550" t="s">
        <v>47</v>
      </c>
      <c r="D550" t="s">
        <v>20</v>
      </c>
      <c r="E550">
        <v>15.4</v>
      </c>
      <c r="F550">
        <v>16.8</v>
      </c>
      <c r="G550">
        <v>16.399999999999999</v>
      </c>
      <c r="H550">
        <v>15.7</v>
      </c>
      <c r="I550">
        <v>15.8</v>
      </c>
      <c r="J550">
        <v>16.3</v>
      </c>
      <c r="K550">
        <v>15.8</v>
      </c>
      <c r="L550">
        <v>15.9</v>
      </c>
      <c r="M550">
        <v>15.3</v>
      </c>
      <c r="N550">
        <v>15.8</v>
      </c>
      <c r="O550">
        <v>15.9</v>
      </c>
      <c r="P550">
        <v>16.2</v>
      </c>
      <c r="Q550">
        <v>15.7</v>
      </c>
      <c r="R550">
        <v>16</v>
      </c>
      <c r="S550">
        <f>Tableau1[[#This Row],[Final_time]]-SUM(Tableau1[[#This Row],[0_100m]:[1300_1400m]])</f>
        <v>16.419999999999987</v>
      </c>
      <c r="T550">
        <v>239.42</v>
      </c>
      <c r="U550">
        <f t="shared" si="16"/>
        <v>239.42</v>
      </c>
      <c r="V550">
        <f t="shared" si="17"/>
        <v>0</v>
      </c>
      <c r="W550" s="12"/>
      <c r="X550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50" t="s">
        <v>1350</v>
      </c>
      <c r="Z550" s="2" t="s">
        <v>43</v>
      </c>
      <c r="AA550" s="2"/>
      <c r="AB550" s="2" t="s">
        <v>65</v>
      </c>
      <c r="AC550" s="2">
        <v>45828</v>
      </c>
      <c r="AD550" s="3">
        <v>2025</v>
      </c>
      <c r="AE550" s="3">
        <v>26</v>
      </c>
      <c r="AF550" s="5">
        <v>0.44</v>
      </c>
      <c r="AG550" s="3" t="s">
        <v>64</v>
      </c>
    </row>
    <row r="551" spans="1:33" hidden="1" x14ac:dyDescent="0.35">
      <c r="A551" t="str">
        <f>_xlfn.CONCAT(Tableau1[[#This Row],[Athletes]],"_",Tableau1[[#This Row],[Nationality]],"_",Tableau1[[#This Row],[Competition_year]])</f>
        <v>Netsanet DESTA_ETH_2025</v>
      </c>
      <c r="B551" t="s">
        <v>1145</v>
      </c>
      <c r="C551" t="s">
        <v>47</v>
      </c>
      <c r="D551" t="s">
        <v>48</v>
      </c>
      <c r="E551">
        <v>15.5</v>
      </c>
      <c r="F551">
        <v>16.899999999999999</v>
      </c>
      <c r="G551">
        <v>16.3</v>
      </c>
      <c r="H551">
        <v>15.8</v>
      </c>
      <c r="I551">
        <v>15.7</v>
      </c>
      <c r="J551">
        <v>16.399999999999999</v>
      </c>
      <c r="K551">
        <v>16.2</v>
      </c>
      <c r="L551">
        <v>16</v>
      </c>
      <c r="M551">
        <v>16.3</v>
      </c>
      <c r="N551">
        <v>16.100000000000001</v>
      </c>
      <c r="O551">
        <v>16.100000000000001</v>
      </c>
      <c r="P551">
        <v>16.2</v>
      </c>
      <c r="Q551">
        <v>16.2</v>
      </c>
      <c r="R551">
        <v>15.5</v>
      </c>
      <c r="S551">
        <f>Tableau1[[#This Row],[Final_time]]-SUM(Tableau1[[#This Row],[0_100m]:[1300_1400m]])</f>
        <v>15.490000000000009</v>
      </c>
      <c r="T551">
        <v>240.69</v>
      </c>
      <c r="U551">
        <f t="shared" si="16"/>
        <v>240.69</v>
      </c>
      <c r="V551">
        <f t="shared" si="17"/>
        <v>0</v>
      </c>
      <c r="W551" s="12"/>
      <c r="X551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51" t="s">
        <v>1350</v>
      </c>
      <c r="Z551" s="2" t="s">
        <v>43</v>
      </c>
      <c r="AA551" s="2"/>
      <c r="AB551" s="2" t="s">
        <v>65</v>
      </c>
      <c r="AC551" s="2">
        <v>45828</v>
      </c>
      <c r="AD551" s="3">
        <v>2025</v>
      </c>
      <c r="AE551" s="3">
        <v>26</v>
      </c>
      <c r="AF551" s="5">
        <v>0.44</v>
      </c>
      <c r="AG551" s="3" t="s">
        <v>64</v>
      </c>
    </row>
    <row r="552" spans="1:33" hidden="1" x14ac:dyDescent="0.35">
      <c r="A552" t="str">
        <f>_xlfn.CONCAT(Tableau1[[#This Row],[Athletes]],"_",Tableau1[[#This Row],[Nationality]],"_",Tableau1[[#This Row],[Competition_year]])</f>
        <v>Georgia GRIFFITH_AUS_2025</v>
      </c>
      <c r="B552" t="s">
        <v>248</v>
      </c>
      <c r="C552" t="s">
        <v>47</v>
      </c>
      <c r="D552" t="s">
        <v>21</v>
      </c>
      <c r="E552">
        <v>15.1</v>
      </c>
      <c r="F552">
        <v>16.7</v>
      </c>
      <c r="G552">
        <v>16.2</v>
      </c>
      <c r="H552">
        <v>16</v>
      </c>
      <c r="I552">
        <v>15.7</v>
      </c>
      <c r="J552">
        <v>16</v>
      </c>
      <c r="K552">
        <v>15.7</v>
      </c>
      <c r="L552">
        <v>15.8</v>
      </c>
      <c r="M552">
        <v>15.8</v>
      </c>
      <c r="N552">
        <v>15.7</v>
      </c>
      <c r="O552">
        <v>16.100000000000001</v>
      </c>
      <c r="P552">
        <v>16.3</v>
      </c>
      <c r="Q552">
        <v>15.4</v>
      </c>
      <c r="R552">
        <v>16.2</v>
      </c>
      <c r="S552">
        <f>Tableau1[[#This Row],[Final_time]]-SUM(Tableau1[[#This Row],[0_100m]:[1300_1400m]])</f>
        <v>18.660000000000025</v>
      </c>
      <c r="T552">
        <v>241.36</v>
      </c>
      <c r="U552">
        <f t="shared" si="16"/>
        <v>241.36</v>
      </c>
      <c r="V552">
        <f t="shared" si="17"/>
        <v>0</v>
      </c>
      <c r="W552" s="12"/>
      <c r="X552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52" t="s">
        <v>1350</v>
      </c>
      <c r="Z552" s="2" t="s">
        <v>43</v>
      </c>
      <c r="AA552" s="2"/>
      <c r="AB552" s="2" t="s">
        <v>65</v>
      </c>
      <c r="AC552" s="2">
        <v>45828</v>
      </c>
      <c r="AD552" s="3">
        <v>2025</v>
      </c>
      <c r="AE552" s="3">
        <v>26</v>
      </c>
      <c r="AF552" s="5">
        <v>0.44</v>
      </c>
      <c r="AG552" s="3" t="s">
        <v>64</v>
      </c>
    </row>
    <row r="553" spans="1:33" hidden="1" x14ac:dyDescent="0.35">
      <c r="A553" t="str">
        <f>_xlfn.CONCAT(Tableau1[[#This Row],[Athletes]],"_",Tableau1[[#This Row],[Nationality]],"_",Tableau1[[#This Row],[Competition_year]])</f>
        <v>Saron BERHE_ETH_2025</v>
      </c>
      <c r="B553" t="s">
        <v>411</v>
      </c>
      <c r="C553" t="s">
        <v>47</v>
      </c>
      <c r="D553" t="s">
        <v>48</v>
      </c>
      <c r="E553">
        <v>14.9</v>
      </c>
      <c r="F553">
        <v>16.7</v>
      </c>
      <c r="G553">
        <v>16.8</v>
      </c>
      <c r="H553">
        <v>15.4</v>
      </c>
      <c r="I553">
        <v>15.4</v>
      </c>
      <c r="J553">
        <v>15.8</v>
      </c>
      <c r="K553">
        <v>15.9</v>
      </c>
      <c r="L553">
        <v>15.9</v>
      </c>
      <c r="M553">
        <v>16.3</v>
      </c>
      <c r="N553">
        <v>16.2</v>
      </c>
      <c r="O553">
        <v>16.2</v>
      </c>
      <c r="P553">
        <v>16.100000000000001</v>
      </c>
      <c r="Q553">
        <v>16.2</v>
      </c>
      <c r="R553">
        <v>16.600000000000001</v>
      </c>
      <c r="S553">
        <f>Tableau1[[#This Row],[Final_time]]-SUM(Tableau1[[#This Row],[0_100m]:[1300_1400m]])</f>
        <v>17.010000000000019</v>
      </c>
      <c r="T553">
        <v>241.41</v>
      </c>
      <c r="U553">
        <f t="shared" si="16"/>
        <v>241.41</v>
      </c>
      <c r="V553">
        <f t="shared" si="17"/>
        <v>0</v>
      </c>
      <c r="W553" s="12"/>
      <c r="X553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53" t="s">
        <v>1350</v>
      </c>
      <c r="Z553" s="2" t="s">
        <v>43</v>
      </c>
      <c r="AA553" s="2"/>
      <c r="AB553" s="2" t="s">
        <v>65</v>
      </c>
      <c r="AC553" s="2">
        <v>45828</v>
      </c>
      <c r="AD553" s="3">
        <v>2025</v>
      </c>
      <c r="AE553" s="3">
        <v>26</v>
      </c>
      <c r="AF553" s="5">
        <v>0.44</v>
      </c>
      <c r="AG553" s="3" t="s">
        <v>64</v>
      </c>
    </row>
    <row r="554" spans="1:33" hidden="1" x14ac:dyDescent="0.35">
      <c r="A554" t="str">
        <f>_xlfn.CONCAT(Tableau1[[#This Row],[Athletes]],"_",Tableau1[[#This Row],[Nationality]],"_",Tableau1[[#This Row],[Competition_year]])</f>
        <v>Esther GUERRERO_ESP_2025</v>
      </c>
      <c r="B554" t="s">
        <v>169</v>
      </c>
      <c r="C554" t="s">
        <v>47</v>
      </c>
      <c r="D554" t="s">
        <v>22</v>
      </c>
      <c r="E554">
        <v>15.7</v>
      </c>
      <c r="F554">
        <v>17</v>
      </c>
      <c r="G554">
        <v>16.2</v>
      </c>
      <c r="H554">
        <v>15.9</v>
      </c>
      <c r="I554">
        <v>15.9</v>
      </c>
      <c r="J554">
        <v>16.399999999999999</v>
      </c>
      <c r="K554">
        <v>16.2</v>
      </c>
      <c r="L554">
        <v>16.100000000000001</v>
      </c>
      <c r="M554">
        <v>16.100000000000001</v>
      </c>
      <c r="N554">
        <v>16.3</v>
      </c>
      <c r="O554">
        <v>16</v>
      </c>
      <c r="P554">
        <v>15.9</v>
      </c>
      <c r="Q554">
        <v>15.9</v>
      </c>
      <c r="R554">
        <v>15.9</v>
      </c>
      <c r="S554">
        <f>Tableau1[[#This Row],[Final_time]]-SUM(Tableau1[[#This Row],[0_100m]:[1300_1400m]])</f>
        <v>16.359999999999957</v>
      </c>
      <c r="T554">
        <v>241.86</v>
      </c>
      <c r="U554">
        <f t="shared" si="16"/>
        <v>241.86</v>
      </c>
      <c r="V554">
        <f t="shared" si="17"/>
        <v>0</v>
      </c>
      <c r="W554" s="12"/>
      <c r="X554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54" t="s">
        <v>1350</v>
      </c>
      <c r="Z554" s="2" t="s">
        <v>43</v>
      </c>
      <c r="AA554" s="2"/>
      <c r="AB554" s="2" t="s">
        <v>65</v>
      </c>
      <c r="AC554" s="2">
        <v>45828</v>
      </c>
      <c r="AD554" s="3">
        <v>2025</v>
      </c>
      <c r="AE554" s="3">
        <v>26</v>
      </c>
      <c r="AF554" s="5">
        <v>0.44</v>
      </c>
      <c r="AG554" s="3" t="s">
        <v>64</v>
      </c>
    </row>
    <row r="555" spans="1:33" hidden="1" x14ac:dyDescent="0.35">
      <c r="A555" t="str">
        <f>_xlfn.CONCAT(Tableau1[[#This Row],[Athletes]],"_",Tableau1[[#This Row],[Nationality]],"_",Tableau1[[#This Row],[Competition_year]])</f>
        <v>Abbey CALDWELL_AUS_2025</v>
      </c>
      <c r="B555" t="s">
        <v>156</v>
      </c>
      <c r="C555" t="s">
        <v>47</v>
      </c>
      <c r="D555" t="s">
        <v>21</v>
      </c>
      <c r="E555">
        <v>15.2</v>
      </c>
      <c r="F555">
        <v>16.600000000000001</v>
      </c>
      <c r="G555">
        <v>16.2</v>
      </c>
      <c r="H555">
        <v>16</v>
      </c>
      <c r="I555">
        <v>16</v>
      </c>
      <c r="J555">
        <v>16.2</v>
      </c>
      <c r="K555">
        <v>16.3</v>
      </c>
      <c r="L555">
        <v>16.2</v>
      </c>
      <c r="M555">
        <v>16.399999999999999</v>
      </c>
      <c r="N555">
        <v>16.7</v>
      </c>
      <c r="O555">
        <v>16.600000000000001</v>
      </c>
      <c r="P555">
        <v>16.7</v>
      </c>
      <c r="Q555">
        <v>17.2</v>
      </c>
      <c r="R555">
        <v>17.600000000000001</v>
      </c>
      <c r="S555">
        <f>Tableau1[[#This Row],[Final_time]]-SUM(Tableau1[[#This Row],[0_100m]:[1300_1400m]])</f>
        <v>17.80000000000004</v>
      </c>
      <c r="T555">
        <v>247.7</v>
      </c>
      <c r="U555">
        <f t="shared" si="16"/>
        <v>247.7</v>
      </c>
      <c r="V555">
        <f t="shared" si="17"/>
        <v>0</v>
      </c>
      <c r="W555" s="12"/>
      <c r="X555" t="str">
        <f>_xlfn.CONCAT(Tableau1[[#This Row],[Competition]],"_",Tableau1[[#This Row],[Championship_step]],"_",Tableau1[[#This Row],[Competition_date]],"_",Tableau1[[#This Row],[Gender]])</f>
        <v>Diamond League Paris 2025__45828_Female</v>
      </c>
      <c r="Y555" t="s">
        <v>1350</v>
      </c>
      <c r="Z555" s="2" t="s">
        <v>43</v>
      </c>
      <c r="AA555" s="2"/>
      <c r="AB555" s="2" t="s">
        <v>65</v>
      </c>
      <c r="AC555" s="2">
        <v>45828</v>
      </c>
      <c r="AD555" s="3">
        <v>2025</v>
      </c>
      <c r="AE555" s="3">
        <v>26</v>
      </c>
      <c r="AF555" s="5">
        <v>0.44</v>
      </c>
      <c r="AG555" s="3" t="s">
        <v>64</v>
      </c>
    </row>
    <row r="556" spans="1:33" hidden="1" x14ac:dyDescent="0.35">
      <c r="A556" t="str">
        <f>_xlfn.CONCAT(Tableau1[[#This Row],[Athletes]],"_",Tableau1[[#This Row],[Nationality]],"_",Tableau1[[#This Row],[Competition_year]])</f>
        <v>Azeddine HABZ_FRA_2025</v>
      </c>
      <c r="B556" t="s">
        <v>218</v>
      </c>
      <c r="C556" t="s">
        <v>16</v>
      </c>
      <c r="D556" t="s">
        <v>18</v>
      </c>
      <c r="E556">
        <v>13.7</v>
      </c>
      <c r="F556">
        <v>14</v>
      </c>
      <c r="G556">
        <v>14</v>
      </c>
      <c r="H556">
        <v>13.9</v>
      </c>
      <c r="I556">
        <v>14.4</v>
      </c>
      <c r="J556">
        <v>13.7</v>
      </c>
      <c r="K556">
        <v>13.9</v>
      </c>
      <c r="L556">
        <v>13.8</v>
      </c>
      <c r="M556">
        <v>14.2</v>
      </c>
      <c r="N556">
        <v>13.9</v>
      </c>
      <c r="O556">
        <v>14.1</v>
      </c>
      <c r="P556">
        <v>13.6</v>
      </c>
      <c r="Q556">
        <v>13.8</v>
      </c>
      <c r="R556">
        <v>13.3</v>
      </c>
      <c r="S556">
        <f>Tableau1[[#This Row],[Final_time]]-SUM(Tableau1[[#This Row],[0_100m]:[1300_1400m]])</f>
        <v>13.189999999999998</v>
      </c>
      <c r="T556">
        <v>207.49</v>
      </c>
      <c r="U556">
        <f t="shared" si="16"/>
        <v>207.49</v>
      </c>
      <c r="V556">
        <f t="shared" si="17"/>
        <v>0</v>
      </c>
      <c r="W556" s="12"/>
      <c r="X556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56" t="s">
        <v>1350</v>
      </c>
      <c r="Z556" s="2" t="s">
        <v>43</v>
      </c>
      <c r="AA556" s="2"/>
      <c r="AB556" s="2" t="s">
        <v>65</v>
      </c>
      <c r="AC556" s="2">
        <v>45828</v>
      </c>
      <c r="AD556" s="3">
        <v>2025</v>
      </c>
      <c r="AE556" s="3">
        <v>28</v>
      </c>
      <c r="AF556" s="5">
        <v>0.38</v>
      </c>
      <c r="AG556" s="3" t="s">
        <v>71</v>
      </c>
    </row>
    <row r="557" spans="1:33" hidden="1" x14ac:dyDescent="0.35">
      <c r="A557" t="str">
        <f>_xlfn.CONCAT(Tableau1[[#This Row],[Athletes]],"_",Tableau1[[#This Row],[Nationality]],"_",Tableau1[[#This Row],[Competition_year]])</f>
        <v>Phanuel Kipkosgei KOECH_KEN_2025</v>
      </c>
      <c r="B557" t="s">
        <v>1353</v>
      </c>
      <c r="C557" t="s">
        <v>16</v>
      </c>
      <c r="D557" t="s">
        <v>17</v>
      </c>
      <c r="E557">
        <v>14.1</v>
      </c>
      <c r="F557">
        <v>14.2</v>
      </c>
      <c r="G557">
        <v>13.8</v>
      </c>
      <c r="H557">
        <v>14</v>
      </c>
      <c r="I557">
        <v>14.5</v>
      </c>
      <c r="J557">
        <v>13.8</v>
      </c>
      <c r="K557">
        <v>13.9</v>
      </c>
      <c r="L557">
        <v>13.8</v>
      </c>
      <c r="M557">
        <v>14.1</v>
      </c>
      <c r="N557">
        <v>14</v>
      </c>
      <c r="O557">
        <v>14.1</v>
      </c>
      <c r="P557">
        <v>13.6</v>
      </c>
      <c r="Q557">
        <v>13.3</v>
      </c>
      <c r="R557">
        <v>13.3</v>
      </c>
      <c r="S557">
        <f>Tableau1[[#This Row],[Final_time]]-SUM(Tableau1[[#This Row],[0_100m]:[1300_1400m]])</f>
        <v>13.219999999999999</v>
      </c>
      <c r="T557">
        <v>207.72</v>
      </c>
      <c r="U557">
        <f t="shared" si="16"/>
        <v>207.72</v>
      </c>
      <c r="V557">
        <f t="shared" si="17"/>
        <v>0</v>
      </c>
      <c r="W557" s="12"/>
      <c r="X557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57" t="s">
        <v>1350</v>
      </c>
      <c r="Z557" s="2" t="s">
        <v>43</v>
      </c>
      <c r="AA557" s="2"/>
      <c r="AB557" s="2" t="s">
        <v>65</v>
      </c>
      <c r="AC557" s="2">
        <v>45828</v>
      </c>
      <c r="AD557" s="3">
        <v>2025</v>
      </c>
      <c r="AE557" s="3">
        <v>28</v>
      </c>
      <c r="AF557" s="5">
        <v>0.38</v>
      </c>
      <c r="AG557" s="3" t="s">
        <v>71</v>
      </c>
    </row>
    <row r="558" spans="1:33" hidden="1" x14ac:dyDescent="0.35">
      <c r="A558" t="str">
        <f>_xlfn.CONCAT(Tableau1[[#This Row],[Athletes]],"_",Tableau1[[#This Row],[Nationality]],"_",Tableau1[[#This Row],[Competition_year]])</f>
        <v>Abel KIPSANG_KEN_2025</v>
      </c>
      <c r="B558" t="s">
        <v>227</v>
      </c>
      <c r="C558" t="s">
        <v>16</v>
      </c>
      <c r="D558" t="s">
        <v>17</v>
      </c>
      <c r="E558">
        <v>14.3</v>
      </c>
      <c r="F558">
        <v>14.6</v>
      </c>
      <c r="G558">
        <v>13.9</v>
      </c>
      <c r="H558">
        <v>13.8</v>
      </c>
      <c r="I558">
        <v>14.4</v>
      </c>
      <c r="J558">
        <v>14</v>
      </c>
      <c r="K558">
        <v>13.9</v>
      </c>
      <c r="L558">
        <v>13.9</v>
      </c>
      <c r="M558">
        <v>13.8</v>
      </c>
      <c r="N558">
        <v>14.3</v>
      </c>
      <c r="O558">
        <v>14.2</v>
      </c>
      <c r="P558">
        <v>13.6</v>
      </c>
      <c r="Q558">
        <v>13.6</v>
      </c>
      <c r="R558">
        <v>13.7</v>
      </c>
      <c r="S558">
        <f>Tableau1[[#This Row],[Final_time]]-SUM(Tableau1[[#This Row],[0_100m]:[1300_1400m]])</f>
        <v>13.460000000000036</v>
      </c>
      <c r="T558">
        <v>209.46</v>
      </c>
      <c r="U558">
        <f t="shared" si="16"/>
        <v>209.46</v>
      </c>
      <c r="V558">
        <f t="shared" si="17"/>
        <v>0</v>
      </c>
      <c r="W558" s="12"/>
      <c r="X558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58" t="s">
        <v>1350</v>
      </c>
      <c r="Z558" s="2" t="s">
        <v>43</v>
      </c>
      <c r="AA558" s="2"/>
      <c r="AB558" s="2" t="s">
        <v>65</v>
      </c>
      <c r="AC558" s="2">
        <v>45828</v>
      </c>
      <c r="AD558" s="3">
        <v>2025</v>
      </c>
      <c r="AE558" s="3">
        <v>28</v>
      </c>
      <c r="AF558" s="5">
        <v>0.38</v>
      </c>
      <c r="AG558" s="3" t="s">
        <v>71</v>
      </c>
    </row>
    <row r="559" spans="1:33" hidden="1" x14ac:dyDescent="0.35">
      <c r="A559" t="str">
        <f>_xlfn.CONCAT(Tableau1[[#This Row],[Athletes]],"_",Tableau1[[#This Row],[Nationality]],"_",Tableau1[[#This Row],[Competition_year]])</f>
        <v>George MILLS_GBR_2025</v>
      </c>
      <c r="B559" t="s">
        <v>279</v>
      </c>
      <c r="C559" t="s">
        <v>16</v>
      </c>
      <c r="D559" t="s">
        <v>20</v>
      </c>
      <c r="E559">
        <v>13.8</v>
      </c>
      <c r="F559">
        <v>14.1</v>
      </c>
      <c r="G559">
        <v>14.1</v>
      </c>
      <c r="H559">
        <v>13.9</v>
      </c>
      <c r="I559">
        <v>14.3</v>
      </c>
      <c r="J559">
        <v>13.7</v>
      </c>
      <c r="K559">
        <v>13.9</v>
      </c>
      <c r="L559">
        <v>13.9</v>
      </c>
      <c r="M559">
        <v>14.1</v>
      </c>
      <c r="N559">
        <v>13.9</v>
      </c>
      <c r="O559">
        <v>14.1</v>
      </c>
      <c r="P559">
        <v>13.6</v>
      </c>
      <c r="Q559">
        <v>13.8</v>
      </c>
      <c r="R559">
        <v>13.6</v>
      </c>
      <c r="S559">
        <f>Tableau1[[#This Row],[Final_time]]-SUM(Tableau1[[#This Row],[0_100m]:[1300_1400m]])</f>
        <v>13.560000000000002</v>
      </c>
      <c r="T559">
        <v>208.36</v>
      </c>
      <c r="U559">
        <f t="shared" si="16"/>
        <v>208.36</v>
      </c>
      <c r="V559">
        <f t="shared" si="17"/>
        <v>0</v>
      </c>
      <c r="W559" s="12"/>
      <c r="X559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59" t="s">
        <v>1350</v>
      </c>
      <c r="Z559" s="2" t="s">
        <v>43</v>
      </c>
      <c r="AA559" s="2"/>
      <c r="AB559" s="2" t="s">
        <v>65</v>
      </c>
      <c r="AC559" s="2">
        <v>45828</v>
      </c>
      <c r="AD559" s="3">
        <v>2025</v>
      </c>
      <c r="AE559" s="3">
        <v>28</v>
      </c>
      <c r="AF559" s="5">
        <v>0.38</v>
      </c>
      <c r="AG559" s="3" t="s">
        <v>71</v>
      </c>
    </row>
    <row r="560" spans="1:33" hidden="1" x14ac:dyDescent="0.35">
      <c r="A560" t="str">
        <f>_xlfn.CONCAT(Tableau1[[#This Row],[Athletes]],"_",Tableau1[[#This Row],[Nationality]],"_",Tableau1[[#This Row],[Competition_year]])</f>
        <v>Festus LAGAT_KEN_2025</v>
      </c>
      <c r="B560" t="s">
        <v>1354</v>
      </c>
      <c r="C560" t="s">
        <v>16</v>
      </c>
      <c r="D560" t="s">
        <v>17</v>
      </c>
      <c r="E560">
        <v>14</v>
      </c>
      <c r="F560">
        <v>14.6</v>
      </c>
      <c r="G560">
        <v>13.8</v>
      </c>
      <c r="H560">
        <v>13.8</v>
      </c>
      <c r="I560">
        <v>14.6</v>
      </c>
      <c r="J560">
        <v>13.9</v>
      </c>
      <c r="K560">
        <v>13.8</v>
      </c>
      <c r="L560">
        <v>13.8</v>
      </c>
      <c r="M560">
        <v>14.1</v>
      </c>
      <c r="N560">
        <v>14.1</v>
      </c>
      <c r="O560">
        <v>14</v>
      </c>
      <c r="P560">
        <v>13.8</v>
      </c>
      <c r="Q560">
        <v>13.5</v>
      </c>
      <c r="R560">
        <v>13.6</v>
      </c>
      <c r="S560">
        <f>Tableau1[[#This Row],[Final_time]]-SUM(Tableau1[[#This Row],[0_100m]:[1300_1400m]])</f>
        <v>13.629999999999995</v>
      </c>
      <c r="T560">
        <v>209.03</v>
      </c>
      <c r="U560">
        <f t="shared" si="16"/>
        <v>209.03</v>
      </c>
      <c r="V560">
        <f t="shared" si="17"/>
        <v>0</v>
      </c>
      <c r="W560" s="12"/>
      <c r="X560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0" t="s">
        <v>1350</v>
      </c>
      <c r="Z560" s="2" t="s">
        <v>43</v>
      </c>
      <c r="AA560" s="2"/>
      <c r="AB560" s="2" t="s">
        <v>65</v>
      </c>
      <c r="AC560" s="2">
        <v>45828</v>
      </c>
      <c r="AD560" s="3">
        <v>2025</v>
      </c>
      <c r="AE560" s="3">
        <v>28</v>
      </c>
      <c r="AF560" s="5">
        <v>0.38</v>
      </c>
      <c r="AG560" s="3" t="s">
        <v>71</v>
      </c>
    </row>
    <row r="561" spans="1:33" hidden="1" x14ac:dyDescent="0.35">
      <c r="A561" t="str">
        <f>_xlfn.CONCAT(Tableau1[[#This Row],[Athletes]],"_",Tableau1[[#This Row],[Nationality]],"_",Tableau1[[#This Row],[Competition_year]])</f>
        <v>Romain MORNET_FRA_2025</v>
      </c>
      <c r="B561" t="s">
        <v>1357</v>
      </c>
      <c r="C561" t="s">
        <v>16</v>
      </c>
      <c r="D561" t="s">
        <v>18</v>
      </c>
      <c r="E561">
        <v>14.6</v>
      </c>
      <c r="F561">
        <v>14.5</v>
      </c>
      <c r="G561">
        <v>14.2</v>
      </c>
      <c r="H561">
        <v>13.8</v>
      </c>
      <c r="I561">
        <v>14.6</v>
      </c>
      <c r="J561">
        <v>14.3</v>
      </c>
      <c r="K561">
        <v>14</v>
      </c>
      <c r="L561">
        <v>14.1</v>
      </c>
      <c r="M561">
        <v>14.2</v>
      </c>
      <c r="N561">
        <v>14.1</v>
      </c>
      <c r="O561">
        <v>14.2</v>
      </c>
      <c r="P561">
        <v>14</v>
      </c>
      <c r="Q561">
        <v>13.6</v>
      </c>
      <c r="R561">
        <v>13.7</v>
      </c>
      <c r="S561">
        <f>Tableau1[[#This Row],[Final_time]]-SUM(Tableau1[[#This Row],[0_100m]:[1300_1400m]])</f>
        <v>13.720000000000056</v>
      </c>
      <c r="T561">
        <v>211.62</v>
      </c>
      <c r="U561">
        <f t="shared" si="16"/>
        <v>211.62</v>
      </c>
      <c r="V561">
        <f t="shared" si="17"/>
        <v>0</v>
      </c>
      <c r="W561" s="12"/>
      <c r="X561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1" t="s">
        <v>1350</v>
      </c>
      <c r="Z561" s="2" t="s">
        <v>43</v>
      </c>
      <c r="AA561" s="2"/>
      <c r="AB561" s="2" t="s">
        <v>65</v>
      </c>
      <c r="AC561" s="2">
        <v>45828</v>
      </c>
      <c r="AD561" s="3">
        <v>2025</v>
      </c>
      <c r="AE561" s="3">
        <v>28</v>
      </c>
      <c r="AF561" s="5">
        <v>0.38</v>
      </c>
      <c r="AG561" s="3" t="s">
        <v>71</v>
      </c>
    </row>
    <row r="562" spans="1:33" hidden="1" x14ac:dyDescent="0.35">
      <c r="A562" t="str">
        <f>_xlfn.CONCAT(Tableau1[[#This Row],[Athletes]],"_",Tableau1[[#This Row],[Nationality]],"_",Tableau1[[#This Row],[Competition_year]])</f>
        <v>Louis GILAVERT_FRA_2025</v>
      </c>
      <c r="B562" t="s">
        <v>1359</v>
      </c>
      <c r="C562" t="s">
        <v>16</v>
      </c>
      <c r="D562" t="s">
        <v>18</v>
      </c>
      <c r="E562">
        <v>14.2</v>
      </c>
      <c r="F562">
        <v>14.7</v>
      </c>
      <c r="G562">
        <v>14.2</v>
      </c>
      <c r="H562">
        <v>13.8</v>
      </c>
      <c r="I562">
        <v>14.6</v>
      </c>
      <c r="J562">
        <v>14.4</v>
      </c>
      <c r="K562">
        <v>13.9</v>
      </c>
      <c r="L562">
        <v>14.1</v>
      </c>
      <c r="M562">
        <v>14.2</v>
      </c>
      <c r="N562">
        <v>14.1</v>
      </c>
      <c r="O562">
        <v>14.2</v>
      </c>
      <c r="P562">
        <v>14.1</v>
      </c>
      <c r="Q562">
        <v>14</v>
      </c>
      <c r="R562">
        <v>13.8</v>
      </c>
      <c r="S562">
        <f>Tableau1[[#This Row],[Final_time]]-SUM(Tableau1[[#This Row],[0_100m]:[1300_1400m]])</f>
        <v>13.950000000000017</v>
      </c>
      <c r="T562">
        <v>212.25</v>
      </c>
      <c r="U562">
        <f t="shared" si="16"/>
        <v>212.25</v>
      </c>
      <c r="V562">
        <f t="shared" si="17"/>
        <v>0</v>
      </c>
      <c r="W562" s="12"/>
      <c r="X562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2" t="s">
        <v>1350</v>
      </c>
      <c r="Z562" s="2" t="s">
        <v>43</v>
      </c>
      <c r="AA562" s="2"/>
      <c r="AB562" s="2" t="s">
        <v>65</v>
      </c>
      <c r="AC562" s="2">
        <v>45828</v>
      </c>
      <c r="AD562" s="3">
        <v>2025</v>
      </c>
      <c r="AE562" s="3">
        <v>28</v>
      </c>
      <c r="AF562" s="5">
        <v>0.38</v>
      </c>
      <c r="AG562" s="3" t="s">
        <v>71</v>
      </c>
    </row>
    <row r="563" spans="1:33" hidden="1" x14ac:dyDescent="0.35">
      <c r="A563" t="str">
        <f>_xlfn.CONCAT(Tableau1[[#This Row],[Athletes]],"_",Tableau1[[#This Row],[Nationality]],"_",Tableau1[[#This Row],[Competition_year]])</f>
        <v>Paul ANSELMINI_FRA_2025</v>
      </c>
      <c r="B563" t="s">
        <v>1358</v>
      </c>
      <c r="C563" t="s">
        <v>16</v>
      </c>
      <c r="D563" t="s">
        <v>18</v>
      </c>
      <c r="E563">
        <v>14.3</v>
      </c>
      <c r="F563">
        <v>14.7</v>
      </c>
      <c r="G563">
        <v>14.2</v>
      </c>
      <c r="H563">
        <v>13.9</v>
      </c>
      <c r="I563">
        <v>14.2</v>
      </c>
      <c r="J563">
        <v>14.1</v>
      </c>
      <c r="K563">
        <v>14.1</v>
      </c>
      <c r="L563">
        <v>14.2</v>
      </c>
      <c r="M563">
        <v>14.2</v>
      </c>
      <c r="N563">
        <v>14.1</v>
      </c>
      <c r="O563">
        <v>14</v>
      </c>
      <c r="P563">
        <v>14</v>
      </c>
      <c r="Q563">
        <v>13.8</v>
      </c>
      <c r="R563">
        <v>13.8</v>
      </c>
      <c r="S563">
        <f>Tableau1[[#This Row],[Final_time]]-SUM(Tableau1[[#This Row],[0_100m]:[1300_1400m]])</f>
        <v>14.029999999999973</v>
      </c>
      <c r="T563">
        <v>211.63</v>
      </c>
      <c r="U563">
        <f t="shared" si="16"/>
        <v>211.63</v>
      </c>
      <c r="V563">
        <f t="shared" si="17"/>
        <v>0</v>
      </c>
      <c r="W563" s="12"/>
      <c r="X563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3" t="s">
        <v>1350</v>
      </c>
      <c r="Z563" s="2" t="s">
        <v>43</v>
      </c>
      <c r="AA563" s="2"/>
      <c r="AB563" s="2" t="s">
        <v>65</v>
      </c>
      <c r="AC563" s="2">
        <v>45828</v>
      </c>
      <c r="AD563" s="3">
        <v>2025</v>
      </c>
      <c r="AE563" s="3">
        <v>28</v>
      </c>
      <c r="AF563" s="5">
        <v>0.38</v>
      </c>
      <c r="AG563" s="3" t="s">
        <v>71</v>
      </c>
    </row>
    <row r="564" spans="1:33" hidden="1" x14ac:dyDescent="0.35">
      <c r="A564" t="str">
        <f>_xlfn.CONCAT(Tableau1[[#This Row],[Athletes]],"_",Tableau1[[#This Row],[Nationality]],"_",Tableau1[[#This Row],[Competition_year]])</f>
        <v>Stefan NILLESSEN_NED_2025</v>
      </c>
      <c r="B564" t="s">
        <v>1262</v>
      </c>
      <c r="C564" t="s">
        <v>16</v>
      </c>
      <c r="D564" t="s">
        <v>39</v>
      </c>
      <c r="E564">
        <v>13.9</v>
      </c>
      <c r="F564">
        <v>14.2</v>
      </c>
      <c r="G564">
        <v>14</v>
      </c>
      <c r="H564">
        <v>13.9</v>
      </c>
      <c r="I564">
        <v>14.5</v>
      </c>
      <c r="J564">
        <v>13.7</v>
      </c>
      <c r="K564">
        <v>13.9</v>
      </c>
      <c r="L564">
        <v>13.8</v>
      </c>
      <c r="M564">
        <v>14.1</v>
      </c>
      <c r="N564">
        <v>13.9</v>
      </c>
      <c r="O564">
        <v>14.1</v>
      </c>
      <c r="P564">
        <v>13.7</v>
      </c>
      <c r="Q564">
        <v>13.8</v>
      </c>
      <c r="R564">
        <v>13.7</v>
      </c>
      <c r="S564">
        <f>Tableau1[[#This Row],[Final_time]]-SUM(Tableau1[[#This Row],[0_100m]:[1300_1400m]])</f>
        <v>14.030000000000001</v>
      </c>
      <c r="T564">
        <v>209.23</v>
      </c>
      <c r="U564">
        <f t="shared" si="16"/>
        <v>209.23</v>
      </c>
      <c r="V564">
        <f t="shared" si="17"/>
        <v>0</v>
      </c>
      <c r="W564" s="12"/>
      <c r="X564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4" t="s">
        <v>1350</v>
      </c>
      <c r="Z564" s="2" t="s">
        <v>43</v>
      </c>
      <c r="AA564" s="2"/>
      <c r="AB564" s="2" t="s">
        <v>65</v>
      </c>
      <c r="AC564" s="2">
        <v>45828</v>
      </c>
      <c r="AD564" s="3">
        <v>2025</v>
      </c>
      <c r="AE564" s="3">
        <v>28</v>
      </c>
      <c r="AF564" s="5">
        <v>0.38</v>
      </c>
      <c r="AG564" s="3" t="s">
        <v>71</v>
      </c>
    </row>
    <row r="565" spans="1:33" hidden="1" x14ac:dyDescent="0.35">
      <c r="A565" t="str">
        <f>_xlfn.CONCAT(Tableau1[[#This Row],[Athletes]],"_",Tableau1[[#This Row],[Nationality]],"_",Tableau1[[#This Row],[Competition_year]])</f>
        <v>Pierrik JOCTEUR-MONROZIER_FRA_2025</v>
      </c>
      <c r="B565" t="s">
        <v>1356</v>
      </c>
      <c r="C565" t="s">
        <v>16</v>
      </c>
      <c r="D565" t="s">
        <v>18</v>
      </c>
      <c r="E565">
        <v>14.4</v>
      </c>
      <c r="F565">
        <v>14.3</v>
      </c>
      <c r="G565">
        <v>14.2</v>
      </c>
      <c r="H565">
        <v>14</v>
      </c>
      <c r="I565">
        <v>14.6</v>
      </c>
      <c r="J565">
        <v>14.2</v>
      </c>
      <c r="K565">
        <v>14.1</v>
      </c>
      <c r="L565">
        <v>14.3</v>
      </c>
      <c r="M565">
        <v>14.1</v>
      </c>
      <c r="N565">
        <v>14</v>
      </c>
      <c r="O565">
        <v>14</v>
      </c>
      <c r="P565">
        <v>13.7</v>
      </c>
      <c r="Q565">
        <v>13.7</v>
      </c>
      <c r="R565">
        <v>13.8</v>
      </c>
      <c r="S565">
        <f>Tableau1[[#This Row],[Final_time]]-SUM(Tableau1[[#This Row],[0_100m]:[1300_1400m]])</f>
        <v>14.110000000000014</v>
      </c>
      <c r="T565">
        <v>211.51</v>
      </c>
      <c r="U565">
        <f t="shared" si="16"/>
        <v>211.51</v>
      </c>
      <c r="V565">
        <f t="shared" si="17"/>
        <v>0</v>
      </c>
      <c r="W565" s="12"/>
      <c r="X565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5" t="s">
        <v>1350</v>
      </c>
      <c r="Z565" s="2" t="s">
        <v>43</v>
      </c>
      <c r="AA565" s="2"/>
      <c r="AB565" s="2" t="s">
        <v>65</v>
      </c>
      <c r="AC565" s="2">
        <v>45828</v>
      </c>
      <c r="AD565" s="3">
        <v>2025</v>
      </c>
      <c r="AE565" s="3">
        <v>28</v>
      </c>
      <c r="AF565" s="5">
        <v>0.38</v>
      </c>
      <c r="AG565" s="3" t="s">
        <v>71</v>
      </c>
    </row>
    <row r="566" spans="1:33" hidden="1" x14ac:dyDescent="0.35">
      <c r="A566" t="str">
        <f>_xlfn.CONCAT(Tableau1[[#This Row],[Athletes]],"_",Tableau1[[#This Row],[Nationality]],"_",Tableau1[[#This Row],[Competition_year]])</f>
        <v>Pieter SISK_BEL_2025</v>
      </c>
      <c r="B566" t="s">
        <v>535</v>
      </c>
      <c r="C566" t="s">
        <v>16</v>
      </c>
      <c r="D566" t="s">
        <v>86</v>
      </c>
      <c r="E566">
        <v>13.9</v>
      </c>
      <c r="F566">
        <v>14.5</v>
      </c>
      <c r="G566">
        <v>14.3</v>
      </c>
      <c r="H566">
        <v>13.8</v>
      </c>
      <c r="I566">
        <v>14.5</v>
      </c>
      <c r="J566">
        <v>14.2</v>
      </c>
      <c r="K566">
        <v>14.2</v>
      </c>
      <c r="L566">
        <v>14.2</v>
      </c>
      <c r="M566">
        <v>14</v>
      </c>
      <c r="N566">
        <v>14.2</v>
      </c>
      <c r="O566">
        <v>14.5</v>
      </c>
      <c r="P566">
        <v>13.9</v>
      </c>
      <c r="Q566">
        <v>14</v>
      </c>
      <c r="R566">
        <v>13.5</v>
      </c>
      <c r="S566">
        <f>Tableau1[[#This Row],[Final_time]]-SUM(Tableau1[[#This Row],[0_100m]:[1300_1400m]])</f>
        <v>14.149999999999977</v>
      </c>
      <c r="T566">
        <v>211.85</v>
      </c>
      <c r="U566">
        <f t="shared" si="16"/>
        <v>211.85</v>
      </c>
      <c r="V566">
        <f t="shared" si="17"/>
        <v>0</v>
      </c>
      <c r="W566" s="12"/>
      <c r="X566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6" t="s">
        <v>1350</v>
      </c>
      <c r="Z566" s="2" t="s">
        <v>43</v>
      </c>
      <c r="AA566" s="2"/>
      <c r="AB566" s="2" t="s">
        <v>65</v>
      </c>
      <c r="AC566" s="2">
        <v>45828</v>
      </c>
      <c r="AD566" s="3">
        <v>2025</v>
      </c>
      <c r="AE566" s="3">
        <v>28</v>
      </c>
      <c r="AF566" s="5">
        <v>0.38</v>
      </c>
      <c r="AG566" s="3" t="s">
        <v>71</v>
      </c>
    </row>
    <row r="567" spans="1:33" hidden="1" x14ac:dyDescent="0.35">
      <c r="A567" t="str">
        <f>_xlfn.CONCAT(Tableau1[[#This Row],[Athletes]],"_",Tableau1[[#This Row],[Nationality]],"_",Tableau1[[#This Row],[Competition_year]])</f>
        <v>Flavien SZOT_FRA_2025</v>
      </c>
      <c r="B567" t="s">
        <v>1355</v>
      </c>
      <c r="C567" t="s">
        <v>16</v>
      </c>
      <c r="D567" t="s">
        <v>18</v>
      </c>
      <c r="E567">
        <v>14.1</v>
      </c>
      <c r="F567">
        <v>14.7</v>
      </c>
      <c r="G567">
        <v>14.2</v>
      </c>
      <c r="H567">
        <v>13.9</v>
      </c>
      <c r="I567">
        <v>14.3</v>
      </c>
      <c r="J567">
        <v>14</v>
      </c>
      <c r="K567">
        <v>13.9</v>
      </c>
      <c r="L567">
        <v>14</v>
      </c>
      <c r="M567">
        <v>14</v>
      </c>
      <c r="N567">
        <v>14.1</v>
      </c>
      <c r="O567">
        <v>13.9</v>
      </c>
      <c r="P567">
        <v>13.8</v>
      </c>
      <c r="Q567">
        <v>13.7</v>
      </c>
      <c r="R567">
        <v>13.9</v>
      </c>
      <c r="S567">
        <f>Tableau1[[#This Row],[Final_time]]-SUM(Tableau1[[#This Row],[0_100m]:[1300_1400m]])</f>
        <v>14.239999999999981</v>
      </c>
      <c r="T567">
        <v>210.74</v>
      </c>
      <c r="U567">
        <f t="shared" si="16"/>
        <v>210.74</v>
      </c>
      <c r="V567">
        <f t="shared" si="17"/>
        <v>0</v>
      </c>
      <c r="W567" s="12"/>
      <c r="X567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7" t="s">
        <v>1350</v>
      </c>
      <c r="Z567" s="2" t="s">
        <v>43</v>
      </c>
      <c r="AA567" s="2"/>
      <c r="AB567" s="2" t="s">
        <v>65</v>
      </c>
      <c r="AC567" s="2">
        <v>45828</v>
      </c>
      <c r="AD567" s="3">
        <v>2025</v>
      </c>
      <c r="AE567" s="3">
        <v>28</v>
      </c>
      <c r="AF567" s="5">
        <v>0.38</v>
      </c>
      <c r="AG567" s="3" t="s">
        <v>71</v>
      </c>
    </row>
    <row r="568" spans="1:33" hidden="1" x14ac:dyDescent="0.35">
      <c r="A568" t="str">
        <f>_xlfn.CONCAT(Tableau1[[#This Row],[Athletes]],"_",Tableau1[[#This Row],[Nationality]],"_",Tableau1[[#This Row],[Competition_year]])</f>
        <v>Ruben VERHEYDEN_BEL_2025</v>
      </c>
      <c r="B568" t="s">
        <v>204</v>
      </c>
      <c r="C568" t="s">
        <v>16</v>
      </c>
      <c r="D568" t="s">
        <v>86</v>
      </c>
      <c r="E568">
        <v>14</v>
      </c>
      <c r="F568">
        <v>14.6</v>
      </c>
      <c r="G568">
        <v>14.3</v>
      </c>
      <c r="H568">
        <v>13.8</v>
      </c>
      <c r="I568">
        <v>14.5</v>
      </c>
      <c r="J568">
        <v>14.2</v>
      </c>
      <c r="K568">
        <v>13.8</v>
      </c>
      <c r="L568">
        <v>14.1</v>
      </c>
      <c r="M568">
        <v>14</v>
      </c>
      <c r="N568">
        <v>14.1</v>
      </c>
      <c r="O568">
        <v>13.9</v>
      </c>
      <c r="P568">
        <v>14</v>
      </c>
      <c r="Q568">
        <v>13.8</v>
      </c>
      <c r="R568">
        <v>13.6</v>
      </c>
      <c r="S568">
        <f>Tableau1[[#This Row],[Final_time]]-SUM(Tableau1[[#This Row],[0_100m]:[1300_1400m]])</f>
        <v>14.289999999999992</v>
      </c>
      <c r="T568">
        <v>210.99</v>
      </c>
      <c r="U568">
        <f t="shared" si="16"/>
        <v>210.99</v>
      </c>
      <c r="V568">
        <f t="shared" si="17"/>
        <v>0</v>
      </c>
      <c r="W568" s="12"/>
      <c r="X568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8" t="s">
        <v>1350</v>
      </c>
      <c r="Z568" s="2" t="s">
        <v>43</v>
      </c>
      <c r="AA568" s="2"/>
      <c r="AB568" s="2" t="s">
        <v>65</v>
      </c>
      <c r="AC568" s="2">
        <v>45828</v>
      </c>
      <c r="AD568" s="3">
        <v>2025</v>
      </c>
      <c r="AE568" s="3">
        <v>28</v>
      </c>
      <c r="AF568" s="5">
        <v>0.38</v>
      </c>
      <c r="AG568" s="3" t="s">
        <v>71</v>
      </c>
    </row>
    <row r="569" spans="1:33" hidden="1" x14ac:dyDescent="0.35">
      <c r="A569" t="str">
        <f>_xlfn.CONCAT(Tableau1[[#This Row],[Athletes]],"_",Tableau1[[#This Row],[Nationality]],"_",Tableau1[[#This Row],[Competition_year]])</f>
        <v>Tshepo TSHITE_RSA_2025</v>
      </c>
      <c r="B569" t="s">
        <v>201</v>
      </c>
      <c r="C569" t="s">
        <v>16</v>
      </c>
      <c r="D569" t="s">
        <v>36</v>
      </c>
      <c r="E569">
        <v>13.9</v>
      </c>
      <c r="F569">
        <v>14.4</v>
      </c>
      <c r="G569">
        <v>14.1</v>
      </c>
      <c r="H569">
        <v>13.8</v>
      </c>
      <c r="I569">
        <v>14.6</v>
      </c>
      <c r="J569">
        <v>13.8</v>
      </c>
      <c r="K569">
        <v>14</v>
      </c>
      <c r="L569">
        <v>14.1</v>
      </c>
      <c r="M569">
        <v>14</v>
      </c>
      <c r="N569">
        <v>14.4</v>
      </c>
      <c r="O569">
        <v>14.2</v>
      </c>
      <c r="P569">
        <v>13.8</v>
      </c>
      <c r="Q569">
        <v>13.7</v>
      </c>
      <c r="R569">
        <v>13.9</v>
      </c>
      <c r="S569">
        <f>Tableau1[[#This Row],[Final_time]]-SUM(Tableau1[[#This Row],[0_100m]:[1300_1400m]])</f>
        <v>14.650000000000006</v>
      </c>
      <c r="T569">
        <v>211.35</v>
      </c>
      <c r="U569">
        <f t="shared" si="16"/>
        <v>211.35</v>
      </c>
      <c r="V569">
        <f t="shared" si="17"/>
        <v>0</v>
      </c>
      <c r="W569" s="12"/>
      <c r="X569" t="str">
        <f>_xlfn.CONCAT(Tableau1[[#This Row],[Competition]],"_",Tableau1[[#This Row],[Championship_step]],"_",Tableau1[[#This Row],[Competition_date]],"_",Tableau1[[#This Row],[Gender]])</f>
        <v>Diamond League Paris 2025__45828_Male</v>
      </c>
      <c r="Y569" t="s">
        <v>1350</v>
      </c>
      <c r="Z569" s="2" t="s">
        <v>43</v>
      </c>
      <c r="AA569" s="2"/>
      <c r="AB569" s="2" t="s">
        <v>65</v>
      </c>
      <c r="AC569" s="2">
        <v>45828</v>
      </c>
      <c r="AD569" s="3">
        <v>2025</v>
      </c>
      <c r="AE569" s="3">
        <v>28</v>
      </c>
      <c r="AF569" s="5">
        <v>0.38</v>
      </c>
      <c r="AG569" s="3" t="s">
        <v>71</v>
      </c>
    </row>
    <row r="570" spans="1:33" hidden="1" x14ac:dyDescent="0.35">
      <c r="A570" t="str">
        <f>_xlfn.CONCAT(Tableau1[[#This Row],[Athletes]],"_",Tableau1[[#This Row],[Nationality]],"_",Tableau1[[#This Row],[Competition_year]])</f>
        <v>Abdellah HASSOU_MAR_2022</v>
      </c>
      <c r="B570" t="s">
        <v>700</v>
      </c>
      <c r="C570" t="s">
        <v>16</v>
      </c>
      <c r="D570" t="s">
        <v>75</v>
      </c>
      <c r="E570">
        <v>15.8</v>
      </c>
      <c r="F570">
        <v>15.7</v>
      </c>
      <c r="G570">
        <v>15.799999999999997</v>
      </c>
      <c r="H570">
        <v>16.300000000000004</v>
      </c>
      <c r="I570">
        <v>17.399999999999999</v>
      </c>
      <c r="J570">
        <v>17.400000000000006</v>
      </c>
      <c r="K570">
        <v>16.899999999999991</v>
      </c>
      <c r="L570">
        <v>16.500000000000014</v>
      </c>
      <c r="M570">
        <v>16.099999999999994</v>
      </c>
      <c r="N570">
        <v>15.199999999999989</v>
      </c>
      <c r="O570">
        <v>14.800000000000011</v>
      </c>
      <c r="P570">
        <v>14.400000000000006</v>
      </c>
      <c r="Q570">
        <v>14.399999999999977</v>
      </c>
      <c r="R570">
        <v>14.600000000000023</v>
      </c>
      <c r="S570">
        <f>Tableau1[[#This Row],[Final_time]]-SUM(Tableau1[[#This Row],[0_100m]:[1300_1400m]])</f>
        <v>14.129999999999995</v>
      </c>
      <c r="T570">
        <v>235.43</v>
      </c>
      <c r="U570">
        <f t="shared" si="16"/>
        <v>235.43</v>
      </c>
      <c r="V570">
        <f t="shared" si="17"/>
        <v>0</v>
      </c>
      <c r="W570" s="12"/>
      <c r="X570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0" t="s">
        <v>398</v>
      </c>
      <c r="Z570" s="2" t="s">
        <v>43</v>
      </c>
      <c r="AA570" s="2"/>
      <c r="AB570" s="2" t="s">
        <v>44</v>
      </c>
      <c r="AC570" s="2">
        <v>44717</v>
      </c>
      <c r="AD570">
        <v>2022</v>
      </c>
      <c r="AE570" s="3">
        <v>22</v>
      </c>
      <c r="AF570" s="5">
        <v>0.75</v>
      </c>
      <c r="AG570" s="3" t="s">
        <v>71</v>
      </c>
    </row>
    <row r="571" spans="1:33" hidden="1" x14ac:dyDescent="0.35">
      <c r="A571" t="str">
        <f>_xlfn.CONCAT(Tableau1[[#This Row],[Athletes]],"_",Tableau1[[#This Row],[Nationality]],"_",Tableau1[[#This Row],[Competition_year]])</f>
        <v>Abderahmane LAASAL_MAR_2022</v>
      </c>
      <c r="B571" t="s">
        <v>391</v>
      </c>
      <c r="C571" t="s">
        <v>16</v>
      </c>
      <c r="D571" t="s">
        <v>75</v>
      </c>
      <c r="E571">
        <v>15.3</v>
      </c>
      <c r="F571">
        <v>15.7</v>
      </c>
      <c r="G571">
        <v>15.700000000000003</v>
      </c>
      <c r="H571">
        <v>16.299999999999997</v>
      </c>
      <c r="I571">
        <v>17.400000000000006</v>
      </c>
      <c r="J571">
        <v>17.299999999999997</v>
      </c>
      <c r="K571">
        <v>17.099999999999994</v>
      </c>
      <c r="L571">
        <v>16.299999999999997</v>
      </c>
      <c r="M571">
        <v>15.900000000000006</v>
      </c>
      <c r="N571">
        <v>14.5</v>
      </c>
      <c r="O571">
        <v>13.699999999999989</v>
      </c>
      <c r="P571">
        <v>14</v>
      </c>
      <c r="Q571">
        <v>14.400000000000006</v>
      </c>
      <c r="R571">
        <v>14.300000000000011</v>
      </c>
      <c r="S571">
        <f>Tableau1[[#This Row],[Final_time]]-SUM(Tableau1[[#This Row],[0_100m]:[1300_1400m]])</f>
        <v>14.689999999999998</v>
      </c>
      <c r="T571">
        <v>232.59</v>
      </c>
      <c r="U571">
        <f t="shared" si="16"/>
        <v>232.59</v>
      </c>
      <c r="V571">
        <f t="shared" si="17"/>
        <v>0</v>
      </c>
      <c r="W571" s="12"/>
      <c r="X571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1" t="s">
        <v>398</v>
      </c>
      <c r="Z571" s="2" t="s">
        <v>43</v>
      </c>
      <c r="AA571" s="2"/>
      <c r="AB571" s="2" t="s">
        <v>44</v>
      </c>
      <c r="AC571" s="2">
        <v>44717</v>
      </c>
      <c r="AD571">
        <v>2022</v>
      </c>
      <c r="AE571" s="3">
        <v>22</v>
      </c>
      <c r="AF571" s="5">
        <v>0.75</v>
      </c>
      <c r="AG571" s="3" t="s">
        <v>71</v>
      </c>
    </row>
    <row r="572" spans="1:33" hidden="1" x14ac:dyDescent="0.35">
      <c r="A572" t="str">
        <f>_xlfn.CONCAT(Tableau1[[#This Row],[Athletes]],"_",Tableau1[[#This Row],[Nationality]],"_",Tableau1[[#This Row],[Competition_year]])</f>
        <v>Oussama ALLAOUI_MAR_2022</v>
      </c>
      <c r="B572" t="s">
        <v>390</v>
      </c>
      <c r="C572" t="s">
        <v>16</v>
      </c>
      <c r="D572" t="s">
        <v>75</v>
      </c>
      <c r="E572">
        <v>15.2</v>
      </c>
      <c r="F572">
        <v>15.5</v>
      </c>
      <c r="G572">
        <v>15.400000000000002</v>
      </c>
      <c r="H572">
        <v>16.5</v>
      </c>
      <c r="I572">
        <v>17.600000000000001</v>
      </c>
      <c r="J572">
        <v>17.099999999999994</v>
      </c>
      <c r="K572">
        <v>17.200000000000003</v>
      </c>
      <c r="L572">
        <v>16.300000000000011</v>
      </c>
      <c r="M572">
        <v>15.899999999999977</v>
      </c>
      <c r="N572">
        <v>14.600000000000023</v>
      </c>
      <c r="O572">
        <v>13.599999999999994</v>
      </c>
      <c r="P572">
        <v>13.900000000000006</v>
      </c>
      <c r="Q572">
        <v>14</v>
      </c>
      <c r="R572">
        <v>14.699999999999989</v>
      </c>
      <c r="S572">
        <f>Tableau1[[#This Row],[Final_time]]-SUM(Tableau1[[#This Row],[0_100m]:[1300_1400m]])</f>
        <v>14.72999999999999</v>
      </c>
      <c r="T572">
        <v>232.23</v>
      </c>
      <c r="U572">
        <f t="shared" si="16"/>
        <v>232.23</v>
      </c>
      <c r="V572">
        <f t="shared" si="17"/>
        <v>0</v>
      </c>
      <c r="W572" s="12"/>
      <c r="X572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2" t="s">
        <v>398</v>
      </c>
      <c r="Z572" s="2" t="s">
        <v>43</v>
      </c>
      <c r="AA572" s="2"/>
      <c r="AB572" s="2" t="s">
        <v>44</v>
      </c>
      <c r="AC572" s="2">
        <v>44717</v>
      </c>
      <c r="AD572">
        <v>2022</v>
      </c>
      <c r="AE572" s="3">
        <v>22</v>
      </c>
      <c r="AF572" s="5">
        <v>0.75</v>
      </c>
      <c r="AG572" s="3" t="s">
        <v>71</v>
      </c>
    </row>
    <row r="573" spans="1:33" hidden="1" x14ac:dyDescent="0.35">
      <c r="A573" t="str">
        <f>_xlfn.CONCAT(Tableau1[[#This Row],[Athletes]],"_",Tableau1[[#This Row],[Nationality]],"_",Tableau1[[#This Row],[Competition_year]])</f>
        <v>Zouhair REDOUANE_MAR_2022</v>
      </c>
      <c r="B573" t="s">
        <v>394</v>
      </c>
      <c r="C573" t="s">
        <v>16</v>
      </c>
      <c r="D573" t="s">
        <v>75</v>
      </c>
      <c r="E573">
        <v>16</v>
      </c>
      <c r="F573">
        <v>15.7</v>
      </c>
      <c r="G573">
        <v>15.500000000000004</v>
      </c>
      <c r="H573">
        <v>16.299999999999997</v>
      </c>
      <c r="I573">
        <v>17.299999999999997</v>
      </c>
      <c r="J573">
        <v>17.400000000000006</v>
      </c>
      <c r="K573">
        <v>16.899999999999991</v>
      </c>
      <c r="L573">
        <v>16.400000000000006</v>
      </c>
      <c r="M573">
        <v>16.099999999999994</v>
      </c>
      <c r="N573">
        <v>15.099999999999994</v>
      </c>
      <c r="O573">
        <v>14.400000000000006</v>
      </c>
      <c r="P573">
        <v>14.400000000000006</v>
      </c>
      <c r="Q573">
        <v>14.5</v>
      </c>
      <c r="R573">
        <v>14.599999999999994</v>
      </c>
      <c r="S573">
        <f>Tableau1[[#This Row],[Final_time]]-SUM(Tableau1[[#This Row],[0_100m]:[1300_1400m]])</f>
        <v>14.77000000000001</v>
      </c>
      <c r="T573">
        <v>235.37</v>
      </c>
      <c r="U573">
        <f t="shared" si="16"/>
        <v>235.37</v>
      </c>
      <c r="V573">
        <f t="shared" si="17"/>
        <v>0</v>
      </c>
      <c r="W573" s="12"/>
      <c r="X573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3" t="s">
        <v>398</v>
      </c>
      <c r="Z573" s="2" t="s">
        <v>43</v>
      </c>
      <c r="AA573" s="2"/>
      <c r="AB573" s="2" t="s">
        <v>44</v>
      </c>
      <c r="AC573" s="2">
        <v>44717</v>
      </c>
      <c r="AD573">
        <v>2022</v>
      </c>
      <c r="AE573" s="3">
        <v>22</v>
      </c>
      <c r="AF573" s="5">
        <v>0.75</v>
      </c>
      <c r="AG573" s="3" t="s">
        <v>71</v>
      </c>
    </row>
    <row r="574" spans="1:33" hidden="1" x14ac:dyDescent="0.35">
      <c r="A574" t="str">
        <f>_xlfn.CONCAT(Tableau1[[#This Row],[Athletes]],"_",Tableau1[[#This Row],[Nationality]],"_",Tableau1[[#This Row],[Competition_year]])</f>
        <v>Walid JARFANI_MAR_2022</v>
      </c>
      <c r="B574" t="s">
        <v>392</v>
      </c>
      <c r="C574" t="s">
        <v>16</v>
      </c>
      <c r="D574" t="s">
        <v>75</v>
      </c>
      <c r="E574">
        <v>15.4</v>
      </c>
      <c r="F574">
        <v>15.499999999999998</v>
      </c>
      <c r="G574">
        <v>15.600000000000001</v>
      </c>
      <c r="H574">
        <v>16.299999999999997</v>
      </c>
      <c r="I574">
        <v>17.600000000000009</v>
      </c>
      <c r="J574">
        <v>17.199999999999989</v>
      </c>
      <c r="K574">
        <v>17.100000000000009</v>
      </c>
      <c r="L574">
        <v>16.299999999999997</v>
      </c>
      <c r="M574">
        <v>16.099999999999994</v>
      </c>
      <c r="N574">
        <v>14.800000000000011</v>
      </c>
      <c r="O574">
        <v>13.799999999999983</v>
      </c>
      <c r="P574">
        <v>13.800000000000011</v>
      </c>
      <c r="Q574">
        <v>14</v>
      </c>
      <c r="R574">
        <v>14.400000000000006</v>
      </c>
      <c r="S574">
        <f>Tableau1[[#This Row],[Final_time]]-SUM(Tableau1[[#This Row],[0_100m]:[1300_1400m]])</f>
        <v>14.969999999999999</v>
      </c>
      <c r="T574">
        <v>232.87</v>
      </c>
      <c r="U574">
        <f t="shared" si="16"/>
        <v>232.87</v>
      </c>
      <c r="V574">
        <f t="shared" si="17"/>
        <v>0</v>
      </c>
      <c r="W574" s="12"/>
      <c r="X574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4" t="s">
        <v>398</v>
      </c>
      <c r="Z574" s="2" t="s">
        <v>43</v>
      </c>
      <c r="AA574" s="2"/>
      <c r="AB574" s="2" t="s">
        <v>44</v>
      </c>
      <c r="AC574" s="2">
        <v>44717</v>
      </c>
      <c r="AD574">
        <v>2022</v>
      </c>
      <c r="AE574" s="3">
        <v>22</v>
      </c>
      <c r="AF574" s="5">
        <v>0.75</v>
      </c>
      <c r="AG574" s="3" t="s">
        <v>71</v>
      </c>
    </row>
    <row r="575" spans="1:33" hidden="1" x14ac:dyDescent="0.35">
      <c r="A575" t="str">
        <f>_xlfn.CONCAT(Tableau1[[#This Row],[Athletes]],"_",Tableau1[[#This Row],[Nationality]],"_",Tableau1[[#This Row],[Competition_year]])</f>
        <v>Ilyas AAOURDOU_MAR_2022</v>
      </c>
      <c r="B575" t="s">
        <v>395</v>
      </c>
      <c r="C575" t="s">
        <v>16</v>
      </c>
      <c r="D575" t="s">
        <v>75</v>
      </c>
      <c r="E575">
        <v>15.3</v>
      </c>
      <c r="F575">
        <v>15.7</v>
      </c>
      <c r="G575">
        <v>15.600000000000001</v>
      </c>
      <c r="H575">
        <v>16.199999999999996</v>
      </c>
      <c r="I575">
        <v>17.400000000000006</v>
      </c>
      <c r="J575">
        <v>17.299999999999997</v>
      </c>
      <c r="K575">
        <v>17.299999999999997</v>
      </c>
      <c r="L575">
        <v>16.399999999999991</v>
      </c>
      <c r="M575">
        <v>16.100000000000023</v>
      </c>
      <c r="N575">
        <v>15.299999999999983</v>
      </c>
      <c r="O575">
        <v>14.599999999999994</v>
      </c>
      <c r="P575">
        <v>14.700000000000017</v>
      </c>
      <c r="Q575">
        <v>14.5</v>
      </c>
      <c r="R575">
        <v>14.900000000000006</v>
      </c>
      <c r="S575">
        <f>Tableau1[[#This Row],[Final_time]]-SUM(Tableau1[[#This Row],[0_100m]:[1300_1400m]])</f>
        <v>15.099999999999994</v>
      </c>
      <c r="T575">
        <v>236.4</v>
      </c>
      <c r="U575">
        <f t="shared" si="16"/>
        <v>236.4</v>
      </c>
      <c r="V575">
        <f t="shared" si="17"/>
        <v>0</v>
      </c>
      <c r="W575" s="12"/>
      <c r="X575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5" t="s">
        <v>398</v>
      </c>
      <c r="Z575" s="2" t="s">
        <v>43</v>
      </c>
      <c r="AA575" s="2"/>
      <c r="AB575" s="2" t="s">
        <v>44</v>
      </c>
      <c r="AC575" s="2">
        <v>44717</v>
      </c>
      <c r="AD575">
        <v>2022</v>
      </c>
      <c r="AE575" s="3">
        <v>22</v>
      </c>
      <c r="AF575" s="5">
        <v>0.75</v>
      </c>
      <c r="AG575" s="3" t="s">
        <v>71</v>
      </c>
    </row>
    <row r="576" spans="1:33" hidden="1" x14ac:dyDescent="0.35">
      <c r="A576" t="str">
        <f>_xlfn.CONCAT(Tableau1[[#This Row],[Athletes]],"_",Tableau1[[#This Row],[Nationality]],"_",Tableau1[[#This Row],[Competition_year]])</f>
        <v>Abdelkarim LAASAKRI_MAR_2022</v>
      </c>
      <c r="B576" t="s">
        <v>698</v>
      </c>
      <c r="C576" t="s">
        <v>16</v>
      </c>
      <c r="D576" t="s">
        <v>75</v>
      </c>
      <c r="E576">
        <v>15.9</v>
      </c>
      <c r="F576">
        <v>15.499999999999998</v>
      </c>
      <c r="G576">
        <v>15.700000000000003</v>
      </c>
      <c r="H576">
        <v>16.100000000000001</v>
      </c>
      <c r="I576">
        <v>17.299999999999997</v>
      </c>
      <c r="J576">
        <v>17.400000000000006</v>
      </c>
      <c r="K576">
        <v>17.199999999999989</v>
      </c>
      <c r="L576">
        <v>16.400000000000006</v>
      </c>
      <c r="M576">
        <v>16.099999999999994</v>
      </c>
      <c r="N576">
        <v>15.300000000000011</v>
      </c>
      <c r="O576">
        <v>15.099999999999994</v>
      </c>
      <c r="P576">
        <v>15.599999999999994</v>
      </c>
      <c r="Q576">
        <v>15.5</v>
      </c>
      <c r="R576">
        <v>15.5</v>
      </c>
      <c r="S576">
        <f>Tableau1[[#This Row],[Final_time]]-SUM(Tableau1[[#This Row],[0_100m]:[1300_1400m]])</f>
        <v>15.360000000000014</v>
      </c>
      <c r="T576">
        <v>239.96</v>
      </c>
      <c r="U576">
        <f t="shared" si="16"/>
        <v>239.96</v>
      </c>
      <c r="V576">
        <f t="shared" si="17"/>
        <v>0</v>
      </c>
      <c r="W576" s="12"/>
      <c r="X576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6" t="s">
        <v>398</v>
      </c>
      <c r="Z576" s="2" t="s">
        <v>43</v>
      </c>
      <c r="AA576" s="2"/>
      <c r="AB576" s="2" t="s">
        <v>44</v>
      </c>
      <c r="AC576" s="2">
        <v>44717</v>
      </c>
      <c r="AD576">
        <v>2022</v>
      </c>
      <c r="AE576" s="3">
        <v>22</v>
      </c>
      <c r="AF576" s="5">
        <v>0.75</v>
      </c>
      <c r="AG576" s="3" t="s">
        <v>71</v>
      </c>
    </row>
    <row r="577" spans="1:33" hidden="1" x14ac:dyDescent="0.35">
      <c r="A577" t="str">
        <f>_xlfn.CONCAT(Tableau1[[#This Row],[Athletes]],"_",Tableau1[[#This Row],[Nationality]],"_",Tableau1[[#This Row],[Competition_year]])</f>
        <v>Ismail CHKHICHEKH_MAR_2022</v>
      </c>
      <c r="B577" t="s">
        <v>393</v>
      </c>
      <c r="C577" t="s">
        <v>16</v>
      </c>
      <c r="D577" t="s">
        <v>75</v>
      </c>
      <c r="E577">
        <v>15.4</v>
      </c>
      <c r="F577">
        <v>15.499999999999998</v>
      </c>
      <c r="G577">
        <v>15.700000000000003</v>
      </c>
      <c r="H577">
        <v>16.399999999999999</v>
      </c>
      <c r="I577">
        <v>17.5</v>
      </c>
      <c r="J577">
        <v>17.400000000000006</v>
      </c>
      <c r="K577">
        <v>16.699999999999989</v>
      </c>
      <c r="L577">
        <v>16.5</v>
      </c>
      <c r="M577">
        <v>15.599999999999994</v>
      </c>
      <c r="N577">
        <v>14.600000000000023</v>
      </c>
      <c r="O577">
        <v>13.699999999999989</v>
      </c>
      <c r="P577">
        <v>14</v>
      </c>
      <c r="Q577">
        <v>14.099999999999994</v>
      </c>
      <c r="R577">
        <v>14.599999999999994</v>
      </c>
      <c r="S577">
        <f>Tableau1[[#This Row],[Final_time]]-SUM(Tableau1[[#This Row],[0_100m]:[1300_1400m]])</f>
        <v>15.490000000000009</v>
      </c>
      <c r="T577">
        <v>233.19</v>
      </c>
      <c r="U577">
        <f t="shared" si="16"/>
        <v>233.19</v>
      </c>
      <c r="V577">
        <f t="shared" si="17"/>
        <v>0</v>
      </c>
      <c r="W577" s="12"/>
      <c r="X577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7" t="s">
        <v>398</v>
      </c>
      <c r="Z577" s="2" t="s">
        <v>43</v>
      </c>
      <c r="AA577" s="2"/>
      <c r="AB577" s="2" t="s">
        <v>44</v>
      </c>
      <c r="AC577" s="2">
        <v>44717</v>
      </c>
      <c r="AD577">
        <v>2022</v>
      </c>
      <c r="AE577" s="3">
        <v>22</v>
      </c>
      <c r="AF577" s="5">
        <v>0.75</v>
      </c>
      <c r="AG577" s="3" t="s">
        <v>71</v>
      </c>
    </row>
    <row r="578" spans="1:33" hidden="1" x14ac:dyDescent="0.35">
      <c r="A578" t="str">
        <f>_xlfn.CONCAT(Tableau1[[#This Row],[Athletes]],"_",Tableau1[[#This Row],[Nationality]],"_",Tableau1[[#This Row],[Competition_year]])</f>
        <v>Ayoub TAOUS_MAR_2022</v>
      </c>
      <c r="B578" t="s">
        <v>396</v>
      </c>
      <c r="C578" t="s">
        <v>16</v>
      </c>
      <c r="D578" t="s">
        <v>75</v>
      </c>
      <c r="E578">
        <v>15.1</v>
      </c>
      <c r="F578">
        <v>15.500000000000002</v>
      </c>
      <c r="G578">
        <v>15.699999999999996</v>
      </c>
      <c r="H578">
        <v>16.400000000000006</v>
      </c>
      <c r="I578">
        <v>17.5</v>
      </c>
      <c r="J578">
        <v>17.200000000000003</v>
      </c>
      <c r="K578">
        <v>17.099999999999994</v>
      </c>
      <c r="L578">
        <v>16.300000000000011</v>
      </c>
      <c r="M578">
        <v>16.099999999999994</v>
      </c>
      <c r="N578">
        <v>14.599999999999994</v>
      </c>
      <c r="O578">
        <v>15.099999999999994</v>
      </c>
      <c r="P578">
        <v>15.200000000000017</v>
      </c>
      <c r="Q578">
        <v>15.199999999999989</v>
      </c>
      <c r="R578">
        <v>15</v>
      </c>
      <c r="S578">
        <f>Tableau1[[#This Row],[Final_time]]-SUM(Tableau1[[#This Row],[0_100m]:[1300_1400m]])</f>
        <v>15.620000000000005</v>
      </c>
      <c r="T578">
        <v>237.62</v>
      </c>
      <c r="U578">
        <f t="shared" ref="U578:U641" si="18">SUM(E578:S578)</f>
        <v>237.62</v>
      </c>
      <c r="V578">
        <f t="shared" ref="V578:V641" si="19">ABS(U578-T578)</f>
        <v>0</v>
      </c>
      <c r="W578" s="12"/>
      <c r="X578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8" t="s">
        <v>398</v>
      </c>
      <c r="Z578" s="2" t="s">
        <v>43</v>
      </c>
      <c r="AA578" s="2"/>
      <c r="AB578" s="2" t="s">
        <v>44</v>
      </c>
      <c r="AC578" s="2">
        <v>44717</v>
      </c>
      <c r="AD578">
        <v>2022</v>
      </c>
      <c r="AE578" s="3">
        <v>22</v>
      </c>
      <c r="AF578" s="5">
        <v>0.75</v>
      </c>
      <c r="AG578" s="3" t="s">
        <v>71</v>
      </c>
    </row>
    <row r="579" spans="1:33" hidden="1" x14ac:dyDescent="0.35">
      <c r="A579" t="str">
        <f>_xlfn.CONCAT(Tableau1[[#This Row],[Athletes]],"_",Tableau1[[#This Row],[Nationality]],"_",Tableau1[[#This Row],[Competition_year]])</f>
        <v>Abdellah OUSGHIR_MAR_2022</v>
      </c>
      <c r="B579" t="s">
        <v>397</v>
      </c>
      <c r="C579" t="s">
        <v>16</v>
      </c>
      <c r="D579" t="s">
        <v>75</v>
      </c>
      <c r="E579">
        <v>15.6</v>
      </c>
      <c r="F579">
        <v>15.700000000000001</v>
      </c>
      <c r="G579">
        <v>15.7</v>
      </c>
      <c r="H579">
        <v>16.399999999999999</v>
      </c>
      <c r="I579">
        <v>17.300000000000004</v>
      </c>
      <c r="J579">
        <v>17.399999999999991</v>
      </c>
      <c r="K579">
        <v>17.100000000000009</v>
      </c>
      <c r="L579">
        <v>16.299999999999997</v>
      </c>
      <c r="M579">
        <v>16</v>
      </c>
      <c r="N579">
        <v>15.099999999999994</v>
      </c>
      <c r="O579">
        <v>15.099999999999994</v>
      </c>
      <c r="P579">
        <v>15.700000000000017</v>
      </c>
      <c r="Q579">
        <v>15.299999999999983</v>
      </c>
      <c r="R579">
        <v>15.900000000000006</v>
      </c>
      <c r="S579">
        <f>Tableau1[[#This Row],[Final_time]]-SUM(Tableau1[[#This Row],[0_100m]:[1300_1400m]])</f>
        <v>15.700000000000017</v>
      </c>
      <c r="T579">
        <v>240.3</v>
      </c>
      <c r="U579">
        <f t="shared" si="18"/>
        <v>240.3</v>
      </c>
      <c r="V579">
        <f t="shared" si="19"/>
        <v>0</v>
      </c>
      <c r="W579" s="12"/>
      <c r="X579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79" t="s">
        <v>398</v>
      </c>
      <c r="Z579" s="2" t="s">
        <v>43</v>
      </c>
      <c r="AA579" s="2"/>
      <c r="AB579" s="2" t="s">
        <v>44</v>
      </c>
      <c r="AC579" s="2">
        <v>44717</v>
      </c>
      <c r="AD579">
        <v>2022</v>
      </c>
      <c r="AE579" s="3">
        <v>22</v>
      </c>
      <c r="AF579" s="5">
        <v>0.75</v>
      </c>
      <c r="AG579" s="3" t="s">
        <v>71</v>
      </c>
    </row>
    <row r="580" spans="1:33" hidden="1" x14ac:dyDescent="0.35">
      <c r="A580" t="str">
        <f>_xlfn.CONCAT(Tableau1[[#This Row],[Athletes]],"_",Tableau1[[#This Row],[Nationality]],"_",Tableau1[[#This Row],[Competition_year]])</f>
        <v>El Houssaine HITRANE_MAR_2022</v>
      </c>
      <c r="B580" t="s">
        <v>864</v>
      </c>
      <c r="C580" t="s">
        <v>16</v>
      </c>
      <c r="D580" t="s">
        <v>75</v>
      </c>
      <c r="E580">
        <v>15.4</v>
      </c>
      <c r="F580">
        <v>15.700000000000001</v>
      </c>
      <c r="G580">
        <v>15.699999999999996</v>
      </c>
      <c r="H580">
        <v>16.400000000000006</v>
      </c>
      <c r="I580">
        <v>17.399999999999991</v>
      </c>
      <c r="J580">
        <v>17.300000000000011</v>
      </c>
      <c r="K580">
        <v>17.099999999999994</v>
      </c>
      <c r="L580">
        <v>16.199999999999989</v>
      </c>
      <c r="M580">
        <v>16.100000000000023</v>
      </c>
      <c r="N580">
        <v>14.799999999999983</v>
      </c>
      <c r="O580">
        <v>14.800000000000011</v>
      </c>
      <c r="P580">
        <v>15.199999999999989</v>
      </c>
      <c r="Q580">
        <v>15.5</v>
      </c>
      <c r="R580">
        <v>16.200000000000017</v>
      </c>
      <c r="S580">
        <f>Tableau1[[#This Row],[Final_time]]-SUM(Tableau1[[#This Row],[0_100m]:[1300_1400m]])</f>
        <v>16.409999999999997</v>
      </c>
      <c r="T580">
        <v>240.21</v>
      </c>
      <c r="U580">
        <f t="shared" si="18"/>
        <v>240.21</v>
      </c>
      <c r="V580">
        <f t="shared" si="19"/>
        <v>0</v>
      </c>
      <c r="W580" s="12"/>
      <c r="X580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80" t="s">
        <v>398</v>
      </c>
      <c r="Z580" s="2" t="s">
        <v>43</v>
      </c>
      <c r="AA580" s="2"/>
      <c r="AB580" s="2" t="s">
        <v>44</v>
      </c>
      <c r="AC580" s="2">
        <v>44717</v>
      </c>
      <c r="AD580">
        <v>2022</v>
      </c>
      <c r="AE580" s="3">
        <v>22</v>
      </c>
      <c r="AF580" s="5">
        <v>0.75</v>
      </c>
      <c r="AG580" s="3" t="s">
        <v>71</v>
      </c>
    </row>
    <row r="581" spans="1:33" hidden="1" x14ac:dyDescent="0.35">
      <c r="A581" t="str">
        <f>_xlfn.CONCAT(Tableau1[[#This Row],[Athletes]],"_",Tableau1[[#This Row],[Nationality]],"_",Tableau1[[#This Row],[Competition_year]])</f>
        <v>Brahime CHAREF_MAR_2022</v>
      </c>
      <c r="B581" t="s">
        <v>798</v>
      </c>
      <c r="C581" t="s">
        <v>16</v>
      </c>
      <c r="D581" t="s">
        <v>75</v>
      </c>
      <c r="E581">
        <v>15.8</v>
      </c>
      <c r="F581">
        <v>15.7</v>
      </c>
      <c r="G581">
        <v>15.799999999999997</v>
      </c>
      <c r="H581">
        <v>16.100000000000001</v>
      </c>
      <c r="I581">
        <v>17.399999999999999</v>
      </c>
      <c r="J581">
        <v>17.299999999999997</v>
      </c>
      <c r="K581">
        <v>17.100000000000009</v>
      </c>
      <c r="L581">
        <v>16.399999999999991</v>
      </c>
      <c r="M581">
        <v>15.700000000000017</v>
      </c>
      <c r="N581">
        <v>15</v>
      </c>
      <c r="O581">
        <v>14.899999999999977</v>
      </c>
      <c r="P581">
        <v>15.400000000000006</v>
      </c>
      <c r="Q581">
        <v>15.099999999999994</v>
      </c>
      <c r="R581">
        <v>14.900000000000006</v>
      </c>
      <c r="S581">
        <f>Tableau1[[#This Row],[Final_time]]-SUM(Tableau1[[#This Row],[0_100m]:[1300_1400m]])</f>
        <v>16.580000000000013</v>
      </c>
      <c r="T581">
        <v>239.18</v>
      </c>
      <c r="U581">
        <f t="shared" si="18"/>
        <v>239.18</v>
      </c>
      <c r="V581">
        <f t="shared" si="19"/>
        <v>0</v>
      </c>
      <c r="W581" s="12"/>
      <c r="X581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81" t="s">
        <v>398</v>
      </c>
      <c r="Z581" s="2" t="s">
        <v>43</v>
      </c>
      <c r="AA581" s="2"/>
      <c r="AB581" s="2" t="s">
        <v>44</v>
      </c>
      <c r="AC581" s="2">
        <v>44717</v>
      </c>
      <c r="AD581">
        <v>2022</v>
      </c>
      <c r="AE581" s="3">
        <v>22</v>
      </c>
      <c r="AF581" s="5">
        <v>0.75</v>
      </c>
      <c r="AG581" s="3" t="s">
        <v>71</v>
      </c>
    </row>
    <row r="582" spans="1:33" hidden="1" x14ac:dyDescent="0.35">
      <c r="A582" t="str">
        <f>_xlfn.CONCAT(Tableau1[[#This Row],[Athletes]],"_",Tableau1[[#This Row],[Nationality]],"_",Tableau1[[#This Row],[Competition_year]])</f>
        <v>Amin LIRMAQUI_MAR_2022</v>
      </c>
      <c r="B582" t="s">
        <v>743</v>
      </c>
      <c r="C582" t="s">
        <v>16</v>
      </c>
      <c r="D582" t="s">
        <v>75</v>
      </c>
      <c r="E582">
        <v>15.4</v>
      </c>
      <c r="F582">
        <v>15.700000000000001</v>
      </c>
      <c r="G582">
        <v>15.699999999999996</v>
      </c>
      <c r="H582">
        <v>16.200000000000003</v>
      </c>
      <c r="I582">
        <v>17.400000000000006</v>
      </c>
      <c r="J582">
        <v>17.299999999999997</v>
      </c>
      <c r="K582">
        <v>16.899999999999991</v>
      </c>
      <c r="L582">
        <v>16.400000000000006</v>
      </c>
      <c r="M582">
        <v>16</v>
      </c>
      <c r="N582">
        <v>15.099999999999994</v>
      </c>
      <c r="O582">
        <v>14.900000000000006</v>
      </c>
      <c r="P582">
        <v>15.400000000000006</v>
      </c>
      <c r="Q582">
        <v>15.699999999999989</v>
      </c>
      <c r="R582">
        <v>16.5</v>
      </c>
      <c r="S582">
        <f>Tableau1[[#This Row],[Final_time]]-SUM(Tableau1[[#This Row],[0_100m]:[1300_1400m]])</f>
        <v>17.060000000000002</v>
      </c>
      <c r="T582">
        <v>241.66</v>
      </c>
      <c r="U582">
        <f t="shared" si="18"/>
        <v>241.66</v>
      </c>
      <c r="V582">
        <f t="shared" si="19"/>
        <v>0</v>
      </c>
      <c r="W582" s="12"/>
      <c r="X582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82" t="s">
        <v>398</v>
      </c>
      <c r="Z582" s="2" t="s">
        <v>43</v>
      </c>
      <c r="AA582" s="2"/>
      <c r="AB582" s="2" t="s">
        <v>44</v>
      </c>
      <c r="AC582" s="2">
        <v>44717</v>
      </c>
      <c r="AD582">
        <v>2022</v>
      </c>
      <c r="AE582" s="3">
        <v>22</v>
      </c>
      <c r="AF582" s="5">
        <v>0.75</v>
      </c>
      <c r="AG582" s="3" t="s">
        <v>71</v>
      </c>
    </row>
    <row r="583" spans="1:33" hidden="1" x14ac:dyDescent="0.35">
      <c r="A583" t="str">
        <f>_xlfn.CONCAT(Tableau1[[#This Row],[Athletes]],"_",Tableau1[[#This Row],[Nationality]],"_",Tableau1[[#This Row],[Competition_year]])</f>
        <v>Soufiane ELAAZIZ_MAR_2022</v>
      </c>
      <c r="B583" t="s">
        <v>1260</v>
      </c>
      <c r="C583" t="s">
        <v>16</v>
      </c>
      <c r="D583" t="s">
        <v>75</v>
      </c>
      <c r="E583">
        <v>15.6</v>
      </c>
      <c r="F583">
        <v>15.6</v>
      </c>
      <c r="G583">
        <v>15.7</v>
      </c>
      <c r="H583">
        <v>16.200000000000003</v>
      </c>
      <c r="I583">
        <v>17.499999999999993</v>
      </c>
      <c r="J583">
        <v>17.200000000000003</v>
      </c>
      <c r="K583">
        <v>17</v>
      </c>
      <c r="L583">
        <v>16.399999999999991</v>
      </c>
      <c r="M583">
        <v>15.900000000000006</v>
      </c>
      <c r="N583">
        <v>14.599999999999994</v>
      </c>
      <c r="O583">
        <v>14.300000000000011</v>
      </c>
      <c r="P583">
        <v>14.599999999999994</v>
      </c>
      <c r="Q583">
        <v>14.700000000000017</v>
      </c>
      <c r="R583">
        <v>14.5</v>
      </c>
      <c r="S583">
        <f>Tableau1[[#This Row],[Final_time]]-SUM(Tableau1[[#This Row],[0_100m]:[1300_1400m]])</f>
        <v>17.78</v>
      </c>
      <c r="T583">
        <v>237.58</v>
      </c>
      <c r="U583">
        <f t="shared" si="18"/>
        <v>237.58</v>
      </c>
      <c r="V583">
        <f t="shared" si="19"/>
        <v>0</v>
      </c>
      <c r="W583" s="12"/>
      <c r="X583" t="str">
        <f>_xlfn.CONCAT(Tableau1[[#This Row],[Competition]],"_",Tableau1[[#This Row],[Championship_step]],"_",Tableau1[[#This Row],[Competition_date]],"_",Tableau1[[#This Row],[Gender]])</f>
        <v>Diamond League Rabat 2022 - U23__44717_Male</v>
      </c>
      <c r="Y583" t="s">
        <v>398</v>
      </c>
      <c r="Z583" s="2" t="s">
        <v>43</v>
      </c>
      <c r="AA583" s="2"/>
      <c r="AB583" s="2" t="s">
        <v>44</v>
      </c>
      <c r="AC583" s="2">
        <v>44717</v>
      </c>
      <c r="AD583">
        <v>2022</v>
      </c>
      <c r="AE583" s="3">
        <v>22</v>
      </c>
      <c r="AF583" s="5">
        <v>0.75</v>
      </c>
      <c r="AG583" s="3" t="s">
        <v>71</v>
      </c>
    </row>
    <row r="584" spans="1:33" hidden="1" x14ac:dyDescent="0.35">
      <c r="A584" t="str">
        <f>_xlfn.CONCAT(Tableau1[[#This Row],[Athletes]],"_",Tableau1[[#This Row],[Nationality]],"_",Tableau1[[#This Row],[Competition_year]])</f>
        <v>Khadija ENNASRI_MAR_2022</v>
      </c>
      <c r="B584" t="s">
        <v>627</v>
      </c>
      <c r="C584" t="s">
        <v>47</v>
      </c>
      <c r="D584" t="s">
        <v>75</v>
      </c>
      <c r="E584">
        <v>20.100000000000001</v>
      </c>
      <c r="F584">
        <v>19.199999999999996</v>
      </c>
      <c r="G584">
        <v>18.300000000000004</v>
      </c>
      <c r="H584">
        <v>17.999999999999993</v>
      </c>
      <c r="I584">
        <v>17.900000000000006</v>
      </c>
      <c r="J584">
        <v>18.099999999999994</v>
      </c>
      <c r="K584">
        <v>17.700000000000017</v>
      </c>
      <c r="L584">
        <v>17.899999999999977</v>
      </c>
      <c r="M584">
        <v>17.900000000000006</v>
      </c>
      <c r="N584">
        <v>17.400000000000006</v>
      </c>
      <c r="O584">
        <v>18</v>
      </c>
      <c r="P584">
        <v>16.400000000000006</v>
      </c>
      <c r="Q584">
        <v>15.699999999999989</v>
      </c>
      <c r="R584">
        <v>16.099999999999994</v>
      </c>
      <c r="S584">
        <f>Tableau1[[#This Row],[Final_time]]-SUM(Tableau1[[#This Row],[0_100m]:[1300_1400m]])</f>
        <v>16.650000000000034</v>
      </c>
      <c r="T584">
        <v>265.35000000000002</v>
      </c>
      <c r="U584">
        <f t="shared" si="18"/>
        <v>265.35000000000002</v>
      </c>
      <c r="V584">
        <f t="shared" si="19"/>
        <v>0</v>
      </c>
      <c r="W584" s="12"/>
      <c r="X584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84" t="s">
        <v>398</v>
      </c>
      <c r="Z584" s="2" t="s">
        <v>43</v>
      </c>
      <c r="AA584" s="2"/>
      <c r="AB584" s="2" t="s">
        <v>44</v>
      </c>
      <c r="AC584" s="2">
        <v>44718</v>
      </c>
      <c r="AD584">
        <v>2022</v>
      </c>
      <c r="AE584" s="3">
        <v>22</v>
      </c>
      <c r="AF584" s="5">
        <v>0.75</v>
      </c>
      <c r="AG584" s="3" t="s">
        <v>71</v>
      </c>
    </row>
    <row r="585" spans="1:33" hidden="1" x14ac:dyDescent="0.35">
      <c r="A585" t="str">
        <f>_xlfn.CONCAT(Tableau1[[#This Row],[Athletes]],"_",Tableau1[[#This Row],[Nationality]],"_",Tableau1[[#This Row],[Competition_year]])</f>
        <v>Hassana IBN ABDEL MATEY_MAR_2022</v>
      </c>
      <c r="B585" t="s">
        <v>947</v>
      </c>
      <c r="C585" t="s">
        <v>47</v>
      </c>
      <c r="D585" t="s">
        <v>75</v>
      </c>
      <c r="E585">
        <v>20.5</v>
      </c>
      <c r="F585">
        <v>19.299999999999997</v>
      </c>
      <c r="G585">
        <v>18.5</v>
      </c>
      <c r="H585">
        <v>18.200000000000003</v>
      </c>
      <c r="I585">
        <v>18</v>
      </c>
      <c r="J585">
        <v>18.299999999999997</v>
      </c>
      <c r="K585">
        <v>18.600000000000009</v>
      </c>
      <c r="L585">
        <v>19</v>
      </c>
      <c r="M585">
        <v>18.900000000000006</v>
      </c>
      <c r="N585">
        <v>19.5</v>
      </c>
      <c r="O585">
        <v>19.299999999999983</v>
      </c>
      <c r="P585">
        <v>18.599999999999994</v>
      </c>
      <c r="Q585">
        <v>17.5</v>
      </c>
      <c r="R585">
        <v>17.300000000000011</v>
      </c>
      <c r="S585">
        <f>Tableau1[[#This Row],[Final_time]]-SUM(Tableau1[[#This Row],[0_100m]:[1300_1400m]])</f>
        <v>17.20999999999998</v>
      </c>
      <c r="T585">
        <v>278.70999999999998</v>
      </c>
      <c r="U585">
        <f t="shared" si="18"/>
        <v>278.70999999999998</v>
      </c>
      <c r="V585">
        <f t="shared" si="19"/>
        <v>0</v>
      </c>
      <c r="W585" s="12"/>
      <c r="X585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85" t="s">
        <v>398</v>
      </c>
      <c r="Z585" s="2" t="s">
        <v>43</v>
      </c>
      <c r="AA585" s="2"/>
      <c r="AB585" s="2" t="s">
        <v>44</v>
      </c>
      <c r="AC585" s="2">
        <v>44718</v>
      </c>
      <c r="AD585">
        <v>2022</v>
      </c>
      <c r="AE585" s="3">
        <v>22</v>
      </c>
      <c r="AF585" s="5">
        <v>0.75</v>
      </c>
      <c r="AG585" s="3" t="s">
        <v>71</v>
      </c>
    </row>
    <row r="586" spans="1:33" hidden="1" x14ac:dyDescent="0.35">
      <c r="A586" t="str">
        <f>_xlfn.CONCAT(Tableau1[[#This Row],[Athletes]],"_",Tableau1[[#This Row],[Nationality]],"_",Tableau1[[#This Row],[Competition_year]])</f>
        <v>Hiba GHIZLANE_MAR_2022</v>
      </c>
      <c r="B586" t="s">
        <v>291</v>
      </c>
      <c r="C586" t="s">
        <v>47</v>
      </c>
      <c r="D586" t="s">
        <v>75</v>
      </c>
      <c r="E586">
        <v>20.3</v>
      </c>
      <c r="F586">
        <v>19.099999999999998</v>
      </c>
      <c r="G586">
        <v>18.399999999999999</v>
      </c>
      <c r="H586">
        <v>18.100000000000009</v>
      </c>
      <c r="I586">
        <v>18.099999999999994</v>
      </c>
      <c r="J586">
        <v>18.099999999999994</v>
      </c>
      <c r="K586">
        <v>18.099999999999994</v>
      </c>
      <c r="L586">
        <v>18.300000000000011</v>
      </c>
      <c r="M586">
        <v>19</v>
      </c>
      <c r="N586">
        <v>19.099999999999994</v>
      </c>
      <c r="O586">
        <v>19.599999999999994</v>
      </c>
      <c r="P586">
        <v>19</v>
      </c>
      <c r="Q586">
        <v>18.300000000000011</v>
      </c>
      <c r="R586">
        <v>18.300000000000011</v>
      </c>
      <c r="S586">
        <f>Tableau1[[#This Row],[Final_time]]-SUM(Tableau1[[#This Row],[0_100m]:[1300_1400m]])</f>
        <v>17.46999999999997</v>
      </c>
      <c r="T586">
        <v>279.27</v>
      </c>
      <c r="U586">
        <f t="shared" si="18"/>
        <v>279.27</v>
      </c>
      <c r="V586">
        <f t="shared" si="19"/>
        <v>0</v>
      </c>
      <c r="W586" s="12"/>
      <c r="X586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86" t="s">
        <v>398</v>
      </c>
      <c r="Z586" s="2" t="s">
        <v>43</v>
      </c>
      <c r="AA586" s="2"/>
      <c r="AB586" s="2" t="s">
        <v>44</v>
      </c>
      <c r="AC586" s="2">
        <v>44718</v>
      </c>
      <c r="AD586">
        <v>2022</v>
      </c>
      <c r="AE586" s="3">
        <v>22</v>
      </c>
      <c r="AF586" s="5">
        <v>0.75</v>
      </c>
      <c r="AG586" s="3" t="s">
        <v>71</v>
      </c>
    </row>
    <row r="587" spans="1:33" hidden="1" x14ac:dyDescent="0.35">
      <c r="A587" t="str">
        <f>_xlfn.CONCAT(Tableau1[[#This Row],[Athletes]],"_",Tableau1[[#This Row],[Nationality]],"_",Tableau1[[#This Row],[Competition_year]])</f>
        <v>Housna IBNABDEL-MATEY_MAR_2022</v>
      </c>
      <c r="B587" t="s">
        <v>956</v>
      </c>
      <c r="C587" t="s">
        <v>47</v>
      </c>
      <c r="D587" t="s">
        <v>75</v>
      </c>
      <c r="E587">
        <v>20.5</v>
      </c>
      <c r="F587">
        <v>19.299999999999997</v>
      </c>
      <c r="G587">
        <v>18.400000000000006</v>
      </c>
      <c r="H587">
        <v>18.200000000000003</v>
      </c>
      <c r="I587">
        <v>17.899999999999991</v>
      </c>
      <c r="J587">
        <v>18.400000000000006</v>
      </c>
      <c r="K587">
        <v>18.399999999999991</v>
      </c>
      <c r="L587">
        <v>18.700000000000017</v>
      </c>
      <c r="M587">
        <v>19</v>
      </c>
      <c r="N587">
        <v>19.399999999999977</v>
      </c>
      <c r="O587">
        <v>19.200000000000017</v>
      </c>
      <c r="P587">
        <v>18</v>
      </c>
      <c r="Q587">
        <v>17.699999999999989</v>
      </c>
      <c r="R587">
        <v>18.200000000000017</v>
      </c>
      <c r="S587">
        <f>Tableau1[[#This Row],[Final_time]]-SUM(Tableau1[[#This Row],[0_100m]:[1300_1400m]])</f>
        <v>17.759999999999991</v>
      </c>
      <c r="T587">
        <v>279.06</v>
      </c>
      <c r="U587">
        <f t="shared" si="18"/>
        <v>279.06</v>
      </c>
      <c r="V587">
        <f t="shared" si="19"/>
        <v>0</v>
      </c>
      <c r="W587" s="12"/>
      <c r="X587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87" t="s">
        <v>398</v>
      </c>
      <c r="Z587" s="2" t="s">
        <v>43</v>
      </c>
      <c r="AA587" s="2"/>
      <c r="AB587" s="2" t="s">
        <v>44</v>
      </c>
      <c r="AC587" s="2">
        <v>44718</v>
      </c>
      <c r="AD587">
        <v>2022</v>
      </c>
      <c r="AE587" s="3">
        <v>22</v>
      </c>
      <c r="AF587" s="5">
        <v>0.75</v>
      </c>
      <c r="AG587" s="3" t="s">
        <v>71</v>
      </c>
    </row>
    <row r="588" spans="1:33" hidden="1" x14ac:dyDescent="0.35">
      <c r="A588" t="str">
        <f>_xlfn.CONCAT(Tableau1[[#This Row],[Athletes]],"_",Tableau1[[#This Row],[Nationality]],"_",Tableau1[[#This Row],[Competition_year]])</f>
        <v>Fatima AAFIR_MAR_2022</v>
      </c>
      <c r="B588" t="s">
        <v>897</v>
      </c>
      <c r="C588" t="s">
        <v>47</v>
      </c>
      <c r="D588" t="s">
        <v>75</v>
      </c>
      <c r="E588">
        <v>20.100000000000001</v>
      </c>
      <c r="F588">
        <v>19.199999999999996</v>
      </c>
      <c r="G588">
        <v>18.300000000000004</v>
      </c>
      <c r="H588">
        <v>17.999999999999993</v>
      </c>
      <c r="I588">
        <v>17.900000000000006</v>
      </c>
      <c r="J588">
        <v>18.099999999999994</v>
      </c>
      <c r="K588">
        <v>17.700000000000017</v>
      </c>
      <c r="L588">
        <v>17.899999999999977</v>
      </c>
      <c r="M588">
        <v>17.800000000000011</v>
      </c>
      <c r="N588">
        <v>17.800000000000011</v>
      </c>
      <c r="O588">
        <v>17.5</v>
      </c>
      <c r="P588">
        <v>18.099999999999994</v>
      </c>
      <c r="Q588">
        <v>18.099999999999994</v>
      </c>
      <c r="R588">
        <v>18.300000000000011</v>
      </c>
      <c r="S588">
        <f>Tableau1[[#This Row],[Final_time]]-SUM(Tableau1[[#This Row],[0_100m]:[1300_1400m]])</f>
        <v>17.779999999999973</v>
      </c>
      <c r="T588">
        <v>272.58</v>
      </c>
      <c r="U588">
        <f t="shared" si="18"/>
        <v>272.58</v>
      </c>
      <c r="V588">
        <f t="shared" si="19"/>
        <v>0</v>
      </c>
      <c r="W588" s="12"/>
      <c r="X588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88" t="s">
        <v>398</v>
      </c>
      <c r="Z588" s="2" t="s">
        <v>43</v>
      </c>
      <c r="AA588" s="2"/>
      <c r="AB588" s="2" t="s">
        <v>44</v>
      </c>
      <c r="AC588" s="2">
        <v>44718</v>
      </c>
      <c r="AD588">
        <v>2022</v>
      </c>
      <c r="AE588" s="3">
        <v>22</v>
      </c>
      <c r="AF588" s="5">
        <v>0.75</v>
      </c>
      <c r="AG588" s="3" t="s">
        <v>71</v>
      </c>
    </row>
    <row r="589" spans="1:33" hidden="1" x14ac:dyDescent="0.35">
      <c r="A589" t="str">
        <f>_xlfn.CONCAT(Tableau1[[#This Row],[Athletes]],"_",Tableau1[[#This Row],[Nationality]],"_",Tableau1[[#This Row],[Competition_year]])</f>
        <v>Ilham EL MACH_MAR_2022</v>
      </c>
      <c r="B589" t="s">
        <v>959</v>
      </c>
      <c r="C589" t="s">
        <v>47</v>
      </c>
      <c r="D589" t="s">
        <v>75</v>
      </c>
      <c r="E589">
        <v>20.399999999999999</v>
      </c>
      <c r="F589">
        <v>19.300000000000004</v>
      </c>
      <c r="G589">
        <v>18.399999999999999</v>
      </c>
      <c r="H589">
        <v>17.999999999999993</v>
      </c>
      <c r="I589">
        <v>18</v>
      </c>
      <c r="J589">
        <v>18.200000000000003</v>
      </c>
      <c r="K589">
        <v>18.299999999999997</v>
      </c>
      <c r="L589">
        <v>18.700000000000017</v>
      </c>
      <c r="M589">
        <v>19.099999999999994</v>
      </c>
      <c r="N589">
        <v>19.799999999999983</v>
      </c>
      <c r="O589">
        <v>20</v>
      </c>
      <c r="P589">
        <v>19.700000000000017</v>
      </c>
      <c r="Q589">
        <v>17.199999999999989</v>
      </c>
      <c r="R589">
        <v>18.700000000000017</v>
      </c>
      <c r="S589">
        <f>Tableau1[[#This Row],[Final_time]]-SUM(Tableau1[[#This Row],[0_100m]:[1300_1400m]])</f>
        <v>17.920000000000016</v>
      </c>
      <c r="T589">
        <v>281.72000000000003</v>
      </c>
      <c r="U589">
        <f t="shared" si="18"/>
        <v>281.72000000000003</v>
      </c>
      <c r="V589">
        <f t="shared" si="19"/>
        <v>0</v>
      </c>
      <c r="W589" s="12"/>
      <c r="X589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89" t="s">
        <v>398</v>
      </c>
      <c r="Z589" s="2" t="s">
        <v>43</v>
      </c>
      <c r="AA589" s="2"/>
      <c r="AB589" s="2" t="s">
        <v>44</v>
      </c>
      <c r="AC589" s="2">
        <v>44718</v>
      </c>
      <c r="AD589">
        <v>2022</v>
      </c>
      <c r="AE589" s="3">
        <v>22</v>
      </c>
      <c r="AF589" s="5">
        <v>0.75</v>
      </c>
      <c r="AG589" s="3" t="s">
        <v>71</v>
      </c>
    </row>
    <row r="590" spans="1:33" hidden="1" x14ac:dyDescent="0.35">
      <c r="A590" t="str">
        <f>_xlfn.CONCAT(Tableau1[[#This Row],[Athletes]],"_",Tableau1[[#This Row],[Nationality]],"_",Tableau1[[#This Row],[Competition_year]])</f>
        <v>Aya DIMOKRATI_MAR_2022</v>
      </c>
      <c r="B590" t="s">
        <v>292</v>
      </c>
      <c r="C590" t="s">
        <v>47</v>
      </c>
      <c r="D590" t="s">
        <v>75</v>
      </c>
      <c r="E590">
        <v>20.3</v>
      </c>
      <c r="F590">
        <v>19.3</v>
      </c>
      <c r="G590">
        <v>18.5</v>
      </c>
      <c r="H590">
        <v>18.199999999999996</v>
      </c>
      <c r="I590">
        <v>17.900000000000006</v>
      </c>
      <c r="J590">
        <v>18.399999999999991</v>
      </c>
      <c r="K590">
        <v>18.599999999999994</v>
      </c>
      <c r="L590">
        <v>19</v>
      </c>
      <c r="M590">
        <v>18.5</v>
      </c>
      <c r="N590">
        <v>19.300000000000011</v>
      </c>
      <c r="O590">
        <v>19.699999999999989</v>
      </c>
      <c r="P590">
        <v>18.700000000000017</v>
      </c>
      <c r="Q590">
        <v>18.599999999999994</v>
      </c>
      <c r="R590">
        <v>18.199999999999989</v>
      </c>
      <c r="S590">
        <f>Tableau1[[#This Row],[Final_time]]-SUM(Tableau1[[#This Row],[0_100m]:[1300_1400m]])</f>
        <v>18.720000000000027</v>
      </c>
      <c r="T590">
        <v>281.92</v>
      </c>
      <c r="U590">
        <f t="shared" si="18"/>
        <v>281.92</v>
      </c>
      <c r="V590">
        <f t="shared" si="19"/>
        <v>0</v>
      </c>
      <c r="W590" s="12"/>
      <c r="X590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90" t="s">
        <v>398</v>
      </c>
      <c r="Z590" s="2" t="s">
        <v>43</v>
      </c>
      <c r="AA590" s="2"/>
      <c r="AB590" s="2" t="s">
        <v>44</v>
      </c>
      <c r="AC590" s="2">
        <v>44718</v>
      </c>
      <c r="AD590">
        <v>2022</v>
      </c>
      <c r="AE590" s="3">
        <v>22</v>
      </c>
      <c r="AF590" s="5">
        <v>0.75</v>
      </c>
      <c r="AG590" s="3" t="s">
        <v>71</v>
      </c>
    </row>
    <row r="591" spans="1:33" hidden="1" x14ac:dyDescent="0.35">
      <c r="A591" t="str">
        <f>_xlfn.CONCAT(Tableau1[[#This Row],[Athletes]],"_",Tableau1[[#This Row],[Nationality]],"_",Tableau1[[#This Row],[Competition_year]])</f>
        <v>Malak ESRAIDI_MAR_2022</v>
      </c>
      <c r="B591" t="s">
        <v>1079</v>
      </c>
      <c r="C591" t="s">
        <v>47</v>
      </c>
      <c r="D591" t="s">
        <v>75</v>
      </c>
      <c r="E591">
        <v>20.2</v>
      </c>
      <c r="F591">
        <v>19.400000000000002</v>
      </c>
      <c r="G591">
        <v>18.399999999999999</v>
      </c>
      <c r="H591">
        <v>18.200000000000003</v>
      </c>
      <c r="I591">
        <v>17.799999999999997</v>
      </c>
      <c r="J591">
        <v>17.900000000000006</v>
      </c>
      <c r="K591">
        <v>17.900000000000006</v>
      </c>
      <c r="L591">
        <v>17.899999999999977</v>
      </c>
      <c r="M591">
        <v>17.900000000000006</v>
      </c>
      <c r="N591">
        <v>17.700000000000017</v>
      </c>
      <c r="O591">
        <v>18</v>
      </c>
      <c r="P591">
        <v>18</v>
      </c>
      <c r="Q591">
        <v>18.399999999999977</v>
      </c>
      <c r="R591">
        <v>19</v>
      </c>
      <c r="S591">
        <f>Tableau1[[#This Row],[Final_time]]-SUM(Tableau1[[#This Row],[0_100m]:[1300_1400m]])</f>
        <v>19.840000000000032</v>
      </c>
      <c r="T591">
        <v>276.54000000000002</v>
      </c>
      <c r="U591">
        <f t="shared" si="18"/>
        <v>276.54000000000002</v>
      </c>
      <c r="V591">
        <f t="shared" si="19"/>
        <v>0</v>
      </c>
      <c r="W591" s="12"/>
      <c r="X591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91" t="s">
        <v>398</v>
      </c>
      <c r="Z591" s="2" t="s">
        <v>43</v>
      </c>
      <c r="AA591" s="2"/>
      <c r="AB591" s="2" t="s">
        <v>44</v>
      </c>
      <c r="AC591" s="2">
        <v>44718</v>
      </c>
      <c r="AD591">
        <v>2022</v>
      </c>
      <c r="AE591" s="3">
        <v>22</v>
      </c>
      <c r="AF591" s="5">
        <v>0.75</v>
      </c>
      <c r="AG591" s="3" t="s">
        <v>71</v>
      </c>
    </row>
    <row r="592" spans="1:33" hidden="1" x14ac:dyDescent="0.35">
      <c r="A592" t="str">
        <f>_xlfn.CONCAT(Tableau1[[#This Row],[Athletes]],"_",Tableau1[[#This Row],[Nationality]],"_",Tableau1[[#This Row],[Competition_year]])</f>
        <v>Lamyae ABBASSI_MAR_2022</v>
      </c>
      <c r="B592" t="s">
        <v>406</v>
      </c>
      <c r="C592" t="s">
        <v>47</v>
      </c>
      <c r="D592" t="s">
        <v>75</v>
      </c>
      <c r="E592">
        <v>20.5</v>
      </c>
      <c r="F592">
        <v>19.200000000000003</v>
      </c>
      <c r="G592">
        <v>18.5</v>
      </c>
      <c r="H592">
        <v>17.899999999999991</v>
      </c>
      <c r="I592">
        <v>17.800000000000011</v>
      </c>
      <c r="J592">
        <v>18.099999999999994</v>
      </c>
      <c r="K592">
        <v>18.400000000000006</v>
      </c>
      <c r="L592">
        <v>18.699999999999989</v>
      </c>
      <c r="M592">
        <v>19.400000000000006</v>
      </c>
      <c r="N592">
        <v>19.900000000000006</v>
      </c>
      <c r="O592">
        <v>20</v>
      </c>
      <c r="P592">
        <v>19.5</v>
      </c>
      <c r="Q592">
        <v>17.099999999999994</v>
      </c>
      <c r="R592">
        <v>18.699999999999989</v>
      </c>
      <c r="S592">
        <f>Tableau1[[#This Row],[Final_time]]-SUM(Tableau1[[#This Row],[0_100m]:[1300_1400m]])</f>
        <v>19.860000000000014</v>
      </c>
      <c r="T592">
        <v>283.56</v>
      </c>
      <c r="U592">
        <f t="shared" si="18"/>
        <v>283.56</v>
      </c>
      <c r="V592">
        <f t="shared" si="19"/>
        <v>0</v>
      </c>
      <c r="W592" s="12"/>
      <c r="X592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92" t="s">
        <v>398</v>
      </c>
      <c r="Z592" s="2" t="s">
        <v>43</v>
      </c>
      <c r="AA592" s="2"/>
      <c r="AB592" s="2" t="s">
        <v>44</v>
      </c>
      <c r="AC592" s="2">
        <v>44718</v>
      </c>
      <c r="AD592">
        <v>2022</v>
      </c>
      <c r="AE592" s="3">
        <v>22</v>
      </c>
      <c r="AF592" s="5">
        <v>0.75</v>
      </c>
      <c r="AG592" s="3" t="s">
        <v>71</v>
      </c>
    </row>
    <row r="593" spans="1:33" hidden="1" x14ac:dyDescent="0.35">
      <c r="A593" t="str">
        <f>_xlfn.CONCAT(Tableau1[[#This Row],[Athletes]],"_",Tableau1[[#This Row],[Nationality]],"_",Tableau1[[#This Row],[Competition_year]])</f>
        <v>Sanae HASNAOUI_MAR_2022</v>
      </c>
      <c r="B593" t="s">
        <v>405</v>
      </c>
      <c r="C593" t="s">
        <v>47</v>
      </c>
      <c r="D593" t="s">
        <v>75</v>
      </c>
      <c r="E593">
        <v>20.3</v>
      </c>
      <c r="F593">
        <v>19.2</v>
      </c>
      <c r="G593">
        <v>18.399999999999999</v>
      </c>
      <c r="H593">
        <v>17.899999999999999</v>
      </c>
      <c r="I593">
        <v>18</v>
      </c>
      <c r="J593">
        <v>18</v>
      </c>
      <c r="K593">
        <v>17.799999999999997</v>
      </c>
      <c r="L593">
        <v>17.800000000000011</v>
      </c>
      <c r="M593">
        <v>18</v>
      </c>
      <c r="N593">
        <v>17.199999999999989</v>
      </c>
      <c r="O593">
        <v>17.700000000000017</v>
      </c>
      <c r="P593">
        <v>16.599999999999994</v>
      </c>
      <c r="Q593">
        <v>15.900000000000006</v>
      </c>
      <c r="R593">
        <v>16.099999999999994</v>
      </c>
      <c r="S593">
        <f>Tableau1[[#This Row],[Final_time]]-SUM(Tableau1[[#This Row],[0_100m]:[1300_1400m]])</f>
        <v>20.460000000000008</v>
      </c>
      <c r="T593">
        <v>269.36</v>
      </c>
      <c r="U593">
        <f t="shared" si="18"/>
        <v>269.36</v>
      </c>
      <c r="V593">
        <f t="shared" si="19"/>
        <v>0</v>
      </c>
      <c r="W593" s="12"/>
      <c r="X593" t="str">
        <f>_xlfn.CONCAT(Tableau1[[#This Row],[Competition]],"_",Tableau1[[#This Row],[Championship_step]],"_",Tableau1[[#This Row],[Competition_date]],"_",Tableau1[[#This Row],[Gender]])</f>
        <v>Diamond League Rabat 2022 - U23__44718_Female</v>
      </c>
      <c r="Y593" t="s">
        <v>398</v>
      </c>
      <c r="Z593" s="2" t="s">
        <v>43</v>
      </c>
      <c r="AA593" s="2"/>
      <c r="AB593" s="2" t="s">
        <v>44</v>
      </c>
      <c r="AC593" s="2">
        <v>44718</v>
      </c>
      <c r="AD593">
        <v>2022</v>
      </c>
      <c r="AE593" s="3">
        <v>22</v>
      </c>
      <c r="AF593" s="5">
        <v>0.75</v>
      </c>
      <c r="AG593" s="3" t="s">
        <v>71</v>
      </c>
    </row>
    <row r="594" spans="1:33" hidden="1" x14ac:dyDescent="0.35">
      <c r="A594" t="str">
        <f>_xlfn.CONCAT(Tableau1[[#This Row],[Athletes]],"_",Tableau1[[#This Row],[Nationality]],"_",Tableau1[[#This Row],[Competition_year]])</f>
        <v>Hirut MESHESHA_ETH_2022</v>
      </c>
      <c r="B594" t="s">
        <v>135</v>
      </c>
      <c r="C594" t="s">
        <v>47</v>
      </c>
      <c r="D594" t="s">
        <v>48</v>
      </c>
      <c r="E594">
        <v>14.9</v>
      </c>
      <c r="F594">
        <v>15.1</v>
      </c>
      <c r="G594">
        <v>15.799999999999997</v>
      </c>
      <c r="H594">
        <v>16.400000000000006</v>
      </c>
      <c r="I594">
        <v>17.099999999999994</v>
      </c>
      <c r="J594">
        <v>16.700000000000003</v>
      </c>
      <c r="K594">
        <v>16.200000000000003</v>
      </c>
      <c r="L594">
        <v>15.799999999999997</v>
      </c>
      <c r="M594">
        <v>15.599999999999994</v>
      </c>
      <c r="N594">
        <v>16.400000000000006</v>
      </c>
      <c r="O594">
        <v>15.800000000000011</v>
      </c>
      <c r="P594">
        <v>15.299999999999983</v>
      </c>
      <c r="Q594">
        <v>15.400000000000006</v>
      </c>
      <c r="R594">
        <v>15.5</v>
      </c>
      <c r="S594">
        <f>Tableau1[[#This Row],[Final_time]]-SUM(Tableau1[[#This Row],[0_100m]:[1300_1400m]])</f>
        <v>15.300000000000011</v>
      </c>
      <c r="T594">
        <v>237.3</v>
      </c>
      <c r="U594">
        <f t="shared" si="18"/>
        <v>237.3</v>
      </c>
      <c r="V594">
        <f t="shared" si="19"/>
        <v>0</v>
      </c>
      <c r="W594" s="12"/>
      <c r="X594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594" t="s">
        <v>401</v>
      </c>
      <c r="Z594" s="2" t="s">
        <v>43</v>
      </c>
      <c r="AA594" s="2"/>
      <c r="AB594" s="2" t="s">
        <v>65</v>
      </c>
      <c r="AC594" s="2">
        <v>44718</v>
      </c>
      <c r="AD594">
        <v>2022</v>
      </c>
      <c r="AE594" s="3">
        <v>21</v>
      </c>
      <c r="AF594" s="5">
        <v>0.75</v>
      </c>
      <c r="AG594" s="3" t="s">
        <v>71</v>
      </c>
    </row>
    <row r="595" spans="1:33" hidden="1" x14ac:dyDescent="0.35">
      <c r="A595" t="str">
        <f>_xlfn.CONCAT(Tableau1[[#This Row],[Athletes]],"_",Tableau1[[#This Row],[Nationality]],"_",Tableau1[[#This Row],[Competition_year]])</f>
        <v>Axumawit EMBAYE_ETH_2022</v>
      </c>
      <c r="B595" t="s">
        <v>269</v>
      </c>
      <c r="C595" t="s">
        <v>47</v>
      </c>
      <c r="D595" t="s">
        <v>48</v>
      </c>
      <c r="E595">
        <v>15.6</v>
      </c>
      <c r="F595">
        <v>16</v>
      </c>
      <c r="G595">
        <v>15.5</v>
      </c>
      <c r="H595">
        <v>16</v>
      </c>
      <c r="I595">
        <v>16.399999999999999</v>
      </c>
      <c r="J595">
        <v>16.799999999999997</v>
      </c>
      <c r="K595">
        <v>16.100000000000009</v>
      </c>
      <c r="L595">
        <v>15.900000000000006</v>
      </c>
      <c r="M595">
        <v>15.899999999999977</v>
      </c>
      <c r="N595">
        <v>16.400000000000006</v>
      </c>
      <c r="O595">
        <v>16</v>
      </c>
      <c r="P595">
        <v>15</v>
      </c>
      <c r="Q595">
        <v>15.599999999999994</v>
      </c>
      <c r="R595">
        <v>15.800000000000011</v>
      </c>
      <c r="S595">
        <f>Tableau1[[#This Row],[Final_time]]-SUM(Tableau1[[#This Row],[0_100m]:[1300_1400m]])</f>
        <v>15.800000000000011</v>
      </c>
      <c r="T595">
        <v>238.8</v>
      </c>
      <c r="U595">
        <f t="shared" si="18"/>
        <v>238.8</v>
      </c>
      <c r="V595">
        <f t="shared" si="19"/>
        <v>0</v>
      </c>
      <c r="W595" s="12"/>
      <c r="X595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595" t="s">
        <v>401</v>
      </c>
      <c r="Z595" s="2" t="s">
        <v>43</v>
      </c>
      <c r="AA595" s="2"/>
      <c r="AB595" s="2" t="s">
        <v>65</v>
      </c>
      <c r="AC595" s="2">
        <v>44718</v>
      </c>
      <c r="AD595">
        <v>2022</v>
      </c>
      <c r="AE595" s="3">
        <v>21</v>
      </c>
      <c r="AF595" s="5">
        <v>0.75</v>
      </c>
      <c r="AG595" s="3" t="s">
        <v>71</v>
      </c>
    </row>
    <row r="596" spans="1:33" hidden="1" x14ac:dyDescent="0.35">
      <c r="A596" t="str">
        <f>_xlfn.CONCAT(Tableau1[[#This Row],[Athletes]],"_",Tableau1[[#This Row],[Nationality]],"_",Tableau1[[#This Row],[Competition_year]])</f>
        <v>Claudia Mihaela BOBOCEA_ROU_2022</v>
      </c>
      <c r="B596" t="s">
        <v>160</v>
      </c>
      <c r="C596" t="s">
        <v>47</v>
      </c>
      <c r="D596" t="s">
        <v>102</v>
      </c>
      <c r="E596">
        <v>15.2</v>
      </c>
      <c r="F596">
        <v>15.5</v>
      </c>
      <c r="G596">
        <v>15.8</v>
      </c>
      <c r="H596">
        <v>16.5</v>
      </c>
      <c r="I596">
        <v>16.5</v>
      </c>
      <c r="J596">
        <v>16.900000000000006</v>
      </c>
      <c r="K596">
        <v>16.299999999999997</v>
      </c>
      <c r="L596">
        <v>15.999999999999986</v>
      </c>
      <c r="M596">
        <v>16</v>
      </c>
      <c r="N596">
        <v>16.400000000000006</v>
      </c>
      <c r="O596">
        <v>16.300000000000011</v>
      </c>
      <c r="P596">
        <v>16.299999999999983</v>
      </c>
      <c r="Q596">
        <v>16.400000000000006</v>
      </c>
      <c r="R596">
        <v>16.099999999999994</v>
      </c>
      <c r="S596">
        <f>Tableau1[[#This Row],[Final_time]]-SUM(Tableau1[[#This Row],[0_100m]:[1300_1400m]])</f>
        <v>15.870000000000005</v>
      </c>
      <c r="T596">
        <v>242.07</v>
      </c>
      <c r="U596">
        <f t="shared" si="18"/>
        <v>242.07</v>
      </c>
      <c r="V596">
        <f t="shared" si="19"/>
        <v>0</v>
      </c>
      <c r="W596" s="12"/>
      <c r="X596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596" t="s">
        <v>401</v>
      </c>
      <c r="Z596" s="2" t="s">
        <v>43</v>
      </c>
      <c r="AA596" s="2"/>
      <c r="AB596" s="2" t="s">
        <v>65</v>
      </c>
      <c r="AC596" s="2">
        <v>44718</v>
      </c>
      <c r="AD596">
        <v>2022</v>
      </c>
      <c r="AE596" s="3">
        <v>21</v>
      </c>
      <c r="AF596" s="5">
        <v>0.75</v>
      </c>
      <c r="AG596" s="3" t="s">
        <v>71</v>
      </c>
    </row>
    <row r="597" spans="1:33" hidden="1" x14ac:dyDescent="0.35">
      <c r="A597" t="str">
        <f>_xlfn.CONCAT(Tableau1[[#This Row],[Athletes]],"_",Tableau1[[#This Row],[Nationality]],"_",Tableau1[[#This Row],[Competition_year]])</f>
        <v>Freweyni HAILU_ETH_2022</v>
      </c>
      <c r="B597" t="s">
        <v>144</v>
      </c>
      <c r="C597" t="s">
        <v>47</v>
      </c>
      <c r="D597" t="s">
        <v>48</v>
      </c>
      <c r="E597">
        <v>15.4</v>
      </c>
      <c r="F597">
        <v>16.399999999999999</v>
      </c>
      <c r="G597">
        <v>15.900000000000002</v>
      </c>
      <c r="H597">
        <v>16.5</v>
      </c>
      <c r="I597">
        <v>16.399999999999991</v>
      </c>
      <c r="J597">
        <v>17.200000000000003</v>
      </c>
      <c r="K597">
        <v>16.400000000000006</v>
      </c>
      <c r="L597">
        <v>16.200000000000003</v>
      </c>
      <c r="M597">
        <v>15.400000000000006</v>
      </c>
      <c r="N597">
        <v>15.799999999999983</v>
      </c>
      <c r="O597">
        <v>15.099999999999994</v>
      </c>
      <c r="P597">
        <v>15.200000000000017</v>
      </c>
      <c r="Q597">
        <v>15</v>
      </c>
      <c r="R597">
        <v>15.400000000000006</v>
      </c>
      <c r="S597">
        <f>Tableau1[[#This Row],[Final_time]]-SUM(Tableau1[[#This Row],[0_100m]:[1300_1400m]])</f>
        <v>15.879999999999995</v>
      </c>
      <c r="T597">
        <v>238.18</v>
      </c>
      <c r="U597">
        <f t="shared" si="18"/>
        <v>238.18</v>
      </c>
      <c r="V597">
        <f t="shared" si="19"/>
        <v>0</v>
      </c>
      <c r="W597" s="12"/>
      <c r="X597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597" t="s">
        <v>401</v>
      </c>
      <c r="Z597" s="2" t="s">
        <v>43</v>
      </c>
      <c r="AA597" s="2"/>
      <c r="AB597" s="2" t="s">
        <v>65</v>
      </c>
      <c r="AC597" s="2">
        <v>44718</v>
      </c>
      <c r="AD597">
        <v>2022</v>
      </c>
      <c r="AE597" s="3">
        <v>21</v>
      </c>
      <c r="AF597" s="5">
        <v>0.75</v>
      </c>
      <c r="AG597" s="3" t="s">
        <v>71</v>
      </c>
    </row>
    <row r="598" spans="1:33" hidden="1" x14ac:dyDescent="0.35">
      <c r="A598" t="str">
        <f>_xlfn.CONCAT(Tableau1[[#This Row],[Athletes]],"_",Tableau1[[#This Row],[Nationality]],"_",Tableau1[[#This Row],[Competition_year]])</f>
        <v>Melissa COURTNEY-BRYANT_GBR_2022</v>
      </c>
      <c r="B598" t="s">
        <v>168</v>
      </c>
      <c r="C598" t="s">
        <v>47</v>
      </c>
      <c r="D598" t="s">
        <v>20</v>
      </c>
      <c r="E598">
        <v>15.5</v>
      </c>
      <c r="F598">
        <v>15.8</v>
      </c>
      <c r="G598">
        <v>15.900000000000002</v>
      </c>
      <c r="H598">
        <v>16.5</v>
      </c>
      <c r="I598">
        <v>16.599999999999994</v>
      </c>
      <c r="J598">
        <v>17.100000000000009</v>
      </c>
      <c r="K598">
        <v>16.699999999999989</v>
      </c>
      <c r="L598">
        <v>16.400000000000006</v>
      </c>
      <c r="M598">
        <v>16.300000000000011</v>
      </c>
      <c r="N598">
        <v>16.599999999999994</v>
      </c>
      <c r="O598">
        <v>16.599999999999994</v>
      </c>
      <c r="P598">
        <v>16.400000000000006</v>
      </c>
      <c r="Q598">
        <v>15.900000000000006</v>
      </c>
      <c r="R598">
        <v>16.099999999999994</v>
      </c>
      <c r="S598">
        <f>Tableau1[[#This Row],[Final_time]]-SUM(Tableau1[[#This Row],[0_100m]:[1300_1400m]])</f>
        <v>16</v>
      </c>
      <c r="T598">
        <v>244.4</v>
      </c>
      <c r="U598">
        <f t="shared" si="18"/>
        <v>244.4</v>
      </c>
      <c r="V598">
        <f t="shared" si="19"/>
        <v>0</v>
      </c>
      <c r="W598" s="12"/>
      <c r="X598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598" t="s">
        <v>401</v>
      </c>
      <c r="Z598" s="2" t="s">
        <v>43</v>
      </c>
      <c r="AA598" s="2"/>
      <c r="AB598" s="2" t="s">
        <v>65</v>
      </c>
      <c r="AC598" s="2">
        <v>44718</v>
      </c>
      <c r="AD598">
        <v>2022</v>
      </c>
      <c r="AE598" s="3">
        <v>21</v>
      </c>
      <c r="AF598" s="5">
        <v>0.75</v>
      </c>
      <c r="AG598" s="3" t="s">
        <v>71</v>
      </c>
    </row>
    <row r="599" spans="1:33" hidden="1" x14ac:dyDescent="0.35">
      <c r="A599" t="str">
        <f>_xlfn.CONCAT(Tableau1[[#This Row],[Athletes]],"_",Tableau1[[#This Row],[Nationality]],"_",Tableau1[[#This Row],[Competition_year]])</f>
        <v>Habitam ALEMU_ETH_2022</v>
      </c>
      <c r="B599" t="s">
        <v>399</v>
      </c>
      <c r="C599" t="s">
        <v>47</v>
      </c>
      <c r="D599" t="s">
        <v>48</v>
      </c>
      <c r="E599">
        <v>15.7</v>
      </c>
      <c r="F599">
        <v>15.8</v>
      </c>
      <c r="G599">
        <v>15.899999999999999</v>
      </c>
      <c r="H599">
        <v>16.600000000000001</v>
      </c>
      <c r="I599">
        <v>16.400000000000006</v>
      </c>
      <c r="J599">
        <v>17.199999999999989</v>
      </c>
      <c r="K599">
        <v>16.300000000000011</v>
      </c>
      <c r="L599">
        <v>16.299999999999983</v>
      </c>
      <c r="M599">
        <v>16.100000000000023</v>
      </c>
      <c r="N599">
        <v>16.199999999999989</v>
      </c>
      <c r="O599">
        <v>16.300000000000011</v>
      </c>
      <c r="P599">
        <v>15.699999999999989</v>
      </c>
      <c r="Q599">
        <v>15.800000000000011</v>
      </c>
      <c r="R599">
        <v>16.099999999999994</v>
      </c>
      <c r="S599">
        <f>Tableau1[[#This Row],[Final_time]]-SUM(Tableau1[[#This Row],[0_100m]:[1300_1400m]])</f>
        <v>16.099999999999994</v>
      </c>
      <c r="T599">
        <v>242.5</v>
      </c>
      <c r="U599">
        <f t="shared" si="18"/>
        <v>242.5</v>
      </c>
      <c r="V599">
        <f t="shared" si="19"/>
        <v>0</v>
      </c>
      <c r="W599" s="12"/>
      <c r="X599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599" t="s">
        <v>401</v>
      </c>
      <c r="Z599" s="2" t="s">
        <v>43</v>
      </c>
      <c r="AA599" s="2"/>
      <c r="AB599" s="2" t="s">
        <v>65</v>
      </c>
      <c r="AC599" s="2">
        <v>44718</v>
      </c>
      <c r="AD599">
        <v>2022</v>
      </c>
      <c r="AE599" s="3">
        <v>21</v>
      </c>
      <c r="AF599" s="5">
        <v>0.75</v>
      </c>
      <c r="AG599" s="3" t="s">
        <v>71</v>
      </c>
    </row>
    <row r="600" spans="1:33" hidden="1" x14ac:dyDescent="0.35">
      <c r="A600" t="str">
        <f>_xlfn.CONCAT(Tableau1[[#This Row],[Athletes]],"_",Tableau1[[#This Row],[Nationality]],"_",Tableau1[[#This Row],[Competition_year]])</f>
        <v>Edinah JEBITOK_KEN_2022</v>
      </c>
      <c r="B600" t="s">
        <v>155</v>
      </c>
      <c r="C600" t="s">
        <v>47</v>
      </c>
      <c r="D600" t="s">
        <v>17</v>
      </c>
      <c r="E600">
        <v>15.8</v>
      </c>
      <c r="F600">
        <v>16.099999999999998</v>
      </c>
      <c r="G600">
        <v>15.399999999999999</v>
      </c>
      <c r="H600">
        <v>16.200000000000003</v>
      </c>
      <c r="I600">
        <v>16.700000000000003</v>
      </c>
      <c r="J600">
        <v>17</v>
      </c>
      <c r="K600">
        <v>16.5</v>
      </c>
      <c r="L600">
        <v>16.299999999999997</v>
      </c>
      <c r="M600">
        <v>16.099999999999994</v>
      </c>
      <c r="N600">
        <v>16.200000000000017</v>
      </c>
      <c r="O600">
        <v>16.299999999999983</v>
      </c>
      <c r="P600">
        <v>15.700000000000017</v>
      </c>
      <c r="Q600">
        <v>15.799999999999983</v>
      </c>
      <c r="R600">
        <v>16.5</v>
      </c>
      <c r="S600">
        <f>Tableau1[[#This Row],[Final_time]]-SUM(Tableau1[[#This Row],[0_100m]:[1300_1400m]])</f>
        <v>16.360000000000014</v>
      </c>
      <c r="T600">
        <v>242.96</v>
      </c>
      <c r="U600">
        <f t="shared" si="18"/>
        <v>242.96</v>
      </c>
      <c r="V600">
        <f t="shared" si="19"/>
        <v>0</v>
      </c>
      <c r="W600" s="12"/>
      <c r="X600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0" t="s">
        <v>401</v>
      </c>
      <c r="Z600" s="2" t="s">
        <v>43</v>
      </c>
      <c r="AA600" s="2"/>
      <c r="AB600" s="2" t="s">
        <v>65</v>
      </c>
      <c r="AC600" s="2">
        <v>44718</v>
      </c>
      <c r="AD600">
        <v>2022</v>
      </c>
      <c r="AE600" s="3">
        <v>21</v>
      </c>
      <c r="AF600" s="5">
        <v>0.75</v>
      </c>
      <c r="AG600" s="3" t="s">
        <v>71</v>
      </c>
    </row>
    <row r="601" spans="1:33" hidden="1" x14ac:dyDescent="0.35">
      <c r="A601" t="str">
        <f>_xlfn.CONCAT(Tableau1[[#This Row],[Athletes]],"_",Tableau1[[#This Row],[Nationality]],"_",Tableau1[[#This Row],[Competition_year]])</f>
        <v>Linden HALL_AUS_2022</v>
      </c>
      <c r="B601" t="s">
        <v>184</v>
      </c>
      <c r="C601" t="s">
        <v>47</v>
      </c>
      <c r="D601" t="s">
        <v>21</v>
      </c>
      <c r="E601">
        <v>15.4</v>
      </c>
      <c r="F601">
        <v>15.499999999999998</v>
      </c>
      <c r="G601">
        <v>15.800000000000004</v>
      </c>
      <c r="H601">
        <v>16.5</v>
      </c>
      <c r="I601">
        <v>16.700000000000003</v>
      </c>
      <c r="J601">
        <v>17</v>
      </c>
      <c r="K601">
        <v>16.5</v>
      </c>
      <c r="L601">
        <v>16.299999999999983</v>
      </c>
      <c r="M601">
        <v>16</v>
      </c>
      <c r="N601">
        <v>16.300000000000011</v>
      </c>
      <c r="O601">
        <v>16.300000000000011</v>
      </c>
      <c r="P601">
        <v>16.099999999999994</v>
      </c>
      <c r="Q601">
        <v>16.299999999999983</v>
      </c>
      <c r="R601">
        <v>16.200000000000017</v>
      </c>
      <c r="S601">
        <f>Tableau1[[#This Row],[Final_time]]-SUM(Tableau1[[#This Row],[0_100m]:[1300_1400m]])</f>
        <v>16.389999999999986</v>
      </c>
      <c r="T601">
        <v>243.29</v>
      </c>
      <c r="U601">
        <f t="shared" si="18"/>
        <v>243.29</v>
      </c>
      <c r="V601">
        <f t="shared" si="19"/>
        <v>0</v>
      </c>
      <c r="W601" s="12"/>
      <c r="X601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1" t="s">
        <v>401</v>
      </c>
      <c r="Z601" s="2" t="s">
        <v>43</v>
      </c>
      <c r="AA601" s="2"/>
      <c r="AB601" s="2" t="s">
        <v>65</v>
      </c>
      <c r="AC601" s="2">
        <v>44718</v>
      </c>
      <c r="AD601">
        <v>2022</v>
      </c>
      <c r="AE601" s="3">
        <v>21</v>
      </c>
      <c r="AF601" s="5">
        <v>0.75</v>
      </c>
      <c r="AG601" s="3" t="s">
        <v>71</v>
      </c>
    </row>
    <row r="602" spans="1:33" hidden="1" x14ac:dyDescent="0.35">
      <c r="A602" t="str">
        <f>_xlfn.CONCAT(Tableau1[[#This Row],[Athletes]],"_",Tableau1[[#This Row],[Nationality]],"_",Tableau1[[#This Row],[Competition_year]])</f>
        <v>Kristiina SASÍNEK MÄKI_CZE_2022</v>
      </c>
      <c r="B602" t="s">
        <v>1046</v>
      </c>
      <c r="C602" t="s">
        <v>47</v>
      </c>
      <c r="D602" t="s">
        <v>140</v>
      </c>
      <c r="E602">
        <v>16.100000000000001</v>
      </c>
      <c r="F602">
        <v>16.299999999999997</v>
      </c>
      <c r="G602">
        <v>15.600000000000001</v>
      </c>
      <c r="H602">
        <v>16.5</v>
      </c>
      <c r="I602">
        <v>16.400000000000006</v>
      </c>
      <c r="J602">
        <v>17.299999999999997</v>
      </c>
      <c r="K602">
        <v>16.399999999999991</v>
      </c>
      <c r="L602">
        <v>16.400000000000006</v>
      </c>
      <c r="M602">
        <v>16.400000000000006</v>
      </c>
      <c r="N602">
        <v>16.599999999999994</v>
      </c>
      <c r="O602">
        <v>16.300000000000011</v>
      </c>
      <c r="P602">
        <v>16.199999999999989</v>
      </c>
      <c r="Q602">
        <v>16.099999999999994</v>
      </c>
      <c r="R602">
        <v>16.200000000000017</v>
      </c>
      <c r="S602">
        <f>Tableau1[[#This Row],[Final_time]]-SUM(Tableau1[[#This Row],[0_100m]:[1300_1400m]])</f>
        <v>16.5</v>
      </c>
      <c r="T602">
        <v>245.3</v>
      </c>
      <c r="U602">
        <f t="shared" si="18"/>
        <v>245.3</v>
      </c>
      <c r="V602">
        <f t="shared" si="19"/>
        <v>0</v>
      </c>
      <c r="W602" s="12"/>
      <c r="X602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2" t="s">
        <v>401</v>
      </c>
      <c r="Z602" s="2" t="s">
        <v>43</v>
      </c>
      <c r="AA602" s="2"/>
      <c r="AB602" s="2" t="s">
        <v>65</v>
      </c>
      <c r="AC602" s="2">
        <v>44718</v>
      </c>
      <c r="AD602">
        <v>2022</v>
      </c>
      <c r="AE602" s="3">
        <v>21</v>
      </c>
      <c r="AF602" s="5">
        <v>0.75</v>
      </c>
      <c r="AG602" s="3" t="s">
        <v>71</v>
      </c>
    </row>
    <row r="603" spans="1:33" hidden="1" x14ac:dyDescent="0.35">
      <c r="A603" t="str">
        <f>_xlfn.CONCAT(Tableau1[[#This Row],[Athletes]],"_",Tableau1[[#This Row],[Nationality]],"_",Tableau1[[#This Row],[Competition_year]])</f>
        <v>Winnie NANYONDO_UGA_2022</v>
      </c>
      <c r="B603" t="s">
        <v>241</v>
      </c>
      <c r="C603" t="s">
        <v>47</v>
      </c>
      <c r="D603" t="s">
        <v>52</v>
      </c>
      <c r="E603">
        <v>14.9</v>
      </c>
      <c r="F603">
        <v>15.499999999999998</v>
      </c>
      <c r="G603">
        <v>15.899999999999999</v>
      </c>
      <c r="H603">
        <v>16.600000000000001</v>
      </c>
      <c r="I603">
        <v>16.800000000000004</v>
      </c>
      <c r="J603">
        <v>16.799999999999997</v>
      </c>
      <c r="K603">
        <v>16.299999999999997</v>
      </c>
      <c r="L603">
        <v>16.299999999999997</v>
      </c>
      <c r="M603">
        <v>16.200000000000017</v>
      </c>
      <c r="N603">
        <v>16.5</v>
      </c>
      <c r="O603">
        <v>16</v>
      </c>
      <c r="P603">
        <v>16.099999999999994</v>
      </c>
      <c r="Q603">
        <v>16</v>
      </c>
      <c r="R603">
        <v>16.099999999999994</v>
      </c>
      <c r="S603">
        <f>Tableau1[[#This Row],[Final_time]]-SUM(Tableau1[[#This Row],[0_100m]:[1300_1400m]])</f>
        <v>16.740000000000009</v>
      </c>
      <c r="T603">
        <v>242.74</v>
      </c>
      <c r="U603">
        <f t="shared" si="18"/>
        <v>242.74</v>
      </c>
      <c r="V603">
        <f t="shared" si="19"/>
        <v>0</v>
      </c>
      <c r="W603" s="12"/>
      <c r="X603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3" t="s">
        <v>401</v>
      </c>
      <c r="Z603" s="2" t="s">
        <v>43</v>
      </c>
      <c r="AA603" s="2"/>
      <c r="AB603" s="2" t="s">
        <v>65</v>
      </c>
      <c r="AC603" s="2">
        <v>44718</v>
      </c>
      <c r="AD603">
        <v>2022</v>
      </c>
      <c r="AE603" s="3">
        <v>21</v>
      </c>
      <c r="AF603" s="5">
        <v>0.75</v>
      </c>
      <c r="AG603" s="3" t="s">
        <v>71</v>
      </c>
    </row>
    <row r="604" spans="1:33" hidden="1" x14ac:dyDescent="0.35">
      <c r="A604" t="str">
        <f>_xlfn.CONCAT(Tableau1[[#This Row],[Athletes]],"_",Tableau1[[#This Row],[Nationality]],"_",Tableau1[[#This Row],[Competition_year]])</f>
        <v>Georgia GRIFFITH_AUS_2022</v>
      </c>
      <c r="B604" t="s">
        <v>248</v>
      </c>
      <c r="C604" t="s">
        <v>47</v>
      </c>
      <c r="D604" t="s">
        <v>21</v>
      </c>
      <c r="E604">
        <v>15</v>
      </c>
      <c r="F604">
        <v>15.600000000000001</v>
      </c>
      <c r="G604">
        <v>15.799999999999997</v>
      </c>
      <c r="H604">
        <v>16.700000000000003</v>
      </c>
      <c r="I604">
        <v>16.600000000000001</v>
      </c>
      <c r="J604">
        <v>17</v>
      </c>
      <c r="K604">
        <v>16.200000000000003</v>
      </c>
      <c r="L604">
        <v>16</v>
      </c>
      <c r="M604">
        <v>15.5</v>
      </c>
      <c r="N604">
        <v>16.299999999999983</v>
      </c>
      <c r="O604">
        <v>16.100000000000023</v>
      </c>
      <c r="P604">
        <v>15.299999999999983</v>
      </c>
      <c r="Q604">
        <v>15.5</v>
      </c>
      <c r="R604">
        <v>15.700000000000017</v>
      </c>
      <c r="S604">
        <f>Tableau1[[#This Row],[Final_time]]-SUM(Tableau1[[#This Row],[0_100m]:[1300_1400m]])</f>
        <v>16.859999999999985</v>
      </c>
      <c r="T604">
        <v>240.16</v>
      </c>
      <c r="U604">
        <f t="shared" si="18"/>
        <v>240.16</v>
      </c>
      <c r="V604">
        <f t="shared" si="19"/>
        <v>0</v>
      </c>
      <c r="W604" s="12"/>
      <c r="X604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4" t="s">
        <v>401</v>
      </c>
      <c r="Z604" s="2" t="s">
        <v>43</v>
      </c>
      <c r="AA604" s="2"/>
      <c r="AB604" s="2" t="s">
        <v>65</v>
      </c>
      <c r="AC604" s="2">
        <v>44718</v>
      </c>
      <c r="AD604">
        <v>2022</v>
      </c>
      <c r="AE604" s="3">
        <v>21</v>
      </c>
      <c r="AF604" s="5">
        <v>0.75</v>
      </c>
      <c r="AG604" s="3" t="s">
        <v>71</v>
      </c>
    </row>
    <row r="605" spans="1:33" hidden="1" x14ac:dyDescent="0.35">
      <c r="A605" t="str">
        <f>_xlfn.CONCAT(Tableau1[[#This Row],[Athletes]],"_",Tableau1[[#This Row],[Nationality]],"_",Tableau1[[#This Row],[Competition_year]])</f>
        <v>Aurore FLEURY_FRA_2022</v>
      </c>
      <c r="B605" t="s">
        <v>360</v>
      </c>
      <c r="C605" t="s">
        <v>47</v>
      </c>
      <c r="D605" t="s">
        <v>18</v>
      </c>
      <c r="E605">
        <v>15.9</v>
      </c>
      <c r="F605">
        <v>15.999999999999998</v>
      </c>
      <c r="G605">
        <v>15.700000000000003</v>
      </c>
      <c r="H605">
        <v>16.499999999999993</v>
      </c>
      <c r="I605">
        <v>16.5</v>
      </c>
      <c r="J605">
        <v>17.200000000000003</v>
      </c>
      <c r="K605">
        <v>16.5</v>
      </c>
      <c r="L605">
        <v>16.399999999999991</v>
      </c>
      <c r="M605">
        <v>16.300000000000011</v>
      </c>
      <c r="N605">
        <v>16.5</v>
      </c>
      <c r="O605">
        <v>16.199999999999989</v>
      </c>
      <c r="P605">
        <v>16.100000000000023</v>
      </c>
      <c r="Q605">
        <v>16.199999999999989</v>
      </c>
      <c r="R605">
        <v>15.900000000000006</v>
      </c>
      <c r="S605">
        <f>Tableau1[[#This Row],[Final_time]]-SUM(Tableau1[[#This Row],[0_100m]:[1300_1400m]])</f>
        <v>16.879999999999995</v>
      </c>
      <c r="T605">
        <v>244.78</v>
      </c>
      <c r="U605">
        <f t="shared" si="18"/>
        <v>244.78</v>
      </c>
      <c r="V605">
        <f t="shared" si="19"/>
        <v>0</v>
      </c>
      <c r="W605" s="12"/>
      <c r="X605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5" t="s">
        <v>401</v>
      </c>
      <c r="Z605" s="2" t="s">
        <v>43</v>
      </c>
      <c r="AA605" s="2"/>
      <c r="AB605" s="2" t="s">
        <v>65</v>
      </c>
      <c r="AC605" s="2">
        <v>44718</v>
      </c>
      <c r="AD605">
        <v>2022</v>
      </c>
      <c r="AE605" s="3">
        <v>21</v>
      </c>
      <c r="AF605" s="5">
        <v>0.75</v>
      </c>
      <c r="AG605" s="3" t="s">
        <v>71</v>
      </c>
    </row>
    <row r="606" spans="1:33" hidden="1" x14ac:dyDescent="0.35">
      <c r="A606" t="str">
        <f>_xlfn.CONCAT(Tableau1[[#This Row],[Athletes]],"_",Tableau1[[#This Row],[Nationality]],"_",Tableau1[[#This Row],[Competition_year]])</f>
        <v>Elise VANDERELST_BEL_2022</v>
      </c>
      <c r="B606" t="s">
        <v>177</v>
      </c>
      <c r="C606" t="s">
        <v>47</v>
      </c>
      <c r="D606" t="s">
        <v>86</v>
      </c>
      <c r="E606">
        <v>15.2</v>
      </c>
      <c r="F606">
        <v>15.600000000000001</v>
      </c>
      <c r="G606">
        <v>15.8</v>
      </c>
      <c r="H606">
        <v>16.699999999999996</v>
      </c>
      <c r="I606">
        <v>16.600000000000009</v>
      </c>
      <c r="J606">
        <v>17.099999999999994</v>
      </c>
      <c r="K606">
        <v>16.400000000000006</v>
      </c>
      <c r="L606">
        <v>16.400000000000006</v>
      </c>
      <c r="M606">
        <v>16.199999999999989</v>
      </c>
      <c r="N606">
        <v>16.800000000000011</v>
      </c>
      <c r="O606">
        <v>16.199999999999989</v>
      </c>
      <c r="P606">
        <v>16</v>
      </c>
      <c r="Q606">
        <v>16.300000000000011</v>
      </c>
      <c r="R606">
        <v>16.599999999999994</v>
      </c>
      <c r="S606">
        <f>Tableau1[[#This Row],[Final_time]]-SUM(Tableau1[[#This Row],[0_100m]:[1300_1400m]])</f>
        <v>17.259999999999991</v>
      </c>
      <c r="T606">
        <v>245.16</v>
      </c>
      <c r="U606">
        <f t="shared" si="18"/>
        <v>245.16</v>
      </c>
      <c r="V606">
        <f t="shared" si="19"/>
        <v>0</v>
      </c>
      <c r="W606" s="12"/>
      <c r="X606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6" t="s">
        <v>401</v>
      </c>
      <c r="Z606" s="2" t="s">
        <v>43</v>
      </c>
      <c r="AA606" s="2"/>
      <c r="AB606" s="2" t="s">
        <v>65</v>
      </c>
      <c r="AC606" s="2">
        <v>44718</v>
      </c>
      <c r="AD606">
        <v>2022</v>
      </c>
      <c r="AE606" s="3">
        <v>21</v>
      </c>
      <c r="AF606" s="5">
        <v>0.75</v>
      </c>
      <c r="AG606" s="3" t="s">
        <v>71</v>
      </c>
    </row>
    <row r="607" spans="1:33" hidden="1" x14ac:dyDescent="0.35">
      <c r="A607" t="str">
        <f>_xlfn.CONCAT(Tableau1[[#This Row],[Athletes]],"_",Tableau1[[#This Row],[Nationality]],"_",Tableau1[[#This Row],[Competition_year]])</f>
        <v>Tigist KETEMA_ETH_2022</v>
      </c>
      <c r="B607" t="s">
        <v>361</v>
      </c>
      <c r="C607" t="s">
        <v>47</v>
      </c>
      <c r="D607" t="s">
        <v>48</v>
      </c>
      <c r="E607">
        <v>16</v>
      </c>
      <c r="F607">
        <v>16.100000000000001</v>
      </c>
      <c r="G607">
        <v>14.799999999999997</v>
      </c>
      <c r="H607">
        <v>15.800000000000004</v>
      </c>
      <c r="I607">
        <v>17</v>
      </c>
      <c r="J607">
        <v>17.099999999999994</v>
      </c>
      <c r="K607">
        <v>16.400000000000006</v>
      </c>
      <c r="L607">
        <v>16.399999999999991</v>
      </c>
      <c r="M607">
        <v>16.300000000000011</v>
      </c>
      <c r="N607">
        <v>17</v>
      </c>
      <c r="O607">
        <v>16.900000000000006</v>
      </c>
      <c r="P607">
        <v>17</v>
      </c>
      <c r="Q607">
        <v>16.299999999999983</v>
      </c>
      <c r="R607">
        <v>16.599999999999994</v>
      </c>
      <c r="S607">
        <f>Tableau1[[#This Row],[Final_time]]-SUM(Tableau1[[#This Row],[0_100m]:[1300_1400m]])</f>
        <v>17.310000000000002</v>
      </c>
      <c r="T607">
        <v>247.01</v>
      </c>
      <c r="U607">
        <f t="shared" si="18"/>
        <v>247.01</v>
      </c>
      <c r="V607">
        <f t="shared" si="19"/>
        <v>0</v>
      </c>
      <c r="W607" s="12"/>
      <c r="X607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7" t="s">
        <v>401</v>
      </c>
      <c r="Z607" s="2" t="s">
        <v>43</v>
      </c>
      <c r="AA607" s="2"/>
      <c r="AB607" s="2" t="s">
        <v>65</v>
      </c>
      <c r="AC607" s="2">
        <v>44718</v>
      </c>
      <c r="AD607">
        <v>2022</v>
      </c>
      <c r="AE607" s="3">
        <v>21</v>
      </c>
      <c r="AF607" s="5">
        <v>0.75</v>
      </c>
      <c r="AG607" s="3" t="s">
        <v>71</v>
      </c>
    </row>
    <row r="608" spans="1:33" hidden="1" x14ac:dyDescent="0.35">
      <c r="A608" t="str">
        <f>_xlfn.CONCAT(Tableau1[[#This Row],[Athletes]],"_",Tableau1[[#This Row],[Nationality]],"_",Tableau1[[#This Row],[Competition_year]])</f>
        <v>Lore HOFFMANN_SUI_2022</v>
      </c>
      <c r="B608" t="s">
        <v>400</v>
      </c>
      <c r="C608" t="s">
        <v>47</v>
      </c>
      <c r="D608" t="s">
        <v>87</v>
      </c>
      <c r="E608">
        <v>15.6</v>
      </c>
      <c r="F608">
        <v>15.500000000000002</v>
      </c>
      <c r="G608">
        <v>15.699999999999996</v>
      </c>
      <c r="H608">
        <v>16.700000000000003</v>
      </c>
      <c r="I608">
        <v>16.599999999999994</v>
      </c>
      <c r="J608">
        <v>17.100000000000009</v>
      </c>
      <c r="K608">
        <v>16.5</v>
      </c>
      <c r="L608">
        <v>16.299999999999997</v>
      </c>
      <c r="M608">
        <v>16.400000000000006</v>
      </c>
      <c r="N608">
        <v>16.5</v>
      </c>
      <c r="O608">
        <v>16.299999999999983</v>
      </c>
      <c r="P608">
        <v>15.800000000000011</v>
      </c>
      <c r="Q608">
        <v>15.800000000000011</v>
      </c>
      <c r="R608">
        <v>16</v>
      </c>
      <c r="S608">
        <f>Tableau1[[#This Row],[Final_time]]-SUM(Tableau1[[#This Row],[0_100m]:[1300_1400m]])</f>
        <v>20.289999999999992</v>
      </c>
      <c r="T608">
        <v>247.09</v>
      </c>
      <c r="U608">
        <f t="shared" si="18"/>
        <v>247.09</v>
      </c>
      <c r="V608">
        <f t="shared" si="19"/>
        <v>0</v>
      </c>
      <c r="W608" s="12"/>
      <c r="X608" t="str">
        <f>_xlfn.CONCAT(Tableau1[[#This Row],[Competition]],"_",Tableau1[[#This Row],[Championship_step]],"_",Tableau1[[#This Row],[Competition_date]],"_",Tableau1[[#This Row],[Gender]])</f>
        <v>Diamond League Rabat 2022__44718_Female</v>
      </c>
      <c r="Y608" t="s">
        <v>401</v>
      </c>
      <c r="Z608" s="2" t="s">
        <v>43</v>
      </c>
      <c r="AA608" s="2"/>
      <c r="AB608" s="2" t="s">
        <v>65</v>
      </c>
      <c r="AC608" s="2">
        <v>44718</v>
      </c>
      <c r="AD608">
        <v>2022</v>
      </c>
      <c r="AE608" s="3">
        <v>21</v>
      </c>
      <c r="AF608" s="5">
        <v>0.75</v>
      </c>
      <c r="AG608" s="3" t="s">
        <v>71</v>
      </c>
    </row>
    <row r="609" spans="1:34" hidden="1" x14ac:dyDescent="0.35">
      <c r="A609" t="str">
        <f>_xlfn.CONCAT(Tableau1[[#This Row],[Athletes]],"_",Tableau1[[#This Row],[Nationality]],"_",Tableau1[[#This Row],[Competition_year]])</f>
        <v>Jake WIGHTMAN_GBR_2022</v>
      </c>
      <c r="B609" t="s">
        <v>150</v>
      </c>
      <c r="C609" t="s">
        <v>16</v>
      </c>
      <c r="D609" t="s">
        <v>20</v>
      </c>
      <c r="E609">
        <v>14.9</v>
      </c>
      <c r="F609">
        <v>13.700000000000001</v>
      </c>
      <c r="G609">
        <v>13.799999999999997</v>
      </c>
      <c r="H609">
        <v>13.800000000000004</v>
      </c>
      <c r="I609">
        <v>14.299999999999997</v>
      </c>
      <c r="J609">
        <v>14.5</v>
      </c>
      <c r="K609">
        <v>14.5</v>
      </c>
      <c r="L609">
        <v>14.299999999999997</v>
      </c>
      <c r="M609">
        <v>14.500000000000014</v>
      </c>
      <c r="N609">
        <v>14.699999999999989</v>
      </c>
      <c r="O609">
        <v>14.300000000000011</v>
      </c>
      <c r="P609">
        <v>14.399999999999977</v>
      </c>
      <c r="Q609">
        <v>13.700000000000017</v>
      </c>
      <c r="R609">
        <v>13.5</v>
      </c>
      <c r="S609">
        <f>Tableau1[[#This Row],[Final_time]]-SUM(Tableau1[[#This Row],[0_100m]:[1300_1400m]])</f>
        <v>13.719999999999999</v>
      </c>
      <c r="T609">
        <v>212.62</v>
      </c>
      <c r="U609">
        <f t="shared" si="18"/>
        <v>212.62</v>
      </c>
      <c r="V609">
        <f t="shared" si="19"/>
        <v>0</v>
      </c>
      <c r="W609" s="12"/>
      <c r="X609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09" t="s">
        <v>401</v>
      </c>
      <c r="Z609" s="2" t="s">
        <v>43</v>
      </c>
      <c r="AA609" s="2"/>
      <c r="AB609" s="2" t="s">
        <v>65</v>
      </c>
      <c r="AC609" s="2">
        <v>44718</v>
      </c>
      <c r="AD609">
        <v>2022</v>
      </c>
      <c r="AE609" s="3">
        <v>22</v>
      </c>
      <c r="AF609" s="5">
        <v>0.75</v>
      </c>
      <c r="AG609" s="3" t="s">
        <v>71</v>
      </c>
    </row>
    <row r="610" spans="1:34" hidden="1" x14ac:dyDescent="0.35">
      <c r="A610" t="str">
        <f>_xlfn.CONCAT(Tableau1[[#This Row],[Athletes]],"_",Tableau1[[#This Row],[Nationality]],"_",Tableau1[[#This Row],[Competition_year]])</f>
        <v>Jake HEYWARD_GBR_2022</v>
      </c>
      <c r="B610" t="s">
        <v>341</v>
      </c>
      <c r="C610" t="s">
        <v>16</v>
      </c>
      <c r="D610" t="s">
        <v>20</v>
      </c>
      <c r="E610">
        <v>14.7</v>
      </c>
      <c r="F610">
        <v>13.7</v>
      </c>
      <c r="G610">
        <v>13.800000000000004</v>
      </c>
      <c r="H610">
        <v>13.799999999999997</v>
      </c>
      <c r="I610">
        <v>14.299999999999997</v>
      </c>
      <c r="J610">
        <v>14.5</v>
      </c>
      <c r="K610">
        <v>14.5</v>
      </c>
      <c r="L610">
        <v>14.299999999999997</v>
      </c>
      <c r="M610">
        <v>14.5</v>
      </c>
      <c r="N610">
        <v>14.700000000000017</v>
      </c>
      <c r="O610">
        <v>14.299999999999983</v>
      </c>
      <c r="P610">
        <v>14.400000000000006</v>
      </c>
      <c r="Q610">
        <v>13.900000000000006</v>
      </c>
      <c r="R610">
        <v>13.799999999999983</v>
      </c>
      <c r="S610">
        <f>Tableau1[[#This Row],[Final_time]]-SUM(Tableau1[[#This Row],[0_100m]:[1300_1400m]])</f>
        <v>14.340000000000003</v>
      </c>
      <c r="T610">
        <v>213.54</v>
      </c>
      <c r="U610">
        <f t="shared" si="18"/>
        <v>213.54</v>
      </c>
      <c r="V610">
        <f t="shared" si="19"/>
        <v>0</v>
      </c>
      <c r="W610" s="12"/>
      <c r="X610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0" t="s">
        <v>401</v>
      </c>
      <c r="Z610" s="2" t="s">
        <v>43</v>
      </c>
      <c r="AA610" s="2"/>
      <c r="AB610" s="2" t="s">
        <v>65</v>
      </c>
      <c r="AC610" s="2">
        <v>44718</v>
      </c>
      <c r="AD610">
        <v>2022</v>
      </c>
      <c r="AE610" s="3">
        <v>22</v>
      </c>
      <c r="AF610" s="5">
        <v>0.75</v>
      </c>
      <c r="AG610" s="3" t="s">
        <v>71</v>
      </c>
    </row>
    <row r="611" spans="1:34" hidden="1" x14ac:dyDescent="0.35">
      <c r="A611" t="str">
        <f>_xlfn.CONCAT(Tableau1[[#This Row],[Athletes]],"_",Tableau1[[#This Row],[Nationality]],"_",Tableau1[[#This Row],[Competition_year]])</f>
        <v>Abdellatif SADIKI_MAR_2022</v>
      </c>
      <c r="B611" t="s">
        <v>221</v>
      </c>
      <c r="C611" t="s">
        <v>16</v>
      </c>
      <c r="D611" t="s">
        <v>75</v>
      </c>
      <c r="E611">
        <v>14.9</v>
      </c>
      <c r="F611">
        <v>13.9</v>
      </c>
      <c r="G611">
        <v>13.8</v>
      </c>
      <c r="H611">
        <v>13.799999999999997</v>
      </c>
      <c r="I611">
        <v>14.199999999999996</v>
      </c>
      <c r="J611">
        <v>14.600000000000009</v>
      </c>
      <c r="K611">
        <v>14.599999999999994</v>
      </c>
      <c r="L611">
        <v>14.299999999999997</v>
      </c>
      <c r="M611">
        <v>14.5</v>
      </c>
      <c r="N611">
        <v>14.599999999999994</v>
      </c>
      <c r="O611">
        <v>14.300000000000011</v>
      </c>
      <c r="P611">
        <v>14.199999999999989</v>
      </c>
      <c r="Q611">
        <v>14.200000000000017</v>
      </c>
      <c r="R611">
        <v>13.900000000000006</v>
      </c>
      <c r="S611">
        <f>Tableau1[[#This Row],[Final_time]]-SUM(Tableau1[[#This Row],[0_100m]:[1300_1400m]])</f>
        <v>14.129999999999995</v>
      </c>
      <c r="T611">
        <v>213.93</v>
      </c>
      <c r="U611">
        <f t="shared" si="18"/>
        <v>213.93</v>
      </c>
      <c r="V611">
        <f t="shared" si="19"/>
        <v>0</v>
      </c>
      <c r="W611" s="12"/>
      <c r="X611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1" t="s">
        <v>401</v>
      </c>
      <c r="Z611" s="2" t="s">
        <v>43</v>
      </c>
      <c r="AA611" s="2"/>
      <c r="AB611" s="2" t="s">
        <v>65</v>
      </c>
      <c r="AC611" s="2">
        <v>44718</v>
      </c>
      <c r="AD611">
        <v>2022</v>
      </c>
      <c r="AE611" s="3">
        <v>22</v>
      </c>
      <c r="AF611" s="5">
        <v>0.75</v>
      </c>
      <c r="AG611" s="3" t="s">
        <v>71</v>
      </c>
    </row>
    <row r="612" spans="1:34" hidden="1" x14ac:dyDescent="0.35">
      <c r="A612" t="str">
        <f>_xlfn.CONCAT(Tableau1[[#This Row],[Athletes]],"_",Tableau1[[#This Row],[Nationality]],"_",Tableau1[[#This Row],[Competition_year]])</f>
        <v>Charles GRETHEN_LUX_2022</v>
      </c>
      <c r="B612" t="s">
        <v>230</v>
      </c>
      <c r="C612" t="s">
        <v>16</v>
      </c>
      <c r="D612" t="s">
        <v>76</v>
      </c>
      <c r="E612">
        <v>15.3</v>
      </c>
      <c r="F612">
        <v>14.399999999999999</v>
      </c>
      <c r="G612">
        <v>13.599999999999998</v>
      </c>
      <c r="H612">
        <v>14</v>
      </c>
      <c r="I612">
        <v>14.400000000000006</v>
      </c>
      <c r="J612">
        <v>14.599999999999994</v>
      </c>
      <c r="K612">
        <v>14.5</v>
      </c>
      <c r="L612">
        <v>14.400000000000006</v>
      </c>
      <c r="M612">
        <v>14.100000000000009</v>
      </c>
      <c r="N612">
        <v>14.399999999999977</v>
      </c>
      <c r="O612">
        <v>14.200000000000017</v>
      </c>
      <c r="P612">
        <v>14.099999999999994</v>
      </c>
      <c r="Q612">
        <v>13.699999999999989</v>
      </c>
      <c r="R612">
        <v>14</v>
      </c>
      <c r="S612">
        <f>Tableau1[[#This Row],[Final_time]]-SUM(Tableau1[[#This Row],[0_100m]:[1300_1400m]])</f>
        <v>14.630000000000024</v>
      </c>
      <c r="T612">
        <v>214.33</v>
      </c>
      <c r="U612">
        <f t="shared" si="18"/>
        <v>214.33</v>
      </c>
      <c r="V612">
        <f t="shared" si="19"/>
        <v>0</v>
      </c>
      <c r="W612" s="12"/>
      <c r="X612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2" t="s">
        <v>401</v>
      </c>
      <c r="Z612" s="2" t="s">
        <v>43</v>
      </c>
      <c r="AA612" s="2"/>
      <c r="AB612" s="2" t="s">
        <v>65</v>
      </c>
      <c r="AC612" s="2">
        <v>44718</v>
      </c>
      <c r="AD612">
        <v>2022</v>
      </c>
      <c r="AE612" s="3">
        <v>22</v>
      </c>
      <c r="AF612" s="5">
        <v>0.75</v>
      </c>
      <c r="AG612" s="3" t="s">
        <v>71</v>
      </c>
    </row>
    <row r="613" spans="1:34" hidden="1" x14ac:dyDescent="0.35">
      <c r="A613" t="str">
        <f>_xlfn.CONCAT(Tableau1[[#This Row],[Athletes]],"_",Tableau1[[#This Row],[Nationality]],"_",Tableau1[[#This Row],[Competition_year]])</f>
        <v>Ismael DEBJANI_BEL_2022</v>
      </c>
      <c r="B613" t="s">
        <v>226</v>
      </c>
      <c r="C613" t="s">
        <v>16</v>
      </c>
      <c r="D613" t="s">
        <v>86</v>
      </c>
      <c r="E613">
        <v>14.9</v>
      </c>
      <c r="F613">
        <v>14.1</v>
      </c>
      <c r="G613">
        <v>14.100000000000001</v>
      </c>
      <c r="H613">
        <v>14.100000000000001</v>
      </c>
      <c r="I613">
        <v>14.200000000000003</v>
      </c>
      <c r="J613">
        <v>14.599999999999994</v>
      </c>
      <c r="K613">
        <v>14.700000000000003</v>
      </c>
      <c r="L613">
        <v>14.399999999999991</v>
      </c>
      <c r="M613">
        <v>14.599999999999994</v>
      </c>
      <c r="N613">
        <v>14.5</v>
      </c>
      <c r="O613">
        <v>14.200000000000017</v>
      </c>
      <c r="P613">
        <v>14.400000000000006</v>
      </c>
      <c r="Q613">
        <v>13.899999999999977</v>
      </c>
      <c r="R613">
        <v>13.900000000000006</v>
      </c>
      <c r="S613">
        <f>Tableau1[[#This Row],[Final_time]]-SUM(Tableau1[[#This Row],[0_100m]:[1300_1400m]])</f>
        <v>13.789999999999992</v>
      </c>
      <c r="T613">
        <v>214.39</v>
      </c>
      <c r="U613">
        <f t="shared" si="18"/>
        <v>214.39</v>
      </c>
      <c r="V613">
        <f t="shared" si="19"/>
        <v>0</v>
      </c>
      <c r="W613" s="12"/>
      <c r="X613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3" t="s">
        <v>401</v>
      </c>
      <c r="Z613" s="2" t="s">
        <v>43</v>
      </c>
      <c r="AA613" s="2"/>
      <c r="AB613" s="2" t="s">
        <v>65</v>
      </c>
      <c r="AC613" s="2">
        <v>44718</v>
      </c>
      <c r="AD613">
        <v>2022</v>
      </c>
      <c r="AE613" s="3">
        <v>22</v>
      </c>
      <c r="AF613" s="5">
        <v>0.75</v>
      </c>
      <c r="AG613" s="3" t="s">
        <v>71</v>
      </c>
    </row>
    <row r="614" spans="1:34" hidden="1" x14ac:dyDescent="0.35">
      <c r="A614" t="str">
        <f>_xlfn.CONCAT(Tableau1[[#This Row],[Athletes]],"_",Tableau1[[#This Row],[Nationality]],"_",Tableau1[[#This Row],[Competition_year]])</f>
        <v>Samuel ZELEKE_ETH_2022</v>
      </c>
      <c r="B614" t="s">
        <v>193</v>
      </c>
      <c r="C614" t="s">
        <v>16</v>
      </c>
      <c r="D614" t="s">
        <v>48</v>
      </c>
      <c r="E614">
        <v>15.9</v>
      </c>
      <c r="F614">
        <v>13.6</v>
      </c>
      <c r="G614">
        <v>13.399999999999999</v>
      </c>
      <c r="H614">
        <v>13.899999999999999</v>
      </c>
      <c r="I614">
        <v>14</v>
      </c>
      <c r="J614">
        <v>14.799999999999997</v>
      </c>
      <c r="K614">
        <v>14.5</v>
      </c>
      <c r="L614">
        <v>14.400000000000006</v>
      </c>
      <c r="M614">
        <v>14.5</v>
      </c>
      <c r="N614">
        <v>14.5</v>
      </c>
      <c r="O614">
        <v>14.199999999999989</v>
      </c>
      <c r="P614">
        <v>14.200000000000017</v>
      </c>
      <c r="Q614">
        <v>14</v>
      </c>
      <c r="R614">
        <v>14.199999999999989</v>
      </c>
      <c r="S614">
        <f>Tableau1[[#This Row],[Final_time]]-SUM(Tableau1[[#This Row],[0_100m]:[1300_1400m]])</f>
        <v>14.700000000000017</v>
      </c>
      <c r="T614">
        <v>214.8</v>
      </c>
      <c r="U614">
        <f t="shared" si="18"/>
        <v>214.8</v>
      </c>
      <c r="V614">
        <f t="shared" si="19"/>
        <v>0</v>
      </c>
      <c r="W614" s="12"/>
      <c r="X614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4" t="s">
        <v>401</v>
      </c>
      <c r="Z614" s="2" t="s">
        <v>43</v>
      </c>
      <c r="AA614" s="2"/>
      <c r="AB614" s="2" t="s">
        <v>65</v>
      </c>
      <c r="AC614" s="2">
        <v>44718</v>
      </c>
      <c r="AD614">
        <v>2022</v>
      </c>
      <c r="AE614" s="3">
        <v>22</v>
      </c>
      <c r="AF614" s="5">
        <v>0.75</v>
      </c>
      <c r="AG614" s="3" t="s">
        <v>71</v>
      </c>
    </row>
    <row r="615" spans="1:34" hidden="1" x14ac:dyDescent="0.35">
      <c r="A615" t="str">
        <f>_xlfn.CONCAT(Tableau1[[#This Row],[Athletes]],"_",Tableau1[[#This Row],[Nationality]],"_",Tableau1[[#This Row],[Competition_year]])</f>
        <v>Mohamed KATIR_ESP_2022</v>
      </c>
      <c r="B615" t="s">
        <v>149</v>
      </c>
      <c r="C615" t="s">
        <v>16</v>
      </c>
      <c r="D615" t="s">
        <v>22</v>
      </c>
      <c r="E615">
        <v>15</v>
      </c>
      <c r="F615">
        <v>14</v>
      </c>
      <c r="G615">
        <v>13.700000000000003</v>
      </c>
      <c r="H615">
        <v>13.799999999999997</v>
      </c>
      <c r="I615">
        <v>14.099999999999994</v>
      </c>
      <c r="J615">
        <v>14.600000000000009</v>
      </c>
      <c r="K615">
        <v>14.5</v>
      </c>
      <c r="L615">
        <v>14.299999999999997</v>
      </c>
      <c r="M615">
        <v>14.400000000000006</v>
      </c>
      <c r="N615">
        <v>14.699999999999989</v>
      </c>
      <c r="O615">
        <v>14.200000000000017</v>
      </c>
      <c r="P615">
        <v>14.299999999999983</v>
      </c>
      <c r="Q615">
        <v>13.800000000000011</v>
      </c>
      <c r="R615">
        <v>14.099999999999994</v>
      </c>
      <c r="S615">
        <f>Tableau1[[#This Row],[Final_time]]-SUM(Tableau1[[#This Row],[0_100m]:[1300_1400m]])</f>
        <v>15.449999999999989</v>
      </c>
      <c r="T615">
        <v>214.95</v>
      </c>
      <c r="U615">
        <f t="shared" si="18"/>
        <v>214.95</v>
      </c>
      <c r="V615">
        <f t="shared" si="19"/>
        <v>0</v>
      </c>
      <c r="W615" s="12"/>
      <c r="X615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5" t="s">
        <v>401</v>
      </c>
      <c r="Z615" s="2" t="s">
        <v>43</v>
      </c>
      <c r="AA615" s="2"/>
      <c r="AB615" s="2" t="s">
        <v>65</v>
      </c>
      <c r="AC615" s="2">
        <v>44718</v>
      </c>
      <c r="AD615">
        <v>2022</v>
      </c>
      <c r="AE615" s="3">
        <v>22</v>
      </c>
      <c r="AF615" s="5">
        <v>0.75</v>
      </c>
      <c r="AG615" s="3" t="s">
        <v>71</v>
      </c>
    </row>
    <row r="616" spans="1:34" hidden="1" x14ac:dyDescent="0.35">
      <c r="A616" t="str">
        <f>_xlfn.CONCAT(Tableau1[[#This Row],[Athletes]],"_",Tableau1[[#This Row],[Nationality]],"_",Tableau1[[#This Row],[Competition_year]])</f>
        <v>Hicham OULADHA_MAR_2022</v>
      </c>
      <c r="B616" t="s">
        <v>402</v>
      </c>
      <c r="C616" t="s">
        <v>16</v>
      </c>
      <c r="D616" t="s">
        <v>75</v>
      </c>
      <c r="E616">
        <v>15.4</v>
      </c>
      <c r="F616">
        <v>14.499999999999998</v>
      </c>
      <c r="G616">
        <v>13.899999999999999</v>
      </c>
      <c r="H616">
        <v>14</v>
      </c>
      <c r="I616">
        <v>14.200000000000003</v>
      </c>
      <c r="J616">
        <v>14.5</v>
      </c>
      <c r="K616">
        <v>14.299999999999997</v>
      </c>
      <c r="L616">
        <v>14.299999999999997</v>
      </c>
      <c r="M616">
        <v>14.400000000000006</v>
      </c>
      <c r="N616">
        <v>14.5</v>
      </c>
      <c r="O616">
        <v>14.199999999999989</v>
      </c>
      <c r="P616">
        <v>14.400000000000006</v>
      </c>
      <c r="Q616">
        <v>13.800000000000011</v>
      </c>
      <c r="R616">
        <v>14.199999999999989</v>
      </c>
      <c r="S616">
        <f>Tableau1[[#This Row],[Final_time]]-SUM(Tableau1[[#This Row],[0_100m]:[1300_1400m]])</f>
        <v>14.879999999999995</v>
      </c>
      <c r="T616">
        <v>215.48</v>
      </c>
      <c r="U616">
        <f t="shared" si="18"/>
        <v>215.48</v>
      </c>
      <c r="V616">
        <f t="shared" si="19"/>
        <v>0</v>
      </c>
      <c r="W616" s="12"/>
      <c r="X616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6" t="s">
        <v>401</v>
      </c>
      <c r="Z616" s="2" t="s">
        <v>43</v>
      </c>
      <c r="AA616" s="2"/>
      <c r="AB616" s="2" t="s">
        <v>65</v>
      </c>
      <c r="AC616" s="2">
        <v>44718</v>
      </c>
      <c r="AD616">
        <v>2022</v>
      </c>
      <c r="AE616" s="3">
        <v>22</v>
      </c>
      <c r="AF616" s="5">
        <v>0.75</v>
      </c>
      <c r="AG616" s="3" t="s">
        <v>71</v>
      </c>
    </row>
    <row r="617" spans="1:34" hidden="1" x14ac:dyDescent="0.35">
      <c r="A617" t="str">
        <f>_xlfn.CONCAT(Tableau1[[#This Row],[Athletes]],"_",Tableau1[[#This Row],[Nationality]],"_",Tableau1[[#This Row],[Competition_year]])</f>
        <v>Elhassane MOUJAHID_MAR_2022</v>
      </c>
      <c r="B617" t="s">
        <v>264</v>
      </c>
      <c r="C617" t="s">
        <v>16</v>
      </c>
      <c r="D617" t="s">
        <v>75</v>
      </c>
      <c r="E617">
        <v>15.1</v>
      </c>
      <c r="F617">
        <v>14.200000000000001</v>
      </c>
      <c r="G617">
        <v>13.999999999999996</v>
      </c>
      <c r="H617">
        <v>14.100000000000001</v>
      </c>
      <c r="I617">
        <v>14.100000000000001</v>
      </c>
      <c r="J617">
        <v>14.599999999999994</v>
      </c>
      <c r="K617">
        <v>14.400000000000006</v>
      </c>
      <c r="L617">
        <v>14.400000000000006</v>
      </c>
      <c r="M617">
        <v>14.299999999999983</v>
      </c>
      <c r="N617">
        <v>14.600000000000023</v>
      </c>
      <c r="O617">
        <v>14.199999999999989</v>
      </c>
      <c r="P617">
        <v>14.300000000000011</v>
      </c>
      <c r="Q617">
        <v>13.899999999999977</v>
      </c>
      <c r="R617">
        <v>14.200000000000017</v>
      </c>
      <c r="S617">
        <f>Tableau1[[#This Row],[Final_time]]-SUM(Tableau1[[#This Row],[0_100m]:[1300_1400m]])</f>
        <v>15.569999999999993</v>
      </c>
      <c r="T617">
        <v>215.97</v>
      </c>
      <c r="U617">
        <f t="shared" si="18"/>
        <v>215.97</v>
      </c>
      <c r="V617">
        <f t="shared" si="19"/>
        <v>0</v>
      </c>
      <c r="W617" s="12"/>
      <c r="X617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7" t="s">
        <v>401</v>
      </c>
      <c r="Z617" s="2" t="s">
        <v>43</v>
      </c>
      <c r="AA617" s="2"/>
      <c r="AB617" s="2" t="s">
        <v>65</v>
      </c>
      <c r="AC617" s="2">
        <v>44718</v>
      </c>
      <c r="AD617">
        <v>2022</v>
      </c>
      <c r="AE617" s="3">
        <v>22</v>
      </c>
      <c r="AF617" s="5">
        <v>0.75</v>
      </c>
      <c r="AG617" s="3" t="s">
        <v>71</v>
      </c>
    </row>
    <row r="618" spans="1:34" hidden="1" x14ac:dyDescent="0.35">
      <c r="A618" t="str">
        <f>_xlfn.CONCAT(Tableau1[[#This Row],[Athletes]],"_",Tableau1[[#This Row],[Nationality]],"_",Tableau1[[#This Row],[Competition_year]])</f>
        <v>Baptiste MISCHLER_FRA_2022</v>
      </c>
      <c r="B618" t="s">
        <v>346</v>
      </c>
      <c r="C618" t="s">
        <v>16</v>
      </c>
      <c r="D618" t="s">
        <v>18</v>
      </c>
      <c r="E618">
        <v>15.2</v>
      </c>
      <c r="F618">
        <v>14.400000000000002</v>
      </c>
      <c r="G618">
        <v>14</v>
      </c>
      <c r="H618">
        <v>13.899999999999999</v>
      </c>
      <c r="I618">
        <v>14.299999999999997</v>
      </c>
      <c r="J618">
        <v>14.600000000000009</v>
      </c>
      <c r="K618">
        <v>14.599999999999994</v>
      </c>
      <c r="L618">
        <v>14.5</v>
      </c>
      <c r="M618">
        <v>14.400000000000006</v>
      </c>
      <c r="N618">
        <v>14.5</v>
      </c>
      <c r="O618">
        <v>14.5</v>
      </c>
      <c r="P618">
        <v>14.199999999999989</v>
      </c>
      <c r="Q618">
        <v>13.900000000000006</v>
      </c>
      <c r="R618">
        <v>14.199999999999989</v>
      </c>
      <c r="S618">
        <f>Tableau1[[#This Row],[Final_time]]-SUM(Tableau1[[#This Row],[0_100m]:[1300_1400m]])</f>
        <v>14.910000000000025</v>
      </c>
      <c r="T618">
        <v>216.11</v>
      </c>
      <c r="U618">
        <f t="shared" si="18"/>
        <v>216.11</v>
      </c>
      <c r="V618">
        <f t="shared" si="19"/>
        <v>0</v>
      </c>
      <c r="W618" s="12"/>
      <c r="X618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8" t="s">
        <v>401</v>
      </c>
      <c r="Z618" s="2" t="s">
        <v>43</v>
      </c>
      <c r="AA618" s="2"/>
      <c r="AB618" s="2" t="s">
        <v>65</v>
      </c>
      <c r="AC618" s="2">
        <v>44718</v>
      </c>
      <c r="AD618">
        <v>2022</v>
      </c>
      <c r="AE618" s="3">
        <v>22</v>
      </c>
      <c r="AF618" s="5">
        <v>0.75</v>
      </c>
      <c r="AG618" s="3" t="s">
        <v>71</v>
      </c>
    </row>
    <row r="619" spans="1:34" hidden="1" x14ac:dyDescent="0.35">
      <c r="A619" t="str">
        <f>_xlfn.CONCAT(Tableau1[[#This Row],[Athletes]],"_",Tableau1[[#This Row],[Nationality]],"_",Tableau1[[#This Row],[Competition_year]])</f>
        <v>William PAULSON_CAN_2022</v>
      </c>
      <c r="B619" t="s">
        <v>261</v>
      </c>
      <c r="C619" t="s">
        <v>16</v>
      </c>
      <c r="D619" t="s">
        <v>55</v>
      </c>
      <c r="E619">
        <v>15</v>
      </c>
      <c r="F619">
        <v>14.100000000000001</v>
      </c>
      <c r="G619">
        <v>13.699999999999996</v>
      </c>
      <c r="H619">
        <v>13.900000000000006</v>
      </c>
      <c r="I619">
        <v>14.099999999999994</v>
      </c>
      <c r="J619">
        <v>14.600000000000009</v>
      </c>
      <c r="K619">
        <v>14.599999999999994</v>
      </c>
      <c r="L619">
        <v>14.299999999999997</v>
      </c>
      <c r="M619">
        <v>14.500000000000014</v>
      </c>
      <c r="N619">
        <v>14.599999999999994</v>
      </c>
      <c r="O619">
        <v>14.400000000000006</v>
      </c>
      <c r="P619">
        <v>14.699999999999989</v>
      </c>
      <c r="Q619">
        <v>14.900000000000006</v>
      </c>
      <c r="R619">
        <v>15.099999999999994</v>
      </c>
      <c r="S619">
        <f>Tableau1[[#This Row],[Final_time]]-SUM(Tableau1[[#This Row],[0_100m]:[1300_1400m]])</f>
        <v>15.72999999999999</v>
      </c>
      <c r="T619">
        <v>218.23</v>
      </c>
      <c r="U619">
        <f t="shared" si="18"/>
        <v>218.23</v>
      </c>
      <c r="V619">
        <f t="shared" si="19"/>
        <v>0</v>
      </c>
      <c r="W619" s="12"/>
      <c r="X619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19" t="s">
        <v>401</v>
      </c>
      <c r="Z619" s="2" t="s">
        <v>43</v>
      </c>
      <c r="AA619" s="2"/>
      <c r="AB619" s="2" t="s">
        <v>65</v>
      </c>
      <c r="AC619" s="2">
        <v>44718</v>
      </c>
      <c r="AD619">
        <v>2022</v>
      </c>
      <c r="AE619" s="3">
        <v>22</v>
      </c>
      <c r="AF619" s="5">
        <v>0.75</v>
      </c>
      <c r="AG619" s="3" t="s">
        <v>71</v>
      </c>
    </row>
    <row r="620" spans="1:34" hidden="1" x14ac:dyDescent="0.35">
      <c r="A620" t="str">
        <f>_xlfn.CONCAT(Tableau1[[#This Row],[Athletes]],"_",Tableau1[[#This Row],[Nationality]],"_",Tableau1[[#This Row],[Competition_year]])</f>
        <v>Jimmy GRESSIER_FRA_2022</v>
      </c>
      <c r="B620" t="s">
        <v>403</v>
      </c>
      <c r="C620" t="s">
        <v>16</v>
      </c>
      <c r="D620" t="s">
        <v>18</v>
      </c>
      <c r="E620">
        <v>16.5</v>
      </c>
      <c r="F620">
        <v>13.5</v>
      </c>
      <c r="G620">
        <v>14</v>
      </c>
      <c r="H620">
        <v>14.100000000000001</v>
      </c>
      <c r="I620">
        <v>14.100000000000001</v>
      </c>
      <c r="J620">
        <v>14.5</v>
      </c>
      <c r="K620">
        <v>14.5</v>
      </c>
      <c r="L620">
        <v>14.599999999999994</v>
      </c>
      <c r="M620">
        <v>14.399999999999991</v>
      </c>
      <c r="N620">
        <v>14.700000000000017</v>
      </c>
      <c r="O620">
        <v>14.799999999999983</v>
      </c>
      <c r="P620">
        <v>14.900000000000006</v>
      </c>
      <c r="Q620">
        <v>15.099999999999994</v>
      </c>
      <c r="R620">
        <v>15.200000000000017</v>
      </c>
      <c r="S620">
        <f>Tableau1[[#This Row],[Final_time]]-SUM(Tableau1[[#This Row],[0_100m]:[1300_1400m]])</f>
        <v>14.569999999999993</v>
      </c>
      <c r="T620">
        <v>219.47</v>
      </c>
      <c r="U620">
        <f t="shared" si="18"/>
        <v>219.47</v>
      </c>
      <c r="V620">
        <f t="shared" si="19"/>
        <v>0</v>
      </c>
      <c r="W620" s="12"/>
      <c r="X620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20" t="s">
        <v>401</v>
      </c>
      <c r="Z620" s="2" t="s">
        <v>43</v>
      </c>
      <c r="AA620" s="2"/>
      <c r="AB620" s="2" t="s">
        <v>65</v>
      </c>
      <c r="AC620" s="2">
        <v>44718</v>
      </c>
      <c r="AD620">
        <v>2022</v>
      </c>
      <c r="AE620" s="3">
        <v>22</v>
      </c>
      <c r="AF620" s="5">
        <v>0.75</v>
      </c>
      <c r="AG620" s="3" t="s">
        <v>71</v>
      </c>
    </row>
    <row r="621" spans="1:34" hidden="1" x14ac:dyDescent="0.35">
      <c r="A621" t="str">
        <f>_xlfn.CONCAT(Tableau1[[#This Row],[Athletes]],"_",Tableau1[[#This Row],[Nationality]],"_",Tableau1[[#This Row],[Competition_year]])</f>
        <v>Hafid RIZQY_MAR_2022</v>
      </c>
      <c r="B621" t="s">
        <v>404</v>
      </c>
      <c r="C621" t="s">
        <v>16</v>
      </c>
      <c r="D621" t="s">
        <v>75</v>
      </c>
      <c r="E621">
        <v>15.2</v>
      </c>
      <c r="F621">
        <v>14.3</v>
      </c>
      <c r="G621">
        <v>14.100000000000001</v>
      </c>
      <c r="H621">
        <v>14</v>
      </c>
      <c r="I621">
        <v>14.300000000000004</v>
      </c>
      <c r="J621">
        <v>14.599999999999994</v>
      </c>
      <c r="K621">
        <v>14.5</v>
      </c>
      <c r="L621">
        <v>14.299999999999997</v>
      </c>
      <c r="M621">
        <v>14.399999999999991</v>
      </c>
      <c r="N621">
        <v>14.600000000000023</v>
      </c>
      <c r="O621">
        <v>14.399999999999977</v>
      </c>
      <c r="P621">
        <v>14.800000000000011</v>
      </c>
      <c r="Q621">
        <v>15.199999999999989</v>
      </c>
      <c r="R621">
        <v>15.700000000000017</v>
      </c>
      <c r="S621">
        <f>Tableau1[[#This Row],[Final_time]]-SUM(Tableau1[[#This Row],[0_100m]:[1300_1400m]])</f>
        <v>15.75</v>
      </c>
      <c r="T621">
        <v>220.15</v>
      </c>
      <c r="U621">
        <f t="shared" si="18"/>
        <v>220.15</v>
      </c>
      <c r="V621">
        <f t="shared" si="19"/>
        <v>0</v>
      </c>
      <c r="W621" s="12"/>
      <c r="X621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21" t="s">
        <v>401</v>
      </c>
      <c r="Z621" s="2" t="s">
        <v>43</v>
      </c>
      <c r="AA621" s="2"/>
      <c r="AB621" s="2" t="s">
        <v>65</v>
      </c>
      <c r="AC621" s="2">
        <v>44718</v>
      </c>
      <c r="AD621">
        <v>2022</v>
      </c>
      <c r="AE621" s="3">
        <v>22</v>
      </c>
      <c r="AF621" s="5">
        <v>0.75</v>
      </c>
      <c r="AG621" s="3" t="s">
        <v>71</v>
      </c>
    </row>
    <row r="622" spans="1:34" hidden="1" x14ac:dyDescent="0.35">
      <c r="A622" t="str">
        <f>_xlfn.CONCAT(Tableau1[[#This Row],[Athletes]],"_",Tableau1[[#This Row],[Nationality]],"_",Tableau1[[#This Row],[Competition_year]])</f>
        <v>Moa Abounnachat BOLLERØD_NOR_2022</v>
      </c>
      <c r="B622" t="s">
        <v>386</v>
      </c>
      <c r="C622" t="s">
        <v>16</v>
      </c>
      <c r="D622" t="s">
        <v>30</v>
      </c>
      <c r="E622">
        <v>15.5</v>
      </c>
      <c r="F622">
        <v>14.3</v>
      </c>
      <c r="G622">
        <v>13.999999999999996</v>
      </c>
      <c r="H622">
        <v>14.200000000000003</v>
      </c>
      <c r="I622">
        <v>14.200000000000003</v>
      </c>
      <c r="J622">
        <v>14.599999999999994</v>
      </c>
      <c r="K622">
        <v>14.5</v>
      </c>
      <c r="L622">
        <v>14.600000000000009</v>
      </c>
      <c r="M622">
        <v>14.5</v>
      </c>
      <c r="N622">
        <v>14.699999999999989</v>
      </c>
      <c r="O622">
        <v>14.800000000000011</v>
      </c>
      <c r="P622">
        <v>14.900000000000006</v>
      </c>
      <c r="Q622">
        <v>15.099999999999994</v>
      </c>
      <c r="R622">
        <v>15.400000000000006</v>
      </c>
      <c r="S622">
        <f>Tableau1[[#This Row],[Final_time]]-SUM(Tableau1[[#This Row],[0_100m]:[1300_1400m]])</f>
        <v>15.859999999999985</v>
      </c>
      <c r="T622">
        <v>221.16</v>
      </c>
      <c r="U622">
        <f t="shared" si="18"/>
        <v>221.16</v>
      </c>
      <c r="V622">
        <f t="shared" si="19"/>
        <v>0</v>
      </c>
      <c r="W622" s="12"/>
      <c r="X622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22" t="s">
        <v>401</v>
      </c>
      <c r="Z622" s="2" t="s">
        <v>43</v>
      </c>
      <c r="AA622" s="2"/>
      <c r="AB622" s="2" t="s">
        <v>65</v>
      </c>
      <c r="AC622" s="2">
        <v>44718</v>
      </c>
      <c r="AD622">
        <v>2022</v>
      </c>
      <c r="AE622" s="3">
        <v>22</v>
      </c>
      <c r="AF622" s="5">
        <v>0.75</v>
      </c>
      <c r="AG622" s="3" t="s">
        <v>71</v>
      </c>
    </row>
    <row r="623" spans="1:34" hidden="1" x14ac:dyDescent="0.35">
      <c r="A623" t="str">
        <f>_xlfn.CONCAT(Tableau1[[#This Row],[Athletes]],"_",Tableau1[[#This Row],[Nationality]],"_",Tableau1[[#This Row],[Competition_year]])</f>
        <v>Azeddine HABZ_FRA_2022</v>
      </c>
      <c r="B623" t="s">
        <v>218</v>
      </c>
      <c r="C623" t="s">
        <v>16</v>
      </c>
      <c r="D623" t="s">
        <v>18</v>
      </c>
      <c r="E623">
        <v>16.8</v>
      </c>
      <c r="F623">
        <v>12.899999999999999</v>
      </c>
      <c r="G623">
        <v>13.400000000000002</v>
      </c>
      <c r="H623">
        <v>13.899999999999999</v>
      </c>
      <c r="I623">
        <v>14.099999999999994</v>
      </c>
      <c r="J623">
        <v>14.700000000000003</v>
      </c>
      <c r="K623">
        <v>14.700000000000003</v>
      </c>
      <c r="L623">
        <v>14.299999999999997</v>
      </c>
      <c r="M623">
        <v>14.600000000000009</v>
      </c>
      <c r="N623">
        <v>14.599999999999994</v>
      </c>
      <c r="O623">
        <v>14.800000000000011</v>
      </c>
      <c r="P623">
        <v>15.3</v>
      </c>
      <c r="Q623">
        <v>15.5</v>
      </c>
      <c r="R623">
        <v>15.300000000000011</v>
      </c>
      <c r="S623">
        <f>Tableau1[[#This Row],[Final_time]]-SUM(Tableau1[[#This Row],[0_100m]:[1300_1400m]])</f>
        <v>16.319999999999965</v>
      </c>
      <c r="T623">
        <v>221.22</v>
      </c>
      <c r="U623">
        <f t="shared" si="18"/>
        <v>221.22</v>
      </c>
      <c r="V623">
        <f t="shared" si="19"/>
        <v>0</v>
      </c>
      <c r="W623" s="12"/>
      <c r="X623" t="str">
        <f>_xlfn.CONCAT(Tableau1[[#This Row],[Competition]],"_",Tableau1[[#This Row],[Championship_step]],"_",Tableau1[[#This Row],[Competition_date]],"_",Tableau1[[#This Row],[Gender]])</f>
        <v>Diamond League Rabat 2022__44718_Male</v>
      </c>
      <c r="Y623" t="s">
        <v>401</v>
      </c>
      <c r="Z623" s="2" t="s">
        <v>43</v>
      </c>
      <c r="AA623" s="2"/>
      <c r="AB623" s="2" t="s">
        <v>65</v>
      </c>
      <c r="AC623" s="2">
        <v>44718</v>
      </c>
      <c r="AD623">
        <v>2022</v>
      </c>
      <c r="AE623" s="3">
        <v>22</v>
      </c>
      <c r="AF623" s="5">
        <v>0.75</v>
      </c>
      <c r="AG623" s="3" t="s">
        <v>71</v>
      </c>
    </row>
    <row r="624" spans="1:34" hidden="1" x14ac:dyDescent="0.35">
      <c r="A624" t="str">
        <f>_xlfn.CONCAT(Tableau1[[#This Row],[Athletes]],"_",Tableau1[[#This Row],[Nationality]],"_",Tableau1[[#This Row],[Competition_year]])</f>
        <v>Salma ELBADRA_MAR_2023</v>
      </c>
      <c r="B624" s="7" t="s">
        <v>1217</v>
      </c>
      <c r="C624" s="7" t="s">
        <v>47</v>
      </c>
      <c r="D624" s="7" t="s">
        <v>75</v>
      </c>
      <c r="E624" s="7">
        <v>21.8</v>
      </c>
      <c r="F624" s="7">
        <v>23.2</v>
      </c>
      <c r="G624" s="7">
        <v>18.100000000000001</v>
      </c>
      <c r="H624" s="7">
        <v>19</v>
      </c>
      <c r="I624" s="7">
        <v>19.5</v>
      </c>
      <c r="J624" s="7">
        <v>18.899999999999999</v>
      </c>
      <c r="K624" s="7">
        <v>19.3</v>
      </c>
      <c r="L624" s="7">
        <v>19.3</v>
      </c>
      <c r="M624" s="7">
        <v>18.8</v>
      </c>
      <c r="N624" s="7">
        <v>17.8</v>
      </c>
      <c r="O624" s="7">
        <v>16.7</v>
      </c>
      <c r="P624" s="7">
        <v>15.6</v>
      </c>
      <c r="Q624" s="7">
        <v>15.4</v>
      </c>
      <c r="R624" s="7">
        <v>15.7</v>
      </c>
      <c r="S624">
        <f>Tableau1[[#This Row],[Final_time]]-SUM(Tableau1[[#This Row],[0_100m]:[1300_1400m]])</f>
        <v>15.049999999999955</v>
      </c>
      <c r="T624" s="7">
        <v>274.14999999999998</v>
      </c>
      <c r="U624">
        <f t="shared" si="18"/>
        <v>274.14999999999998</v>
      </c>
      <c r="V624">
        <f t="shared" si="19"/>
        <v>0</v>
      </c>
      <c r="W624" s="12"/>
      <c r="X624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24" t="s">
        <v>293</v>
      </c>
      <c r="Z624" s="2" t="s">
        <v>43</v>
      </c>
      <c r="AA624" s="2"/>
      <c r="AB624" s="2" t="s">
        <v>44</v>
      </c>
      <c r="AC624" s="2">
        <v>45074</v>
      </c>
      <c r="AD624" s="3">
        <v>2023</v>
      </c>
      <c r="AE624" s="3">
        <v>22</v>
      </c>
      <c r="AF624" s="5">
        <v>0.66</v>
      </c>
      <c r="AG624" s="3" t="s">
        <v>71</v>
      </c>
      <c r="AH624" t="s">
        <v>268</v>
      </c>
    </row>
    <row r="625" spans="1:34" hidden="1" x14ac:dyDescent="0.35">
      <c r="A625" t="str">
        <f>_xlfn.CONCAT(Tableau1[[#This Row],[Athletes]],"_",Tableau1[[#This Row],[Nationality]],"_",Tableau1[[#This Row],[Competition_year]])</f>
        <v>Saida EL-BOUZY_MAR_2023</v>
      </c>
      <c r="B625" s="7" t="s">
        <v>1212</v>
      </c>
      <c r="C625" s="7" t="s">
        <v>47</v>
      </c>
      <c r="D625" s="7" t="s">
        <v>75</v>
      </c>
      <c r="E625" s="7">
        <v>21.65</v>
      </c>
      <c r="F625" s="7">
        <v>23.25</v>
      </c>
      <c r="G625" s="7">
        <v>18.7</v>
      </c>
      <c r="H625" s="7">
        <v>19.100000000000001</v>
      </c>
      <c r="I625" s="7">
        <v>19.3</v>
      </c>
      <c r="J625" s="7">
        <v>18.8</v>
      </c>
      <c r="K625" s="7">
        <v>19.2</v>
      </c>
      <c r="L625" s="7">
        <v>19.399999999999999</v>
      </c>
      <c r="M625" s="7">
        <v>18.8</v>
      </c>
      <c r="N625" s="7">
        <v>18.3</v>
      </c>
      <c r="O625" s="7">
        <v>16.2</v>
      </c>
      <c r="P625" s="7">
        <v>15.9</v>
      </c>
      <c r="Q625" s="7">
        <v>16.100000000000001</v>
      </c>
      <c r="R625" s="7">
        <v>16</v>
      </c>
      <c r="S625">
        <f>Tableau1[[#This Row],[Final_time]]-SUM(Tableau1[[#This Row],[0_100m]:[1300_1400m]])</f>
        <v>15.810000000000002</v>
      </c>
      <c r="T625" s="7">
        <v>276.51</v>
      </c>
      <c r="U625">
        <f t="shared" si="18"/>
        <v>276.51</v>
      </c>
      <c r="V625">
        <f t="shared" si="19"/>
        <v>0</v>
      </c>
      <c r="W625" s="12"/>
      <c r="X625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25" t="s">
        <v>293</v>
      </c>
      <c r="Z625" s="2" t="s">
        <v>43</v>
      </c>
      <c r="AA625" s="2"/>
      <c r="AB625" s="2" t="s">
        <v>44</v>
      </c>
      <c r="AC625" s="2">
        <v>45074</v>
      </c>
      <c r="AD625" s="3">
        <v>2023</v>
      </c>
      <c r="AE625" s="3">
        <v>22</v>
      </c>
      <c r="AF625" s="5">
        <v>0.66</v>
      </c>
      <c r="AG625" s="3" t="s">
        <v>71</v>
      </c>
      <c r="AH625" t="s">
        <v>268</v>
      </c>
    </row>
    <row r="626" spans="1:34" hidden="1" x14ac:dyDescent="0.35">
      <c r="A626" t="str">
        <f>_xlfn.CONCAT(Tableau1[[#This Row],[Athletes]],"_",Tableau1[[#This Row],[Nationality]],"_",Tableau1[[#This Row],[Competition_year]])</f>
        <v>Hassana IBN ABDEL MATEY_MAR_2023</v>
      </c>
      <c r="B626" s="7" t="s">
        <v>947</v>
      </c>
      <c r="C626" s="7" t="s">
        <v>47</v>
      </c>
      <c r="D626" s="7" t="s">
        <v>75</v>
      </c>
      <c r="E626" s="7">
        <v>21.65</v>
      </c>
      <c r="F626" s="7">
        <v>23.25</v>
      </c>
      <c r="G626" s="7">
        <v>18.8</v>
      </c>
      <c r="H626" s="7">
        <v>18.899999999999999</v>
      </c>
      <c r="I626" s="7">
        <v>19.399999999999999</v>
      </c>
      <c r="J626" s="7">
        <v>19</v>
      </c>
      <c r="K626" s="7">
        <v>19</v>
      </c>
      <c r="L626" s="7">
        <v>19.399999999999999</v>
      </c>
      <c r="M626" s="7">
        <v>18.7</v>
      </c>
      <c r="N626" s="7">
        <v>18.100000000000001</v>
      </c>
      <c r="O626" s="7">
        <v>16.7</v>
      </c>
      <c r="P626" s="7">
        <v>16.3</v>
      </c>
      <c r="Q626" s="7">
        <v>16.100000000000001</v>
      </c>
      <c r="R626" s="7">
        <v>16.7</v>
      </c>
      <c r="S626">
        <f>Tableau1[[#This Row],[Final_time]]-SUM(Tableau1[[#This Row],[0_100m]:[1300_1400m]])</f>
        <v>16.149999999999977</v>
      </c>
      <c r="T626" s="7">
        <v>278.14999999999998</v>
      </c>
      <c r="U626">
        <f t="shared" si="18"/>
        <v>278.14999999999998</v>
      </c>
      <c r="V626">
        <f t="shared" si="19"/>
        <v>0</v>
      </c>
      <c r="W626" s="12"/>
      <c r="X626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26" t="s">
        <v>293</v>
      </c>
      <c r="Z626" s="2" t="s">
        <v>43</v>
      </c>
      <c r="AA626" s="2"/>
      <c r="AB626" s="2" t="s">
        <v>44</v>
      </c>
      <c r="AC626" s="2">
        <v>45074</v>
      </c>
      <c r="AD626" s="3">
        <v>2023</v>
      </c>
      <c r="AE626" s="3">
        <v>22</v>
      </c>
      <c r="AF626" s="5">
        <v>0.66</v>
      </c>
      <c r="AG626" s="3" t="s">
        <v>71</v>
      </c>
      <c r="AH626" t="s">
        <v>268</v>
      </c>
    </row>
    <row r="627" spans="1:34" hidden="1" x14ac:dyDescent="0.35">
      <c r="A627" t="str">
        <f>_xlfn.CONCAT(Tableau1[[#This Row],[Athletes]],"_",Tableau1[[#This Row],[Nationality]],"_",Tableau1[[#This Row],[Competition_year]])</f>
        <v>Bahiya EL ARFAOUI_MAR_2023</v>
      </c>
      <c r="B627" s="7" t="s">
        <v>782</v>
      </c>
      <c r="C627" s="7" t="s">
        <v>47</v>
      </c>
      <c r="D627" s="7" t="s">
        <v>75</v>
      </c>
      <c r="E627" s="7">
        <v>22.3</v>
      </c>
      <c r="F627" s="7">
        <v>23.4</v>
      </c>
      <c r="G627" s="7">
        <v>18.5</v>
      </c>
      <c r="H627" s="7">
        <v>18.8</v>
      </c>
      <c r="I627" s="7">
        <v>19.2</v>
      </c>
      <c r="J627" s="7">
        <v>19</v>
      </c>
      <c r="K627" s="7">
        <v>19.2</v>
      </c>
      <c r="L627" s="7">
        <v>19.2</v>
      </c>
      <c r="M627" s="7">
        <v>19</v>
      </c>
      <c r="N627" s="7">
        <v>18</v>
      </c>
      <c r="O627" s="7">
        <v>16.100000000000001</v>
      </c>
      <c r="P627" s="7">
        <v>16.3</v>
      </c>
      <c r="Q627" s="7">
        <v>16</v>
      </c>
      <c r="R627" s="7">
        <v>16.2</v>
      </c>
      <c r="S627">
        <f>Tableau1[[#This Row],[Final_time]]-SUM(Tableau1[[#This Row],[0_100m]:[1300_1400m]])</f>
        <v>16.770000000000039</v>
      </c>
      <c r="T627" s="7">
        <v>277.97000000000003</v>
      </c>
      <c r="U627">
        <f t="shared" si="18"/>
        <v>277.97000000000003</v>
      </c>
      <c r="V627">
        <f t="shared" si="19"/>
        <v>0</v>
      </c>
      <c r="W627" s="12"/>
      <c r="X627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27" t="s">
        <v>293</v>
      </c>
      <c r="Z627" s="2" t="s">
        <v>43</v>
      </c>
      <c r="AA627" s="2"/>
      <c r="AB627" s="2" t="s">
        <v>44</v>
      </c>
      <c r="AC627" s="2">
        <v>45074</v>
      </c>
      <c r="AD627" s="3">
        <v>2023</v>
      </c>
      <c r="AE627" s="3">
        <v>22</v>
      </c>
      <c r="AF627" s="5">
        <v>0.66</v>
      </c>
      <c r="AG627" s="3" t="s">
        <v>71</v>
      </c>
      <c r="AH627" t="s">
        <v>268</v>
      </c>
    </row>
    <row r="628" spans="1:34" hidden="1" x14ac:dyDescent="0.35">
      <c r="A628" t="str">
        <f>_xlfn.CONCAT(Tableau1[[#This Row],[Athletes]],"_",Tableau1[[#This Row],[Nationality]],"_",Tableau1[[#This Row],[Competition_year]])</f>
        <v>Housna IBNABDEL-MATEY_MAR_2023</v>
      </c>
      <c r="B628" s="7" t="s">
        <v>956</v>
      </c>
      <c r="C628" s="7" t="s">
        <v>47</v>
      </c>
      <c r="D628" s="7" t="s">
        <v>75</v>
      </c>
      <c r="E628" s="7">
        <v>21.85</v>
      </c>
      <c r="F628" s="7">
        <v>23.15</v>
      </c>
      <c r="G628" s="7">
        <v>18.899999999999999</v>
      </c>
      <c r="H628" s="7">
        <v>18.8</v>
      </c>
      <c r="I628" s="7">
        <v>19.3</v>
      </c>
      <c r="J628" s="7">
        <v>19.2</v>
      </c>
      <c r="K628" s="7">
        <v>18.8</v>
      </c>
      <c r="L628" s="7">
        <v>19.5</v>
      </c>
      <c r="M628" s="7">
        <v>18.8</v>
      </c>
      <c r="N628" s="7">
        <v>18.2</v>
      </c>
      <c r="O628" s="7">
        <v>16.899999999999999</v>
      </c>
      <c r="P628" s="7">
        <v>17.100000000000001</v>
      </c>
      <c r="Q628" s="7">
        <v>17.2</v>
      </c>
      <c r="R628" s="7">
        <v>17.2</v>
      </c>
      <c r="S628">
        <f>Tableau1[[#This Row],[Final_time]]-SUM(Tableau1[[#This Row],[0_100m]:[1300_1400m]])</f>
        <v>17.129999999999995</v>
      </c>
      <c r="T628" s="7">
        <v>282.02999999999997</v>
      </c>
      <c r="U628">
        <f t="shared" si="18"/>
        <v>282.02999999999997</v>
      </c>
      <c r="V628">
        <f t="shared" si="19"/>
        <v>0</v>
      </c>
      <c r="W628" s="12"/>
      <c r="X628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28" t="s">
        <v>293</v>
      </c>
      <c r="Z628" s="2" t="s">
        <v>43</v>
      </c>
      <c r="AA628" s="2"/>
      <c r="AB628" s="2" t="s">
        <v>44</v>
      </c>
      <c r="AC628" s="2">
        <v>45074</v>
      </c>
      <c r="AD628" s="3">
        <v>2023</v>
      </c>
      <c r="AE628" s="3">
        <v>22</v>
      </c>
      <c r="AF628" s="5">
        <v>0.66</v>
      </c>
      <c r="AG628" s="3" t="s">
        <v>71</v>
      </c>
      <c r="AH628" t="s">
        <v>268</v>
      </c>
    </row>
    <row r="629" spans="1:34" hidden="1" x14ac:dyDescent="0.35">
      <c r="A629" t="str">
        <f>_xlfn.CONCAT(Tableau1[[#This Row],[Athletes]],"_",Tableau1[[#This Row],[Nationality]],"_",Tableau1[[#This Row],[Competition_year]])</f>
        <v>Aatiqa BOUKRYM_MAR_2023</v>
      </c>
      <c r="B629" s="7" t="s">
        <v>286</v>
      </c>
      <c r="C629" s="7" t="s">
        <v>47</v>
      </c>
      <c r="D629" s="7" t="s">
        <v>75</v>
      </c>
      <c r="E629" s="7">
        <v>21.85</v>
      </c>
      <c r="F629" s="7">
        <v>23.45</v>
      </c>
      <c r="G629" s="7">
        <v>18.399999999999999</v>
      </c>
      <c r="H629" s="7">
        <v>18.899999999999999</v>
      </c>
      <c r="I629" s="7">
        <v>19.5</v>
      </c>
      <c r="J629" s="7">
        <v>18.899999999999999</v>
      </c>
      <c r="K629" s="7">
        <v>19.399999999999999</v>
      </c>
      <c r="L629" s="7">
        <v>19.3</v>
      </c>
      <c r="M629" s="7">
        <v>18.7</v>
      </c>
      <c r="N629" s="7">
        <v>18.5</v>
      </c>
      <c r="O629" s="7">
        <v>17.5</v>
      </c>
      <c r="P629" s="7">
        <v>18.2</v>
      </c>
      <c r="Q629" s="7">
        <v>18</v>
      </c>
      <c r="R629" s="7">
        <v>17.8</v>
      </c>
      <c r="S629">
        <f>Tableau1[[#This Row],[Final_time]]-SUM(Tableau1[[#This Row],[0_100m]:[1300_1400m]])</f>
        <v>17.32000000000005</v>
      </c>
      <c r="T629" s="7">
        <v>285.72000000000003</v>
      </c>
      <c r="U629">
        <f t="shared" si="18"/>
        <v>285.72000000000003</v>
      </c>
      <c r="V629">
        <f t="shared" si="19"/>
        <v>0</v>
      </c>
      <c r="W629" s="12"/>
      <c r="X629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29" t="s">
        <v>293</v>
      </c>
      <c r="Z629" s="2" t="s">
        <v>43</v>
      </c>
      <c r="AA629" s="2"/>
      <c r="AB629" s="2" t="s">
        <v>44</v>
      </c>
      <c r="AC629" s="2">
        <v>45074</v>
      </c>
      <c r="AD629" s="3">
        <v>2023</v>
      </c>
      <c r="AE629" s="3">
        <v>22</v>
      </c>
      <c r="AF629" s="5">
        <v>0.66</v>
      </c>
      <c r="AG629" s="3" t="s">
        <v>71</v>
      </c>
      <c r="AH629" t="s">
        <v>268</v>
      </c>
    </row>
    <row r="630" spans="1:34" hidden="1" x14ac:dyDescent="0.35">
      <c r="A630" t="str">
        <f>_xlfn.CONCAT(Tableau1[[#This Row],[Athletes]],"_",Tableau1[[#This Row],[Nationality]],"_",Tableau1[[#This Row],[Competition_year]])</f>
        <v>Hasna HSSISOU_MAR_2023</v>
      </c>
      <c r="B630" s="7" t="s">
        <v>282</v>
      </c>
      <c r="C630" s="7" t="s">
        <v>47</v>
      </c>
      <c r="D630" s="7" t="s">
        <v>75</v>
      </c>
      <c r="E630" s="7">
        <v>21.85</v>
      </c>
      <c r="F630" s="7">
        <v>23.25</v>
      </c>
      <c r="G630" s="7">
        <v>18.100000000000001</v>
      </c>
      <c r="H630" s="7">
        <v>19</v>
      </c>
      <c r="I630" s="7">
        <v>19.399999999999999</v>
      </c>
      <c r="J630" s="7">
        <v>18.899999999999999</v>
      </c>
      <c r="K630" s="7">
        <v>19.2</v>
      </c>
      <c r="L630" s="7">
        <v>19.3</v>
      </c>
      <c r="M630" s="7">
        <v>18.8</v>
      </c>
      <c r="N630" s="7">
        <v>17.899999999999999</v>
      </c>
      <c r="O630" s="7">
        <v>16.7</v>
      </c>
      <c r="P630" s="7">
        <v>15.9</v>
      </c>
      <c r="Q630" s="7">
        <v>16.100000000000001</v>
      </c>
      <c r="R630" s="7">
        <v>16.8</v>
      </c>
      <c r="S630">
        <f>Tableau1[[#This Row],[Final_time]]-SUM(Tableau1[[#This Row],[0_100m]:[1300_1400m]])</f>
        <v>17.730000000000018</v>
      </c>
      <c r="T630" s="7">
        <v>278.93</v>
      </c>
      <c r="U630">
        <f t="shared" si="18"/>
        <v>278.93</v>
      </c>
      <c r="V630">
        <f t="shared" si="19"/>
        <v>0</v>
      </c>
      <c r="W630" s="12"/>
      <c r="X630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0" t="s">
        <v>293</v>
      </c>
      <c r="Z630" s="2" t="s">
        <v>43</v>
      </c>
      <c r="AA630" s="2"/>
      <c r="AB630" s="2" t="s">
        <v>44</v>
      </c>
      <c r="AC630" s="2">
        <v>45074</v>
      </c>
      <c r="AD630" s="3">
        <v>2023</v>
      </c>
      <c r="AE630" s="3">
        <v>22</v>
      </c>
      <c r="AF630" s="5">
        <v>0.66</v>
      </c>
      <c r="AG630" s="3" t="s">
        <v>71</v>
      </c>
      <c r="AH630" t="s">
        <v>268</v>
      </c>
    </row>
    <row r="631" spans="1:34" hidden="1" x14ac:dyDescent="0.35">
      <c r="A631" t="str">
        <f>_xlfn.CONCAT(Tableau1[[#This Row],[Athletes]],"_",Tableau1[[#This Row],[Nationality]],"_",Tableau1[[#This Row],[Competition_year]])</f>
        <v>Fatima AAFIR_MAR_2023</v>
      </c>
      <c r="B631" s="7" t="s">
        <v>897</v>
      </c>
      <c r="C631" s="7" t="s">
        <v>47</v>
      </c>
      <c r="D631" s="7" t="s">
        <v>75</v>
      </c>
      <c r="E631" s="7">
        <v>21.85</v>
      </c>
      <c r="F631" s="7">
        <v>23.45</v>
      </c>
      <c r="G631" s="7">
        <v>18.2</v>
      </c>
      <c r="H631" s="7">
        <v>19</v>
      </c>
      <c r="I631" s="7">
        <v>19.3</v>
      </c>
      <c r="J631" s="7">
        <v>18.600000000000001</v>
      </c>
      <c r="K631" s="7">
        <v>19.5</v>
      </c>
      <c r="L631" s="7">
        <v>19.3</v>
      </c>
      <c r="M631" s="7">
        <v>18.8</v>
      </c>
      <c r="N631" s="7">
        <v>17.8</v>
      </c>
      <c r="O631" s="7">
        <v>16.399999999999999</v>
      </c>
      <c r="P631" s="7">
        <v>15.5</v>
      </c>
      <c r="Q631" s="7">
        <v>15.5</v>
      </c>
      <c r="R631" s="7">
        <v>15.8</v>
      </c>
      <c r="S631">
        <f>Tableau1[[#This Row],[Final_time]]-SUM(Tableau1[[#This Row],[0_100m]:[1300_1400m]])</f>
        <v>17.819999999999936</v>
      </c>
      <c r="T631" s="7">
        <v>276.82</v>
      </c>
      <c r="U631">
        <f t="shared" si="18"/>
        <v>276.82</v>
      </c>
      <c r="V631">
        <f t="shared" si="19"/>
        <v>0</v>
      </c>
      <c r="W631" s="12"/>
      <c r="X631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1" t="s">
        <v>293</v>
      </c>
      <c r="Z631" s="2" t="s">
        <v>43</v>
      </c>
      <c r="AA631" s="2"/>
      <c r="AB631" s="2" t="s">
        <v>44</v>
      </c>
      <c r="AC631" s="2">
        <v>45074</v>
      </c>
      <c r="AD631" s="3">
        <v>2023</v>
      </c>
      <c r="AE631" s="3">
        <v>22</v>
      </c>
      <c r="AF631" s="5">
        <v>0.66</v>
      </c>
      <c r="AG631" s="3" t="s">
        <v>71</v>
      </c>
      <c r="AH631" t="s">
        <v>268</v>
      </c>
    </row>
    <row r="632" spans="1:34" hidden="1" x14ac:dyDescent="0.35">
      <c r="A632" t="str">
        <f>_xlfn.CONCAT(Tableau1[[#This Row],[Athletes]],"_",Tableau1[[#This Row],[Nationality]],"_",Tableau1[[#This Row],[Competition_year]])</f>
        <v>Karima ABBI_MAR_2023</v>
      </c>
      <c r="B632" s="7" t="s">
        <v>285</v>
      </c>
      <c r="C632" s="7" t="s">
        <v>47</v>
      </c>
      <c r="D632" s="7" t="s">
        <v>75</v>
      </c>
      <c r="E632" s="7">
        <v>21.9</v>
      </c>
      <c r="F632" s="7">
        <v>23.2</v>
      </c>
      <c r="G632" s="7">
        <v>18.7</v>
      </c>
      <c r="H632" s="7">
        <v>19</v>
      </c>
      <c r="I632" s="7">
        <v>19.3</v>
      </c>
      <c r="J632" s="7">
        <v>19.100000000000001</v>
      </c>
      <c r="K632" s="7">
        <v>19</v>
      </c>
      <c r="L632" s="7">
        <v>19.600000000000001</v>
      </c>
      <c r="M632" s="7">
        <v>18.7</v>
      </c>
      <c r="N632" s="7">
        <v>18.100000000000001</v>
      </c>
      <c r="O632" s="7">
        <v>17.7</v>
      </c>
      <c r="P632" s="7">
        <v>18.3</v>
      </c>
      <c r="Q632" s="7">
        <v>17.399999999999999</v>
      </c>
      <c r="R632" s="7">
        <v>17.600000000000001</v>
      </c>
      <c r="S632">
        <f>Tableau1[[#This Row],[Final_time]]-SUM(Tableau1[[#This Row],[0_100m]:[1300_1400m]])</f>
        <v>17.840000000000032</v>
      </c>
      <c r="T632" s="7">
        <v>285.44</v>
      </c>
      <c r="U632">
        <f t="shared" si="18"/>
        <v>285.44</v>
      </c>
      <c r="V632">
        <f t="shared" si="19"/>
        <v>0</v>
      </c>
      <c r="W632" s="12"/>
      <c r="X632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2" t="s">
        <v>293</v>
      </c>
      <c r="Z632" s="2" t="s">
        <v>43</v>
      </c>
      <c r="AA632" s="2"/>
      <c r="AB632" s="2" t="s">
        <v>44</v>
      </c>
      <c r="AC632" s="2">
        <v>45074</v>
      </c>
      <c r="AD632" s="3">
        <v>2023</v>
      </c>
      <c r="AE632" s="3">
        <v>22</v>
      </c>
      <c r="AF632" s="5">
        <v>0.66</v>
      </c>
      <c r="AG632" s="3" t="s">
        <v>71</v>
      </c>
      <c r="AH632" t="s">
        <v>268</v>
      </c>
    </row>
    <row r="633" spans="1:34" hidden="1" x14ac:dyDescent="0.35">
      <c r="A633" t="str">
        <f>_xlfn.CONCAT(Tableau1[[#This Row],[Athletes]],"_",Tableau1[[#This Row],[Nationality]],"_",Tableau1[[#This Row],[Competition_year]])</f>
        <v>Dounia SOUHAIL_MAR_2023</v>
      </c>
      <c r="B633" s="7" t="s">
        <v>283</v>
      </c>
      <c r="C633" s="7" t="s">
        <v>47</v>
      </c>
      <c r="D633" s="7" t="s">
        <v>75</v>
      </c>
      <c r="E633" s="7">
        <v>22.35</v>
      </c>
      <c r="F633" s="7">
        <v>22.95</v>
      </c>
      <c r="G633" s="7">
        <v>18.100000000000001</v>
      </c>
      <c r="H633" s="7">
        <v>19</v>
      </c>
      <c r="I633" s="7">
        <v>19.399999999999999</v>
      </c>
      <c r="J633" s="7">
        <v>18.899999999999999</v>
      </c>
      <c r="K633" s="7">
        <v>19.2</v>
      </c>
      <c r="L633" s="7">
        <v>19.399999999999999</v>
      </c>
      <c r="M633" s="7">
        <v>18.8</v>
      </c>
      <c r="N633" s="7">
        <v>17.899999999999999</v>
      </c>
      <c r="O633" s="7">
        <v>16.600000000000001</v>
      </c>
      <c r="P633" s="7">
        <v>16.3</v>
      </c>
      <c r="Q633" s="7">
        <v>16.2</v>
      </c>
      <c r="R633" s="7">
        <v>17.600000000000001</v>
      </c>
      <c r="S633">
        <f>Tableau1[[#This Row],[Final_time]]-SUM(Tableau1[[#This Row],[0_100m]:[1300_1400m]])</f>
        <v>18.409999999999968</v>
      </c>
      <c r="T633" s="7">
        <v>281.11</v>
      </c>
      <c r="U633">
        <f t="shared" si="18"/>
        <v>281.11</v>
      </c>
      <c r="V633">
        <f t="shared" si="19"/>
        <v>0</v>
      </c>
      <c r="W633" s="12"/>
      <c r="X633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3" t="s">
        <v>293</v>
      </c>
      <c r="Z633" s="2" t="s">
        <v>43</v>
      </c>
      <c r="AA633" s="2"/>
      <c r="AB633" s="2" t="s">
        <v>44</v>
      </c>
      <c r="AC633" s="2">
        <v>45074</v>
      </c>
      <c r="AD633" s="3">
        <v>2023</v>
      </c>
      <c r="AE633" s="3">
        <v>22</v>
      </c>
      <c r="AF633" s="5">
        <v>0.66</v>
      </c>
      <c r="AG633" s="3" t="s">
        <v>71</v>
      </c>
      <c r="AH633" t="s">
        <v>268</v>
      </c>
    </row>
    <row r="634" spans="1:34" hidden="1" x14ac:dyDescent="0.35">
      <c r="A634" t="str">
        <f>_xlfn.CONCAT(Tableau1[[#This Row],[Athletes]],"_",Tableau1[[#This Row],[Nationality]],"_",Tableau1[[#This Row],[Competition_year]])</f>
        <v>Rajaa NAOUI_MAR_2023</v>
      </c>
      <c r="B634" s="7" t="s">
        <v>284</v>
      </c>
      <c r="C634" s="7" t="s">
        <v>47</v>
      </c>
      <c r="D634" s="7" t="s">
        <v>75</v>
      </c>
      <c r="E634" s="7">
        <v>22.25</v>
      </c>
      <c r="F634" s="7">
        <v>23.45</v>
      </c>
      <c r="G634" s="7">
        <v>17.2</v>
      </c>
      <c r="H634" s="7">
        <v>19.100000000000001</v>
      </c>
      <c r="I634" s="7">
        <v>19.399999999999999</v>
      </c>
      <c r="J634" s="7">
        <v>18.899999999999999</v>
      </c>
      <c r="K634" s="7">
        <v>19.3</v>
      </c>
      <c r="L634" s="7">
        <v>19.3</v>
      </c>
      <c r="M634" s="7">
        <v>18.8</v>
      </c>
      <c r="N634" s="7">
        <v>17.8</v>
      </c>
      <c r="O634" s="7">
        <v>16.899999999999999</v>
      </c>
      <c r="P634" s="7">
        <v>16.8</v>
      </c>
      <c r="Q634" s="7">
        <v>17.399999999999999</v>
      </c>
      <c r="R634" s="7">
        <v>18.399999999999999</v>
      </c>
      <c r="S634">
        <f>Tableau1[[#This Row],[Final_time]]-SUM(Tableau1[[#This Row],[0_100m]:[1300_1400m]])</f>
        <v>18.42999999999995</v>
      </c>
      <c r="T634" s="7">
        <v>283.43</v>
      </c>
      <c r="U634">
        <f t="shared" si="18"/>
        <v>283.43</v>
      </c>
      <c r="V634">
        <f t="shared" si="19"/>
        <v>0</v>
      </c>
      <c r="W634" s="12"/>
      <c r="X634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4" t="s">
        <v>293</v>
      </c>
      <c r="Z634" s="2" t="s">
        <v>43</v>
      </c>
      <c r="AA634" s="2"/>
      <c r="AB634" s="2" t="s">
        <v>44</v>
      </c>
      <c r="AC634" s="2">
        <v>45074</v>
      </c>
      <c r="AD634" s="3">
        <v>2023</v>
      </c>
      <c r="AE634" s="3">
        <v>22</v>
      </c>
      <c r="AF634" s="5">
        <v>0.66</v>
      </c>
      <c r="AG634" s="3" t="s">
        <v>71</v>
      </c>
      <c r="AH634" t="s">
        <v>268</v>
      </c>
    </row>
    <row r="635" spans="1:34" hidden="1" x14ac:dyDescent="0.35">
      <c r="A635" t="str">
        <f>_xlfn.CONCAT(Tableau1[[#This Row],[Athletes]],"_",Tableau1[[#This Row],[Nationality]],"_",Tableau1[[#This Row],[Competition_year]])</f>
        <v>Sara ZOUHAIR_MAR_2023</v>
      </c>
      <c r="B635" s="7" t="s">
        <v>288</v>
      </c>
      <c r="C635" s="7" t="s">
        <v>47</v>
      </c>
      <c r="D635" s="7" t="s">
        <v>75</v>
      </c>
      <c r="E635" s="7">
        <v>22.05</v>
      </c>
      <c r="F635" s="7">
        <v>23.15</v>
      </c>
      <c r="G635" s="7">
        <v>19.100000000000001</v>
      </c>
      <c r="H635" s="7">
        <v>18.100000000000001</v>
      </c>
      <c r="I635" s="7">
        <v>19.3</v>
      </c>
      <c r="J635" s="7">
        <v>18.899999999999999</v>
      </c>
      <c r="K635" s="7">
        <v>19.2</v>
      </c>
      <c r="L635" s="7">
        <v>19.2</v>
      </c>
      <c r="M635" s="7">
        <v>18.899999999999999</v>
      </c>
      <c r="N635" s="7">
        <v>18.399999999999999</v>
      </c>
      <c r="O635" s="7">
        <v>18.399999999999999</v>
      </c>
      <c r="P635" s="7">
        <v>18.5</v>
      </c>
      <c r="Q635" s="7">
        <v>18.899999999999999</v>
      </c>
      <c r="R635" s="7">
        <v>19.100000000000001</v>
      </c>
      <c r="S635">
        <f>Tableau1[[#This Row],[Final_time]]-SUM(Tableau1[[#This Row],[0_100m]:[1300_1400m]])</f>
        <v>19.120000000000005</v>
      </c>
      <c r="T635" s="7">
        <v>290.32</v>
      </c>
      <c r="U635">
        <f t="shared" si="18"/>
        <v>290.32</v>
      </c>
      <c r="V635">
        <f t="shared" si="19"/>
        <v>0</v>
      </c>
      <c r="W635" s="12"/>
      <c r="X635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5" t="s">
        <v>293</v>
      </c>
      <c r="Z635" s="2" t="s">
        <v>43</v>
      </c>
      <c r="AA635" s="2"/>
      <c r="AB635" s="2" t="s">
        <v>44</v>
      </c>
      <c r="AC635" s="2">
        <v>45074</v>
      </c>
      <c r="AD635" s="3">
        <v>2023</v>
      </c>
      <c r="AE635" s="3">
        <v>22</v>
      </c>
      <c r="AF635" s="5">
        <v>0.66</v>
      </c>
      <c r="AG635" s="3" t="s">
        <v>71</v>
      </c>
      <c r="AH635" t="s">
        <v>268</v>
      </c>
    </row>
    <row r="636" spans="1:34" hidden="1" x14ac:dyDescent="0.35">
      <c r="A636" t="str">
        <f>_xlfn.CONCAT(Tableau1[[#This Row],[Athletes]],"_",Tableau1[[#This Row],[Nationality]],"_",Tableau1[[#This Row],[Competition_year]])</f>
        <v>Marwa BENCHRIFA_MAR_2023</v>
      </c>
      <c r="B636" s="7" t="s">
        <v>287</v>
      </c>
      <c r="C636" s="7" t="s">
        <v>47</v>
      </c>
      <c r="D636" s="7" t="s">
        <v>75</v>
      </c>
      <c r="E636" s="7">
        <v>22.2</v>
      </c>
      <c r="F636" s="7">
        <v>23.2</v>
      </c>
      <c r="G636" s="7">
        <v>18.7</v>
      </c>
      <c r="H636" s="7">
        <v>18.8</v>
      </c>
      <c r="I636" s="7">
        <v>19.3</v>
      </c>
      <c r="J636" s="7">
        <v>18.899999999999999</v>
      </c>
      <c r="K636" s="7">
        <v>19</v>
      </c>
      <c r="L636" s="7">
        <v>19.399999999999999</v>
      </c>
      <c r="M636" s="7">
        <v>18.7</v>
      </c>
      <c r="N636" s="7">
        <v>18.399999999999999</v>
      </c>
      <c r="O636" s="7">
        <v>17.600000000000001</v>
      </c>
      <c r="P636" s="7">
        <v>18.100000000000001</v>
      </c>
      <c r="Q636" s="7">
        <v>18</v>
      </c>
      <c r="R636" s="7">
        <v>19</v>
      </c>
      <c r="S636">
        <f>Tableau1[[#This Row],[Final_time]]-SUM(Tableau1[[#This Row],[0_100m]:[1300_1400m]])</f>
        <v>19.53000000000003</v>
      </c>
      <c r="T636" s="7">
        <v>288.83</v>
      </c>
      <c r="U636">
        <f t="shared" si="18"/>
        <v>288.83</v>
      </c>
      <c r="V636">
        <f t="shared" si="19"/>
        <v>0</v>
      </c>
      <c r="W636" s="12"/>
      <c r="X636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6" t="s">
        <v>293</v>
      </c>
      <c r="Z636" s="2" t="s">
        <v>43</v>
      </c>
      <c r="AA636" s="2"/>
      <c r="AB636" s="2" t="s">
        <v>44</v>
      </c>
      <c r="AC636" s="2">
        <v>45074</v>
      </c>
      <c r="AD636" s="3">
        <v>2023</v>
      </c>
      <c r="AE636" s="3">
        <v>22</v>
      </c>
      <c r="AF636" s="5">
        <v>0.66</v>
      </c>
      <c r="AG636" s="3" t="s">
        <v>71</v>
      </c>
      <c r="AH636" t="s">
        <v>268</v>
      </c>
    </row>
    <row r="637" spans="1:34" hidden="1" x14ac:dyDescent="0.35">
      <c r="A637" t="str">
        <f>_xlfn.CONCAT(Tableau1[[#This Row],[Athletes]],"_",Tableau1[[#This Row],[Nationality]],"_",Tableau1[[#This Row],[Competition_year]])</f>
        <v>Chaimae ZAHIRI_MAR_2023</v>
      </c>
      <c r="B637" s="7" t="s">
        <v>290</v>
      </c>
      <c r="C637" s="7" t="s">
        <v>47</v>
      </c>
      <c r="D637" s="7" t="s">
        <v>75</v>
      </c>
      <c r="E637" s="7">
        <v>22</v>
      </c>
      <c r="F637" s="7">
        <v>23.3</v>
      </c>
      <c r="G637" s="7">
        <v>18.7</v>
      </c>
      <c r="H637" s="7">
        <v>18.7</v>
      </c>
      <c r="I637" s="7">
        <v>19.2</v>
      </c>
      <c r="J637" s="7">
        <v>19</v>
      </c>
      <c r="K637" s="7">
        <v>19.100000000000001</v>
      </c>
      <c r="L637" s="7">
        <v>19.2</v>
      </c>
      <c r="M637" s="7">
        <v>18.899999999999999</v>
      </c>
      <c r="N637" s="7">
        <v>18.2</v>
      </c>
      <c r="O637" s="7">
        <v>18.2</v>
      </c>
      <c r="P637" s="7">
        <v>19.3</v>
      </c>
      <c r="Q637" s="7">
        <v>19.600000000000001</v>
      </c>
      <c r="R637" s="7">
        <v>20.399999999999999</v>
      </c>
      <c r="S637">
        <f>Tableau1[[#This Row],[Final_time]]-SUM(Tableau1[[#This Row],[0_100m]:[1300_1400m]])</f>
        <v>20.100000000000023</v>
      </c>
      <c r="T637" s="7">
        <v>293.89999999999998</v>
      </c>
      <c r="U637">
        <f t="shared" si="18"/>
        <v>293.89999999999998</v>
      </c>
      <c r="V637">
        <f t="shared" si="19"/>
        <v>0</v>
      </c>
      <c r="W637" s="12"/>
      <c r="X637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7" t="s">
        <v>293</v>
      </c>
      <c r="Z637" s="2" t="s">
        <v>43</v>
      </c>
      <c r="AA637" s="2"/>
      <c r="AB637" s="2" t="s">
        <v>44</v>
      </c>
      <c r="AC637" s="2">
        <v>45074</v>
      </c>
      <c r="AD637" s="3">
        <v>2023</v>
      </c>
      <c r="AE637" s="3">
        <v>22</v>
      </c>
      <c r="AF637" s="5">
        <v>0.66</v>
      </c>
      <c r="AG637" s="3" t="s">
        <v>71</v>
      </c>
      <c r="AH637" t="s">
        <v>268</v>
      </c>
    </row>
    <row r="638" spans="1:34" hidden="1" x14ac:dyDescent="0.35">
      <c r="A638" t="str">
        <f>_xlfn.CONCAT(Tableau1[[#This Row],[Athletes]],"_",Tableau1[[#This Row],[Nationality]],"_",Tableau1[[#This Row],[Competition_year]])</f>
        <v>Kaoutar MOULOUA_MAR_2023</v>
      </c>
      <c r="B638" s="7" t="s">
        <v>289</v>
      </c>
      <c r="C638" s="7" t="s">
        <v>47</v>
      </c>
      <c r="D638" s="7" t="s">
        <v>75</v>
      </c>
      <c r="E638" s="7">
        <v>21.7</v>
      </c>
      <c r="F638" s="7">
        <v>23.3</v>
      </c>
      <c r="G638" s="7">
        <v>18.8</v>
      </c>
      <c r="H638" s="7">
        <v>18.899999999999999</v>
      </c>
      <c r="I638" s="7">
        <v>19.600000000000001</v>
      </c>
      <c r="J638" s="7">
        <v>18.899999999999999</v>
      </c>
      <c r="K638" s="7">
        <v>19.2</v>
      </c>
      <c r="L638" s="7">
        <v>19</v>
      </c>
      <c r="M638" s="7">
        <v>19</v>
      </c>
      <c r="N638" s="7">
        <v>18.3</v>
      </c>
      <c r="O638" s="7">
        <v>17.7</v>
      </c>
      <c r="P638" s="7">
        <v>18.100000000000001</v>
      </c>
      <c r="Q638" s="7">
        <v>18.899999999999999</v>
      </c>
      <c r="R638" s="7">
        <v>19.899999999999999</v>
      </c>
      <c r="S638">
        <f>Tableau1[[#This Row],[Final_time]]-SUM(Tableau1[[#This Row],[0_100m]:[1300_1400m]])</f>
        <v>20.210000000000036</v>
      </c>
      <c r="T638" s="7">
        <v>291.51</v>
      </c>
      <c r="U638">
        <f t="shared" si="18"/>
        <v>291.51</v>
      </c>
      <c r="V638">
        <f t="shared" si="19"/>
        <v>0</v>
      </c>
      <c r="W638" s="12"/>
      <c r="X638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8" t="s">
        <v>293</v>
      </c>
      <c r="Z638" s="2" t="s">
        <v>43</v>
      </c>
      <c r="AA638" s="2"/>
      <c r="AB638" s="2" t="s">
        <v>44</v>
      </c>
      <c r="AC638" s="2">
        <v>45074</v>
      </c>
      <c r="AD638" s="3">
        <v>2023</v>
      </c>
      <c r="AE638" s="3">
        <v>22</v>
      </c>
      <c r="AF638" s="5">
        <v>0.66</v>
      </c>
      <c r="AG638" s="3" t="s">
        <v>71</v>
      </c>
      <c r="AH638" t="s">
        <v>268</v>
      </c>
    </row>
    <row r="639" spans="1:34" hidden="1" x14ac:dyDescent="0.35">
      <c r="A639" t="str">
        <f>_xlfn.CONCAT(Tableau1[[#This Row],[Athletes]],"_",Tableau1[[#This Row],[Nationality]],"_",Tableau1[[#This Row],[Competition_year]])</f>
        <v>Hiba GHIZLANE_MAR_2023</v>
      </c>
      <c r="B639" s="7" t="s">
        <v>291</v>
      </c>
      <c r="C639" s="7" t="s">
        <v>47</v>
      </c>
      <c r="D639" s="7" t="s">
        <v>75</v>
      </c>
      <c r="E639" s="7">
        <v>22.15</v>
      </c>
      <c r="F639" s="7">
        <v>23.35</v>
      </c>
      <c r="G639" s="7">
        <v>18.600000000000001</v>
      </c>
      <c r="H639" s="7">
        <v>18.8</v>
      </c>
      <c r="I639" s="7">
        <v>19.399999999999999</v>
      </c>
      <c r="J639" s="7">
        <v>19.100000000000001</v>
      </c>
      <c r="K639" s="7">
        <v>19.100000000000001</v>
      </c>
      <c r="L639" s="7">
        <v>19.2</v>
      </c>
      <c r="M639" s="7">
        <v>19</v>
      </c>
      <c r="N639" s="7">
        <v>18.7</v>
      </c>
      <c r="O639" s="7">
        <v>18.2</v>
      </c>
      <c r="P639" s="7">
        <v>18.600000000000001</v>
      </c>
      <c r="Q639" s="7">
        <v>19.3</v>
      </c>
      <c r="R639" s="7">
        <v>20.9</v>
      </c>
      <c r="S639">
        <f>Tableau1[[#This Row],[Final_time]]-SUM(Tableau1[[#This Row],[0_100m]:[1300_1400m]])</f>
        <v>20.650000000000091</v>
      </c>
      <c r="T639" s="7">
        <v>295.05</v>
      </c>
      <c r="U639">
        <f t="shared" si="18"/>
        <v>295.05</v>
      </c>
      <c r="V639">
        <f t="shared" si="19"/>
        <v>0</v>
      </c>
      <c r="W639" s="12"/>
      <c r="X639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39" t="s">
        <v>293</v>
      </c>
      <c r="Z639" s="2" t="s">
        <v>43</v>
      </c>
      <c r="AA639" s="2"/>
      <c r="AB639" s="2" t="s">
        <v>44</v>
      </c>
      <c r="AC639" s="2">
        <v>45074</v>
      </c>
      <c r="AD639" s="3">
        <v>2023</v>
      </c>
      <c r="AE639" s="3">
        <v>22</v>
      </c>
      <c r="AF639" s="5">
        <v>0.66</v>
      </c>
      <c r="AG639" s="3" t="s">
        <v>71</v>
      </c>
      <c r="AH639" t="s">
        <v>268</v>
      </c>
    </row>
    <row r="640" spans="1:34" hidden="1" x14ac:dyDescent="0.35">
      <c r="A640" t="str">
        <f>_xlfn.CONCAT(Tableau1[[#This Row],[Athletes]],"_",Tableau1[[#This Row],[Nationality]],"_",Tableau1[[#This Row],[Competition_year]])</f>
        <v>Aya DIMOKRATI_MAR_2023</v>
      </c>
      <c r="B640" s="7" t="s">
        <v>292</v>
      </c>
      <c r="C640" s="7" t="s">
        <v>47</v>
      </c>
      <c r="D640" s="7" t="s">
        <v>75</v>
      </c>
      <c r="E640" s="7">
        <v>22.1</v>
      </c>
      <c r="F640" s="7">
        <v>23.2</v>
      </c>
      <c r="G640" s="7">
        <v>18</v>
      </c>
      <c r="H640" s="7">
        <v>19</v>
      </c>
      <c r="I640" s="7">
        <v>19.3</v>
      </c>
      <c r="J640" s="7">
        <v>19.399999999999999</v>
      </c>
      <c r="K640" s="7">
        <v>19.2</v>
      </c>
      <c r="L640" s="7">
        <v>19.3</v>
      </c>
      <c r="M640" s="7">
        <v>19</v>
      </c>
      <c r="N640" s="7">
        <v>18.7</v>
      </c>
      <c r="O640" s="7">
        <v>18.7</v>
      </c>
      <c r="P640" s="7">
        <v>20.9</v>
      </c>
      <c r="Q640" s="7">
        <v>22.9</v>
      </c>
      <c r="R640" s="7">
        <v>22</v>
      </c>
      <c r="S640">
        <f>Tableau1[[#This Row],[Final_time]]-SUM(Tableau1[[#This Row],[0_100m]:[1300_1400m]])</f>
        <v>22.379999999999995</v>
      </c>
      <c r="T640" s="7">
        <v>304.08</v>
      </c>
      <c r="U640">
        <f t="shared" si="18"/>
        <v>304.08</v>
      </c>
      <c r="V640">
        <f t="shared" si="19"/>
        <v>0</v>
      </c>
      <c r="W640" s="12"/>
      <c r="X640" t="str">
        <f>_xlfn.CONCAT(Tableau1[[#This Row],[Competition]],"_",Tableau1[[#This Row],[Championship_step]],"_",Tableau1[[#This Row],[Competition_date]],"_",Tableau1[[#This Row],[Gender]])</f>
        <v>Diamond League Rabat 2023 - B race__45074_Female</v>
      </c>
      <c r="Y640" t="s">
        <v>293</v>
      </c>
      <c r="Z640" s="2" t="s">
        <v>43</v>
      </c>
      <c r="AA640" s="2"/>
      <c r="AB640" s="2" t="s">
        <v>44</v>
      </c>
      <c r="AC640" s="2">
        <v>45074</v>
      </c>
      <c r="AD640" s="3">
        <v>2023</v>
      </c>
      <c r="AE640" s="3">
        <v>22</v>
      </c>
      <c r="AF640" s="5">
        <v>0.66</v>
      </c>
      <c r="AG640" s="3" t="s">
        <v>71</v>
      </c>
      <c r="AH640" t="s">
        <v>268</v>
      </c>
    </row>
    <row r="641" spans="1:34" hidden="1" x14ac:dyDescent="0.35">
      <c r="A641" t="str">
        <f>_xlfn.CONCAT(Tableau1[[#This Row],[Athletes]],"_",Tableau1[[#This Row],[Nationality]],"_",Tableau1[[#This Row],[Competition_year]])</f>
        <v>Freweyni HAILU_ETH_2023</v>
      </c>
      <c r="B641" t="s">
        <v>144</v>
      </c>
      <c r="C641" t="s">
        <v>47</v>
      </c>
      <c r="D641" t="s">
        <v>48</v>
      </c>
      <c r="E641">
        <v>15.2</v>
      </c>
      <c r="F641">
        <v>16</v>
      </c>
      <c r="G641">
        <v>14.9</v>
      </c>
      <c r="H641">
        <v>15.9</v>
      </c>
      <c r="I641">
        <v>16.100000000000001</v>
      </c>
      <c r="J641">
        <v>16</v>
      </c>
      <c r="K641">
        <v>16.600000000000001</v>
      </c>
      <c r="L641">
        <v>17</v>
      </c>
      <c r="M641">
        <v>16.8</v>
      </c>
      <c r="N641">
        <v>16.600000000000001</v>
      </c>
      <c r="O641">
        <v>16.2</v>
      </c>
      <c r="P641">
        <v>16</v>
      </c>
      <c r="Q641">
        <v>15.3</v>
      </c>
      <c r="R641">
        <v>14.9</v>
      </c>
      <c r="S641">
        <f>Tableau1[[#This Row],[Final_time]]-SUM(Tableau1[[#This Row],[0_100m]:[1300_1400m]])</f>
        <v>14.150000000000006</v>
      </c>
      <c r="T641">
        <v>237.65</v>
      </c>
      <c r="U641">
        <f t="shared" si="18"/>
        <v>237.65</v>
      </c>
      <c r="V641">
        <f t="shared" si="19"/>
        <v>0</v>
      </c>
      <c r="W641" s="12"/>
      <c r="X641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1" t="s">
        <v>295</v>
      </c>
      <c r="Z641" s="2" t="s">
        <v>43</v>
      </c>
      <c r="AA641" s="2"/>
      <c r="AB641" s="2" t="s">
        <v>65</v>
      </c>
      <c r="AC641" s="2">
        <v>45074</v>
      </c>
      <c r="AD641" s="3">
        <v>2023</v>
      </c>
      <c r="AE641" s="3">
        <v>22</v>
      </c>
      <c r="AF641" s="5">
        <v>0.66</v>
      </c>
      <c r="AG641" s="3" t="s">
        <v>71</v>
      </c>
      <c r="AH641" t="s">
        <v>268</v>
      </c>
    </row>
    <row r="642" spans="1:34" hidden="1" x14ac:dyDescent="0.35">
      <c r="A642" t="str">
        <f>_xlfn.CONCAT(Tableau1[[#This Row],[Athletes]],"_",Tableau1[[#This Row],[Nationality]],"_",Tableau1[[#This Row],[Competition_year]])</f>
        <v>Worknesh MESELE_ETH_2023</v>
      </c>
      <c r="B642" t="s">
        <v>294</v>
      </c>
      <c r="C642" t="s">
        <v>47</v>
      </c>
      <c r="D642" t="s">
        <v>48</v>
      </c>
      <c r="E642">
        <v>15.8</v>
      </c>
      <c r="F642">
        <v>16.400000000000002</v>
      </c>
      <c r="G642">
        <v>16.299999999999997</v>
      </c>
      <c r="H642">
        <v>15.900000000000006</v>
      </c>
      <c r="I642">
        <v>15.799999999999997</v>
      </c>
      <c r="J642">
        <v>15.899999999999991</v>
      </c>
      <c r="K642">
        <v>16.3</v>
      </c>
      <c r="L642">
        <v>16.600000000000001</v>
      </c>
      <c r="M642">
        <v>16.600000000000023</v>
      </c>
      <c r="N642">
        <v>16.599999999999994</v>
      </c>
      <c r="O642">
        <v>16.7</v>
      </c>
      <c r="P642">
        <v>16.8</v>
      </c>
      <c r="Q642">
        <v>15.5</v>
      </c>
      <c r="R642">
        <v>15.6</v>
      </c>
      <c r="S642">
        <f>Tableau1[[#This Row],[Final_time]]-SUM(Tableau1[[#This Row],[0_100m]:[1300_1400m]])</f>
        <v>15.009999999999991</v>
      </c>
      <c r="T642">
        <v>241.81</v>
      </c>
      <c r="U642">
        <f t="shared" ref="U642:U705" si="20">SUM(E642:S642)</f>
        <v>241.81</v>
      </c>
      <c r="V642">
        <f t="shared" ref="V642:V705" si="21">ABS(U642-T642)</f>
        <v>0</v>
      </c>
      <c r="W642" s="12"/>
      <c r="X642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2" t="s">
        <v>295</v>
      </c>
      <c r="Z642" s="2" t="s">
        <v>43</v>
      </c>
      <c r="AA642" s="2"/>
      <c r="AB642" s="2" t="s">
        <v>65</v>
      </c>
      <c r="AC642" s="2">
        <v>45074</v>
      </c>
      <c r="AD642" s="3">
        <v>2023</v>
      </c>
      <c r="AE642" s="3">
        <v>22</v>
      </c>
      <c r="AF642" s="5">
        <v>0.66</v>
      </c>
      <c r="AG642" s="3" t="s">
        <v>71</v>
      </c>
      <c r="AH642" t="s">
        <v>268</v>
      </c>
    </row>
    <row r="643" spans="1:34" hidden="1" x14ac:dyDescent="0.35">
      <c r="A643" t="str">
        <f>_xlfn.CONCAT(Tableau1[[#This Row],[Athletes]],"_",Tableau1[[#This Row],[Nationality]],"_",Tableau1[[#This Row],[Competition_year]])</f>
        <v>Sarah HEALY_IRL_2023</v>
      </c>
      <c r="B643" t="s">
        <v>166</v>
      </c>
      <c r="C643" t="s">
        <v>47</v>
      </c>
      <c r="D643" t="s">
        <v>35</v>
      </c>
      <c r="E643">
        <v>15.85</v>
      </c>
      <c r="F643">
        <v>16.350000000000001</v>
      </c>
      <c r="G643">
        <v>16.299999999999997</v>
      </c>
      <c r="H643">
        <v>16.599999999999994</v>
      </c>
      <c r="I643">
        <v>16.5</v>
      </c>
      <c r="J643">
        <v>16.7</v>
      </c>
      <c r="K643">
        <v>16.600000000000001</v>
      </c>
      <c r="L643">
        <v>16.8</v>
      </c>
      <c r="M643">
        <v>16.8</v>
      </c>
      <c r="N643">
        <v>16.800000000000011</v>
      </c>
      <c r="O643">
        <v>16.100000000000001</v>
      </c>
      <c r="P643">
        <v>15.8</v>
      </c>
      <c r="Q643">
        <v>15.6</v>
      </c>
      <c r="R643">
        <v>15.4</v>
      </c>
      <c r="S643">
        <f>Tableau1[[#This Row],[Final_time]]-SUM(Tableau1[[#This Row],[0_100m]:[1300_1400m]])</f>
        <v>15.369999999999948</v>
      </c>
      <c r="T643">
        <v>243.57</v>
      </c>
      <c r="U643">
        <f t="shared" si="20"/>
        <v>243.57</v>
      </c>
      <c r="V643">
        <f t="shared" si="21"/>
        <v>0</v>
      </c>
      <c r="W643" s="12"/>
      <c r="X643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3" t="s">
        <v>295</v>
      </c>
      <c r="Z643" s="2" t="s">
        <v>43</v>
      </c>
      <c r="AA643" s="2"/>
      <c r="AB643" s="2" t="s">
        <v>65</v>
      </c>
      <c r="AC643" s="2">
        <v>45074</v>
      </c>
      <c r="AD643" s="3">
        <v>2023</v>
      </c>
      <c r="AE643" s="3">
        <v>22</v>
      </c>
      <c r="AF643" s="5">
        <v>0.66</v>
      </c>
      <c r="AG643" s="3" t="s">
        <v>71</v>
      </c>
      <c r="AH643" t="s">
        <v>268</v>
      </c>
    </row>
    <row r="644" spans="1:34" hidden="1" x14ac:dyDescent="0.35">
      <c r="A644" t="str">
        <f>_xlfn.CONCAT(Tableau1[[#This Row],[Athletes]],"_",Tableau1[[#This Row],[Nationality]],"_",Tableau1[[#This Row],[Competition_year]])</f>
        <v>Ludovica CAVALLI_ITA_2023</v>
      </c>
      <c r="B644" t="s">
        <v>182</v>
      </c>
      <c r="C644" t="s">
        <v>47</v>
      </c>
      <c r="D644" t="s">
        <v>19</v>
      </c>
      <c r="E644">
        <v>16</v>
      </c>
      <c r="F644">
        <v>16.299999999999997</v>
      </c>
      <c r="G644">
        <v>16.300000000000004</v>
      </c>
      <c r="H644">
        <v>16.100000000000001</v>
      </c>
      <c r="I644">
        <v>16.5</v>
      </c>
      <c r="J644">
        <v>17</v>
      </c>
      <c r="K644">
        <v>16.8</v>
      </c>
      <c r="L644">
        <v>16.899999999999999</v>
      </c>
      <c r="M644">
        <v>16.5</v>
      </c>
      <c r="N644">
        <v>16.899999999999999</v>
      </c>
      <c r="O644">
        <v>16.2</v>
      </c>
      <c r="P644">
        <v>15.9</v>
      </c>
      <c r="Q644">
        <v>15.9</v>
      </c>
      <c r="R644">
        <v>15.8</v>
      </c>
      <c r="S644">
        <f>Tableau1[[#This Row],[Final_time]]-SUM(Tableau1[[#This Row],[0_100m]:[1300_1400m]])</f>
        <v>15.71999999999997</v>
      </c>
      <c r="T644">
        <v>244.82</v>
      </c>
      <c r="U644">
        <f t="shared" si="20"/>
        <v>244.82</v>
      </c>
      <c r="V644">
        <f t="shared" si="21"/>
        <v>0</v>
      </c>
      <c r="W644" s="12"/>
      <c r="X644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4" t="s">
        <v>295</v>
      </c>
      <c r="Z644" s="2" t="s">
        <v>43</v>
      </c>
      <c r="AA644" s="2"/>
      <c r="AB644" s="2" t="s">
        <v>65</v>
      </c>
      <c r="AC644" s="2">
        <v>45074</v>
      </c>
      <c r="AD644" s="3">
        <v>2023</v>
      </c>
      <c r="AE644" s="3">
        <v>22</v>
      </c>
      <c r="AF644" s="5">
        <v>0.66</v>
      </c>
      <c r="AG644" s="3" t="s">
        <v>71</v>
      </c>
      <c r="AH644" t="s">
        <v>268</v>
      </c>
    </row>
    <row r="645" spans="1:34" hidden="1" x14ac:dyDescent="0.35">
      <c r="A645" t="str">
        <f>_xlfn.CONCAT(Tableau1[[#This Row],[Athletes]],"_",Tableau1[[#This Row],[Nationality]],"_",Tableau1[[#This Row],[Competition_year]])</f>
        <v>Linden HALL_AUS_2023</v>
      </c>
      <c r="B645" t="s">
        <v>184</v>
      </c>
      <c r="C645" t="s">
        <v>47</v>
      </c>
      <c r="D645" t="s">
        <v>21</v>
      </c>
      <c r="E645">
        <v>15.5</v>
      </c>
      <c r="F645">
        <v>16.2</v>
      </c>
      <c r="G645">
        <v>15.8</v>
      </c>
      <c r="H645">
        <v>16.299999999999997</v>
      </c>
      <c r="I645">
        <v>16.600000000000009</v>
      </c>
      <c r="J645">
        <v>16.299999999999997</v>
      </c>
      <c r="K645">
        <v>16.100000000000001</v>
      </c>
      <c r="L645">
        <v>16.899999999999999</v>
      </c>
      <c r="M645">
        <v>16.7</v>
      </c>
      <c r="N645">
        <v>16.5</v>
      </c>
      <c r="O645">
        <v>16.100000000000001</v>
      </c>
      <c r="P645">
        <v>16.3</v>
      </c>
      <c r="Q645">
        <v>16.399999999999999</v>
      </c>
      <c r="R645">
        <v>15.9</v>
      </c>
      <c r="S645">
        <f>Tableau1[[#This Row],[Final_time]]-SUM(Tableau1[[#This Row],[0_100m]:[1300_1400m]])</f>
        <v>15.95999999999998</v>
      </c>
      <c r="T645">
        <v>243.56</v>
      </c>
      <c r="U645">
        <f t="shared" si="20"/>
        <v>243.56</v>
      </c>
      <c r="V645">
        <f t="shared" si="21"/>
        <v>0</v>
      </c>
      <c r="W645" s="12"/>
      <c r="X645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5" t="s">
        <v>295</v>
      </c>
      <c r="Z645" s="2" t="s">
        <v>43</v>
      </c>
      <c r="AA645" s="2"/>
      <c r="AB645" s="2" t="s">
        <v>65</v>
      </c>
      <c r="AC645" s="2">
        <v>45074</v>
      </c>
      <c r="AD645" s="3">
        <v>2023</v>
      </c>
      <c r="AE645" s="3">
        <v>22</v>
      </c>
      <c r="AF645" s="5">
        <v>0.66</v>
      </c>
      <c r="AG645" s="3" t="s">
        <v>71</v>
      </c>
      <c r="AH645" t="s">
        <v>268</v>
      </c>
    </row>
    <row r="646" spans="1:34" hidden="1" x14ac:dyDescent="0.35">
      <c r="A646" t="str">
        <f>_xlfn.CONCAT(Tableau1[[#This Row],[Athletes]],"_",Tableau1[[#This Row],[Nationality]],"_",Tableau1[[#This Row],[Competition_year]])</f>
        <v>Gudaf TSEGAY_ETH_2023</v>
      </c>
      <c r="B646" t="s">
        <v>138</v>
      </c>
      <c r="C646" t="s">
        <v>47</v>
      </c>
      <c r="D646" t="s">
        <v>48</v>
      </c>
      <c r="E646">
        <v>14.8</v>
      </c>
      <c r="F646">
        <v>15.899999999999999</v>
      </c>
      <c r="G646">
        <v>14.8</v>
      </c>
      <c r="H646">
        <v>15.799999999999997</v>
      </c>
      <c r="I646">
        <v>16.100000000000009</v>
      </c>
      <c r="J646">
        <v>15.299999999999997</v>
      </c>
      <c r="K646">
        <v>15.299999999999997</v>
      </c>
      <c r="L646">
        <v>15.599999999999994</v>
      </c>
      <c r="M646">
        <v>15.700000000000017</v>
      </c>
      <c r="N646">
        <v>15.7</v>
      </c>
      <c r="O646">
        <v>15.4</v>
      </c>
      <c r="P646">
        <v>15.599999999999994</v>
      </c>
      <c r="Q646">
        <v>15.9</v>
      </c>
      <c r="R646">
        <v>16.100000000000001</v>
      </c>
      <c r="S646">
        <f>Tableau1[[#This Row],[Final_time]]-SUM(Tableau1[[#This Row],[0_100m]:[1300_1400m]])</f>
        <v>16.03</v>
      </c>
      <c r="T646">
        <v>234.03</v>
      </c>
      <c r="U646">
        <f t="shared" si="20"/>
        <v>234.03</v>
      </c>
      <c r="V646">
        <f t="shared" si="21"/>
        <v>0</v>
      </c>
      <c r="W646" s="12"/>
      <c r="X646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6" t="s">
        <v>295</v>
      </c>
      <c r="Z646" s="2" t="s">
        <v>43</v>
      </c>
      <c r="AA646" s="2"/>
      <c r="AB646" s="2" t="s">
        <v>65</v>
      </c>
      <c r="AC646" s="2">
        <v>45074</v>
      </c>
      <c r="AD646" s="3">
        <v>2023</v>
      </c>
      <c r="AE646" s="3">
        <v>22</v>
      </c>
      <c r="AF646" s="5">
        <v>0.66</v>
      </c>
      <c r="AG646" s="3" t="s">
        <v>71</v>
      </c>
      <c r="AH646" t="s">
        <v>268</v>
      </c>
    </row>
    <row r="647" spans="1:34" hidden="1" x14ac:dyDescent="0.35">
      <c r="A647" t="str">
        <f>_xlfn.CONCAT(Tableau1[[#This Row],[Athletes]],"_",Tableau1[[#This Row],[Nationality]],"_",Tableau1[[#This Row],[Competition_year]])</f>
        <v>Birke HAYLOM_ETH_2023</v>
      </c>
      <c r="B647" t="s">
        <v>179</v>
      </c>
      <c r="C647" t="s">
        <v>47</v>
      </c>
      <c r="D647" t="s">
        <v>48</v>
      </c>
      <c r="E647">
        <v>15.1</v>
      </c>
      <c r="F647">
        <v>15.9</v>
      </c>
      <c r="G647">
        <v>14.7</v>
      </c>
      <c r="H647">
        <v>15.8</v>
      </c>
      <c r="I647">
        <v>16.2</v>
      </c>
      <c r="J647">
        <v>16.7</v>
      </c>
      <c r="K647">
        <v>13.9</v>
      </c>
      <c r="L647">
        <v>15.7</v>
      </c>
      <c r="M647">
        <v>15.8</v>
      </c>
      <c r="N647">
        <v>16</v>
      </c>
      <c r="O647">
        <v>16.2</v>
      </c>
      <c r="P647">
        <v>16.3</v>
      </c>
      <c r="Q647">
        <v>16.5</v>
      </c>
      <c r="R647">
        <v>16.7</v>
      </c>
      <c r="S647">
        <f>Tableau1[[#This Row],[Final_time]]-SUM(Tableau1[[#This Row],[0_100m]:[1300_1400m]])</f>
        <v>16.159999999999997</v>
      </c>
      <c r="T647">
        <v>237.66</v>
      </c>
      <c r="U647">
        <f t="shared" si="20"/>
        <v>237.66</v>
      </c>
      <c r="V647">
        <f t="shared" si="21"/>
        <v>0</v>
      </c>
      <c r="W647" s="12"/>
      <c r="X647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7" t="s">
        <v>295</v>
      </c>
      <c r="Z647" s="2" t="s">
        <v>43</v>
      </c>
      <c r="AA647" s="2"/>
      <c r="AB647" s="2" t="s">
        <v>65</v>
      </c>
      <c r="AC647" s="2">
        <v>45074</v>
      </c>
      <c r="AD647" s="3">
        <v>2023</v>
      </c>
      <c r="AE647" s="3">
        <v>22</v>
      </c>
      <c r="AF647" s="5">
        <v>0.66</v>
      </c>
      <c r="AG647" s="3" t="s">
        <v>71</v>
      </c>
      <c r="AH647" t="s">
        <v>268</v>
      </c>
    </row>
    <row r="648" spans="1:34" hidden="1" x14ac:dyDescent="0.35">
      <c r="A648" t="str">
        <f>_xlfn.CONCAT(Tableau1[[#This Row],[Athletes]],"_",Tableau1[[#This Row],[Nationality]],"_",Tableau1[[#This Row],[Competition_year]])</f>
        <v>Cory Ann MCGEE_USA_2023</v>
      </c>
      <c r="B648" t="s">
        <v>181</v>
      </c>
      <c r="C648" t="s">
        <v>47</v>
      </c>
      <c r="D648" t="s">
        <v>51</v>
      </c>
      <c r="E648">
        <v>15.3</v>
      </c>
      <c r="F648">
        <v>16.2</v>
      </c>
      <c r="G648">
        <v>15.600000000000001</v>
      </c>
      <c r="H648">
        <v>16</v>
      </c>
      <c r="I648">
        <v>16.5</v>
      </c>
      <c r="J648">
        <v>16.3</v>
      </c>
      <c r="K648">
        <v>16.600000000000001</v>
      </c>
      <c r="L648">
        <v>16.600000000000001</v>
      </c>
      <c r="M648">
        <v>16.7</v>
      </c>
      <c r="N648">
        <v>16.7</v>
      </c>
      <c r="O648">
        <v>16.600000000000023</v>
      </c>
      <c r="P648">
        <v>16.399999999999977</v>
      </c>
      <c r="Q648">
        <v>15.9</v>
      </c>
      <c r="R648">
        <v>15.5</v>
      </c>
      <c r="S648">
        <f>Tableau1[[#This Row],[Final_time]]-SUM(Tableau1[[#This Row],[0_100m]:[1300_1400m]])</f>
        <v>16.190000000000026</v>
      </c>
      <c r="T648">
        <v>243.09</v>
      </c>
      <c r="U648">
        <f t="shared" si="20"/>
        <v>243.09</v>
      </c>
      <c r="V648">
        <f t="shared" si="21"/>
        <v>0</v>
      </c>
      <c r="W648" s="12"/>
      <c r="X648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8" t="s">
        <v>295</v>
      </c>
      <c r="Z648" s="2" t="s">
        <v>43</v>
      </c>
      <c r="AA648" s="2"/>
      <c r="AB648" s="2" t="s">
        <v>65</v>
      </c>
      <c r="AC648" s="2">
        <v>45074</v>
      </c>
      <c r="AD648" s="3">
        <v>2023</v>
      </c>
      <c r="AE648" s="3">
        <v>22</v>
      </c>
      <c r="AF648" s="5">
        <v>0.66</v>
      </c>
      <c r="AG648" s="3" t="s">
        <v>71</v>
      </c>
      <c r="AH648" t="s">
        <v>268</v>
      </c>
    </row>
    <row r="649" spans="1:34" hidden="1" x14ac:dyDescent="0.35">
      <c r="A649" t="str">
        <f>_xlfn.CONCAT(Tableau1[[#This Row],[Athletes]],"_",Tableau1[[#This Row],[Nationality]],"_",Tableau1[[#This Row],[Competition_year]])</f>
        <v>Adelle TRACEY_JAM_2023</v>
      </c>
      <c r="B649" t="s">
        <v>188</v>
      </c>
      <c r="C649" t="s">
        <v>47</v>
      </c>
      <c r="D649" t="s">
        <v>108</v>
      </c>
      <c r="E649">
        <v>15.6</v>
      </c>
      <c r="F649">
        <v>16.399999999999999</v>
      </c>
      <c r="G649">
        <v>16.299999999999997</v>
      </c>
      <c r="H649">
        <v>16.600000000000009</v>
      </c>
      <c r="I649">
        <v>16.599999999999994</v>
      </c>
      <c r="J649">
        <v>17</v>
      </c>
      <c r="K649">
        <v>16.5</v>
      </c>
      <c r="L649">
        <v>16.599999999999994</v>
      </c>
      <c r="M649">
        <v>16.700000000000017</v>
      </c>
      <c r="N649">
        <v>16.8</v>
      </c>
      <c r="O649">
        <v>16.599999999999994</v>
      </c>
      <c r="P649">
        <v>16.2</v>
      </c>
      <c r="Q649">
        <v>16.2</v>
      </c>
      <c r="R649">
        <v>16.7</v>
      </c>
      <c r="S649">
        <f>Tableau1[[#This Row],[Final_time]]-SUM(Tableau1[[#This Row],[0_100m]:[1300_1400m]])</f>
        <v>17.420000000000016</v>
      </c>
      <c r="T649">
        <v>248.22</v>
      </c>
      <c r="U649">
        <f t="shared" si="20"/>
        <v>248.22</v>
      </c>
      <c r="V649">
        <f t="shared" si="21"/>
        <v>0</v>
      </c>
      <c r="W649" s="12"/>
      <c r="X649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49" t="s">
        <v>295</v>
      </c>
      <c r="Z649" s="2" t="s">
        <v>43</v>
      </c>
      <c r="AA649" s="2"/>
      <c r="AB649" s="2" t="s">
        <v>65</v>
      </c>
      <c r="AC649" s="2">
        <v>45074</v>
      </c>
      <c r="AD649" s="3">
        <v>2023</v>
      </c>
      <c r="AE649" s="3">
        <v>22</v>
      </c>
      <c r="AF649" s="5">
        <v>0.66</v>
      </c>
      <c r="AG649" s="3" t="s">
        <v>71</v>
      </c>
      <c r="AH649" t="s">
        <v>268</v>
      </c>
    </row>
    <row r="650" spans="1:34" hidden="1" x14ac:dyDescent="0.35">
      <c r="A650" t="str">
        <f>_xlfn.CONCAT(Tableau1[[#This Row],[Athletes]],"_",Tableau1[[#This Row],[Nationality]],"_",Tableau1[[#This Row],[Competition_year]])</f>
        <v>Claudia Mihaela BOBOCEA_ROU_2023</v>
      </c>
      <c r="B650" t="s">
        <v>160</v>
      </c>
      <c r="C650" t="s">
        <v>47</v>
      </c>
      <c r="D650" t="s">
        <v>102</v>
      </c>
      <c r="E650">
        <v>15.6</v>
      </c>
      <c r="F650">
        <v>16.399999999999999</v>
      </c>
      <c r="G650">
        <v>16.200000000000003</v>
      </c>
      <c r="H650">
        <v>16.700000000000003</v>
      </c>
      <c r="I650">
        <v>16.5</v>
      </c>
      <c r="J650">
        <v>16.8</v>
      </c>
      <c r="K650">
        <v>16.600000000000001</v>
      </c>
      <c r="L650">
        <v>16.700000000000003</v>
      </c>
      <c r="M650">
        <v>16.8</v>
      </c>
      <c r="N650">
        <v>16.800000000000011</v>
      </c>
      <c r="O650">
        <v>16.7</v>
      </c>
      <c r="P650">
        <v>16.5</v>
      </c>
      <c r="Q650">
        <v>17.100000000000001</v>
      </c>
      <c r="R650">
        <v>17</v>
      </c>
      <c r="S650">
        <f>Tableau1[[#This Row],[Final_time]]-SUM(Tableau1[[#This Row],[0_100m]:[1300_1400m]])</f>
        <v>17.509999999999991</v>
      </c>
      <c r="T650">
        <v>249.91</v>
      </c>
      <c r="U650">
        <f t="shared" si="20"/>
        <v>249.91</v>
      </c>
      <c r="V650">
        <f t="shared" si="21"/>
        <v>0</v>
      </c>
      <c r="W650" s="12"/>
      <c r="X650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50" t="s">
        <v>295</v>
      </c>
      <c r="Z650" s="2" t="s">
        <v>43</v>
      </c>
      <c r="AA650" s="2"/>
      <c r="AB650" s="2" t="s">
        <v>65</v>
      </c>
      <c r="AC650" s="2">
        <v>45074</v>
      </c>
      <c r="AD650" s="3">
        <v>2023</v>
      </c>
      <c r="AE650" s="3">
        <v>22</v>
      </c>
      <c r="AF650" s="5">
        <v>0.66</v>
      </c>
      <c r="AG650" s="3" t="s">
        <v>71</v>
      </c>
      <c r="AH650" t="s">
        <v>268</v>
      </c>
    </row>
    <row r="651" spans="1:34" hidden="1" x14ac:dyDescent="0.35">
      <c r="A651" t="str">
        <f>_xlfn.CONCAT(Tableau1[[#This Row],[Athletes]],"_",Tableau1[[#This Row],[Nationality]],"_",Tableau1[[#This Row],[Competition_year]])</f>
        <v>Winnie NANYONDO_UGA_2023</v>
      </c>
      <c r="B651" t="s">
        <v>241</v>
      </c>
      <c r="C651" t="s">
        <v>47</v>
      </c>
      <c r="D651" t="s">
        <v>52</v>
      </c>
      <c r="E651">
        <v>15.3</v>
      </c>
      <c r="F651">
        <v>16.2</v>
      </c>
      <c r="G651">
        <v>15.200000000000003</v>
      </c>
      <c r="H651">
        <v>15.899999999999999</v>
      </c>
      <c r="I651">
        <v>16.499999999999993</v>
      </c>
      <c r="J651">
        <v>16.600000000000001</v>
      </c>
      <c r="K651">
        <v>16.899999999999999</v>
      </c>
      <c r="L651">
        <v>16.799999999999983</v>
      </c>
      <c r="M651">
        <v>16.8</v>
      </c>
      <c r="N651">
        <v>16.599999999999994</v>
      </c>
      <c r="O651">
        <v>16.399999999999999</v>
      </c>
      <c r="P651">
        <v>16.600000000000001</v>
      </c>
      <c r="Q651">
        <v>16.600000000000001</v>
      </c>
      <c r="R651">
        <v>17.100000000000001</v>
      </c>
      <c r="S651">
        <f>Tableau1[[#This Row],[Final_time]]-SUM(Tableau1[[#This Row],[0_100m]:[1300_1400m]])</f>
        <v>18.930000000000035</v>
      </c>
      <c r="T651">
        <v>248.43</v>
      </c>
      <c r="U651">
        <f t="shared" si="20"/>
        <v>248.43</v>
      </c>
      <c r="V651">
        <f t="shared" si="21"/>
        <v>0</v>
      </c>
      <c r="W651" s="12"/>
      <c r="X651" t="str">
        <f>_xlfn.CONCAT(Tableau1[[#This Row],[Competition]],"_",Tableau1[[#This Row],[Championship_step]],"_",Tableau1[[#This Row],[Competition_date]],"_",Tableau1[[#This Row],[Gender]])</f>
        <v>Diamond League Rabat 2023__45074_Female</v>
      </c>
      <c r="Y651" t="s">
        <v>295</v>
      </c>
      <c r="Z651" s="2" t="s">
        <v>43</v>
      </c>
      <c r="AA651" s="2"/>
      <c r="AB651" s="2" t="s">
        <v>65</v>
      </c>
      <c r="AC651" s="2">
        <v>45074</v>
      </c>
      <c r="AD651" s="3">
        <v>2023</v>
      </c>
      <c r="AE651" s="3">
        <v>22</v>
      </c>
      <c r="AF651" s="5">
        <v>0.66</v>
      </c>
      <c r="AG651" s="3" t="s">
        <v>71</v>
      </c>
      <c r="AH651" t="s">
        <v>268</v>
      </c>
    </row>
    <row r="652" spans="1:34" hidden="1" x14ac:dyDescent="0.35">
      <c r="A652" t="str">
        <f>_xlfn.CONCAT(Tableau1[[#This Row],[Athletes]],"_",Tableau1[[#This Row],[Nationality]],"_",Tableau1[[#This Row],[Competition_year]])</f>
        <v>Hirut MESHESHA_ETH_2022</v>
      </c>
      <c r="B652" t="s">
        <v>135</v>
      </c>
      <c r="C652" t="s">
        <v>47</v>
      </c>
      <c r="D652" t="s">
        <v>48</v>
      </c>
      <c r="E652">
        <v>14.5</v>
      </c>
      <c r="F652">
        <v>16.2</v>
      </c>
      <c r="G652">
        <v>17.2</v>
      </c>
      <c r="H652">
        <v>17.3</v>
      </c>
      <c r="I652">
        <v>17.100000000000001</v>
      </c>
      <c r="J652">
        <v>17.899999999999999</v>
      </c>
      <c r="K652">
        <v>17.5</v>
      </c>
      <c r="L652">
        <v>17.100000000000001</v>
      </c>
      <c r="M652">
        <v>16.8</v>
      </c>
      <c r="N652">
        <v>17</v>
      </c>
      <c r="O652">
        <v>15.4</v>
      </c>
      <c r="P652">
        <v>16</v>
      </c>
      <c r="Q652">
        <v>14.9</v>
      </c>
      <c r="R652">
        <v>14.7</v>
      </c>
      <c r="S652">
        <f>Tableau1[[#This Row],[Final_time]]-SUM(Tableau1[[#This Row],[0_100m]:[1300_1400m]])</f>
        <v>14.189999999999998</v>
      </c>
      <c r="T652">
        <v>243.79000000000002</v>
      </c>
      <c r="U652">
        <f t="shared" si="20"/>
        <v>243.79000000000002</v>
      </c>
      <c r="V652">
        <f t="shared" si="21"/>
        <v>0</v>
      </c>
      <c r="W652" s="12"/>
      <c r="X652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2" t="s">
        <v>310</v>
      </c>
      <c r="Z652" t="s">
        <v>43</v>
      </c>
      <c r="AB652" t="s">
        <v>65</v>
      </c>
      <c r="AC652" s="2">
        <v>44721</v>
      </c>
      <c r="AD652">
        <v>2022</v>
      </c>
      <c r="AE652">
        <v>22</v>
      </c>
      <c r="AF652" s="5">
        <v>0.66</v>
      </c>
      <c r="AG652" s="3" t="s">
        <v>62</v>
      </c>
    </row>
    <row r="653" spans="1:34" hidden="1" x14ac:dyDescent="0.35">
      <c r="A653" t="str">
        <f>_xlfn.CONCAT(Tableau1[[#This Row],[Athletes]],"_",Tableau1[[#This Row],[Nationality]],"_",Tableau1[[#This Row],[Competition_year]])</f>
        <v>Axumawit EMBAYE_ETH_2022</v>
      </c>
      <c r="B653" t="s">
        <v>269</v>
      </c>
      <c r="C653" t="s">
        <v>47</v>
      </c>
      <c r="D653" t="s">
        <v>48</v>
      </c>
      <c r="E653">
        <v>14.7</v>
      </c>
      <c r="F653">
        <v>16.100000000000001</v>
      </c>
      <c r="G653">
        <v>17.399999999999999</v>
      </c>
      <c r="H653">
        <v>17.2</v>
      </c>
      <c r="I653">
        <v>17.399999999999999</v>
      </c>
      <c r="J653">
        <v>18</v>
      </c>
      <c r="K653">
        <v>17</v>
      </c>
      <c r="L653">
        <v>16.7</v>
      </c>
      <c r="M653">
        <v>16.7</v>
      </c>
      <c r="N653">
        <v>17.2</v>
      </c>
      <c r="O653">
        <v>15.7</v>
      </c>
      <c r="P653">
        <v>16</v>
      </c>
      <c r="Q653">
        <v>14.9</v>
      </c>
      <c r="R653">
        <v>14.9</v>
      </c>
      <c r="S653">
        <f>Tableau1[[#This Row],[Final_time]]-SUM(Tableau1[[#This Row],[0_100m]:[1300_1400m]])</f>
        <v>14.629999999999995</v>
      </c>
      <c r="T653">
        <v>244.52999999999997</v>
      </c>
      <c r="U653">
        <f t="shared" si="20"/>
        <v>244.52999999999997</v>
      </c>
      <c r="V653">
        <f t="shared" si="21"/>
        <v>0</v>
      </c>
      <c r="W653" s="12"/>
      <c r="X653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3" t="s">
        <v>310</v>
      </c>
      <c r="Z653" t="s">
        <v>43</v>
      </c>
      <c r="AB653" t="s">
        <v>65</v>
      </c>
      <c r="AC653" s="2">
        <v>44721</v>
      </c>
      <c r="AD653">
        <v>2022</v>
      </c>
      <c r="AE653">
        <v>22</v>
      </c>
      <c r="AF653" s="5">
        <v>0.66</v>
      </c>
      <c r="AG653" s="3" t="s">
        <v>62</v>
      </c>
    </row>
    <row r="654" spans="1:34" hidden="1" x14ac:dyDescent="0.35">
      <c r="A654" t="str">
        <f>_xlfn.CONCAT(Tableau1[[#This Row],[Athletes]],"_",Tableau1[[#This Row],[Nationality]],"_",Tableau1[[#This Row],[Competition_year]])</f>
        <v>Hanna KLEIN_GER_2022</v>
      </c>
      <c r="B654" t="s">
        <v>246</v>
      </c>
      <c r="C654" t="s">
        <v>47</v>
      </c>
      <c r="D654" t="s">
        <v>34</v>
      </c>
      <c r="E654">
        <v>15.4</v>
      </c>
      <c r="F654">
        <v>16.600000000000001</v>
      </c>
      <c r="G654">
        <v>16.399999999999999</v>
      </c>
      <c r="H654">
        <v>17.399999999999999</v>
      </c>
      <c r="I654">
        <v>17.299999999999997</v>
      </c>
      <c r="J654">
        <v>17.900000000000006</v>
      </c>
      <c r="K654">
        <v>17.400000000000006</v>
      </c>
      <c r="L654">
        <v>16.799999999999983</v>
      </c>
      <c r="M654">
        <v>16.600000000000023</v>
      </c>
      <c r="N654">
        <v>17.399999999999977</v>
      </c>
      <c r="O654">
        <v>16.700000000000017</v>
      </c>
      <c r="P654">
        <v>16</v>
      </c>
      <c r="Q654">
        <v>15.199999999999989</v>
      </c>
      <c r="R654">
        <v>15.400000000000006</v>
      </c>
      <c r="S654">
        <f>Tableau1[[#This Row],[Final_time]]-SUM(Tableau1[[#This Row],[0_100m]:[1300_1400m]])</f>
        <v>14.710000000000008</v>
      </c>
      <c r="T654">
        <v>247.21</v>
      </c>
      <c r="U654">
        <f t="shared" si="20"/>
        <v>247.21</v>
      </c>
      <c r="V654">
        <f t="shared" si="21"/>
        <v>0</v>
      </c>
      <c r="W654" s="12"/>
      <c r="X654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4" t="s">
        <v>310</v>
      </c>
      <c r="Z654" t="s">
        <v>43</v>
      </c>
      <c r="AB654" t="s">
        <v>65</v>
      </c>
      <c r="AC654" s="2">
        <v>44721</v>
      </c>
      <c r="AD654">
        <v>2022</v>
      </c>
      <c r="AE654">
        <v>22</v>
      </c>
      <c r="AF654" s="5">
        <v>0.66</v>
      </c>
      <c r="AG654" s="3" t="s">
        <v>62</v>
      </c>
    </row>
    <row r="655" spans="1:34" hidden="1" x14ac:dyDescent="0.35">
      <c r="A655" t="str">
        <f>_xlfn.CONCAT(Tableau1[[#This Row],[Athletes]],"_",Tableau1[[#This Row],[Nationality]],"_",Tableau1[[#This Row],[Competition_year]])</f>
        <v>Karoline Bjerkeli GRØVDAL_NOR_2022</v>
      </c>
      <c r="B655" t="s">
        <v>1028</v>
      </c>
      <c r="C655" t="s">
        <v>47</v>
      </c>
      <c r="D655" t="s">
        <v>30</v>
      </c>
      <c r="E655">
        <v>15.3</v>
      </c>
      <c r="F655">
        <v>16.399999999999999</v>
      </c>
      <c r="G655">
        <v>17.099999999999998</v>
      </c>
      <c r="H655">
        <v>17.5</v>
      </c>
      <c r="I655">
        <v>17.100000000000009</v>
      </c>
      <c r="J655">
        <v>17.799999999999997</v>
      </c>
      <c r="K655">
        <v>17.5</v>
      </c>
      <c r="L655">
        <v>16.899999999999991</v>
      </c>
      <c r="M655">
        <v>16.700000000000017</v>
      </c>
      <c r="N655">
        <v>16.799999999999983</v>
      </c>
      <c r="O655">
        <v>16.099999999999994</v>
      </c>
      <c r="P655">
        <v>15.700000000000017</v>
      </c>
      <c r="Q655">
        <v>15.400000000000006</v>
      </c>
      <c r="R655">
        <v>14.799999999999983</v>
      </c>
      <c r="S655">
        <f>Tableau1[[#This Row],[Final_time]]-SUM(Tableau1[[#This Row],[0_100m]:[1300_1400m]])</f>
        <v>14.730000000000018</v>
      </c>
      <c r="T655">
        <v>245.83</v>
      </c>
      <c r="U655">
        <f t="shared" si="20"/>
        <v>245.83</v>
      </c>
      <c r="V655">
        <f t="shared" si="21"/>
        <v>0</v>
      </c>
      <c r="W655" s="12"/>
      <c r="X655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5" t="s">
        <v>310</v>
      </c>
      <c r="Z655" t="s">
        <v>43</v>
      </c>
      <c r="AB655" t="s">
        <v>65</v>
      </c>
      <c r="AC655" s="2">
        <v>44721</v>
      </c>
      <c r="AD655">
        <v>2022</v>
      </c>
      <c r="AE655">
        <v>22</v>
      </c>
      <c r="AF655" s="5">
        <v>0.66</v>
      </c>
      <c r="AG655" s="3" t="s">
        <v>62</v>
      </c>
    </row>
    <row r="656" spans="1:34" hidden="1" x14ac:dyDescent="0.35">
      <c r="A656" t="str">
        <f>_xlfn.CONCAT(Tableau1[[#This Row],[Athletes]],"_",Tableau1[[#This Row],[Nationality]],"_",Tableau1[[#This Row],[Competition_year]])</f>
        <v>Laura MUIR_GBR_2022</v>
      </c>
      <c r="B656" t="s">
        <v>153</v>
      </c>
      <c r="C656" t="s">
        <v>47</v>
      </c>
      <c r="D656" t="s">
        <v>20</v>
      </c>
      <c r="E656">
        <v>14.6</v>
      </c>
      <c r="F656">
        <v>16.399999999999999</v>
      </c>
      <c r="G656">
        <v>17</v>
      </c>
      <c r="H656">
        <v>17.2</v>
      </c>
      <c r="I656">
        <v>17.2</v>
      </c>
      <c r="J656">
        <v>18</v>
      </c>
      <c r="K656">
        <v>17.3</v>
      </c>
      <c r="L656">
        <v>16.899999999999999</v>
      </c>
      <c r="M656">
        <v>16.8</v>
      </c>
      <c r="N656">
        <v>17.100000000000001</v>
      </c>
      <c r="O656">
        <v>15.8</v>
      </c>
      <c r="P656">
        <v>16</v>
      </c>
      <c r="Q656">
        <v>14.9</v>
      </c>
      <c r="R656">
        <v>14.9</v>
      </c>
      <c r="S656">
        <f>Tableau1[[#This Row],[Final_time]]-SUM(Tableau1[[#This Row],[0_100m]:[1300_1400m]])</f>
        <v>14.830000000000013</v>
      </c>
      <c r="T656">
        <v>244.93000000000004</v>
      </c>
      <c r="U656">
        <f t="shared" si="20"/>
        <v>244.93000000000004</v>
      </c>
      <c r="V656">
        <f t="shared" si="21"/>
        <v>0</v>
      </c>
      <c r="W656" s="12"/>
      <c r="X656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6" t="s">
        <v>310</v>
      </c>
      <c r="Z656" t="s">
        <v>43</v>
      </c>
      <c r="AB656" t="s">
        <v>65</v>
      </c>
      <c r="AC656" s="2">
        <v>44721</v>
      </c>
      <c r="AD656">
        <v>2022</v>
      </c>
      <c r="AE656">
        <v>22</v>
      </c>
      <c r="AF656" s="5">
        <v>0.66</v>
      </c>
      <c r="AG656" s="3" t="s">
        <v>62</v>
      </c>
    </row>
    <row r="657" spans="1:34" hidden="1" x14ac:dyDescent="0.35">
      <c r="A657" t="str">
        <f>_xlfn.CONCAT(Tableau1[[#This Row],[Athletes]],"_",Tableau1[[#This Row],[Nationality]],"_",Tableau1[[#This Row],[Competition_year]])</f>
        <v>Gaia SABBATINI_ITA_2022</v>
      </c>
      <c r="B657" t="s">
        <v>167</v>
      </c>
      <c r="C657" t="s">
        <v>47</v>
      </c>
      <c r="D657" t="s">
        <v>19</v>
      </c>
      <c r="E657">
        <v>14.7</v>
      </c>
      <c r="F657">
        <v>16.5</v>
      </c>
      <c r="G657">
        <v>17.2</v>
      </c>
      <c r="H657">
        <v>17.600000000000001</v>
      </c>
      <c r="I657">
        <v>16.900000000000006</v>
      </c>
      <c r="J657">
        <v>17.899999999999991</v>
      </c>
      <c r="K657">
        <v>17.5</v>
      </c>
      <c r="L657">
        <v>16.799999999999997</v>
      </c>
      <c r="M657">
        <v>16.599999999999994</v>
      </c>
      <c r="N657">
        <v>17.100000000000023</v>
      </c>
      <c r="O657">
        <v>15.899999999999977</v>
      </c>
      <c r="P657">
        <v>15.900000000000006</v>
      </c>
      <c r="Q657">
        <v>15.099999999999994</v>
      </c>
      <c r="R657">
        <v>15</v>
      </c>
      <c r="S657">
        <f>Tableau1[[#This Row],[Final_time]]-SUM(Tableau1[[#This Row],[0_100m]:[1300_1400m]])</f>
        <v>15.120000000000005</v>
      </c>
      <c r="T657">
        <v>245.82</v>
      </c>
      <c r="U657">
        <f t="shared" si="20"/>
        <v>245.82</v>
      </c>
      <c r="V657">
        <f t="shared" si="21"/>
        <v>0</v>
      </c>
      <c r="W657" s="12"/>
      <c r="X657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7" t="s">
        <v>310</v>
      </c>
      <c r="Z657" t="s">
        <v>43</v>
      </c>
      <c r="AB657" t="s">
        <v>65</v>
      </c>
      <c r="AC657" s="2">
        <v>44721</v>
      </c>
      <c r="AD657">
        <v>2022</v>
      </c>
      <c r="AE657">
        <v>22</v>
      </c>
      <c r="AF657" s="5">
        <v>0.66</v>
      </c>
      <c r="AG657" s="3" t="s">
        <v>62</v>
      </c>
    </row>
    <row r="658" spans="1:34" hidden="1" x14ac:dyDescent="0.35">
      <c r="A658" t="str">
        <f>_xlfn.CONCAT(Tableau1[[#This Row],[Athletes]],"_",Tableau1[[#This Row],[Nationality]],"_",Tableau1[[#This Row],[Competition_year]])</f>
        <v>Ciara MAGEEAN_IRL_2022</v>
      </c>
      <c r="B658" t="s">
        <v>180</v>
      </c>
      <c r="C658" t="s">
        <v>47</v>
      </c>
      <c r="D658" t="s">
        <v>35</v>
      </c>
      <c r="E658">
        <v>14.8</v>
      </c>
      <c r="F658">
        <v>16.2</v>
      </c>
      <c r="G658">
        <v>17.299999999999997</v>
      </c>
      <c r="H658">
        <v>17.700000000000003</v>
      </c>
      <c r="I658">
        <v>16.700000000000003</v>
      </c>
      <c r="J658">
        <v>17.899999999999991</v>
      </c>
      <c r="K658">
        <v>17.400000000000006</v>
      </c>
      <c r="L658">
        <v>17</v>
      </c>
      <c r="M658">
        <v>16.900000000000006</v>
      </c>
      <c r="N658">
        <v>16.900000000000006</v>
      </c>
      <c r="O658">
        <v>15.799999999999983</v>
      </c>
      <c r="P658">
        <v>15.700000000000017</v>
      </c>
      <c r="Q658">
        <v>15</v>
      </c>
      <c r="R658">
        <v>15</v>
      </c>
      <c r="S658">
        <f>Tableau1[[#This Row],[Final_time]]-SUM(Tableau1[[#This Row],[0_100m]:[1300_1400m]])</f>
        <v>15.139999999999986</v>
      </c>
      <c r="T658">
        <v>245.44</v>
      </c>
      <c r="U658">
        <f t="shared" si="20"/>
        <v>245.44</v>
      </c>
      <c r="V658">
        <f t="shared" si="21"/>
        <v>0</v>
      </c>
      <c r="W658" s="12"/>
      <c r="X658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8" t="s">
        <v>310</v>
      </c>
      <c r="Z658" t="s">
        <v>43</v>
      </c>
      <c r="AB658" t="s">
        <v>65</v>
      </c>
      <c r="AC658" s="2">
        <v>44721</v>
      </c>
      <c r="AD658">
        <v>2022</v>
      </c>
      <c r="AE658">
        <v>22</v>
      </c>
      <c r="AF658" s="5">
        <v>0.66</v>
      </c>
      <c r="AG658" s="3" t="s">
        <v>62</v>
      </c>
    </row>
    <row r="659" spans="1:34" hidden="1" x14ac:dyDescent="0.35">
      <c r="A659" t="str">
        <f>_xlfn.CONCAT(Tableau1[[#This Row],[Athletes]],"_",Tableau1[[#This Row],[Nationality]],"_",Tableau1[[#This Row],[Competition_year]])</f>
        <v>Ludovica CAVALLI_ITA_2022</v>
      </c>
      <c r="B659" t="s">
        <v>182</v>
      </c>
      <c r="C659" t="s">
        <v>47</v>
      </c>
      <c r="D659" t="s">
        <v>19</v>
      </c>
      <c r="E659">
        <v>15.1</v>
      </c>
      <c r="F659">
        <f>31.5-Tableau1[[#This Row],[0_100m]]</f>
        <v>16.399999999999999</v>
      </c>
      <c r="G659">
        <f>48.7-SUM(Tableau1[[#This Row],[0_100m]:[100_200m]])</f>
        <v>17.200000000000003</v>
      </c>
      <c r="H659">
        <f>66-SUM(Tableau1[[#This Row],[0_100m]:[200_300m]])</f>
        <v>17.299999999999997</v>
      </c>
      <c r="I659">
        <f>83.3-SUM(Tableau1[[#This Row],[0_100m]:[300_400m]])</f>
        <v>17.299999999999997</v>
      </c>
      <c r="J659">
        <f>101.1-SUM(Tableau1[[#This Row],[0_100m]:[400_500m]])</f>
        <v>17.799999999999997</v>
      </c>
      <c r="K659">
        <f>118.6-SUM(Tableau1[[#This Row],[0_100m]:[500_600m]])</f>
        <v>17.5</v>
      </c>
      <c r="L659">
        <f>135.5-SUM(Tableau1[[#This Row],[0_100m]:[600_700m]])</f>
        <v>16.900000000000006</v>
      </c>
      <c r="M659">
        <f>152.6-SUM(Tableau1[[#This Row],[0_100m]:[700_800m]])</f>
        <v>17.099999999999994</v>
      </c>
      <c r="N659">
        <f>169.4-SUM(Tableau1[[#This Row],[0_100m]:[800_900m]])</f>
        <v>16.800000000000011</v>
      </c>
      <c r="O659">
        <f>185.6-SUM(Tableau1[[#This Row],[0_100m]:[900_1000m]])</f>
        <v>16.199999999999989</v>
      </c>
      <c r="P659">
        <f>201.5-SUM(Tableau1[[#This Row],[0_100m]:[1000_1100m]])</f>
        <v>15.900000000000006</v>
      </c>
      <c r="Q659">
        <f>217.3-SUM(Tableau1[[#This Row],[0_100m]:[1100_1200m]])</f>
        <v>15.800000000000011</v>
      </c>
      <c r="R659">
        <f>233.2-SUM(Tableau1[[#This Row],[0_100m]:[1200_1300m]])</f>
        <v>15.899999999999977</v>
      </c>
      <c r="S659">
        <f>Tableau1[[#This Row],[Final_time]]-SUM(Tableau1[[#This Row],[0_100m]:[1300_1400m]])</f>
        <v>15.189999999999998</v>
      </c>
      <c r="T659">
        <v>248.39</v>
      </c>
      <c r="U659">
        <f t="shared" si="20"/>
        <v>248.39</v>
      </c>
      <c r="V659">
        <f t="shared" si="21"/>
        <v>0</v>
      </c>
      <c r="W659" s="12"/>
      <c r="X659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59" t="s">
        <v>310</v>
      </c>
      <c r="Z659" t="s">
        <v>43</v>
      </c>
      <c r="AB659" t="s">
        <v>65</v>
      </c>
      <c r="AC659" s="2">
        <v>44721</v>
      </c>
      <c r="AD659">
        <v>2022</v>
      </c>
      <c r="AE659">
        <v>22</v>
      </c>
      <c r="AF659" s="5">
        <v>0.66</v>
      </c>
      <c r="AG659" s="3" t="s">
        <v>62</v>
      </c>
    </row>
    <row r="660" spans="1:34" hidden="1" x14ac:dyDescent="0.35">
      <c r="A660" t="str">
        <f>_xlfn.CONCAT(Tableau1[[#This Row],[Athletes]],"_",Tableau1[[#This Row],[Nationality]],"_",Tableau1[[#This Row],[Competition_year]])</f>
        <v>Federica DEL BUONO_ITA_2022</v>
      </c>
      <c r="B660" t="s">
        <v>243</v>
      </c>
      <c r="C660" t="s">
        <v>47</v>
      </c>
      <c r="D660" t="s">
        <v>19</v>
      </c>
      <c r="E660">
        <v>15.3</v>
      </c>
      <c r="F660">
        <v>16.399999999999999</v>
      </c>
      <c r="G660">
        <v>17.000000000000004</v>
      </c>
      <c r="H660">
        <v>17.200000000000003</v>
      </c>
      <c r="I660">
        <v>17.299999999999997</v>
      </c>
      <c r="J660">
        <v>17.799999999999997</v>
      </c>
      <c r="K660">
        <v>17.5</v>
      </c>
      <c r="L660">
        <v>16.900000000000006</v>
      </c>
      <c r="M660">
        <v>16.699999999999989</v>
      </c>
      <c r="N660">
        <v>16.800000000000011</v>
      </c>
      <c r="O660">
        <v>16</v>
      </c>
      <c r="P660">
        <v>15.799999999999983</v>
      </c>
      <c r="Q660">
        <v>15.300000000000011</v>
      </c>
      <c r="R660">
        <v>14.900000000000006</v>
      </c>
      <c r="S660">
        <f>Tableau1[[#This Row],[Final_time]]-SUM(Tableau1[[#This Row],[0_100m]:[1300_1400m]])</f>
        <v>15.259999999999991</v>
      </c>
      <c r="T660">
        <v>246.16</v>
      </c>
      <c r="U660">
        <f t="shared" si="20"/>
        <v>246.16</v>
      </c>
      <c r="V660">
        <f t="shared" si="21"/>
        <v>0</v>
      </c>
      <c r="W660" s="12"/>
      <c r="X660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60" t="s">
        <v>310</v>
      </c>
      <c r="Z660" t="s">
        <v>43</v>
      </c>
      <c r="AB660" t="s">
        <v>65</v>
      </c>
      <c r="AC660" s="2">
        <v>44721</v>
      </c>
      <c r="AD660">
        <v>2022</v>
      </c>
      <c r="AE660">
        <v>22</v>
      </c>
      <c r="AF660" s="5">
        <v>0.66</v>
      </c>
      <c r="AG660" s="3" t="s">
        <v>62</v>
      </c>
    </row>
    <row r="661" spans="1:34" hidden="1" x14ac:dyDescent="0.35">
      <c r="A661" t="str">
        <f>_xlfn.CONCAT(Tableau1[[#This Row],[Athletes]],"_",Tableau1[[#This Row],[Nationality]],"_",Tableau1[[#This Row],[Competition_year]])</f>
        <v>Helen SCHLACHTENHAUFEN_USA_2022</v>
      </c>
      <c r="B661" t="s">
        <v>413</v>
      </c>
      <c r="C661" t="s">
        <v>47</v>
      </c>
      <c r="D661" t="s">
        <v>51</v>
      </c>
      <c r="E661">
        <v>15.2</v>
      </c>
      <c r="F661">
        <v>16.3</v>
      </c>
      <c r="G661">
        <v>17.299999999999997</v>
      </c>
      <c r="H661">
        <v>17.5</v>
      </c>
      <c r="I661">
        <v>17.200000000000003</v>
      </c>
      <c r="J661">
        <v>17.200000000000003</v>
      </c>
      <c r="K661">
        <v>17.5</v>
      </c>
      <c r="L661">
        <v>17.299999999999997</v>
      </c>
      <c r="M661">
        <v>16.800000000000011</v>
      </c>
      <c r="N661">
        <v>16.899999999999977</v>
      </c>
      <c r="O661">
        <v>16.200000000000017</v>
      </c>
      <c r="P661">
        <v>15.699999999999989</v>
      </c>
      <c r="Q661">
        <v>15.099999999999994</v>
      </c>
      <c r="R661">
        <v>15.400000000000006</v>
      </c>
      <c r="S661">
        <f>Tableau1[[#This Row],[Final_time]]-SUM(Tableau1[[#This Row],[0_100m]:[1300_1400m]])</f>
        <v>15.340000000000003</v>
      </c>
      <c r="T661">
        <v>246.94</v>
      </c>
      <c r="U661">
        <f t="shared" si="20"/>
        <v>246.94</v>
      </c>
      <c r="V661">
        <f t="shared" si="21"/>
        <v>0</v>
      </c>
      <c r="W661" s="12"/>
      <c r="X661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61" t="s">
        <v>310</v>
      </c>
      <c r="Z661" t="s">
        <v>43</v>
      </c>
      <c r="AB661" t="s">
        <v>65</v>
      </c>
      <c r="AC661" s="2">
        <v>44721</v>
      </c>
      <c r="AD661">
        <v>2022</v>
      </c>
      <c r="AE661">
        <v>22</v>
      </c>
      <c r="AF661" s="5">
        <v>0.66</v>
      </c>
      <c r="AG661" s="3" t="s">
        <v>62</v>
      </c>
    </row>
    <row r="662" spans="1:34" hidden="1" x14ac:dyDescent="0.35">
      <c r="A662" t="str">
        <f>_xlfn.CONCAT(Tableau1[[#This Row],[Athletes]],"_",Tableau1[[#This Row],[Nationality]],"_",Tableau1[[#This Row],[Competition_year]])</f>
        <v>Cory Ann MCGEE_USA_2022</v>
      </c>
      <c r="B662" t="s">
        <v>181</v>
      </c>
      <c r="C662" t="s">
        <v>47</v>
      </c>
      <c r="D662" t="s">
        <v>51</v>
      </c>
      <c r="E662">
        <v>14.9</v>
      </c>
      <c r="F662">
        <v>16.299999999999997</v>
      </c>
      <c r="G662">
        <v>17.3</v>
      </c>
      <c r="H662">
        <v>17.599999999999994</v>
      </c>
      <c r="I662">
        <v>17.100000000000009</v>
      </c>
      <c r="J662">
        <v>17.299999999999997</v>
      </c>
      <c r="K662">
        <v>17.400000000000006</v>
      </c>
      <c r="L662">
        <v>16.900000000000006</v>
      </c>
      <c r="M662">
        <v>16.799999999999983</v>
      </c>
      <c r="N662">
        <v>17</v>
      </c>
      <c r="O662">
        <v>15.800000000000011</v>
      </c>
      <c r="P662">
        <v>16</v>
      </c>
      <c r="Q662">
        <v>14.900000000000006</v>
      </c>
      <c r="R662">
        <v>15</v>
      </c>
      <c r="S662">
        <f>Tableau1[[#This Row],[Final_time]]-SUM(Tableau1[[#This Row],[0_100m]:[1300_1400m]])</f>
        <v>15.389999999999986</v>
      </c>
      <c r="T662">
        <v>245.69</v>
      </c>
      <c r="U662">
        <f t="shared" si="20"/>
        <v>245.69</v>
      </c>
      <c r="V662">
        <f t="shared" si="21"/>
        <v>0</v>
      </c>
      <c r="W662" s="12"/>
      <c r="X662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62" t="s">
        <v>310</v>
      </c>
      <c r="Z662" t="s">
        <v>43</v>
      </c>
      <c r="AB662" t="s">
        <v>65</v>
      </c>
      <c r="AC662" s="2">
        <v>44721</v>
      </c>
      <c r="AD662">
        <v>2022</v>
      </c>
      <c r="AE662">
        <v>22</v>
      </c>
      <c r="AF662" s="5">
        <v>0.66</v>
      </c>
      <c r="AG662" s="3" t="s">
        <v>62</v>
      </c>
    </row>
    <row r="663" spans="1:34" hidden="1" x14ac:dyDescent="0.35">
      <c r="A663" t="str">
        <f>_xlfn.CONCAT(Tableau1[[#This Row],[Athletes]],"_",Tableau1[[#This Row],[Nationality]],"_",Tableau1[[#This Row],[Competition_year]])</f>
        <v>Winnie NANYONDO_UGA_2022</v>
      </c>
      <c r="B663" t="s">
        <v>241</v>
      </c>
      <c r="C663" t="s">
        <v>47</v>
      </c>
      <c r="D663" t="s">
        <v>52</v>
      </c>
      <c r="E663">
        <v>14.5</v>
      </c>
      <c r="F663">
        <v>16.399999999999999</v>
      </c>
      <c r="G663">
        <v>17.200000000000003</v>
      </c>
      <c r="H663">
        <v>17.100000000000001</v>
      </c>
      <c r="I663">
        <v>17.299999999999997</v>
      </c>
      <c r="J663">
        <v>17.900000000000006</v>
      </c>
      <c r="K663">
        <v>17.399999999999991</v>
      </c>
      <c r="L663">
        <v>16.899999999999991</v>
      </c>
      <c r="M663">
        <v>16.700000000000017</v>
      </c>
      <c r="N663">
        <v>17.099999999999994</v>
      </c>
      <c r="O663">
        <v>15.900000000000006</v>
      </c>
      <c r="P663">
        <v>15.799999999999983</v>
      </c>
      <c r="Q663">
        <v>15.300000000000011</v>
      </c>
      <c r="R663">
        <v>15</v>
      </c>
      <c r="S663">
        <f>Tableau1[[#This Row],[Final_time]]-SUM(Tableau1[[#This Row],[0_100m]:[1300_1400m]])</f>
        <v>15.669999999999987</v>
      </c>
      <c r="T663">
        <v>246.17</v>
      </c>
      <c r="U663">
        <f t="shared" si="20"/>
        <v>246.17</v>
      </c>
      <c r="V663">
        <f t="shared" si="21"/>
        <v>0</v>
      </c>
      <c r="W663" s="12"/>
      <c r="X663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63" t="s">
        <v>310</v>
      </c>
      <c r="Z663" t="s">
        <v>43</v>
      </c>
      <c r="AB663" t="s">
        <v>65</v>
      </c>
      <c r="AC663" s="2">
        <v>44721</v>
      </c>
      <c r="AD663">
        <v>2022</v>
      </c>
      <c r="AE663">
        <v>22</v>
      </c>
      <c r="AF663" s="5">
        <v>0.66</v>
      </c>
      <c r="AG663" s="3" t="s">
        <v>62</v>
      </c>
    </row>
    <row r="664" spans="1:34" hidden="1" x14ac:dyDescent="0.35">
      <c r="A664" t="str">
        <f>_xlfn.CONCAT(Tableau1[[#This Row],[Athletes]],"_",Tableau1[[#This Row],[Nationality]],"_",Tableau1[[#This Row],[Competition_year]])</f>
        <v>Marta PÉREZ_ESP_2022</v>
      </c>
      <c r="B664" t="s">
        <v>183</v>
      </c>
      <c r="C664" t="s">
        <v>47</v>
      </c>
      <c r="D664" t="s">
        <v>22</v>
      </c>
      <c r="E664">
        <v>15</v>
      </c>
      <c r="F664">
        <f>31.5-Tableau1[[#This Row],[0_100m]]</f>
        <v>16.5</v>
      </c>
      <c r="G664">
        <f>48.3-SUM(Tableau1[[#This Row],[0_100m]:[100_200m]])</f>
        <v>16.799999999999997</v>
      </c>
      <c r="H664">
        <f>66-SUM(Tableau1[[#This Row],[0_100m]:[200_300m]])</f>
        <v>17.700000000000003</v>
      </c>
      <c r="I664">
        <f>83.3-SUM(Tableau1[[#This Row],[0_100m]:[300_400m]])</f>
        <v>17.299999999999997</v>
      </c>
      <c r="J664">
        <f>100.9-SUM(Tableau1[[#This Row],[0_100m]:[400_500m]])</f>
        <v>17.600000000000009</v>
      </c>
      <c r="K664">
        <f>118.1-SUM(Tableau1[[#This Row],[0_100m]:[500_600m]])</f>
        <v>17.199999999999989</v>
      </c>
      <c r="L664">
        <f>135-SUM(Tableau1[[#This Row],[0_100m]:[600_700m]])</f>
        <v>16.900000000000006</v>
      </c>
      <c r="M664">
        <f>152-SUM(Tableau1[[#This Row],[0_100m]:[700_800m]])</f>
        <v>17</v>
      </c>
      <c r="N664">
        <f>169-SUM(Tableau1[[#This Row],[0_100m]:[800_900m]])</f>
        <v>17</v>
      </c>
      <c r="O664">
        <f>185-SUM(Tableau1[[#This Row],[0_100m]:[900_1000m]])</f>
        <v>16</v>
      </c>
      <c r="P664">
        <f>200.8-SUM(Tableau1[[#This Row],[0_100m]:[1000_1100m]])</f>
        <v>15.800000000000011</v>
      </c>
      <c r="Q664">
        <f>216.4-SUM(Tableau1[[#This Row],[0_100m]:[1100_1200m]])</f>
        <v>15.599999999999994</v>
      </c>
      <c r="R664">
        <f>232.3-SUM(Tableau1[[#This Row],[0_100m]:[1200_1300m]])</f>
        <v>15.900000000000006</v>
      </c>
      <c r="S664">
        <f>Tableau1[[#This Row],[Final_time]]-SUM(Tableau1[[#This Row],[0_100m]:[1300_1400m]])</f>
        <v>16.419999999999987</v>
      </c>
      <c r="T664">
        <v>248.72</v>
      </c>
      <c r="U664">
        <f t="shared" si="20"/>
        <v>248.72</v>
      </c>
      <c r="V664">
        <f t="shared" si="21"/>
        <v>0</v>
      </c>
      <c r="W664" s="12"/>
      <c r="X664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64" t="s">
        <v>310</v>
      </c>
      <c r="Z664" t="s">
        <v>43</v>
      </c>
      <c r="AB664" t="s">
        <v>65</v>
      </c>
      <c r="AC664" s="2">
        <v>44721</v>
      </c>
      <c r="AD664">
        <v>2022</v>
      </c>
      <c r="AE664">
        <v>22</v>
      </c>
      <c r="AF664" s="5">
        <v>0.66</v>
      </c>
      <c r="AG664" s="3" t="s">
        <v>62</v>
      </c>
    </row>
    <row r="665" spans="1:34" hidden="1" x14ac:dyDescent="0.35">
      <c r="A665" t="str">
        <f>_xlfn.CONCAT(Tableau1[[#This Row],[Athletes]],"_",Tableau1[[#This Row],[Nationality]],"_",Tableau1[[#This Row],[Competition_year]])</f>
        <v>Habitam ALEMU_ETH_2022</v>
      </c>
      <c r="B665" t="s">
        <v>399</v>
      </c>
      <c r="C665" t="s">
        <v>47</v>
      </c>
      <c r="D665" t="s">
        <v>48</v>
      </c>
      <c r="E665">
        <v>15.1</v>
      </c>
      <c r="F665">
        <v>16.299999999999997</v>
      </c>
      <c r="G665">
        <v>17.100000000000001</v>
      </c>
      <c r="H665">
        <v>16.799999999999997</v>
      </c>
      <c r="I665">
        <v>17.299999999999997</v>
      </c>
      <c r="J665">
        <v>17.900000000000006</v>
      </c>
      <c r="K665">
        <v>17.400000000000006</v>
      </c>
      <c r="L665">
        <v>17</v>
      </c>
      <c r="M665">
        <v>16.799999999999983</v>
      </c>
      <c r="N665">
        <v>17</v>
      </c>
      <c r="O665">
        <v>15.900000000000006</v>
      </c>
      <c r="P665">
        <v>15.900000000000006</v>
      </c>
      <c r="Q665">
        <v>15.099999999999994</v>
      </c>
      <c r="R665">
        <v>15.200000000000017</v>
      </c>
      <c r="S665">
        <f>Tableau1[[#This Row],[Final_time]]-SUM(Tableau1[[#This Row],[0_100m]:[1300_1400m]])</f>
        <v>16.629999999999995</v>
      </c>
      <c r="T665">
        <v>247.43</v>
      </c>
      <c r="U665">
        <f t="shared" si="20"/>
        <v>247.43</v>
      </c>
      <c r="V665">
        <f t="shared" si="21"/>
        <v>0</v>
      </c>
      <c r="W665" s="12"/>
      <c r="X665" t="str">
        <f>_xlfn.CONCAT(Tableau1[[#This Row],[Competition]],"_",Tableau1[[#This Row],[Championship_step]],"_",Tableau1[[#This Row],[Competition_date]],"_",Tableau1[[#This Row],[Gender]])</f>
        <v>Diamond League Rome 2022__44721_Female</v>
      </c>
      <c r="Y665" t="s">
        <v>310</v>
      </c>
      <c r="Z665" t="s">
        <v>43</v>
      </c>
      <c r="AB665" t="s">
        <v>65</v>
      </c>
      <c r="AC665" s="2">
        <v>44721</v>
      </c>
      <c r="AD665">
        <v>2022</v>
      </c>
      <c r="AE665">
        <v>22</v>
      </c>
      <c r="AF665" s="5">
        <v>0.66</v>
      </c>
      <c r="AG665" s="3" t="s">
        <v>62</v>
      </c>
    </row>
    <row r="666" spans="1:34" hidden="1" x14ac:dyDescent="0.35">
      <c r="A666" t="str">
        <f>_xlfn.CONCAT(Tableau1[[#This Row],[Athletes]],"_",Tableau1[[#This Row],[Nationality]],"_",Tableau1[[#This Row],[Competition_year]])</f>
        <v>Faith KIPYEGON_KEN_2023</v>
      </c>
      <c r="B666" s="7" t="s">
        <v>164</v>
      </c>
      <c r="C666" s="7" t="s">
        <v>47</v>
      </c>
      <c r="D666" s="7" t="s">
        <v>17</v>
      </c>
      <c r="E666" s="7">
        <v>14.8</v>
      </c>
      <c r="F666" s="7">
        <v>16.3</v>
      </c>
      <c r="G666" s="7">
        <v>15.5</v>
      </c>
      <c r="H666" s="7">
        <v>16.2</v>
      </c>
      <c r="I666" s="7">
        <v>15</v>
      </c>
      <c r="J666" s="7">
        <v>15.4</v>
      </c>
      <c r="K666" s="7">
        <v>15.3</v>
      </c>
      <c r="L666" s="7">
        <v>15.6</v>
      </c>
      <c r="M666" s="7">
        <v>15.5</v>
      </c>
      <c r="N666" s="7">
        <v>15.3</v>
      </c>
      <c r="O666" s="7">
        <v>15.3</v>
      </c>
      <c r="P666" s="7">
        <v>15</v>
      </c>
      <c r="Q666" s="7">
        <v>14.6</v>
      </c>
      <c r="R666" s="7">
        <v>14.5</v>
      </c>
      <c r="S666">
        <f>Tableau1[[#This Row],[Final_time]]-SUM(Tableau1[[#This Row],[0_100m]:[1300_1400m]])</f>
        <v>14.810000000000002</v>
      </c>
      <c r="T666">
        <v>229.11</v>
      </c>
      <c r="U666">
        <f t="shared" si="20"/>
        <v>229.11</v>
      </c>
      <c r="V666">
        <f t="shared" si="21"/>
        <v>0</v>
      </c>
      <c r="W666" s="12"/>
      <c r="X666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66" t="s">
        <v>300</v>
      </c>
      <c r="Z666" s="2" t="s">
        <v>43</v>
      </c>
      <c r="AA666" s="2"/>
      <c r="AB666" s="2" t="s">
        <v>65</v>
      </c>
      <c r="AC666" s="2">
        <v>45079</v>
      </c>
      <c r="AD666" s="3">
        <v>2023</v>
      </c>
      <c r="AE666" s="3">
        <v>18</v>
      </c>
      <c r="AF666" s="5">
        <v>0.81</v>
      </c>
      <c r="AG666" s="3" t="s">
        <v>94</v>
      </c>
      <c r="AH666" t="s">
        <v>268</v>
      </c>
    </row>
    <row r="667" spans="1:34" hidden="1" x14ac:dyDescent="0.35">
      <c r="A667" t="str">
        <f>_xlfn.CONCAT(Tableau1[[#This Row],[Athletes]],"_",Tableau1[[#This Row],[Nationality]],"_",Tableau1[[#This Row],[Competition_year]])</f>
        <v>Laura MUIR_GBR_2023</v>
      </c>
      <c r="B667" s="7" t="s">
        <v>153</v>
      </c>
      <c r="C667" s="7" t="s">
        <v>47</v>
      </c>
      <c r="D667" s="7" t="s">
        <v>20</v>
      </c>
      <c r="E667" s="7">
        <v>14.8</v>
      </c>
      <c r="F667" s="7">
        <v>16.5</v>
      </c>
      <c r="G667" s="7">
        <v>15.5</v>
      </c>
      <c r="H667" s="7">
        <v>16.2</v>
      </c>
      <c r="I667" s="7">
        <v>15.1</v>
      </c>
      <c r="J667" s="7">
        <v>15.4</v>
      </c>
      <c r="K667" s="7">
        <v>15.4</v>
      </c>
      <c r="L667" s="7">
        <v>15.7</v>
      </c>
      <c r="M667" s="7">
        <v>15.5</v>
      </c>
      <c r="N667" s="7">
        <v>15.8</v>
      </c>
      <c r="O667" s="7">
        <v>15.8</v>
      </c>
      <c r="P667" s="7">
        <v>15.9</v>
      </c>
      <c r="Q667" s="7">
        <v>16.100000000000001</v>
      </c>
      <c r="R667" s="7">
        <v>16.2</v>
      </c>
      <c r="S667">
        <f>Tableau1[[#This Row],[Final_time]]-SUM(Tableau1[[#This Row],[0_100m]:[1300_1400m]])</f>
        <v>17.189999999999969</v>
      </c>
      <c r="T667">
        <v>237.09</v>
      </c>
      <c r="U667">
        <f t="shared" si="20"/>
        <v>237.09</v>
      </c>
      <c r="V667">
        <f t="shared" si="21"/>
        <v>0</v>
      </c>
      <c r="W667" s="12"/>
      <c r="X667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67" t="s">
        <v>300</v>
      </c>
      <c r="Z667" s="2" t="s">
        <v>43</v>
      </c>
      <c r="AA667" s="2"/>
      <c r="AB667" s="2" t="s">
        <v>65</v>
      </c>
      <c r="AC667" s="2">
        <v>45079</v>
      </c>
      <c r="AD667" s="3">
        <v>2023</v>
      </c>
      <c r="AE667" s="3">
        <v>18</v>
      </c>
      <c r="AF667" s="5">
        <v>0.81</v>
      </c>
      <c r="AG667" s="3" t="s">
        <v>94</v>
      </c>
      <c r="AH667" t="s">
        <v>268</v>
      </c>
    </row>
    <row r="668" spans="1:34" hidden="1" x14ac:dyDescent="0.35">
      <c r="A668" t="str">
        <f>_xlfn.CONCAT(Tableau1[[#This Row],[Athletes]],"_",Tableau1[[#This Row],[Nationality]],"_",Tableau1[[#This Row],[Competition_year]])</f>
        <v>Jessica HULL_AUS_2023</v>
      </c>
      <c r="B668" s="7" t="s">
        <v>187</v>
      </c>
      <c r="C668" s="7" t="s">
        <v>47</v>
      </c>
      <c r="D668" s="7" t="s">
        <v>21</v>
      </c>
      <c r="E668" s="7">
        <v>14.9</v>
      </c>
      <c r="F668" s="7">
        <v>16.600000000000001</v>
      </c>
      <c r="G668" s="7">
        <v>15.6</v>
      </c>
      <c r="H668" s="7">
        <v>16.100000000000001</v>
      </c>
      <c r="I668" s="7">
        <v>15.2</v>
      </c>
      <c r="J668" s="7">
        <v>15.5</v>
      </c>
      <c r="K668" s="7">
        <v>15.8</v>
      </c>
      <c r="L668" s="7">
        <v>16</v>
      </c>
      <c r="M668" s="7">
        <v>15.8</v>
      </c>
      <c r="N668" s="7">
        <v>15.8</v>
      </c>
      <c r="O668" s="7">
        <v>15.9</v>
      </c>
      <c r="P668" s="7">
        <v>15.7</v>
      </c>
      <c r="Q668" s="7">
        <v>15.9</v>
      </c>
      <c r="R668" s="7">
        <v>15.9</v>
      </c>
      <c r="S668">
        <f>Tableau1[[#This Row],[Final_time]]-SUM(Tableau1[[#This Row],[0_100m]:[1300_1400m]])</f>
        <v>16.589999999999975</v>
      </c>
      <c r="T668">
        <v>237.29</v>
      </c>
      <c r="U668">
        <f t="shared" si="20"/>
        <v>237.29</v>
      </c>
      <c r="V668">
        <f t="shared" si="21"/>
        <v>0</v>
      </c>
      <c r="W668" s="12"/>
      <c r="X668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68" t="s">
        <v>300</v>
      </c>
      <c r="Z668" s="2" t="s">
        <v>43</v>
      </c>
      <c r="AA668" s="2"/>
      <c r="AB668" s="2" t="s">
        <v>65</v>
      </c>
      <c r="AC668" s="2">
        <v>45079</v>
      </c>
      <c r="AD668" s="3">
        <v>2023</v>
      </c>
      <c r="AE668" s="3">
        <v>18</v>
      </c>
      <c r="AF668" s="5">
        <v>0.81</v>
      </c>
      <c r="AG668" s="3" t="s">
        <v>94</v>
      </c>
      <c r="AH668" t="s">
        <v>268</v>
      </c>
    </row>
    <row r="669" spans="1:34" hidden="1" x14ac:dyDescent="0.35">
      <c r="A669" t="str">
        <f>_xlfn.CONCAT(Tableau1[[#This Row],[Athletes]],"_",Tableau1[[#This Row],[Nationality]],"_",Tableau1[[#This Row],[Competition_year]])</f>
        <v>Ciara MAGEEAN_IRL_2023</v>
      </c>
      <c r="B669" s="7" t="s">
        <v>180</v>
      </c>
      <c r="C669" s="7" t="s">
        <v>47</v>
      </c>
      <c r="D669" s="7" t="s">
        <v>35</v>
      </c>
      <c r="E669" s="7">
        <v>15</v>
      </c>
      <c r="F669" s="7">
        <v>16.8</v>
      </c>
      <c r="G669" s="7">
        <v>15.9</v>
      </c>
      <c r="H669" s="7">
        <v>16.100000000000001</v>
      </c>
      <c r="I669" s="7">
        <v>16</v>
      </c>
      <c r="J669" s="7">
        <v>16.5</v>
      </c>
      <c r="K669" s="7">
        <v>16.3</v>
      </c>
      <c r="L669" s="7">
        <v>16.899999999999999</v>
      </c>
      <c r="M669" s="7">
        <v>16.3</v>
      </c>
      <c r="N669" s="7">
        <v>16.5</v>
      </c>
      <c r="O669" s="7">
        <v>16.399999999999999</v>
      </c>
      <c r="P669" s="7">
        <v>16</v>
      </c>
      <c r="Q669" s="7">
        <v>15.6</v>
      </c>
      <c r="R669" s="7">
        <v>15.4</v>
      </c>
      <c r="S669">
        <f>Tableau1[[#This Row],[Final_time]]-SUM(Tableau1[[#This Row],[0_100m]:[1300_1400m]])</f>
        <v>15.249999999999972</v>
      </c>
      <c r="T669">
        <v>240.95</v>
      </c>
      <c r="U669">
        <f t="shared" si="20"/>
        <v>240.95</v>
      </c>
      <c r="V669">
        <f t="shared" si="21"/>
        <v>0</v>
      </c>
      <c r="W669" s="12"/>
      <c r="X669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69" t="s">
        <v>300</v>
      </c>
      <c r="Z669" s="2" t="s">
        <v>43</v>
      </c>
      <c r="AA669" s="2"/>
      <c r="AB669" s="2" t="s">
        <v>65</v>
      </c>
      <c r="AC669" s="2">
        <v>45079</v>
      </c>
      <c r="AD669" s="3">
        <v>2023</v>
      </c>
      <c r="AE669" s="3">
        <v>18</v>
      </c>
      <c r="AF669" s="5">
        <v>0.81</v>
      </c>
      <c r="AG669" s="3" t="s">
        <v>94</v>
      </c>
      <c r="AH669" t="s">
        <v>268</v>
      </c>
    </row>
    <row r="670" spans="1:34" hidden="1" x14ac:dyDescent="0.35">
      <c r="A670" t="str">
        <f>_xlfn.CONCAT(Tableau1[[#This Row],[Athletes]],"_",Tableau1[[#This Row],[Nationality]],"_",Tableau1[[#This Row],[Competition_year]])</f>
        <v>Axumawit EMBAYE_ETH_2023</v>
      </c>
      <c r="B670" s="7" t="s">
        <v>269</v>
      </c>
      <c r="C670" s="7" t="s">
        <v>47</v>
      </c>
      <c r="D670" s="7" t="s">
        <v>48</v>
      </c>
      <c r="E670" s="7">
        <v>15.15</v>
      </c>
      <c r="F670" s="7">
        <v>16.95</v>
      </c>
      <c r="G670" s="7">
        <v>15.3</v>
      </c>
      <c r="H670" s="7">
        <v>16.2</v>
      </c>
      <c r="I670" s="7">
        <v>16</v>
      </c>
      <c r="J670" s="7">
        <v>16.5</v>
      </c>
      <c r="K670" s="7">
        <v>16.7</v>
      </c>
      <c r="L670" s="7">
        <v>17</v>
      </c>
      <c r="M670" s="7">
        <v>16.3</v>
      </c>
      <c r="N670" s="7">
        <v>16.5</v>
      </c>
      <c r="O670" s="7">
        <v>16.399999999999999</v>
      </c>
      <c r="P670" s="7">
        <v>16.2</v>
      </c>
      <c r="Q670" s="7">
        <v>15.4</v>
      </c>
      <c r="R670" s="7">
        <v>15.2</v>
      </c>
      <c r="S670">
        <f>Tableau1[[#This Row],[Final_time]]-SUM(Tableau1[[#This Row],[0_100m]:[1300_1400m]])</f>
        <v>15.179999999999978</v>
      </c>
      <c r="T670">
        <v>240.98</v>
      </c>
      <c r="U670">
        <f t="shared" si="20"/>
        <v>240.98</v>
      </c>
      <c r="V670">
        <f t="shared" si="21"/>
        <v>0</v>
      </c>
      <c r="W670" s="12"/>
      <c r="X670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0" t="s">
        <v>300</v>
      </c>
      <c r="Z670" s="2" t="s">
        <v>43</v>
      </c>
      <c r="AA670" s="2"/>
      <c r="AB670" s="2" t="s">
        <v>65</v>
      </c>
      <c r="AC670" s="2">
        <v>45079</v>
      </c>
      <c r="AD670" s="3">
        <v>2023</v>
      </c>
      <c r="AE670" s="3">
        <v>18</v>
      </c>
      <c r="AF670" s="5">
        <v>0.81</v>
      </c>
      <c r="AG670" s="3" t="s">
        <v>94</v>
      </c>
      <c r="AH670" t="s">
        <v>268</v>
      </c>
    </row>
    <row r="671" spans="1:34" hidden="1" x14ac:dyDescent="0.35">
      <c r="A671" t="str">
        <f>_xlfn.CONCAT(Tableau1[[#This Row],[Athletes]],"_",Tableau1[[#This Row],[Nationality]],"_",Tableau1[[#This Row],[Competition_year]])</f>
        <v>Abbey CALDWELL_AUS_2023</v>
      </c>
      <c r="B671" s="7" t="s">
        <v>156</v>
      </c>
      <c r="C671" s="7" t="s">
        <v>47</v>
      </c>
      <c r="D671" s="7" t="s">
        <v>21</v>
      </c>
      <c r="E671" s="7">
        <v>15.3</v>
      </c>
      <c r="F671" s="7">
        <v>16.899999999999999</v>
      </c>
      <c r="G671" s="7">
        <v>16.3</v>
      </c>
      <c r="H671" s="7">
        <v>15.8</v>
      </c>
      <c r="I671" s="7">
        <v>15.9</v>
      </c>
      <c r="J671" s="7">
        <v>16.3</v>
      </c>
      <c r="K671" s="7">
        <v>16.399999999999999</v>
      </c>
      <c r="L671" s="7">
        <v>16.899999999999999</v>
      </c>
      <c r="M671" s="7">
        <v>16.100000000000001</v>
      </c>
      <c r="N671" s="7">
        <v>16.5</v>
      </c>
      <c r="O671" s="7">
        <v>16.2</v>
      </c>
      <c r="P671" s="7">
        <v>16.2</v>
      </c>
      <c r="Q671" s="7">
        <v>15.3</v>
      </c>
      <c r="R671" s="7">
        <v>15.5</v>
      </c>
      <c r="S671">
        <f>Tableau1[[#This Row],[Final_time]]-SUM(Tableau1[[#This Row],[0_100m]:[1300_1400m]])</f>
        <v>15.740000000000009</v>
      </c>
      <c r="T671">
        <v>241.34</v>
      </c>
      <c r="U671">
        <f t="shared" si="20"/>
        <v>241.34</v>
      </c>
      <c r="V671">
        <f t="shared" si="21"/>
        <v>0</v>
      </c>
      <c r="W671" s="12"/>
      <c r="X671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1" t="s">
        <v>300</v>
      </c>
      <c r="Z671" s="2" t="s">
        <v>43</v>
      </c>
      <c r="AA671" s="2"/>
      <c r="AB671" s="2" t="s">
        <v>65</v>
      </c>
      <c r="AC671" s="2">
        <v>45079</v>
      </c>
      <c r="AD671" s="3">
        <v>2023</v>
      </c>
      <c r="AE671" s="3">
        <v>18</v>
      </c>
      <c r="AF671" s="5">
        <v>0.81</v>
      </c>
      <c r="AG671" s="3" t="s">
        <v>94</v>
      </c>
      <c r="AH671" t="s">
        <v>268</v>
      </c>
    </row>
    <row r="672" spans="1:34" hidden="1" x14ac:dyDescent="0.35">
      <c r="A672" t="str">
        <f>_xlfn.CONCAT(Tableau1[[#This Row],[Athletes]],"_",Tableau1[[#This Row],[Nationality]],"_",Tableau1[[#This Row],[Competition_year]])</f>
        <v>Josette ANDREWS_USA_2023</v>
      </c>
      <c r="B672" s="7" t="s">
        <v>296</v>
      </c>
      <c r="C672" s="7" t="s">
        <v>47</v>
      </c>
      <c r="D672" s="7" t="s">
        <v>51</v>
      </c>
      <c r="E672" s="7">
        <v>14.95</v>
      </c>
      <c r="F672" s="7">
        <v>16.850000000000001</v>
      </c>
      <c r="G672" s="7">
        <v>16.100000000000001</v>
      </c>
      <c r="H672" s="7">
        <v>16.100000000000001</v>
      </c>
      <c r="I672" s="7">
        <v>16</v>
      </c>
      <c r="J672" s="7">
        <v>16.399999999999999</v>
      </c>
      <c r="K672" s="7">
        <v>16.399999999999999</v>
      </c>
      <c r="L672" s="7">
        <v>16.600000000000001</v>
      </c>
      <c r="M672" s="7">
        <v>16.2</v>
      </c>
      <c r="N672" s="7">
        <v>16.600000000000001</v>
      </c>
      <c r="O672" s="7">
        <v>16.2</v>
      </c>
      <c r="P672" s="7">
        <v>16.2</v>
      </c>
      <c r="Q672" s="7">
        <v>15.9</v>
      </c>
      <c r="R672" s="7">
        <v>15.3</v>
      </c>
      <c r="S672">
        <f>Tableau1[[#This Row],[Final_time]]-SUM(Tableau1[[#This Row],[0_100m]:[1300_1400m]])</f>
        <v>15.590000000000003</v>
      </c>
      <c r="T672">
        <v>241.39</v>
      </c>
      <c r="U672">
        <f t="shared" si="20"/>
        <v>241.39</v>
      </c>
      <c r="V672">
        <f t="shared" si="21"/>
        <v>0</v>
      </c>
      <c r="W672" s="12"/>
      <c r="X672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2" t="s">
        <v>300</v>
      </c>
      <c r="Z672" s="2" t="s">
        <v>43</v>
      </c>
      <c r="AA672" s="2"/>
      <c r="AB672" s="2" t="s">
        <v>65</v>
      </c>
      <c r="AC672" s="2">
        <v>45079</v>
      </c>
      <c r="AD672" s="3">
        <v>2023</v>
      </c>
      <c r="AE672" s="3">
        <v>18</v>
      </c>
      <c r="AF672" s="5">
        <v>0.81</v>
      </c>
      <c r="AG672" s="3" t="s">
        <v>94</v>
      </c>
      <c r="AH672" t="s">
        <v>268</v>
      </c>
    </row>
    <row r="673" spans="1:34" hidden="1" x14ac:dyDescent="0.35">
      <c r="A673" t="str">
        <f>_xlfn.CONCAT(Tableau1[[#This Row],[Athletes]],"_",Tableau1[[#This Row],[Nationality]],"_",Tableau1[[#This Row],[Competition_year]])</f>
        <v>Cory Ann MCGEE_USA_2023</v>
      </c>
      <c r="B673" s="7" t="s">
        <v>181</v>
      </c>
      <c r="C673" s="7" t="s">
        <v>47</v>
      </c>
      <c r="D673" s="7" t="s">
        <v>51</v>
      </c>
      <c r="E673" s="7">
        <v>15.1</v>
      </c>
      <c r="F673" s="7">
        <v>16.899999999999999</v>
      </c>
      <c r="G673" s="7">
        <v>16.100000000000001</v>
      </c>
      <c r="H673" s="7">
        <v>16</v>
      </c>
      <c r="I673" s="7">
        <v>16</v>
      </c>
      <c r="J673" s="7">
        <v>16.399999999999999</v>
      </c>
      <c r="K673" s="7">
        <v>16.100000000000001</v>
      </c>
      <c r="L673" s="7">
        <v>16.7</v>
      </c>
      <c r="M673" s="7">
        <v>16.3</v>
      </c>
      <c r="N673" s="7">
        <v>16.5</v>
      </c>
      <c r="O673" s="7">
        <v>16.399999999999999</v>
      </c>
      <c r="P673" s="7">
        <v>16</v>
      </c>
      <c r="Q673" s="7">
        <v>15.5</v>
      </c>
      <c r="R673" s="7">
        <v>15.4</v>
      </c>
      <c r="S673">
        <f>Tableau1[[#This Row],[Final_time]]-SUM(Tableau1[[#This Row],[0_100m]:[1300_1400m]])</f>
        <v>16.049999999999983</v>
      </c>
      <c r="T673">
        <v>241.45</v>
      </c>
      <c r="U673">
        <f t="shared" si="20"/>
        <v>241.45</v>
      </c>
      <c r="V673">
        <f t="shared" si="21"/>
        <v>0</v>
      </c>
      <c r="W673" s="12"/>
      <c r="X673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3" t="s">
        <v>300</v>
      </c>
      <c r="Z673" s="2" t="s">
        <v>43</v>
      </c>
      <c r="AA673" s="2"/>
      <c r="AB673" s="2" t="s">
        <v>65</v>
      </c>
      <c r="AC673" s="2">
        <v>45079</v>
      </c>
      <c r="AD673" s="3">
        <v>2023</v>
      </c>
      <c r="AE673" s="3">
        <v>18</v>
      </c>
      <c r="AF673" s="5">
        <v>0.81</v>
      </c>
      <c r="AG673" s="3" t="s">
        <v>94</v>
      </c>
      <c r="AH673" t="s">
        <v>268</v>
      </c>
    </row>
    <row r="674" spans="1:34" hidden="1" x14ac:dyDescent="0.35">
      <c r="A674" t="str">
        <f>_xlfn.CONCAT(Tableau1[[#This Row],[Athletes]],"_",Tableau1[[#This Row],[Nationality]],"_",Tableau1[[#This Row],[Competition_year]])</f>
        <v>Sintayehu VISSA_ITA_2023</v>
      </c>
      <c r="B674" s="7" t="s">
        <v>297</v>
      </c>
      <c r="C674" s="7" t="s">
        <v>47</v>
      </c>
      <c r="D674" s="7" t="s">
        <v>19</v>
      </c>
      <c r="E674" s="7">
        <v>15.45</v>
      </c>
      <c r="F674" s="7">
        <v>16.95</v>
      </c>
      <c r="G674" s="7">
        <v>16.100000000000001</v>
      </c>
      <c r="H674" s="7">
        <v>16</v>
      </c>
      <c r="I674" s="7">
        <v>16.100000000000001</v>
      </c>
      <c r="J674" s="7">
        <v>16.399999999999999</v>
      </c>
      <c r="K674" s="7">
        <v>16.3</v>
      </c>
      <c r="L674" s="7">
        <v>16.8</v>
      </c>
      <c r="M674" s="7">
        <v>16.399999999999999</v>
      </c>
      <c r="N674" s="7">
        <v>16.399999999999999</v>
      </c>
      <c r="O674" s="7">
        <v>16.3</v>
      </c>
      <c r="P674" s="7">
        <v>16.100000000000001</v>
      </c>
      <c r="Q674" s="7">
        <v>15.7</v>
      </c>
      <c r="R674" s="7">
        <v>15.5</v>
      </c>
      <c r="S674">
        <f>Tableau1[[#This Row],[Final_time]]-SUM(Tableau1[[#This Row],[0_100m]:[1300_1400m]])</f>
        <v>15.47999999999999</v>
      </c>
      <c r="T674">
        <v>241.98</v>
      </c>
      <c r="U674">
        <f t="shared" si="20"/>
        <v>241.98</v>
      </c>
      <c r="V674">
        <f t="shared" si="21"/>
        <v>0</v>
      </c>
      <c r="W674" s="12"/>
      <c r="X674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4" t="s">
        <v>300</v>
      </c>
      <c r="Z674" s="2" t="s">
        <v>43</v>
      </c>
      <c r="AA674" s="2"/>
      <c r="AB674" s="2" t="s">
        <v>65</v>
      </c>
      <c r="AC674" s="2">
        <v>45079</v>
      </c>
      <c r="AD674" s="3">
        <v>2023</v>
      </c>
      <c r="AE674" s="3">
        <v>18</v>
      </c>
      <c r="AF674" s="5">
        <v>0.81</v>
      </c>
      <c r="AG674" s="3" t="s">
        <v>94</v>
      </c>
      <c r="AH674" t="s">
        <v>268</v>
      </c>
    </row>
    <row r="675" spans="1:34" hidden="1" x14ac:dyDescent="0.35">
      <c r="A675" t="str">
        <f>_xlfn.CONCAT(Tableau1[[#This Row],[Athletes]],"_",Tableau1[[#This Row],[Nationality]],"_",Tableau1[[#This Row],[Competition_year]])</f>
        <v>Linden HALL_AUS_2023</v>
      </c>
      <c r="B675" s="7" t="s">
        <v>184</v>
      </c>
      <c r="C675" s="7" t="s">
        <v>47</v>
      </c>
      <c r="D675" s="7" t="s">
        <v>21</v>
      </c>
      <c r="E675" s="7">
        <v>15.25</v>
      </c>
      <c r="F675" s="7">
        <v>16.850000000000001</v>
      </c>
      <c r="G675" s="7">
        <v>16.100000000000001</v>
      </c>
      <c r="H675" s="7">
        <v>16.100000000000001</v>
      </c>
      <c r="I675" s="7">
        <v>16</v>
      </c>
      <c r="J675" s="7">
        <v>16.399999999999999</v>
      </c>
      <c r="K675" s="7">
        <v>16.3</v>
      </c>
      <c r="L675" s="7">
        <v>16.8</v>
      </c>
      <c r="M675" s="7">
        <v>16.3</v>
      </c>
      <c r="N675" s="7">
        <v>16.5</v>
      </c>
      <c r="O675" s="7">
        <v>16.3</v>
      </c>
      <c r="P675" s="7">
        <v>16.100000000000001</v>
      </c>
      <c r="Q675" s="7">
        <v>15.7</v>
      </c>
      <c r="R675" s="7">
        <v>16</v>
      </c>
      <c r="S675">
        <f>Tableau1[[#This Row],[Final_time]]-SUM(Tableau1[[#This Row],[0_100m]:[1300_1400m]])</f>
        <v>15.72999999999999</v>
      </c>
      <c r="T675">
        <v>242.43</v>
      </c>
      <c r="U675">
        <f t="shared" si="20"/>
        <v>242.43</v>
      </c>
      <c r="V675">
        <f t="shared" si="21"/>
        <v>0</v>
      </c>
      <c r="W675" s="12"/>
      <c r="X675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5" t="s">
        <v>300</v>
      </c>
      <c r="Z675" s="2" t="s">
        <v>43</v>
      </c>
      <c r="AA675" s="2"/>
      <c r="AB675" s="2" t="s">
        <v>65</v>
      </c>
      <c r="AC675" s="2">
        <v>45079</v>
      </c>
      <c r="AD675" s="3">
        <v>2023</v>
      </c>
      <c r="AE675" s="3">
        <v>18</v>
      </c>
      <c r="AF675" s="5">
        <v>0.81</v>
      </c>
      <c r="AG675" s="3" t="s">
        <v>94</v>
      </c>
      <c r="AH675" t="s">
        <v>268</v>
      </c>
    </row>
    <row r="676" spans="1:34" hidden="1" x14ac:dyDescent="0.35">
      <c r="A676" t="str">
        <f>_xlfn.CONCAT(Tableau1[[#This Row],[Athletes]],"_",Tableau1[[#This Row],[Nationality]],"_",Tableau1[[#This Row],[Competition_year]])</f>
        <v>Ludovica CAVALLI_ITA_2023</v>
      </c>
      <c r="B676" s="7" t="s">
        <v>182</v>
      </c>
      <c r="C676" s="7" t="s">
        <v>47</v>
      </c>
      <c r="D676" s="7" t="s">
        <v>19</v>
      </c>
      <c r="E676" s="7">
        <v>15.65</v>
      </c>
      <c r="F676" s="7">
        <v>16.75</v>
      </c>
      <c r="G676" s="7">
        <v>15.8</v>
      </c>
      <c r="H676" s="7">
        <v>15.8</v>
      </c>
      <c r="I676" s="7">
        <v>16.100000000000001</v>
      </c>
      <c r="J676" s="7">
        <v>16.7</v>
      </c>
      <c r="K676" s="7">
        <v>16.3</v>
      </c>
      <c r="L676" s="7">
        <v>16.8</v>
      </c>
      <c r="M676" s="7">
        <v>16.399999999999999</v>
      </c>
      <c r="N676" s="7">
        <v>16.5</v>
      </c>
      <c r="O676" s="7">
        <v>16.2</v>
      </c>
      <c r="P676" s="7">
        <v>16.100000000000001</v>
      </c>
      <c r="Q676" s="7">
        <v>15.4</v>
      </c>
      <c r="R676" s="7">
        <v>15.9</v>
      </c>
      <c r="S676">
        <f>Tableau1[[#This Row],[Final_time]]-SUM(Tableau1[[#This Row],[0_100m]:[1300_1400m]])</f>
        <v>16.639999999999986</v>
      </c>
      <c r="T676">
        <v>243.04</v>
      </c>
      <c r="U676">
        <f t="shared" si="20"/>
        <v>243.04</v>
      </c>
      <c r="V676">
        <f t="shared" si="21"/>
        <v>0</v>
      </c>
      <c r="W676" s="12"/>
      <c r="X676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6" t="s">
        <v>300</v>
      </c>
      <c r="Z676" s="2" t="s">
        <v>43</v>
      </c>
      <c r="AA676" s="2"/>
      <c r="AB676" s="2" t="s">
        <v>65</v>
      </c>
      <c r="AC676" s="2">
        <v>45079</v>
      </c>
      <c r="AD676" s="3">
        <v>2023</v>
      </c>
      <c r="AE676" s="3">
        <v>18</v>
      </c>
      <c r="AF676" s="5">
        <v>0.81</v>
      </c>
      <c r="AG676" s="3" t="s">
        <v>94</v>
      </c>
      <c r="AH676" t="s">
        <v>268</v>
      </c>
    </row>
    <row r="677" spans="1:34" hidden="1" x14ac:dyDescent="0.35">
      <c r="A677" t="str">
        <f>_xlfn.CONCAT(Tableau1[[#This Row],[Athletes]],"_",Tableau1[[#This Row],[Nationality]],"_",Tableau1[[#This Row],[Competition_year]])</f>
        <v>Gabriela DEBUES-STAFFORD_CAN_2023</v>
      </c>
      <c r="B677" s="7" t="s">
        <v>298</v>
      </c>
      <c r="C677" s="7" t="s">
        <v>47</v>
      </c>
      <c r="D677" s="7" t="s">
        <v>55</v>
      </c>
      <c r="E677" s="7">
        <v>15.5</v>
      </c>
      <c r="F677" s="7">
        <v>17.2</v>
      </c>
      <c r="G677" s="7">
        <v>16.399999999999999</v>
      </c>
      <c r="H677" s="7">
        <v>16.2</v>
      </c>
      <c r="I677" s="7">
        <v>16.2</v>
      </c>
      <c r="J677" s="7">
        <v>16.100000000000001</v>
      </c>
      <c r="K677" s="7">
        <v>16.600000000000001</v>
      </c>
      <c r="L677" s="7">
        <v>16.5</v>
      </c>
      <c r="M677" s="7">
        <v>16.399999999999999</v>
      </c>
      <c r="N677" s="7">
        <v>16.100000000000001</v>
      </c>
      <c r="O677" s="7">
        <v>16.2</v>
      </c>
      <c r="P677" s="7">
        <v>16.2</v>
      </c>
      <c r="Q677" s="7">
        <v>15.6</v>
      </c>
      <c r="R677" s="7">
        <v>15.8</v>
      </c>
      <c r="S677">
        <f>Tableau1[[#This Row],[Final_time]]-SUM(Tableau1[[#This Row],[0_100m]:[1300_1400m]])</f>
        <v>16.640000000000015</v>
      </c>
      <c r="T677">
        <v>243.64</v>
      </c>
      <c r="U677">
        <f t="shared" si="20"/>
        <v>243.64</v>
      </c>
      <c r="V677">
        <f t="shared" si="21"/>
        <v>0</v>
      </c>
      <c r="W677" s="12"/>
      <c r="X677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7" t="s">
        <v>300</v>
      </c>
      <c r="Z677" s="2" t="s">
        <v>43</v>
      </c>
      <c r="AA677" s="2"/>
      <c r="AB677" s="2" t="s">
        <v>65</v>
      </c>
      <c r="AC677" s="2">
        <v>45079</v>
      </c>
      <c r="AD677" s="3">
        <v>2023</v>
      </c>
      <c r="AE677" s="3">
        <v>18</v>
      </c>
      <c r="AF677" s="5">
        <v>0.81</v>
      </c>
      <c r="AG677" s="3" t="s">
        <v>94</v>
      </c>
      <c r="AH677" t="s">
        <v>268</v>
      </c>
    </row>
    <row r="678" spans="1:34" hidden="1" x14ac:dyDescent="0.35">
      <c r="A678" t="str">
        <f>_xlfn.CONCAT(Tableau1[[#This Row],[Athletes]],"_",Tableau1[[#This Row],[Nationality]],"_",Tableau1[[#This Row],[Competition_year]])</f>
        <v>Federica DEL BUONO_ITA_2023</v>
      </c>
      <c r="B678" s="7" t="s">
        <v>243</v>
      </c>
      <c r="C678" s="7" t="s">
        <v>47</v>
      </c>
      <c r="D678" s="7" t="s">
        <v>19</v>
      </c>
      <c r="E678" s="7">
        <v>15.8</v>
      </c>
      <c r="F678" s="7">
        <v>16.8</v>
      </c>
      <c r="G678" s="7">
        <v>16.100000000000001</v>
      </c>
      <c r="H678" s="7">
        <v>16.2</v>
      </c>
      <c r="I678" s="7">
        <v>16</v>
      </c>
      <c r="J678" s="7">
        <v>16.2</v>
      </c>
      <c r="K678" s="7">
        <v>16.100000000000001</v>
      </c>
      <c r="L678" s="7">
        <v>16.899999999999999</v>
      </c>
      <c r="M678" s="7">
        <v>16.3</v>
      </c>
      <c r="N678" s="7">
        <v>16.5</v>
      </c>
      <c r="O678" s="7">
        <v>16.2</v>
      </c>
      <c r="P678" s="7">
        <v>16.3</v>
      </c>
      <c r="Q678" s="7">
        <v>15.9</v>
      </c>
      <c r="R678" s="7">
        <v>16.2</v>
      </c>
      <c r="S678">
        <f>Tableau1[[#This Row],[Final_time]]-SUM(Tableau1[[#This Row],[0_100m]:[1300_1400m]])</f>
        <v>17.589999999999975</v>
      </c>
      <c r="T678">
        <v>245.09</v>
      </c>
      <c r="U678">
        <f t="shared" si="20"/>
        <v>245.09</v>
      </c>
      <c r="V678">
        <f t="shared" si="21"/>
        <v>0</v>
      </c>
      <c r="W678" s="12"/>
      <c r="X678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8" t="s">
        <v>300</v>
      </c>
      <c r="Z678" s="2" t="s">
        <v>43</v>
      </c>
      <c r="AA678" s="2"/>
      <c r="AB678" s="2" t="s">
        <v>65</v>
      </c>
      <c r="AC678" s="2">
        <v>45079</v>
      </c>
      <c r="AD678" s="3">
        <v>2023</v>
      </c>
      <c r="AE678" s="3">
        <v>18</v>
      </c>
      <c r="AF678" s="5">
        <v>0.81</v>
      </c>
      <c r="AG678" s="3" t="s">
        <v>94</v>
      </c>
      <c r="AH678" t="s">
        <v>268</v>
      </c>
    </row>
    <row r="679" spans="1:34" hidden="1" x14ac:dyDescent="0.35">
      <c r="A679" t="str">
        <f>_xlfn.CONCAT(Tableau1[[#This Row],[Athletes]],"_",Tableau1[[#This Row],[Nationality]],"_",Tableau1[[#This Row],[Competition_year]])</f>
        <v>Marta GARCÍA_ESP_2023</v>
      </c>
      <c r="B679" s="7" t="s">
        <v>299</v>
      </c>
      <c r="C679" s="7" t="s">
        <v>47</v>
      </c>
      <c r="D679" s="7" t="s">
        <v>22</v>
      </c>
      <c r="E679" s="7">
        <v>15.45</v>
      </c>
      <c r="F679" s="7">
        <v>16.95</v>
      </c>
      <c r="G679" s="7">
        <v>16.100000000000001</v>
      </c>
      <c r="H679" s="7">
        <v>16.2</v>
      </c>
      <c r="I679" s="7">
        <v>16.100000000000001</v>
      </c>
      <c r="J679" s="7">
        <v>16.3</v>
      </c>
      <c r="K679" s="7">
        <v>16.399999999999999</v>
      </c>
      <c r="L679" s="7">
        <v>16.899999999999999</v>
      </c>
      <c r="M679" s="7">
        <v>16.399999999999999</v>
      </c>
      <c r="N679" s="7">
        <v>16.399999999999999</v>
      </c>
      <c r="O679" s="7">
        <v>16.600000000000001</v>
      </c>
      <c r="P679" s="7">
        <v>16.399999999999999</v>
      </c>
      <c r="Q679" s="7">
        <v>16.5</v>
      </c>
      <c r="R679" s="7">
        <v>17</v>
      </c>
      <c r="S679">
        <f>Tableau1[[#This Row],[Final_time]]-SUM(Tableau1[[#This Row],[0_100m]:[1300_1400m]])</f>
        <v>17.519999999999982</v>
      </c>
      <c r="T679">
        <v>247.22</v>
      </c>
      <c r="U679">
        <f t="shared" si="20"/>
        <v>247.22</v>
      </c>
      <c r="V679">
        <f t="shared" si="21"/>
        <v>0</v>
      </c>
      <c r="W679" s="12"/>
      <c r="X679" t="str">
        <f>_xlfn.CONCAT(Tableau1[[#This Row],[Competition]],"_",Tableau1[[#This Row],[Championship_step]],"_",Tableau1[[#This Row],[Competition_date]],"_",Tableau1[[#This Row],[Gender]])</f>
        <v>Diamond League Rome 2023__45079_Female</v>
      </c>
      <c r="Y679" t="s">
        <v>300</v>
      </c>
      <c r="Z679" s="2" t="s">
        <v>43</v>
      </c>
      <c r="AA679" s="2"/>
      <c r="AB679" s="2" t="s">
        <v>65</v>
      </c>
      <c r="AC679" s="2">
        <v>45079</v>
      </c>
      <c r="AD679" s="3">
        <v>2023</v>
      </c>
      <c r="AE679" s="3">
        <v>18</v>
      </c>
      <c r="AF679" s="5">
        <v>0.81</v>
      </c>
      <c r="AG679" s="3" t="s">
        <v>94</v>
      </c>
      <c r="AH679" t="s">
        <v>268</v>
      </c>
    </row>
    <row r="680" spans="1:34" hidden="1" x14ac:dyDescent="0.35">
      <c r="A680" t="str">
        <f>_xlfn.CONCAT(Tableau1[[#This Row],[Athletes]],"_",Tableau1[[#This Row],[Nationality]],"_",Tableau1[[#This Row],[Competition_year]])</f>
        <v>Faith KIPYEGON_KEN_2024</v>
      </c>
      <c r="B680" t="s">
        <v>164</v>
      </c>
      <c r="C680" t="s">
        <v>47</v>
      </c>
      <c r="D680" t="s">
        <v>17</v>
      </c>
      <c r="E680">
        <v>14.5</v>
      </c>
      <c r="F680">
        <v>14.9</v>
      </c>
      <c r="G680">
        <v>15.4</v>
      </c>
      <c r="H680">
        <v>15.6</v>
      </c>
      <c r="I680">
        <v>16.3</v>
      </c>
      <c r="J680">
        <v>16.3</v>
      </c>
      <c r="K680">
        <v>15.9</v>
      </c>
      <c r="L680">
        <v>16.399999999999999</v>
      </c>
      <c r="M680">
        <v>16.100000000000001</v>
      </c>
      <c r="N680">
        <v>15.8</v>
      </c>
      <c r="O680">
        <v>15.6</v>
      </c>
      <c r="P680">
        <v>15.5</v>
      </c>
      <c r="Q680">
        <v>15.4</v>
      </c>
      <c r="R680">
        <v>14.7</v>
      </c>
      <c r="S680">
        <f>Tableau1[[#This Row],[Final_time]]-SUM(Tableau1[[#This Row],[0_100m]:[1300_1400m]])</f>
        <v>14.489999999999981</v>
      </c>
      <c r="T680">
        <v>232.89</v>
      </c>
      <c r="U680">
        <f t="shared" si="20"/>
        <v>232.89</v>
      </c>
      <c r="V680">
        <f t="shared" si="21"/>
        <v>0</v>
      </c>
      <c r="W680" s="12"/>
      <c r="X680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0" t="s">
        <v>67</v>
      </c>
      <c r="Z680" s="2" t="s">
        <v>43</v>
      </c>
      <c r="AA680" s="2"/>
      <c r="AB680" s="2" t="s">
        <v>65</v>
      </c>
      <c r="AC680" s="2">
        <v>45534</v>
      </c>
      <c r="AD680" s="3">
        <v>2024</v>
      </c>
      <c r="AE680" s="3">
        <v>28</v>
      </c>
      <c r="AF680" s="5">
        <v>0.53</v>
      </c>
      <c r="AG680" s="3" t="s">
        <v>64</v>
      </c>
      <c r="AH680" t="s">
        <v>68</v>
      </c>
    </row>
    <row r="681" spans="1:34" hidden="1" x14ac:dyDescent="0.35">
      <c r="A681" t="str">
        <f>_xlfn.CONCAT(Tableau1[[#This Row],[Athletes]],"_",Tableau1[[#This Row],[Nationality]],"_",Tableau1[[#This Row],[Competition_year]])</f>
        <v>Freweyni HAILU_ETH_2024</v>
      </c>
      <c r="B681" t="s">
        <v>144</v>
      </c>
      <c r="C681" t="s">
        <v>47</v>
      </c>
      <c r="D681" t="s">
        <v>48</v>
      </c>
      <c r="E681">
        <v>15.3</v>
      </c>
      <c r="F681">
        <v>15.2</v>
      </c>
      <c r="G681">
        <v>15</v>
      </c>
      <c r="H681">
        <v>15.6</v>
      </c>
      <c r="I681">
        <v>16.100000000000001</v>
      </c>
      <c r="J681">
        <v>16.399999999999999</v>
      </c>
      <c r="K681">
        <v>15.6</v>
      </c>
      <c r="L681">
        <v>16.5</v>
      </c>
      <c r="M681">
        <v>16.2</v>
      </c>
      <c r="N681">
        <v>15.9</v>
      </c>
      <c r="O681">
        <v>15.6</v>
      </c>
      <c r="P681">
        <v>15.3</v>
      </c>
      <c r="Q681">
        <v>15.5</v>
      </c>
      <c r="R681">
        <v>15.1</v>
      </c>
      <c r="S681">
        <f>Tableau1[[#This Row],[Final_time]]-SUM(Tableau1[[#This Row],[0_100m]:[1300_1400m]])</f>
        <v>14.860000000000014</v>
      </c>
      <c r="T681">
        <v>234.16</v>
      </c>
      <c r="U681">
        <f t="shared" si="20"/>
        <v>234.16</v>
      </c>
      <c r="V681">
        <f t="shared" si="21"/>
        <v>0</v>
      </c>
      <c r="W681" s="12"/>
      <c r="X681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1" t="s">
        <v>67</v>
      </c>
      <c r="Z681" s="2" t="s">
        <v>43</v>
      </c>
      <c r="AA681" s="2"/>
      <c r="AB681" s="2" t="s">
        <v>65</v>
      </c>
      <c r="AC681" s="2">
        <v>45534</v>
      </c>
      <c r="AD681" s="3">
        <v>2024</v>
      </c>
      <c r="AE681" s="3">
        <v>28</v>
      </c>
      <c r="AF681" s="5">
        <v>0.53</v>
      </c>
      <c r="AG681" s="3" t="s">
        <v>64</v>
      </c>
      <c r="AH681" t="s">
        <v>68</v>
      </c>
    </row>
    <row r="682" spans="1:34" hidden="1" x14ac:dyDescent="0.35">
      <c r="A682" t="str">
        <f>_xlfn.CONCAT(Tableau1[[#This Row],[Athletes]],"_",Tableau1[[#This Row],[Nationality]],"_",Tableau1[[#This Row],[Competition_year]])</f>
        <v>Nadia BATTOCLETTI_ITA_2024</v>
      </c>
      <c r="B682" t="s">
        <v>1133</v>
      </c>
      <c r="C682" t="s">
        <v>47</v>
      </c>
      <c r="D682" t="s">
        <v>19</v>
      </c>
      <c r="E682">
        <v>14.8</v>
      </c>
      <c r="F682">
        <v>15.6</v>
      </c>
      <c r="G682">
        <v>15.7</v>
      </c>
      <c r="H682">
        <v>15.9</v>
      </c>
      <c r="I682">
        <v>16.3</v>
      </c>
      <c r="J682">
        <v>16.600000000000001</v>
      </c>
      <c r="K682">
        <v>16.3</v>
      </c>
      <c r="L682">
        <v>16.3</v>
      </c>
      <c r="M682">
        <v>16.8</v>
      </c>
      <c r="N682">
        <v>16.7</v>
      </c>
      <c r="O682">
        <v>16.7</v>
      </c>
      <c r="P682">
        <v>15.6</v>
      </c>
      <c r="Q682">
        <v>15.5</v>
      </c>
      <c r="R682">
        <v>15.3</v>
      </c>
      <c r="S682">
        <f>Tableau1[[#This Row],[Final_time]]-SUM(Tableau1[[#This Row],[0_100m]:[1300_1400m]])</f>
        <v>15.090000000000003</v>
      </c>
      <c r="T682">
        <v>239.19</v>
      </c>
      <c r="U682">
        <f t="shared" si="20"/>
        <v>239.19</v>
      </c>
      <c r="V682">
        <f t="shared" si="21"/>
        <v>0</v>
      </c>
      <c r="W682" s="12"/>
      <c r="X682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2" t="s">
        <v>67</v>
      </c>
      <c r="Z682" s="2" t="s">
        <v>43</v>
      </c>
      <c r="AA682" s="2"/>
      <c r="AB682" s="2" t="s">
        <v>65</v>
      </c>
      <c r="AC682" s="2">
        <v>45534</v>
      </c>
      <c r="AD682" s="3">
        <v>2024</v>
      </c>
      <c r="AE682" s="3">
        <v>28</v>
      </c>
      <c r="AF682" s="5">
        <v>0.53</v>
      </c>
      <c r="AG682" s="3" t="s">
        <v>64</v>
      </c>
      <c r="AH682" t="s">
        <v>68</v>
      </c>
    </row>
    <row r="683" spans="1:34" hidden="1" x14ac:dyDescent="0.35">
      <c r="A683" t="str">
        <f>_xlfn.CONCAT(Tableau1[[#This Row],[Athletes]],"_",Tableau1[[#This Row],[Nationality]],"_",Tableau1[[#This Row],[Competition_year]])</f>
        <v>Birke HAYLOM_ETH_2024</v>
      </c>
      <c r="B683" t="s">
        <v>179</v>
      </c>
      <c r="C683" t="s">
        <v>47</v>
      </c>
      <c r="D683" t="s">
        <v>48</v>
      </c>
      <c r="E683">
        <v>14.6</v>
      </c>
      <c r="F683">
        <v>15</v>
      </c>
      <c r="G683">
        <v>15</v>
      </c>
      <c r="H683">
        <v>15.7</v>
      </c>
      <c r="I683">
        <v>16.2</v>
      </c>
      <c r="J683">
        <v>16.3</v>
      </c>
      <c r="K683">
        <v>15.8</v>
      </c>
      <c r="L683">
        <v>16.8</v>
      </c>
      <c r="M683">
        <v>16.3</v>
      </c>
      <c r="N683">
        <v>15.9</v>
      </c>
      <c r="O683">
        <v>15.5</v>
      </c>
      <c r="P683">
        <v>15.5</v>
      </c>
      <c r="Q683">
        <v>15.4</v>
      </c>
      <c r="R683">
        <v>15.6</v>
      </c>
      <c r="S683">
        <f>Tableau1[[#This Row],[Final_time]]-SUM(Tableau1[[#This Row],[0_100m]:[1300_1400m]])</f>
        <v>15.189999999999998</v>
      </c>
      <c r="T683">
        <v>234.79</v>
      </c>
      <c r="U683">
        <f t="shared" si="20"/>
        <v>234.79</v>
      </c>
      <c r="V683">
        <f t="shared" si="21"/>
        <v>0</v>
      </c>
      <c r="W683" s="12"/>
      <c r="X683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3" t="s">
        <v>67</v>
      </c>
      <c r="Z683" s="2" t="s">
        <v>43</v>
      </c>
      <c r="AA683" s="2"/>
      <c r="AB683" s="2" t="s">
        <v>65</v>
      </c>
      <c r="AC683" s="2">
        <v>45534</v>
      </c>
      <c r="AD683" s="3">
        <v>2024</v>
      </c>
      <c r="AE683" s="3">
        <v>28</v>
      </c>
      <c r="AF683" s="5">
        <v>0.53</v>
      </c>
      <c r="AG683" s="3" t="s">
        <v>64</v>
      </c>
      <c r="AH683" t="s">
        <v>68</v>
      </c>
    </row>
    <row r="684" spans="1:34" hidden="1" x14ac:dyDescent="0.35">
      <c r="A684" t="str">
        <f>_xlfn.CONCAT(Tableau1[[#This Row],[Athletes]],"_",Tableau1[[#This Row],[Nationality]],"_",Tableau1[[#This Row],[Competition_year]])</f>
        <v>Sintayehu VISSA_ITA_2024</v>
      </c>
      <c r="B684" t="s">
        <v>297</v>
      </c>
      <c r="C684" t="s">
        <v>47</v>
      </c>
      <c r="D684" t="s">
        <v>19</v>
      </c>
      <c r="E684">
        <v>15.1</v>
      </c>
      <c r="F684">
        <v>15.5</v>
      </c>
      <c r="G684">
        <v>15.4</v>
      </c>
      <c r="H684">
        <v>15.7</v>
      </c>
      <c r="I684">
        <v>16.100000000000001</v>
      </c>
      <c r="J684">
        <v>16.600000000000001</v>
      </c>
      <c r="K684">
        <v>16.100000000000001</v>
      </c>
      <c r="L684">
        <v>16.100000000000001</v>
      </c>
      <c r="M684">
        <v>16.2</v>
      </c>
      <c r="N684">
        <v>16.399999999999999</v>
      </c>
      <c r="O684">
        <v>15.8</v>
      </c>
      <c r="P684">
        <v>15.7</v>
      </c>
      <c r="Q684">
        <v>15.7</v>
      </c>
      <c r="R684">
        <v>16.2</v>
      </c>
      <c r="S684">
        <f>Tableau1[[#This Row],[Final_time]]-SUM(Tableau1[[#This Row],[0_100m]:[1300_1400m]])</f>
        <v>15.520000000000039</v>
      </c>
      <c r="T684">
        <v>238.12</v>
      </c>
      <c r="U684">
        <f t="shared" si="20"/>
        <v>238.12</v>
      </c>
      <c r="V684">
        <f t="shared" si="21"/>
        <v>0</v>
      </c>
      <c r="W684" s="12"/>
      <c r="X684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4" t="s">
        <v>67</v>
      </c>
      <c r="Z684" s="2" t="s">
        <v>43</v>
      </c>
      <c r="AA684" s="2"/>
      <c r="AB684" s="2" t="s">
        <v>65</v>
      </c>
      <c r="AC684" s="2">
        <v>45534</v>
      </c>
      <c r="AD684" s="3">
        <v>2024</v>
      </c>
      <c r="AE684" s="3">
        <v>28</v>
      </c>
      <c r="AF684" s="5">
        <v>0.53</v>
      </c>
      <c r="AG684" s="3" t="s">
        <v>64</v>
      </c>
      <c r="AH684" t="s">
        <v>68</v>
      </c>
    </row>
    <row r="685" spans="1:34" hidden="1" x14ac:dyDescent="0.35">
      <c r="A685" t="str">
        <f>_xlfn.CONCAT(Tableau1[[#This Row],[Athletes]],"_",Tableau1[[#This Row],[Nationality]],"_",Tableau1[[#This Row],[Competition_year]])</f>
        <v>Nelly CHEPCHIRCHIR_KEN_2024</v>
      </c>
      <c r="B685" t="s">
        <v>178</v>
      </c>
      <c r="C685" t="s">
        <v>47</v>
      </c>
      <c r="D685" t="s">
        <v>17</v>
      </c>
      <c r="E685">
        <v>14.8</v>
      </c>
      <c r="F685">
        <v>15.2</v>
      </c>
      <c r="G685">
        <v>15.5</v>
      </c>
      <c r="H685">
        <v>15.7</v>
      </c>
      <c r="I685">
        <v>16.100000000000001</v>
      </c>
      <c r="J685">
        <v>16.600000000000001</v>
      </c>
      <c r="K685">
        <v>15.4</v>
      </c>
      <c r="L685">
        <v>16.3</v>
      </c>
      <c r="M685">
        <v>16.2</v>
      </c>
      <c r="N685">
        <v>15.9</v>
      </c>
      <c r="O685">
        <v>15.6</v>
      </c>
      <c r="P685">
        <v>15.7</v>
      </c>
      <c r="Q685">
        <v>15.8</v>
      </c>
      <c r="R685">
        <v>15.8</v>
      </c>
      <c r="S685">
        <f>Tableau1[[#This Row],[Final_time]]-SUM(Tableau1[[#This Row],[0_100m]:[1300_1400m]])</f>
        <v>15.539999999999964</v>
      </c>
      <c r="T685">
        <v>236.14</v>
      </c>
      <c r="U685">
        <f t="shared" si="20"/>
        <v>236.14</v>
      </c>
      <c r="V685">
        <f t="shared" si="21"/>
        <v>0</v>
      </c>
      <c r="W685" s="12"/>
      <c r="X685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5" t="s">
        <v>67</v>
      </c>
      <c r="Z685" s="2" t="s">
        <v>43</v>
      </c>
      <c r="AA685" s="2"/>
      <c r="AB685" s="2" t="s">
        <v>65</v>
      </c>
      <c r="AC685" s="2">
        <v>45534</v>
      </c>
      <c r="AD685" s="3">
        <v>2024</v>
      </c>
      <c r="AE685" s="3">
        <v>28</v>
      </c>
      <c r="AF685" s="5">
        <v>0.53</v>
      </c>
      <c r="AG685" s="3" t="s">
        <v>64</v>
      </c>
      <c r="AH685" t="s">
        <v>68</v>
      </c>
    </row>
    <row r="686" spans="1:34" hidden="1" x14ac:dyDescent="0.35">
      <c r="A686" t="str">
        <f>_xlfn.CONCAT(Tableau1[[#This Row],[Athletes]],"_",Tableau1[[#This Row],[Nationality]],"_",Tableau1[[#This Row],[Competition_year]])</f>
        <v>Sarah HEALY_IRL_2024</v>
      </c>
      <c r="B686" t="s">
        <v>166</v>
      </c>
      <c r="C686" t="s">
        <v>47</v>
      </c>
      <c r="D686" t="s">
        <v>35</v>
      </c>
      <c r="E686">
        <v>14.9</v>
      </c>
      <c r="F686">
        <v>15.3</v>
      </c>
      <c r="G686">
        <v>15.7</v>
      </c>
      <c r="H686">
        <v>15.7</v>
      </c>
      <c r="I686">
        <v>15.9</v>
      </c>
      <c r="J686">
        <v>16.600000000000001</v>
      </c>
      <c r="K686">
        <v>16.2</v>
      </c>
      <c r="L686">
        <v>16.2</v>
      </c>
      <c r="M686">
        <v>16.2</v>
      </c>
      <c r="N686">
        <v>16.399999999999999</v>
      </c>
      <c r="O686">
        <v>16</v>
      </c>
      <c r="P686">
        <v>15.8</v>
      </c>
      <c r="Q686">
        <v>15.7</v>
      </c>
      <c r="R686">
        <v>16.2</v>
      </c>
      <c r="S686">
        <f>Tableau1[[#This Row],[Final_time]]-SUM(Tableau1[[#This Row],[0_100m]:[1300_1400m]])</f>
        <v>15.619999999999976</v>
      </c>
      <c r="T686">
        <v>238.42</v>
      </c>
      <c r="U686">
        <f t="shared" si="20"/>
        <v>238.42</v>
      </c>
      <c r="V686">
        <f t="shared" si="21"/>
        <v>0</v>
      </c>
      <c r="W686" s="12"/>
      <c r="X686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6" t="s">
        <v>67</v>
      </c>
      <c r="Z686" s="2" t="s">
        <v>43</v>
      </c>
      <c r="AA686" s="2"/>
      <c r="AB686" s="2" t="s">
        <v>65</v>
      </c>
      <c r="AC686" s="2">
        <v>45534</v>
      </c>
      <c r="AD686" s="3">
        <v>2024</v>
      </c>
      <c r="AE686" s="3">
        <v>28</v>
      </c>
      <c r="AF686" s="5">
        <v>0.53</v>
      </c>
      <c r="AG686" s="3" t="s">
        <v>64</v>
      </c>
      <c r="AH686" t="s">
        <v>68</v>
      </c>
    </row>
    <row r="687" spans="1:34" hidden="1" x14ac:dyDescent="0.35">
      <c r="A687" t="str">
        <f>_xlfn.CONCAT(Tableau1[[#This Row],[Athletes]],"_",Tableau1[[#This Row],[Nationality]],"_",Tableau1[[#This Row],[Competition_year]])</f>
        <v>Worknesh MESELE_ETH_2024</v>
      </c>
      <c r="B687" t="s">
        <v>294</v>
      </c>
      <c r="C687" t="s">
        <v>47</v>
      </c>
      <c r="D687" t="s">
        <v>48</v>
      </c>
      <c r="E687">
        <v>14.7</v>
      </c>
      <c r="F687">
        <v>15.1</v>
      </c>
      <c r="G687">
        <v>15.3</v>
      </c>
      <c r="H687">
        <v>15.6</v>
      </c>
      <c r="I687">
        <v>16.399999999999999</v>
      </c>
      <c r="J687">
        <v>16.3</v>
      </c>
      <c r="K687">
        <v>15.9</v>
      </c>
      <c r="L687">
        <v>16.600000000000001</v>
      </c>
      <c r="M687">
        <v>16.2</v>
      </c>
      <c r="N687">
        <v>16</v>
      </c>
      <c r="O687">
        <v>15.8</v>
      </c>
      <c r="P687">
        <v>16</v>
      </c>
      <c r="Q687">
        <v>16.3</v>
      </c>
      <c r="R687">
        <v>16.2</v>
      </c>
      <c r="S687">
        <f>Tableau1[[#This Row],[Final_time]]-SUM(Tableau1[[#This Row],[0_100m]:[1300_1400m]])</f>
        <v>15.75</v>
      </c>
      <c r="T687">
        <v>238.15</v>
      </c>
      <c r="U687">
        <f t="shared" si="20"/>
        <v>238.15</v>
      </c>
      <c r="V687">
        <f t="shared" si="21"/>
        <v>0</v>
      </c>
      <c r="W687" s="12"/>
      <c r="X687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7" t="s">
        <v>67</v>
      </c>
      <c r="Z687" s="2" t="s">
        <v>43</v>
      </c>
      <c r="AA687" s="2"/>
      <c r="AB687" s="2" t="s">
        <v>65</v>
      </c>
      <c r="AC687" s="2">
        <v>45534</v>
      </c>
      <c r="AD687" s="3">
        <v>2024</v>
      </c>
      <c r="AE687" s="3">
        <v>28</v>
      </c>
      <c r="AF687" s="5">
        <v>0.53</v>
      </c>
      <c r="AG687" s="3" t="s">
        <v>64</v>
      </c>
      <c r="AH687" t="s">
        <v>68</v>
      </c>
    </row>
    <row r="688" spans="1:34" hidden="1" x14ac:dyDescent="0.35">
      <c r="A688" t="str">
        <f>_xlfn.CONCAT(Tableau1[[#This Row],[Athletes]],"_",Tableau1[[#This Row],[Nationality]],"_",Tableau1[[#This Row],[Competition_year]])</f>
        <v>Revee WALCOTT-NOLAN_GBR_2024</v>
      </c>
      <c r="B688" t="s">
        <v>635</v>
      </c>
      <c r="C688" t="s">
        <v>47</v>
      </c>
      <c r="D688" t="s">
        <v>20</v>
      </c>
      <c r="E688">
        <v>15</v>
      </c>
      <c r="F688">
        <v>15.6</v>
      </c>
      <c r="G688">
        <v>15.7</v>
      </c>
      <c r="H688">
        <v>15.9</v>
      </c>
      <c r="I688">
        <v>15.8</v>
      </c>
      <c r="J688">
        <v>16.5</v>
      </c>
      <c r="K688">
        <v>16.100000000000001</v>
      </c>
      <c r="L688">
        <v>16.100000000000001</v>
      </c>
      <c r="M688">
        <v>16.3</v>
      </c>
      <c r="N688">
        <v>16.399999999999999</v>
      </c>
      <c r="O688">
        <v>16.100000000000001</v>
      </c>
      <c r="P688">
        <v>15.6</v>
      </c>
      <c r="Q688">
        <v>15.7</v>
      </c>
      <c r="R688">
        <v>16.100000000000001</v>
      </c>
      <c r="S688">
        <f>Tableau1[[#This Row],[Final_time]]-SUM(Tableau1[[#This Row],[0_100m]:[1300_1400m]])</f>
        <v>15.78000000000003</v>
      </c>
      <c r="T688">
        <v>238.68</v>
      </c>
      <c r="U688">
        <f t="shared" si="20"/>
        <v>238.68</v>
      </c>
      <c r="V688">
        <f t="shared" si="21"/>
        <v>0</v>
      </c>
      <c r="W688" s="12"/>
      <c r="X688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8" t="s">
        <v>67</v>
      </c>
      <c r="Z688" s="2" t="s">
        <v>43</v>
      </c>
      <c r="AA688" s="2"/>
      <c r="AB688" s="2" t="s">
        <v>65</v>
      </c>
      <c r="AC688" s="2">
        <v>45534</v>
      </c>
      <c r="AD688" s="3">
        <v>2024</v>
      </c>
      <c r="AE688" s="3">
        <v>28</v>
      </c>
      <c r="AF688" s="5">
        <v>0.53</v>
      </c>
      <c r="AG688" s="3" t="s">
        <v>64</v>
      </c>
      <c r="AH688" t="s">
        <v>68</v>
      </c>
    </row>
    <row r="689" spans="1:34" hidden="1" x14ac:dyDescent="0.35">
      <c r="A689" t="str">
        <f>_xlfn.CONCAT(Tableau1[[#This Row],[Athletes]],"_",Tableau1[[#This Row],[Nationality]],"_",Tableau1[[#This Row],[Competition_year]])</f>
        <v>Jessica HULL_AUS_2024</v>
      </c>
      <c r="B689" t="s">
        <v>187</v>
      </c>
      <c r="C689" t="s">
        <v>47</v>
      </c>
      <c r="D689" t="s">
        <v>21</v>
      </c>
      <c r="E689">
        <v>14.8</v>
      </c>
      <c r="F689">
        <v>15.2</v>
      </c>
      <c r="G689">
        <v>15.3</v>
      </c>
      <c r="H689">
        <v>15.6</v>
      </c>
      <c r="I689">
        <v>16</v>
      </c>
      <c r="J689">
        <v>16.2</v>
      </c>
      <c r="K689">
        <v>15.8</v>
      </c>
      <c r="L689">
        <v>16.5</v>
      </c>
      <c r="M689">
        <v>16.100000000000001</v>
      </c>
      <c r="N689">
        <v>15.8</v>
      </c>
      <c r="O689">
        <v>15.6</v>
      </c>
      <c r="P689">
        <v>15.5</v>
      </c>
      <c r="Q689">
        <v>15.4</v>
      </c>
      <c r="R689">
        <v>15.2</v>
      </c>
      <c r="S689">
        <f>Tableau1[[#This Row],[Final_time]]-SUM(Tableau1[[#This Row],[0_100m]:[1300_1400m]])</f>
        <v>15.97999999999999</v>
      </c>
      <c r="T689">
        <v>234.98</v>
      </c>
      <c r="U689">
        <f t="shared" si="20"/>
        <v>234.98</v>
      </c>
      <c r="V689">
        <f t="shared" si="21"/>
        <v>0</v>
      </c>
      <c r="W689" s="12"/>
      <c r="X689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89" t="s">
        <v>67</v>
      </c>
      <c r="Z689" s="2" t="s">
        <v>43</v>
      </c>
      <c r="AA689" s="2"/>
      <c r="AB689" s="2" t="s">
        <v>65</v>
      </c>
      <c r="AC689" s="2">
        <v>45534</v>
      </c>
      <c r="AD689" s="3">
        <v>2024</v>
      </c>
      <c r="AE689" s="3">
        <v>28</v>
      </c>
      <c r="AF689" s="5">
        <v>0.53</v>
      </c>
      <c r="AG689" s="3" t="s">
        <v>64</v>
      </c>
      <c r="AH689" t="s">
        <v>68</v>
      </c>
    </row>
    <row r="690" spans="1:34" hidden="1" x14ac:dyDescent="0.35">
      <c r="A690" t="str">
        <f>_xlfn.CONCAT(Tableau1[[#This Row],[Athletes]],"_",Tableau1[[#This Row],[Nationality]],"_",Tableau1[[#This Row],[Competition_year]])</f>
        <v>Linden HALL_AUS_2024</v>
      </c>
      <c r="B690" t="s">
        <v>184</v>
      </c>
      <c r="C690" t="s">
        <v>47</v>
      </c>
      <c r="D690" t="s">
        <v>21</v>
      </c>
      <c r="E690">
        <v>15.1</v>
      </c>
      <c r="F690">
        <v>15.3</v>
      </c>
      <c r="G690">
        <v>15.7</v>
      </c>
      <c r="H690">
        <v>15.7</v>
      </c>
      <c r="I690">
        <v>15.9</v>
      </c>
      <c r="J690">
        <v>16.600000000000001</v>
      </c>
      <c r="K690">
        <v>15.9</v>
      </c>
      <c r="L690">
        <v>16.100000000000001</v>
      </c>
      <c r="M690">
        <v>16.2</v>
      </c>
      <c r="N690">
        <v>16.3</v>
      </c>
      <c r="O690">
        <v>16</v>
      </c>
      <c r="P690">
        <v>15.7</v>
      </c>
      <c r="Q690">
        <v>15.8</v>
      </c>
      <c r="R690">
        <v>16.3</v>
      </c>
      <c r="S690">
        <f>Tableau1[[#This Row],[Final_time]]-SUM(Tableau1[[#This Row],[0_100m]:[1300_1400m]])</f>
        <v>16.239999999999981</v>
      </c>
      <c r="T690">
        <v>238.84</v>
      </c>
      <c r="U690">
        <f t="shared" si="20"/>
        <v>238.84</v>
      </c>
      <c r="V690">
        <f t="shared" si="21"/>
        <v>0</v>
      </c>
      <c r="W690" s="12"/>
      <c r="X690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90" t="s">
        <v>67</v>
      </c>
      <c r="Z690" s="2" t="s">
        <v>43</v>
      </c>
      <c r="AA690" s="2"/>
      <c r="AB690" s="2" t="s">
        <v>65</v>
      </c>
      <c r="AC690" s="2">
        <v>45534</v>
      </c>
      <c r="AD690" s="3">
        <v>2024</v>
      </c>
      <c r="AE690" s="3">
        <v>28</v>
      </c>
      <c r="AF690" s="5">
        <v>0.53</v>
      </c>
      <c r="AG690" s="3" t="s">
        <v>64</v>
      </c>
      <c r="AH690" t="s">
        <v>68</v>
      </c>
    </row>
    <row r="691" spans="1:34" hidden="1" x14ac:dyDescent="0.35">
      <c r="A691" t="str">
        <f>_xlfn.CONCAT(Tableau1[[#This Row],[Athletes]],"_",Tableau1[[#This Row],[Nationality]],"_",Tableau1[[#This Row],[Competition_year]])</f>
        <v>Ludovica CAVALLI_ITA_2024</v>
      </c>
      <c r="B691" t="s">
        <v>182</v>
      </c>
      <c r="C691" t="s">
        <v>47</v>
      </c>
      <c r="D691" t="s">
        <v>19</v>
      </c>
      <c r="E691">
        <v>15.4</v>
      </c>
      <c r="F691">
        <v>15.4</v>
      </c>
      <c r="G691">
        <v>15.7</v>
      </c>
      <c r="H691">
        <v>15.9</v>
      </c>
      <c r="I691">
        <v>16.2</v>
      </c>
      <c r="J691">
        <v>16.399999999999999</v>
      </c>
      <c r="K691">
        <v>16.5</v>
      </c>
      <c r="L691">
        <v>16.2</v>
      </c>
      <c r="M691">
        <v>16.8</v>
      </c>
      <c r="N691">
        <v>16.7</v>
      </c>
      <c r="O691">
        <v>16.3</v>
      </c>
      <c r="P691">
        <v>16.399999999999999</v>
      </c>
      <c r="Q691">
        <v>16.2</v>
      </c>
      <c r="R691">
        <v>16.2</v>
      </c>
      <c r="S691">
        <f>Tableau1[[#This Row],[Final_time]]-SUM(Tableau1[[#This Row],[0_100m]:[1300_1400m]])</f>
        <v>16.300000000000011</v>
      </c>
      <c r="T691">
        <v>242.6</v>
      </c>
      <c r="U691">
        <f t="shared" si="20"/>
        <v>242.6</v>
      </c>
      <c r="V691">
        <f t="shared" si="21"/>
        <v>0</v>
      </c>
      <c r="W691" s="12"/>
      <c r="X691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91" t="s">
        <v>67</v>
      </c>
      <c r="Z691" s="2" t="s">
        <v>43</v>
      </c>
      <c r="AA691" s="2"/>
      <c r="AB691" s="2" t="s">
        <v>65</v>
      </c>
      <c r="AC691" s="2">
        <v>45534</v>
      </c>
      <c r="AD691" s="3">
        <v>2024</v>
      </c>
      <c r="AE691" s="3">
        <v>28</v>
      </c>
      <c r="AF691" s="5">
        <v>0.53</v>
      </c>
      <c r="AG691" s="3" t="s">
        <v>64</v>
      </c>
      <c r="AH691" t="s">
        <v>68</v>
      </c>
    </row>
    <row r="692" spans="1:34" hidden="1" x14ac:dyDescent="0.35">
      <c r="A692" t="str">
        <f>_xlfn.CONCAT(Tableau1[[#This Row],[Athletes]],"_",Tableau1[[#This Row],[Nationality]],"_",Tableau1[[#This Row],[Competition_year]])</f>
        <v>Nigist GETACHEW_ETH_2024</v>
      </c>
      <c r="B692" t="s">
        <v>1150</v>
      </c>
      <c r="C692" t="s">
        <v>47</v>
      </c>
      <c r="D692" t="s">
        <v>48</v>
      </c>
      <c r="E692">
        <v>15.2</v>
      </c>
      <c r="F692">
        <v>15.5</v>
      </c>
      <c r="G692">
        <v>15.1</v>
      </c>
      <c r="H692">
        <v>15.5</v>
      </c>
      <c r="I692">
        <v>16.2</v>
      </c>
      <c r="J692">
        <v>16.7</v>
      </c>
      <c r="K692">
        <v>15.8</v>
      </c>
      <c r="L692">
        <v>16.5</v>
      </c>
      <c r="M692">
        <v>16.5</v>
      </c>
      <c r="N692">
        <v>16.399999999999999</v>
      </c>
      <c r="O692">
        <v>15.9</v>
      </c>
      <c r="P692">
        <v>16.3</v>
      </c>
      <c r="Q692">
        <v>16.600000000000001</v>
      </c>
      <c r="R692">
        <v>16.600000000000001</v>
      </c>
      <c r="S692">
        <f>Tableau1[[#This Row],[Final_time]]-SUM(Tableau1[[#This Row],[0_100m]:[1300_1400m]])</f>
        <v>16.889999999999986</v>
      </c>
      <c r="T692">
        <v>241.69</v>
      </c>
      <c r="U692">
        <f t="shared" si="20"/>
        <v>241.69</v>
      </c>
      <c r="V692">
        <f t="shared" si="21"/>
        <v>0</v>
      </c>
      <c r="W692" s="12"/>
      <c r="X692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92" t="s">
        <v>67</v>
      </c>
      <c r="Z692" s="2" t="s">
        <v>43</v>
      </c>
      <c r="AA692" s="2"/>
      <c r="AB692" s="2" t="s">
        <v>65</v>
      </c>
      <c r="AC692" s="2">
        <v>45534</v>
      </c>
      <c r="AD692" s="3">
        <v>2024</v>
      </c>
      <c r="AE692" s="3">
        <v>28</v>
      </c>
      <c r="AF692" s="5">
        <v>0.53</v>
      </c>
      <c r="AG692" s="3" t="s">
        <v>64</v>
      </c>
      <c r="AH692" t="s">
        <v>68</v>
      </c>
    </row>
    <row r="693" spans="1:34" hidden="1" x14ac:dyDescent="0.35">
      <c r="A693" t="str">
        <f>_xlfn.CONCAT(Tableau1[[#This Row],[Athletes]],"_",Tableau1[[#This Row],[Nationality]],"_",Tableau1[[#This Row],[Competition_year]])</f>
        <v>Nozomi TANAKA_JPN_2024</v>
      </c>
      <c r="B693" t="s">
        <v>157</v>
      </c>
      <c r="C693" t="s">
        <v>47</v>
      </c>
      <c r="D693" t="s">
        <v>69</v>
      </c>
      <c r="E693">
        <v>15</v>
      </c>
      <c r="F693">
        <v>15.2</v>
      </c>
      <c r="G693">
        <v>15.4</v>
      </c>
      <c r="H693">
        <v>15.8</v>
      </c>
      <c r="I693">
        <v>15.9</v>
      </c>
      <c r="J693">
        <v>16.399999999999999</v>
      </c>
      <c r="K693">
        <v>16.100000000000001</v>
      </c>
      <c r="L693">
        <v>16.3</v>
      </c>
      <c r="M693">
        <v>16.2</v>
      </c>
      <c r="N693">
        <v>16.2</v>
      </c>
      <c r="O693">
        <v>16.100000000000001</v>
      </c>
      <c r="P693">
        <v>16</v>
      </c>
      <c r="Q693">
        <v>16</v>
      </c>
      <c r="R693">
        <v>16.2</v>
      </c>
      <c r="S693">
        <f>Tableau1[[#This Row],[Final_time]]-SUM(Tableau1[[#This Row],[0_100m]:[1300_1400m]])</f>
        <v>16.890000000000015</v>
      </c>
      <c r="T693">
        <v>239.69</v>
      </c>
      <c r="U693">
        <f t="shared" si="20"/>
        <v>239.69</v>
      </c>
      <c r="V693">
        <f t="shared" si="21"/>
        <v>0</v>
      </c>
      <c r="W693" s="12"/>
      <c r="X693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93" t="s">
        <v>67</v>
      </c>
      <c r="Z693" s="2" t="s">
        <v>43</v>
      </c>
      <c r="AA693" s="2"/>
      <c r="AB693" s="2" t="s">
        <v>65</v>
      </c>
      <c r="AC693" s="2">
        <v>45534</v>
      </c>
      <c r="AD693" s="3">
        <v>2024</v>
      </c>
      <c r="AE693" s="3">
        <v>28</v>
      </c>
      <c r="AF693" s="5">
        <v>0.53</v>
      </c>
      <c r="AG693" s="3" t="s">
        <v>64</v>
      </c>
      <c r="AH693" t="s">
        <v>68</v>
      </c>
    </row>
    <row r="694" spans="1:34" hidden="1" x14ac:dyDescent="0.35">
      <c r="A694" t="str">
        <f>_xlfn.CONCAT(Tableau1[[#This Row],[Athletes]],"_",Tableau1[[#This Row],[Nationality]],"_",Tableau1[[#This Row],[Competition_year]])</f>
        <v>Marta PÉREZ_ESP_2024</v>
      </c>
      <c r="B694" t="s">
        <v>183</v>
      </c>
      <c r="C694" t="s">
        <v>47</v>
      </c>
      <c r="D694" t="s">
        <v>22</v>
      </c>
      <c r="E694">
        <v>15.5</v>
      </c>
      <c r="F694">
        <v>15.5</v>
      </c>
      <c r="G694">
        <v>15.7</v>
      </c>
      <c r="H694">
        <v>16</v>
      </c>
      <c r="I694">
        <v>15.8</v>
      </c>
      <c r="J694">
        <v>16.2</v>
      </c>
      <c r="K694">
        <v>16.100000000000001</v>
      </c>
      <c r="L694">
        <v>16.2</v>
      </c>
      <c r="M694">
        <v>16.2</v>
      </c>
      <c r="N694">
        <v>16.5</v>
      </c>
      <c r="O694">
        <v>16</v>
      </c>
      <c r="P694">
        <v>15.9</v>
      </c>
      <c r="Q694">
        <v>16</v>
      </c>
      <c r="R694">
        <v>17</v>
      </c>
      <c r="S694">
        <f>Tableau1[[#This Row],[Final_time]]-SUM(Tableau1[[#This Row],[0_100m]:[1300_1400m]])</f>
        <v>18.199999999999989</v>
      </c>
      <c r="T694">
        <v>242.8</v>
      </c>
      <c r="U694">
        <f t="shared" si="20"/>
        <v>242.8</v>
      </c>
      <c r="V694">
        <f t="shared" si="21"/>
        <v>0</v>
      </c>
      <c r="W694" s="12"/>
      <c r="X694" t="str">
        <f>_xlfn.CONCAT(Tableau1[[#This Row],[Competition]],"_",Tableau1[[#This Row],[Championship_step]],"_",Tableau1[[#This Row],[Competition_date]],"_",Tableau1[[#This Row],[Gender]])</f>
        <v>Diamond League Rome 2024__45534_Female</v>
      </c>
      <c r="Y694" t="s">
        <v>67</v>
      </c>
      <c r="Z694" s="2" t="s">
        <v>43</v>
      </c>
      <c r="AA694" s="2"/>
      <c r="AB694" s="2" t="s">
        <v>65</v>
      </c>
      <c r="AC694" s="2">
        <v>45534</v>
      </c>
      <c r="AD694" s="3">
        <v>2024</v>
      </c>
      <c r="AE694" s="3">
        <v>28</v>
      </c>
      <c r="AF694" s="5">
        <v>0.53</v>
      </c>
      <c r="AG694" s="3" t="s">
        <v>64</v>
      </c>
      <c r="AH694" t="s">
        <v>68</v>
      </c>
    </row>
    <row r="695" spans="1:34" hidden="1" x14ac:dyDescent="0.35">
      <c r="A695" t="str">
        <f>_xlfn.CONCAT(Tableau1[[#This Row],[Athletes]],"_",Tableau1[[#This Row],[Nationality]],"_",Tableau1[[#This Row],[Competition_year]])</f>
        <v>Abbey CALDWELL_AUS_2025</v>
      </c>
      <c r="B695" t="s">
        <v>156</v>
      </c>
      <c r="C695" t="s">
        <v>47</v>
      </c>
      <c r="D695" t="s">
        <v>21</v>
      </c>
      <c r="E695">
        <v>15.2</v>
      </c>
      <c r="F695">
        <v>15.6</v>
      </c>
      <c r="G695">
        <v>16</v>
      </c>
      <c r="H695">
        <v>16.2</v>
      </c>
      <c r="I695">
        <v>16.5</v>
      </c>
      <c r="J695">
        <v>16.5</v>
      </c>
      <c r="K695">
        <v>16.399999999999999</v>
      </c>
      <c r="L695">
        <v>16.5</v>
      </c>
      <c r="M695">
        <v>16.5</v>
      </c>
      <c r="N695">
        <v>17</v>
      </c>
      <c r="O695">
        <v>16.5</v>
      </c>
      <c r="P695">
        <v>16.2</v>
      </c>
      <c r="Q695">
        <v>15.1</v>
      </c>
      <c r="R695">
        <v>14.6</v>
      </c>
      <c r="S695">
        <f>Tableau1[[#This Row],[Final_time]]-SUM(Tableau1[[#This Row],[0_100m]:[1300_1400m]])</f>
        <v>14.52000000000001</v>
      </c>
      <c r="T695">
        <v>239.32</v>
      </c>
      <c r="U695">
        <f t="shared" si="20"/>
        <v>239.32</v>
      </c>
      <c r="V695">
        <f t="shared" si="21"/>
        <v>0</v>
      </c>
      <c r="W695" s="12"/>
      <c r="X695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695" t="s">
        <v>1334</v>
      </c>
      <c r="Z695" s="2" t="s">
        <v>43</v>
      </c>
      <c r="AA695" s="2"/>
      <c r="AB695" s="2" t="s">
        <v>65</v>
      </c>
      <c r="AC695" s="2">
        <v>45814</v>
      </c>
      <c r="AD695" s="3">
        <v>2025</v>
      </c>
      <c r="AE695" s="3">
        <v>22</v>
      </c>
      <c r="AF695" s="5">
        <v>0.8</v>
      </c>
      <c r="AG695" s="3" t="s">
        <v>64</v>
      </c>
    </row>
    <row r="696" spans="1:34" hidden="1" x14ac:dyDescent="0.35">
      <c r="A696" t="str">
        <f>_xlfn.CONCAT(Tableau1[[#This Row],[Athletes]],"_",Tableau1[[#This Row],[Nationality]],"_",Tableau1[[#This Row],[Competition_year]])</f>
        <v>Sarah BILLINGS_AUS_2025</v>
      </c>
      <c r="B696" t="s">
        <v>1234</v>
      </c>
      <c r="C696" t="s">
        <v>47</v>
      </c>
      <c r="D696" t="s">
        <v>21</v>
      </c>
      <c r="E696">
        <v>15.4</v>
      </c>
      <c r="F696">
        <v>15.8</v>
      </c>
      <c r="G696">
        <v>16.100000000000001</v>
      </c>
      <c r="H696">
        <v>16.399999999999999</v>
      </c>
      <c r="I696">
        <v>16.399999999999999</v>
      </c>
      <c r="J696">
        <v>16.5</v>
      </c>
      <c r="K696">
        <v>16.399999999999999</v>
      </c>
      <c r="L696">
        <v>16.3</v>
      </c>
      <c r="M696">
        <v>16</v>
      </c>
      <c r="N696">
        <v>17.100000000000001</v>
      </c>
      <c r="O696">
        <v>16.399999999999999</v>
      </c>
      <c r="P696">
        <v>15.7</v>
      </c>
      <c r="Q696">
        <v>15</v>
      </c>
      <c r="R696">
        <v>14.8</v>
      </c>
      <c r="S696">
        <f>Tableau1[[#This Row],[Final_time]]-SUM(Tableau1[[#This Row],[0_100m]:[1300_1400m]])</f>
        <v>14.939999999999998</v>
      </c>
      <c r="T696">
        <v>239.24</v>
      </c>
      <c r="U696">
        <f t="shared" si="20"/>
        <v>239.24</v>
      </c>
      <c r="V696">
        <f t="shared" si="21"/>
        <v>0</v>
      </c>
      <c r="W696" s="12"/>
      <c r="X696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696" t="s">
        <v>1334</v>
      </c>
      <c r="Z696" s="2" t="s">
        <v>43</v>
      </c>
      <c r="AA696" s="2"/>
      <c r="AB696" s="2" t="s">
        <v>65</v>
      </c>
      <c r="AC696" s="2">
        <v>45814</v>
      </c>
      <c r="AD696" s="3">
        <v>2025</v>
      </c>
      <c r="AE696" s="3">
        <v>22</v>
      </c>
      <c r="AF696" s="5">
        <v>0.8</v>
      </c>
      <c r="AG696" s="3" t="s">
        <v>64</v>
      </c>
    </row>
    <row r="697" spans="1:34" hidden="1" x14ac:dyDescent="0.35">
      <c r="A697" t="str">
        <f>_xlfn.CONCAT(Tableau1[[#This Row],[Athletes]],"_",Tableau1[[#This Row],[Nationality]],"_",Tableau1[[#This Row],[Competition_year]])</f>
        <v>Sarah HEALY_IRL_2025</v>
      </c>
      <c r="B697" t="s">
        <v>166</v>
      </c>
      <c r="C697" t="s">
        <v>47</v>
      </c>
      <c r="D697" t="s">
        <v>35</v>
      </c>
      <c r="E697">
        <v>15.1</v>
      </c>
      <c r="F697">
        <v>15.9</v>
      </c>
      <c r="G697">
        <v>16.100000000000001</v>
      </c>
      <c r="H697">
        <v>16.2</v>
      </c>
      <c r="I697">
        <v>16.399999999999999</v>
      </c>
      <c r="J697">
        <v>16.5</v>
      </c>
      <c r="K697">
        <v>16.399999999999999</v>
      </c>
      <c r="L697">
        <v>16.399999999999999</v>
      </c>
      <c r="M697">
        <v>16</v>
      </c>
      <c r="N697">
        <v>17.2</v>
      </c>
      <c r="O697">
        <v>16.399999999999999</v>
      </c>
      <c r="P697">
        <v>15.7</v>
      </c>
      <c r="Q697">
        <v>15</v>
      </c>
      <c r="R697">
        <v>14.9</v>
      </c>
      <c r="S697">
        <f>Tableau1[[#This Row],[Final_time]]-SUM(Tableau1[[#This Row],[0_100m]:[1300_1400m]])</f>
        <v>14.969999999999999</v>
      </c>
      <c r="T697">
        <v>239.17</v>
      </c>
      <c r="U697">
        <f t="shared" si="20"/>
        <v>239.17</v>
      </c>
      <c r="V697">
        <f t="shared" si="21"/>
        <v>0</v>
      </c>
      <c r="W697" s="12"/>
      <c r="X697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697" t="s">
        <v>1334</v>
      </c>
      <c r="Z697" s="2" t="s">
        <v>43</v>
      </c>
      <c r="AA697" s="2"/>
      <c r="AB697" s="2" t="s">
        <v>65</v>
      </c>
      <c r="AC697" s="2">
        <v>45814</v>
      </c>
      <c r="AD697" s="3">
        <v>2025</v>
      </c>
      <c r="AE697" s="3">
        <v>22</v>
      </c>
      <c r="AF697" s="5">
        <v>0.8</v>
      </c>
      <c r="AG697" s="3" t="s">
        <v>64</v>
      </c>
    </row>
    <row r="698" spans="1:34" hidden="1" x14ac:dyDescent="0.35">
      <c r="A698" t="str">
        <f>_xlfn.CONCAT(Tableau1[[#This Row],[Athletes]],"_",Tableau1[[#This Row],[Nationality]],"_",Tableau1[[#This Row],[Competition_year]])</f>
        <v>Águeda MARQUÉS_ESP_2025</v>
      </c>
      <c r="B698" t="s">
        <v>724</v>
      </c>
      <c r="C698" t="s">
        <v>47</v>
      </c>
      <c r="D698" t="s">
        <v>22</v>
      </c>
      <c r="E698">
        <v>15.9</v>
      </c>
      <c r="F698">
        <v>15.8</v>
      </c>
      <c r="G698">
        <v>16</v>
      </c>
      <c r="H698">
        <v>16.3</v>
      </c>
      <c r="I698">
        <v>16.3</v>
      </c>
      <c r="J698">
        <v>16.5</v>
      </c>
      <c r="K698">
        <v>16.5</v>
      </c>
      <c r="L698">
        <v>16.3</v>
      </c>
      <c r="M698">
        <v>16.2</v>
      </c>
      <c r="N698">
        <v>16.8</v>
      </c>
      <c r="O698">
        <v>16.5</v>
      </c>
      <c r="P698">
        <v>16.100000000000001</v>
      </c>
      <c r="Q698">
        <v>15.2</v>
      </c>
      <c r="R698">
        <v>15.2</v>
      </c>
      <c r="S698">
        <f>Tableau1[[#This Row],[Final_time]]-SUM(Tableau1[[#This Row],[0_100m]:[1300_1400m]])</f>
        <v>14.970000000000027</v>
      </c>
      <c r="T698">
        <v>240.57</v>
      </c>
      <c r="U698">
        <f t="shared" si="20"/>
        <v>240.57</v>
      </c>
      <c r="V698">
        <f t="shared" si="21"/>
        <v>0</v>
      </c>
      <c r="W698" s="12"/>
      <c r="X698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698" t="s">
        <v>1334</v>
      </c>
      <c r="Z698" s="2" t="s">
        <v>43</v>
      </c>
      <c r="AA698" s="2"/>
      <c r="AB698" s="2" t="s">
        <v>65</v>
      </c>
      <c r="AC698" s="2">
        <v>45814</v>
      </c>
      <c r="AD698" s="3">
        <v>2025</v>
      </c>
      <c r="AE698" s="3">
        <v>22</v>
      </c>
      <c r="AF698" s="5">
        <v>0.8</v>
      </c>
      <c r="AG698" s="3" t="s">
        <v>64</v>
      </c>
    </row>
    <row r="699" spans="1:34" hidden="1" x14ac:dyDescent="0.35">
      <c r="A699" t="str">
        <f>_xlfn.CONCAT(Tableau1[[#This Row],[Athletes]],"_",Tableau1[[#This Row],[Nationality]],"_",Tableau1[[#This Row],[Competition_year]])</f>
        <v>Heather MACLEAN_USA_2025</v>
      </c>
      <c r="B699" t="s">
        <v>355</v>
      </c>
      <c r="C699" t="s">
        <v>47</v>
      </c>
      <c r="D699" t="s">
        <v>51</v>
      </c>
      <c r="E699">
        <v>15.3</v>
      </c>
      <c r="F699">
        <v>15.9</v>
      </c>
      <c r="G699">
        <v>16</v>
      </c>
      <c r="H699">
        <v>16.3</v>
      </c>
      <c r="I699">
        <v>16.5</v>
      </c>
      <c r="J699">
        <v>16.5</v>
      </c>
      <c r="K699">
        <v>16.399999999999999</v>
      </c>
      <c r="L699">
        <v>16.3</v>
      </c>
      <c r="M699">
        <v>16.399999999999999</v>
      </c>
      <c r="N699">
        <v>16.899999999999999</v>
      </c>
      <c r="O699">
        <v>16.3</v>
      </c>
      <c r="P699">
        <v>15.7</v>
      </c>
      <c r="Q699">
        <v>15</v>
      </c>
      <c r="R699">
        <v>15</v>
      </c>
      <c r="S699">
        <f>Tableau1[[#This Row],[Final_time]]-SUM(Tableau1[[#This Row],[0_100m]:[1300_1400m]])</f>
        <v>15.20999999999998</v>
      </c>
      <c r="T699">
        <v>239.71</v>
      </c>
      <c r="U699">
        <f t="shared" si="20"/>
        <v>239.71</v>
      </c>
      <c r="V699">
        <f t="shared" si="21"/>
        <v>0</v>
      </c>
      <c r="W699" s="12"/>
      <c r="X699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699" t="s">
        <v>1334</v>
      </c>
      <c r="Z699" s="2" t="s">
        <v>43</v>
      </c>
      <c r="AA699" s="2"/>
      <c r="AB699" s="2" t="s">
        <v>65</v>
      </c>
      <c r="AC699" s="2">
        <v>45814</v>
      </c>
      <c r="AD699" s="3">
        <v>2025</v>
      </c>
      <c r="AE699" s="3">
        <v>22</v>
      </c>
      <c r="AF699" s="5">
        <v>0.8</v>
      </c>
      <c r="AG699" s="3" t="s">
        <v>64</v>
      </c>
    </row>
    <row r="700" spans="1:34" hidden="1" x14ac:dyDescent="0.35">
      <c r="A700" t="str">
        <f>_xlfn.CONCAT(Tableau1[[#This Row],[Athletes]],"_",Tableau1[[#This Row],[Nationality]],"_",Tableau1[[#This Row],[Competition_year]])</f>
        <v>Agathe GUILLEMOT_FRA_2025</v>
      </c>
      <c r="B700" t="s">
        <v>171</v>
      </c>
      <c r="C700" t="s">
        <v>47</v>
      </c>
      <c r="D700" t="s">
        <v>18</v>
      </c>
      <c r="E700">
        <v>15</v>
      </c>
      <c r="F700">
        <v>15.4</v>
      </c>
      <c r="G700">
        <v>15.9</v>
      </c>
      <c r="H700">
        <v>16.2</v>
      </c>
      <c r="I700">
        <v>16.600000000000001</v>
      </c>
      <c r="J700">
        <v>16.3</v>
      </c>
      <c r="K700">
        <v>16.399999999999999</v>
      </c>
      <c r="L700">
        <v>16.399999999999999</v>
      </c>
      <c r="M700">
        <v>16.600000000000001</v>
      </c>
      <c r="N700">
        <v>17.2</v>
      </c>
      <c r="O700">
        <v>16.5</v>
      </c>
      <c r="P700">
        <v>16.399999999999999</v>
      </c>
      <c r="Q700">
        <v>15.6</v>
      </c>
      <c r="R700">
        <v>15.5</v>
      </c>
      <c r="S700">
        <f>Tableau1[[#This Row],[Final_time]]-SUM(Tableau1[[#This Row],[0_100m]:[1300_1400m]])</f>
        <v>15.490000000000038</v>
      </c>
      <c r="T700">
        <v>241.49</v>
      </c>
      <c r="U700">
        <f t="shared" si="20"/>
        <v>241.49</v>
      </c>
      <c r="V700">
        <f t="shared" si="21"/>
        <v>0</v>
      </c>
      <c r="W700" s="12"/>
      <c r="X700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0" t="s">
        <v>1334</v>
      </c>
      <c r="Z700" s="2" t="s">
        <v>43</v>
      </c>
      <c r="AA700" s="2"/>
      <c r="AB700" s="2" t="s">
        <v>65</v>
      </c>
      <c r="AC700" s="2">
        <v>45814</v>
      </c>
      <c r="AD700" s="3">
        <v>2025</v>
      </c>
      <c r="AE700" s="3">
        <v>22</v>
      </c>
      <c r="AF700" s="5">
        <v>0.8</v>
      </c>
      <c r="AG700" s="3" t="s">
        <v>64</v>
      </c>
    </row>
    <row r="701" spans="1:34" hidden="1" x14ac:dyDescent="0.35">
      <c r="A701" t="str">
        <f>_xlfn.CONCAT(Tableau1[[#This Row],[Athletes]],"_",Tableau1[[#This Row],[Nationality]],"_",Tableau1[[#This Row],[Competition_year]])</f>
        <v>Revee WALCOTT-NOLAN_GBR_2025</v>
      </c>
      <c r="B701" t="s">
        <v>635</v>
      </c>
      <c r="C701" t="s">
        <v>47</v>
      </c>
      <c r="D701" t="s">
        <v>20</v>
      </c>
      <c r="E701">
        <v>15.5</v>
      </c>
      <c r="F701">
        <v>15.9</v>
      </c>
      <c r="G701">
        <v>15.8</v>
      </c>
      <c r="H701">
        <v>16.3</v>
      </c>
      <c r="I701">
        <v>16.399999999999999</v>
      </c>
      <c r="J701">
        <v>16.5</v>
      </c>
      <c r="K701">
        <v>16.5</v>
      </c>
      <c r="L701">
        <v>16.399999999999999</v>
      </c>
      <c r="M701">
        <v>16.2</v>
      </c>
      <c r="N701">
        <v>17.2</v>
      </c>
      <c r="O701">
        <v>16.5</v>
      </c>
      <c r="P701">
        <v>16.2</v>
      </c>
      <c r="Q701">
        <v>15.6</v>
      </c>
      <c r="R701">
        <v>15.6</v>
      </c>
      <c r="S701">
        <f>Tableau1[[#This Row],[Final_time]]-SUM(Tableau1[[#This Row],[0_100m]:[1300_1400m]])</f>
        <v>15.680000000000035</v>
      </c>
      <c r="T701">
        <v>242.28</v>
      </c>
      <c r="U701">
        <f t="shared" si="20"/>
        <v>242.28</v>
      </c>
      <c r="V701">
        <f t="shared" si="21"/>
        <v>0</v>
      </c>
      <c r="W701" s="12"/>
      <c r="X701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1" t="s">
        <v>1334</v>
      </c>
      <c r="Z701" s="2" t="s">
        <v>43</v>
      </c>
      <c r="AA701" s="2"/>
      <c r="AB701" s="2" t="s">
        <v>65</v>
      </c>
      <c r="AC701" s="2">
        <v>45814</v>
      </c>
      <c r="AD701" s="3">
        <v>2025</v>
      </c>
      <c r="AE701" s="3">
        <v>22</v>
      </c>
      <c r="AF701" s="5">
        <v>0.8</v>
      </c>
      <c r="AG701" s="3" t="s">
        <v>64</v>
      </c>
    </row>
    <row r="702" spans="1:34" hidden="1" x14ac:dyDescent="0.35">
      <c r="A702" t="str">
        <f>_xlfn.CONCAT(Tableau1[[#This Row],[Athletes]],"_",Tableau1[[#This Row],[Nationality]],"_",Tableau1[[#This Row],[Competition_year]])</f>
        <v>Katie SNOWDEN_GBR_2025</v>
      </c>
      <c r="B702" t="s">
        <v>186</v>
      </c>
      <c r="C702" t="s">
        <v>47</v>
      </c>
      <c r="D702" t="s">
        <v>20</v>
      </c>
      <c r="E702">
        <v>15.3</v>
      </c>
      <c r="F702">
        <v>15.6</v>
      </c>
      <c r="G702">
        <v>16.100000000000001</v>
      </c>
      <c r="H702">
        <v>16.100000000000001</v>
      </c>
      <c r="I702">
        <v>16.5</v>
      </c>
      <c r="J702">
        <v>16.5</v>
      </c>
      <c r="K702">
        <v>16.399999999999999</v>
      </c>
      <c r="L702">
        <v>16.399999999999999</v>
      </c>
      <c r="M702">
        <v>16.3</v>
      </c>
      <c r="N702">
        <v>17.100000000000001</v>
      </c>
      <c r="O702">
        <v>16.5</v>
      </c>
      <c r="P702">
        <v>16.2</v>
      </c>
      <c r="Q702">
        <v>15.7</v>
      </c>
      <c r="R702">
        <v>15.6</v>
      </c>
      <c r="S702">
        <f>Tableau1[[#This Row],[Final_time]]-SUM(Tableau1[[#This Row],[0_100m]:[1300_1400m]])</f>
        <v>15.720000000000027</v>
      </c>
      <c r="T702">
        <v>242.02</v>
      </c>
      <c r="U702">
        <f t="shared" si="20"/>
        <v>242.02</v>
      </c>
      <c r="V702">
        <f t="shared" si="21"/>
        <v>0</v>
      </c>
      <c r="W702" s="12"/>
      <c r="X702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2" t="s">
        <v>1334</v>
      </c>
      <c r="Z702" s="2" t="s">
        <v>43</v>
      </c>
      <c r="AA702" s="2"/>
      <c r="AB702" s="2" t="s">
        <v>65</v>
      </c>
      <c r="AC702" s="2">
        <v>45814</v>
      </c>
      <c r="AD702" s="3">
        <v>2025</v>
      </c>
      <c r="AE702" s="3">
        <v>22</v>
      </c>
      <c r="AF702" s="5">
        <v>0.8</v>
      </c>
      <c r="AG702" s="3" t="s">
        <v>64</v>
      </c>
    </row>
    <row r="703" spans="1:34" hidden="1" x14ac:dyDescent="0.35">
      <c r="A703" t="str">
        <f>_xlfn.CONCAT(Tableau1[[#This Row],[Athletes]],"_",Tableau1[[#This Row],[Nationality]],"_",Tableau1[[#This Row],[Competition_year]])</f>
        <v>Susan Lokayo EJORE_KEN_2025</v>
      </c>
      <c r="B703" t="s">
        <v>1264</v>
      </c>
      <c r="C703" t="s">
        <v>47</v>
      </c>
      <c r="D703" t="s">
        <v>17</v>
      </c>
      <c r="E703">
        <v>14.9</v>
      </c>
      <c r="F703">
        <v>15</v>
      </c>
      <c r="G703">
        <v>15.6</v>
      </c>
      <c r="H703">
        <v>16.100000000000001</v>
      </c>
      <c r="I703">
        <v>16.5</v>
      </c>
      <c r="J703">
        <v>16.100000000000001</v>
      </c>
      <c r="K703">
        <v>16.399999999999999</v>
      </c>
      <c r="L703">
        <v>17.100000000000001</v>
      </c>
      <c r="M703">
        <v>16.899999999999999</v>
      </c>
      <c r="N703">
        <v>17.2</v>
      </c>
      <c r="O703">
        <v>16.3</v>
      </c>
      <c r="P703">
        <v>15.6</v>
      </c>
      <c r="Q703">
        <v>15.1</v>
      </c>
      <c r="R703">
        <v>15.1</v>
      </c>
      <c r="S703">
        <f>Tableau1[[#This Row],[Final_time]]-SUM(Tableau1[[#This Row],[0_100m]:[1300_1400m]])</f>
        <v>15.830000000000013</v>
      </c>
      <c r="T703">
        <v>239.73</v>
      </c>
      <c r="U703">
        <f t="shared" si="20"/>
        <v>239.73</v>
      </c>
      <c r="V703">
        <f t="shared" si="21"/>
        <v>0</v>
      </c>
      <c r="W703" s="12"/>
      <c r="X703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3" t="s">
        <v>1334</v>
      </c>
      <c r="Z703" s="2" t="s">
        <v>43</v>
      </c>
      <c r="AA703" s="2"/>
      <c r="AB703" s="2" t="s">
        <v>65</v>
      </c>
      <c r="AC703" s="2">
        <v>45814</v>
      </c>
      <c r="AD703" s="3">
        <v>2025</v>
      </c>
      <c r="AE703" s="3">
        <v>22</v>
      </c>
      <c r="AF703" s="5">
        <v>0.8</v>
      </c>
      <c r="AG703" s="3" t="s">
        <v>64</v>
      </c>
    </row>
    <row r="704" spans="1:34" hidden="1" x14ac:dyDescent="0.35">
      <c r="A704" t="str">
        <f>_xlfn.CONCAT(Tableau1[[#This Row],[Athletes]],"_",Tableau1[[#This Row],[Nationality]],"_",Tableau1[[#This Row],[Competition_year]])</f>
        <v>Weronika LIZAKOWSKA_POL_2025</v>
      </c>
      <c r="B704" t="s">
        <v>409</v>
      </c>
      <c r="C704" t="s">
        <v>47</v>
      </c>
      <c r="D704" t="s">
        <v>83</v>
      </c>
      <c r="E704">
        <v>15.1</v>
      </c>
      <c r="F704">
        <v>15.6</v>
      </c>
      <c r="G704">
        <v>16.100000000000001</v>
      </c>
      <c r="H704">
        <v>16.100000000000001</v>
      </c>
      <c r="I704">
        <v>16.600000000000001</v>
      </c>
      <c r="J704">
        <v>16.3</v>
      </c>
      <c r="K704">
        <v>16.399999999999999</v>
      </c>
      <c r="L704">
        <v>16.3</v>
      </c>
      <c r="M704">
        <v>16.399999999999999</v>
      </c>
      <c r="N704">
        <v>17.3</v>
      </c>
      <c r="O704">
        <v>16.3</v>
      </c>
      <c r="P704">
        <v>15.8</v>
      </c>
      <c r="Q704">
        <v>15.7</v>
      </c>
      <c r="R704">
        <v>15.8</v>
      </c>
      <c r="S704">
        <f>Tableau1[[#This Row],[Final_time]]-SUM(Tableau1[[#This Row],[0_100m]:[1300_1400m]])</f>
        <v>15.899999999999949</v>
      </c>
      <c r="T704">
        <v>241.7</v>
      </c>
      <c r="U704">
        <f t="shared" si="20"/>
        <v>241.7</v>
      </c>
      <c r="V704">
        <f t="shared" si="21"/>
        <v>0</v>
      </c>
      <c r="W704" s="12"/>
      <c r="X704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4" t="s">
        <v>1334</v>
      </c>
      <c r="Z704" s="2" t="s">
        <v>43</v>
      </c>
      <c r="AA704" s="2"/>
      <c r="AB704" s="2" t="s">
        <v>65</v>
      </c>
      <c r="AC704" s="2">
        <v>45814</v>
      </c>
      <c r="AD704" s="3">
        <v>2025</v>
      </c>
      <c r="AE704" s="3">
        <v>22</v>
      </c>
      <c r="AF704" s="5">
        <v>0.8</v>
      </c>
      <c r="AG704" s="3" t="s">
        <v>64</v>
      </c>
    </row>
    <row r="705" spans="1:33" hidden="1" x14ac:dyDescent="0.35">
      <c r="A705" t="str">
        <f>_xlfn.CONCAT(Tableau1[[#This Row],[Athletes]],"_",Tableau1[[#This Row],[Nationality]],"_",Tableau1[[#This Row],[Competition_year]])</f>
        <v>Marta ZENONI_ITA_2025</v>
      </c>
      <c r="B705" t="s">
        <v>1333</v>
      </c>
      <c r="C705" t="s">
        <v>47</v>
      </c>
      <c r="D705" t="s">
        <v>19</v>
      </c>
      <c r="E705">
        <v>15.1</v>
      </c>
      <c r="F705">
        <v>15.4</v>
      </c>
      <c r="G705">
        <v>16.100000000000001</v>
      </c>
      <c r="H705">
        <v>16.100000000000001</v>
      </c>
      <c r="I705">
        <v>16.600000000000001</v>
      </c>
      <c r="J705">
        <v>16.3</v>
      </c>
      <c r="K705">
        <v>16.399999999999999</v>
      </c>
      <c r="L705">
        <v>16.399999999999999</v>
      </c>
      <c r="M705">
        <v>16.5</v>
      </c>
      <c r="N705">
        <v>17.2</v>
      </c>
      <c r="O705">
        <v>16.2</v>
      </c>
      <c r="P705">
        <v>15.7</v>
      </c>
      <c r="Q705">
        <v>15.7</v>
      </c>
      <c r="R705">
        <v>15.9</v>
      </c>
      <c r="S705">
        <f>Tableau1[[#This Row],[Final_time]]-SUM(Tableau1[[#This Row],[0_100m]:[1300_1400m]])</f>
        <v>15.920000000000044</v>
      </c>
      <c r="T705">
        <v>241.52</v>
      </c>
      <c r="U705">
        <f t="shared" si="20"/>
        <v>241.52</v>
      </c>
      <c r="V705">
        <f t="shared" si="21"/>
        <v>0</v>
      </c>
      <c r="W705" s="12"/>
      <c r="X705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5" t="s">
        <v>1334</v>
      </c>
      <c r="Z705" s="2" t="s">
        <v>43</v>
      </c>
      <c r="AA705" s="2"/>
      <c r="AB705" s="2" t="s">
        <v>65</v>
      </c>
      <c r="AC705" s="2">
        <v>45814</v>
      </c>
      <c r="AD705" s="3">
        <v>2025</v>
      </c>
      <c r="AE705" s="3">
        <v>22</v>
      </c>
      <c r="AF705" s="5">
        <v>0.8</v>
      </c>
      <c r="AG705" s="3" t="s">
        <v>64</v>
      </c>
    </row>
    <row r="706" spans="1:33" hidden="1" x14ac:dyDescent="0.35">
      <c r="A706" t="str">
        <f>_xlfn.CONCAT(Tableau1[[#This Row],[Athletes]],"_",Tableau1[[#This Row],[Nationality]],"_",Tableau1[[#This Row],[Competition_year]])</f>
        <v>Hirut MESHESHA_ETH_2025</v>
      </c>
      <c r="B706" t="s">
        <v>135</v>
      </c>
      <c r="C706" t="s">
        <v>47</v>
      </c>
      <c r="D706" t="s">
        <v>48</v>
      </c>
      <c r="E706">
        <v>14.6</v>
      </c>
      <c r="F706">
        <v>15</v>
      </c>
      <c r="G706">
        <v>15.4</v>
      </c>
      <c r="H706">
        <v>15.9</v>
      </c>
      <c r="I706">
        <v>16.100000000000001</v>
      </c>
      <c r="J706">
        <v>16.600000000000001</v>
      </c>
      <c r="K706">
        <v>16.600000000000001</v>
      </c>
      <c r="L706">
        <v>17.2</v>
      </c>
      <c r="M706">
        <v>17.100000000000001</v>
      </c>
      <c r="N706">
        <v>17.3</v>
      </c>
      <c r="O706">
        <v>16.399999999999999</v>
      </c>
      <c r="P706">
        <v>16.600000000000001</v>
      </c>
      <c r="Q706">
        <v>16.100000000000001</v>
      </c>
      <c r="R706">
        <v>16.2</v>
      </c>
      <c r="S706">
        <f>Tableau1[[#This Row],[Final_time]]-SUM(Tableau1[[#This Row],[0_100m]:[1300_1400m]])</f>
        <v>16.5</v>
      </c>
      <c r="T706">
        <v>243.6</v>
      </c>
      <c r="U706">
        <f t="shared" ref="U706:U769" si="22">SUM(E706:S706)</f>
        <v>243.6</v>
      </c>
      <c r="V706">
        <f t="shared" ref="V706:V769" si="23">ABS(U706-T706)</f>
        <v>0</v>
      </c>
      <c r="W706" s="12"/>
      <c r="X706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6" t="s">
        <v>1334</v>
      </c>
      <c r="Z706" s="2" t="s">
        <v>43</v>
      </c>
      <c r="AA706" s="2"/>
      <c r="AB706" s="2" t="s">
        <v>65</v>
      </c>
      <c r="AC706" s="2">
        <v>45814</v>
      </c>
      <c r="AD706" s="3">
        <v>2025</v>
      </c>
      <c r="AE706" s="3">
        <v>22</v>
      </c>
      <c r="AF706" s="5">
        <v>0.8</v>
      </c>
      <c r="AG706" s="3" t="s">
        <v>64</v>
      </c>
    </row>
    <row r="707" spans="1:33" hidden="1" x14ac:dyDescent="0.35">
      <c r="A707" t="str">
        <f>_xlfn.CONCAT(Tableau1[[#This Row],[Athletes]],"_",Tableau1[[#This Row],[Nationality]],"_",Tableau1[[#This Row],[Competition_year]])</f>
        <v>Saron BERHE_ETH_2025</v>
      </c>
      <c r="B707" t="s">
        <v>411</v>
      </c>
      <c r="C707" t="s">
        <v>47</v>
      </c>
      <c r="D707" t="s">
        <v>48</v>
      </c>
      <c r="E707">
        <v>14.8</v>
      </c>
      <c r="F707">
        <v>15</v>
      </c>
      <c r="G707">
        <v>15.5</v>
      </c>
      <c r="H707">
        <v>15.8</v>
      </c>
      <c r="I707">
        <v>16.100000000000001</v>
      </c>
      <c r="J707">
        <v>16.600000000000001</v>
      </c>
      <c r="K707">
        <v>16.600000000000001</v>
      </c>
      <c r="L707">
        <v>17.2</v>
      </c>
      <c r="M707">
        <v>17.100000000000001</v>
      </c>
      <c r="N707">
        <v>17.2</v>
      </c>
      <c r="O707">
        <v>16.600000000000001</v>
      </c>
      <c r="P707">
        <v>15.6</v>
      </c>
      <c r="Q707">
        <v>15.2</v>
      </c>
      <c r="R707">
        <v>15.9</v>
      </c>
      <c r="S707">
        <f>Tableau1[[#This Row],[Final_time]]-SUM(Tableau1[[#This Row],[0_100m]:[1300_1400m]])</f>
        <v>16.580000000000041</v>
      </c>
      <c r="T707">
        <v>241.78</v>
      </c>
      <c r="U707">
        <f t="shared" si="22"/>
        <v>241.78</v>
      </c>
      <c r="V707">
        <f t="shared" si="23"/>
        <v>0</v>
      </c>
      <c r="W707" s="12"/>
      <c r="X707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7" t="s">
        <v>1334</v>
      </c>
      <c r="Z707" s="2" t="s">
        <v>43</v>
      </c>
      <c r="AA707" s="2"/>
      <c r="AB707" s="2" t="s">
        <v>65</v>
      </c>
      <c r="AC707" s="2">
        <v>45814</v>
      </c>
      <c r="AD707" s="3">
        <v>2025</v>
      </c>
      <c r="AE707" s="3">
        <v>22</v>
      </c>
      <c r="AF707" s="5">
        <v>0.8</v>
      </c>
      <c r="AG707" s="3" t="s">
        <v>64</v>
      </c>
    </row>
    <row r="708" spans="1:33" hidden="1" x14ac:dyDescent="0.35">
      <c r="A708" t="str">
        <f>_xlfn.CONCAT(Tableau1[[#This Row],[Athletes]],"_",Tableau1[[#This Row],[Nationality]],"_",Tableau1[[#This Row],[Competition_year]])</f>
        <v>Nozomi TANAKA_JPN_2025</v>
      </c>
      <c r="B708" t="s">
        <v>157</v>
      </c>
      <c r="C708" t="s">
        <v>47</v>
      </c>
      <c r="D708" t="s">
        <v>69</v>
      </c>
      <c r="E708">
        <v>15.5</v>
      </c>
      <c r="F708">
        <v>16.100000000000001</v>
      </c>
      <c r="G708">
        <v>15.9</v>
      </c>
      <c r="H708">
        <v>16.3</v>
      </c>
      <c r="I708">
        <v>16.399999999999999</v>
      </c>
      <c r="J708">
        <v>16.5</v>
      </c>
      <c r="K708">
        <v>16.5</v>
      </c>
      <c r="L708">
        <v>16.3</v>
      </c>
      <c r="M708">
        <v>16.2</v>
      </c>
      <c r="N708">
        <v>17.100000000000001</v>
      </c>
      <c r="O708">
        <v>16.399999999999999</v>
      </c>
      <c r="P708">
        <v>16.100000000000001</v>
      </c>
      <c r="Q708">
        <v>15.9</v>
      </c>
      <c r="R708">
        <v>16.5</v>
      </c>
      <c r="S708">
        <f>Tableau1[[#This Row],[Final_time]]-SUM(Tableau1[[#This Row],[0_100m]:[1300_1400m]])</f>
        <v>17.380000000000024</v>
      </c>
      <c r="T708">
        <v>245.08</v>
      </c>
      <c r="U708">
        <f t="shared" si="22"/>
        <v>245.08</v>
      </c>
      <c r="V708">
        <f t="shared" si="23"/>
        <v>0</v>
      </c>
      <c r="W708" s="12"/>
      <c r="X708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8" t="s">
        <v>1334</v>
      </c>
      <c r="Z708" s="2" t="s">
        <v>43</v>
      </c>
      <c r="AA708" s="2"/>
      <c r="AB708" s="2" t="s">
        <v>65</v>
      </c>
      <c r="AC708" s="2">
        <v>45814</v>
      </c>
      <c r="AD708" s="3">
        <v>2025</v>
      </c>
      <c r="AE708" s="3">
        <v>22</v>
      </c>
      <c r="AF708" s="5">
        <v>0.8</v>
      </c>
      <c r="AG708" s="3" t="s">
        <v>64</v>
      </c>
    </row>
    <row r="709" spans="1:33" hidden="1" x14ac:dyDescent="0.35">
      <c r="A709" t="str">
        <f>_xlfn.CONCAT(Tableau1[[#This Row],[Athletes]],"_",Tableau1[[#This Row],[Nationality]],"_",Tableau1[[#This Row],[Competition_year]])</f>
        <v>Sintayehu VISSA_ITA_2025</v>
      </c>
      <c r="B709" t="s">
        <v>297</v>
      </c>
      <c r="C709" t="s">
        <v>47</v>
      </c>
      <c r="D709" t="s">
        <v>19</v>
      </c>
      <c r="E709">
        <v>15</v>
      </c>
      <c r="F709">
        <v>15.9</v>
      </c>
      <c r="G709">
        <v>16.100000000000001</v>
      </c>
      <c r="H709">
        <v>16.2</v>
      </c>
      <c r="I709">
        <v>16.5</v>
      </c>
      <c r="J709">
        <v>16.5</v>
      </c>
      <c r="K709">
        <v>16.5</v>
      </c>
      <c r="L709">
        <v>16.399999999999999</v>
      </c>
      <c r="M709">
        <v>16.3</v>
      </c>
      <c r="N709">
        <v>17.2</v>
      </c>
      <c r="O709">
        <v>16.5</v>
      </c>
      <c r="P709">
        <v>16.600000000000001</v>
      </c>
      <c r="Q709">
        <v>16.8</v>
      </c>
      <c r="R709">
        <v>17.600000000000001</v>
      </c>
      <c r="S709">
        <f>Tableau1[[#This Row],[Final_time]]-SUM(Tableau1[[#This Row],[0_100m]:[1300_1400m]])</f>
        <v>18.390000000000015</v>
      </c>
      <c r="T709">
        <v>248.49</v>
      </c>
      <c r="U709">
        <f t="shared" si="22"/>
        <v>248.49</v>
      </c>
      <c r="V709">
        <f t="shared" si="23"/>
        <v>0</v>
      </c>
      <c r="W709" s="12"/>
      <c r="X709" t="str">
        <f>_xlfn.CONCAT(Tableau1[[#This Row],[Competition]],"_",Tableau1[[#This Row],[Championship_step]],"_",Tableau1[[#This Row],[Competition_date]],"_",Tableau1[[#This Row],[Gender]])</f>
        <v>Diamond League Rome 2025__45814_Female</v>
      </c>
      <c r="Y709" t="s">
        <v>1334</v>
      </c>
      <c r="Z709" s="2" t="s">
        <v>43</v>
      </c>
      <c r="AA709" s="2"/>
      <c r="AB709" s="2" t="s">
        <v>65</v>
      </c>
      <c r="AC709" s="2">
        <v>45814</v>
      </c>
      <c r="AD709" s="3">
        <v>2025</v>
      </c>
      <c r="AE709" s="3">
        <v>22</v>
      </c>
      <c r="AF709" s="5">
        <v>0.8</v>
      </c>
      <c r="AG709" s="3" t="s">
        <v>64</v>
      </c>
    </row>
    <row r="710" spans="1:33" hidden="1" x14ac:dyDescent="0.35">
      <c r="A710" t="str">
        <f>_xlfn.CONCAT(Tableau1[[#This Row],[Athletes]],"_",Tableau1[[#This Row],[Nationality]],"_",Tableau1[[#This Row],[Competition_year]])</f>
        <v>Azeddine HABZ_FRA_2025</v>
      </c>
      <c r="B710" t="s">
        <v>218</v>
      </c>
      <c r="C710" t="s">
        <v>16</v>
      </c>
      <c r="D710" t="s">
        <v>18</v>
      </c>
      <c r="E710">
        <v>13.7</v>
      </c>
      <c r="F710">
        <v>14.5</v>
      </c>
      <c r="G710">
        <v>14.6</v>
      </c>
      <c r="H710">
        <v>14.2</v>
      </c>
      <c r="I710">
        <v>14.1</v>
      </c>
      <c r="J710">
        <v>14.1</v>
      </c>
      <c r="K710">
        <v>14</v>
      </c>
      <c r="L710">
        <v>14</v>
      </c>
      <c r="M710">
        <v>14.4</v>
      </c>
      <c r="N710">
        <v>14.2</v>
      </c>
      <c r="O710">
        <v>14.2</v>
      </c>
      <c r="P710">
        <v>13.9</v>
      </c>
      <c r="Q710">
        <v>13.5</v>
      </c>
      <c r="R710">
        <v>13.5</v>
      </c>
      <c r="S710">
        <f>Tableau1[[#This Row],[Final_time]]-SUM(Tableau1[[#This Row],[0_100m]:[1300_1400m]])</f>
        <v>12.820000000000022</v>
      </c>
      <c r="T710">
        <v>209.72</v>
      </c>
      <c r="U710">
        <f t="shared" si="22"/>
        <v>209.72</v>
      </c>
      <c r="V710">
        <f t="shared" si="23"/>
        <v>0</v>
      </c>
      <c r="W710" s="12"/>
      <c r="X710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0" t="s">
        <v>1334</v>
      </c>
      <c r="Z710" s="2" t="s">
        <v>43</v>
      </c>
      <c r="AA710" s="2"/>
      <c r="AB710" s="2" t="s">
        <v>65</v>
      </c>
      <c r="AC710" s="2">
        <v>45814</v>
      </c>
      <c r="AD710" s="3">
        <v>2025</v>
      </c>
      <c r="AE710" s="3">
        <v>24</v>
      </c>
      <c r="AF710" s="5">
        <v>0.68</v>
      </c>
      <c r="AG710" s="3" t="s">
        <v>64</v>
      </c>
    </row>
    <row r="711" spans="1:33" hidden="1" x14ac:dyDescent="0.35">
      <c r="A711" t="str">
        <f>_xlfn.CONCAT(Tableau1[[#This Row],[Athletes]],"_",Tableau1[[#This Row],[Nationality]],"_",Tableau1[[#This Row],[Competition_year]])</f>
        <v>Timothy CHERUIYOT_KEN_2025</v>
      </c>
      <c r="B711" t="s">
        <v>205</v>
      </c>
      <c r="C711" t="s">
        <v>16</v>
      </c>
      <c r="D711" t="s">
        <v>17</v>
      </c>
      <c r="E711">
        <v>13.7</v>
      </c>
      <c r="F711">
        <v>14.3</v>
      </c>
      <c r="G711">
        <v>14.6</v>
      </c>
      <c r="H711">
        <v>14.1</v>
      </c>
      <c r="I711">
        <v>14.2</v>
      </c>
      <c r="J711">
        <v>14</v>
      </c>
      <c r="K711">
        <v>14.1</v>
      </c>
      <c r="L711">
        <v>14</v>
      </c>
      <c r="M711">
        <v>14.4</v>
      </c>
      <c r="N711">
        <v>14.2</v>
      </c>
      <c r="O711">
        <v>14.2</v>
      </c>
      <c r="P711">
        <v>13.9</v>
      </c>
      <c r="Q711">
        <v>13.7</v>
      </c>
      <c r="R711">
        <v>13.4</v>
      </c>
      <c r="S711">
        <f>Tableau1[[#This Row],[Final_time]]-SUM(Tableau1[[#This Row],[0_100m]:[1300_1400m]])</f>
        <v>12.950000000000017</v>
      </c>
      <c r="T711">
        <v>209.75</v>
      </c>
      <c r="U711">
        <f t="shared" si="22"/>
        <v>209.75</v>
      </c>
      <c r="V711">
        <f t="shared" si="23"/>
        <v>0</v>
      </c>
      <c r="W711" s="12"/>
      <c r="X711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1" t="s">
        <v>1334</v>
      </c>
      <c r="Z711" s="2" t="s">
        <v>43</v>
      </c>
      <c r="AA711" s="2"/>
      <c r="AB711" s="2" t="s">
        <v>65</v>
      </c>
      <c r="AC711" s="2">
        <v>45814</v>
      </c>
      <c r="AD711" s="3">
        <v>2025</v>
      </c>
      <c r="AE711" s="3">
        <v>24</v>
      </c>
      <c r="AF711" s="5">
        <v>0.68</v>
      </c>
      <c r="AG711" s="3" t="s">
        <v>64</v>
      </c>
    </row>
    <row r="712" spans="1:33" hidden="1" x14ac:dyDescent="0.35">
      <c r="A712" t="str">
        <f>_xlfn.CONCAT(Tableau1[[#This Row],[Athletes]],"_",Tableau1[[#This Row],[Nationality]],"_",Tableau1[[#This Row],[Competition_year]])</f>
        <v>Oliver HOARE_AUS_2025</v>
      </c>
      <c r="B712" t="s">
        <v>249</v>
      </c>
      <c r="C712" t="s">
        <v>16</v>
      </c>
      <c r="D712" t="s">
        <v>21</v>
      </c>
      <c r="E712">
        <v>13.9</v>
      </c>
      <c r="F712">
        <v>14.6</v>
      </c>
      <c r="G712">
        <v>14.7</v>
      </c>
      <c r="H712">
        <v>14.5</v>
      </c>
      <c r="I712">
        <v>14.4</v>
      </c>
      <c r="J712">
        <v>14.4</v>
      </c>
      <c r="K712">
        <v>14.1</v>
      </c>
      <c r="L712">
        <v>14</v>
      </c>
      <c r="M712">
        <v>14.3</v>
      </c>
      <c r="N712">
        <v>14.3</v>
      </c>
      <c r="O712">
        <v>14.1</v>
      </c>
      <c r="P712">
        <v>14</v>
      </c>
      <c r="Q712">
        <v>13.4</v>
      </c>
      <c r="R712">
        <v>13.4</v>
      </c>
      <c r="S712">
        <f>Tableau1[[#This Row],[Final_time]]-SUM(Tableau1[[#This Row],[0_100m]:[1300_1400m]])</f>
        <v>13.049999999999983</v>
      </c>
      <c r="T712">
        <v>211.15</v>
      </c>
      <c r="U712">
        <f t="shared" si="22"/>
        <v>211.15</v>
      </c>
      <c r="V712">
        <f t="shared" si="23"/>
        <v>0</v>
      </c>
      <c r="W712" s="12"/>
      <c r="X712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2" t="s">
        <v>1334</v>
      </c>
      <c r="Z712" s="2" t="s">
        <v>43</v>
      </c>
      <c r="AA712" s="2"/>
      <c r="AB712" s="2" t="s">
        <v>65</v>
      </c>
      <c r="AC712" s="2">
        <v>45814</v>
      </c>
      <c r="AD712" s="3">
        <v>2025</v>
      </c>
      <c r="AE712" s="3">
        <v>24</v>
      </c>
      <c r="AF712" s="5">
        <v>0.68</v>
      </c>
      <c r="AG712" s="3" t="s">
        <v>64</v>
      </c>
    </row>
    <row r="713" spans="1:33" hidden="1" x14ac:dyDescent="0.35">
      <c r="A713" t="str">
        <f>_xlfn.CONCAT(Tableau1[[#This Row],[Athletes]],"_",Tableau1[[#This Row],[Nationality]],"_",Tableau1[[#This Row],[Competition_year]])</f>
        <v>Reynold CHERUIYOT_KEN_2025</v>
      </c>
      <c r="B713" t="s">
        <v>1192</v>
      </c>
      <c r="C713" t="s">
        <v>16</v>
      </c>
      <c r="D713" t="s">
        <v>17</v>
      </c>
      <c r="E713">
        <v>13.9</v>
      </c>
      <c r="F713">
        <v>14.4</v>
      </c>
      <c r="G713">
        <v>14.8</v>
      </c>
      <c r="H713">
        <v>14.4</v>
      </c>
      <c r="I713">
        <v>14.4</v>
      </c>
      <c r="J713">
        <v>14.3</v>
      </c>
      <c r="K713">
        <v>14.1</v>
      </c>
      <c r="L713">
        <v>14.1</v>
      </c>
      <c r="M713">
        <v>14.1</v>
      </c>
      <c r="N713">
        <v>14.4</v>
      </c>
      <c r="O713">
        <v>13.9</v>
      </c>
      <c r="P713">
        <v>14.1</v>
      </c>
      <c r="Q713">
        <v>13.5</v>
      </c>
      <c r="R713">
        <v>13.4</v>
      </c>
      <c r="S713">
        <f>Tableau1[[#This Row],[Final_time]]-SUM(Tableau1[[#This Row],[0_100m]:[1300_1400m]])</f>
        <v>13.139999999999986</v>
      </c>
      <c r="T713">
        <v>210.94</v>
      </c>
      <c r="U713">
        <f t="shared" si="22"/>
        <v>210.94</v>
      </c>
      <c r="V713">
        <f t="shared" si="23"/>
        <v>0</v>
      </c>
      <c r="W713" s="12"/>
      <c r="X713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3" t="s">
        <v>1334</v>
      </c>
      <c r="Z713" s="2" t="s">
        <v>43</v>
      </c>
      <c r="AA713" s="2"/>
      <c r="AB713" s="2" t="s">
        <v>65</v>
      </c>
      <c r="AC713" s="2">
        <v>45814</v>
      </c>
      <c r="AD713" s="3">
        <v>2025</v>
      </c>
      <c r="AE713" s="3">
        <v>24</v>
      </c>
      <c r="AF713" s="5">
        <v>0.68</v>
      </c>
      <c r="AG713" s="3" t="s">
        <v>64</v>
      </c>
    </row>
    <row r="714" spans="1:33" hidden="1" x14ac:dyDescent="0.35">
      <c r="A714" t="str">
        <f>_xlfn.CONCAT(Tableau1[[#This Row],[Athletes]],"_",Tableau1[[#This Row],[Nationality]],"_",Tableau1[[#This Row],[Competition_year]])</f>
        <v>Anas LAGTIY CHAOUDAR_FRA_2025</v>
      </c>
      <c r="B714" t="s">
        <v>1335</v>
      </c>
      <c r="C714" t="s">
        <v>16</v>
      </c>
      <c r="D714" t="s">
        <v>18</v>
      </c>
      <c r="E714">
        <v>14</v>
      </c>
      <c r="F714">
        <v>14.5</v>
      </c>
      <c r="G714">
        <v>14.8</v>
      </c>
      <c r="H714">
        <v>14.7</v>
      </c>
      <c r="I714">
        <v>14.3</v>
      </c>
      <c r="J714">
        <v>14.5</v>
      </c>
      <c r="K714">
        <v>14.4</v>
      </c>
      <c r="L714">
        <v>14.2</v>
      </c>
      <c r="M714">
        <v>14.2</v>
      </c>
      <c r="N714">
        <v>14.3</v>
      </c>
      <c r="O714">
        <v>13.8</v>
      </c>
      <c r="P714">
        <v>13.9</v>
      </c>
      <c r="Q714">
        <v>13.6</v>
      </c>
      <c r="R714">
        <v>13.1</v>
      </c>
      <c r="S714">
        <f>Tableau1[[#This Row],[Final_time]]-SUM(Tableau1[[#This Row],[0_100m]:[1300_1400m]])</f>
        <v>13.280000000000001</v>
      </c>
      <c r="T714">
        <v>211.58</v>
      </c>
      <c r="U714">
        <f t="shared" si="22"/>
        <v>211.58</v>
      </c>
      <c r="V714">
        <f t="shared" si="23"/>
        <v>0</v>
      </c>
      <c r="W714" s="12"/>
      <c r="X714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4" t="s">
        <v>1334</v>
      </c>
      <c r="Z714" s="2" t="s">
        <v>43</v>
      </c>
      <c r="AA714" s="2"/>
      <c r="AB714" s="2" t="s">
        <v>65</v>
      </c>
      <c r="AC714" s="2">
        <v>45814</v>
      </c>
      <c r="AD714" s="3">
        <v>2025</v>
      </c>
      <c r="AE714" s="3">
        <v>24</v>
      </c>
      <c r="AF714" s="5">
        <v>0.68</v>
      </c>
      <c r="AG714" s="3" t="s">
        <v>64</v>
      </c>
    </row>
    <row r="715" spans="1:33" hidden="1" x14ac:dyDescent="0.35">
      <c r="A715" t="str">
        <f>_xlfn.CONCAT(Tableau1[[#This Row],[Athletes]],"_",Tableau1[[#This Row],[Nationality]],"_",Tableau1[[#This Row],[Competition_year]])</f>
        <v>Anass ESSAYI_MAR_2025</v>
      </c>
      <c r="B715" t="s">
        <v>259</v>
      </c>
      <c r="C715" t="s">
        <v>16</v>
      </c>
      <c r="D715" t="s">
        <v>75</v>
      </c>
      <c r="E715">
        <v>14.1</v>
      </c>
      <c r="F715">
        <v>14.8</v>
      </c>
      <c r="G715">
        <v>14.6</v>
      </c>
      <c r="H715">
        <v>14.6</v>
      </c>
      <c r="I715">
        <v>14.4</v>
      </c>
      <c r="J715">
        <v>14.5</v>
      </c>
      <c r="K715">
        <v>13.9</v>
      </c>
      <c r="L715">
        <v>14</v>
      </c>
      <c r="M715">
        <v>13.9</v>
      </c>
      <c r="N715">
        <v>14.2</v>
      </c>
      <c r="O715">
        <v>13.7</v>
      </c>
      <c r="P715">
        <v>14</v>
      </c>
      <c r="Q715">
        <v>13.2</v>
      </c>
      <c r="R715">
        <v>13.5</v>
      </c>
      <c r="S715">
        <f>Tableau1[[#This Row],[Final_time]]-SUM(Tableau1[[#This Row],[0_100m]:[1300_1400m]])</f>
        <v>13.340000000000032</v>
      </c>
      <c r="T715">
        <v>210.74</v>
      </c>
      <c r="U715">
        <f t="shared" si="22"/>
        <v>210.74</v>
      </c>
      <c r="V715">
        <f t="shared" si="23"/>
        <v>0</v>
      </c>
      <c r="W715" s="12"/>
      <c r="X715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5" t="s">
        <v>1334</v>
      </c>
      <c r="Z715" s="2" t="s">
        <v>43</v>
      </c>
      <c r="AA715" s="2"/>
      <c r="AB715" s="2" t="s">
        <v>65</v>
      </c>
      <c r="AC715" s="2">
        <v>45814</v>
      </c>
      <c r="AD715" s="3">
        <v>2025</v>
      </c>
      <c r="AE715" s="3">
        <v>24</v>
      </c>
      <c r="AF715" s="5">
        <v>0.68</v>
      </c>
      <c r="AG715" s="3" t="s">
        <v>64</v>
      </c>
    </row>
    <row r="716" spans="1:33" hidden="1" x14ac:dyDescent="0.35">
      <c r="A716" t="str">
        <f>_xlfn.CONCAT(Tableau1[[#This Row],[Athletes]],"_",Tableau1[[#This Row],[Nationality]],"_",Tableau1[[#This Row],[Competition_year]])</f>
        <v>Adrián BEN_ESP_2025</v>
      </c>
      <c r="B716" t="s">
        <v>433</v>
      </c>
      <c r="C716" t="s">
        <v>16</v>
      </c>
      <c r="D716" t="s">
        <v>22</v>
      </c>
      <c r="E716">
        <v>14.2</v>
      </c>
      <c r="F716">
        <v>14.6</v>
      </c>
      <c r="G716">
        <v>14.9</v>
      </c>
      <c r="H716">
        <v>14.6</v>
      </c>
      <c r="I716">
        <v>14.5</v>
      </c>
      <c r="J716">
        <v>14.5</v>
      </c>
      <c r="K716">
        <v>14.3</v>
      </c>
      <c r="L716">
        <v>14</v>
      </c>
      <c r="M716">
        <v>14.3</v>
      </c>
      <c r="N716">
        <v>14.1</v>
      </c>
      <c r="O716">
        <v>13.9</v>
      </c>
      <c r="P716">
        <v>13.9</v>
      </c>
      <c r="Q716">
        <v>13.5</v>
      </c>
      <c r="R716">
        <v>13.3</v>
      </c>
      <c r="S716">
        <f>Tableau1[[#This Row],[Final_time]]-SUM(Tableau1[[#This Row],[0_100m]:[1300_1400m]])</f>
        <v>13.46999999999997</v>
      </c>
      <c r="T716">
        <v>212.07</v>
      </c>
      <c r="U716">
        <f t="shared" si="22"/>
        <v>212.07</v>
      </c>
      <c r="V716">
        <f t="shared" si="23"/>
        <v>0</v>
      </c>
      <c r="W716" s="12"/>
      <c r="X716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6" t="s">
        <v>1334</v>
      </c>
      <c r="Z716" s="2" t="s">
        <v>43</v>
      </c>
      <c r="AA716" s="2"/>
      <c r="AB716" s="2" t="s">
        <v>65</v>
      </c>
      <c r="AC716" s="2">
        <v>45814</v>
      </c>
      <c r="AD716" s="3">
        <v>2025</v>
      </c>
      <c r="AE716" s="3">
        <v>24</v>
      </c>
      <c r="AF716" s="5">
        <v>0.68</v>
      </c>
      <c r="AG716" s="3" t="s">
        <v>64</v>
      </c>
    </row>
    <row r="717" spans="1:33" hidden="1" x14ac:dyDescent="0.35">
      <c r="A717" t="str">
        <f>_xlfn.CONCAT(Tableau1[[#This Row],[Athletes]],"_",Tableau1[[#This Row],[Nationality]],"_",Tableau1[[#This Row],[Competition_year]])</f>
        <v>Samuel PIHLSTRÖM_SWE_2025</v>
      </c>
      <c r="B717" t="s">
        <v>1220</v>
      </c>
      <c r="C717" t="s">
        <v>16</v>
      </c>
      <c r="D717" t="s">
        <v>56</v>
      </c>
      <c r="E717">
        <v>13.8</v>
      </c>
      <c r="F717">
        <v>14.3</v>
      </c>
      <c r="G717">
        <v>14.7</v>
      </c>
      <c r="H717">
        <v>14.4</v>
      </c>
      <c r="I717">
        <v>14.1</v>
      </c>
      <c r="J717">
        <v>14.1</v>
      </c>
      <c r="K717">
        <v>14.1</v>
      </c>
      <c r="L717">
        <v>13.9</v>
      </c>
      <c r="M717">
        <v>14.4</v>
      </c>
      <c r="N717">
        <v>14.2</v>
      </c>
      <c r="O717">
        <v>14.2</v>
      </c>
      <c r="P717">
        <v>14</v>
      </c>
      <c r="Q717">
        <v>13.6</v>
      </c>
      <c r="R717">
        <v>13.6</v>
      </c>
      <c r="S717">
        <f>Tableau1[[#This Row],[Final_time]]-SUM(Tableau1[[#This Row],[0_100m]:[1300_1400m]])</f>
        <v>13.470000000000027</v>
      </c>
      <c r="T717">
        <v>210.87</v>
      </c>
      <c r="U717">
        <f t="shared" si="22"/>
        <v>210.87</v>
      </c>
      <c r="V717">
        <f t="shared" si="23"/>
        <v>0</v>
      </c>
      <c r="W717" s="12"/>
      <c r="X717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7" t="s">
        <v>1334</v>
      </c>
      <c r="Z717" s="2" t="s">
        <v>43</v>
      </c>
      <c r="AA717" s="2"/>
      <c r="AB717" s="2" t="s">
        <v>65</v>
      </c>
      <c r="AC717" s="2">
        <v>45814</v>
      </c>
      <c r="AD717" s="3">
        <v>2025</v>
      </c>
      <c r="AE717" s="3">
        <v>24</v>
      </c>
      <c r="AF717" s="5">
        <v>0.68</v>
      </c>
      <c r="AG717" s="3" t="s">
        <v>64</v>
      </c>
    </row>
    <row r="718" spans="1:33" hidden="1" x14ac:dyDescent="0.35">
      <c r="A718" t="str">
        <f>_xlfn.CONCAT(Tableau1[[#This Row],[Athletes]],"_",Tableau1[[#This Row],[Nationality]],"_",Tableau1[[#This Row],[Competition_year]])</f>
        <v>Elliot GILES_GBR_2025</v>
      </c>
      <c r="B718" t="s">
        <v>231</v>
      </c>
      <c r="C718" t="s">
        <v>16</v>
      </c>
      <c r="D718" t="s">
        <v>20</v>
      </c>
      <c r="E718">
        <v>13.8</v>
      </c>
      <c r="F718">
        <v>14.6</v>
      </c>
      <c r="G718">
        <v>14.6</v>
      </c>
      <c r="H718">
        <v>14.4</v>
      </c>
      <c r="I718">
        <v>14.4</v>
      </c>
      <c r="J718">
        <v>14.1</v>
      </c>
      <c r="K718">
        <v>14.1</v>
      </c>
      <c r="L718">
        <v>14</v>
      </c>
      <c r="M718">
        <v>14.2</v>
      </c>
      <c r="N718">
        <v>14.2</v>
      </c>
      <c r="O718">
        <v>14.1</v>
      </c>
      <c r="P718">
        <v>13.9</v>
      </c>
      <c r="Q718">
        <v>13.6</v>
      </c>
      <c r="R718">
        <v>13.6</v>
      </c>
      <c r="S718">
        <f>Tableau1[[#This Row],[Final_time]]-SUM(Tableau1[[#This Row],[0_100m]:[1300_1400m]])</f>
        <v>13.53000000000003</v>
      </c>
      <c r="T718">
        <v>211.13</v>
      </c>
      <c r="U718">
        <f t="shared" si="22"/>
        <v>211.13</v>
      </c>
      <c r="V718">
        <f t="shared" si="23"/>
        <v>0</v>
      </c>
      <c r="W718" s="12"/>
      <c r="X718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8" t="s">
        <v>1334</v>
      </c>
      <c r="Z718" s="2" t="s">
        <v>43</v>
      </c>
      <c r="AA718" s="2"/>
      <c r="AB718" s="2" t="s">
        <v>65</v>
      </c>
      <c r="AC718" s="2">
        <v>45814</v>
      </c>
      <c r="AD718" s="3">
        <v>2025</v>
      </c>
      <c r="AE718" s="3">
        <v>24</v>
      </c>
      <c r="AF718" s="5">
        <v>0.68</v>
      </c>
      <c r="AG718" s="3" t="s">
        <v>64</v>
      </c>
    </row>
    <row r="719" spans="1:33" hidden="1" x14ac:dyDescent="0.35">
      <c r="A719" t="str">
        <f>_xlfn.CONCAT(Tableau1[[#This Row],[Athletes]],"_",Tableau1[[#This Row],[Nationality]],"_",Tableau1[[#This Row],[Competition_year]])</f>
        <v>Federico RIVA_ITA_2025</v>
      </c>
      <c r="B719" t="s">
        <v>901</v>
      </c>
      <c r="C719" t="s">
        <v>16</v>
      </c>
      <c r="D719" t="s">
        <v>19</v>
      </c>
      <c r="E719">
        <v>14</v>
      </c>
      <c r="F719">
        <v>14.7</v>
      </c>
      <c r="G719">
        <v>14.6</v>
      </c>
      <c r="H719">
        <v>14.4</v>
      </c>
      <c r="I719">
        <v>14.3</v>
      </c>
      <c r="J719">
        <v>14.3</v>
      </c>
      <c r="K719">
        <v>14.1</v>
      </c>
      <c r="L719">
        <v>14.1</v>
      </c>
      <c r="M719">
        <v>14.1</v>
      </c>
      <c r="N719">
        <v>14.2</v>
      </c>
      <c r="O719">
        <v>13.9</v>
      </c>
      <c r="P719">
        <v>13.8</v>
      </c>
      <c r="Q719">
        <v>13.7</v>
      </c>
      <c r="R719">
        <v>13.5</v>
      </c>
      <c r="S719">
        <f>Tableau1[[#This Row],[Final_time]]-SUM(Tableau1[[#This Row],[0_100m]:[1300_1400m]])</f>
        <v>13.719999999999999</v>
      </c>
      <c r="T719">
        <v>211.42</v>
      </c>
      <c r="U719">
        <f t="shared" si="22"/>
        <v>211.42</v>
      </c>
      <c r="V719">
        <f t="shared" si="23"/>
        <v>0</v>
      </c>
      <c r="W719" s="12"/>
      <c r="X719" t="str">
        <f>_xlfn.CONCAT(Tableau1[[#This Row],[Competition]],"_",Tableau1[[#This Row],[Championship_step]],"_",Tableau1[[#This Row],[Competition_date]],"_",Tableau1[[#This Row],[Gender]])</f>
        <v>Diamond League Rome 2025__45814_Male</v>
      </c>
      <c r="Y719" t="s">
        <v>1334</v>
      </c>
      <c r="Z719" s="2" t="s">
        <v>43</v>
      </c>
      <c r="AA719" s="2"/>
      <c r="AB719" s="2" t="s">
        <v>65</v>
      </c>
      <c r="AC719" s="2">
        <v>45814</v>
      </c>
      <c r="AD719" s="3">
        <v>2025</v>
      </c>
      <c r="AE719" s="3">
        <v>24</v>
      </c>
      <c r="AF719" s="5">
        <v>0.68</v>
      </c>
      <c r="AG719" s="3" t="s">
        <v>64</v>
      </c>
    </row>
    <row r="720" spans="1:33" hidden="1" x14ac:dyDescent="0.35">
      <c r="A720" t="str">
        <f>_xlfn.CONCAT(Tableau1[[#This Row],[Athletes]],"_",Tableau1[[#This Row],[Nationality]],"_",Tableau1[[#This Row],[Competition_year]])</f>
        <v>Ignacio FONTES_ESP_2025</v>
      </c>
      <c r="B720" t="s">
        <v>251</v>
      </c>
      <c r="C720" t="s">
        <v>16</v>
      </c>
      <c r="D720" t="s">
        <v>22</v>
      </c>
      <c r="E720">
        <v>14.3</v>
      </c>
      <c r="F720">
        <v>14.8</v>
      </c>
      <c r="G720">
        <v>14.7</v>
      </c>
      <c r="H720">
        <v>14.6</v>
      </c>
      <c r="I720">
        <v>14.2</v>
      </c>
      <c r="J720">
        <v>14.6</v>
      </c>
      <c r="K720">
        <v>14</v>
      </c>
      <c r="L720">
        <v>14.2</v>
      </c>
      <c r="M720">
        <v>14</v>
      </c>
      <c r="N720">
        <v>14</v>
      </c>
      <c r="O720">
        <v>14</v>
      </c>
      <c r="P720">
        <v>13.8</v>
      </c>
      <c r="Q720">
        <v>13.8</v>
      </c>
      <c r="R720">
        <v>13.8</v>
      </c>
      <c r="S720">
        <f>Tableau1[[#This Row],[Final_time]]-SUM(Tableau1[[#This Row],[0_100m]:[1300_1400m]])</f>
        <v>13.75</v>
      </c>
      <c r="T720">
        <v>212.55</v>
      </c>
      <c r="U720">
        <f t="shared" si="22"/>
        <v>212.55</v>
      </c>
      <c r="V720">
        <f t="shared" si="23"/>
        <v>0</v>
      </c>
      <c r="W720" s="12"/>
      <c r="X720" t="str">
        <f>_xlfn.CONCAT(Tableau1[[#This Row],[Competition]],"_",Tableau1[[#This Row],[Championship_step]],"_",Tableau1[[#This Row],[Competition_date]],"_",Tableau1[[#This Row],[Gender]])</f>
        <v>Diamond League Rome 2025__45814_Male</v>
      </c>
      <c r="Y720" t="s">
        <v>1334</v>
      </c>
      <c r="Z720" s="2" t="s">
        <v>43</v>
      </c>
      <c r="AA720" s="2"/>
      <c r="AB720" s="2" t="s">
        <v>65</v>
      </c>
      <c r="AC720" s="2">
        <v>45814</v>
      </c>
      <c r="AD720" s="3">
        <v>2025</v>
      </c>
      <c r="AE720" s="3">
        <v>24</v>
      </c>
      <c r="AF720" s="5">
        <v>0.68</v>
      </c>
      <c r="AG720" s="3" t="s">
        <v>64</v>
      </c>
    </row>
    <row r="721" spans="1:33" hidden="1" x14ac:dyDescent="0.35">
      <c r="A721" t="str">
        <f>_xlfn.CONCAT(Tableau1[[#This Row],[Athletes]],"_",Tableau1[[#This Row],[Nationality]],"_",Tableau1[[#This Row],[Competition_year]])</f>
        <v>Vincent CIATTEI_USA_2025</v>
      </c>
      <c r="B721" t="s">
        <v>363</v>
      </c>
      <c r="C721" t="s">
        <v>16</v>
      </c>
      <c r="D721" t="s">
        <v>51</v>
      </c>
      <c r="E721">
        <v>14.2</v>
      </c>
      <c r="F721">
        <v>14.4</v>
      </c>
      <c r="G721">
        <v>14.8</v>
      </c>
      <c r="H721">
        <v>14.5</v>
      </c>
      <c r="I721">
        <v>14.3</v>
      </c>
      <c r="J721">
        <v>14.4</v>
      </c>
      <c r="K721">
        <v>14.1</v>
      </c>
      <c r="L721">
        <v>14</v>
      </c>
      <c r="M721">
        <v>13.7</v>
      </c>
      <c r="N721">
        <v>14.3</v>
      </c>
      <c r="O721">
        <v>14</v>
      </c>
      <c r="P721">
        <v>13.9</v>
      </c>
      <c r="Q721">
        <v>13.7</v>
      </c>
      <c r="R721">
        <v>13.6</v>
      </c>
      <c r="S721">
        <f>Tableau1[[#This Row],[Final_time]]-SUM(Tableau1[[#This Row],[0_100m]:[1300_1400m]])</f>
        <v>13.789999999999992</v>
      </c>
      <c r="T721">
        <v>211.69</v>
      </c>
      <c r="U721">
        <f t="shared" si="22"/>
        <v>211.69</v>
      </c>
      <c r="V721">
        <f t="shared" si="23"/>
        <v>0</v>
      </c>
      <c r="W721" s="12"/>
      <c r="X721" t="str">
        <f>_xlfn.CONCAT(Tableau1[[#This Row],[Competition]],"_",Tableau1[[#This Row],[Championship_step]],"_",Tableau1[[#This Row],[Competition_date]],"_",Tableau1[[#This Row],[Gender]])</f>
        <v>Diamond League Rome 2025__45814_Male</v>
      </c>
      <c r="Y721" t="s">
        <v>1334</v>
      </c>
      <c r="Z721" s="2" t="s">
        <v>43</v>
      </c>
      <c r="AA721" s="2"/>
      <c r="AB721" s="2" t="s">
        <v>65</v>
      </c>
      <c r="AC721" s="2">
        <v>45814</v>
      </c>
      <c r="AD721" s="3">
        <v>2025</v>
      </c>
      <c r="AE721" s="3">
        <v>24</v>
      </c>
      <c r="AF721" s="5">
        <v>0.68</v>
      </c>
      <c r="AG721" s="3" t="s">
        <v>64</v>
      </c>
    </row>
    <row r="722" spans="1:33" hidden="1" x14ac:dyDescent="0.35">
      <c r="A722" t="str">
        <f>_xlfn.CONCAT(Tableau1[[#This Row],[Athletes]],"_",Tableau1[[#This Row],[Nationality]],"_",Tableau1[[#This Row],[Competition_year]])</f>
        <v>Brian KOMEN_KEN_2025</v>
      </c>
      <c r="B722" t="s">
        <v>802</v>
      </c>
      <c r="C722" t="s">
        <v>16</v>
      </c>
      <c r="D722" t="s">
        <v>17</v>
      </c>
      <c r="E722">
        <v>13.6</v>
      </c>
      <c r="F722">
        <v>14.5</v>
      </c>
      <c r="G722">
        <v>14.8</v>
      </c>
      <c r="H722">
        <v>14.3</v>
      </c>
      <c r="I722">
        <v>14.3</v>
      </c>
      <c r="J722">
        <v>14.2</v>
      </c>
      <c r="K722">
        <v>14</v>
      </c>
      <c r="L722">
        <v>14</v>
      </c>
      <c r="M722">
        <v>14.3</v>
      </c>
      <c r="N722">
        <v>14.2</v>
      </c>
      <c r="O722">
        <v>14</v>
      </c>
      <c r="P722">
        <v>13.8</v>
      </c>
      <c r="Q722">
        <v>13.6</v>
      </c>
      <c r="R722">
        <v>13.6</v>
      </c>
      <c r="S722">
        <f>Tableau1[[#This Row],[Final_time]]-SUM(Tableau1[[#This Row],[0_100m]:[1300_1400m]])</f>
        <v>13.939999999999998</v>
      </c>
      <c r="T722">
        <v>211.14</v>
      </c>
      <c r="U722">
        <f t="shared" si="22"/>
        <v>211.14</v>
      </c>
      <c r="V722">
        <f t="shared" si="23"/>
        <v>0</v>
      </c>
      <c r="W722" s="12"/>
      <c r="X722" t="str">
        <f>_xlfn.CONCAT(Tableau1[[#This Row],[Competition]],"_",Tableau1[[#This Row],[Championship_step]],"_",Tableau1[[#This Row],[Competition_date]],"_",Tableau1[[#This Row],[Gender]])</f>
        <v>Diamond League Rome 2025__45814_Male</v>
      </c>
      <c r="Y722" t="s">
        <v>1334</v>
      </c>
      <c r="Z722" s="2" t="s">
        <v>43</v>
      </c>
      <c r="AA722" s="2"/>
      <c r="AB722" s="2" t="s">
        <v>65</v>
      </c>
      <c r="AC722" s="2">
        <v>45814</v>
      </c>
      <c r="AD722" s="3">
        <v>2025</v>
      </c>
      <c r="AE722" s="3">
        <v>24</v>
      </c>
      <c r="AF722" s="5">
        <v>0.68</v>
      </c>
      <c r="AG722" s="3" t="s">
        <v>64</v>
      </c>
    </row>
    <row r="723" spans="1:33" hidden="1" x14ac:dyDescent="0.35">
      <c r="A723" t="str">
        <f>_xlfn.CONCAT(Tableau1[[#This Row],[Athletes]],"_",Tableau1[[#This Row],[Nationality]],"_",Tableau1[[#This Row],[Competition_year]])</f>
        <v>Filip RAK_POL_2025</v>
      </c>
      <c r="B723" t="s">
        <v>1337</v>
      </c>
      <c r="C723" t="s">
        <v>16</v>
      </c>
      <c r="D723" t="s">
        <v>83</v>
      </c>
      <c r="E723">
        <v>14.5</v>
      </c>
      <c r="F723">
        <v>14.7</v>
      </c>
      <c r="G723">
        <v>14.8</v>
      </c>
      <c r="H723">
        <v>14.6</v>
      </c>
      <c r="I723">
        <v>14.4</v>
      </c>
      <c r="J723">
        <v>14.5</v>
      </c>
      <c r="K723">
        <v>14.4</v>
      </c>
      <c r="L723">
        <v>14</v>
      </c>
      <c r="M723">
        <v>13.8</v>
      </c>
      <c r="N723">
        <v>13.9</v>
      </c>
      <c r="O723">
        <v>14</v>
      </c>
      <c r="P723">
        <v>13.9</v>
      </c>
      <c r="Q723">
        <v>13.5</v>
      </c>
      <c r="R723">
        <v>13.5</v>
      </c>
      <c r="S723">
        <f>Tableau1[[#This Row],[Final_time]]-SUM(Tableau1[[#This Row],[0_100m]:[1300_1400m]])</f>
        <v>14.029999999999973</v>
      </c>
      <c r="T723">
        <v>212.53</v>
      </c>
      <c r="U723">
        <f t="shared" si="22"/>
        <v>212.53</v>
      </c>
      <c r="V723">
        <f t="shared" si="23"/>
        <v>0</v>
      </c>
      <c r="W723" s="12"/>
      <c r="X723" t="str">
        <f>_xlfn.CONCAT(Tableau1[[#This Row],[Competition]],"_",Tableau1[[#This Row],[Championship_step]],"_",Tableau1[[#This Row],[Competition_date]],"_",Tableau1[[#This Row],[Gender]])</f>
        <v>Diamond League Rome 2025__45814_Male</v>
      </c>
      <c r="Y723" t="s">
        <v>1334</v>
      </c>
      <c r="Z723" s="2" t="s">
        <v>43</v>
      </c>
      <c r="AA723" s="2"/>
      <c r="AB723" s="2" t="s">
        <v>65</v>
      </c>
      <c r="AC723" s="2">
        <v>45814</v>
      </c>
      <c r="AD723" s="3">
        <v>2025</v>
      </c>
      <c r="AE723" s="3">
        <v>24</v>
      </c>
      <c r="AF723" s="5">
        <v>0.68</v>
      </c>
      <c r="AG723" s="3" t="s">
        <v>64</v>
      </c>
    </row>
    <row r="724" spans="1:33" hidden="1" x14ac:dyDescent="0.35">
      <c r="A724" t="str">
        <f>_xlfn.CONCAT(Tableau1[[#This Row],[Athletes]],"_",Tableau1[[#This Row],[Nationality]],"_",Tableau1[[#This Row],[Competition_year]])</f>
        <v>Cathal DOYLE_IRL_2025</v>
      </c>
      <c r="B724" t="s">
        <v>1336</v>
      </c>
      <c r="C724" t="s">
        <v>16</v>
      </c>
      <c r="D724" t="s">
        <v>35</v>
      </c>
      <c r="E724">
        <v>14</v>
      </c>
      <c r="F724">
        <v>14.7</v>
      </c>
      <c r="G724">
        <v>14.9</v>
      </c>
      <c r="H724">
        <v>14.5</v>
      </c>
      <c r="I724">
        <v>14.3</v>
      </c>
      <c r="J724">
        <v>14.5</v>
      </c>
      <c r="K724">
        <v>14</v>
      </c>
      <c r="L724">
        <v>14.2</v>
      </c>
      <c r="M724">
        <v>13.9</v>
      </c>
      <c r="N724">
        <v>14.2</v>
      </c>
      <c r="O724">
        <v>13.9</v>
      </c>
      <c r="P724">
        <v>13.8</v>
      </c>
      <c r="Q724">
        <v>13.7</v>
      </c>
      <c r="R724">
        <v>13.5</v>
      </c>
      <c r="S724">
        <f>Tableau1[[#This Row],[Final_time]]-SUM(Tableau1[[#This Row],[0_100m]:[1300_1400m]])</f>
        <v>14.050000000000011</v>
      </c>
      <c r="T724">
        <v>212.15</v>
      </c>
      <c r="U724">
        <f t="shared" si="22"/>
        <v>212.15</v>
      </c>
      <c r="V724">
        <f t="shared" si="23"/>
        <v>0</v>
      </c>
      <c r="W724" s="12"/>
      <c r="X724" t="str">
        <f>_xlfn.CONCAT(Tableau1[[#This Row],[Competition]],"_",Tableau1[[#This Row],[Championship_step]],"_",Tableau1[[#This Row],[Competition_date]],"_",Tableau1[[#This Row],[Gender]])</f>
        <v>Diamond League Rome 2025__45814_Male</v>
      </c>
      <c r="Y724" t="s">
        <v>1334</v>
      </c>
      <c r="Z724" s="2" t="s">
        <v>43</v>
      </c>
      <c r="AA724" s="2"/>
      <c r="AB724" s="2" t="s">
        <v>65</v>
      </c>
      <c r="AC724" s="2">
        <v>45814</v>
      </c>
      <c r="AD724" s="3">
        <v>2025</v>
      </c>
      <c r="AE724" s="3">
        <v>24</v>
      </c>
      <c r="AF724" s="5">
        <v>0.68</v>
      </c>
      <c r="AG724" s="3" t="s">
        <v>64</v>
      </c>
    </row>
    <row r="725" spans="1:33" hidden="1" x14ac:dyDescent="0.35">
      <c r="A725" t="str">
        <f>_xlfn.CONCAT(Tableau1[[#This Row],[Athletes]],"_",Tableau1[[#This Row],[Nationality]],"_",Tableau1[[#This Row],[Competition_year]])</f>
        <v>Robert FARKEN_GER_2025</v>
      </c>
      <c r="B725" t="s">
        <v>342</v>
      </c>
      <c r="C725" t="s">
        <v>16</v>
      </c>
      <c r="D725" t="s">
        <v>34</v>
      </c>
      <c r="T725">
        <v>210.8</v>
      </c>
      <c r="U725">
        <f t="shared" si="22"/>
        <v>0</v>
      </c>
      <c r="V725">
        <f t="shared" si="23"/>
        <v>210.8</v>
      </c>
      <c r="W725" s="12"/>
      <c r="X725" t="str">
        <f>_xlfn.CONCAT(Tableau1[[#This Row],[Competition]],"_",Tableau1[[#This Row],[Championship_step]],"_",Tableau1[[#This Row],[Competition_date]],"_",Tableau1[[#This Row],[Gender]])</f>
        <v>Diamond League Rome 2025__45814_Male</v>
      </c>
      <c r="Y725" t="s">
        <v>1334</v>
      </c>
      <c r="Z725" s="2" t="s">
        <v>43</v>
      </c>
      <c r="AA725" s="2"/>
      <c r="AB725" s="2" t="s">
        <v>65</v>
      </c>
      <c r="AC725" s="2">
        <v>45814</v>
      </c>
      <c r="AD725" s="3">
        <v>2025</v>
      </c>
      <c r="AE725" s="3">
        <v>24</v>
      </c>
      <c r="AF725" s="5">
        <v>0.68</v>
      </c>
      <c r="AG725" s="3" t="s">
        <v>64</v>
      </c>
    </row>
    <row r="726" spans="1:33" hidden="1" x14ac:dyDescent="0.35">
      <c r="A726" t="str">
        <f>_xlfn.CONCAT(Tableau1[[#This Row],[Athletes]],"_",Tableau1[[#This Row],[Nationality]],"_",Tableau1[[#This Row],[Competition_year]])</f>
        <v>Diribe WELTEJI_ETH_2022</v>
      </c>
      <c r="B726" t="s">
        <v>165</v>
      </c>
      <c r="C726" t="s">
        <v>47</v>
      </c>
      <c r="D726" t="s">
        <v>48</v>
      </c>
      <c r="E726">
        <v>14.5</v>
      </c>
      <c r="F726">
        <v>15</v>
      </c>
      <c r="G726">
        <v>15.600000000000001</v>
      </c>
      <c r="H726">
        <v>15.399999999999999</v>
      </c>
      <c r="I726">
        <v>16.099999999999994</v>
      </c>
      <c r="J726">
        <v>16</v>
      </c>
      <c r="K726">
        <v>15.900000000000006</v>
      </c>
      <c r="L726">
        <v>16.200000000000003</v>
      </c>
      <c r="M726">
        <v>16.200000000000003</v>
      </c>
      <c r="N726">
        <v>15.699999999999989</v>
      </c>
      <c r="O726">
        <v>16.200000000000017</v>
      </c>
      <c r="P726">
        <v>16.699999999999989</v>
      </c>
      <c r="Q726">
        <v>16.599999999999994</v>
      </c>
      <c r="R726">
        <v>16.300000000000011</v>
      </c>
      <c r="S726">
        <f>Tableau1[[#This Row],[Final_time]]-SUM(Tableau1[[#This Row],[0_100m]:[1300_1400m]])</f>
        <v>14.509999999999991</v>
      </c>
      <c r="T726">
        <v>236.91</v>
      </c>
      <c r="U726">
        <f t="shared" si="22"/>
        <v>236.91</v>
      </c>
      <c r="V726">
        <f t="shared" si="23"/>
        <v>0</v>
      </c>
      <c r="W726" s="12"/>
      <c r="X72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26" t="s">
        <v>308</v>
      </c>
      <c r="Z726" t="s">
        <v>43</v>
      </c>
      <c r="AB726" t="s">
        <v>65</v>
      </c>
      <c r="AC726" s="2">
        <v>44779</v>
      </c>
      <c r="AD726">
        <v>2022</v>
      </c>
      <c r="AE726">
        <v>18</v>
      </c>
      <c r="AF726" s="5">
        <v>0.79</v>
      </c>
      <c r="AG726" s="3" t="s">
        <v>94</v>
      </c>
    </row>
    <row r="727" spans="1:33" hidden="1" x14ac:dyDescent="0.35">
      <c r="A727" t="str">
        <f>_xlfn.CONCAT(Tableau1[[#This Row],[Athletes]],"_",Tableau1[[#This Row],[Nationality]],"_",Tableau1[[#This Row],[Competition_year]])</f>
        <v>Eliza MEGGER_POL_2022</v>
      </c>
      <c r="B727" t="s">
        <v>408</v>
      </c>
      <c r="C727" t="s">
        <v>47</v>
      </c>
      <c r="D727" t="s">
        <v>83</v>
      </c>
      <c r="E727">
        <v>15.8</v>
      </c>
      <c r="F727">
        <v>16.099999999999998</v>
      </c>
      <c r="G727">
        <v>16</v>
      </c>
      <c r="H727">
        <v>16.500000000000007</v>
      </c>
      <c r="I727">
        <v>16.199999999999989</v>
      </c>
      <c r="J727">
        <v>16.600000000000009</v>
      </c>
      <c r="K727">
        <v>16.5</v>
      </c>
      <c r="L727">
        <v>16.600000000000009</v>
      </c>
      <c r="M727">
        <v>16.799999999999983</v>
      </c>
      <c r="N727">
        <v>16.5</v>
      </c>
      <c r="O727">
        <v>16.400000000000006</v>
      </c>
      <c r="P727">
        <v>16.300000000000011</v>
      </c>
      <c r="Q727">
        <v>16.099999999999994</v>
      </c>
      <c r="R727">
        <v>15.5</v>
      </c>
      <c r="S727">
        <f>Tableau1[[#This Row],[Final_time]]-SUM(Tableau1[[#This Row],[0_100m]:[1300_1400m]])</f>
        <v>15.139999999999986</v>
      </c>
      <c r="T727">
        <v>243.04</v>
      </c>
      <c r="U727">
        <f t="shared" si="22"/>
        <v>243.04</v>
      </c>
      <c r="V727">
        <f t="shared" si="23"/>
        <v>0</v>
      </c>
      <c r="W727" s="12"/>
      <c r="X727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27" t="s">
        <v>308</v>
      </c>
      <c r="Z727" t="s">
        <v>43</v>
      </c>
      <c r="AB727" t="s">
        <v>65</v>
      </c>
      <c r="AC727" s="2">
        <v>44779</v>
      </c>
      <c r="AD727">
        <v>2022</v>
      </c>
      <c r="AE727">
        <v>18</v>
      </c>
      <c r="AF727" s="5">
        <v>0.79</v>
      </c>
      <c r="AG727" s="3" t="s">
        <v>94</v>
      </c>
    </row>
    <row r="728" spans="1:33" hidden="1" x14ac:dyDescent="0.35">
      <c r="A728" t="str">
        <f>_xlfn.CONCAT(Tableau1[[#This Row],[Athletes]],"_",Tableau1[[#This Row],[Nationality]],"_",Tableau1[[#This Row],[Competition_year]])</f>
        <v>Heather MACLEAN_USA_2022</v>
      </c>
      <c r="B728" t="s">
        <v>355</v>
      </c>
      <c r="C728" t="s">
        <v>47</v>
      </c>
      <c r="D728" t="s">
        <v>51</v>
      </c>
      <c r="E728">
        <v>15.2</v>
      </c>
      <c r="F728">
        <v>15.3</v>
      </c>
      <c r="G728">
        <v>15.799999999999997</v>
      </c>
      <c r="H728">
        <v>16.300000000000004</v>
      </c>
      <c r="I728">
        <v>16.499999999999993</v>
      </c>
      <c r="J728">
        <v>16.800000000000011</v>
      </c>
      <c r="K728">
        <v>16.399999999999991</v>
      </c>
      <c r="L728">
        <v>16.799999999999997</v>
      </c>
      <c r="M728">
        <v>16.400000000000006</v>
      </c>
      <c r="N728">
        <v>16.599999999999994</v>
      </c>
      <c r="O728">
        <v>16.700000000000017</v>
      </c>
      <c r="P728">
        <v>16</v>
      </c>
      <c r="Q728">
        <v>15.699999999999989</v>
      </c>
      <c r="R728">
        <v>15.599999999999994</v>
      </c>
      <c r="S728">
        <f>Tableau1[[#This Row],[Final_time]]-SUM(Tableau1[[#This Row],[0_100m]:[1300_1400m]])</f>
        <v>15.280000000000001</v>
      </c>
      <c r="T728">
        <v>241.38</v>
      </c>
      <c r="U728">
        <f t="shared" si="22"/>
        <v>241.38</v>
      </c>
      <c r="V728">
        <f t="shared" si="23"/>
        <v>0</v>
      </c>
      <c r="W728" s="12"/>
      <c r="X728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28" t="s">
        <v>308</v>
      </c>
      <c r="Z728" t="s">
        <v>43</v>
      </c>
      <c r="AB728" t="s">
        <v>65</v>
      </c>
      <c r="AC728" s="2">
        <v>44779</v>
      </c>
      <c r="AD728">
        <v>2022</v>
      </c>
      <c r="AE728">
        <v>18</v>
      </c>
      <c r="AF728" s="5">
        <v>0.79</v>
      </c>
      <c r="AG728" s="3" t="s">
        <v>94</v>
      </c>
    </row>
    <row r="729" spans="1:33" hidden="1" x14ac:dyDescent="0.35">
      <c r="A729" t="str">
        <f>_xlfn.CONCAT(Tableau1[[#This Row],[Athletes]],"_",Tableau1[[#This Row],[Nationality]],"_",Tableau1[[#This Row],[Competition_year]])</f>
        <v>Habitam ALEMU_ETH_2022</v>
      </c>
      <c r="B729" t="s">
        <v>399</v>
      </c>
      <c r="C729" t="s">
        <v>47</v>
      </c>
      <c r="D729" t="s">
        <v>48</v>
      </c>
      <c r="E729">
        <v>15.5</v>
      </c>
      <c r="F729">
        <v>15.600000000000001</v>
      </c>
      <c r="G729">
        <v>16</v>
      </c>
      <c r="H729">
        <v>16.5</v>
      </c>
      <c r="I729">
        <v>16.100000000000001</v>
      </c>
      <c r="J729">
        <v>16.799999999999997</v>
      </c>
      <c r="K729">
        <v>16.5</v>
      </c>
      <c r="L729">
        <v>16.699999999999989</v>
      </c>
      <c r="M729">
        <v>16.600000000000023</v>
      </c>
      <c r="N729">
        <v>16.5</v>
      </c>
      <c r="O729">
        <v>16.699999999999989</v>
      </c>
      <c r="P729">
        <v>16.300000000000011</v>
      </c>
      <c r="Q729">
        <v>16.5</v>
      </c>
      <c r="R729">
        <v>15.899999999999977</v>
      </c>
      <c r="S729">
        <f>Tableau1[[#This Row],[Final_time]]-SUM(Tableau1[[#This Row],[0_100m]:[1300_1400m]])</f>
        <v>15.330000000000013</v>
      </c>
      <c r="T729">
        <v>243.53</v>
      </c>
      <c r="U729">
        <f t="shared" si="22"/>
        <v>243.53</v>
      </c>
      <c r="V729">
        <f t="shared" si="23"/>
        <v>0</v>
      </c>
      <c r="W729" s="12"/>
      <c r="X729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29" t="s">
        <v>308</v>
      </c>
      <c r="Z729" t="s">
        <v>43</v>
      </c>
      <c r="AB729" t="s">
        <v>65</v>
      </c>
      <c r="AC729" s="2">
        <v>44779</v>
      </c>
      <c r="AD729">
        <v>2022</v>
      </c>
      <c r="AE729">
        <v>18</v>
      </c>
      <c r="AF729" s="5">
        <v>0.79</v>
      </c>
      <c r="AG729" s="3" t="s">
        <v>94</v>
      </c>
    </row>
    <row r="730" spans="1:33" hidden="1" x14ac:dyDescent="0.35">
      <c r="A730" t="str">
        <f>_xlfn.CONCAT(Tableau1[[#This Row],[Athletes]],"_",Tableau1[[#This Row],[Nationality]],"_",Tableau1[[#This Row],[Competition_year]])</f>
        <v>Sofia ENNAOUI_POL_2022</v>
      </c>
      <c r="B730" t="s">
        <v>161</v>
      </c>
      <c r="C730" t="s">
        <v>47</v>
      </c>
      <c r="D730" t="s">
        <v>83</v>
      </c>
      <c r="E730">
        <v>15.2</v>
      </c>
      <c r="F730">
        <v>15.7</v>
      </c>
      <c r="G730">
        <v>16.100000000000001</v>
      </c>
      <c r="H730">
        <v>16.399999999999999</v>
      </c>
      <c r="I730">
        <v>15.800000000000004</v>
      </c>
      <c r="J730">
        <v>16.5</v>
      </c>
      <c r="K730">
        <v>16.299999999999997</v>
      </c>
      <c r="L730">
        <v>16.699999999999989</v>
      </c>
      <c r="M730">
        <v>16.700000000000017</v>
      </c>
      <c r="N730">
        <v>16.400000000000006</v>
      </c>
      <c r="O730">
        <v>17</v>
      </c>
      <c r="P730">
        <v>16.099999999999994</v>
      </c>
      <c r="Q730">
        <v>15.299999999999983</v>
      </c>
      <c r="R730">
        <v>15.800000000000011</v>
      </c>
      <c r="S730">
        <f>Tableau1[[#This Row],[Final_time]]-SUM(Tableau1[[#This Row],[0_100m]:[1300_1400m]])</f>
        <v>15.389999999999986</v>
      </c>
      <c r="T730">
        <v>241.39</v>
      </c>
      <c r="U730">
        <f t="shared" si="22"/>
        <v>241.39</v>
      </c>
      <c r="V730">
        <f t="shared" si="23"/>
        <v>0</v>
      </c>
      <c r="W730" s="12"/>
      <c r="X730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0" t="s">
        <v>308</v>
      </c>
      <c r="Z730" t="s">
        <v>43</v>
      </c>
      <c r="AB730" t="s">
        <v>65</v>
      </c>
      <c r="AC730" s="2">
        <v>44779</v>
      </c>
      <c r="AD730">
        <v>2022</v>
      </c>
      <c r="AE730">
        <v>18</v>
      </c>
      <c r="AF730" s="5">
        <v>0.79</v>
      </c>
      <c r="AG730" s="3" t="s">
        <v>94</v>
      </c>
    </row>
    <row r="731" spans="1:33" hidden="1" x14ac:dyDescent="0.35">
      <c r="A731" t="str">
        <f>_xlfn.CONCAT(Tableau1[[#This Row],[Athletes]],"_",Tableau1[[#This Row],[Nationality]],"_",Tableau1[[#This Row],[Competition_year]])</f>
        <v>Adelle TRACEY_JAM_2022</v>
      </c>
      <c r="B731" t="s">
        <v>188</v>
      </c>
      <c r="C731" t="s">
        <v>47</v>
      </c>
      <c r="D731" t="s">
        <v>108</v>
      </c>
      <c r="E731">
        <v>15.3</v>
      </c>
      <c r="F731">
        <v>15.8</v>
      </c>
      <c r="G731">
        <v>16</v>
      </c>
      <c r="H731">
        <v>16.600000000000001</v>
      </c>
      <c r="I731">
        <v>15.899999999999991</v>
      </c>
      <c r="J731">
        <v>16.700000000000003</v>
      </c>
      <c r="K731">
        <v>16.100000000000009</v>
      </c>
      <c r="L731">
        <v>16.799999999999983</v>
      </c>
      <c r="M731">
        <v>16.5</v>
      </c>
      <c r="N731">
        <v>16.5</v>
      </c>
      <c r="O731">
        <v>16.800000000000011</v>
      </c>
      <c r="P731">
        <v>16.199999999999989</v>
      </c>
      <c r="Q731">
        <v>16</v>
      </c>
      <c r="R731">
        <v>15.700000000000017</v>
      </c>
      <c r="S731">
        <f>Tableau1[[#This Row],[Final_time]]-SUM(Tableau1[[#This Row],[0_100m]:[1300_1400m]])</f>
        <v>15.460000000000008</v>
      </c>
      <c r="T731">
        <v>242.36</v>
      </c>
      <c r="U731">
        <f t="shared" si="22"/>
        <v>242.36</v>
      </c>
      <c r="V731">
        <f t="shared" si="23"/>
        <v>0</v>
      </c>
      <c r="W731" s="12"/>
      <c r="X731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1" t="s">
        <v>308</v>
      </c>
      <c r="Z731" t="s">
        <v>43</v>
      </c>
      <c r="AB731" t="s">
        <v>65</v>
      </c>
      <c r="AC731" s="2">
        <v>44779</v>
      </c>
      <c r="AD731">
        <v>2022</v>
      </c>
      <c r="AE731">
        <v>18</v>
      </c>
      <c r="AF731" s="5">
        <v>0.79</v>
      </c>
      <c r="AG731" s="3" t="s">
        <v>94</v>
      </c>
    </row>
    <row r="732" spans="1:33" hidden="1" x14ac:dyDescent="0.35">
      <c r="A732" t="str">
        <f>_xlfn.CONCAT(Tableau1[[#This Row],[Athletes]],"_",Tableau1[[#This Row],[Nationality]],"_",Tableau1[[#This Row],[Competition_year]])</f>
        <v>Axumawit EMBAYE_ETH_2022</v>
      </c>
      <c r="B732" t="s">
        <v>269</v>
      </c>
      <c r="C732" t="s">
        <v>47</v>
      </c>
      <c r="D732" t="s">
        <v>48</v>
      </c>
      <c r="E732">
        <v>15.1</v>
      </c>
      <c r="F732">
        <v>15.6</v>
      </c>
      <c r="G732">
        <v>16.099999999999998</v>
      </c>
      <c r="H732">
        <v>16.200000000000003</v>
      </c>
      <c r="I732">
        <v>15.799999999999997</v>
      </c>
      <c r="J732">
        <v>16.700000000000003</v>
      </c>
      <c r="K732">
        <v>16.200000000000003</v>
      </c>
      <c r="L732">
        <v>16.700000000000003</v>
      </c>
      <c r="M732">
        <v>16.599999999999994</v>
      </c>
      <c r="N732">
        <v>16.5</v>
      </c>
      <c r="O732">
        <v>16.599999999999994</v>
      </c>
      <c r="P732">
        <v>16</v>
      </c>
      <c r="Q732">
        <v>15.900000000000006</v>
      </c>
      <c r="R732">
        <v>15.800000000000011</v>
      </c>
      <c r="S732">
        <f>Tableau1[[#This Row],[Final_time]]-SUM(Tableau1[[#This Row],[0_100m]:[1300_1400m]])</f>
        <v>15.759999999999991</v>
      </c>
      <c r="T732">
        <v>241.56</v>
      </c>
      <c r="U732">
        <f t="shared" si="22"/>
        <v>241.56</v>
      </c>
      <c r="V732">
        <f t="shared" si="23"/>
        <v>0</v>
      </c>
      <c r="W732" s="12"/>
      <c r="X732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2" t="s">
        <v>308</v>
      </c>
      <c r="Z732" t="s">
        <v>43</v>
      </c>
      <c r="AB732" t="s">
        <v>65</v>
      </c>
      <c r="AC732" s="2">
        <v>44779</v>
      </c>
      <c r="AD732">
        <v>2022</v>
      </c>
      <c r="AE732">
        <v>18</v>
      </c>
      <c r="AF732" s="5">
        <v>0.79</v>
      </c>
      <c r="AG732" s="3" t="s">
        <v>94</v>
      </c>
    </row>
    <row r="733" spans="1:33" hidden="1" x14ac:dyDescent="0.35">
      <c r="A733" t="str">
        <f>_xlfn.CONCAT(Tableau1[[#This Row],[Athletes]],"_",Tableau1[[#This Row],[Nationality]],"_",Tableau1[[#This Row],[Competition_year]])</f>
        <v>Gudaf TSEGAY_ETH_2022</v>
      </c>
      <c r="B733" t="s">
        <v>138</v>
      </c>
      <c r="C733" t="s">
        <v>47</v>
      </c>
      <c r="D733" t="s">
        <v>48</v>
      </c>
      <c r="E733">
        <v>15.6</v>
      </c>
      <c r="F733">
        <v>14.700000000000001</v>
      </c>
      <c r="G733">
        <v>15.600000000000001</v>
      </c>
      <c r="H733">
        <v>15.299999999999997</v>
      </c>
      <c r="I733">
        <v>15.599999999999994</v>
      </c>
      <c r="J733">
        <v>15.5</v>
      </c>
      <c r="K733">
        <v>15.600000000000009</v>
      </c>
      <c r="L733">
        <v>16.399999999999991</v>
      </c>
      <c r="M733">
        <v>16.599999999999994</v>
      </c>
      <c r="N733">
        <v>16.300000000000011</v>
      </c>
      <c r="O733">
        <v>16.5</v>
      </c>
      <c r="P733">
        <v>16.699999999999989</v>
      </c>
      <c r="Q733">
        <v>16.700000000000017</v>
      </c>
      <c r="R733">
        <v>16.400000000000006</v>
      </c>
      <c r="S733">
        <f>Tableau1[[#This Row],[Final_time]]-SUM(Tableau1[[#This Row],[0_100m]:[1300_1400m]])</f>
        <v>15.879999999999995</v>
      </c>
      <c r="T733">
        <v>239.38</v>
      </c>
      <c r="U733">
        <f t="shared" si="22"/>
        <v>239.38</v>
      </c>
      <c r="V733">
        <f t="shared" si="23"/>
        <v>0</v>
      </c>
      <c r="W733" s="12"/>
      <c r="X733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3" t="s">
        <v>308</v>
      </c>
      <c r="Z733" t="s">
        <v>43</v>
      </c>
      <c r="AB733" t="s">
        <v>65</v>
      </c>
      <c r="AC733" s="2">
        <v>44779</v>
      </c>
      <c r="AD733">
        <v>2022</v>
      </c>
      <c r="AE733">
        <v>18</v>
      </c>
      <c r="AF733" s="5">
        <v>0.79</v>
      </c>
      <c r="AG733" s="3" t="s">
        <v>94</v>
      </c>
    </row>
    <row r="734" spans="1:33" hidden="1" x14ac:dyDescent="0.35">
      <c r="A734" t="str">
        <f>_xlfn.CONCAT(Tableau1[[#This Row],[Athletes]],"_",Tableau1[[#This Row],[Nationality]],"_",Tableau1[[#This Row],[Competition_year]])</f>
        <v>Netsanet DESTA_ETH_2022</v>
      </c>
      <c r="B734" t="s">
        <v>1145</v>
      </c>
      <c r="C734" t="s">
        <v>47</v>
      </c>
      <c r="D734" t="s">
        <v>48</v>
      </c>
      <c r="E734">
        <v>15.1</v>
      </c>
      <c r="F734">
        <v>15.200000000000001</v>
      </c>
      <c r="G734">
        <v>15.499999999999996</v>
      </c>
      <c r="H734">
        <v>15.800000000000004</v>
      </c>
      <c r="I734">
        <v>15.699999999999996</v>
      </c>
      <c r="J734">
        <v>16.200000000000003</v>
      </c>
      <c r="K734">
        <v>17</v>
      </c>
      <c r="L734">
        <v>17.099999999999994</v>
      </c>
      <c r="M734">
        <v>17.400000000000006</v>
      </c>
      <c r="N734">
        <v>16.699999999999989</v>
      </c>
      <c r="O734">
        <v>16.600000000000023</v>
      </c>
      <c r="P734">
        <v>16</v>
      </c>
      <c r="Q734">
        <v>15.5</v>
      </c>
      <c r="R734">
        <v>16.099999999999994</v>
      </c>
      <c r="S734">
        <f>Tableau1[[#This Row],[Final_time]]-SUM(Tableau1[[#This Row],[0_100m]:[1300_1400m]])</f>
        <v>15.930000000000007</v>
      </c>
      <c r="T734">
        <v>241.83</v>
      </c>
      <c r="U734">
        <f t="shared" si="22"/>
        <v>241.83</v>
      </c>
      <c r="V734">
        <f t="shared" si="23"/>
        <v>0</v>
      </c>
      <c r="W734" s="12"/>
      <c r="X734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4" t="s">
        <v>308</v>
      </c>
      <c r="Z734" t="s">
        <v>43</v>
      </c>
      <c r="AB734" t="s">
        <v>65</v>
      </c>
      <c r="AC734" s="2">
        <v>44779</v>
      </c>
      <c r="AD734">
        <v>2022</v>
      </c>
      <c r="AE734">
        <v>18</v>
      </c>
      <c r="AF734" s="5">
        <v>0.79</v>
      </c>
      <c r="AG734" s="3" t="s">
        <v>94</v>
      </c>
    </row>
    <row r="735" spans="1:33" hidden="1" x14ac:dyDescent="0.35">
      <c r="A735" t="str">
        <f>_xlfn.CONCAT(Tableau1[[#This Row],[Athletes]],"_",Tableau1[[#This Row],[Nationality]],"_",Tableau1[[#This Row],[Competition_year]])</f>
        <v>Kristiina SASÍNEK MÄKI_CZE_2022</v>
      </c>
      <c r="B735" t="s">
        <v>1046</v>
      </c>
      <c r="C735" t="s">
        <v>47</v>
      </c>
      <c r="D735" t="s">
        <v>140</v>
      </c>
      <c r="E735">
        <v>15.7</v>
      </c>
      <c r="F735">
        <v>15.900000000000002</v>
      </c>
      <c r="G735">
        <v>16</v>
      </c>
      <c r="H735">
        <v>16.499999999999993</v>
      </c>
      <c r="I735">
        <v>16.200000000000003</v>
      </c>
      <c r="J735">
        <v>16.600000000000009</v>
      </c>
      <c r="K735">
        <v>16.5</v>
      </c>
      <c r="L735">
        <v>16.599999999999994</v>
      </c>
      <c r="M735">
        <v>16.599999999999994</v>
      </c>
      <c r="N735">
        <v>16.599999999999994</v>
      </c>
      <c r="O735">
        <v>16.5</v>
      </c>
      <c r="P735">
        <v>16.400000000000006</v>
      </c>
      <c r="Q735">
        <v>16.400000000000006</v>
      </c>
      <c r="R735">
        <v>16</v>
      </c>
      <c r="S735">
        <f>Tableau1[[#This Row],[Final_time]]-SUM(Tableau1[[#This Row],[0_100m]:[1300_1400m]])</f>
        <v>16.509999999999991</v>
      </c>
      <c r="T735">
        <v>245.01</v>
      </c>
      <c r="U735">
        <f t="shared" si="22"/>
        <v>245.01</v>
      </c>
      <c r="V735">
        <f t="shared" si="23"/>
        <v>0</v>
      </c>
      <c r="W735" s="12"/>
      <c r="X735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5" t="s">
        <v>308</v>
      </c>
      <c r="Z735" t="s">
        <v>43</v>
      </c>
      <c r="AB735" t="s">
        <v>65</v>
      </c>
      <c r="AC735" s="2">
        <v>44779</v>
      </c>
      <c r="AD735">
        <v>2022</v>
      </c>
      <c r="AE735">
        <v>18</v>
      </c>
      <c r="AF735" s="5">
        <v>0.79</v>
      </c>
      <c r="AG735" s="3" t="s">
        <v>94</v>
      </c>
    </row>
    <row r="736" spans="1:33" hidden="1" x14ac:dyDescent="0.35">
      <c r="A736" t="str">
        <f>_xlfn.CONCAT(Tableau1[[#This Row],[Athletes]],"_",Tableau1[[#This Row],[Nationality]],"_",Tableau1[[#This Row],[Competition_year]])</f>
        <v>Cory Ann MCGEE_USA_2022</v>
      </c>
      <c r="B736" t="s">
        <v>181</v>
      </c>
      <c r="C736" t="s">
        <v>47</v>
      </c>
      <c r="D736" t="s">
        <v>51</v>
      </c>
      <c r="E736">
        <v>15.3</v>
      </c>
      <c r="F736">
        <v>15.7</v>
      </c>
      <c r="G736">
        <v>15.600000000000001</v>
      </c>
      <c r="H736">
        <v>16.199999999999996</v>
      </c>
      <c r="I736">
        <v>16.5</v>
      </c>
      <c r="J736">
        <v>16.799999999999997</v>
      </c>
      <c r="K736">
        <v>16</v>
      </c>
      <c r="L736">
        <v>16.800000000000011</v>
      </c>
      <c r="M736">
        <v>16.400000000000006</v>
      </c>
      <c r="N736">
        <v>16.299999999999983</v>
      </c>
      <c r="O736">
        <v>17</v>
      </c>
      <c r="P736">
        <v>16</v>
      </c>
      <c r="Q736">
        <v>16</v>
      </c>
      <c r="R736">
        <v>15.700000000000017</v>
      </c>
      <c r="S736">
        <f>Tableau1[[#This Row],[Final_time]]-SUM(Tableau1[[#This Row],[0_100m]:[1300_1400m]])</f>
        <v>16.549999999999983</v>
      </c>
      <c r="T736">
        <v>242.85</v>
      </c>
      <c r="U736">
        <f t="shared" si="22"/>
        <v>242.85</v>
      </c>
      <c r="V736">
        <f t="shared" si="23"/>
        <v>0</v>
      </c>
      <c r="W736" s="12"/>
      <c r="X736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6" t="s">
        <v>308</v>
      </c>
      <c r="Z736" t="s">
        <v>43</v>
      </c>
      <c r="AB736" t="s">
        <v>65</v>
      </c>
      <c r="AC736" s="2">
        <v>44779</v>
      </c>
      <c r="AD736">
        <v>2022</v>
      </c>
      <c r="AE736">
        <v>18</v>
      </c>
      <c r="AF736" s="5">
        <v>0.79</v>
      </c>
      <c r="AG736" s="3" t="s">
        <v>94</v>
      </c>
    </row>
    <row r="737" spans="1:33" hidden="1" x14ac:dyDescent="0.35">
      <c r="A737" t="str">
        <f>_xlfn.CONCAT(Tableau1[[#This Row],[Athletes]],"_",Tableau1[[#This Row],[Nationality]],"_",Tableau1[[#This Row],[Competition_year]])</f>
        <v>Hirut MESHESHA_ETH_2022</v>
      </c>
      <c r="B737" t="s">
        <v>135</v>
      </c>
      <c r="C737" t="s">
        <v>47</v>
      </c>
      <c r="D737" t="s">
        <v>48</v>
      </c>
      <c r="E737">
        <v>14.3</v>
      </c>
      <c r="F737">
        <v>14.599999999999998</v>
      </c>
      <c r="G737">
        <v>15.5</v>
      </c>
      <c r="H737">
        <v>15.399999999999999</v>
      </c>
      <c r="I737">
        <v>15.600000000000009</v>
      </c>
      <c r="J737">
        <v>15.399999999999991</v>
      </c>
      <c r="K737">
        <v>15.700000000000003</v>
      </c>
      <c r="L737">
        <v>16.400000000000006</v>
      </c>
      <c r="M737">
        <v>16.799999999999983</v>
      </c>
      <c r="N737">
        <v>17.200000000000017</v>
      </c>
      <c r="O737">
        <v>17.299999999999983</v>
      </c>
      <c r="P737">
        <v>16.700000000000017</v>
      </c>
      <c r="Q737">
        <v>16.799999999999983</v>
      </c>
      <c r="R737">
        <v>16.600000000000023</v>
      </c>
      <c r="S737">
        <f>Tableau1[[#This Row],[Final_time]]-SUM(Tableau1[[#This Row],[0_100m]:[1300_1400m]])</f>
        <v>16.629999999999995</v>
      </c>
      <c r="T737">
        <v>240.93</v>
      </c>
      <c r="U737">
        <f t="shared" si="22"/>
        <v>240.93</v>
      </c>
      <c r="V737">
        <f t="shared" si="23"/>
        <v>0</v>
      </c>
      <c r="W737" s="12"/>
      <c r="X737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7" t="s">
        <v>308</v>
      </c>
      <c r="Z737" t="s">
        <v>43</v>
      </c>
      <c r="AB737" t="s">
        <v>65</v>
      </c>
      <c r="AC737" s="2">
        <v>44779</v>
      </c>
      <c r="AD737">
        <v>2022</v>
      </c>
      <c r="AE737">
        <v>18</v>
      </c>
      <c r="AF737" s="5">
        <v>0.79</v>
      </c>
      <c r="AG737" s="3" t="s">
        <v>94</v>
      </c>
    </row>
    <row r="738" spans="1:33" hidden="1" x14ac:dyDescent="0.35">
      <c r="A738" t="str">
        <f>_xlfn.CONCAT(Tableau1[[#This Row],[Athletes]],"_",Tableau1[[#This Row],[Nationality]],"_",Tableau1[[#This Row],[Competition_year]])</f>
        <v>Josette ANDREWS_USA_2022</v>
      </c>
      <c r="B738" t="s">
        <v>296</v>
      </c>
      <c r="C738" t="s">
        <v>47</v>
      </c>
      <c r="D738" t="s">
        <v>51</v>
      </c>
      <c r="E738">
        <v>15.6</v>
      </c>
      <c r="F738">
        <f>31.5-Tableau1[[#This Row],[0_100m]]</f>
        <v>15.9</v>
      </c>
      <c r="G738">
        <f>47.4-SUM(Tableau1[[#This Row],[0_100m]:[100_200m]])</f>
        <v>15.899999999999999</v>
      </c>
      <c r="H738">
        <f>63.9-SUM(Tableau1[[#This Row],[0_100m]:[200_300m]])</f>
        <v>16.5</v>
      </c>
      <c r="I738">
        <f>79.9-SUM(Tableau1[[#This Row],[0_100m]:[300_400m]])</f>
        <v>16.000000000000007</v>
      </c>
      <c r="J738">
        <f>96.7-SUM(Tableau1[[#This Row],[0_100m]:[400_500m]])</f>
        <v>16.799999999999997</v>
      </c>
      <c r="K738">
        <f>112.8-SUM(Tableau1[[#This Row],[0_100m]:[500_600m]])</f>
        <v>16.099999999999994</v>
      </c>
      <c r="L738">
        <f>129.5-SUM(Tableau1[[#This Row],[0_100m]:[600_700m]])</f>
        <v>16.700000000000003</v>
      </c>
      <c r="M738">
        <f>145.6-SUM(Tableau1[[#This Row],[0_100m]:[700_800m]])</f>
        <v>16.099999999999994</v>
      </c>
      <c r="N738">
        <f>161.9-SUM(Tableau1[[#This Row],[0_100m]:[800_900m]])</f>
        <v>16.300000000000011</v>
      </c>
      <c r="O738">
        <f>178.5-SUM(Tableau1[[#This Row],[0_100m]:[900_1000m]])</f>
        <v>16.599999999999994</v>
      </c>
      <c r="P738">
        <f>195.5-SUM(Tableau1[[#This Row],[0_100m]:[1000_1100m]])</f>
        <v>17</v>
      </c>
      <c r="Q738">
        <f>211.8-SUM(Tableau1[[#This Row],[0_100m]:[1100_1200m]])</f>
        <v>16.300000000000011</v>
      </c>
      <c r="R738">
        <f>228.2-SUM(Tableau1[[#This Row],[0_100m]:[1200_1300m]])</f>
        <v>16.399999999999977</v>
      </c>
      <c r="S738">
        <f>Tableau1[[#This Row],[Final_time]]-SUM(Tableau1[[#This Row],[0_100m]:[1300_1400m]])</f>
        <v>16.880000000000024</v>
      </c>
      <c r="T738">
        <v>245.08</v>
      </c>
      <c r="U738">
        <f t="shared" si="22"/>
        <v>245.08</v>
      </c>
      <c r="V738">
        <f t="shared" si="23"/>
        <v>0</v>
      </c>
      <c r="W738" s="12"/>
      <c r="X738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8" t="s">
        <v>308</v>
      </c>
      <c r="Z738" t="s">
        <v>43</v>
      </c>
      <c r="AB738" t="s">
        <v>65</v>
      </c>
      <c r="AC738" s="2">
        <v>44779</v>
      </c>
      <c r="AD738">
        <v>2022</v>
      </c>
      <c r="AE738">
        <v>18</v>
      </c>
      <c r="AF738" s="5">
        <v>0.79</v>
      </c>
      <c r="AG738" s="3" t="s">
        <v>94</v>
      </c>
    </row>
    <row r="739" spans="1:33" hidden="1" x14ac:dyDescent="0.35">
      <c r="A739" t="str">
        <f>_xlfn.CONCAT(Tableau1[[#This Row],[Athletes]],"_",Tableau1[[#This Row],[Nationality]],"_",Tableau1[[#This Row],[Competition_year]])</f>
        <v>Lemlem HAILU_ETH_2022</v>
      </c>
      <c r="B739" t="s">
        <v>271</v>
      </c>
      <c r="C739" t="s">
        <v>47</v>
      </c>
      <c r="D739" t="s">
        <v>48</v>
      </c>
      <c r="E739">
        <v>14.9</v>
      </c>
      <c r="F739">
        <f>30-Tableau1[[#This Row],[0_100m]]</f>
        <v>15.1</v>
      </c>
      <c r="G739">
        <f>45.6-SUM(Tableau1[[#This Row],[0_100m]:[100_200m]])</f>
        <v>15.600000000000001</v>
      </c>
      <c r="H739">
        <f>61.4-SUM(Tableau1[[#This Row],[0_100m]:[200_300m]])</f>
        <v>15.799999999999997</v>
      </c>
      <c r="I739">
        <f>77.8-SUM(Tableau1[[#This Row],[0_100m]:[300_400m]])</f>
        <v>16.399999999999999</v>
      </c>
      <c r="J739">
        <f>94.4-SUM(Tableau1[[#This Row],[0_100m]:[400_500m]])</f>
        <v>16.600000000000009</v>
      </c>
      <c r="K739">
        <f>110.8-SUM(Tableau1[[#This Row],[0_100m]:[500_600m]])</f>
        <v>16.399999999999991</v>
      </c>
      <c r="L739">
        <f>127.5-SUM(Tableau1[[#This Row],[0_100m]:[600_700m]])</f>
        <v>16.700000000000003</v>
      </c>
      <c r="M739">
        <f>144.8-SUM(Tableau1[[#This Row],[0_100m]:[700_800m]])</f>
        <v>17.300000000000011</v>
      </c>
      <c r="N739">
        <f>162-SUM(Tableau1[[#This Row],[0_100m]:[800_900m]])</f>
        <v>17.199999999999989</v>
      </c>
      <c r="O739">
        <f>178.3-SUM(Tableau1[[#This Row],[0_100m]:[900_1000m]])</f>
        <v>16.300000000000011</v>
      </c>
      <c r="P739">
        <f>195.1-SUM(Tableau1[[#This Row],[0_100m]:[1000_1100m]])</f>
        <v>16.799999999999983</v>
      </c>
      <c r="Q739">
        <f>212.7-SUM(Tableau1[[#This Row],[0_100m]:[1100_1200m]])</f>
        <v>17.599999999999994</v>
      </c>
      <c r="R739">
        <f>231.3-SUM(Tableau1[[#This Row],[0_100m]:[1200_1300m]])</f>
        <v>18.600000000000023</v>
      </c>
      <c r="S739">
        <f>Tableau1[[#This Row],[Final_time]]-SUM(Tableau1[[#This Row],[0_100m]:[1300_1400m]])</f>
        <v>18.589999999999975</v>
      </c>
      <c r="T739">
        <v>249.89</v>
      </c>
      <c r="U739">
        <f t="shared" si="22"/>
        <v>249.89</v>
      </c>
      <c r="V739">
        <f t="shared" si="23"/>
        <v>0</v>
      </c>
      <c r="W739" s="12"/>
      <c r="X739" t="str">
        <f>_xlfn.CONCAT(Tableau1[[#This Row],[Competition]],"_",Tableau1[[#This Row],[Championship_step]],"_",Tableau1[[#This Row],[Competition_date]],"_",Tableau1[[#This Row],[Gender]])</f>
        <v>Diamond League Silesia 2022__44779_Female</v>
      </c>
      <c r="Y739" t="s">
        <v>308</v>
      </c>
      <c r="Z739" t="s">
        <v>43</v>
      </c>
      <c r="AB739" t="s">
        <v>65</v>
      </c>
      <c r="AC739" s="2">
        <v>44779</v>
      </c>
      <c r="AD739">
        <v>2022</v>
      </c>
      <c r="AE739">
        <v>18</v>
      </c>
      <c r="AF739" s="5">
        <v>0.79</v>
      </c>
      <c r="AG739" s="3" t="s">
        <v>94</v>
      </c>
    </row>
    <row r="740" spans="1:33" hidden="1" x14ac:dyDescent="0.35">
      <c r="A740" t="str">
        <f>_xlfn.CONCAT(Tableau1[[#This Row],[Athletes]],"_",Tableau1[[#This Row],[Nationality]],"_",Tableau1[[#This Row],[Competition_year]])</f>
        <v>Hirut MESHESHA_ETH_2023</v>
      </c>
      <c r="B740" t="s">
        <v>135</v>
      </c>
      <c r="C740" t="s">
        <v>47</v>
      </c>
      <c r="D740" t="s">
        <v>48</v>
      </c>
      <c r="E740">
        <v>14.5</v>
      </c>
      <c r="F740">
        <v>14.7</v>
      </c>
      <c r="G740">
        <v>15</v>
      </c>
      <c r="H740">
        <v>15.9</v>
      </c>
      <c r="I740">
        <v>16.3</v>
      </c>
      <c r="J740">
        <v>16.600000000000001</v>
      </c>
      <c r="K740">
        <v>16.8</v>
      </c>
      <c r="L740">
        <v>16.5</v>
      </c>
      <c r="M740">
        <v>16.399999999999999</v>
      </c>
      <c r="N740">
        <v>16.5</v>
      </c>
      <c r="O740">
        <v>15.4</v>
      </c>
      <c r="P740">
        <v>15</v>
      </c>
      <c r="Q740">
        <v>15.1</v>
      </c>
      <c r="R740">
        <v>15.3</v>
      </c>
      <c r="S740">
        <f>Tableau1[[#This Row],[Final_time]]-SUM(Tableau1[[#This Row],[0_100m]:[1300_1400m]])</f>
        <v>14.870000000000005</v>
      </c>
      <c r="T740">
        <v>234.87</v>
      </c>
      <c r="U740">
        <f t="shared" si="22"/>
        <v>234.87</v>
      </c>
      <c r="V740">
        <f t="shared" si="23"/>
        <v>0</v>
      </c>
      <c r="W740" s="12"/>
      <c r="X740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0" t="s">
        <v>301</v>
      </c>
      <c r="Z740" t="s">
        <v>43</v>
      </c>
      <c r="AB740" t="s">
        <v>65</v>
      </c>
      <c r="AC740" s="2">
        <v>45123</v>
      </c>
      <c r="AD740">
        <v>2023</v>
      </c>
      <c r="AE740">
        <v>31</v>
      </c>
      <c r="AF740" s="5">
        <v>0.42</v>
      </c>
      <c r="AG740" s="3" t="s">
        <v>62</v>
      </c>
    </row>
    <row r="741" spans="1:33" hidden="1" x14ac:dyDescent="0.35">
      <c r="A741" t="str">
        <f>_xlfn.CONCAT(Tableau1[[#This Row],[Athletes]],"_",Tableau1[[#This Row],[Nationality]],"_",Tableau1[[#This Row],[Competition_year]])</f>
        <v>Birke HAYLOM_ETH_2023</v>
      </c>
      <c r="B741" t="s">
        <v>179</v>
      </c>
      <c r="C741" t="s">
        <v>47</v>
      </c>
      <c r="D741" t="s">
        <v>48</v>
      </c>
      <c r="E741">
        <v>14.5</v>
      </c>
      <c r="F741">
        <v>14.9</v>
      </c>
      <c r="G741">
        <v>15</v>
      </c>
      <c r="H741">
        <v>15.9</v>
      </c>
      <c r="I741">
        <v>16.3</v>
      </c>
      <c r="J741">
        <v>16.600000000000001</v>
      </c>
      <c r="K741">
        <v>16.899999999999999</v>
      </c>
      <c r="L741">
        <v>16.399999999999999</v>
      </c>
      <c r="M741">
        <v>16.399999999999999</v>
      </c>
      <c r="N741">
        <v>16.5</v>
      </c>
      <c r="O741">
        <v>15</v>
      </c>
      <c r="P741">
        <v>15.4</v>
      </c>
      <c r="Q741">
        <v>14.7</v>
      </c>
      <c r="R741">
        <v>15.2</v>
      </c>
      <c r="S741">
        <f>Tableau1[[#This Row],[Final_time]]-SUM(Tableau1[[#This Row],[0_100m]:[1300_1400m]])</f>
        <v>15.230000000000018</v>
      </c>
      <c r="T741">
        <v>234.93</v>
      </c>
      <c r="U741">
        <f t="shared" si="22"/>
        <v>234.93</v>
      </c>
      <c r="V741">
        <f t="shared" si="23"/>
        <v>0</v>
      </c>
      <c r="W741" s="12"/>
      <c r="X741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1" t="s">
        <v>301</v>
      </c>
      <c r="Z741" t="s">
        <v>43</v>
      </c>
      <c r="AB741" t="s">
        <v>65</v>
      </c>
      <c r="AC741" s="2">
        <v>45123</v>
      </c>
      <c r="AD741">
        <v>2023</v>
      </c>
      <c r="AE741">
        <v>31</v>
      </c>
      <c r="AF741" s="5">
        <v>0.42</v>
      </c>
      <c r="AG741" s="3" t="s">
        <v>62</v>
      </c>
    </row>
    <row r="742" spans="1:33" hidden="1" x14ac:dyDescent="0.35">
      <c r="A742" t="str">
        <f>_xlfn.CONCAT(Tableau1[[#This Row],[Athletes]],"_",Tableau1[[#This Row],[Nationality]],"_",Tableau1[[#This Row],[Competition_year]])</f>
        <v>Diribe WELTEJI_ETH_2023</v>
      </c>
      <c r="B742" t="s">
        <v>165</v>
      </c>
      <c r="C742" t="s">
        <v>47</v>
      </c>
      <c r="D742" t="s">
        <v>48</v>
      </c>
      <c r="E742">
        <v>14.3</v>
      </c>
      <c r="F742">
        <v>14.5</v>
      </c>
      <c r="G742">
        <v>15.2</v>
      </c>
      <c r="H742">
        <v>15.8</v>
      </c>
      <c r="I742">
        <v>16.3</v>
      </c>
      <c r="J742">
        <v>16.7</v>
      </c>
      <c r="K742">
        <v>16.8</v>
      </c>
      <c r="L742">
        <v>16.5</v>
      </c>
      <c r="M742">
        <v>16.399999999999999</v>
      </c>
      <c r="N742">
        <v>16.600000000000001</v>
      </c>
      <c r="O742">
        <v>15.4</v>
      </c>
      <c r="P742">
        <v>15</v>
      </c>
      <c r="Q742">
        <v>14.9</v>
      </c>
      <c r="R742">
        <v>15.2</v>
      </c>
      <c r="S742">
        <f>Tableau1[[#This Row],[Final_time]]-SUM(Tableau1[[#This Row],[0_100m]:[1300_1400m]])</f>
        <v>15.480000000000018</v>
      </c>
      <c r="T742">
        <v>235.08</v>
      </c>
      <c r="U742">
        <f t="shared" si="22"/>
        <v>235.08</v>
      </c>
      <c r="V742">
        <f t="shared" si="23"/>
        <v>0</v>
      </c>
      <c r="W742" s="12"/>
      <c r="X742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2" t="s">
        <v>301</v>
      </c>
      <c r="Z742" t="s">
        <v>43</v>
      </c>
      <c r="AB742" t="s">
        <v>65</v>
      </c>
      <c r="AC742" s="2">
        <v>45123</v>
      </c>
      <c r="AD742">
        <v>2023</v>
      </c>
      <c r="AE742">
        <v>31</v>
      </c>
      <c r="AF742" s="5">
        <v>0.42</v>
      </c>
      <c r="AG742" s="3" t="s">
        <v>62</v>
      </c>
    </row>
    <row r="743" spans="1:33" hidden="1" x14ac:dyDescent="0.35">
      <c r="A743" t="str">
        <f>_xlfn.CONCAT(Tableau1[[#This Row],[Athletes]],"_",Tableau1[[#This Row],[Nationality]],"_",Tableau1[[#This Row],[Competition_year]])</f>
        <v>Worknesh MESELE_ETH_2023</v>
      </c>
      <c r="B743" t="s">
        <v>294</v>
      </c>
      <c r="C743" t="s">
        <v>47</v>
      </c>
      <c r="D743" t="s">
        <v>48</v>
      </c>
      <c r="E743">
        <v>14.7</v>
      </c>
      <c r="F743">
        <v>14.9</v>
      </c>
      <c r="G743">
        <v>15.1</v>
      </c>
      <c r="H743">
        <v>15.8</v>
      </c>
      <c r="I743">
        <v>16.3</v>
      </c>
      <c r="J743">
        <v>16.600000000000001</v>
      </c>
      <c r="K743">
        <v>16.899999999999999</v>
      </c>
      <c r="L743">
        <v>16.5</v>
      </c>
      <c r="M743">
        <v>16.3</v>
      </c>
      <c r="N743">
        <v>16.5</v>
      </c>
      <c r="O743">
        <v>15.4</v>
      </c>
      <c r="P743">
        <v>15.4</v>
      </c>
      <c r="Q743">
        <v>15.7</v>
      </c>
      <c r="R743">
        <v>15.8</v>
      </c>
      <c r="S743">
        <f>Tableau1[[#This Row],[Final_time]]-SUM(Tableau1[[#This Row],[0_100m]:[1300_1400m]])</f>
        <v>15.099999999999966</v>
      </c>
      <c r="T743">
        <v>237</v>
      </c>
      <c r="U743">
        <f t="shared" si="22"/>
        <v>237</v>
      </c>
      <c r="V743">
        <f t="shared" si="23"/>
        <v>0</v>
      </c>
      <c r="W743" s="12"/>
      <c r="X743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3" t="s">
        <v>301</v>
      </c>
      <c r="Z743" t="s">
        <v>43</v>
      </c>
      <c r="AB743" t="s">
        <v>65</v>
      </c>
      <c r="AC743" s="2">
        <v>45123</v>
      </c>
      <c r="AD743">
        <v>2023</v>
      </c>
      <c r="AE743">
        <v>31</v>
      </c>
      <c r="AF743" s="5">
        <v>0.42</v>
      </c>
      <c r="AG743" s="3" t="s">
        <v>62</v>
      </c>
    </row>
    <row r="744" spans="1:33" hidden="1" x14ac:dyDescent="0.35">
      <c r="A744" t="str">
        <f>_xlfn.CONCAT(Tableau1[[#This Row],[Athletes]],"_",Tableau1[[#This Row],[Nationality]],"_",Tableau1[[#This Row],[Competition_year]])</f>
        <v>Linden HALL_AUS_2023</v>
      </c>
      <c r="B744" t="s">
        <v>184</v>
      </c>
      <c r="C744" t="s">
        <v>47</v>
      </c>
      <c r="D744" t="s">
        <v>21</v>
      </c>
      <c r="E744">
        <v>15.1</v>
      </c>
      <c r="F744">
        <v>15.3</v>
      </c>
      <c r="G744">
        <v>16.100000000000001</v>
      </c>
      <c r="H744">
        <v>16.5</v>
      </c>
      <c r="I744">
        <v>16.399999999999999</v>
      </c>
      <c r="J744">
        <v>16.399999999999999</v>
      </c>
      <c r="K744">
        <v>16.399999999999999</v>
      </c>
      <c r="L744">
        <v>16.7</v>
      </c>
      <c r="M744">
        <v>16</v>
      </c>
      <c r="N744">
        <v>15.8</v>
      </c>
      <c r="O744">
        <v>15.5</v>
      </c>
      <c r="P744">
        <v>15.2</v>
      </c>
      <c r="Q744">
        <v>15.3</v>
      </c>
      <c r="R744">
        <v>15.3</v>
      </c>
      <c r="S744">
        <f>Tableau1[[#This Row],[Final_time]]-SUM(Tableau1[[#This Row],[0_100m]:[1300_1400m]])</f>
        <v>15.269999999999982</v>
      </c>
      <c r="T744">
        <v>237.27</v>
      </c>
      <c r="U744">
        <f t="shared" si="22"/>
        <v>237.27</v>
      </c>
      <c r="V744">
        <f t="shared" si="23"/>
        <v>0</v>
      </c>
      <c r="W744" s="12"/>
      <c r="X744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4" t="s">
        <v>301</v>
      </c>
      <c r="Z744" t="s">
        <v>43</v>
      </c>
      <c r="AB744" t="s">
        <v>65</v>
      </c>
      <c r="AC744" s="2">
        <v>45123</v>
      </c>
      <c r="AD744">
        <v>2023</v>
      </c>
      <c r="AE744">
        <v>31</v>
      </c>
      <c r="AF744" s="5">
        <v>0.42</v>
      </c>
      <c r="AG744" s="3" t="s">
        <v>62</v>
      </c>
    </row>
    <row r="745" spans="1:33" hidden="1" x14ac:dyDescent="0.35">
      <c r="A745" t="str">
        <f>_xlfn.CONCAT(Tableau1[[#This Row],[Athletes]],"_",Tableau1[[#This Row],[Nationality]],"_",Tableau1[[#This Row],[Competition_year]])</f>
        <v>Melissa COURTNEY-BRYANT_GBR_2023</v>
      </c>
      <c r="B745" t="s">
        <v>168</v>
      </c>
      <c r="C745" t="s">
        <v>47</v>
      </c>
      <c r="D745" t="s">
        <v>20</v>
      </c>
      <c r="E745">
        <v>15</v>
      </c>
      <c r="F745">
        <v>15.3</v>
      </c>
      <c r="G745">
        <v>16.100000000000001</v>
      </c>
      <c r="H745">
        <v>16.399999999999999</v>
      </c>
      <c r="I745">
        <v>16.5</v>
      </c>
      <c r="J745">
        <v>16.399999999999999</v>
      </c>
      <c r="K745">
        <v>16.5</v>
      </c>
      <c r="L745">
        <v>16.600000000000001</v>
      </c>
      <c r="M745">
        <v>16.100000000000001</v>
      </c>
      <c r="N745">
        <v>16.100000000000001</v>
      </c>
      <c r="O745">
        <v>15.7</v>
      </c>
      <c r="P745">
        <v>15.6</v>
      </c>
      <c r="Q745">
        <v>15.5</v>
      </c>
      <c r="R745">
        <v>15.2</v>
      </c>
      <c r="S745">
        <f>Tableau1[[#This Row],[Final_time]]-SUM(Tableau1[[#This Row],[0_100m]:[1300_1400m]])</f>
        <v>15.010000000000019</v>
      </c>
      <c r="T745">
        <v>238.01</v>
      </c>
      <c r="U745">
        <f t="shared" si="22"/>
        <v>238.01</v>
      </c>
      <c r="V745">
        <f t="shared" si="23"/>
        <v>0</v>
      </c>
      <c r="W745" s="12"/>
      <c r="X745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5" t="s">
        <v>301</v>
      </c>
      <c r="Z745" t="s">
        <v>43</v>
      </c>
      <c r="AB745" t="s">
        <v>65</v>
      </c>
      <c r="AC745" s="2">
        <v>45123</v>
      </c>
      <c r="AD745">
        <v>2023</v>
      </c>
      <c r="AE745">
        <v>31</v>
      </c>
      <c r="AF745" s="5">
        <v>0.42</v>
      </c>
      <c r="AG745" s="3" t="s">
        <v>62</v>
      </c>
    </row>
    <row r="746" spans="1:33" hidden="1" x14ac:dyDescent="0.35">
      <c r="A746" t="str">
        <f>_xlfn.CONCAT(Tableau1[[#This Row],[Athletes]],"_",Tableau1[[#This Row],[Nationality]],"_",Tableau1[[#This Row],[Competition_year]])</f>
        <v>Jemma REEKIE_GBR_2023</v>
      </c>
      <c r="B746" t="s">
        <v>374</v>
      </c>
      <c r="C746" t="s">
        <v>47</v>
      </c>
      <c r="D746" t="s">
        <v>20</v>
      </c>
      <c r="E746">
        <v>15.1</v>
      </c>
      <c r="F746">
        <v>15.7</v>
      </c>
      <c r="G746">
        <v>15.9</v>
      </c>
      <c r="H746">
        <v>16.3</v>
      </c>
      <c r="I746">
        <v>16.5</v>
      </c>
      <c r="J746">
        <v>16.399999999999999</v>
      </c>
      <c r="K746">
        <v>16.5</v>
      </c>
      <c r="L746">
        <v>16.600000000000001</v>
      </c>
      <c r="M746">
        <v>16.2</v>
      </c>
      <c r="N746">
        <v>16</v>
      </c>
      <c r="O746">
        <v>15.7</v>
      </c>
      <c r="P746">
        <v>15.7</v>
      </c>
      <c r="Q746">
        <v>15.4</v>
      </c>
      <c r="R746">
        <v>15.2</v>
      </c>
      <c r="S746">
        <f>Tableau1[[#This Row],[Final_time]]-SUM(Tableau1[[#This Row],[0_100m]:[1300_1400m]])</f>
        <v>15.450000000000045</v>
      </c>
      <c r="T746">
        <v>238.65</v>
      </c>
      <c r="U746">
        <f t="shared" si="22"/>
        <v>238.65</v>
      </c>
      <c r="V746">
        <f t="shared" si="23"/>
        <v>0</v>
      </c>
      <c r="W746" s="12"/>
      <c r="X746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6" t="s">
        <v>301</v>
      </c>
      <c r="Z746" t="s">
        <v>43</v>
      </c>
      <c r="AB746" t="s">
        <v>65</v>
      </c>
      <c r="AC746" s="2">
        <v>45123</v>
      </c>
      <c r="AD746">
        <v>2023</v>
      </c>
      <c r="AE746">
        <v>31</v>
      </c>
      <c r="AF746" s="5">
        <v>0.42</v>
      </c>
      <c r="AG746" s="3" t="s">
        <v>62</v>
      </c>
    </row>
    <row r="747" spans="1:33" hidden="1" x14ac:dyDescent="0.35">
      <c r="A747" t="str">
        <f>_xlfn.CONCAT(Tableau1[[#This Row],[Athletes]],"_",Tableau1[[#This Row],[Nationality]],"_",Tableau1[[#This Row],[Competition_year]])</f>
        <v>Gaia SABBATINI_ITA_2023</v>
      </c>
      <c r="B747" t="s">
        <v>167</v>
      </c>
      <c r="C747" t="s">
        <v>47</v>
      </c>
      <c r="D747" t="s">
        <v>19</v>
      </c>
      <c r="E747">
        <v>15.5</v>
      </c>
      <c r="F747">
        <v>15.6</v>
      </c>
      <c r="G747">
        <v>16.2</v>
      </c>
      <c r="H747">
        <v>16.3</v>
      </c>
      <c r="I747">
        <v>16.3</v>
      </c>
      <c r="J747">
        <v>16.399999999999999</v>
      </c>
      <c r="K747">
        <v>16.399999999999999</v>
      </c>
      <c r="L747">
        <v>16.7</v>
      </c>
      <c r="M747">
        <v>16.5</v>
      </c>
      <c r="N747">
        <v>16.5</v>
      </c>
      <c r="O747">
        <v>16.399999999999999</v>
      </c>
      <c r="P747">
        <v>16.3</v>
      </c>
      <c r="Q747">
        <v>16</v>
      </c>
      <c r="R747">
        <v>15.3</v>
      </c>
      <c r="S747">
        <f>Tableau1[[#This Row],[Final_time]]-SUM(Tableau1[[#This Row],[0_100m]:[1300_1400m]])</f>
        <v>14.840000000000003</v>
      </c>
      <c r="T747">
        <v>241.24</v>
      </c>
      <c r="U747">
        <f t="shared" si="22"/>
        <v>241.24</v>
      </c>
      <c r="V747">
        <f t="shared" si="23"/>
        <v>0</v>
      </c>
      <c r="W747" s="12"/>
      <c r="X747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7" t="s">
        <v>301</v>
      </c>
      <c r="Z747" t="s">
        <v>43</v>
      </c>
      <c r="AB747" t="s">
        <v>65</v>
      </c>
      <c r="AC747" s="2">
        <v>45123</v>
      </c>
      <c r="AD747">
        <v>2023</v>
      </c>
      <c r="AE747">
        <v>31</v>
      </c>
      <c r="AF747" s="5">
        <v>0.42</v>
      </c>
      <c r="AG747" s="3" t="s">
        <v>62</v>
      </c>
    </row>
    <row r="748" spans="1:33" hidden="1" x14ac:dyDescent="0.35">
      <c r="A748" t="str">
        <f>_xlfn.CONCAT(Tableau1[[#This Row],[Athletes]],"_",Tableau1[[#This Row],[Nationality]],"_",Tableau1[[#This Row],[Competition_year]])</f>
        <v>Katharina TROST_GER_2023</v>
      </c>
      <c r="B748" t="s">
        <v>240</v>
      </c>
      <c r="C748" t="s">
        <v>47</v>
      </c>
      <c r="D748" t="s">
        <v>34</v>
      </c>
      <c r="E748">
        <v>15.3</v>
      </c>
      <c r="F748">
        <v>16</v>
      </c>
      <c r="G748">
        <v>16.5</v>
      </c>
      <c r="H748">
        <v>16.399999999999999</v>
      </c>
      <c r="I748">
        <v>16.2</v>
      </c>
      <c r="J748">
        <v>16.399999999999999</v>
      </c>
      <c r="K748">
        <v>16.399999999999999</v>
      </c>
      <c r="L748">
        <v>16.600000000000001</v>
      </c>
      <c r="M748">
        <v>16.5</v>
      </c>
      <c r="N748">
        <v>16.600000000000001</v>
      </c>
      <c r="O748">
        <v>16.3</v>
      </c>
      <c r="P748">
        <v>16.100000000000001</v>
      </c>
      <c r="Q748">
        <v>15.9</v>
      </c>
      <c r="R748">
        <v>15.5</v>
      </c>
      <c r="S748">
        <f>Tableau1[[#This Row],[Final_time]]-SUM(Tableau1[[#This Row],[0_100m]:[1300_1400m]])</f>
        <v>15.620000000000005</v>
      </c>
      <c r="T748">
        <v>242.32</v>
      </c>
      <c r="U748">
        <f t="shared" si="22"/>
        <v>242.32</v>
      </c>
      <c r="V748">
        <f t="shared" si="23"/>
        <v>0</v>
      </c>
      <c r="W748" s="12"/>
      <c r="X748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8" t="s">
        <v>301</v>
      </c>
      <c r="Z748" t="s">
        <v>43</v>
      </c>
      <c r="AB748" t="s">
        <v>65</v>
      </c>
      <c r="AC748" s="2">
        <v>45123</v>
      </c>
      <c r="AD748">
        <v>2023</v>
      </c>
      <c r="AE748">
        <v>31</v>
      </c>
      <c r="AF748" s="5">
        <v>0.42</v>
      </c>
      <c r="AG748" s="3" t="s">
        <v>62</v>
      </c>
    </row>
    <row r="749" spans="1:33" hidden="1" x14ac:dyDescent="0.35">
      <c r="A749" t="str">
        <f>_xlfn.CONCAT(Tableau1[[#This Row],[Athletes]],"_",Tableau1[[#This Row],[Nationality]],"_",Tableau1[[#This Row],[Competition_year]])</f>
        <v>Kristiina SASÍNEK MÄKI_CZE_2023</v>
      </c>
      <c r="B749" t="s">
        <v>1046</v>
      </c>
      <c r="C749" t="s">
        <v>47</v>
      </c>
      <c r="D749" t="s">
        <v>140</v>
      </c>
      <c r="E749">
        <v>15.4</v>
      </c>
      <c r="F749">
        <v>15.7</v>
      </c>
      <c r="G749">
        <v>16.399999999999999</v>
      </c>
      <c r="H749">
        <v>16.399999999999999</v>
      </c>
      <c r="I749">
        <v>16.3</v>
      </c>
      <c r="J749">
        <v>16.399999999999999</v>
      </c>
      <c r="K749">
        <v>16.399999999999999</v>
      </c>
      <c r="L749">
        <v>16.600000000000001</v>
      </c>
      <c r="M749">
        <v>16.5</v>
      </c>
      <c r="N749">
        <v>16.600000000000001</v>
      </c>
      <c r="O749">
        <v>16.3</v>
      </c>
      <c r="P749">
        <v>16.5</v>
      </c>
      <c r="Q749">
        <v>15.9</v>
      </c>
      <c r="R749">
        <v>15.7</v>
      </c>
      <c r="S749">
        <f>Tableau1[[#This Row],[Final_time]]-SUM(Tableau1[[#This Row],[0_100m]:[1300_1400m]])</f>
        <v>16.170000000000016</v>
      </c>
      <c r="T749">
        <v>243.27</v>
      </c>
      <c r="U749">
        <f t="shared" si="22"/>
        <v>243.27</v>
      </c>
      <c r="V749">
        <f t="shared" si="23"/>
        <v>0</v>
      </c>
      <c r="W749" s="12"/>
      <c r="X749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49" t="s">
        <v>301</v>
      </c>
      <c r="Z749" t="s">
        <v>43</v>
      </c>
      <c r="AB749" t="s">
        <v>65</v>
      </c>
      <c r="AC749" s="2">
        <v>45123</v>
      </c>
      <c r="AD749">
        <v>2023</v>
      </c>
      <c r="AE749">
        <v>31</v>
      </c>
      <c r="AF749" s="5">
        <v>0.42</v>
      </c>
      <c r="AG749" s="3" t="s">
        <v>62</v>
      </c>
    </row>
    <row r="750" spans="1:33" hidden="1" x14ac:dyDescent="0.35">
      <c r="A750" t="str">
        <f>_xlfn.CONCAT(Tableau1[[#This Row],[Athletes]],"_",Tableau1[[#This Row],[Nationality]],"_",Tableau1[[#This Row],[Competition_year]])</f>
        <v>Claudia Mihaela BOBOCEA_ROU_2023</v>
      </c>
      <c r="B750" t="s">
        <v>160</v>
      </c>
      <c r="C750" t="s">
        <v>47</v>
      </c>
      <c r="D750" t="s">
        <v>102</v>
      </c>
      <c r="E750">
        <v>14.9</v>
      </c>
      <c r="F750">
        <v>15.8</v>
      </c>
      <c r="G750">
        <v>16.100000000000001</v>
      </c>
      <c r="H750">
        <v>16.5</v>
      </c>
      <c r="I750">
        <v>16.399999999999999</v>
      </c>
      <c r="J750">
        <v>16.5</v>
      </c>
      <c r="K750">
        <v>16.399999999999999</v>
      </c>
      <c r="L750">
        <v>16.7</v>
      </c>
      <c r="M750">
        <v>16.399999999999999</v>
      </c>
      <c r="N750">
        <v>16.5</v>
      </c>
      <c r="O750">
        <v>16.399999999999999</v>
      </c>
      <c r="P750">
        <v>16.399999999999999</v>
      </c>
      <c r="Q750">
        <v>16.600000000000001</v>
      </c>
      <c r="R750">
        <v>16</v>
      </c>
      <c r="S750">
        <f>Tableau1[[#This Row],[Final_time]]-SUM(Tableau1[[#This Row],[0_100m]:[1300_1400m]])</f>
        <v>16.200000000000017</v>
      </c>
      <c r="T750">
        <v>243.8</v>
      </c>
      <c r="U750">
        <f t="shared" si="22"/>
        <v>243.8</v>
      </c>
      <c r="V750">
        <f t="shared" si="23"/>
        <v>0</v>
      </c>
      <c r="W750" s="12"/>
      <c r="X750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50" t="s">
        <v>301</v>
      </c>
      <c r="Z750" t="s">
        <v>43</v>
      </c>
      <c r="AB750" t="s">
        <v>65</v>
      </c>
      <c r="AC750" s="2">
        <v>45123</v>
      </c>
      <c r="AD750">
        <v>2023</v>
      </c>
      <c r="AE750">
        <v>31</v>
      </c>
      <c r="AF750" s="5">
        <v>0.42</v>
      </c>
      <c r="AG750" s="3" t="s">
        <v>62</v>
      </c>
    </row>
    <row r="751" spans="1:33" hidden="1" x14ac:dyDescent="0.35">
      <c r="A751" t="str">
        <f>_xlfn.CONCAT(Tableau1[[#This Row],[Athletes]],"_",Tableau1[[#This Row],[Nationality]],"_",Tableau1[[#This Row],[Competition_year]])</f>
        <v>Agathe GUILLEMOT_FRA_2023</v>
      </c>
      <c r="B751" t="s">
        <v>171</v>
      </c>
      <c r="C751" t="s">
        <v>47</v>
      </c>
      <c r="D751" t="s">
        <v>18</v>
      </c>
      <c r="E751">
        <v>15.6</v>
      </c>
      <c r="F751">
        <v>15.9</v>
      </c>
      <c r="G751">
        <v>16.399999999999999</v>
      </c>
      <c r="H751">
        <v>16.5</v>
      </c>
      <c r="I751">
        <v>16.2</v>
      </c>
      <c r="J751">
        <v>16.5</v>
      </c>
      <c r="K751">
        <v>16.399999999999999</v>
      </c>
      <c r="L751">
        <v>16.7</v>
      </c>
      <c r="M751">
        <v>16.7</v>
      </c>
      <c r="N751">
        <v>16.7</v>
      </c>
      <c r="O751">
        <v>16.5</v>
      </c>
      <c r="P751">
        <v>16.3</v>
      </c>
      <c r="Q751">
        <v>16.5</v>
      </c>
      <c r="R751">
        <v>16.600000000000001</v>
      </c>
      <c r="S751">
        <f>Tableau1[[#This Row],[Final_time]]-SUM(Tableau1[[#This Row],[0_100m]:[1300_1400m]])</f>
        <v>16.390000000000015</v>
      </c>
      <c r="T751">
        <v>245.89</v>
      </c>
      <c r="U751">
        <f t="shared" si="22"/>
        <v>245.89</v>
      </c>
      <c r="V751">
        <f t="shared" si="23"/>
        <v>0</v>
      </c>
      <c r="W751" s="12"/>
      <c r="X751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51" t="s">
        <v>301</v>
      </c>
      <c r="Z751" t="s">
        <v>43</v>
      </c>
      <c r="AB751" t="s">
        <v>65</v>
      </c>
      <c r="AC751" s="2">
        <v>45123</v>
      </c>
      <c r="AD751">
        <v>2023</v>
      </c>
      <c r="AE751">
        <v>31</v>
      </c>
      <c r="AF751" s="5">
        <v>0.42</v>
      </c>
      <c r="AG751" s="3" t="s">
        <v>62</v>
      </c>
    </row>
    <row r="752" spans="1:33" hidden="1" x14ac:dyDescent="0.35">
      <c r="A752" t="str">
        <f>_xlfn.CONCAT(Tableau1[[#This Row],[Athletes]],"_",Tableau1[[#This Row],[Nationality]],"_",Tableau1[[#This Row],[Competition_year]])</f>
        <v>Erin WALLACE_GBR_2023</v>
      </c>
      <c r="B752" t="s">
        <v>407</v>
      </c>
      <c r="C752" t="s">
        <v>47</v>
      </c>
      <c r="D752" t="s">
        <v>20</v>
      </c>
      <c r="E752">
        <v>15.4</v>
      </c>
      <c r="F752">
        <v>16.299999999999997</v>
      </c>
      <c r="G752">
        <v>16.400000000000002</v>
      </c>
      <c r="H752">
        <v>16.699999999999996</v>
      </c>
      <c r="I752">
        <v>16.200000000000003</v>
      </c>
      <c r="J752">
        <v>16.5</v>
      </c>
      <c r="K752">
        <v>16.2</v>
      </c>
      <c r="L752">
        <v>16.600000000000001</v>
      </c>
      <c r="M752">
        <v>16.399999999999999</v>
      </c>
      <c r="N752">
        <v>16.5</v>
      </c>
      <c r="O752">
        <v>16.2</v>
      </c>
      <c r="P752">
        <v>16.3</v>
      </c>
      <c r="Q752">
        <v>16.399999999999999</v>
      </c>
      <c r="R752">
        <v>16.8</v>
      </c>
      <c r="S752">
        <f>Tableau1[[#This Row],[Final_time]]-SUM(Tableau1[[#This Row],[0_100m]:[1300_1400m]])</f>
        <v>17.389999999999986</v>
      </c>
      <c r="T752">
        <v>246.29</v>
      </c>
      <c r="U752">
        <f t="shared" si="22"/>
        <v>246.29</v>
      </c>
      <c r="V752">
        <f t="shared" si="23"/>
        <v>0</v>
      </c>
      <c r="W752" s="12"/>
      <c r="X752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52" t="s">
        <v>301</v>
      </c>
      <c r="Z752" t="s">
        <v>43</v>
      </c>
      <c r="AB752" t="s">
        <v>65</v>
      </c>
      <c r="AC752" s="2">
        <v>45123</v>
      </c>
      <c r="AD752">
        <v>2023</v>
      </c>
      <c r="AE752">
        <v>31</v>
      </c>
      <c r="AF752" s="5">
        <v>0.42</v>
      </c>
      <c r="AG752" s="3" t="s">
        <v>62</v>
      </c>
    </row>
    <row r="753" spans="1:34" hidden="1" x14ac:dyDescent="0.35">
      <c r="A753" t="str">
        <f>_xlfn.CONCAT(Tableau1[[#This Row],[Athletes]],"_",Tableau1[[#This Row],[Nationality]],"_",Tableau1[[#This Row],[Competition_year]])</f>
        <v>Eliza MEGGER_POL_2023</v>
      </c>
      <c r="B753" t="s">
        <v>408</v>
      </c>
      <c r="C753" t="s">
        <v>47</v>
      </c>
      <c r="D753" t="s">
        <v>83</v>
      </c>
      <c r="E753">
        <v>15.6</v>
      </c>
      <c r="F753">
        <v>16</v>
      </c>
      <c r="G753">
        <v>16.5</v>
      </c>
      <c r="H753">
        <v>16.600000000000001</v>
      </c>
      <c r="I753">
        <v>16.299999999999997</v>
      </c>
      <c r="J753">
        <v>16.399999999999999</v>
      </c>
      <c r="K753">
        <v>16.600000000000009</v>
      </c>
      <c r="L753">
        <v>16.499999999999986</v>
      </c>
      <c r="M753">
        <v>16.7</v>
      </c>
      <c r="N753">
        <v>16.5</v>
      </c>
      <c r="O753">
        <v>16.599999999999994</v>
      </c>
      <c r="P753">
        <v>16.3</v>
      </c>
      <c r="Q753">
        <v>16.100000000000001</v>
      </c>
      <c r="R753">
        <v>16.600000000000001</v>
      </c>
      <c r="S753">
        <f>Tableau1[[#This Row],[Final_time]]-SUM(Tableau1[[#This Row],[0_100m]:[1300_1400m]])</f>
        <v>19.360000000000014</v>
      </c>
      <c r="T753">
        <v>248.66</v>
      </c>
      <c r="U753">
        <f t="shared" si="22"/>
        <v>248.66</v>
      </c>
      <c r="V753">
        <f t="shared" si="23"/>
        <v>0</v>
      </c>
      <c r="W753" s="12"/>
      <c r="X753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53" t="s">
        <v>301</v>
      </c>
      <c r="Z753" t="s">
        <v>43</v>
      </c>
      <c r="AB753" t="s">
        <v>65</v>
      </c>
      <c r="AC753" s="2">
        <v>45123</v>
      </c>
      <c r="AD753">
        <v>2023</v>
      </c>
      <c r="AE753">
        <v>31</v>
      </c>
      <c r="AF753" s="5">
        <v>0.42</v>
      </c>
      <c r="AG753" s="3" t="s">
        <v>62</v>
      </c>
    </row>
    <row r="754" spans="1:34" hidden="1" x14ac:dyDescent="0.35">
      <c r="A754" t="str">
        <f>_xlfn.CONCAT(Tableau1[[#This Row],[Athletes]],"_",Tableau1[[#This Row],[Nationality]],"_",Tableau1[[#This Row],[Competition_year]])</f>
        <v>Weronika LIZAKOWSKA_POL_2023</v>
      </c>
      <c r="B754" t="s">
        <v>409</v>
      </c>
      <c r="C754" t="s">
        <v>47</v>
      </c>
      <c r="D754" t="s">
        <v>83</v>
      </c>
      <c r="E754">
        <v>15.8</v>
      </c>
      <c r="F754">
        <v>16.099999999999998</v>
      </c>
      <c r="G754">
        <v>16.5</v>
      </c>
      <c r="H754">
        <v>16.699999999999996</v>
      </c>
      <c r="I754">
        <v>16.200000000000003</v>
      </c>
      <c r="J754">
        <v>16.600000000000001</v>
      </c>
      <c r="K754">
        <v>16.8</v>
      </c>
      <c r="L754">
        <v>17.100000000000001</v>
      </c>
      <c r="M754">
        <v>17.3</v>
      </c>
      <c r="N754">
        <v>17.5</v>
      </c>
      <c r="O754">
        <v>17.7</v>
      </c>
      <c r="P754">
        <v>17.5</v>
      </c>
      <c r="Q754">
        <v>17.5</v>
      </c>
      <c r="R754">
        <v>17.8</v>
      </c>
      <c r="S754">
        <f>Tableau1[[#This Row],[Final_time]]-SUM(Tableau1[[#This Row],[0_100m]:[1300_1400m]])</f>
        <v>17.759999999999991</v>
      </c>
      <c r="T754">
        <v>254.86</v>
      </c>
      <c r="U754">
        <f t="shared" si="22"/>
        <v>254.86</v>
      </c>
      <c r="V754">
        <f t="shared" si="23"/>
        <v>0</v>
      </c>
      <c r="W754" s="12"/>
      <c r="X754" t="str">
        <f>_xlfn.CONCAT(Tableau1[[#This Row],[Competition]],"_",Tableau1[[#This Row],[Championship_step]],"_",Tableau1[[#This Row],[Competition_date]],"_",Tableau1[[#This Row],[Gender]])</f>
        <v>Diamond League Silesia 2023__45123_Female</v>
      </c>
      <c r="Y754" t="s">
        <v>301</v>
      </c>
      <c r="Z754" t="s">
        <v>43</v>
      </c>
      <c r="AB754" t="s">
        <v>65</v>
      </c>
      <c r="AC754" s="2">
        <v>45123</v>
      </c>
      <c r="AD754">
        <v>2023</v>
      </c>
      <c r="AE754">
        <v>31</v>
      </c>
      <c r="AF754" s="5">
        <v>0.42</v>
      </c>
      <c r="AG754" s="3" t="s">
        <v>62</v>
      </c>
    </row>
    <row r="755" spans="1:34" hidden="1" x14ac:dyDescent="0.35">
      <c r="A755" t="str">
        <f>_xlfn.CONCAT(Tableau1[[#This Row],[Athletes]],"_",Tableau1[[#This Row],[Nationality]],"_",Tableau1[[#This Row],[Competition_year]])</f>
        <v>Jakob INGEBRIGTSEN_NOR_2023</v>
      </c>
      <c r="B755" s="7" t="s">
        <v>151</v>
      </c>
      <c r="C755" s="7" t="s">
        <v>16</v>
      </c>
      <c r="D755" s="7" t="s">
        <v>30</v>
      </c>
      <c r="E755" s="7">
        <v>13.7</v>
      </c>
      <c r="F755" s="7">
        <v>14</v>
      </c>
      <c r="G755" s="7">
        <v>14.1</v>
      </c>
      <c r="H755" s="7">
        <v>14</v>
      </c>
      <c r="I755" s="7">
        <v>14</v>
      </c>
      <c r="J755" s="7">
        <v>14</v>
      </c>
      <c r="K755" s="7">
        <v>14</v>
      </c>
      <c r="L755" s="7">
        <v>13.8</v>
      </c>
      <c r="M755" s="7">
        <v>13.9</v>
      </c>
      <c r="N755" s="7">
        <v>13.8</v>
      </c>
      <c r="O755" s="7">
        <v>13.8</v>
      </c>
      <c r="P755" s="7">
        <v>13.8</v>
      </c>
      <c r="Q755" s="7">
        <v>13.5</v>
      </c>
      <c r="R755" s="7">
        <v>13.4</v>
      </c>
      <c r="S755">
        <f>Tableau1[[#This Row],[Final_time]]-SUM(Tableau1[[#This Row],[0_100m]:[1300_1400m]])</f>
        <v>13.339999999999947</v>
      </c>
      <c r="T755">
        <v>207.14</v>
      </c>
      <c r="U755">
        <f t="shared" si="22"/>
        <v>207.14</v>
      </c>
      <c r="V755">
        <f t="shared" si="23"/>
        <v>0</v>
      </c>
      <c r="W755" s="12"/>
      <c r="X755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55" t="s">
        <v>301</v>
      </c>
      <c r="Z755" s="2" t="s">
        <v>43</v>
      </c>
      <c r="AA755" s="2"/>
      <c r="AB755" s="2" t="s">
        <v>65</v>
      </c>
      <c r="AC755" s="2">
        <v>45123</v>
      </c>
      <c r="AD755" s="3">
        <v>2023</v>
      </c>
      <c r="AE755" s="3">
        <v>30</v>
      </c>
      <c r="AF755" s="5">
        <v>0.48</v>
      </c>
      <c r="AG755" s="3" t="s">
        <v>281</v>
      </c>
      <c r="AH755" t="s">
        <v>268</v>
      </c>
    </row>
    <row r="756" spans="1:34" hidden="1" x14ac:dyDescent="0.35">
      <c r="A756" t="str">
        <f>_xlfn.CONCAT(Tableau1[[#This Row],[Athletes]],"_",Tableau1[[#This Row],[Nationality]],"_",Tableau1[[#This Row],[Competition_year]])</f>
        <v>Isaac NADER_POR_2023</v>
      </c>
      <c r="B756" s="7" t="s">
        <v>191</v>
      </c>
      <c r="C756" s="7" t="s">
        <v>16</v>
      </c>
      <c r="D756" s="7" t="s">
        <v>33</v>
      </c>
      <c r="E756" s="7">
        <v>13.9</v>
      </c>
      <c r="F756" s="7">
        <v>14.6</v>
      </c>
      <c r="G756" s="7">
        <v>14.8</v>
      </c>
      <c r="H756" s="7">
        <v>14</v>
      </c>
      <c r="I756" s="7">
        <v>14.3</v>
      </c>
      <c r="J756" s="7">
        <v>13.9</v>
      </c>
      <c r="K756" s="7">
        <v>13.9</v>
      </c>
      <c r="L756" s="7">
        <v>14.2</v>
      </c>
      <c r="M756" s="7">
        <v>14.2</v>
      </c>
      <c r="N756" s="7">
        <v>14.2</v>
      </c>
      <c r="O756" s="7">
        <v>14.3</v>
      </c>
      <c r="P756" s="7">
        <v>14</v>
      </c>
      <c r="Q756" s="7">
        <v>13.9</v>
      </c>
      <c r="R756" s="7">
        <v>13.9</v>
      </c>
      <c r="S756">
        <f>Tableau1[[#This Row],[Final_time]]-SUM(Tableau1[[#This Row],[0_100m]:[1300_1400m]])</f>
        <v>13.389999999999986</v>
      </c>
      <c r="T756">
        <v>211.49</v>
      </c>
      <c r="U756">
        <f t="shared" si="22"/>
        <v>211.49</v>
      </c>
      <c r="V756">
        <f t="shared" si="23"/>
        <v>0</v>
      </c>
      <c r="W756" s="12"/>
      <c r="X756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56" t="s">
        <v>301</v>
      </c>
      <c r="Z756" s="2" t="s">
        <v>43</v>
      </c>
      <c r="AA756" s="2"/>
      <c r="AB756" s="2" t="s">
        <v>65</v>
      </c>
      <c r="AC756" s="2">
        <v>45123</v>
      </c>
      <c r="AD756" s="3">
        <v>2023</v>
      </c>
      <c r="AE756" s="3">
        <v>30</v>
      </c>
      <c r="AF756" s="5">
        <v>0.48</v>
      </c>
      <c r="AG756" s="3" t="s">
        <v>281</v>
      </c>
      <c r="AH756" t="s">
        <v>268</v>
      </c>
    </row>
    <row r="757" spans="1:34" hidden="1" x14ac:dyDescent="0.35">
      <c r="A757" t="str">
        <f>_xlfn.CONCAT(Tableau1[[#This Row],[Athletes]],"_",Tableau1[[#This Row],[Nationality]],"_",Tableau1[[#This Row],[Competition_year]])</f>
        <v>Andrew COSCORAN_IRL_2023</v>
      </c>
      <c r="B757" s="7" t="s">
        <v>232</v>
      </c>
      <c r="C757" s="7" t="s">
        <v>16</v>
      </c>
      <c r="D757" s="7" t="s">
        <v>35</v>
      </c>
      <c r="E757" s="7">
        <v>14.1</v>
      </c>
      <c r="F757" s="7">
        <v>14.6</v>
      </c>
      <c r="G757" s="7">
        <v>14.7</v>
      </c>
      <c r="H757" s="7">
        <v>14.1</v>
      </c>
      <c r="I757" s="7">
        <v>14.3</v>
      </c>
      <c r="J757" s="7">
        <v>13.9</v>
      </c>
      <c r="K757" s="7">
        <v>13.9</v>
      </c>
      <c r="L757" s="7">
        <v>14.2</v>
      </c>
      <c r="M757" s="7">
        <v>13.8</v>
      </c>
      <c r="N757" s="7">
        <v>14.2</v>
      </c>
      <c r="O757" s="7">
        <v>13.9</v>
      </c>
      <c r="P757" s="7">
        <v>13.7</v>
      </c>
      <c r="Q757" s="7">
        <v>13.7</v>
      </c>
      <c r="R757" s="7">
        <v>13.8</v>
      </c>
      <c r="S757">
        <f>Tableau1[[#This Row],[Final_time]]-SUM(Tableau1[[#This Row],[0_100m]:[1300_1400m]])</f>
        <v>13.519999999999982</v>
      </c>
      <c r="T757">
        <v>210.42</v>
      </c>
      <c r="U757">
        <f t="shared" si="22"/>
        <v>210.42</v>
      </c>
      <c r="V757">
        <f t="shared" si="23"/>
        <v>0</v>
      </c>
      <c r="W757" s="12"/>
      <c r="X757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57" t="s">
        <v>301</v>
      </c>
      <c r="Z757" s="2" t="s">
        <v>43</v>
      </c>
      <c r="AA757" s="2"/>
      <c r="AB757" s="2" t="s">
        <v>65</v>
      </c>
      <c r="AC757" s="2">
        <v>45123</v>
      </c>
      <c r="AD757" s="3">
        <v>2023</v>
      </c>
      <c r="AE757" s="3">
        <v>30</v>
      </c>
      <c r="AF757" s="5">
        <v>0.48</v>
      </c>
      <c r="AG757" s="3" t="s">
        <v>281</v>
      </c>
      <c r="AH757" t="s">
        <v>268</v>
      </c>
    </row>
    <row r="758" spans="1:34" hidden="1" x14ac:dyDescent="0.35">
      <c r="A758" t="str">
        <f>_xlfn.CONCAT(Tableau1[[#This Row],[Athletes]],"_",Tableau1[[#This Row],[Nationality]],"_",Tableau1[[#This Row],[Competition_year]])</f>
        <v>Samuel TANNER_NZL_2023</v>
      </c>
      <c r="B758" s="7" t="s">
        <v>203</v>
      </c>
      <c r="C758" s="7" t="s">
        <v>16</v>
      </c>
      <c r="D758" s="7" t="s">
        <v>118</v>
      </c>
      <c r="E758" s="7">
        <v>14.3</v>
      </c>
      <c r="F758" s="7">
        <v>14.5</v>
      </c>
      <c r="G758" s="7">
        <v>15.1</v>
      </c>
      <c r="H758" s="7">
        <v>14</v>
      </c>
      <c r="I758" s="7">
        <v>14.3</v>
      </c>
      <c r="J758" s="7">
        <v>14</v>
      </c>
      <c r="K758" s="7">
        <v>13.9</v>
      </c>
      <c r="L758" s="7">
        <v>14</v>
      </c>
      <c r="M758" s="7">
        <v>14</v>
      </c>
      <c r="N758" s="7">
        <v>14.1</v>
      </c>
      <c r="O758" s="7">
        <v>14.3</v>
      </c>
      <c r="P758" s="7">
        <v>14.2</v>
      </c>
      <c r="Q758" s="7">
        <v>13.5</v>
      </c>
      <c r="R758" s="7">
        <v>13.5</v>
      </c>
      <c r="S758">
        <f>Tableau1[[#This Row],[Final_time]]-SUM(Tableau1[[#This Row],[0_100m]:[1300_1400m]])</f>
        <v>13.539999999999992</v>
      </c>
      <c r="T758">
        <v>211.24</v>
      </c>
      <c r="U758">
        <f t="shared" si="22"/>
        <v>211.24</v>
      </c>
      <c r="V758">
        <f t="shared" si="23"/>
        <v>0</v>
      </c>
      <c r="W758" s="12"/>
      <c r="X758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58" t="s">
        <v>301</v>
      </c>
      <c r="Z758" s="2" t="s">
        <v>43</v>
      </c>
      <c r="AA758" s="2"/>
      <c r="AB758" s="2" t="s">
        <v>65</v>
      </c>
      <c r="AC758" s="2">
        <v>45123</v>
      </c>
      <c r="AD758" s="3">
        <v>2023</v>
      </c>
      <c r="AE758" s="3">
        <v>30</v>
      </c>
      <c r="AF758" s="5">
        <v>0.48</v>
      </c>
      <c r="AG758" s="3" t="s">
        <v>281</v>
      </c>
      <c r="AH758" t="s">
        <v>268</v>
      </c>
    </row>
    <row r="759" spans="1:34" hidden="1" x14ac:dyDescent="0.35">
      <c r="A759" t="str">
        <f>_xlfn.CONCAT(Tableau1[[#This Row],[Athletes]],"_",Tableau1[[#This Row],[Nationality]],"_",Tableau1[[#This Row],[Competition_year]])</f>
        <v>Reynold CHERUIYOT_KEN_2023</v>
      </c>
      <c r="B759" s="7" t="s">
        <v>1192</v>
      </c>
      <c r="C759" s="7" t="s">
        <v>16</v>
      </c>
      <c r="D759" s="7" t="s">
        <v>17</v>
      </c>
      <c r="E759" s="7">
        <v>14</v>
      </c>
      <c r="F759" s="7">
        <v>14.4</v>
      </c>
      <c r="G759" s="7">
        <v>14.7</v>
      </c>
      <c r="H759" s="7">
        <v>14</v>
      </c>
      <c r="I759" s="7">
        <v>14.3</v>
      </c>
      <c r="J759" s="7">
        <v>13.9</v>
      </c>
      <c r="K759" s="7">
        <v>13.6</v>
      </c>
      <c r="L759" s="7">
        <v>14.2</v>
      </c>
      <c r="M759" s="7">
        <v>13.9</v>
      </c>
      <c r="N759" s="7">
        <v>14</v>
      </c>
      <c r="O759" s="7">
        <v>13.8</v>
      </c>
      <c r="P759" s="7">
        <v>14.1</v>
      </c>
      <c r="Q759" s="7">
        <v>13.8</v>
      </c>
      <c r="R759" s="7">
        <v>14</v>
      </c>
      <c r="S759">
        <f>Tableau1[[#This Row],[Final_time]]-SUM(Tableau1[[#This Row],[0_100m]:[1300_1400m]])</f>
        <v>13.599999999999994</v>
      </c>
      <c r="T759">
        <v>210.3</v>
      </c>
      <c r="U759">
        <f t="shared" si="22"/>
        <v>210.3</v>
      </c>
      <c r="V759">
        <f t="shared" si="23"/>
        <v>0</v>
      </c>
      <c r="W759" s="12"/>
      <c r="X759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59" t="s">
        <v>301</v>
      </c>
      <c r="Z759" s="2" t="s">
        <v>43</v>
      </c>
      <c r="AA759" s="2"/>
      <c r="AB759" s="2" t="s">
        <v>65</v>
      </c>
      <c r="AC759" s="2">
        <v>45123</v>
      </c>
      <c r="AD759" s="3">
        <v>2023</v>
      </c>
      <c r="AE759" s="3">
        <v>30</v>
      </c>
      <c r="AF759" s="5">
        <v>0.48</v>
      </c>
      <c r="AG759" s="3" t="s">
        <v>281</v>
      </c>
      <c r="AH759" t="s">
        <v>268</v>
      </c>
    </row>
    <row r="760" spans="1:34" hidden="1" x14ac:dyDescent="0.35">
      <c r="A760" t="str">
        <f>_xlfn.CONCAT(Tableau1[[#This Row],[Athletes]],"_",Tableau1[[#This Row],[Nationality]],"_",Tableau1[[#This Row],[Competition_year]])</f>
        <v>Abel KIPSANG_KEN_2023</v>
      </c>
      <c r="B760" s="7" t="s">
        <v>227</v>
      </c>
      <c r="C760" s="7" t="s">
        <v>16</v>
      </c>
      <c r="D760" s="7" t="s">
        <v>17</v>
      </c>
      <c r="E760" s="7">
        <v>13.9</v>
      </c>
      <c r="F760" s="7">
        <v>14.3</v>
      </c>
      <c r="G760" s="7">
        <v>14.2</v>
      </c>
      <c r="H760" s="7">
        <v>14.1</v>
      </c>
      <c r="I760" s="7">
        <v>14.1</v>
      </c>
      <c r="J760" s="7">
        <v>14</v>
      </c>
      <c r="K760" s="7">
        <v>13.8</v>
      </c>
      <c r="L760" s="7">
        <v>14.1</v>
      </c>
      <c r="M760" s="7">
        <v>13.9</v>
      </c>
      <c r="N760" s="7">
        <v>14</v>
      </c>
      <c r="O760" s="7">
        <v>13.8</v>
      </c>
      <c r="P760" s="7">
        <v>13.9</v>
      </c>
      <c r="Q760" s="7">
        <v>13.6</v>
      </c>
      <c r="R760" s="7">
        <v>13.8</v>
      </c>
      <c r="S760">
        <f>Tableau1[[#This Row],[Final_time]]-SUM(Tableau1[[#This Row],[0_100m]:[1300_1400m]])</f>
        <v>13.609999999999985</v>
      </c>
      <c r="T760">
        <v>209.11</v>
      </c>
      <c r="U760">
        <f t="shared" si="22"/>
        <v>209.11</v>
      </c>
      <c r="V760">
        <f t="shared" si="23"/>
        <v>0</v>
      </c>
      <c r="W760" s="12"/>
      <c r="X760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0" t="s">
        <v>301</v>
      </c>
      <c r="Z760" s="2" t="s">
        <v>43</v>
      </c>
      <c r="AA760" s="2"/>
      <c r="AB760" s="2" t="s">
        <v>65</v>
      </c>
      <c r="AC760" s="2">
        <v>45123</v>
      </c>
      <c r="AD760" s="3">
        <v>2023</v>
      </c>
      <c r="AE760" s="3">
        <v>30</v>
      </c>
      <c r="AF760" s="5">
        <v>0.48</v>
      </c>
      <c r="AG760" s="3" t="s">
        <v>281</v>
      </c>
      <c r="AH760" t="s">
        <v>268</v>
      </c>
    </row>
    <row r="761" spans="1:34" hidden="1" x14ac:dyDescent="0.35">
      <c r="A761" t="str">
        <f>_xlfn.CONCAT(Tableau1[[#This Row],[Athletes]],"_",Tableau1[[#This Row],[Nationality]],"_",Tableau1[[#This Row],[Competition_year]])</f>
        <v>Adrián BEN_ESP_2023</v>
      </c>
      <c r="B761" t="s">
        <v>433</v>
      </c>
      <c r="C761" t="s">
        <v>16</v>
      </c>
      <c r="D761" t="s">
        <v>22</v>
      </c>
      <c r="E761">
        <v>14.3</v>
      </c>
      <c r="F761">
        <v>14.7</v>
      </c>
      <c r="G761">
        <v>15</v>
      </c>
      <c r="H761">
        <v>14.1</v>
      </c>
      <c r="I761">
        <v>14.3</v>
      </c>
      <c r="J761">
        <v>14.5</v>
      </c>
      <c r="K761">
        <v>14.3</v>
      </c>
      <c r="L761">
        <v>14.2</v>
      </c>
      <c r="M761">
        <v>14.3</v>
      </c>
      <c r="N761">
        <v>14.2</v>
      </c>
      <c r="O761">
        <v>14</v>
      </c>
      <c r="P761">
        <v>14.1</v>
      </c>
      <c r="Q761">
        <v>14</v>
      </c>
      <c r="R761">
        <v>13.5</v>
      </c>
      <c r="S761">
        <f>Tableau1[[#This Row],[Final_time]]-SUM(Tableau1[[#This Row],[0_100m]:[1300_1400m]])</f>
        <v>14</v>
      </c>
      <c r="T761">
        <v>213.5</v>
      </c>
      <c r="U761">
        <f t="shared" si="22"/>
        <v>213.5</v>
      </c>
      <c r="V761">
        <f t="shared" si="23"/>
        <v>0</v>
      </c>
      <c r="W761" s="12"/>
      <c r="X761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1" t="s">
        <v>301</v>
      </c>
      <c r="Z761" s="2" t="s">
        <v>43</v>
      </c>
      <c r="AA761" s="2"/>
      <c r="AB761" s="2" t="s">
        <v>65</v>
      </c>
      <c r="AC761" s="2">
        <v>45123</v>
      </c>
      <c r="AD761" s="3">
        <v>2023</v>
      </c>
      <c r="AE761" s="3">
        <v>30</v>
      </c>
      <c r="AF761" s="5">
        <v>0.48</v>
      </c>
      <c r="AG761" s="3" t="s">
        <v>281</v>
      </c>
      <c r="AH761" t="s">
        <v>268</v>
      </c>
    </row>
    <row r="762" spans="1:34" hidden="1" x14ac:dyDescent="0.35">
      <c r="A762" t="str">
        <f>_xlfn.CONCAT(Tableau1[[#This Row],[Athletes]],"_",Tableau1[[#This Row],[Nationality]],"_",Tableau1[[#This Row],[Competition_year]])</f>
        <v>George MILLS_GBR_2023</v>
      </c>
      <c r="B762" s="7" t="s">
        <v>279</v>
      </c>
      <c r="C762" s="7" t="s">
        <v>16</v>
      </c>
      <c r="D762" s="7" t="s">
        <v>20</v>
      </c>
      <c r="E762" s="7">
        <v>13.9</v>
      </c>
      <c r="F762" s="7">
        <v>14.3</v>
      </c>
      <c r="G762" s="7">
        <v>14.6</v>
      </c>
      <c r="H762" s="7">
        <v>14.1</v>
      </c>
      <c r="I762" s="7">
        <v>14.2</v>
      </c>
      <c r="J762" s="7">
        <v>13.9</v>
      </c>
      <c r="K762" s="7">
        <v>14.2</v>
      </c>
      <c r="L762" s="7">
        <v>14.2</v>
      </c>
      <c r="M762" s="7">
        <v>14</v>
      </c>
      <c r="N762" s="7">
        <v>14.3</v>
      </c>
      <c r="O762" s="7">
        <v>14.4</v>
      </c>
      <c r="P762" s="7">
        <v>14</v>
      </c>
      <c r="Q762" s="7">
        <v>13.7</v>
      </c>
      <c r="R762" s="7">
        <v>13.7</v>
      </c>
      <c r="S762">
        <f>Tableau1[[#This Row],[Final_time]]-SUM(Tableau1[[#This Row],[0_100m]:[1300_1400m]])</f>
        <v>14.039999999999992</v>
      </c>
      <c r="T762">
        <v>211.54</v>
      </c>
      <c r="U762">
        <f t="shared" si="22"/>
        <v>211.54</v>
      </c>
      <c r="V762">
        <f t="shared" si="23"/>
        <v>0</v>
      </c>
      <c r="W762" s="12"/>
      <c r="X762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2" t="s">
        <v>301</v>
      </c>
      <c r="Z762" s="2" t="s">
        <v>43</v>
      </c>
      <c r="AA762" s="2"/>
      <c r="AB762" s="2" t="s">
        <v>65</v>
      </c>
      <c r="AC762" s="2">
        <v>45123</v>
      </c>
      <c r="AD762" s="3">
        <v>2023</v>
      </c>
      <c r="AE762" s="3">
        <v>30</v>
      </c>
      <c r="AF762" s="5">
        <v>0.48</v>
      </c>
      <c r="AG762" s="3" t="s">
        <v>281</v>
      </c>
      <c r="AH762" t="s">
        <v>268</v>
      </c>
    </row>
    <row r="763" spans="1:34" hidden="1" x14ac:dyDescent="0.35">
      <c r="A763" t="str">
        <f>_xlfn.CONCAT(Tableau1[[#This Row],[Athletes]],"_",Tableau1[[#This Row],[Nationality]],"_",Tableau1[[#This Row],[Competition_year]])</f>
        <v>Cameron MYERS_AUS_2023</v>
      </c>
      <c r="B763" s="7" t="s">
        <v>808</v>
      </c>
      <c r="C763" s="7" t="s">
        <v>16</v>
      </c>
      <c r="D763" s="7" t="s">
        <v>21</v>
      </c>
      <c r="E763" s="7">
        <v>14.6</v>
      </c>
      <c r="F763" s="7">
        <v>14.6</v>
      </c>
      <c r="G763" s="7">
        <v>15.1</v>
      </c>
      <c r="H763" s="7">
        <v>14.2</v>
      </c>
      <c r="I763" s="7">
        <v>14.2</v>
      </c>
      <c r="J763" s="7">
        <v>14</v>
      </c>
      <c r="K763" s="7">
        <v>13.8</v>
      </c>
      <c r="L763" s="7">
        <v>14</v>
      </c>
      <c r="M763" s="7">
        <v>14.1</v>
      </c>
      <c r="N763" s="7">
        <v>14.1</v>
      </c>
      <c r="O763" s="7">
        <v>14.2</v>
      </c>
      <c r="P763" s="7">
        <v>14.3</v>
      </c>
      <c r="Q763" s="7">
        <v>13.8</v>
      </c>
      <c r="R763" s="7">
        <v>14.2</v>
      </c>
      <c r="S763">
        <f>Tableau1[[#This Row],[Final_time]]-SUM(Tableau1[[#This Row],[0_100m]:[1300_1400m]])</f>
        <v>14.060000000000002</v>
      </c>
      <c r="T763">
        <v>213.26</v>
      </c>
      <c r="U763">
        <f t="shared" si="22"/>
        <v>213.26</v>
      </c>
      <c r="V763">
        <f t="shared" si="23"/>
        <v>0</v>
      </c>
      <c r="W763" s="12"/>
      <c r="X763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3" t="s">
        <v>301</v>
      </c>
      <c r="Z763" s="2" t="s">
        <v>43</v>
      </c>
      <c r="AA763" s="2"/>
      <c r="AB763" s="2" t="s">
        <v>65</v>
      </c>
      <c r="AC763" s="2">
        <v>45123</v>
      </c>
      <c r="AD763" s="3">
        <v>2023</v>
      </c>
      <c r="AE763" s="3">
        <v>30</v>
      </c>
      <c r="AF763" s="5">
        <v>0.48</v>
      </c>
      <c r="AG763" s="3" t="s">
        <v>281</v>
      </c>
      <c r="AH763" t="s">
        <v>268</v>
      </c>
    </row>
    <row r="764" spans="1:34" hidden="1" x14ac:dyDescent="0.35">
      <c r="A764" t="str">
        <f>_xlfn.CONCAT(Tableau1[[#This Row],[Athletes]],"_",Tableau1[[#This Row],[Nationality]],"_",Tableau1[[#This Row],[Competition_year]])</f>
        <v>Charles PHILIBERT-THIBOUTOT_CAN_2023</v>
      </c>
      <c r="B764" s="7" t="s">
        <v>113</v>
      </c>
      <c r="C764" s="7" t="s">
        <v>16</v>
      </c>
      <c r="D764" s="7" t="s">
        <v>55</v>
      </c>
      <c r="E764" s="7">
        <v>14.5</v>
      </c>
      <c r="F764" s="7">
        <v>14.4</v>
      </c>
      <c r="G764" s="7">
        <v>15.2</v>
      </c>
      <c r="H764" s="7">
        <v>14.2</v>
      </c>
      <c r="I764" s="7">
        <v>14.2</v>
      </c>
      <c r="J764" s="7">
        <v>14</v>
      </c>
      <c r="K764" s="7">
        <v>13.9</v>
      </c>
      <c r="L764" s="7">
        <v>14</v>
      </c>
      <c r="M764" s="7">
        <v>14</v>
      </c>
      <c r="N764" s="7">
        <v>14.1</v>
      </c>
      <c r="O764" s="7">
        <v>14.2</v>
      </c>
      <c r="P764" s="7">
        <v>14.3</v>
      </c>
      <c r="Q764" s="7">
        <v>13.8</v>
      </c>
      <c r="R764" s="7">
        <v>14.2</v>
      </c>
      <c r="S764">
        <f>Tableau1[[#This Row],[Final_time]]-SUM(Tableau1[[#This Row],[0_100m]:[1300_1400m]])</f>
        <v>14.289999999999992</v>
      </c>
      <c r="T764">
        <v>213.29</v>
      </c>
      <c r="U764">
        <f t="shared" si="22"/>
        <v>213.29</v>
      </c>
      <c r="V764">
        <f t="shared" si="23"/>
        <v>0</v>
      </c>
      <c r="W764" s="12"/>
      <c r="X764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4" t="s">
        <v>301</v>
      </c>
      <c r="Z764" s="2" t="s">
        <v>43</v>
      </c>
      <c r="AA764" s="2"/>
      <c r="AB764" s="2" t="s">
        <v>65</v>
      </c>
      <c r="AC764" s="2">
        <v>45123</v>
      </c>
      <c r="AD764" s="3">
        <v>2023</v>
      </c>
      <c r="AE764" s="3">
        <v>30</v>
      </c>
      <c r="AF764" s="5">
        <v>0.48</v>
      </c>
      <c r="AG764" s="3" t="s">
        <v>281</v>
      </c>
      <c r="AH764" t="s">
        <v>268</v>
      </c>
    </row>
    <row r="765" spans="1:34" hidden="1" x14ac:dyDescent="0.35">
      <c r="A765" t="str">
        <f>_xlfn.CONCAT(Tableau1[[#This Row],[Athletes]],"_",Tableau1[[#This Row],[Nationality]],"_",Tableau1[[#This Row],[Competition_year]])</f>
        <v>Vincent Kibet KETER_KEN_2023</v>
      </c>
      <c r="B765" s="7" t="s">
        <v>1299</v>
      </c>
      <c r="C765" s="7" t="s">
        <v>16</v>
      </c>
      <c r="D765" s="7" t="s">
        <v>17</v>
      </c>
      <c r="E765" s="7">
        <v>13.7</v>
      </c>
      <c r="F765" s="7">
        <v>14.4</v>
      </c>
      <c r="G765" s="7">
        <v>14.5</v>
      </c>
      <c r="H765" s="7">
        <v>14.1</v>
      </c>
      <c r="I765" s="7">
        <v>14.2</v>
      </c>
      <c r="J765" s="7">
        <v>13.9</v>
      </c>
      <c r="K765" s="7">
        <v>13.8</v>
      </c>
      <c r="L765" s="7">
        <v>14.1</v>
      </c>
      <c r="M765" s="7">
        <v>14.1</v>
      </c>
      <c r="N765" s="7">
        <v>13.9</v>
      </c>
      <c r="O765" s="7">
        <v>13.9</v>
      </c>
      <c r="P765" s="7">
        <v>14</v>
      </c>
      <c r="Q765" s="7">
        <v>13.7</v>
      </c>
      <c r="R765" s="7">
        <v>14.3</v>
      </c>
      <c r="S765">
        <f>Tableau1[[#This Row],[Final_time]]-SUM(Tableau1[[#This Row],[0_100m]:[1300_1400m]])</f>
        <v>14.680000000000007</v>
      </c>
      <c r="T765">
        <v>211.28</v>
      </c>
      <c r="U765">
        <f t="shared" si="22"/>
        <v>211.28</v>
      </c>
      <c r="V765">
        <f t="shared" si="23"/>
        <v>0</v>
      </c>
      <c r="W765" s="12"/>
      <c r="X765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5" t="s">
        <v>301</v>
      </c>
      <c r="Z765" s="2" t="s">
        <v>43</v>
      </c>
      <c r="AA765" s="2"/>
      <c r="AB765" s="2" t="s">
        <v>65</v>
      </c>
      <c r="AC765" s="2">
        <v>45123</v>
      </c>
      <c r="AD765" s="3">
        <v>2023</v>
      </c>
      <c r="AE765" s="3">
        <v>30</v>
      </c>
      <c r="AF765" s="5">
        <v>0.48</v>
      </c>
      <c r="AG765" s="3" t="s">
        <v>281</v>
      </c>
      <c r="AH765" t="s">
        <v>268</v>
      </c>
    </row>
    <row r="766" spans="1:34" hidden="1" x14ac:dyDescent="0.35">
      <c r="A766" t="str">
        <f>_xlfn.CONCAT(Tableau1[[#This Row],[Athletes]],"_",Tableau1[[#This Row],[Nationality]],"_",Tableau1[[#This Row],[Competition_year]])</f>
        <v>Elliot GILES_GBR_2023</v>
      </c>
      <c r="B766" s="7" t="s">
        <v>231</v>
      </c>
      <c r="C766" s="7" t="s">
        <v>16</v>
      </c>
      <c r="D766" s="7" t="s">
        <v>20</v>
      </c>
      <c r="E766" s="7">
        <v>13.7</v>
      </c>
      <c r="F766" s="7">
        <v>14.3</v>
      </c>
      <c r="G766" s="7">
        <v>14.1</v>
      </c>
      <c r="H766" s="7">
        <v>14.1</v>
      </c>
      <c r="I766" s="7">
        <v>14.1</v>
      </c>
      <c r="J766" s="7">
        <v>14.1</v>
      </c>
      <c r="K766" s="7">
        <v>14.3</v>
      </c>
      <c r="L766" s="7">
        <v>14.3</v>
      </c>
      <c r="M766" s="7">
        <v>14.2</v>
      </c>
      <c r="N766" s="7">
        <v>14.3</v>
      </c>
      <c r="O766" s="7">
        <v>14.5</v>
      </c>
      <c r="P766" s="7">
        <v>13.9</v>
      </c>
      <c r="Q766" s="7">
        <v>14.2</v>
      </c>
      <c r="R766" s="7">
        <v>14.2</v>
      </c>
      <c r="S766">
        <f>Tableau1[[#This Row],[Final_time]]-SUM(Tableau1[[#This Row],[0_100m]:[1300_1400m]])</f>
        <v>14.700000000000017</v>
      </c>
      <c r="T766">
        <v>213</v>
      </c>
      <c r="U766">
        <f t="shared" si="22"/>
        <v>213</v>
      </c>
      <c r="V766">
        <f t="shared" si="23"/>
        <v>0</v>
      </c>
      <c r="W766" s="12"/>
      <c r="X766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6" t="s">
        <v>301</v>
      </c>
      <c r="Z766" s="2" t="s">
        <v>43</v>
      </c>
      <c r="AA766" s="2"/>
      <c r="AB766" s="2" t="s">
        <v>65</v>
      </c>
      <c r="AC766" s="2">
        <v>45123</v>
      </c>
      <c r="AD766" s="3">
        <v>2023</v>
      </c>
      <c r="AE766" s="3">
        <v>30</v>
      </c>
      <c r="AF766" s="5">
        <v>0.48</v>
      </c>
      <c r="AG766" s="3" t="s">
        <v>281</v>
      </c>
      <c r="AH766" t="s">
        <v>268</v>
      </c>
    </row>
    <row r="767" spans="1:34" hidden="1" x14ac:dyDescent="0.35">
      <c r="A767" t="str">
        <f>_xlfn.CONCAT(Tableau1[[#This Row],[Athletes]],"_",Tableau1[[#This Row],[Nationality]],"_",Tableau1[[#This Row],[Competition_year]])</f>
        <v>Azeddine HABZ_FRA_2023</v>
      </c>
      <c r="B767" s="7" t="s">
        <v>218</v>
      </c>
      <c r="C767" s="7" t="s">
        <v>16</v>
      </c>
      <c r="D767" s="7" t="s">
        <v>18</v>
      </c>
      <c r="E767" s="7">
        <v>13.7</v>
      </c>
      <c r="F767" s="7">
        <v>14.2</v>
      </c>
      <c r="G767" s="7">
        <v>14</v>
      </c>
      <c r="H767" s="7">
        <v>14.1</v>
      </c>
      <c r="I767" s="7">
        <v>14</v>
      </c>
      <c r="J767" s="7">
        <v>14</v>
      </c>
      <c r="K767" s="7">
        <v>14</v>
      </c>
      <c r="L767" s="7">
        <v>13.9</v>
      </c>
      <c r="M767" s="7">
        <v>13.9</v>
      </c>
      <c r="N767" s="7">
        <v>14.3</v>
      </c>
      <c r="O767" s="7">
        <v>14.2</v>
      </c>
      <c r="P767" s="7">
        <v>14.1</v>
      </c>
      <c r="Q767" s="7">
        <v>14.1</v>
      </c>
      <c r="R767" s="7">
        <v>14.3</v>
      </c>
      <c r="S767">
        <f>Tableau1[[#This Row],[Final_time]]-SUM(Tableau1[[#This Row],[0_100m]:[1300_1400m]])</f>
        <v>14.810000000000002</v>
      </c>
      <c r="T767">
        <v>211.61</v>
      </c>
      <c r="U767">
        <f t="shared" si="22"/>
        <v>211.61</v>
      </c>
      <c r="V767">
        <f t="shared" si="23"/>
        <v>0</v>
      </c>
      <c r="W767" s="12"/>
      <c r="X767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7" t="s">
        <v>301</v>
      </c>
      <c r="Z767" s="2" t="s">
        <v>43</v>
      </c>
      <c r="AA767" s="2"/>
      <c r="AB767" s="2" t="s">
        <v>65</v>
      </c>
      <c r="AC767" s="2">
        <v>45123</v>
      </c>
      <c r="AD767" s="3">
        <v>2023</v>
      </c>
      <c r="AE767" s="3">
        <v>30</v>
      </c>
      <c r="AF767" s="5">
        <v>0.48</v>
      </c>
      <c r="AG767" s="3" t="s">
        <v>281</v>
      </c>
      <c r="AH767" t="s">
        <v>268</v>
      </c>
    </row>
    <row r="768" spans="1:34" hidden="1" x14ac:dyDescent="0.35">
      <c r="A768" t="str">
        <f>_xlfn.CONCAT(Tableau1[[#This Row],[Athletes]],"_",Tableau1[[#This Row],[Nationality]],"_",Tableau1[[#This Row],[Competition_year]])</f>
        <v>Samuel PRAKEL_USA_2023</v>
      </c>
      <c r="B768" t="s">
        <v>364</v>
      </c>
      <c r="C768" t="s">
        <v>16</v>
      </c>
      <c r="D768" t="s">
        <v>51</v>
      </c>
      <c r="E768">
        <v>14</v>
      </c>
      <c r="F768">
        <v>14.7</v>
      </c>
      <c r="G768">
        <v>14.9</v>
      </c>
      <c r="H768">
        <v>14.1</v>
      </c>
      <c r="I768">
        <v>14.3</v>
      </c>
      <c r="J768">
        <v>14</v>
      </c>
      <c r="K768">
        <v>13.9</v>
      </c>
      <c r="L768">
        <v>14.4</v>
      </c>
      <c r="M768">
        <v>14.5</v>
      </c>
      <c r="N768">
        <v>14.4</v>
      </c>
      <c r="O768">
        <v>14.8</v>
      </c>
      <c r="P768">
        <v>14.9</v>
      </c>
      <c r="Q768">
        <v>15.4</v>
      </c>
      <c r="R768">
        <v>15.8</v>
      </c>
      <c r="S768">
        <f>Tableau1[[#This Row],[Final_time]]-SUM(Tableau1[[#This Row],[0_100m]:[1300_1400m]])</f>
        <v>15.989999999999952</v>
      </c>
      <c r="T768">
        <v>220.09</v>
      </c>
      <c r="U768">
        <f t="shared" si="22"/>
        <v>220.09</v>
      </c>
      <c r="V768">
        <f t="shared" si="23"/>
        <v>0</v>
      </c>
      <c r="W768" s="12"/>
      <c r="X768" t="str">
        <f>_xlfn.CONCAT(Tableau1[[#This Row],[Competition]],"_",Tableau1[[#This Row],[Championship_step]],"_",Tableau1[[#This Row],[Competition_date]],"_",Tableau1[[#This Row],[Gender]])</f>
        <v>Diamond League Silesia 2023__45123_Male</v>
      </c>
      <c r="Y768" t="s">
        <v>301</v>
      </c>
      <c r="Z768" s="2" t="s">
        <v>43</v>
      </c>
      <c r="AA768" s="2"/>
      <c r="AB768" s="2" t="s">
        <v>65</v>
      </c>
      <c r="AC768" s="2">
        <v>45123</v>
      </c>
      <c r="AD768" s="3">
        <v>2023</v>
      </c>
      <c r="AE768" s="3">
        <v>30</v>
      </c>
      <c r="AF768" s="5">
        <v>0.48</v>
      </c>
      <c r="AG768" s="3" t="s">
        <v>281</v>
      </c>
      <c r="AH768" t="s">
        <v>268</v>
      </c>
    </row>
    <row r="769" spans="1:34" hidden="1" x14ac:dyDescent="0.35">
      <c r="A769" t="str">
        <f>_xlfn.CONCAT(Tableau1[[#This Row],[Athletes]],"_",Tableau1[[#This Row],[Nationality]],"_",Tableau1[[#This Row],[Competition_year]])</f>
        <v>Diribe WELTEJI_ETH_2024</v>
      </c>
      <c r="B769" t="s">
        <v>165</v>
      </c>
      <c r="C769" t="s">
        <v>47</v>
      </c>
      <c r="D769" t="s">
        <v>48</v>
      </c>
      <c r="E769">
        <v>15.3</v>
      </c>
      <c r="F769">
        <v>15.8</v>
      </c>
      <c r="G769">
        <v>15.7</v>
      </c>
      <c r="H769">
        <v>16</v>
      </c>
      <c r="I769">
        <v>16.3</v>
      </c>
      <c r="J769">
        <v>16.600000000000001</v>
      </c>
      <c r="K769">
        <v>16.3</v>
      </c>
      <c r="L769">
        <v>16.3</v>
      </c>
      <c r="M769">
        <v>16.2</v>
      </c>
      <c r="N769">
        <v>16.600000000000001</v>
      </c>
      <c r="O769">
        <v>15.9</v>
      </c>
      <c r="P769">
        <v>16</v>
      </c>
      <c r="Q769">
        <v>15.1</v>
      </c>
      <c r="R769">
        <v>14.8</v>
      </c>
      <c r="S769">
        <f>Tableau1[[#This Row],[Final_time]]-SUM(Tableau1[[#This Row],[0_100m]:[1300_1400m]])</f>
        <v>14.180000000000035</v>
      </c>
      <c r="T769">
        <v>237.08</v>
      </c>
      <c r="U769">
        <f t="shared" si="22"/>
        <v>237.08</v>
      </c>
      <c r="V769">
        <f t="shared" si="23"/>
        <v>0</v>
      </c>
      <c r="W769" s="12"/>
      <c r="X769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69" t="s">
        <v>81</v>
      </c>
      <c r="Z769" s="2" t="s">
        <v>43</v>
      </c>
      <c r="AA769" s="2"/>
      <c r="AB769" s="2" t="s">
        <v>65</v>
      </c>
      <c r="AC769" s="2">
        <v>45529</v>
      </c>
      <c r="AD769" s="3">
        <v>2024</v>
      </c>
      <c r="AE769" s="3">
        <v>27</v>
      </c>
      <c r="AF769" s="5">
        <v>0.48</v>
      </c>
      <c r="AG769" s="3" t="s">
        <v>62</v>
      </c>
      <c r="AH769" t="s">
        <v>82</v>
      </c>
    </row>
    <row r="770" spans="1:34" hidden="1" x14ac:dyDescent="0.35">
      <c r="A770" t="str">
        <f>_xlfn.CONCAT(Tableau1[[#This Row],[Athletes]],"_",Tableau1[[#This Row],[Nationality]],"_",Tableau1[[#This Row],[Competition_year]])</f>
        <v>Freweyni HAILU_ETH_2024</v>
      </c>
      <c r="B770" t="s">
        <v>144</v>
      </c>
      <c r="C770" t="s">
        <v>47</v>
      </c>
      <c r="D770" t="s">
        <v>48</v>
      </c>
      <c r="E770">
        <v>16.100000000000001</v>
      </c>
      <c r="F770">
        <v>16</v>
      </c>
      <c r="G770">
        <v>15.8</v>
      </c>
      <c r="H770">
        <v>16.100000000000001</v>
      </c>
      <c r="I770">
        <v>15.7</v>
      </c>
      <c r="J770">
        <v>16.399999999999999</v>
      </c>
      <c r="K770">
        <v>16.3</v>
      </c>
      <c r="L770">
        <v>16.399999999999999</v>
      </c>
      <c r="M770">
        <v>16.100000000000001</v>
      </c>
      <c r="N770">
        <v>16.3</v>
      </c>
      <c r="O770">
        <v>15.6</v>
      </c>
      <c r="P770">
        <v>16</v>
      </c>
      <c r="Q770">
        <v>15.4</v>
      </c>
      <c r="R770">
        <v>14.9</v>
      </c>
      <c r="S770">
        <f>Tableau1[[#This Row],[Final_time]]-SUM(Tableau1[[#This Row],[0_100m]:[1300_1400m]])</f>
        <v>14.780000000000001</v>
      </c>
      <c r="T770">
        <v>237.88</v>
      </c>
      <c r="U770">
        <f t="shared" ref="U770:U833" si="24">SUM(E770:S770)</f>
        <v>237.88</v>
      </c>
      <c r="V770">
        <f t="shared" ref="V770:V833" si="25">ABS(U770-T770)</f>
        <v>0</v>
      </c>
      <c r="W770" s="12"/>
      <c r="X770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0" t="s">
        <v>81</v>
      </c>
      <c r="Z770" s="2" t="s">
        <v>43</v>
      </c>
      <c r="AA770" s="2"/>
      <c r="AB770" s="2" t="s">
        <v>65</v>
      </c>
      <c r="AC770" s="2">
        <v>45529</v>
      </c>
      <c r="AD770" s="3">
        <v>2024</v>
      </c>
      <c r="AE770" s="3">
        <v>27</v>
      </c>
      <c r="AF770" s="5">
        <v>0.48</v>
      </c>
      <c r="AG770" s="3" t="s">
        <v>62</v>
      </c>
      <c r="AH770" t="s">
        <v>82</v>
      </c>
    </row>
    <row r="771" spans="1:34" hidden="1" x14ac:dyDescent="0.35">
      <c r="A771" t="str">
        <f>_xlfn.CONCAT(Tableau1[[#This Row],[Athletes]],"_",Tableau1[[#This Row],[Nationality]],"_",Tableau1[[#This Row],[Competition_year]])</f>
        <v>Sarah BILLINGS_AUS_2024</v>
      </c>
      <c r="B771" t="s">
        <v>1234</v>
      </c>
      <c r="C771" t="s">
        <v>47</v>
      </c>
      <c r="D771" t="s">
        <v>21</v>
      </c>
      <c r="E771">
        <v>15.5</v>
      </c>
      <c r="F771">
        <v>16</v>
      </c>
      <c r="G771">
        <v>15.9</v>
      </c>
      <c r="H771">
        <v>16.3</v>
      </c>
      <c r="I771">
        <v>16.2</v>
      </c>
      <c r="J771">
        <v>16.600000000000001</v>
      </c>
      <c r="K771">
        <v>16.3</v>
      </c>
      <c r="L771">
        <v>16.5</v>
      </c>
      <c r="M771">
        <v>16.2</v>
      </c>
      <c r="N771">
        <v>16.399999999999999</v>
      </c>
      <c r="O771">
        <v>16.100000000000001</v>
      </c>
      <c r="P771">
        <v>15.9</v>
      </c>
      <c r="Q771">
        <v>15.6</v>
      </c>
      <c r="R771">
        <v>15.9</v>
      </c>
      <c r="S771">
        <f>Tableau1[[#This Row],[Final_time]]-SUM(Tableau1[[#This Row],[0_100m]:[1300_1400m]])</f>
        <v>15.009999999999991</v>
      </c>
      <c r="T771">
        <v>240.41</v>
      </c>
      <c r="U771">
        <f t="shared" si="24"/>
        <v>240.41</v>
      </c>
      <c r="V771">
        <f t="shared" si="25"/>
        <v>0</v>
      </c>
      <c r="W771" s="12"/>
      <c r="X771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1" t="s">
        <v>81</v>
      </c>
      <c r="Z771" s="2" t="s">
        <v>43</v>
      </c>
      <c r="AA771" s="2"/>
      <c r="AB771" s="2" t="s">
        <v>65</v>
      </c>
      <c r="AC771" s="2">
        <v>45529</v>
      </c>
      <c r="AD771" s="3">
        <v>2024</v>
      </c>
      <c r="AE771" s="3">
        <v>27</v>
      </c>
      <c r="AF771" s="5">
        <v>0.48</v>
      </c>
      <c r="AG771" s="3" t="s">
        <v>62</v>
      </c>
      <c r="AH771" t="s">
        <v>82</v>
      </c>
    </row>
    <row r="772" spans="1:34" hidden="1" x14ac:dyDescent="0.35">
      <c r="A772" t="str">
        <f>_xlfn.CONCAT(Tableau1[[#This Row],[Athletes]],"_",Tableau1[[#This Row],[Nationality]],"_",Tableau1[[#This Row],[Competition_year]])</f>
        <v>Georgia HUNTER BELL_GBR_2024</v>
      </c>
      <c r="B772" t="s">
        <v>1348</v>
      </c>
      <c r="C772" t="s">
        <v>47</v>
      </c>
      <c r="D772" t="s">
        <v>20</v>
      </c>
      <c r="E772">
        <v>15.5</v>
      </c>
      <c r="F772">
        <v>15.8</v>
      </c>
      <c r="G772">
        <v>15.8</v>
      </c>
      <c r="H772">
        <v>16.100000000000001</v>
      </c>
      <c r="I772">
        <v>16.2</v>
      </c>
      <c r="J772">
        <v>16.600000000000001</v>
      </c>
      <c r="K772">
        <v>16.3</v>
      </c>
      <c r="L772">
        <v>16.3</v>
      </c>
      <c r="M772">
        <v>16.100000000000001</v>
      </c>
      <c r="N772">
        <v>16.600000000000001</v>
      </c>
      <c r="O772">
        <v>15.9</v>
      </c>
      <c r="P772">
        <v>16</v>
      </c>
      <c r="Q772">
        <v>15</v>
      </c>
      <c r="R772">
        <v>14.9</v>
      </c>
      <c r="S772">
        <f>Tableau1[[#This Row],[Final_time]]-SUM(Tableau1[[#This Row],[0_100m]:[1300_1400m]])</f>
        <v>15.010000000000019</v>
      </c>
      <c r="T772">
        <v>238.11</v>
      </c>
      <c r="U772">
        <f t="shared" si="24"/>
        <v>238.11</v>
      </c>
      <c r="V772">
        <f t="shared" si="25"/>
        <v>0</v>
      </c>
      <c r="W772" s="12"/>
      <c r="X772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2" t="s">
        <v>81</v>
      </c>
      <c r="Z772" s="2" t="s">
        <v>43</v>
      </c>
      <c r="AA772" s="2"/>
      <c r="AB772" s="2" t="s">
        <v>65</v>
      </c>
      <c r="AC772" s="2">
        <v>45529</v>
      </c>
      <c r="AD772" s="3">
        <v>2024</v>
      </c>
      <c r="AE772" s="3">
        <v>27</v>
      </c>
      <c r="AF772" s="5">
        <v>0.48</v>
      </c>
      <c r="AG772" s="3" t="s">
        <v>62</v>
      </c>
      <c r="AH772" t="s">
        <v>82</v>
      </c>
    </row>
    <row r="773" spans="1:34" hidden="1" x14ac:dyDescent="0.35">
      <c r="A773" t="str">
        <f>_xlfn.CONCAT(Tableau1[[#This Row],[Athletes]],"_",Tableau1[[#This Row],[Nationality]],"_",Tableau1[[#This Row],[Competition_year]])</f>
        <v>Sarah HEALY_IRL_2024</v>
      </c>
      <c r="B773" t="s">
        <v>166</v>
      </c>
      <c r="C773" t="s">
        <v>47</v>
      </c>
      <c r="D773" t="s">
        <v>35</v>
      </c>
      <c r="E773">
        <v>15.8</v>
      </c>
      <c r="F773">
        <v>15.9</v>
      </c>
      <c r="G773">
        <v>16</v>
      </c>
      <c r="H773">
        <v>16.2</v>
      </c>
      <c r="I773">
        <v>16</v>
      </c>
      <c r="J773">
        <v>16.399999999999999</v>
      </c>
      <c r="K773">
        <v>16.3</v>
      </c>
      <c r="L773">
        <v>16.5</v>
      </c>
      <c r="M773">
        <v>16.100000000000001</v>
      </c>
      <c r="N773">
        <v>16.5</v>
      </c>
      <c r="O773">
        <v>16.100000000000001</v>
      </c>
      <c r="P773">
        <v>15.8</v>
      </c>
      <c r="Q773">
        <v>15.6</v>
      </c>
      <c r="R773">
        <v>15.3</v>
      </c>
      <c r="S773">
        <f>Tableau1[[#This Row],[Final_time]]-SUM(Tableau1[[#This Row],[0_100m]:[1300_1400m]])</f>
        <v>15.149999999999977</v>
      </c>
      <c r="T773">
        <v>239.65</v>
      </c>
      <c r="U773">
        <f t="shared" si="24"/>
        <v>239.65</v>
      </c>
      <c r="V773">
        <f t="shared" si="25"/>
        <v>0</v>
      </c>
      <c r="W773" s="12"/>
      <c r="X773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3" t="s">
        <v>81</v>
      </c>
      <c r="Z773" s="2" t="s">
        <v>43</v>
      </c>
      <c r="AA773" s="2"/>
      <c r="AB773" s="2" t="s">
        <v>65</v>
      </c>
      <c r="AC773" s="2">
        <v>45529</v>
      </c>
      <c r="AD773" s="3">
        <v>2024</v>
      </c>
      <c r="AE773" s="3">
        <v>27</v>
      </c>
      <c r="AF773" s="5">
        <v>0.48</v>
      </c>
      <c r="AG773" s="3" t="s">
        <v>62</v>
      </c>
      <c r="AH773" t="s">
        <v>82</v>
      </c>
    </row>
    <row r="774" spans="1:34" hidden="1" x14ac:dyDescent="0.35">
      <c r="A774" t="str">
        <f>_xlfn.CONCAT(Tableau1[[#This Row],[Athletes]],"_",Tableau1[[#This Row],[Nationality]],"_",Tableau1[[#This Row],[Competition_year]])</f>
        <v>Melissa COURTNEY-BRYANT_GBR_2024</v>
      </c>
      <c r="B774" t="s">
        <v>168</v>
      </c>
      <c r="C774" t="s">
        <v>47</v>
      </c>
      <c r="D774" t="s">
        <v>20</v>
      </c>
      <c r="E774">
        <v>15.2</v>
      </c>
      <c r="F774">
        <v>15.7</v>
      </c>
      <c r="G774">
        <v>16.3</v>
      </c>
      <c r="H774">
        <v>16.2</v>
      </c>
      <c r="I774">
        <v>16.3</v>
      </c>
      <c r="J774">
        <v>16.5</v>
      </c>
      <c r="K774">
        <v>16.3</v>
      </c>
      <c r="L774">
        <v>16.399999999999999</v>
      </c>
      <c r="M774">
        <v>16.100000000000001</v>
      </c>
      <c r="N774">
        <v>16.600000000000001</v>
      </c>
      <c r="O774">
        <v>16</v>
      </c>
      <c r="P774">
        <v>15.9</v>
      </c>
      <c r="Q774">
        <v>15.5</v>
      </c>
      <c r="R774">
        <v>15.4</v>
      </c>
      <c r="S774">
        <f>Tableau1[[#This Row],[Final_time]]-SUM(Tableau1[[#This Row],[0_100m]:[1300_1400m]])</f>
        <v>15.150000000000006</v>
      </c>
      <c r="T774">
        <v>239.55</v>
      </c>
      <c r="U774">
        <f t="shared" si="24"/>
        <v>239.55</v>
      </c>
      <c r="V774">
        <f t="shared" si="25"/>
        <v>0</v>
      </c>
      <c r="W774" s="12"/>
      <c r="X774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4" t="s">
        <v>81</v>
      </c>
      <c r="Z774" s="2" t="s">
        <v>43</v>
      </c>
      <c r="AA774" s="2"/>
      <c r="AB774" s="2" t="s">
        <v>65</v>
      </c>
      <c r="AC774" s="2">
        <v>45529</v>
      </c>
      <c r="AD774" s="3">
        <v>2024</v>
      </c>
      <c r="AE774" s="3">
        <v>27</v>
      </c>
      <c r="AF774" s="5">
        <v>0.48</v>
      </c>
      <c r="AG774" s="3" t="s">
        <v>62</v>
      </c>
      <c r="AH774" t="s">
        <v>82</v>
      </c>
    </row>
    <row r="775" spans="1:34" hidden="1" x14ac:dyDescent="0.35">
      <c r="A775" t="str">
        <f>_xlfn.CONCAT(Tableau1[[#This Row],[Athletes]],"_",Tableau1[[#This Row],[Nationality]],"_",Tableau1[[#This Row],[Competition_year]])</f>
        <v>Revee WALCOTT-NOLAN_GBR_2024</v>
      </c>
      <c r="B775" t="s">
        <v>635</v>
      </c>
      <c r="C775" t="s">
        <v>47</v>
      </c>
      <c r="D775" t="s">
        <v>20</v>
      </c>
      <c r="E775">
        <v>15.6</v>
      </c>
      <c r="F775">
        <v>16</v>
      </c>
      <c r="G775">
        <v>16</v>
      </c>
      <c r="H775">
        <v>16.100000000000001</v>
      </c>
      <c r="I775">
        <v>16.399999999999999</v>
      </c>
      <c r="J775">
        <v>16.5</v>
      </c>
      <c r="K775">
        <v>16.3</v>
      </c>
      <c r="L775">
        <v>16.5</v>
      </c>
      <c r="M775">
        <v>16.2</v>
      </c>
      <c r="N775">
        <v>16.399999999999999</v>
      </c>
      <c r="O775">
        <v>15.8</v>
      </c>
      <c r="P775">
        <v>16</v>
      </c>
      <c r="Q775">
        <v>15.7</v>
      </c>
      <c r="R775">
        <v>15.7</v>
      </c>
      <c r="S775">
        <f>Tableau1[[#This Row],[Final_time]]-SUM(Tableau1[[#This Row],[0_100m]:[1300_1400m]])</f>
        <v>15.210000000000036</v>
      </c>
      <c r="T775">
        <v>240.41</v>
      </c>
      <c r="U775">
        <f t="shared" si="24"/>
        <v>240.41</v>
      </c>
      <c r="V775">
        <f t="shared" si="25"/>
        <v>0</v>
      </c>
      <c r="W775" s="12"/>
      <c r="X775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5" t="s">
        <v>81</v>
      </c>
      <c r="Z775" s="2" t="s">
        <v>43</v>
      </c>
      <c r="AA775" s="2"/>
      <c r="AB775" s="2" t="s">
        <v>65</v>
      </c>
      <c r="AC775" s="2">
        <v>45529</v>
      </c>
      <c r="AD775" s="3">
        <v>2024</v>
      </c>
      <c r="AE775" s="3">
        <v>27</v>
      </c>
      <c r="AF775" s="5">
        <v>0.48</v>
      </c>
      <c r="AG775" s="3" t="s">
        <v>62</v>
      </c>
      <c r="AH775" t="s">
        <v>82</v>
      </c>
    </row>
    <row r="776" spans="1:34" hidden="1" x14ac:dyDescent="0.35">
      <c r="A776" t="str">
        <f>_xlfn.CONCAT(Tableau1[[#This Row],[Athletes]],"_",Tableau1[[#This Row],[Nationality]],"_",Tableau1[[#This Row],[Competition_year]])</f>
        <v>Klaudia KAZIMIERSKA_POL_2024</v>
      </c>
      <c r="B776" t="s">
        <v>1043</v>
      </c>
      <c r="C776" t="s">
        <v>47</v>
      </c>
      <c r="D776" t="s">
        <v>83</v>
      </c>
      <c r="E776">
        <v>15.9</v>
      </c>
      <c r="F776">
        <v>16</v>
      </c>
      <c r="G776">
        <v>16.100000000000001</v>
      </c>
      <c r="H776">
        <v>16.100000000000001</v>
      </c>
      <c r="I776">
        <v>16.2</v>
      </c>
      <c r="J776">
        <v>16.5</v>
      </c>
      <c r="K776">
        <v>16.2</v>
      </c>
      <c r="L776">
        <v>16.600000000000001</v>
      </c>
      <c r="M776">
        <v>16.2</v>
      </c>
      <c r="N776">
        <v>16.399999999999999</v>
      </c>
      <c r="O776">
        <v>15.9</v>
      </c>
      <c r="P776">
        <v>15.9</v>
      </c>
      <c r="Q776">
        <v>15.3</v>
      </c>
      <c r="R776">
        <v>15.4</v>
      </c>
      <c r="S776">
        <f>Tableau1[[#This Row],[Final_time]]-SUM(Tableau1[[#This Row],[0_100m]:[1300_1400m]])</f>
        <v>15.249999999999972</v>
      </c>
      <c r="T776">
        <v>239.95</v>
      </c>
      <c r="U776">
        <f t="shared" si="24"/>
        <v>239.95</v>
      </c>
      <c r="V776">
        <f t="shared" si="25"/>
        <v>0</v>
      </c>
      <c r="W776" s="12"/>
      <c r="X776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6" t="s">
        <v>81</v>
      </c>
      <c r="Z776" s="2" t="s">
        <v>43</v>
      </c>
      <c r="AA776" s="2"/>
      <c r="AB776" s="2" t="s">
        <v>65</v>
      </c>
      <c r="AC776" s="2">
        <v>45529</v>
      </c>
      <c r="AD776" s="3">
        <v>2024</v>
      </c>
      <c r="AE776" s="3">
        <v>27</v>
      </c>
      <c r="AF776" s="5">
        <v>0.48</v>
      </c>
      <c r="AG776" s="3" t="s">
        <v>62</v>
      </c>
      <c r="AH776" t="s">
        <v>82</v>
      </c>
    </row>
    <row r="777" spans="1:34" hidden="1" x14ac:dyDescent="0.35">
      <c r="A777" t="str">
        <f>_xlfn.CONCAT(Tableau1[[#This Row],[Athletes]],"_",Tableau1[[#This Row],[Nationality]],"_",Tableau1[[#This Row],[Competition_year]])</f>
        <v>Nozomi TANAKA_JPN_2024</v>
      </c>
      <c r="B777" t="s">
        <v>157</v>
      </c>
      <c r="C777" t="s">
        <v>47</v>
      </c>
      <c r="D777" t="s">
        <v>69</v>
      </c>
      <c r="E777">
        <v>15.1</v>
      </c>
      <c r="F777">
        <v>15.4</v>
      </c>
      <c r="G777">
        <v>15.8</v>
      </c>
      <c r="H777">
        <v>15.8</v>
      </c>
      <c r="I777">
        <v>16.3</v>
      </c>
      <c r="J777">
        <v>16.600000000000001</v>
      </c>
      <c r="K777">
        <v>16.5</v>
      </c>
      <c r="L777">
        <v>16.399999999999999</v>
      </c>
      <c r="M777">
        <v>16.2</v>
      </c>
      <c r="N777">
        <v>16.8</v>
      </c>
      <c r="O777">
        <v>16.100000000000001</v>
      </c>
      <c r="P777">
        <v>16</v>
      </c>
      <c r="Q777">
        <v>15.6</v>
      </c>
      <c r="R777">
        <v>16.100000000000001</v>
      </c>
      <c r="S777">
        <f>Tableau1[[#This Row],[Final_time]]-SUM(Tableau1[[#This Row],[0_100m]:[1300_1400m]])</f>
        <v>15.640000000000015</v>
      </c>
      <c r="T777">
        <v>240.34</v>
      </c>
      <c r="U777">
        <f t="shared" si="24"/>
        <v>240.34</v>
      </c>
      <c r="V777">
        <f t="shared" si="25"/>
        <v>0</v>
      </c>
      <c r="W777" s="12"/>
      <c r="X777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7" t="s">
        <v>81</v>
      </c>
      <c r="Z777" s="2" t="s">
        <v>43</v>
      </c>
      <c r="AA777" s="2"/>
      <c r="AB777" s="2" t="s">
        <v>65</v>
      </c>
      <c r="AC777" s="2">
        <v>45529</v>
      </c>
      <c r="AD777" s="3">
        <v>2024</v>
      </c>
      <c r="AE777" s="3">
        <v>27</v>
      </c>
      <c r="AF777" s="5">
        <v>0.48</v>
      </c>
      <c r="AG777" s="3" t="s">
        <v>62</v>
      </c>
      <c r="AH777" t="s">
        <v>82</v>
      </c>
    </row>
    <row r="778" spans="1:34" hidden="1" x14ac:dyDescent="0.35">
      <c r="A778" t="str">
        <f>_xlfn.CONCAT(Tableau1[[#This Row],[Athletes]],"_",Tableau1[[#This Row],[Nationality]],"_",Tableau1[[#This Row],[Competition_year]])</f>
        <v>Marta PÉREZ_ESP_2024</v>
      </c>
      <c r="B778" t="s">
        <v>183</v>
      </c>
      <c r="C778" t="s">
        <v>47</v>
      </c>
      <c r="D778" t="s">
        <v>22</v>
      </c>
      <c r="E778">
        <v>15.7</v>
      </c>
      <c r="F778">
        <v>16.100000000000001</v>
      </c>
      <c r="G778">
        <v>16</v>
      </c>
      <c r="H778">
        <v>16.100000000000001</v>
      </c>
      <c r="I778">
        <v>16.2</v>
      </c>
      <c r="J778">
        <v>16.600000000000001</v>
      </c>
      <c r="K778">
        <v>16.2</v>
      </c>
      <c r="L778">
        <v>16.3</v>
      </c>
      <c r="M778">
        <v>16.100000000000001</v>
      </c>
      <c r="N778">
        <v>16.5</v>
      </c>
      <c r="O778">
        <v>16.100000000000001</v>
      </c>
      <c r="P778">
        <v>15.9</v>
      </c>
      <c r="Q778">
        <v>15.9</v>
      </c>
      <c r="R778">
        <v>16</v>
      </c>
      <c r="S778">
        <f>Tableau1[[#This Row],[Final_time]]-SUM(Tableau1[[#This Row],[0_100m]:[1300_1400m]])</f>
        <v>15.780000000000001</v>
      </c>
      <c r="T778">
        <v>241.48</v>
      </c>
      <c r="U778">
        <f t="shared" si="24"/>
        <v>241.48</v>
      </c>
      <c r="V778">
        <f t="shared" si="25"/>
        <v>0</v>
      </c>
      <c r="W778" s="12"/>
      <c r="X778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8" t="s">
        <v>81</v>
      </c>
      <c r="Z778" s="2" t="s">
        <v>43</v>
      </c>
      <c r="AA778" s="2"/>
      <c r="AB778" s="2" t="s">
        <v>65</v>
      </c>
      <c r="AC778" s="2">
        <v>45529</v>
      </c>
      <c r="AD778" s="3">
        <v>2024</v>
      </c>
      <c r="AE778" s="3">
        <v>27</v>
      </c>
      <c r="AF778" s="5">
        <v>0.48</v>
      </c>
      <c r="AG778" s="3" t="s">
        <v>62</v>
      </c>
      <c r="AH778" t="s">
        <v>82</v>
      </c>
    </row>
    <row r="779" spans="1:34" hidden="1" x14ac:dyDescent="0.35">
      <c r="A779" t="str">
        <f>_xlfn.CONCAT(Tableau1[[#This Row],[Athletes]],"_",Tableau1[[#This Row],[Nationality]],"_",Tableau1[[#This Row],[Competition_year]])</f>
        <v>Susan Lokayo EJORE_KEN_2024</v>
      </c>
      <c r="B779" t="s">
        <v>1264</v>
      </c>
      <c r="C779" t="s">
        <v>47</v>
      </c>
      <c r="D779" t="s">
        <v>17</v>
      </c>
      <c r="E779">
        <v>15.4</v>
      </c>
      <c r="F779">
        <v>15.8</v>
      </c>
      <c r="G779">
        <v>15.8</v>
      </c>
      <c r="H779">
        <v>15.9</v>
      </c>
      <c r="I779">
        <v>16.399999999999999</v>
      </c>
      <c r="J779">
        <v>16.399999999999999</v>
      </c>
      <c r="K779">
        <v>16.399999999999999</v>
      </c>
      <c r="L779">
        <v>16.399999999999999</v>
      </c>
      <c r="M779">
        <v>16.2</v>
      </c>
      <c r="N779">
        <v>16.7</v>
      </c>
      <c r="O779">
        <v>16</v>
      </c>
      <c r="P779">
        <v>16</v>
      </c>
      <c r="Q779">
        <v>15.3</v>
      </c>
      <c r="R779">
        <v>15.4</v>
      </c>
      <c r="S779">
        <f>Tableau1[[#This Row],[Final_time]]-SUM(Tableau1[[#This Row],[0_100m]:[1300_1400m]])</f>
        <v>15.870000000000005</v>
      </c>
      <c r="T779">
        <v>239.97</v>
      </c>
      <c r="U779">
        <f t="shared" si="24"/>
        <v>239.97</v>
      </c>
      <c r="V779">
        <f t="shared" si="25"/>
        <v>0</v>
      </c>
      <c r="W779" s="12"/>
      <c r="X779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79" t="s">
        <v>81</v>
      </c>
      <c r="Z779" s="2" t="s">
        <v>43</v>
      </c>
      <c r="AA779" s="2"/>
      <c r="AB779" s="2" t="s">
        <v>65</v>
      </c>
      <c r="AC779" s="2">
        <v>45529</v>
      </c>
      <c r="AD779" s="3">
        <v>2024</v>
      </c>
      <c r="AE779" s="3">
        <v>27</v>
      </c>
      <c r="AF779" s="5">
        <v>0.48</v>
      </c>
      <c r="AG779" s="3" t="s">
        <v>62</v>
      </c>
      <c r="AH779" t="s">
        <v>82</v>
      </c>
    </row>
    <row r="780" spans="1:34" hidden="1" x14ac:dyDescent="0.35">
      <c r="A780" t="str">
        <f>_xlfn.CONCAT(Tableau1[[#This Row],[Athletes]],"_",Tableau1[[#This Row],[Nationality]],"_",Tableau1[[#This Row],[Competition_year]])</f>
        <v>Linden HALL_AUS_2024</v>
      </c>
      <c r="B780" t="s">
        <v>184</v>
      </c>
      <c r="C780" t="s">
        <v>47</v>
      </c>
      <c r="D780" t="s">
        <v>21</v>
      </c>
      <c r="E780">
        <v>15.6</v>
      </c>
      <c r="F780">
        <v>15.9</v>
      </c>
      <c r="G780">
        <v>15.9</v>
      </c>
      <c r="H780">
        <v>16.2</v>
      </c>
      <c r="I780">
        <v>16.2</v>
      </c>
      <c r="J780">
        <v>16.7</v>
      </c>
      <c r="K780">
        <v>16.2</v>
      </c>
      <c r="L780">
        <v>16.3</v>
      </c>
      <c r="M780">
        <v>16.100000000000001</v>
      </c>
      <c r="N780">
        <v>16.5</v>
      </c>
      <c r="O780">
        <v>15.8</v>
      </c>
      <c r="P780">
        <v>15.9</v>
      </c>
      <c r="Q780">
        <v>16.2</v>
      </c>
      <c r="R780">
        <v>16.5</v>
      </c>
      <c r="S780">
        <f>Tableau1[[#This Row],[Final_time]]-SUM(Tableau1[[#This Row],[0_100m]:[1300_1400m]])</f>
        <v>16.349999999999994</v>
      </c>
      <c r="T780">
        <v>242.35</v>
      </c>
      <c r="U780">
        <f t="shared" si="24"/>
        <v>242.35</v>
      </c>
      <c r="V780">
        <f t="shared" si="25"/>
        <v>0</v>
      </c>
      <c r="W780" s="12"/>
      <c r="X780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80" t="s">
        <v>81</v>
      </c>
      <c r="Z780" s="2" t="s">
        <v>43</v>
      </c>
      <c r="AA780" s="2"/>
      <c r="AB780" s="2" t="s">
        <v>65</v>
      </c>
      <c r="AC780" s="2">
        <v>45529</v>
      </c>
      <c r="AD780" s="3">
        <v>2024</v>
      </c>
      <c r="AE780" s="3">
        <v>27</v>
      </c>
      <c r="AF780" s="5">
        <v>0.48</v>
      </c>
      <c r="AG780" s="3" t="s">
        <v>62</v>
      </c>
      <c r="AH780" t="s">
        <v>82</v>
      </c>
    </row>
    <row r="781" spans="1:34" hidden="1" x14ac:dyDescent="0.35">
      <c r="A781" t="str">
        <f>_xlfn.CONCAT(Tableau1[[#This Row],[Athletes]],"_",Tableau1[[#This Row],[Nationality]],"_",Tableau1[[#This Row],[Competition_year]])</f>
        <v>Cory Ann MCGEE_USA_2024</v>
      </c>
      <c r="B781" t="s">
        <v>181</v>
      </c>
      <c r="C781" t="s">
        <v>47</v>
      </c>
      <c r="D781" t="s">
        <v>51</v>
      </c>
      <c r="E781">
        <v>16</v>
      </c>
      <c r="F781">
        <v>16</v>
      </c>
      <c r="G781">
        <v>16.3</v>
      </c>
      <c r="H781">
        <v>16</v>
      </c>
      <c r="I781">
        <v>16</v>
      </c>
      <c r="J781">
        <v>16.600000000000001</v>
      </c>
      <c r="K781">
        <v>16.3</v>
      </c>
      <c r="L781">
        <v>16.2</v>
      </c>
      <c r="M781">
        <v>16.100000000000001</v>
      </c>
      <c r="N781">
        <v>16.399999999999999</v>
      </c>
      <c r="O781">
        <v>15.8</v>
      </c>
      <c r="P781">
        <v>15.9</v>
      </c>
      <c r="Q781">
        <v>15.7</v>
      </c>
      <c r="R781">
        <v>16.100000000000001</v>
      </c>
      <c r="S781">
        <f>Tableau1[[#This Row],[Final_time]]-SUM(Tableau1[[#This Row],[0_100m]:[1300_1400m]])</f>
        <v>17.389999999999986</v>
      </c>
      <c r="T781">
        <v>242.79</v>
      </c>
      <c r="U781">
        <f t="shared" si="24"/>
        <v>242.79</v>
      </c>
      <c r="V781">
        <f t="shared" si="25"/>
        <v>0</v>
      </c>
      <c r="W781" s="12"/>
      <c r="X781" t="str">
        <f>_xlfn.CONCAT(Tableau1[[#This Row],[Competition]],"_",Tableau1[[#This Row],[Championship_step]],"_",Tableau1[[#This Row],[Competition_date]],"_",Tableau1[[#This Row],[Gender]])</f>
        <v>Diamond League Silesia 2024__45529_Female</v>
      </c>
      <c r="Y781" t="s">
        <v>81</v>
      </c>
      <c r="Z781" s="2" t="s">
        <v>43</v>
      </c>
      <c r="AA781" s="2"/>
      <c r="AB781" s="2" t="s">
        <v>65</v>
      </c>
      <c r="AC781" s="2">
        <v>45529</v>
      </c>
      <c r="AD781" s="3">
        <v>2024</v>
      </c>
      <c r="AE781" s="3">
        <v>27</v>
      </c>
      <c r="AF781" s="5">
        <v>0.48</v>
      </c>
      <c r="AG781" s="3" t="s">
        <v>62</v>
      </c>
      <c r="AH781" t="s">
        <v>82</v>
      </c>
    </row>
    <row r="782" spans="1:34" hidden="1" x14ac:dyDescent="0.35">
      <c r="A782" t="str">
        <f>_xlfn.CONCAT(Tableau1[[#This Row],[Athletes]],"_",Tableau1[[#This Row],[Nationality]],"_",Tableau1[[#This Row],[Competition_year]])</f>
        <v>Georgia HUNTER BELL_GBR_2025</v>
      </c>
      <c r="B782" t="s">
        <v>1348</v>
      </c>
      <c r="C782" t="s">
        <v>47</v>
      </c>
      <c r="D782" t="s">
        <v>20</v>
      </c>
      <c r="E782">
        <v>15.5</v>
      </c>
      <c r="F782">
        <v>15</v>
      </c>
      <c r="G782">
        <v>15.1</v>
      </c>
      <c r="H782">
        <v>15.4</v>
      </c>
      <c r="I782">
        <v>16.3</v>
      </c>
      <c r="J782">
        <v>16.7</v>
      </c>
      <c r="K782">
        <v>16.399999999999999</v>
      </c>
      <c r="L782">
        <v>16.899999999999999</v>
      </c>
      <c r="M782">
        <v>16.7</v>
      </c>
      <c r="N782">
        <v>16.2</v>
      </c>
      <c r="O782">
        <v>15.8</v>
      </c>
      <c r="P782">
        <v>15.2</v>
      </c>
      <c r="Q782">
        <v>15.3</v>
      </c>
      <c r="R782">
        <v>15</v>
      </c>
      <c r="S782">
        <f>Tableau1[[#This Row],[Final_time]]-SUM(Tableau1[[#This Row],[0_100m]:[1300_1400m]])</f>
        <v>14.5</v>
      </c>
      <c r="T782">
        <v>236</v>
      </c>
      <c r="U782">
        <f t="shared" si="24"/>
        <v>236</v>
      </c>
      <c r="V782">
        <f t="shared" si="25"/>
        <v>0</v>
      </c>
      <c r="W782" s="12"/>
      <c r="X782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2" t="s">
        <v>1362</v>
      </c>
      <c r="Z782" s="2" t="s">
        <v>43</v>
      </c>
      <c r="AA782" s="2"/>
      <c r="AB782" s="2" t="s">
        <v>65</v>
      </c>
      <c r="AC782" s="2">
        <v>45885</v>
      </c>
      <c r="AD782" s="3">
        <v>2025</v>
      </c>
      <c r="AE782" s="3">
        <v>29</v>
      </c>
      <c r="AF782" s="5">
        <v>0.44</v>
      </c>
      <c r="AG782" s="3" t="s">
        <v>71</v>
      </c>
    </row>
    <row r="783" spans="1:34" hidden="1" x14ac:dyDescent="0.35">
      <c r="A783" t="str">
        <f>_xlfn.CONCAT(Tableau1[[#This Row],[Athletes]],"_",Tableau1[[#This Row],[Nationality]],"_",Tableau1[[#This Row],[Competition_year]])</f>
        <v>Nikki HILTZ_USA_2025</v>
      </c>
      <c r="B783" t="s">
        <v>154</v>
      </c>
      <c r="C783" t="s">
        <v>47</v>
      </c>
      <c r="D783" t="s">
        <v>51</v>
      </c>
      <c r="E783">
        <v>15.7</v>
      </c>
      <c r="F783">
        <v>15.2</v>
      </c>
      <c r="G783">
        <v>15.4</v>
      </c>
      <c r="H783">
        <v>15.5</v>
      </c>
      <c r="I783">
        <v>16</v>
      </c>
      <c r="J783">
        <v>16.5</v>
      </c>
      <c r="K783">
        <v>16.3</v>
      </c>
      <c r="L783">
        <v>17</v>
      </c>
      <c r="M783">
        <v>16.5</v>
      </c>
      <c r="N783">
        <v>16.100000000000001</v>
      </c>
      <c r="O783">
        <v>15.6</v>
      </c>
      <c r="P783">
        <v>15.2</v>
      </c>
      <c r="Q783">
        <v>15.2</v>
      </c>
      <c r="R783">
        <v>15.3</v>
      </c>
      <c r="S783">
        <f>Tableau1[[#This Row],[Final_time]]-SUM(Tableau1[[#This Row],[0_100m]:[1300_1400m]])</f>
        <v>14.600000000000023</v>
      </c>
      <c r="T783">
        <v>236.1</v>
      </c>
      <c r="U783">
        <f t="shared" si="24"/>
        <v>236.1</v>
      </c>
      <c r="V783">
        <f t="shared" si="25"/>
        <v>0</v>
      </c>
      <c r="W783" s="12"/>
      <c r="X783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3" t="s">
        <v>1362</v>
      </c>
      <c r="Z783" s="2" t="s">
        <v>43</v>
      </c>
      <c r="AA783" s="2"/>
      <c r="AB783" s="2" t="s">
        <v>65</v>
      </c>
      <c r="AC783" s="2">
        <v>45885</v>
      </c>
      <c r="AD783" s="3">
        <v>2025</v>
      </c>
      <c r="AE783" s="3">
        <v>29</v>
      </c>
      <c r="AF783" s="5">
        <v>0.44</v>
      </c>
      <c r="AG783" s="3" t="s">
        <v>71</v>
      </c>
    </row>
    <row r="784" spans="1:34" hidden="1" x14ac:dyDescent="0.35">
      <c r="A784" t="str">
        <f>_xlfn.CONCAT(Tableau1[[#This Row],[Athletes]],"_",Tableau1[[#This Row],[Nationality]],"_",Tableau1[[#This Row],[Competition_year]])</f>
        <v>Beatrice CHEBET_KEN_2025</v>
      </c>
      <c r="B784" t="s">
        <v>1360</v>
      </c>
      <c r="C784" t="s">
        <v>47</v>
      </c>
      <c r="D784" t="s">
        <v>17</v>
      </c>
      <c r="E784">
        <v>15.1</v>
      </c>
      <c r="F784">
        <v>15.1</v>
      </c>
      <c r="G784">
        <v>15.2</v>
      </c>
      <c r="H784">
        <v>15.4</v>
      </c>
      <c r="I784">
        <v>15.8</v>
      </c>
      <c r="J784">
        <v>15.8</v>
      </c>
      <c r="K784">
        <v>16.100000000000001</v>
      </c>
      <c r="L784">
        <v>16</v>
      </c>
      <c r="M784">
        <v>16.100000000000001</v>
      </c>
      <c r="N784">
        <v>16.399999999999999</v>
      </c>
      <c r="O784">
        <v>16.100000000000001</v>
      </c>
      <c r="P784">
        <v>15.8</v>
      </c>
      <c r="Q784">
        <v>15.5</v>
      </c>
      <c r="R784">
        <v>15.4</v>
      </c>
      <c r="S784">
        <f>Tableau1[[#This Row],[Final_time]]-SUM(Tableau1[[#This Row],[0_100m]:[1300_1400m]])</f>
        <v>14.929999999999978</v>
      </c>
      <c r="T784">
        <v>234.73</v>
      </c>
      <c r="U784">
        <f t="shared" si="24"/>
        <v>234.73</v>
      </c>
      <c r="V784">
        <f t="shared" si="25"/>
        <v>0</v>
      </c>
      <c r="W784" s="12"/>
      <c r="X784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4" t="s">
        <v>1362</v>
      </c>
      <c r="Z784" s="2" t="s">
        <v>43</v>
      </c>
      <c r="AA784" s="2"/>
      <c r="AB784" s="2" t="s">
        <v>65</v>
      </c>
      <c r="AC784" s="2">
        <v>45885</v>
      </c>
      <c r="AD784" s="3">
        <v>2025</v>
      </c>
      <c r="AE784" s="3">
        <v>29</v>
      </c>
      <c r="AF784" s="5">
        <v>0.44</v>
      </c>
      <c r="AG784" s="3" t="s">
        <v>71</v>
      </c>
    </row>
    <row r="785" spans="1:33" hidden="1" x14ac:dyDescent="0.35">
      <c r="A785" t="str">
        <f>_xlfn.CONCAT(Tableau1[[#This Row],[Athletes]],"_",Tableau1[[#This Row],[Nationality]],"_",Tableau1[[#This Row],[Competition_year]])</f>
        <v>Linden HALL_AUS_2025</v>
      </c>
      <c r="B785" t="s">
        <v>184</v>
      </c>
      <c r="C785" t="s">
        <v>47</v>
      </c>
      <c r="D785" t="s">
        <v>21</v>
      </c>
      <c r="E785">
        <v>15.6</v>
      </c>
      <c r="F785">
        <v>15.8</v>
      </c>
      <c r="G785">
        <v>15.6</v>
      </c>
      <c r="H785">
        <v>15.5</v>
      </c>
      <c r="I785">
        <v>15.6</v>
      </c>
      <c r="J785">
        <v>16.3</v>
      </c>
      <c r="K785">
        <v>16.100000000000001</v>
      </c>
      <c r="L785">
        <v>17</v>
      </c>
      <c r="M785">
        <v>16.399999999999999</v>
      </c>
      <c r="N785">
        <v>16.100000000000001</v>
      </c>
      <c r="O785">
        <v>15.6</v>
      </c>
      <c r="P785">
        <v>15.1</v>
      </c>
      <c r="Q785">
        <v>15.1</v>
      </c>
      <c r="R785">
        <v>15.4</v>
      </c>
      <c r="S785">
        <f>Tableau1[[#This Row],[Final_time]]-SUM(Tableau1[[#This Row],[0_100m]:[1300_1400m]])</f>
        <v>15.189999999999998</v>
      </c>
      <c r="T785">
        <v>236.39</v>
      </c>
      <c r="U785">
        <f t="shared" si="24"/>
        <v>236.39</v>
      </c>
      <c r="V785">
        <f t="shared" si="25"/>
        <v>0</v>
      </c>
      <c r="W785" s="12"/>
      <c r="X785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5" t="s">
        <v>1362</v>
      </c>
      <c r="Z785" s="2" t="s">
        <v>43</v>
      </c>
      <c r="AA785" s="2"/>
      <c r="AB785" s="2" t="s">
        <v>65</v>
      </c>
      <c r="AC785" s="2">
        <v>45885</v>
      </c>
      <c r="AD785" s="3">
        <v>2025</v>
      </c>
      <c r="AE785" s="3">
        <v>29</v>
      </c>
      <c r="AF785" s="5">
        <v>0.44</v>
      </c>
      <c r="AG785" s="3" t="s">
        <v>71</v>
      </c>
    </row>
    <row r="786" spans="1:33" hidden="1" x14ac:dyDescent="0.35">
      <c r="A786" t="str">
        <f>_xlfn.CONCAT(Tableau1[[#This Row],[Athletes]],"_",Tableau1[[#This Row],[Nationality]],"_",Tableau1[[#This Row],[Competition_year]])</f>
        <v>Klaudia KAZIMIERSKA_POL_2025</v>
      </c>
      <c r="B786" t="s">
        <v>1043</v>
      </c>
      <c r="C786" t="s">
        <v>47</v>
      </c>
      <c r="D786" t="s">
        <v>83</v>
      </c>
      <c r="E786">
        <v>16</v>
      </c>
      <c r="F786">
        <v>15.9</v>
      </c>
      <c r="G786">
        <v>15.7</v>
      </c>
      <c r="H786">
        <v>15.6</v>
      </c>
      <c r="I786">
        <v>15.6</v>
      </c>
      <c r="J786">
        <v>16.100000000000001</v>
      </c>
      <c r="K786">
        <v>16.2</v>
      </c>
      <c r="L786">
        <v>16.7</v>
      </c>
      <c r="M786">
        <v>16.8</v>
      </c>
      <c r="N786">
        <v>16.5</v>
      </c>
      <c r="O786">
        <v>15.8</v>
      </c>
      <c r="P786">
        <v>15.6</v>
      </c>
      <c r="Q786">
        <v>15.9</v>
      </c>
      <c r="R786">
        <v>15.9</v>
      </c>
      <c r="S786">
        <f>Tableau1[[#This Row],[Final_time]]-SUM(Tableau1[[#This Row],[0_100m]:[1300_1400m]])</f>
        <v>15.359999999999957</v>
      </c>
      <c r="T786">
        <v>239.66</v>
      </c>
      <c r="U786">
        <f t="shared" si="24"/>
        <v>239.66</v>
      </c>
      <c r="V786">
        <f t="shared" si="25"/>
        <v>0</v>
      </c>
      <c r="W786" s="12"/>
      <c r="X786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6" t="s">
        <v>1362</v>
      </c>
      <c r="Z786" s="2" t="s">
        <v>43</v>
      </c>
      <c r="AA786" s="2"/>
      <c r="AB786" s="2" t="s">
        <v>65</v>
      </c>
      <c r="AC786" s="2">
        <v>45885</v>
      </c>
      <c r="AD786" s="3">
        <v>2025</v>
      </c>
      <c r="AE786" s="3">
        <v>29</v>
      </c>
      <c r="AF786" s="5">
        <v>0.44</v>
      </c>
      <c r="AG786" s="3" t="s">
        <v>71</v>
      </c>
    </row>
    <row r="787" spans="1:33" hidden="1" x14ac:dyDescent="0.35">
      <c r="A787" t="str">
        <f>_xlfn.CONCAT(Tableau1[[#This Row],[Athletes]],"_",Tableau1[[#This Row],[Nationality]],"_",Tableau1[[#This Row],[Competition_year]])</f>
        <v>Heather MACLEAN _USA_2025</v>
      </c>
      <c r="B787" t="s">
        <v>1361</v>
      </c>
      <c r="C787" t="s">
        <v>47</v>
      </c>
      <c r="D787" t="s">
        <v>51</v>
      </c>
      <c r="E787">
        <v>15.8</v>
      </c>
      <c r="F787">
        <v>15.7</v>
      </c>
      <c r="G787">
        <v>15.5</v>
      </c>
      <c r="H787">
        <v>15.6</v>
      </c>
      <c r="I787">
        <v>15.7</v>
      </c>
      <c r="J787">
        <v>16.2</v>
      </c>
      <c r="K787">
        <v>16.3</v>
      </c>
      <c r="L787">
        <v>16.899999999999999</v>
      </c>
      <c r="M787">
        <v>16.7</v>
      </c>
      <c r="N787">
        <v>16.2</v>
      </c>
      <c r="O787">
        <v>15.7</v>
      </c>
      <c r="P787">
        <v>15.3</v>
      </c>
      <c r="Q787">
        <v>15.4</v>
      </c>
      <c r="R787">
        <v>15.3</v>
      </c>
      <c r="S787">
        <f>Tableau1[[#This Row],[Final_time]]-SUM(Tableau1[[#This Row],[0_100m]:[1300_1400m]])</f>
        <v>15.490000000000009</v>
      </c>
      <c r="T787">
        <v>237.79</v>
      </c>
      <c r="U787">
        <f t="shared" si="24"/>
        <v>237.79</v>
      </c>
      <c r="V787">
        <f t="shared" si="25"/>
        <v>0</v>
      </c>
      <c r="W787" s="12"/>
      <c r="X787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7" t="s">
        <v>1362</v>
      </c>
      <c r="Z787" s="2" t="s">
        <v>43</v>
      </c>
      <c r="AA787" s="2"/>
      <c r="AB787" s="2" t="s">
        <v>65</v>
      </c>
      <c r="AC787" s="2">
        <v>45885</v>
      </c>
      <c r="AD787" s="3">
        <v>2025</v>
      </c>
      <c r="AE787" s="3">
        <v>29</v>
      </c>
      <c r="AF787" s="5">
        <v>0.44</v>
      </c>
      <c r="AG787" s="3" t="s">
        <v>71</v>
      </c>
    </row>
    <row r="788" spans="1:33" hidden="1" x14ac:dyDescent="0.35">
      <c r="A788" t="str">
        <f>_xlfn.CONCAT(Tableau1[[#This Row],[Athletes]],"_",Tableau1[[#This Row],[Nationality]],"_",Tableau1[[#This Row],[Competition_year]])</f>
        <v>Gudaf TSEGAY_ETH_2025</v>
      </c>
      <c r="B788" t="s">
        <v>138</v>
      </c>
      <c r="C788" t="s">
        <v>47</v>
      </c>
      <c r="D788" t="s">
        <v>48</v>
      </c>
      <c r="E788">
        <v>14.5</v>
      </c>
      <c r="F788">
        <v>14.4</v>
      </c>
      <c r="G788">
        <v>15</v>
      </c>
      <c r="H788">
        <v>15.4</v>
      </c>
      <c r="I788">
        <v>15.4</v>
      </c>
      <c r="J788">
        <v>15.5</v>
      </c>
      <c r="K788">
        <v>15</v>
      </c>
      <c r="L788">
        <v>15.2</v>
      </c>
      <c r="M788">
        <v>15.7</v>
      </c>
      <c r="N788">
        <v>15.7</v>
      </c>
      <c r="O788">
        <v>15.9</v>
      </c>
      <c r="P788">
        <v>15.4</v>
      </c>
      <c r="Q788">
        <v>15.8</v>
      </c>
      <c r="R788">
        <v>16.100000000000001</v>
      </c>
      <c r="S788">
        <f>Tableau1[[#This Row],[Final_time]]-SUM(Tableau1[[#This Row],[0_100m]:[1300_1400m]])</f>
        <v>15.620000000000005</v>
      </c>
      <c r="T788">
        <v>230.62</v>
      </c>
      <c r="U788">
        <f t="shared" si="24"/>
        <v>230.62</v>
      </c>
      <c r="V788">
        <f t="shared" si="25"/>
        <v>0</v>
      </c>
      <c r="W788" s="12"/>
      <c r="X788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8" t="s">
        <v>1362</v>
      </c>
      <c r="Z788" s="2" t="s">
        <v>43</v>
      </c>
      <c r="AA788" s="2"/>
      <c r="AB788" s="2" t="s">
        <v>65</v>
      </c>
      <c r="AC788" s="2">
        <v>45885</v>
      </c>
      <c r="AD788" s="3">
        <v>2025</v>
      </c>
      <c r="AE788" s="3">
        <v>29</v>
      </c>
      <c r="AF788" s="5">
        <v>0.44</v>
      </c>
      <c r="AG788" s="3" t="s">
        <v>71</v>
      </c>
    </row>
    <row r="789" spans="1:33" hidden="1" x14ac:dyDescent="0.35">
      <c r="A789" t="str">
        <f>_xlfn.CONCAT(Tableau1[[#This Row],[Athletes]],"_",Tableau1[[#This Row],[Nationality]],"_",Tableau1[[#This Row],[Competition_year]])</f>
        <v>Birke HAYLOM_ETH_2025</v>
      </c>
      <c r="B789" t="s">
        <v>179</v>
      </c>
      <c r="C789" t="s">
        <v>47</v>
      </c>
      <c r="D789" t="s">
        <v>48</v>
      </c>
      <c r="E789">
        <v>15.4</v>
      </c>
      <c r="F789">
        <v>14.7</v>
      </c>
      <c r="G789">
        <v>14.8</v>
      </c>
      <c r="H789">
        <v>15</v>
      </c>
      <c r="I789">
        <v>15.4</v>
      </c>
      <c r="J789">
        <v>15.8</v>
      </c>
      <c r="K789">
        <v>16.3</v>
      </c>
      <c r="L789">
        <v>16.7</v>
      </c>
      <c r="M789">
        <v>16.7</v>
      </c>
      <c r="N789">
        <v>16.5</v>
      </c>
      <c r="O789">
        <v>16.399999999999999</v>
      </c>
      <c r="P789">
        <v>16.100000000000001</v>
      </c>
      <c r="Q789">
        <v>15.6</v>
      </c>
      <c r="R789">
        <v>15.7</v>
      </c>
      <c r="S789">
        <f>Tableau1[[#This Row],[Final_time]]-SUM(Tableau1[[#This Row],[0_100m]:[1300_1400m]])</f>
        <v>15.689999999999998</v>
      </c>
      <c r="T789">
        <v>236.79</v>
      </c>
      <c r="U789">
        <f t="shared" si="24"/>
        <v>236.79</v>
      </c>
      <c r="V789">
        <f t="shared" si="25"/>
        <v>0</v>
      </c>
      <c r="W789" s="12"/>
      <c r="X789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89" t="s">
        <v>1362</v>
      </c>
      <c r="Z789" s="2" t="s">
        <v>43</v>
      </c>
      <c r="AA789" s="2"/>
      <c r="AB789" s="2" t="s">
        <v>65</v>
      </c>
      <c r="AC789" s="2">
        <v>45885</v>
      </c>
      <c r="AD789" s="3">
        <v>2025</v>
      </c>
      <c r="AE789" s="3">
        <v>29</v>
      </c>
      <c r="AF789" s="5">
        <v>0.44</v>
      </c>
      <c r="AG789" s="3" t="s">
        <v>71</v>
      </c>
    </row>
    <row r="790" spans="1:33" hidden="1" x14ac:dyDescent="0.35">
      <c r="A790" t="str">
        <f>_xlfn.CONCAT(Tableau1[[#This Row],[Athletes]],"_",Tableau1[[#This Row],[Nationality]],"_",Tableau1[[#This Row],[Competition_year]])</f>
        <v>Sarah HEALY_IRL_2025</v>
      </c>
      <c r="B790" t="s">
        <v>166</v>
      </c>
      <c r="C790" t="s">
        <v>47</v>
      </c>
      <c r="D790" t="s">
        <v>35</v>
      </c>
      <c r="E790">
        <v>15.8</v>
      </c>
      <c r="F790">
        <v>15.3</v>
      </c>
      <c r="G790">
        <v>15.5</v>
      </c>
      <c r="H790">
        <v>15.4</v>
      </c>
      <c r="I790">
        <v>16</v>
      </c>
      <c r="J790">
        <v>16.3</v>
      </c>
      <c r="K790">
        <v>16.3</v>
      </c>
      <c r="L790">
        <v>16.899999999999999</v>
      </c>
      <c r="M790">
        <v>16.7</v>
      </c>
      <c r="N790">
        <v>16.2</v>
      </c>
      <c r="O790">
        <v>15.8</v>
      </c>
      <c r="P790">
        <v>15.2</v>
      </c>
      <c r="Q790">
        <v>15.3</v>
      </c>
      <c r="R790">
        <v>15.5</v>
      </c>
      <c r="S790">
        <f>Tableau1[[#This Row],[Final_time]]-SUM(Tableau1[[#This Row],[0_100m]:[1300_1400m]])</f>
        <v>15.75</v>
      </c>
      <c r="T790">
        <v>237.95</v>
      </c>
      <c r="U790">
        <f t="shared" si="24"/>
        <v>237.95</v>
      </c>
      <c r="V790">
        <f t="shared" si="25"/>
        <v>0</v>
      </c>
      <c r="W790" s="12"/>
      <c r="X790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90" t="s">
        <v>1362</v>
      </c>
      <c r="Z790" s="2" t="s">
        <v>43</v>
      </c>
      <c r="AA790" s="2"/>
      <c r="AB790" s="2" t="s">
        <v>65</v>
      </c>
      <c r="AC790" s="2">
        <v>45885</v>
      </c>
      <c r="AD790" s="3">
        <v>2025</v>
      </c>
      <c r="AE790" s="3">
        <v>29</v>
      </c>
      <c r="AF790" s="5">
        <v>0.44</v>
      </c>
      <c r="AG790" s="3" t="s">
        <v>71</v>
      </c>
    </row>
    <row r="791" spans="1:33" hidden="1" x14ac:dyDescent="0.35">
      <c r="A791" t="str">
        <f>_xlfn.CONCAT(Tableau1[[#This Row],[Athletes]],"_",Tableau1[[#This Row],[Nationality]],"_",Tableau1[[#This Row],[Competition_year]])</f>
        <v>Freweyni HAILU_ETH_2025</v>
      </c>
      <c r="B791" t="s">
        <v>144</v>
      </c>
      <c r="C791" t="s">
        <v>47</v>
      </c>
      <c r="D791" t="s">
        <v>48</v>
      </c>
      <c r="E791">
        <v>16.2</v>
      </c>
      <c r="F791">
        <v>15.5</v>
      </c>
      <c r="G791">
        <v>15.2</v>
      </c>
      <c r="H791">
        <v>15.4</v>
      </c>
      <c r="I791">
        <v>15.3</v>
      </c>
      <c r="J791">
        <v>16.5</v>
      </c>
      <c r="K791">
        <v>15.7</v>
      </c>
      <c r="L791">
        <v>15.6</v>
      </c>
      <c r="M791">
        <v>15.4</v>
      </c>
      <c r="N791">
        <v>16.3</v>
      </c>
      <c r="O791">
        <v>15.8</v>
      </c>
      <c r="P791">
        <v>15.9</v>
      </c>
      <c r="Q791">
        <v>15.9</v>
      </c>
      <c r="R791">
        <v>15.5</v>
      </c>
      <c r="S791">
        <f>Tableau1[[#This Row],[Final_time]]-SUM(Tableau1[[#This Row],[0_100m]:[1300_1400m]])</f>
        <v>16.099999999999994</v>
      </c>
      <c r="T791">
        <v>236.3</v>
      </c>
      <c r="U791">
        <f t="shared" si="24"/>
        <v>236.3</v>
      </c>
      <c r="V791">
        <f t="shared" si="25"/>
        <v>0</v>
      </c>
      <c r="W791" s="12"/>
      <c r="X791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91" t="s">
        <v>1362</v>
      </c>
      <c r="Z791" s="2" t="s">
        <v>43</v>
      </c>
      <c r="AA791" s="2"/>
      <c r="AB791" s="2" t="s">
        <v>65</v>
      </c>
      <c r="AC791" s="2">
        <v>45885</v>
      </c>
      <c r="AD791" s="3">
        <v>2025</v>
      </c>
      <c r="AE791" s="3">
        <v>29</v>
      </c>
      <c r="AF791" s="5">
        <v>0.44</v>
      </c>
      <c r="AG791" s="3" t="s">
        <v>71</v>
      </c>
    </row>
    <row r="792" spans="1:33" hidden="1" x14ac:dyDescent="0.35">
      <c r="A792" t="str">
        <f>_xlfn.CONCAT(Tableau1[[#This Row],[Athletes]],"_",Tableau1[[#This Row],[Nationality]],"_",Tableau1[[#This Row],[Competition_year]])</f>
        <v>Marta PÉREZ_ESP_2025</v>
      </c>
      <c r="B792" t="s">
        <v>183</v>
      </c>
      <c r="C792" t="s">
        <v>47</v>
      </c>
      <c r="D792" t="s">
        <v>22</v>
      </c>
      <c r="E792">
        <v>16.3</v>
      </c>
      <c r="F792">
        <v>16</v>
      </c>
      <c r="G792">
        <v>15.2</v>
      </c>
      <c r="H792">
        <v>15.5</v>
      </c>
      <c r="I792">
        <v>15.6</v>
      </c>
      <c r="J792">
        <v>16.100000000000001</v>
      </c>
      <c r="K792">
        <v>16.2</v>
      </c>
      <c r="L792">
        <v>17.100000000000001</v>
      </c>
      <c r="M792">
        <v>16.600000000000001</v>
      </c>
      <c r="N792">
        <v>16.100000000000001</v>
      </c>
      <c r="O792">
        <v>15.8</v>
      </c>
      <c r="P792">
        <v>15.5</v>
      </c>
      <c r="Q792">
        <v>15.4</v>
      </c>
      <c r="R792">
        <v>15.5</v>
      </c>
      <c r="S792">
        <f>Tableau1[[#This Row],[Final_time]]-SUM(Tableau1[[#This Row],[0_100m]:[1300_1400m]])</f>
        <v>16.120000000000005</v>
      </c>
      <c r="T792">
        <v>239.02</v>
      </c>
      <c r="U792">
        <f t="shared" si="24"/>
        <v>239.02</v>
      </c>
      <c r="V792">
        <f t="shared" si="25"/>
        <v>0</v>
      </c>
      <c r="W792" s="12"/>
      <c r="X792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92" t="s">
        <v>1362</v>
      </c>
      <c r="Z792" s="2" t="s">
        <v>43</v>
      </c>
      <c r="AA792" s="2"/>
      <c r="AB792" s="2" t="s">
        <v>65</v>
      </c>
      <c r="AC792" s="2">
        <v>45885</v>
      </c>
      <c r="AD792" s="3">
        <v>2025</v>
      </c>
      <c r="AE792" s="3">
        <v>29</v>
      </c>
      <c r="AF792" s="5">
        <v>0.44</v>
      </c>
      <c r="AG792" s="3" t="s">
        <v>71</v>
      </c>
    </row>
    <row r="793" spans="1:33" hidden="1" x14ac:dyDescent="0.35">
      <c r="A793" t="str">
        <f>_xlfn.CONCAT(Tableau1[[#This Row],[Athletes]],"_",Tableau1[[#This Row],[Nationality]],"_",Tableau1[[#This Row],[Competition_year]])</f>
        <v>Worknesh MESELE_ETH_2025</v>
      </c>
      <c r="B793" t="s">
        <v>294</v>
      </c>
      <c r="C793" t="s">
        <v>47</v>
      </c>
      <c r="D793" t="s">
        <v>48</v>
      </c>
      <c r="E793">
        <v>14.9</v>
      </c>
      <c r="F793">
        <v>15.1</v>
      </c>
      <c r="G793">
        <v>15.3</v>
      </c>
      <c r="H793">
        <v>15.3</v>
      </c>
      <c r="I793">
        <v>16.600000000000001</v>
      </c>
      <c r="J793">
        <v>16.600000000000001</v>
      </c>
      <c r="K793">
        <v>16.600000000000001</v>
      </c>
      <c r="L793">
        <v>16.899999999999999</v>
      </c>
      <c r="M793">
        <v>16.899999999999999</v>
      </c>
      <c r="N793">
        <v>17.3</v>
      </c>
      <c r="O793">
        <v>16.7</v>
      </c>
      <c r="P793">
        <v>16.5</v>
      </c>
      <c r="Q793">
        <v>16.8</v>
      </c>
      <c r="R793">
        <v>17.600000000000001</v>
      </c>
      <c r="S793">
        <f>Tableau1[[#This Row],[Final_time]]-SUM(Tableau1[[#This Row],[0_100m]:[1300_1400m]])</f>
        <v>16.22</v>
      </c>
      <c r="T793">
        <v>245.32</v>
      </c>
      <c r="U793">
        <f t="shared" si="24"/>
        <v>245.32</v>
      </c>
      <c r="V793">
        <f t="shared" si="25"/>
        <v>0</v>
      </c>
      <c r="W793" s="12"/>
      <c r="X793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93" t="s">
        <v>1362</v>
      </c>
      <c r="Z793" s="2" t="s">
        <v>43</v>
      </c>
      <c r="AA793" s="2"/>
      <c r="AB793" s="2" t="s">
        <v>65</v>
      </c>
      <c r="AC793" s="2">
        <v>45885</v>
      </c>
      <c r="AD793" s="3">
        <v>2025</v>
      </c>
      <c r="AE793" s="3">
        <v>29</v>
      </c>
      <c r="AF793" s="5">
        <v>0.44</v>
      </c>
      <c r="AG793" s="3" t="s">
        <v>71</v>
      </c>
    </row>
    <row r="794" spans="1:33" hidden="1" x14ac:dyDescent="0.35">
      <c r="A794" t="str">
        <f>_xlfn.CONCAT(Tableau1[[#This Row],[Athletes]],"_",Tableau1[[#This Row],[Nationality]],"_",Tableau1[[#This Row],[Competition_year]])</f>
        <v>Weronika LIZAKOWSKA_POL_2025</v>
      </c>
      <c r="B794" t="s">
        <v>409</v>
      </c>
      <c r="C794" t="s">
        <v>47</v>
      </c>
      <c r="D794" t="s">
        <v>83</v>
      </c>
      <c r="E794">
        <v>16</v>
      </c>
      <c r="F794">
        <v>15.7</v>
      </c>
      <c r="G794">
        <v>15.7</v>
      </c>
      <c r="H794">
        <v>15.7</v>
      </c>
      <c r="I794">
        <v>15.9</v>
      </c>
      <c r="J794">
        <v>16.2</v>
      </c>
      <c r="K794">
        <v>16.3</v>
      </c>
      <c r="L794">
        <v>16.600000000000001</v>
      </c>
      <c r="M794">
        <v>16.899999999999999</v>
      </c>
      <c r="N794">
        <v>16.7</v>
      </c>
      <c r="O794">
        <v>16.2</v>
      </c>
      <c r="P794">
        <v>16.100000000000001</v>
      </c>
      <c r="Q794">
        <v>16.399999999999999</v>
      </c>
      <c r="R794">
        <v>16.399999999999999</v>
      </c>
      <c r="S794">
        <f>Tableau1[[#This Row],[Final_time]]-SUM(Tableau1[[#This Row],[0_100m]:[1300_1400m]])</f>
        <v>16.850000000000023</v>
      </c>
      <c r="T794">
        <v>243.65</v>
      </c>
      <c r="U794">
        <f t="shared" si="24"/>
        <v>243.65</v>
      </c>
      <c r="V794">
        <f t="shared" si="25"/>
        <v>0</v>
      </c>
      <c r="W794" s="12"/>
      <c r="X794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94" t="s">
        <v>1362</v>
      </c>
      <c r="Z794" s="2" t="s">
        <v>43</v>
      </c>
      <c r="AA794" s="2"/>
      <c r="AB794" s="2" t="s">
        <v>65</v>
      </c>
      <c r="AC794" s="2">
        <v>45885</v>
      </c>
      <c r="AD794" s="3">
        <v>2025</v>
      </c>
      <c r="AE794" s="3">
        <v>29</v>
      </c>
      <c r="AF794" s="5">
        <v>0.44</v>
      </c>
      <c r="AG794" s="3" t="s">
        <v>71</v>
      </c>
    </row>
    <row r="795" spans="1:33" hidden="1" x14ac:dyDescent="0.35">
      <c r="A795" t="str">
        <f>_xlfn.CONCAT(Tableau1[[#This Row],[Athletes]],"_",Tableau1[[#This Row],[Nationality]],"_",Tableau1[[#This Row],[Competition_year]])</f>
        <v>Sarah BILLINGS_AUS_2025</v>
      </c>
      <c r="B795" t="s">
        <v>1234</v>
      </c>
      <c r="C795" t="s">
        <v>47</v>
      </c>
      <c r="D795" t="s">
        <v>21</v>
      </c>
      <c r="E795">
        <v>16.100000000000001</v>
      </c>
      <c r="F795">
        <v>16</v>
      </c>
      <c r="G795">
        <v>15.7</v>
      </c>
      <c r="H795">
        <v>15.8</v>
      </c>
      <c r="I795">
        <v>15.8</v>
      </c>
      <c r="J795">
        <v>16.2</v>
      </c>
      <c r="K795">
        <v>16.5</v>
      </c>
      <c r="L795">
        <v>16.399999999999999</v>
      </c>
      <c r="M795">
        <v>16.3</v>
      </c>
      <c r="N795">
        <v>16.600000000000001</v>
      </c>
      <c r="O795">
        <v>16.8</v>
      </c>
      <c r="P795">
        <v>16.5</v>
      </c>
      <c r="Q795">
        <v>16.600000000000001</v>
      </c>
      <c r="R795">
        <v>16.7</v>
      </c>
      <c r="S795">
        <f>Tableau1[[#This Row],[Final_time]]-SUM(Tableau1[[#This Row],[0_100m]:[1300_1400m]])</f>
        <v>17.78</v>
      </c>
      <c r="T795">
        <v>245.78</v>
      </c>
      <c r="U795">
        <f t="shared" si="24"/>
        <v>245.78</v>
      </c>
      <c r="V795">
        <f t="shared" si="25"/>
        <v>0</v>
      </c>
      <c r="W795" s="12"/>
      <c r="X795" t="str">
        <f>_xlfn.CONCAT(Tableau1[[#This Row],[Competition]],"_",Tableau1[[#This Row],[Championship_step]],"_",Tableau1[[#This Row],[Competition_date]],"_",Tableau1[[#This Row],[Gender]])</f>
        <v>Diamond League Silesia 2025__45885_Female</v>
      </c>
      <c r="Y795" t="s">
        <v>1362</v>
      </c>
      <c r="Z795" s="2" t="s">
        <v>43</v>
      </c>
      <c r="AA795" s="2"/>
      <c r="AB795" s="2" t="s">
        <v>65</v>
      </c>
      <c r="AC795" s="2">
        <v>45885</v>
      </c>
      <c r="AD795" s="3">
        <v>2025</v>
      </c>
      <c r="AE795" s="3">
        <v>29</v>
      </c>
      <c r="AF795" s="5">
        <v>0.44</v>
      </c>
      <c r="AG795" s="3" t="s">
        <v>71</v>
      </c>
    </row>
    <row r="796" spans="1:33" hidden="1" x14ac:dyDescent="0.35">
      <c r="A796" t="str">
        <f>_xlfn.CONCAT(Tableau1[[#This Row],[Athletes]],"_",Tableau1[[#This Row],[Nationality]],"_",Tableau1[[#This Row],[Competition_year]])</f>
        <v>Reynold CHERUIYOT_KEN_2025</v>
      </c>
      <c r="B796" s="7" t="s">
        <v>1192</v>
      </c>
      <c r="C796" s="7" t="s">
        <v>16</v>
      </c>
      <c r="D796" s="7" t="s">
        <v>17</v>
      </c>
      <c r="E796" s="7">
        <v>13.9</v>
      </c>
      <c r="F796" s="7">
        <v>15</v>
      </c>
      <c r="G796" s="7">
        <v>15.3</v>
      </c>
      <c r="H796" s="7">
        <v>14.8</v>
      </c>
      <c r="I796" s="7">
        <v>14.5</v>
      </c>
      <c r="J796" s="7">
        <v>14.7</v>
      </c>
      <c r="K796" s="7">
        <v>14.9</v>
      </c>
      <c r="L796" s="7">
        <v>15</v>
      </c>
      <c r="M796" s="7">
        <v>14</v>
      </c>
      <c r="N796" s="7">
        <v>14.2</v>
      </c>
      <c r="O796" s="7">
        <v>14.1</v>
      </c>
      <c r="P796" s="7">
        <v>14.1</v>
      </c>
      <c r="Q796" s="7">
        <v>13.4</v>
      </c>
      <c r="R796" s="7">
        <v>13.4</v>
      </c>
      <c r="S796">
        <f>Tableau1[[#This Row],[Final_time]]-SUM(Tableau1[[#This Row],[0_100m]:[1300_1400m]])</f>
        <v>12.119999999999976</v>
      </c>
      <c r="T796" s="7">
        <v>213.42</v>
      </c>
      <c r="U796">
        <f t="shared" si="24"/>
        <v>213.42</v>
      </c>
      <c r="V796">
        <f t="shared" si="25"/>
        <v>0</v>
      </c>
      <c r="W796" s="12"/>
      <c r="X796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796" t="s">
        <v>1362</v>
      </c>
      <c r="Z796" s="2" t="s">
        <v>43</v>
      </c>
      <c r="AA796" s="2"/>
      <c r="AB796" s="2" t="s">
        <v>65</v>
      </c>
      <c r="AC796" s="2">
        <v>45885</v>
      </c>
      <c r="AD796" s="3">
        <v>2025</v>
      </c>
      <c r="AE796" s="3">
        <v>29</v>
      </c>
      <c r="AF796" s="5">
        <v>0.43</v>
      </c>
      <c r="AG796" s="3" t="s">
        <v>71</v>
      </c>
    </row>
    <row r="797" spans="1:33" hidden="1" x14ac:dyDescent="0.35">
      <c r="A797" t="str">
        <f>_xlfn.CONCAT(Tableau1[[#This Row],[Athletes]],"_",Tableau1[[#This Row],[Nationality]],"_",Tableau1[[#This Row],[Competition_year]])</f>
        <v>Timothy CHERUIYOT_KEN_2025</v>
      </c>
      <c r="B797" s="7" t="s">
        <v>205</v>
      </c>
      <c r="C797" s="7" t="s">
        <v>16</v>
      </c>
      <c r="D797" s="7" t="s">
        <v>17</v>
      </c>
      <c r="E797" s="7">
        <v>14.2</v>
      </c>
      <c r="F797" s="7">
        <v>14.6</v>
      </c>
      <c r="G797" s="7">
        <v>14.9</v>
      </c>
      <c r="H797" s="7">
        <v>14.7</v>
      </c>
      <c r="I797" s="7">
        <v>14.3</v>
      </c>
      <c r="J797" s="7">
        <v>14.7</v>
      </c>
      <c r="K797" s="7">
        <v>15.1</v>
      </c>
      <c r="L797" s="7">
        <v>14.8</v>
      </c>
      <c r="M797" s="7">
        <v>14.2</v>
      </c>
      <c r="N797" s="7">
        <v>14.3</v>
      </c>
      <c r="O797" s="7">
        <v>14.4</v>
      </c>
      <c r="P797" s="7">
        <v>14.1</v>
      </c>
      <c r="Q797" s="7">
        <v>13.4</v>
      </c>
      <c r="R797" s="7">
        <v>13.4</v>
      </c>
      <c r="S797">
        <f>Tableau1[[#This Row],[Final_time]]-SUM(Tableau1[[#This Row],[0_100m]:[1300_1400m]])</f>
        <v>12.25</v>
      </c>
      <c r="T797" s="7">
        <v>213.35</v>
      </c>
      <c r="U797">
        <f t="shared" si="24"/>
        <v>213.35</v>
      </c>
      <c r="V797">
        <f t="shared" si="25"/>
        <v>0</v>
      </c>
      <c r="W797" s="12"/>
      <c r="X797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797" t="s">
        <v>1362</v>
      </c>
      <c r="Z797" s="2" t="s">
        <v>43</v>
      </c>
      <c r="AA797" s="2"/>
      <c r="AB797" s="2" t="s">
        <v>65</v>
      </c>
      <c r="AC797" s="2">
        <v>45885</v>
      </c>
      <c r="AD797" s="3">
        <v>2025</v>
      </c>
      <c r="AE797" s="3">
        <v>29</v>
      </c>
      <c r="AF797" s="5">
        <v>0.43</v>
      </c>
      <c r="AG797" s="3" t="s">
        <v>71</v>
      </c>
    </row>
    <row r="798" spans="1:33" hidden="1" x14ac:dyDescent="0.35">
      <c r="A798" t="str">
        <f>_xlfn.CONCAT(Tableau1[[#This Row],[Athletes]],"_",Tableau1[[#This Row],[Nationality]],"_",Tableau1[[#This Row],[Competition_year]])</f>
        <v>Hobbs KESSLER_USA_2025</v>
      </c>
      <c r="B798" s="7" t="s">
        <v>365</v>
      </c>
      <c r="C798" s="7" t="s">
        <v>16</v>
      </c>
      <c r="D798" s="7" t="s">
        <v>51</v>
      </c>
      <c r="E798" s="7">
        <v>14</v>
      </c>
      <c r="F798" s="7">
        <v>15.2</v>
      </c>
      <c r="G798" s="7">
        <v>15.3</v>
      </c>
      <c r="H798" s="7">
        <v>14.8</v>
      </c>
      <c r="I798" s="7">
        <v>14.4</v>
      </c>
      <c r="J798" s="7">
        <v>14.8</v>
      </c>
      <c r="K798" s="7">
        <v>14.7</v>
      </c>
      <c r="L798" s="7">
        <v>15</v>
      </c>
      <c r="M798" s="7">
        <v>14.1</v>
      </c>
      <c r="N798" s="7">
        <v>14.1</v>
      </c>
      <c r="O798" s="7">
        <v>14.2</v>
      </c>
      <c r="P798" s="7">
        <v>14.2</v>
      </c>
      <c r="Q798" s="7">
        <v>13.3</v>
      </c>
      <c r="R798" s="7">
        <v>13.4</v>
      </c>
      <c r="S798">
        <f>Tableau1[[#This Row],[Final_time]]-SUM(Tableau1[[#This Row],[0_100m]:[1300_1400m]])</f>
        <v>12.639999999999986</v>
      </c>
      <c r="T798" s="7">
        <v>214.14</v>
      </c>
      <c r="U798">
        <f t="shared" si="24"/>
        <v>214.14</v>
      </c>
      <c r="V798">
        <f t="shared" si="25"/>
        <v>0</v>
      </c>
      <c r="W798" s="12"/>
      <c r="X798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798" t="s">
        <v>1362</v>
      </c>
      <c r="Z798" s="2" t="s">
        <v>43</v>
      </c>
      <c r="AA798" s="2"/>
      <c r="AB798" s="2" t="s">
        <v>65</v>
      </c>
      <c r="AC798" s="2">
        <v>45885</v>
      </c>
      <c r="AD798" s="3">
        <v>2025</v>
      </c>
      <c r="AE798" s="3">
        <v>29</v>
      </c>
      <c r="AF798" s="5">
        <v>0.43</v>
      </c>
      <c r="AG798" s="3" t="s">
        <v>71</v>
      </c>
    </row>
    <row r="799" spans="1:33" hidden="1" x14ac:dyDescent="0.35">
      <c r="A799" t="str">
        <f>_xlfn.CONCAT(Tableau1[[#This Row],[Athletes]],"_",Tableau1[[#This Row],[Nationality]],"_",Tableau1[[#This Row],[Competition_year]])</f>
        <v>Yared NUGUSE_USA_2025</v>
      </c>
      <c r="B799" s="7" t="s">
        <v>228</v>
      </c>
      <c r="C799" s="7" t="s">
        <v>16</v>
      </c>
      <c r="D799" s="7" t="s">
        <v>51</v>
      </c>
      <c r="E799" s="7">
        <v>14</v>
      </c>
      <c r="F799" s="7">
        <v>14.7</v>
      </c>
      <c r="G799" s="7">
        <v>15.2</v>
      </c>
      <c r="H799" s="7">
        <v>14.7</v>
      </c>
      <c r="I799" s="7">
        <v>14.3</v>
      </c>
      <c r="J799" s="7">
        <v>14.7</v>
      </c>
      <c r="K799" s="7">
        <v>15</v>
      </c>
      <c r="L799" s="7">
        <v>15.1</v>
      </c>
      <c r="M799" s="7">
        <v>14.1</v>
      </c>
      <c r="N799" s="7">
        <v>14.3</v>
      </c>
      <c r="O799" s="7">
        <v>14</v>
      </c>
      <c r="P799" s="7">
        <v>14</v>
      </c>
      <c r="Q799" s="7">
        <v>13.3</v>
      </c>
      <c r="R799" s="7">
        <v>13</v>
      </c>
      <c r="S799">
        <f>Tableau1[[#This Row],[Final_time]]-SUM(Tableau1[[#This Row],[0_100m]:[1300_1400m]])</f>
        <v>12.789999999999992</v>
      </c>
      <c r="T799" s="7">
        <v>213.19</v>
      </c>
      <c r="U799">
        <f t="shared" si="24"/>
        <v>213.19</v>
      </c>
      <c r="V799">
        <f t="shared" si="25"/>
        <v>0</v>
      </c>
      <c r="W799" s="12"/>
      <c r="X799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799" t="s">
        <v>1362</v>
      </c>
      <c r="Z799" s="2" t="s">
        <v>43</v>
      </c>
      <c r="AA799" s="2"/>
      <c r="AB799" s="2" t="s">
        <v>65</v>
      </c>
      <c r="AC799" s="2">
        <v>45885</v>
      </c>
      <c r="AD799" s="3">
        <v>2025</v>
      </c>
      <c r="AE799" s="3">
        <v>29</v>
      </c>
      <c r="AF799" s="5">
        <v>0.43</v>
      </c>
      <c r="AG799" s="3" t="s">
        <v>71</v>
      </c>
    </row>
    <row r="800" spans="1:33" hidden="1" x14ac:dyDescent="0.35">
      <c r="A800" t="str">
        <f>_xlfn.CONCAT(Tableau1[[#This Row],[Athletes]],"_",Tableau1[[#This Row],[Nationality]],"_",Tableau1[[#This Row],[Competition_year]])</f>
        <v>Narve Gilje NORDÅS_NOR_2025</v>
      </c>
      <c r="B800" s="7" t="s">
        <v>217</v>
      </c>
      <c r="C800" s="7" t="s">
        <v>16</v>
      </c>
      <c r="D800" s="7" t="s">
        <v>30</v>
      </c>
      <c r="E800" s="7">
        <v>14.5</v>
      </c>
      <c r="F800" s="7">
        <v>15</v>
      </c>
      <c r="G800" s="7">
        <v>14.7</v>
      </c>
      <c r="H800" s="7">
        <v>14.8</v>
      </c>
      <c r="I800" s="7">
        <v>14.6</v>
      </c>
      <c r="J800" s="7">
        <v>14.8</v>
      </c>
      <c r="K800" s="7">
        <v>15</v>
      </c>
      <c r="L800" s="7">
        <v>15.1</v>
      </c>
      <c r="M800" s="7">
        <v>14</v>
      </c>
      <c r="N800" s="7">
        <v>14.2</v>
      </c>
      <c r="O800" s="7">
        <v>13.7</v>
      </c>
      <c r="P800" s="7">
        <v>14.2</v>
      </c>
      <c r="Q800" s="7">
        <v>12.9</v>
      </c>
      <c r="R800" s="7">
        <v>13.1</v>
      </c>
      <c r="S800">
        <f>Tableau1[[#This Row],[Final_time]]-SUM(Tableau1[[#This Row],[0_100m]:[1300_1400m]])</f>
        <v>12.810000000000031</v>
      </c>
      <c r="T800" s="7">
        <v>213.41</v>
      </c>
      <c r="U800">
        <f t="shared" si="24"/>
        <v>213.41</v>
      </c>
      <c r="V800">
        <f t="shared" si="25"/>
        <v>0</v>
      </c>
      <c r="W800" s="12"/>
      <c r="X800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0" t="s">
        <v>1362</v>
      </c>
      <c r="Z800" s="2" t="s">
        <v>43</v>
      </c>
      <c r="AA800" s="2"/>
      <c r="AB800" s="2" t="s">
        <v>65</v>
      </c>
      <c r="AC800" s="2">
        <v>45885</v>
      </c>
      <c r="AD800" s="3">
        <v>2025</v>
      </c>
      <c r="AE800" s="3">
        <v>29</v>
      </c>
      <c r="AF800" s="5">
        <v>0.43</v>
      </c>
      <c r="AG800" s="3" t="s">
        <v>71</v>
      </c>
    </row>
    <row r="801" spans="1:33" hidden="1" x14ac:dyDescent="0.35">
      <c r="A801" t="str">
        <f>_xlfn.CONCAT(Tableau1[[#This Row],[Athletes]],"_",Tableau1[[#This Row],[Nationality]],"_",Tableau1[[#This Row],[Competition_year]])</f>
        <v>Cameron MYERS_AUS_2025</v>
      </c>
      <c r="B801" s="7" t="s">
        <v>808</v>
      </c>
      <c r="C801" s="7" t="s">
        <v>16</v>
      </c>
      <c r="D801" s="7" t="s">
        <v>21</v>
      </c>
      <c r="E801" s="7">
        <v>14.1</v>
      </c>
      <c r="F801" s="7">
        <v>14.9</v>
      </c>
      <c r="G801" s="7">
        <v>15</v>
      </c>
      <c r="H801" s="7">
        <v>14.8</v>
      </c>
      <c r="I801" s="7">
        <v>14.2</v>
      </c>
      <c r="J801" s="7">
        <v>14.8</v>
      </c>
      <c r="K801" s="7">
        <v>14.8</v>
      </c>
      <c r="L801" s="7">
        <v>14.8</v>
      </c>
      <c r="M801" s="7">
        <v>14.2</v>
      </c>
      <c r="N801" s="7">
        <v>14.4</v>
      </c>
      <c r="O801" s="7">
        <v>14</v>
      </c>
      <c r="P801" s="7">
        <v>14</v>
      </c>
      <c r="Q801" s="7">
        <v>13.6</v>
      </c>
      <c r="R801" s="7">
        <v>13.4</v>
      </c>
      <c r="S801">
        <f>Tableau1[[#This Row],[Final_time]]-SUM(Tableau1[[#This Row],[0_100m]:[1300_1400m]])</f>
        <v>12.819999999999993</v>
      </c>
      <c r="T801" s="7">
        <v>213.82</v>
      </c>
      <c r="U801">
        <f t="shared" si="24"/>
        <v>213.82</v>
      </c>
      <c r="V801">
        <f t="shared" si="25"/>
        <v>0</v>
      </c>
      <c r="W801" s="12"/>
      <c r="X801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1" t="s">
        <v>1362</v>
      </c>
      <c r="Z801" s="2" t="s">
        <v>43</v>
      </c>
      <c r="AA801" s="2"/>
      <c r="AB801" s="2" t="s">
        <v>65</v>
      </c>
      <c r="AC801" s="2">
        <v>45885</v>
      </c>
      <c r="AD801" s="3">
        <v>2025</v>
      </c>
      <c r="AE801" s="3">
        <v>29</v>
      </c>
      <c r="AF801" s="5">
        <v>0.43</v>
      </c>
      <c r="AG801" s="3" t="s">
        <v>71</v>
      </c>
    </row>
    <row r="802" spans="1:33" hidden="1" x14ac:dyDescent="0.35">
      <c r="A802" t="str">
        <f>_xlfn.CONCAT(Tableau1[[#This Row],[Athletes]],"_",Tableau1[[#This Row],[Nationality]],"_",Tableau1[[#This Row],[Competition_year]])</f>
        <v>Josh HOEY_USA_2025</v>
      </c>
      <c r="B802" s="7" t="s">
        <v>1366</v>
      </c>
      <c r="C802" s="7" t="s">
        <v>16</v>
      </c>
      <c r="D802" s="7" t="s">
        <v>51</v>
      </c>
      <c r="E802" s="7">
        <v>14</v>
      </c>
      <c r="F802" s="7">
        <v>14.8</v>
      </c>
      <c r="G802" s="7">
        <v>15.4</v>
      </c>
      <c r="H802" s="7">
        <v>14.7</v>
      </c>
      <c r="I802" s="7">
        <v>14.5</v>
      </c>
      <c r="J802" s="7">
        <v>14.7</v>
      </c>
      <c r="K802" s="7">
        <v>14.9</v>
      </c>
      <c r="L802" s="7">
        <v>15</v>
      </c>
      <c r="M802" s="7">
        <v>14.2</v>
      </c>
      <c r="N802" s="7">
        <v>14.2</v>
      </c>
      <c r="O802" s="7">
        <v>13.8</v>
      </c>
      <c r="P802" s="7">
        <v>14.1</v>
      </c>
      <c r="Q802" s="7">
        <v>13.3</v>
      </c>
      <c r="R802" s="7">
        <v>13.2</v>
      </c>
      <c r="S802">
        <f>Tableau1[[#This Row],[Final_time]]-SUM(Tableau1[[#This Row],[0_100m]:[1300_1400m]])</f>
        <v>12.949999999999989</v>
      </c>
      <c r="T802" s="7">
        <v>213.75</v>
      </c>
      <c r="U802">
        <f t="shared" si="24"/>
        <v>213.75</v>
      </c>
      <c r="V802">
        <f t="shared" si="25"/>
        <v>0</v>
      </c>
      <c r="W802" s="12"/>
      <c r="X802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2" t="s">
        <v>1362</v>
      </c>
      <c r="Z802" s="2" t="s">
        <v>43</v>
      </c>
      <c r="AA802" s="2"/>
      <c r="AB802" s="2" t="s">
        <v>65</v>
      </c>
      <c r="AC802" s="2">
        <v>45885</v>
      </c>
      <c r="AD802" s="3">
        <v>2025</v>
      </c>
      <c r="AE802" s="3">
        <v>29</v>
      </c>
      <c r="AF802" s="5">
        <v>0.43</v>
      </c>
      <c r="AG802" s="3" t="s">
        <v>71</v>
      </c>
    </row>
    <row r="803" spans="1:33" hidden="1" x14ac:dyDescent="0.35">
      <c r="A803" t="str">
        <f>_xlfn.CONCAT(Tableau1[[#This Row],[Athletes]],"_",Tableau1[[#This Row],[Nationality]],"_",Tableau1[[#This Row],[Competition_year]])</f>
        <v>Maciej WYDERKA_POL_2025</v>
      </c>
      <c r="B803" s="7" t="s">
        <v>1367</v>
      </c>
      <c r="C803" s="7" t="s">
        <v>16</v>
      </c>
      <c r="D803" s="7" t="s">
        <v>83</v>
      </c>
      <c r="E803" s="7">
        <v>14.1</v>
      </c>
      <c r="F803" s="7">
        <v>15.3</v>
      </c>
      <c r="G803" s="7">
        <v>15.2</v>
      </c>
      <c r="H803" s="7">
        <v>15.1</v>
      </c>
      <c r="I803" s="7">
        <v>14.5</v>
      </c>
      <c r="J803" s="7">
        <v>14.7</v>
      </c>
      <c r="K803" s="7">
        <v>14.7</v>
      </c>
      <c r="L803" s="7">
        <v>15.2</v>
      </c>
      <c r="M803" s="7">
        <v>14.1</v>
      </c>
      <c r="N803" s="7">
        <v>14.2</v>
      </c>
      <c r="O803" s="7">
        <v>13.7</v>
      </c>
      <c r="P803" s="7">
        <v>14.3</v>
      </c>
      <c r="Q803" s="7">
        <v>13.2</v>
      </c>
      <c r="R803" s="7">
        <v>13.5</v>
      </c>
      <c r="S803">
        <f>Tableau1[[#This Row],[Final_time]]-SUM(Tableau1[[#This Row],[0_100m]:[1300_1400m]])</f>
        <v>12.970000000000027</v>
      </c>
      <c r="T803" s="7">
        <v>214.77</v>
      </c>
      <c r="U803">
        <f t="shared" si="24"/>
        <v>214.77</v>
      </c>
      <c r="V803">
        <f t="shared" si="25"/>
        <v>0</v>
      </c>
      <c r="W803" s="12"/>
      <c r="X803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3" t="s">
        <v>1362</v>
      </c>
      <c r="Z803" s="2" t="s">
        <v>43</v>
      </c>
      <c r="AA803" s="2"/>
      <c r="AB803" s="2" t="s">
        <v>65</v>
      </c>
      <c r="AC803" s="2">
        <v>45885</v>
      </c>
      <c r="AD803" s="3">
        <v>2025</v>
      </c>
      <c r="AE803" s="3">
        <v>29</v>
      </c>
      <c r="AF803" s="5">
        <v>0.43</v>
      </c>
      <c r="AG803" s="3" t="s">
        <v>71</v>
      </c>
    </row>
    <row r="804" spans="1:33" hidden="1" x14ac:dyDescent="0.35">
      <c r="A804" t="str">
        <f>_xlfn.CONCAT(Tableau1[[#This Row],[Athletes]],"_",Tableau1[[#This Row],[Nationality]],"_",Tableau1[[#This Row],[Competition_year]])</f>
        <v>Soufiane EL BAKKALI_MAR_2025</v>
      </c>
      <c r="B804" s="7" t="s">
        <v>1258</v>
      </c>
      <c r="C804" s="7" t="s">
        <v>16</v>
      </c>
      <c r="D804" s="7" t="s">
        <v>75</v>
      </c>
      <c r="E804" s="7">
        <v>14.2</v>
      </c>
      <c r="F804" s="7">
        <v>14.8</v>
      </c>
      <c r="G804" s="7">
        <v>15.4</v>
      </c>
      <c r="H804" s="7">
        <v>14.9</v>
      </c>
      <c r="I804" s="7">
        <v>14.5</v>
      </c>
      <c r="J804" s="7">
        <v>14.9</v>
      </c>
      <c r="K804" s="7">
        <v>14.7</v>
      </c>
      <c r="L804" s="7">
        <v>15.2</v>
      </c>
      <c r="M804" s="7">
        <v>14.1</v>
      </c>
      <c r="N804" s="7">
        <v>14.5</v>
      </c>
      <c r="O804" s="7">
        <v>13.6</v>
      </c>
      <c r="P804" s="7">
        <v>14.3</v>
      </c>
      <c r="Q804" s="7">
        <v>13.1</v>
      </c>
      <c r="R804" s="7">
        <v>13.5</v>
      </c>
      <c r="S804">
        <f>Tableau1[[#This Row],[Final_time]]-SUM(Tableau1[[#This Row],[0_100m]:[1300_1400m]])</f>
        <v>13.139999999999986</v>
      </c>
      <c r="T804" s="7">
        <v>214.84</v>
      </c>
      <c r="U804">
        <f t="shared" si="24"/>
        <v>214.84</v>
      </c>
      <c r="V804">
        <f t="shared" si="25"/>
        <v>0</v>
      </c>
      <c r="W804" s="12"/>
      <c r="X804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4" t="s">
        <v>1362</v>
      </c>
      <c r="Z804" s="2" t="s">
        <v>43</v>
      </c>
      <c r="AA804" s="2"/>
      <c r="AB804" s="2" t="s">
        <v>65</v>
      </c>
      <c r="AC804" s="2">
        <v>45885</v>
      </c>
      <c r="AD804" s="3">
        <v>2025</v>
      </c>
      <c r="AE804" s="3">
        <v>29</v>
      </c>
      <c r="AF804" s="5">
        <v>0.43</v>
      </c>
      <c r="AG804" s="3" t="s">
        <v>71</v>
      </c>
    </row>
    <row r="805" spans="1:33" hidden="1" x14ac:dyDescent="0.35">
      <c r="A805" t="str">
        <f>_xlfn.CONCAT(Tableau1[[#This Row],[Athletes]],"_",Tableau1[[#This Row],[Nationality]],"_",Tableau1[[#This Row],[Competition_year]])</f>
        <v>Festus LAGAT_KEN_2025</v>
      </c>
      <c r="B805" s="7" t="s">
        <v>1354</v>
      </c>
      <c r="C805" s="7" t="s">
        <v>16</v>
      </c>
      <c r="D805" s="7" t="s">
        <v>17</v>
      </c>
      <c r="E805" s="7">
        <v>14</v>
      </c>
      <c r="F805" s="7">
        <v>15.1</v>
      </c>
      <c r="G805" s="7">
        <v>15.3</v>
      </c>
      <c r="H805" s="7">
        <v>14.7</v>
      </c>
      <c r="I805" s="7">
        <v>14.5</v>
      </c>
      <c r="J805" s="7">
        <v>14.6</v>
      </c>
      <c r="K805" s="7">
        <v>14.6</v>
      </c>
      <c r="L805" s="7">
        <v>15</v>
      </c>
      <c r="M805" s="7">
        <v>14.1</v>
      </c>
      <c r="N805" s="7">
        <v>14.4</v>
      </c>
      <c r="O805" s="7">
        <v>14.1</v>
      </c>
      <c r="P805" s="7">
        <v>14.3</v>
      </c>
      <c r="Q805" s="7">
        <v>13.2</v>
      </c>
      <c r="R805" s="7">
        <v>13.5</v>
      </c>
      <c r="S805">
        <f>Tableau1[[#This Row],[Final_time]]-SUM(Tableau1[[#This Row],[0_100m]:[1300_1400m]])</f>
        <v>13.289999999999992</v>
      </c>
      <c r="T805" s="7">
        <v>214.69</v>
      </c>
      <c r="U805">
        <f t="shared" si="24"/>
        <v>214.69</v>
      </c>
      <c r="V805">
        <f t="shared" si="25"/>
        <v>0</v>
      </c>
      <c r="W805" s="12"/>
      <c r="X805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5" t="s">
        <v>1362</v>
      </c>
      <c r="Z805" s="2" t="s">
        <v>43</v>
      </c>
      <c r="AA805" s="2"/>
      <c r="AB805" s="2" t="s">
        <v>65</v>
      </c>
      <c r="AC805" s="2">
        <v>45885</v>
      </c>
      <c r="AD805" s="3">
        <v>2025</v>
      </c>
      <c r="AE805" s="3">
        <v>29</v>
      </c>
      <c r="AF805" s="5">
        <v>0.43</v>
      </c>
      <c r="AG805" s="3" t="s">
        <v>71</v>
      </c>
    </row>
    <row r="806" spans="1:33" hidden="1" x14ac:dyDescent="0.35">
      <c r="A806" t="str">
        <f>_xlfn.CONCAT(Tableau1[[#This Row],[Athletes]],"_",Tableau1[[#This Row],[Nationality]],"_",Tableau1[[#This Row],[Competition_year]])</f>
        <v>Stefan NILLESSEN_NED_2025</v>
      </c>
      <c r="B806" s="7" t="s">
        <v>1262</v>
      </c>
      <c r="C806" s="7" t="s">
        <v>16</v>
      </c>
      <c r="D806" s="7" t="s">
        <v>39</v>
      </c>
      <c r="E806" s="7">
        <v>14.2</v>
      </c>
      <c r="F806" s="7">
        <v>15.3</v>
      </c>
      <c r="G806" s="7">
        <v>15.3</v>
      </c>
      <c r="H806" s="7">
        <v>15.1</v>
      </c>
      <c r="I806" s="7">
        <v>14.5</v>
      </c>
      <c r="J806" s="7">
        <v>14.7</v>
      </c>
      <c r="K806" s="7">
        <v>14.6</v>
      </c>
      <c r="L806" s="7">
        <v>15.2</v>
      </c>
      <c r="M806" s="7">
        <v>14</v>
      </c>
      <c r="N806" s="7">
        <v>14.5</v>
      </c>
      <c r="O806" s="7">
        <v>13.1</v>
      </c>
      <c r="P806" s="7">
        <v>14.3</v>
      </c>
      <c r="Q806" s="7">
        <v>13.1</v>
      </c>
      <c r="R806" s="7">
        <v>13.3</v>
      </c>
      <c r="S806">
        <f>Tableau1[[#This Row],[Final_time]]-SUM(Tableau1[[#This Row],[0_100m]:[1300_1400m]])</f>
        <v>13.449999999999989</v>
      </c>
      <c r="T806" s="7">
        <v>214.65</v>
      </c>
      <c r="U806">
        <f t="shared" si="24"/>
        <v>214.65</v>
      </c>
      <c r="V806">
        <f t="shared" si="25"/>
        <v>0</v>
      </c>
      <c r="W806" s="12"/>
      <c r="X806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6" t="s">
        <v>1362</v>
      </c>
      <c r="Z806" s="2" t="s">
        <v>43</v>
      </c>
      <c r="AA806" s="2"/>
      <c r="AB806" s="2" t="s">
        <v>65</v>
      </c>
      <c r="AC806" s="2">
        <v>45885</v>
      </c>
      <c r="AD806" s="3">
        <v>2025</v>
      </c>
      <c r="AE806" s="3">
        <v>29</v>
      </c>
      <c r="AF806" s="5">
        <v>0.43</v>
      </c>
      <c r="AG806" s="3" t="s">
        <v>71</v>
      </c>
    </row>
    <row r="807" spans="1:33" hidden="1" x14ac:dyDescent="0.35">
      <c r="A807" t="str">
        <f>_xlfn.CONCAT(Tableau1[[#This Row],[Athletes]],"_",Tableau1[[#This Row],[Nationality]],"_",Tableau1[[#This Row],[Competition_year]])</f>
        <v>Abel KIPSANG_KEN_2025</v>
      </c>
      <c r="B807" s="7" t="s">
        <v>227</v>
      </c>
      <c r="C807" s="7" t="s">
        <v>16</v>
      </c>
      <c r="D807" s="7" t="s">
        <v>17</v>
      </c>
      <c r="E807" s="7">
        <v>14.5</v>
      </c>
      <c r="F807" s="7">
        <v>15.1</v>
      </c>
      <c r="G807" s="7">
        <v>15.2</v>
      </c>
      <c r="H807" s="7">
        <v>14.8</v>
      </c>
      <c r="I807" s="7">
        <v>14.5</v>
      </c>
      <c r="J807" s="7">
        <v>14.6</v>
      </c>
      <c r="K807" s="7">
        <v>14.4</v>
      </c>
      <c r="L807" s="7">
        <v>15.2</v>
      </c>
      <c r="M807" s="7">
        <v>14.3</v>
      </c>
      <c r="N807" s="7">
        <v>14.5</v>
      </c>
      <c r="O807" s="7">
        <v>13.8</v>
      </c>
      <c r="P807" s="7">
        <v>14.5</v>
      </c>
      <c r="Q807" s="7">
        <v>13.7</v>
      </c>
      <c r="R807" s="7">
        <v>13.6</v>
      </c>
      <c r="S807">
        <f>Tableau1[[#This Row],[Final_time]]-SUM(Tableau1[[#This Row],[0_100m]:[1300_1400m]])</f>
        <v>13.480000000000018</v>
      </c>
      <c r="T807" s="7">
        <v>216.18</v>
      </c>
      <c r="U807">
        <f t="shared" si="24"/>
        <v>216.18</v>
      </c>
      <c r="V807">
        <f t="shared" si="25"/>
        <v>0</v>
      </c>
      <c r="W807" s="12"/>
      <c r="X807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7" t="s">
        <v>1362</v>
      </c>
      <c r="Z807" s="2" t="s">
        <v>43</v>
      </c>
      <c r="AA807" s="2"/>
      <c r="AB807" s="2" t="s">
        <v>65</v>
      </c>
      <c r="AC807" s="2">
        <v>45885</v>
      </c>
      <c r="AD807" s="3">
        <v>2025</v>
      </c>
      <c r="AE807" s="3">
        <v>29</v>
      </c>
      <c r="AF807" s="5">
        <v>0.43</v>
      </c>
      <c r="AG807" s="3" t="s">
        <v>71</v>
      </c>
    </row>
    <row r="808" spans="1:33" hidden="1" x14ac:dyDescent="0.35">
      <c r="A808" t="str">
        <f>_xlfn.CONCAT(Tableau1[[#This Row],[Athletes]],"_",Tableau1[[#This Row],[Nationality]],"_",Tableau1[[#This Row],[Competition_year]])</f>
        <v>Oliver HOARE_AUS_2025</v>
      </c>
      <c r="B808" s="7" t="s">
        <v>249</v>
      </c>
      <c r="C808" s="7" t="s">
        <v>16</v>
      </c>
      <c r="D808" s="7" t="s">
        <v>21</v>
      </c>
      <c r="E808" s="7">
        <v>13.8</v>
      </c>
      <c r="F808" s="7">
        <v>14.3</v>
      </c>
      <c r="G808" s="7">
        <v>14</v>
      </c>
      <c r="H808" s="7">
        <v>14.4</v>
      </c>
      <c r="I808" s="7">
        <v>14.5</v>
      </c>
      <c r="J808" s="7">
        <v>14.6</v>
      </c>
      <c r="K808" s="7">
        <v>14.7</v>
      </c>
      <c r="L808" s="7">
        <v>14.7</v>
      </c>
      <c r="M808" s="7">
        <v>14.8</v>
      </c>
      <c r="N808" s="7">
        <v>14.5</v>
      </c>
      <c r="O808" s="7">
        <v>14.8</v>
      </c>
      <c r="P808" s="7">
        <v>14.4</v>
      </c>
      <c r="Q808" s="7">
        <v>14.1</v>
      </c>
      <c r="R808" s="7">
        <v>13.3</v>
      </c>
      <c r="S808">
        <f>Tableau1[[#This Row],[Final_time]]-SUM(Tableau1[[#This Row],[0_100m]:[1300_1400m]])</f>
        <v>13.499999999999972</v>
      </c>
      <c r="T808" s="7">
        <v>214.4</v>
      </c>
      <c r="U808">
        <f t="shared" si="24"/>
        <v>214.4</v>
      </c>
      <c r="V808">
        <f t="shared" si="25"/>
        <v>0</v>
      </c>
      <c r="W808" s="12"/>
      <c r="X808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8" t="s">
        <v>1362</v>
      </c>
      <c r="Z808" s="2" t="s">
        <v>43</v>
      </c>
      <c r="AA808" s="2"/>
      <c r="AB808" s="2" t="s">
        <v>65</v>
      </c>
      <c r="AC808" s="2">
        <v>45885</v>
      </c>
      <c r="AD808" s="3">
        <v>2025</v>
      </c>
      <c r="AE808" s="3">
        <v>29</v>
      </c>
      <c r="AF808" s="5">
        <v>0.43</v>
      </c>
      <c r="AG808" s="3" t="s">
        <v>71</v>
      </c>
    </row>
    <row r="809" spans="1:33" hidden="1" x14ac:dyDescent="0.35">
      <c r="A809" t="str">
        <f>_xlfn.CONCAT(Tableau1[[#This Row],[Athletes]],"_",Tableau1[[#This Row],[Nationality]],"_",Tableau1[[#This Row],[Competition_year]])</f>
        <v>Neil GOURLEY_GBR_2025</v>
      </c>
      <c r="B809" s="7" t="s">
        <v>202</v>
      </c>
      <c r="C809" s="7" t="s">
        <v>16</v>
      </c>
      <c r="D809" s="7" t="s">
        <v>20</v>
      </c>
      <c r="E809" s="7">
        <v>13.8</v>
      </c>
      <c r="F809" s="7">
        <v>14.9</v>
      </c>
      <c r="G809" s="7">
        <v>15.2</v>
      </c>
      <c r="H809" s="7">
        <v>14.8</v>
      </c>
      <c r="I809" s="7">
        <v>14.5</v>
      </c>
      <c r="J809" s="7">
        <v>14.7</v>
      </c>
      <c r="K809" s="7">
        <v>15</v>
      </c>
      <c r="L809" s="7">
        <v>15</v>
      </c>
      <c r="M809" s="7">
        <v>14</v>
      </c>
      <c r="N809" s="7">
        <v>14.2</v>
      </c>
      <c r="O809" s="7">
        <v>14.2</v>
      </c>
      <c r="P809" s="7">
        <v>14.2</v>
      </c>
      <c r="Q809" s="7">
        <v>13.2</v>
      </c>
      <c r="R809" s="7">
        <v>13.5</v>
      </c>
      <c r="S809">
        <f>Tableau1[[#This Row],[Final_time]]-SUM(Tableau1[[#This Row],[0_100m]:[1300_1400m]])</f>
        <v>13.700000000000045</v>
      </c>
      <c r="T809" s="7">
        <v>214.9</v>
      </c>
      <c r="U809">
        <f t="shared" si="24"/>
        <v>214.9</v>
      </c>
      <c r="V809">
        <f t="shared" si="25"/>
        <v>0</v>
      </c>
      <c r="W809" s="12"/>
      <c r="X809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09" t="s">
        <v>1362</v>
      </c>
      <c r="Z809" s="2" t="s">
        <v>43</v>
      </c>
      <c r="AA809" s="2"/>
      <c r="AB809" s="2" t="s">
        <v>65</v>
      </c>
      <c r="AC809" s="2">
        <v>45885</v>
      </c>
      <c r="AD809" s="3">
        <v>2025</v>
      </c>
      <c r="AE809" s="3">
        <v>29</v>
      </c>
      <c r="AF809" s="5">
        <v>0.43</v>
      </c>
      <c r="AG809" s="3" t="s">
        <v>71</v>
      </c>
    </row>
    <row r="810" spans="1:33" hidden="1" x14ac:dyDescent="0.35">
      <c r="A810" t="str">
        <f>_xlfn.CONCAT(Tableau1[[#This Row],[Athletes]],"_",Tableau1[[#This Row],[Nationality]],"_",Tableau1[[#This Row],[Competition_year]])</f>
        <v>Filip OSTROWSKI_POL_2025</v>
      </c>
      <c r="B810" s="7" t="s">
        <v>658</v>
      </c>
      <c r="C810" s="7" t="s">
        <v>16</v>
      </c>
      <c r="D810" s="7" t="s">
        <v>83</v>
      </c>
      <c r="E810" s="7">
        <v>14.3</v>
      </c>
      <c r="F810" s="7">
        <v>15.4</v>
      </c>
      <c r="G810" s="7">
        <v>15.3</v>
      </c>
      <c r="H810" s="7">
        <v>15.2</v>
      </c>
      <c r="I810" s="7">
        <v>14.4</v>
      </c>
      <c r="J810" s="7">
        <v>14.8</v>
      </c>
      <c r="K810" s="7">
        <v>14.6</v>
      </c>
      <c r="L810" s="7">
        <v>15.2</v>
      </c>
      <c r="M810" s="7">
        <v>13.9</v>
      </c>
      <c r="N810" s="7">
        <v>14.6</v>
      </c>
      <c r="O810" s="7">
        <v>13.8</v>
      </c>
      <c r="P810" s="7">
        <v>14</v>
      </c>
      <c r="Q810" s="7">
        <v>13</v>
      </c>
      <c r="R810" s="7">
        <v>13.5</v>
      </c>
      <c r="S810">
        <f>Tableau1[[#This Row],[Final_time]]-SUM(Tableau1[[#This Row],[0_100m]:[1300_1400m]])</f>
        <v>14.080000000000013</v>
      </c>
      <c r="T810" s="7">
        <v>216.08</v>
      </c>
      <c r="U810">
        <f t="shared" si="24"/>
        <v>216.08</v>
      </c>
      <c r="V810">
        <f t="shared" si="25"/>
        <v>0</v>
      </c>
      <c r="W810" s="12"/>
      <c r="X810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10" t="s">
        <v>1362</v>
      </c>
      <c r="Z810" s="2" t="s">
        <v>43</v>
      </c>
      <c r="AA810" s="2"/>
      <c r="AB810" s="2" t="s">
        <v>65</v>
      </c>
      <c r="AC810" s="2">
        <v>45885</v>
      </c>
      <c r="AD810" s="3">
        <v>2025</v>
      </c>
      <c r="AE810" s="3">
        <v>29</v>
      </c>
      <c r="AF810" s="5">
        <v>0.43</v>
      </c>
      <c r="AG810" s="3" t="s">
        <v>71</v>
      </c>
    </row>
    <row r="811" spans="1:33" hidden="1" x14ac:dyDescent="0.35">
      <c r="A811" t="str">
        <f>_xlfn.CONCAT(Tableau1[[#This Row],[Athletes]],"_",Tableau1[[#This Row],[Nationality]],"_",Tableau1[[#This Row],[Competition_year]])</f>
        <v>Filip RAK_POL_2025</v>
      </c>
      <c r="B811" s="7" t="s">
        <v>1337</v>
      </c>
      <c r="C811" s="7" t="s">
        <v>16</v>
      </c>
      <c r="D811" s="7" t="s">
        <v>83</v>
      </c>
      <c r="E811" s="7">
        <v>14.3</v>
      </c>
      <c r="F811" s="7">
        <v>14.9</v>
      </c>
      <c r="G811" s="7">
        <v>15.4</v>
      </c>
      <c r="H811" s="7">
        <v>14.9</v>
      </c>
      <c r="I811" s="7">
        <v>14.4</v>
      </c>
      <c r="J811" s="7">
        <v>14.9</v>
      </c>
      <c r="K811" s="7">
        <v>14.7</v>
      </c>
      <c r="L811" s="7">
        <v>15.1</v>
      </c>
      <c r="M811" s="7">
        <v>14.1</v>
      </c>
      <c r="N811" s="7">
        <v>14.1</v>
      </c>
      <c r="O811" s="7">
        <v>13.8</v>
      </c>
      <c r="P811" s="7">
        <v>14.4</v>
      </c>
      <c r="Q811" s="7">
        <v>13.3</v>
      </c>
      <c r="R811" s="7">
        <v>13.8</v>
      </c>
      <c r="S811">
        <f>Tableau1[[#This Row],[Final_time]]-SUM(Tableau1[[#This Row],[0_100m]:[1300_1400m]])</f>
        <v>16.369999999999948</v>
      </c>
      <c r="T811" s="7">
        <v>218.47</v>
      </c>
      <c r="U811">
        <f t="shared" si="24"/>
        <v>218.47</v>
      </c>
      <c r="V811">
        <f t="shared" si="25"/>
        <v>0</v>
      </c>
      <c r="W811" s="12"/>
      <c r="X811" t="str">
        <f>_xlfn.CONCAT(Tableau1[[#This Row],[Competition]],"_",Tableau1[[#This Row],[Championship_step]],"_",Tableau1[[#This Row],[Competition_date]],"_",Tableau1[[#This Row],[Gender]])</f>
        <v>Diamond League Silesia 2025__45885_Male</v>
      </c>
      <c r="Y811" t="s">
        <v>1362</v>
      </c>
      <c r="Z811" s="2" t="s">
        <v>43</v>
      </c>
      <c r="AA811" s="2"/>
      <c r="AB811" s="2" t="s">
        <v>65</v>
      </c>
      <c r="AC811" s="2">
        <v>45885</v>
      </c>
      <c r="AD811" s="3">
        <v>2025</v>
      </c>
      <c r="AE811" s="3">
        <v>29</v>
      </c>
      <c r="AF811" s="5">
        <v>0.43</v>
      </c>
      <c r="AG811" s="3" t="s">
        <v>71</v>
      </c>
    </row>
    <row r="812" spans="1:33" hidden="1" x14ac:dyDescent="0.35">
      <c r="A812" t="str">
        <f>_xlfn.CONCAT(Tableau1[[#This Row],[Athletes]],"_",Tableau1[[#This Row],[Nationality]],"_",Tableau1[[#This Row],[Competition_year]])</f>
        <v>Diribe WELTEJI_ETH_2021</v>
      </c>
      <c r="B812" t="s">
        <v>165</v>
      </c>
      <c r="C812" t="s">
        <v>47</v>
      </c>
      <c r="D812" t="s">
        <v>48</v>
      </c>
      <c r="E812">
        <v>14.9</v>
      </c>
      <c r="F812">
        <v>15.7</v>
      </c>
      <c r="G812">
        <v>16.7</v>
      </c>
      <c r="H812">
        <v>16.899999999999999</v>
      </c>
      <c r="I812">
        <v>16</v>
      </c>
      <c r="J812">
        <v>16.5</v>
      </c>
      <c r="K812">
        <v>16.600000000000001</v>
      </c>
      <c r="L812">
        <v>16.7</v>
      </c>
      <c r="M812">
        <v>16.3</v>
      </c>
      <c r="N812">
        <v>16.399999999999999</v>
      </c>
      <c r="O812">
        <v>16</v>
      </c>
      <c r="P812">
        <v>15.7</v>
      </c>
      <c r="Q812">
        <v>16</v>
      </c>
      <c r="R812">
        <v>15.1</v>
      </c>
      <c r="S812">
        <f>Tableau1[[#This Row],[Final_time]]-SUM(Tableau1[[#This Row],[0_100m]:[1300_1400m]])</f>
        <v>15.180000000000035</v>
      </c>
      <c r="T812">
        <v>240.68</v>
      </c>
      <c r="U812">
        <f t="shared" si="24"/>
        <v>240.68</v>
      </c>
      <c r="V812">
        <f t="shared" si="25"/>
        <v>0</v>
      </c>
      <c r="W812" s="12"/>
      <c r="X812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2" t="s">
        <v>340</v>
      </c>
      <c r="Z812" s="2" t="s">
        <v>43</v>
      </c>
      <c r="AA812" s="2"/>
      <c r="AB812" s="2" t="s">
        <v>65</v>
      </c>
      <c r="AC812" s="2">
        <v>44381</v>
      </c>
      <c r="AD812">
        <v>2021</v>
      </c>
      <c r="AE812" s="3">
        <v>27</v>
      </c>
      <c r="AF812" s="5">
        <v>0.35</v>
      </c>
      <c r="AG812" s="3" t="s">
        <v>71</v>
      </c>
    </row>
    <row r="813" spans="1:33" hidden="1" x14ac:dyDescent="0.35">
      <c r="A813" t="str">
        <f>_xlfn.CONCAT(Tableau1[[#This Row],[Athletes]],"_",Tableau1[[#This Row],[Nationality]],"_",Tableau1[[#This Row],[Competition_year]])</f>
        <v>Shannon OSIKA_USA_2021</v>
      </c>
      <c r="B813" t="s">
        <v>1240</v>
      </c>
      <c r="C813" t="s">
        <v>47</v>
      </c>
      <c r="D813" t="s">
        <v>51</v>
      </c>
      <c r="E813">
        <v>15</v>
      </c>
      <c r="F813">
        <v>15.8</v>
      </c>
      <c r="G813">
        <v>16.7</v>
      </c>
      <c r="H813">
        <v>16.899999999999999</v>
      </c>
      <c r="I813">
        <v>16</v>
      </c>
      <c r="J813">
        <v>16.5</v>
      </c>
      <c r="K813">
        <v>16.600000000000001</v>
      </c>
      <c r="L813">
        <v>16.7</v>
      </c>
      <c r="M813">
        <v>16.3</v>
      </c>
      <c r="N813">
        <v>16.600000000000001</v>
      </c>
      <c r="O813">
        <f>178.9-SUM(Tableau1[[#This Row],[0_100m]:[900_1000m]])</f>
        <v>15.800000000000011</v>
      </c>
      <c r="P813">
        <v>15.7</v>
      </c>
      <c r="Q813">
        <v>15.8</v>
      </c>
      <c r="R813">
        <v>15.3</v>
      </c>
      <c r="S813">
        <f>Tableau1[[#This Row],[Final_time]]-SUM(Tableau1[[#This Row],[0_100m]:[1300_1400m]])</f>
        <v>15.22999999999999</v>
      </c>
      <c r="T813">
        <v>240.93</v>
      </c>
      <c r="U813">
        <f t="shared" si="24"/>
        <v>240.93</v>
      </c>
      <c r="V813">
        <f t="shared" si="25"/>
        <v>0</v>
      </c>
      <c r="W813" s="12"/>
      <c r="X813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3" t="s">
        <v>340</v>
      </c>
      <c r="Z813" s="2" t="s">
        <v>43</v>
      </c>
      <c r="AA813" s="2"/>
      <c r="AB813" s="2" t="s">
        <v>65</v>
      </c>
      <c r="AC813" s="2">
        <v>44381</v>
      </c>
      <c r="AD813">
        <v>2021</v>
      </c>
      <c r="AE813" s="3">
        <v>27</v>
      </c>
      <c r="AF813" s="5">
        <v>0.35</v>
      </c>
      <c r="AG813" s="3" t="s">
        <v>71</v>
      </c>
    </row>
    <row r="814" spans="1:33" hidden="1" x14ac:dyDescent="0.35">
      <c r="A814" t="str">
        <f>_xlfn.CONCAT(Tableau1[[#This Row],[Athletes]],"_",Tableau1[[#This Row],[Nationality]],"_",Tableau1[[#This Row],[Competition_year]])</f>
        <v>Helen SCHLACHTENHAUFEN_USA_2021</v>
      </c>
      <c r="B814" t="s">
        <v>413</v>
      </c>
      <c r="C814" t="s">
        <v>47</v>
      </c>
      <c r="D814" t="s">
        <v>51</v>
      </c>
      <c r="E814">
        <v>15.8</v>
      </c>
      <c r="F814">
        <v>15.2</v>
      </c>
      <c r="G814">
        <v>16.7</v>
      </c>
      <c r="H814">
        <v>17.2</v>
      </c>
      <c r="I814">
        <v>16</v>
      </c>
      <c r="J814">
        <v>16.399999999999999</v>
      </c>
      <c r="K814">
        <v>16.399999999999999</v>
      </c>
      <c r="L814">
        <v>16.8</v>
      </c>
      <c r="M814">
        <v>16.2</v>
      </c>
      <c r="N814">
        <v>16.399999999999999</v>
      </c>
      <c r="O814">
        <f>179.2-SUM(Tableau1[[#This Row],[0_100m]:[900_1000m]])</f>
        <v>16.099999999999966</v>
      </c>
      <c r="P814">
        <v>15.6</v>
      </c>
      <c r="Q814">
        <v>15.8</v>
      </c>
      <c r="R814">
        <v>15.2</v>
      </c>
      <c r="S814">
        <f>Tableau1[[#This Row],[Final_time]]-SUM(Tableau1[[#This Row],[0_100m]:[1300_1400m]])</f>
        <v>15.29000000000002</v>
      </c>
      <c r="T814">
        <v>241.09</v>
      </c>
      <c r="U814">
        <f t="shared" si="24"/>
        <v>241.09</v>
      </c>
      <c r="V814">
        <f t="shared" si="25"/>
        <v>0</v>
      </c>
      <c r="W814" s="12"/>
      <c r="X814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4" t="s">
        <v>340</v>
      </c>
      <c r="Z814" s="2" t="s">
        <v>43</v>
      </c>
      <c r="AA814" s="2"/>
      <c r="AB814" s="2" t="s">
        <v>65</v>
      </c>
      <c r="AC814" s="2">
        <v>44381</v>
      </c>
      <c r="AD814">
        <v>2021</v>
      </c>
      <c r="AE814" s="3">
        <v>27</v>
      </c>
      <c r="AF814" s="5">
        <v>0.35</v>
      </c>
      <c r="AG814" s="3" t="s">
        <v>71</v>
      </c>
    </row>
    <row r="815" spans="1:33" hidden="1" x14ac:dyDescent="0.35">
      <c r="A815" t="str">
        <f>_xlfn.CONCAT(Tableau1[[#This Row],[Athletes]],"_",Tableau1[[#This Row],[Nationality]],"_",Tableau1[[#This Row],[Competition_year]])</f>
        <v>Esther GUERRERO_ESP_2021</v>
      </c>
      <c r="B815" t="s">
        <v>169</v>
      </c>
      <c r="C815" t="s">
        <v>47</v>
      </c>
      <c r="D815" t="s">
        <v>22</v>
      </c>
      <c r="E815">
        <v>15.5</v>
      </c>
      <c r="F815">
        <v>15.7</v>
      </c>
      <c r="G815">
        <v>16.600000000000001</v>
      </c>
      <c r="H815">
        <v>16.899999999999999</v>
      </c>
      <c r="I815">
        <v>15.9</v>
      </c>
      <c r="J815">
        <v>16.5</v>
      </c>
      <c r="K815">
        <v>16.5</v>
      </c>
      <c r="L815">
        <v>16.899999999999999</v>
      </c>
      <c r="M815">
        <v>16.399999999999999</v>
      </c>
      <c r="N815">
        <v>16.5</v>
      </c>
      <c r="O815">
        <v>16</v>
      </c>
      <c r="P815">
        <v>15.8</v>
      </c>
      <c r="Q815">
        <v>15.7</v>
      </c>
      <c r="R815">
        <v>15.6</v>
      </c>
      <c r="S815">
        <f>Tableau1[[#This Row],[Final_time]]-SUM(Tableau1[[#This Row],[0_100m]:[1300_1400m]])</f>
        <v>15.909999999999997</v>
      </c>
      <c r="T815">
        <v>242.41</v>
      </c>
      <c r="U815">
        <f t="shared" si="24"/>
        <v>242.41</v>
      </c>
      <c r="V815">
        <f t="shared" si="25"/>
        <v>0</v>
      </c>
      <c r="W815" s="12"/>
      <c r="X815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5" t="s">
        <v>340</v>
      </c>
      <c r="Z815" s="2" t="s">
        <v>43</v>
      </c>
      <c r="AA815" s="2"/>
      <c r="AB815" s="2" t="s">
        <v>65</v>
      </c>
      <c r="AC815" s="2">
        <v>44381</v>
      </c>
      <c r="AD815">
        <v>2021</v>
      </c>
      <c r="AE815" s="3">
        <v>27</v>
      </c>
      <c r="AF815" s="5">
        <v>0.35</v>
      </c>
      <c r="AG815" s="3" t="s">
        <v>71</v>
      </c>
    </row>
    <row r="816" spans="1:33" hidden="1" x14ac:dyDescent="0.35">
      <c r="A816" t="str">
        <f>_xlfn.CONCAT(Tableau1[[#This Row],[Athletes]],"_",Tableau1[[#This Row],[Nationality]],"_",Tableau1[[#This Row],[Competition_year]])</f>
        <v>Karoline Bjerkeli GRØVDAL_NOR_2021</v>
      </c>
      <c r="B816" t="s">
        <v>1028</v>
      </c>
      <c r="C816" t="s">
        <v>47</v>
      </c>
      <c r="D816" t="s">
        <v>30</v>
      </c>
      <c r="E816">
        <v>15.6</v>
      </c>
      <c r="F816">
        <v>15.6</v>
      </c>
      <c r="G816">
        <v>16.3</v>
      </c>
      <c r="H816">
        <v>17.100000000000001</v>
      </c>
      <c r="I816">
        <v>15.8</v>
      </c>
      <c r="J816">
        <v>16.600000000000001</v>
      </c>
      <c r="K816">
        <v>16.399999999999999</v>
      </c>
      <c r="L816">
        <v>16.899999999999999</v>
      </c>
      <c r="M816">
        <v>16.3</v>
      </c>
      <c r="N816">
        <v>16.3</v>
      </c>
      <c r="O816">
        <v>16</v>
      </c>
      <c r="P816">
        <v>16</v>
      </c>
      <c r="Q816">
        <v>15.9</v>
      </c>
      <c r="R816">
        <v>16.2</v>
      </c>
      <c r="S816">
        <f>Tableau1[[#This Row],[Final_time]]-SUM(Tableau1[[#This Row],[0_100m]:[1300_1400m]])</f>
        <v>16.069999999999965</v>
      </c>
      <c r="T816">
        <v>243.07</v>
      </c>
      <c r="U816">
        <f t="shared" si="24"/>
        <v>243.07</v>
      </c>
      <c r="V816">
        <f t="shared" si="25"/>
        <v>0</v>
      </c>
      <c r="W816" s="12"/>
      <c r="X816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6" t="s">
        <v>340</v>
      </c>
      <c r="Z816" s="2" t="s">
        <v>43</v>
      </c>
      <c r="AA816" s="2"/>
      <c r="AB816" s="2" t="s">
        <v>65</v>
      </c>
      <c r="AC816" s="2">
        <v>44381</v>
      </c>
      <c r="AD816">
        <v>2021</v>
      </c>
      <c r="AE816" s="3">
        <v>27</v>
      </c>
      <c r="AF816" s="5">
        <v>0.35</v>
      </c>
      <c r="AG816" s="3" t="s">
        <v>71</v>
      </c>
    </row>
    <row r="817" spans="1:33" hidden="1" x14ac:dyDescent="0.35">
      <c r="A817" t="str">
        <f>_xlfn.CONCAT(Tableau1[[#This Row],[Athletes]],"_",Tableau1[[#This Row],[Nationality]],"_",Tableau1[[#This Row],[Competition_year]])</f>
        <v>Tigist KETEMA_ETH_2021</v>
      </c>
      <c r="B817" t="s">
        <v>361</v>
      </c>
      <c r="C817" t="s">
        <v>47</v>
      </c>
      <c r="D817" t="s">
        <v>48</v>
      </c>
      <c r="E817">
        <v>15</v>
      </c>
      <c r="F817">
        <v>15.7</v>
      </c>
      <c r="G817">
        <v>16.600000000000001</v>
      </c>
      <c r="H817">
        <v>17</v>
      </c>
      <c r="I817">
        <v>16</v>
      </c>
      <c r="J817">
        <v>16.5</v>
      </c>
      <c r="K817">
        <v>16.5</v>
      </c>
      <c r="L817">
        <v>16.8</v>
      </c>
      <c r="M817">
        <v>16.3</v>
      </c>
      <c r="N817">
        <v>16.399999999999999</v>
      </c>
      <c r="O817">
        <v>16.100000000000001</v>
      </c>
      <c r="P817">
        <v>16</v>
      </c>
      <c r="Q817">
        <v>15.7</v>
      </c>
      <c r="R817">
        <f>227.6-SUM(Tableau1[[#This Row],[0_100m]:[1200_1300m]])</f>
        <v>17</v>
      </c>
      <c r="S817">
        <f>Tableau1[[#This Row],[Final_time]]-SUM(Tableau1[[#This Row],[0_100m]:[1300_1400m]])</f>
        <v>17.360000000000014</v>
      </c>
      <c r="T817">
        <v>244.96</v>
      </c>
      <c r="U817">
        <f t="shared" si="24"/>
        <v>244.96</v>
      </c>
      <c r="V817">
        <f t="shared" si="25"/>
        <v>0</v>
      </c>
      <c r="W817" s="12"/>
      <c r="X817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7" t="s">
        <v>340</v>
      </c>
      <c r="Z817" s="2" t="s">
        <v>43</v>
      </c>
      <c r="AA817" s="2"/>
      <c r="AB817" s="2" t="s">
        <v>65</v>
      </c>
      <c r="AC817" s="2">
        <v>44381</v>
      </c>
      <c r="AD817">
        <v>2021</v>
      </c>
      <c r="AE817" s="3">
        <v>27</v>
      </c>
      <c r="AF817" s="5">
        <v>0.35</v>
      </c>
      <c r="AG817" s="3" t="s">
        <v>71</v>
      </c>
    </row>
    <row r="818" spans="1:33" hidden="1" x14ac:dyDescent="0.35">
      <c r="A818" t="str">
        <f>_xlfn.CONCAT(Tableau1[[#This Row],[Athletes]],"_",Tableau1[[#This Row],[Nationality]],"_",Tableau1[[#This Row],[Competition_year]])</f>
        <v>Sarah LAHTI_SWE_2021</v>
      </c>
      <c r="B818" t="s">
        <v>1236</v>
      </c>
      <c r="C818" t="s">
        <v>47</v>
      </c>
      <c r="D818" t="s">
        <v>56</v>
      </c>
      <c r="E818">
        <v>16.399999999999999</v>
      </c>
      <c r="F818">
        <v>16.100000000000001</v>
      </c>
      <c r="G818">
        <v>16.899999999999999</v>
      </c>
      <c r="H818">
        <v>17.600000000000001</v>
      </c>
      <c r="I818">
        <v>16.399999999999999</v>
      </c>
      <c r="J818">
        <v>17.3</v>
      </c>
      <c r="K818">
        <v>17.5</v>
      </c>
      <c r="L818">
        <v>17.7</v>
      </c>
      <c r="M818">
        <v>16.3</v>
      </c>
      <c r="N818">
        <v>16</v>
      </c>
      <c r="O818">
        <v>15.7</v>
      </c>
      <c r="P818">
        <v>15.8</v>
      </c>
      <c r="Q818">
        <v>16</v>
      </c>
      <c r="R818">
        <v>16.2</v>
      </c>
      <c r="S818">
        <f>Tableau1[[#This Row],[Final_time]]-SUM(Tableau1[[#This Row],[0_100m]:[1300_1400m]])</f>
        <v>16.099999999999994</v>
      </c>
      <c r="T818">
        <v>248</v>
      </c>
      <c r="U818">
        <f t="shared" si="24"/>
        <v>248</v>
      </c>
      <c r="V818">
        <f t="shared" si="25"/>
        <v>0</v>
      </c>
      <c r="W818" s="12"/>
      <c r="X818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8" t="s">
        <v>340</v>
      </c>
      <c r="Z818" s="2" t="s">
        <v>43</v>
      </c>
      <c r="AA818" s="2"/>
      <c r="AB818" s="2" t="s">
        <v>65</v>
      </c>
      <c r="AC818" s="2">
        <v>44381</v>
      </c>
      <c r="AD818">
        <v>2021</v>
      </c>
      <c r="AE818" s="3">
        <v>27</v>
      </c>
      <c r="AF818" s="5">
        <v>0.35</v>
      </c>
      <c r="AG818" s="3" t="s">
        <v>71</v>
      </c>
    </row>
    <row r="819" spans="1:33" hidden="1" x14ac:dyDescent="0.35">
      <c r="A819" t="str">
        <f>_xlfn.CONCAT(Tableau1[[#This Row],[Athletes]],"_",Tableau1[[#This Row],[Nationality]],"_",Tableau1[[#This Row],[Competition_year]])</f>
        <v>Caterina GRANZ_GER_2021</v>
      </c>
      <c r="B819" t="s">
        <v>813</v>
      </c>
      <c r="C819" t="s">
        <v>47</v>
      </c>
      <c r="D819" t="s">
        <v>34</v>
      </c>
      <c r="E819">
        <v>16.3</v>
      </c>
      <c r="F819">
        <v>15.6</v>
      </c>
      <c r="G819">
        <v>17</v>
      </c>
      <c r="H819">
        <v>17.399999999999999</v>
      </c>
      <c r="I819">
        <v>16.8</v>
      </c>
      <c r="J819">
        <v>17.399999999999999</v>
      </c>
      <c r="K819">
        <v>17.399999999999999</v>
      </c>
      <c r="L819">
        <v>17.8</v>
      </c>
      <c r="M819">
        <v>16.8</v>
      </c>
      <c r="N819">
        <f>168.4-SUM(Tableau1[[#This Row],[0_100m]:[800_900m]])</f>
        <v>15.899999999999977</v>
      </c>
      <c r="O819">
        <f>184.2-SUM(Tableau1[[#This Row],[0_100m]:[900_1000m]])</f>
        <v>15.799999999999983</v>
      </c>
      <c r="P819">
        <v>15.7</v>
      </c>
      <c r="Q819">
        <v>16</v>
      </c>
      <c r="R819">
        <v>16.2</v>
      </c>
      <c r="S819">
        <f>Tableau1[[#This Row],[Final_time]]-SUM(Tableau1[[#This Row],[0_100m]:[1300_1400m]])</f>
        <v>16.80000000000004</v>
      </c>
      <c r="T819">
        <v>248.9</v>
      </c>
      <c r="U819">
        <f t="shared" si="24"/>
        <v>248.9</v>
      </c>
      <c r="V819">
        <f t="shared" si="25"/>
        <v>0</v>
      </c>
      <c r="W819" s="12"/>
      <c r="X819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19" t="s">
        <v>340</v>
      </c>
      <c r="Z819" s="2" t="s">
        <v>43</v>
      </c>
      <c r="AA819" s="2"/>
      <c r="AB819" s="2" t="s">
        <v>65</v>
      </c>
      <c r="AC819" s="2">
        <v>44381</v>
      </c>
      <c r="AD819">
        <v>2021</v>
      </c>
      <c r="AE819" s="3">
        <v>27</v>
      </c>
      <c r="AF819" s="5">
        <v>0.35</v>
      </c>
      <c r="AG819" s="3" t="s">
        <v>71</v>
      </c>
    </row>
    <row r="820" spans="1:33" hidden="1" x14ac:dyDescent="0.35">
      <c r="A820" t="str">
        <f>_xlfn.CONCAT(Tableau1[[#This Row],[Athletes]],"_",Tableau1[[#This Row],[Nationality]],"_",Tableau1[[#This Row],[Competition_year]])</f>
        <v>Amalie SÆTEN_NOR_2021</v>
      </c>
      <c r="B820" t="s">
        <v>741</v>
      </c>
      <c r="C820" t="s">
        <v>47</v>
      </c>
      <c r="D820" t="s">
        <v>30</v>
      </c>
      <c r="E820">
        <v>16.100000000000001</v>
      </c>
      <c r="F820">
        <v>16</v>
      </c>
      <c r="G820">
        <v>16.8</v>
      </c>
      <c r="H820">
        <v>17.7</v>
      </c>
      <c r="I820">
        <v>16.899999999999999</v>
      </c>
      <c r="J820">
        <v>17.5</v>
      </c>
      <c r="K820">
        <v>17.399999999999999</v>
      </c>
      <c r="L820">
        <v>17.7</v>
      </c>
      <c r="M820">
        <v>16.600000000000001</v>
      </c>
      <c r="N820">
        <v>16.3</v>
      </c>
      <c r="O820">
        <v>16.100000000000001</v>
      </c>
      <c r="P820">
        <v>16.899999999999999</v>
      </c>
      <c r="Q820">
        <v>15.7</v>
      </c>
      <c r="R820">
        <v>15.9</v>
      </c>
      <c r="S820">
        <f>Tableau1[[#This Row],[Final_time]]-SUM(Tableau1[[#This Row],[0_100m]:[1300_1400m]])</f>
        <v>16.400000000000006</v>
      </c>
      <c r="T820">
        <v>250</v>
      </c>
      <c r="U820">
        <f t="shared" si="24"/>
        <v>250</v>
      </c>
      <c r="V820">
        <f t="shared" si="25"/>
        <v>0</v>
      </c>
      <c r="W820" s="12"/>
      <c r="X820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20" t="s">
        <v>340</v>
      </c>
      <c r="Z820" s="2" t="s">
        <v>43</v>
      </c>
      <c r="AA820" s="2"/>
      <c r="AB820" s="2" t="s">
        <v>65</v>
      </c>
      <c r="AC820" s="2">
        <v>44381</v>
      </c>
      <c r="AD820">
        <v>2021</v>
      </c>
      <c r="AE820" s="3">
        <v>27</v>
      </c>
      <c r="AF820" s="5">
        <v>0.35</v>
      </c>
      <c r="AG820" s="3" t="s">
        <v>71</v>
      </c>
    </row>
    <row r="821" spans="1:33" hidden="1" x14ac:dyDescent="0.35">
      <c r="A821" t="str">
        <f>_xlfn.CONCAT(Tableau1[[#This Row],[Athletes]],"_",Tableau1[[#This Row],[Nationality]],"_",Tableau1[[#This Row],[Competition_year]])</f>
        <v>Yolanda NGARAMBE_SWE_2021</v>
      </c>
      <c r="B821" t="s">
        <v>637</v>
      </c>
      <c r="C821" t="s">
        <v>47</v>
      </c>
      <c r="D821" t="s">
        <v>56</v>
      </c>
      <c r="E821">
        <v>15.7</v>
      </c>
      <c r="F821">
        <v>15.9</v>
      </c>
      <c r="G821">
        <v>16.899999999999999</v>
      </c>
      <c r="H821">
        <v>17.5</v>
      </c>
      <c r="I821">
        <v>16.899999999999999</v>
      </c>
      <c r="J821">
        <v>17.3</v>
      </c>
      <c r="K821">
        <v>17.5</v>
      </c>
      <c r="L821">
        <v>17.8</v>
      </c>
      <c r="M821">
        <v>16.899999999999999</v>
      </c>
      <c r="N821">
        <v>16.3</v>
      </c>
      <c r="O821">
        <v>16.2</v>
      </c>
      <c r="P821">
        <f>201.7-SUM(Tableau1[[#This Row],[0_100m]:[1000_1100m]])</f>
        <v>16.799999999999983</v>
      </c>
      <c r="Q821">
        <v>16.600000000000001</v>
      </c>
      <c r="R821">
        <v>15.8</v>
      </c>
      <c r="S821">
        <f>Tableau1[[#This Row],[Final_time]]-SUM(Tableau1[[#This Row],[0_100m]:[1300_1400m]])</f>
        <v>16.129999999999995</v>
      </c>
      <c r="T821">
        <v>250.23</v>
      </c>
      <c r="U821">
        <f t="shared" si="24"/>
        <v>250.23</v>
      </c>
      <c r="V821">
        <f t="shared" si="25"/>
        <v>0</v>
      </c>
      <c r="W821" s="12"/>
      <c r="X821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21" t="s">
        <v>340</v>
      </c>
      <c r="Z821" s="2" t="s">
        <v>43</v>
      </c>
      <c r="AA821" s="2"/>
      <c r="AB821" s="2" t="s">
        <v>65</v>
      </c>
      <c r="AC821" s="2">
        <v>44381</v>
      </c>
      <c r="AD821">
        <v>2021</v>
      </c>
      <c r="AE821" s="3">
        <v>27</v>
      </c>
      <c r="AF821" s="5">
        <v>0.35</v>
      </c>
      <c r="AG821" s="3" t="s">
        <v>71</v>
      </c>
    </row>
    <row r="822" spans="1:33" hidden="1" x14ac:dyDescent="0.35">
      <c r="A822" t="str">
        <f>_xlfn.CONCAT(Tableau1[[#This Row],[Athletes]],"_",Tableau1[[#This Row],[Nationality]],"_",Tableau1[[#This Row],[Competition_year]])</f>
        <v>Sara CHRISTIANSSON_SWE_2021</v>
      </c>
      <c r="B822" t="s">
        <v>1230</v>
      </c>
      <c r="C822" t="s">
        <v>47</v>
      </c>
      <c r="D822" t="s">
        <v>56</v>
      </c>
      <c r="E822">
        <v>16</v>
      </c>
      <c r="F822">
        <v>16.3</v>
      </c>
      <c r="G822">
        <v>16.899999999999999</v>
      </c>
      <c r="H822">
        <v>17.600000000000001</v>
      </c>
      <c r="I822">
        <v>17</v>
      </c>
      <c r="J822">
        <v>17.399999999999999</v>
      </c>
      <c r="K822">
        <v>17.399999999999999</v>
      </c>
      <c r="L822">
        <v>17.8</v>
      </c>
      <c r="M822">
        <v>16.600000000000001</v>
      </c>
      <c r="N822">
        <v>16.3</v>
      </c>
      <c r="O822">
        <v>16.100000000000001</v>
      </c>
      <c r="P822">
        <v>16.600000000000001</v>
      </c>
      <c r="Q822">
        <v>16</v>
      </c>
      <c r="R822">
        <v>15.9</v>
      </c>
      <c r="S822">
        <f>Tableau1[[#This Row],[Final_time]]-SUM(Tableau1[[#This Row],[0_100m]:[1300_1400m]])</f>
        <v>17.409999999999997</v>
      </c>
      <c r="T822">
        <v>251.31</v>
      </c>
      <c r="U822">
        <f t="shared" si="24"/>
        <v>251.31</v>
      </c>
      <c r="V822">
        <f t="shared" si="25"/>
        <v>0</v>
      </c>
      <c r="W822" s="12"/>
      <c r="X822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22" t="s">
        <v>340</v>
      </c>
      <c r="Z822" s="2" t="s">
        <v>43</v>
      </c>
      <c r="AA822" s="2"/>
      <c r="AB822" s="2" t="s">
        <v>65</v>
      </c>
      <c r="AC822" s="2">
        <v>44381</v>
      </c>
      <c r="AD822">
        <v>2021</v>
      </c>
      <c r="AE822" s="3">
        <v>27</v>
      </c>
      <c r="AF822" s="5">
        <v>0.35</v>
      </c>
      <c r="AG822" s="3" t="s">
        <v>71</v>
      </c>
    </row>
    <row r="823" spans="1:33" hidden="1" x14ac:dyDescent="0.35">
      <c r="A823" t="str">
        <f>_xlfn.CONCAT(Tableau1[[#This Row],[Athletes]],"_",Tableau1[[#This Row],[Nationality]],"_",Tableau1[[#This Row],[Competition_year]])</f>
        <v>Hanna HERMANSSON_SWE_2021</v>
      </c>
      <c r="B823" t="s">
        <v>173</v>
      </c>
      <c r="C823" t="s">
        <v>47</v>
      </c>
      <c r="D823" t="s">
        <v>56</v>
      </c>
      <c r="E823">
        <v>16.8</v>
      </c>
      <c r="F823">
        <v>16</v>
      </c>
      <c r="G823">
        <v>16.899999999999999</v>
      </c>
      <c r="H823">
        <v>17.5</v>
      </c>
      <c r="I823">
        <f>84-SUM(Tableau1[[#This Row],[0_100m]:[300_400m]])</f>
        <v>16.800000000000011</v>
      </c>
      <c r="J823">
        <v>17.399999999999999</v>
      </c>
      <c r="K823">
        <v>17.5</v>
      </c>
      <c r="L823">
        <v>17.7</v>
      </c>
      <c r="M823">
        <v>16.899999999999999</v>
      </c>
      <c r="N823">
        <f>170.3-SUM(Tableau1[[#This Row],[0_100m]:[800_900m]])</f>
        <v>16.800000000000011</v>
      </c>
      <c r="O823">
        <v>16.5</v>
      </c>
      <c r="P823">
        <v>16.5</v>
      </c>
      <c r="Q823">
        <v>16.2</v>
      </c>
      <c r="R823">
        <v>16.3</v>
      </c>
      <c r="S823">
        <f>Tableau1[[#This Row],[Final_time]]-SUM(Tableau1[[#This Row],[0_100m]:[1300_1400m]])</f>
        <v>16.449999999999989</v>
      </c>
      <c r="T823">
        <v>252.25</v>
      </c>
      <c r="U823">
        <f t="shared" si="24"/>
        <v>252.25</v>
      </c>
      <c r="V823">
        <f t="shared" si="25"/>
        <v>0</v>
      </c>
      <c r="W823" s="12"/>
      <c r="X823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23" t="s">
        <v>340</v>
      </c>
      <c r="Z823" s="2" t="s">
        <v>43</v>
      </c>
      <c r="AA823" s="2"/>
      <c r="AB823" s="2" t="s">
        <v>65</v>
      </c>
      <c r="AC823" s="2">
        <v>44381</v>
      </c>
      <c r="AD823">
        <v>2021</v>
      </c>
      <c r="AE823" s="3">
        <v>27</v>
      </c>
      <c r="AF823" s="5">
        <v>0.35</v>
      </c>
      <c r="AG823" s="3" t="s">
        <v>71</v>
      </c>
    </row>
    <row r="824" spans="1:33" hidden="1" x14ac:dyDescent="0.35">
      <c r="A824" t="str">
        <f>_xlfn.CONCAT(Tableau1[[#This Row],[Athletes]],"_",Tableau1[[#This Row],[Nationality]],"_",Tableau1[[#This Row],[Competition_year]])</f>
        <v>Linn SÖDERHOLM_SWE_2021</v>
      </c>
      <c r="B824" t="s">
        <v>1062</v>
      </c>
      <c r="C824" t="s">
        <v>47</v>
      </c>
      <c r="D824" t="s">
        <v>56</v>
      </c>
      <c r="E824">
        <v>15.8</v>
      </c>
      <c r="F824">
        <v>16</v>
      </c>
      <c r="G824">
        <v>17</v>
      </c>
      <c r="H824">
        <v>17.600000000000001</v>
      </c>
      <c r="I824">
        <v>16.899999999999999</v>
      </c>
      <c r="J824">
        <v>17.3</v>
      </c>
      <c r="K824">
        <v>17.5</v>
      </c>
      <c r="L824">
        <v>17.7</v>
      </c>
      <c r="M824">
        <v>16.899999999999999</v>
      </c>
      <c r="N824">
        <v>16.100000000000001</v>
      </c>
      <c r="O824">
        <f>184.7-SUM(Tableau1[[#This Row],[0_100m]:[900_1000m]])</f>
        <v>15.899999999999977</v>
      </c>
      <c r="P824">
        <v>16.8</v>
      </c>
      <c r="Q824">
        <v>17.7</v>
      </c>
      <c r="R824">
        <v>17.7</v>
      </c>
      <c r="S824">
        <f>Tableau1[[#This Row],[Final_time]]-SUM(Tableau1[[#This Row],[0_100m]:[1300_1400m]])</f>
        <v>18.850000000000023</v>
      </c>
      <c r="T824">
        <v>255.75</v>
      </c>
      <c r="U824">
        <f t="shared" si="24"/>
        <v>255.75</v>
      </c>
      <c r="V824">
        <f t="shared" si="25"/>
        <v>0</v>
      </c>
      <c r="W824" s="12"/>
      <c r="X824" t="str">
        <f>_xlfn.CONCAT(Tableau1[[#This Row],[Competition]],"_",Tableau1[[#This Row],[Championship_step]],"_",Tableau1[[#This Row],[Competition_date]],"_",Tableau1[[#This Row],[Gender]])</f>
        <v>Diamond League Stockholm  2021 - pre-programm__44381_Female</v>
      </c>
      <c r="Y824" t="s">
        <v>340</v>
      </c>
      <c r="Z824" s="2" t="s">
        <v>43</v>
      </c>
      <c r="AA824" s="2"/>
      <c r="AB824" s="2" t="s">
        <v>65</v>
      </c>
      <c r="AC824" s="2">
        <v>44381</v>
      </c>
      <c r="AD824">
        <v>2021</v>
      </c>
      <c r="AE824" s="3">
        <v>27</v>
      </c>
      <c r="AF824" s="5">
        <v>0.35</v>
      </c>
      <c r="AG824" s="3" t="s">
        <v>71</v>
      </c>
    </row>
    <row r="825" spans="1:33" hidden="1" x14ac:dyDescent="0.35">
      <c r="A825" t="str">
        <f>_xlfn.CONCAT(Tableau1[[#This Row],[Athletes]],"_",Tableau1[[#This Row],[Nationality]],"_",Tableau1[[#This Row],[Competition_year]])</f>
        <v>Timothy CHERUIYOT_KEN_2021</v>
      </c>
      <c r="B825" t="s">
        <v>205</v>
      </c>
      <c r="C825" t="s">
        <v>16</v>
      </c>
      <c r="D825" t="s">
        <v>17</v>
      </c>
      <c r="E825">
        <v>13.6</v>
      </c>
      <c r="F825">
        <v>13.5</v>
      </c>
      <c r="G825">
        <v>14</v>
      </c>
      <c r="H825">
        <v>14.4</v>
      </c>
      <c r="I825">
        <v>14.3</v>
      </c>
      <c r="J825">
        <v>14.7</v>
      </c>
      <c r="K825">
        <v>14.3</v>
      </c>
      <c r="L825">
        <v>14.5</v>
      </c>
      <c r="M825">
        <v>14.8</v>
      </c>
      <c r="N825">
        <v>14.7</v>
      </c>
      <c r="O825">
        <v>14.5</v>
      </c>
      <c r="P825">
        <v>14.4</v>
      </c>
      <c r="Q825">
        <v>13.7</v>
      </c>
      <c r="R825">
        <v>13.6</v>
      </c>
      <c r="S825">
        <f>Tableau1[[#This Row],[Final_time]]-SUM(Tableau1[[#This Row],[0_100m]:[1300_1400m]])</f>
        <v>13.30000000000004</v>
      </c>
      <c r="T825">
        <v>212.3</v>
      </c>
      <c r="U825">
        <f t="shared" si="24"/>
        <v>212.3</v>
      </c>
      <c r="V825">
        <f t="shared" si="25"/>
        <v>0</v>
      </c>
      <c r="W825" s="12"/>
      <c r="X825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25" t="s">
        <v>339</v>
      </c>
      <c r="Z825" t="s">
        <v>43</v>
      </c>
      <c r="AA825" s="2"/>
      <c r="AB825" s="2" t="s">
        <v>65</v>
      </c>
      <c r="AC825" s="2">
        <v>44381</v>
      </c>
      <c r="AD825">
        <v>2021</v>
      </c>
      <c r="AE825" s="3">
        <v>26</v>
      </c>
      <c r="AF825" s="5">
        <v>0.46</v>
      </c>
      <c r="AG825" s="3" t="s">
        <v>71</v>
      </c>
    </row>
    <row r="826" spans="1:33" hidden="1" x14ac:dyDescent="0.35">
      <c r="A826" t="str">
        <f>_xlfn.CONCAT(Tableau1[[#This Row],[Athletes]],"_",Tableau1[[#This Row],[Nationality]],"_",Tableau1[[#This Row],[Competition_year]])</f>
        <v>Ignacio FONTES_ESP_2021</v>
      </c>
      <c r="B826" t="s">
        <v>251</v>
      </c>
      <c r="C826" t="s">
        <v>16</v>
      </c>
      <c r="D826" t="s">
        <v>22</v>
      </c>
      <c r="E826">
        <v>13.8</v>
      </c>
      <c r="F826">
        <v>14.2</v>
      </c>
      <c r="G826">
        <v>14.2</v>
      </c>
      <c r="H826">
        <v>14.6</v>
      </c>
      <c r="I826">
        <v>14.2</v>
      </c>
      <c r="J826">
        <v>14.7</v>
      </c>
      <c r="K826">
        <v>14.4</v>
      </c>
      <c r="L826">
        <v>14.7</v>
      </c>
      <c r="M826">
        <v>14.3</v>
      </c>
      <c r="N826">
        <v>14.9</v>
      </c>
      <c r="O826">
        <v>14.4</v>
      </c>
      <c r="P826">
        <v>14</v>
      </c>
      <c r="Q826">
        <v>13.9</v>
      </c>
      <c r="R826">
        <v>13.8</v>
      </c>
      <c r="S826">
        <f>Tableau1[[#This Row],[Final_time]]-SUM(Tableau1[[#This Row],[0_100m]:[1300_1400m]])</f>
        <v>13.169999999999959</v>
      </c>
      <c r="T826">
        <v>213.27</v>
      </c>
      <c r="U826">
        <f t="shared" si="24"/>
        <v>213.27</v>
      </c>
      <c r="V826">
        <f t="shared" si="25"/>
        <v>0</v>
      </c>
      <c r="W826" s="12"/>
      <c r="X826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26" t="s">
        <v>339</v>
      </c>
      <c r="Z826" t="s">
        <v>43</v>
      </c>
      <c r="AA826" s="2"/>
      <c r="AB826" s="2" t="s">
        <v>65</v>
      </c>
      <c r="AC826" s="2">
        <v>44381</v>
      </c>
      <c r="AD826">
        <v>2021</v>
      </c>
      <c r="AE826" s="3">
        <v>26</v>
      </c>
      <c r="AF826" s="5">
        <v>0.46</v>
      </c>
      <c r="AG826" s="3" t="s">
        <v>71</v>
      </c>
    </row>
    <row r="827" spans="1:33" hidden="1" x14ac:dyDescent="0.35">
      <c r="A827" t="str">
        <f>_xlfn.CONCAT(Tableau1[[#This Row],[Athletes]],"_",Tableau1[[#This Row],[Nationality]],"_",Tableau1[[#This Row],[Competition_year]])</f>
        <v>Ronald KWEMOI_KEN_2021</v>
      </c>
      <c r="B827" t="s">
        <v>1200</v>
      </c>
      <c r="C827" t="s">
        <v>16</v>
      </c>
      <c r="D827" t="s">
        <v>17</v>
      </c>
      <c r="E827">
        <v>13.5</v>
      </c>
      <c r="F827">
        <v>13.8</v>
      </c>
      <c r="G827">
        <v>14.2</v>
      </c>
      <c r="H827">
        <v>14.3</v>
      </c>
      <c r="I827">
        <v>14.4</v>
      </c>
      <c r="J827">
        <v>14.6</v>
      </c>
      <c r="K827">
        <v>14.6</v>
      </c>
      <c r="L827">
        <v>14.9</v>
      </c>
      <c r="M827">
        <v>15.1</v>
      </c>
      <c r="N827">
        <v>14.7</v>
      </c>
      <c r="O827">
        <f>158.7-SUM(Tableau1[[#This Row],[0_100m]:[900_1000m]])</f>
        <v>14.599999999999994</v>
      </c>
      <c r="P827">
        <v>14.2</v>
      </c>
      <c r="Q827">
        <v>14</v>
      </c>
      <c r="R827">
        <v>13.8</v>
      </c>
      <c r="S827">
        <f>Tableau1[[#This Row],[Final_time]]-SUM(Tableau1[[#This Row],[0_100m]:[1300_1400m]])</f>
        <v>12.830000000000013</v>
      </c>
      <c r="T827">
        <v>213.53</v>
      </c>
      <c r="U827">
        <f t="shared" si="24"/>
        <v>213.53</v>
      </c>
      <c r="V827">
        <f t="shared" si="25"/>
        <v>0</v>
      </c>
      <c r="W827" s="12"/>
      <c r="X827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27" t="s">
        <v>339</v>
      </c>
      <c r="Z827" t="s">
        <v>43</v>
      </c>
      <c r="AA827" s="2"/>
      <c r="AB827" s="2" t="s">
        <v>65</v>
      </c>
      <c r="AC827" s="2">
        <v>44381</v>
      </c>
      <c r="AD827">
        <v>2021</v>
      </c>
      <c r="AE827" s="3">
        <v>26</v>
      </c>
      <c r="AF827" s="5">
        <v>0.46</v>
      </c>
      <c r="AG827" s="3" t="s">
        <v>71</v>
      </c>
    </row>
    <row r="828" spans="1:33" hidden="1" x14ac:dyDescent="0.35">
      <c r="A828" t="str">
        <f>_xlfn.CONCAT(Tableau1[[#This Row],[Athletes]],"_",Tableau1[[#This Row],[Nationality]],"_",Tableau1[[#This Row],[Competition_year]])</f>
        <v>Ronald MUSAGALA_UGA_2021</v>
      </c>
      <c r="B828" t="s">
        <v>265</v>
      </c>
      <c r="C828" t="s">
        <v>16</v>
      </c>
      <c r="D828" t="s">
        <v>52</v>
      </c>
      <c r="E828">
        <v>13.7</v>
      </c>
      <c r="F828">
        <v>14</v>
      </c>
      <c r="G828">
        <v>14.1</v>
      </c>
      <c r="H828">
        <v>14.4</v>
      </c>
      <c r="I828">
        <v>14.3</v>
      </c>
      <c r="J828">
        <v>14.5</v>
      </c>
      <c r="K828">
        <v>14.7</v>
      </c>
      <c r="L828">
        <v>14.3</v>
      </c>
      <c r="M828">
        <v>15</v>
      </c>
      <c r="N828">
        <v>14.7</v>
      </c>
      <c r="O828">
        <v>14.4</v>
      </c>
      <c r="P828">
        <v>14.3</v>
      </c>
      <c r="Q828">
        <v>13.8</v>
      </c>
      <c r="R828">
        <v>13.9</v>
      </c>
      <c r="S828">
        <f>Tableau1[[#This Row],[Final_time]]-SUM(Tableau1[[#This Row],[0_100m]:[1300_1400m]])</f>
        <v>13.889999999999986</v>
      </c>
      <c r="T828">
        <v>213.99</v>
      </c>
      <c r="U828">
        <f t="shared" si="24"/>
        <v>213.99</v>
      </c>
      <c r="V828">
        <f t="shared" si="25"/>
        <v>0</v>
      </c>
      <c r="W828" s="12"/>
      <c r="X828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28" t="s">
        <v>339</v>
      </c>
      <c r="Z828" t="s">
        <v>43</v>
      </c>
      <c r="AA828" s="2"/>
      <c r="AB828" s="2" t="s">
        <v>65</v>
      </c>
      <c r="AC828" s="2">
        <v>44381</v>
      </c>
      <c r="AD828">
        <v>2021</v>
      </c>
      <c r="AE828" s="3">
        <v>26</v>
      </c>
      <c r="AF828" s="5">
        <v>0.46</v>
      </c>
      <c r="AG828" s="3" t="s">
        <v>71</v>
      </c>
    </row>
    <row r="829" spans="1:33" hidden="1" x14ac:dyDescent="0.35">
      <c r="A829" t="str">
        <f>_xlfn.CONCAT(Tableau1[[#This Row],[Athletes]],"_",Tableau1[[#This Row],[Nationality]],"_",Tableau1[[#This Row],[Competition_year]])</f>
        <v>Adam Ali MUSAB_QAT_2021</v>
      </c>
      <c r="B829" t="s">
        <v>714</v>
      </c>
      <c r="C829" t="s">
        <v>16</v>
      </c>
      <c r="D829" t="s">
        <v>57</v>
      </c>
      <c r="E829">
        <v>13.7</v>
      </c>
      <c r="F829">
        <v>14.1</v>
      </c>
      <c r="G829">
        <v>14.2</v>
      </c>
      <c r="H829">
        <v>14.4</v>
      </c>
      <c r="I829">
        <v>14.2</v>
      </c>
      <c r="J829">
        <v>14.6</v>
      </c>
      <c r="K829">
        <v>14.6</v>
      </c>
      <c r="L829">
        <v>14.4</v>
      </c>
      <c r="M829">
        <v>14.9</v>
      </c>
      <c r="N829">
        <v>14.8</v>
      </c>
      <c r="O829">
        <v>14.4</v>
      </c>
      <c r="P829">
        <v>14.3</v>
      </c>
      <c r="Q829">
        <v>13.8</v>
      </c>
      <c r="R829">
        <v>14</v>
      </c>
      <c r="S829">
        <f>Tableau1[[#This Row],[Final_time]]-SUM(Tableau1[[#This Row],[0_100m]:[1300_1400m]])</f>
        <v>14.359999999999957</v>
      </c>
      <c r="T829">
        <v>214.76</v>
      </c>
      <c r="U829">
        <f t="shared" si="24"/>
        <v>214.76</v>
      </c>
      <c r="V829">
        <f t="shared" si="25"/>
        <v>0</v>
      </c>
      <c r="W829" s="12"/>
      <c r="X829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29" t="s">
        <v>339</v>
      </c>
      <c r="Z829" t="s">
        <v>43</v>
      </c>
      <c r="AA829" s="2"/>
      <c r="AB829" s="2" t="s">
        <v>65</v>
      </c>
      <c r="AC829" s="2">
        <v>44381</v>
      </c>
      <c r="AD829">
        <v>2021</v>
      </c>
      <c r="AE829" s="3">
        <v>26</v>
      </c>
      <c r="AF829" s="5">
        <v>0.46</v>
      </c>
      <c r="AG829" s="3" t="s">
        <v>71</v>
      </c>
    </row>
    <row r="830" spans="1:33" hidden="1" x14ac:dyDescent="0.35">
      <c r="A830" t="str">
        <f>_xlfn.CONCAT(Tableau1[[#This Row],[Athletes]],"_",Tableau1[[#This Row],[Nationality]],"_",Tableau1[[#This Row],[Competition_year]])</f>
        <v>Bethwell BIRGEN_KEN_2021</v>
      </c>
      <c r="B830" t="s">
        <v>791</v>
      </c>
      <c r="C830" t="s">
        <v>16</v>
      </c>
      <c r="D830" t="s">
        <v>17</v>
      </c>
      <c r="E830">
        <v>14</v>
      </c>
      <c r="F830">
        <v>14.3</v>
      </c>
      <c r="G830">
        <v>13.8</v>
      </c>
      <c r="H830">
        <v>14.5</v>
      </c>
      <c r="I830">
        <v>14.2</v>
      </c>
      <c r="J830">
        <v>14.6</v>
      </c>
      <c r="K830">
        <v>14.5</v>
      </c>
      <c r="L830">
        <v>14.7</v>
      </c>
      <c r="M830">
        <v>14.2</v>
      </c>
      <c r="N830">
        <v>14.6</v>
      </c>
      <c r="O830">
        <v>14.3</v>
      </c>
      <c r="P830">
        <v>14.4</v>
      </c>
      <c r="Q830">
        <v>13.8</v>
      </c>
      <c r="R830">
        <v>14.4</v>
      </c>
      <c r="S830">
        <f>Tableau1[[#This Row],[Final_time]]-SUM(Tableau1[[#This Row],[0_100m]:[1300_1400m]])</f>
        <v>14.469999999999999</v>
      </c>
      <c r="T830">
        <v>214.77</v>
      </c>
      <c r="U830">
        <f t="shared" si="24"/>
        <v>214.77</v>
      </c>
      <c r="V830">
        <f t="shared" si="25"/>
        <v>0</v>
      </c>
      <c r="W830" s="12"/>
      <c r="X830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30" t="s">
        <v>339</v>
      </c>
      <c r="Z830" t="s">
        <v>43</v>
      </c>
      <c r="AA830" s="2"/>
      <c r="AB830" s="2" t="s">
        <v>65</v>
      </c>
      <c r="AC830" s="2">
        <v>44381</v>
      </c>
      <c r="AD830">
        <v>2021</v>
      </c>
      <c r="AE830" s="3">
        <v>26</v>
      </c>
      <c r="AF830" s="5">
        <v>0.46</v>
      </c>
      <c r="AG830" s="3" t="s">
        <v>71</v>
      </c>
    </row>
    <row r="831" spans="1:33" hidden="1" x14ac:dyDescent="0.35">
      <c r="A831" t="str">
        <f>_xlfn.CONCAT(Tableau1[[#This Row],[Athletes]],"_",Tableau1[[#This Row],[Nationality]],"_",Tableau1[[#This Row],[Competition_year]])</f>
        <v>Brahim KAAZOUZI_MAR_2021</v>
      </c>
      <c r="B831" t="s">
        <v>797</v>
      </c>
      <c r="C831" t="s">
        <v>16</v>
      </c>
      <c r="D831" t="s">
        <v>75</v>
      </c>
      <c r="E831">
        <v>13.8</v>
      </c>
      <c r="F831">
        <v>14.3</v>
      </c>
      <c r="G831">
        <v>14.3</v>
      </c>
      <c r="H831">
        <v>14.5</v>
      </c>
      <c r="I831">
        <v>14.3</v>
      </c>
      <c r="J831">
        <v>14.5</v>
      </c>
      <c r="K831">
        <v>14.4</v>
      </c>
      <c r="L831">
        <v>14.3</v>
      </c>
      <c r="M831">
        <v>14.2</v>
      </c>
      <c r="N831">
        <v>14.6</v>
      </c>
      <c r="O831">
        <v>14.3</v>
      </c>
      <c r="P831">
        <v>14.4</v>
      </c>
      <c r="Q831">
        <v>13.7</v>
      </c>
      <c r="R831">
        <v>14.5</v>
      </c>
      <c r="S831">
        <f>Tableau1[[#This Row],[Final_time]]-SUM(Tableau1[[#This Row],[0_100m]:[1300_1400m]])</f>
        <v>15.219999999999999</v>
      </c>
      <c r="T831">
        <v>215.32</v>
      </c>
      <c r="U831">
        <f t="shared" si="24"/>
        <v>215.32</v>
      </c>
      <c r="V831">
        <f t="shared" si="25"/>
        <v>0</v>
      </c>
      <c r="W831" s="12"/>
      <c r="X831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31" t="s">
        <v>339</v>
      </c>
      <c r="Z831" t="s">
        <v>43</v>
      </c>
      <c r="AA831" s="2"/>
      <c r="AB831" s="2" t="s">
        <v>65</v>
      </c>
      <c r="AC831" s="2">
        <v>44381</v>
      </c>
      <c r="AD831">
        <v>2021</v>
      </c>
      <c r="AE831" s="3">
        <v>26</v>
      </c>
      <c r="AF831" s="5">
        <v>0.46</v>
      </c>
      <c r="AG831" s="3" t="s">
        <v>71</v>
      </c>
    </row>
    <row r="832" spans="1:33" hidden="1" x14ac:dyDescent="0.35">
      <c r="A832" t="str">
        <f>_xlfn.CONCAT(Tableau1[[#This Row],[Athletes]],"_",Tableau1[[#This Row],[Nationality]],"_",Tableau1[[#This Row],[Competition_year]])</f>
        <v>Joshua THOMPSON_USA_2021</v>
      </c>
      <c r="B832" t="s">
        <v>260</v>
      </c>
      <c r="C832" t="s">
        <v>16</v>
      </c>
      <c r="D832" t="s">
        <v>51</v>
      </c>
      <c r="E832">
        <v>13.9</v>
      </c>
      <c r="F832">
        <v>14.3</v>
      </c>
      <c r="G832">
        <v>14.4</v>
      </c>
      <c r="H832">
        <v>14.6</v>
      </c>
      <c r="I832">
        <v>14.2</v>
      </c>
      <c r="J832">
        <v>14.5</v>
      </c>
      <c r="K832">
        <v>14.6</v>
      </c>
      <c r="L832">
        <v>14.6</v>
      </c>
      <c r="M832">
        <v>14.8</v>
      </c>
      <c r="N832">
        <v>14.7</v>
      </c>
      <c r="O832">
        <v>14.9</v>
      </c>
      <c r="P832">
        <v>14.6</v>
      </c>
      <c r="Q832">
        <v>14.7</v>
      </c>
      <c r="R832">
        <v>14.1</v>
      </c>
      <c r="S832">
        <f>Tableau1[[#This Row],[Final_time]]-SUM(Tableau1[[#This Row],[0_100m]:[1300_1400m]])</f>
        <v>14.330000000000013</v>
      </c>
      <c r="T832">
        <v>217.23</v>
      </c>
      <c r="U832">
        <f t="shared" si="24"/>
        <v>217.23</v>
      </c>
      <c r="V832">
        <f t="shared" si="25"/>
        <v>0</v>
      </c>
      <c r="W832" s="12"/>
      <c r="X832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32" t="s">
        <v>339</v>
      </c>
      <c r="Z832" t="s">
        <v>43</v>
      </c>
      <c r="AA832" s="2"/>
      <c r="AB832" s="2" t="s">
        <v>65</v>
      </c>
      <c r="AC832" s="2">
        <v>44381</v>
      </c>
      <c r="AD832">
        <v>2021</v>
      </c>
      <c r="AE832" s="3">
        <v>26</v>
      </c>
      <c r="AF832" s="5">
        <v>0.46</v>
      </c>
      <c r="AG832" s="3" t="s">
        <v>71</v>
      </c>
    </row>
    <row r="833" spans="1:33" hidden="1" x14ac:dyDescent="0.35">
      <c r="A833" t="str">
        <f>_xlfn.CONCAT(Tableau1[[#This Row],[Athletes]],"_",Tableau1[[#This Row],[Nationality]],"_",Tableau1[[#This Row],[Competition_year]])</f>
        <v>Abdirahman Saeed HASSAN_QAT_2021</v>
      </c>
      <c r="B833" t="s">
        <v>538</v>
      </c>
      <c r="C833" t="s">
        <v>16</v>
      </c>
      <c r="D833" t="s">
        <v>57</v>
      </c>
      <c r="E833">
        <v>14.2</v>
      </c>
      <c r="F833">
        <v>14.3</v>
      </c>
      <c r="G833">
        <v>14.3</v>
      </c>
      <c r="H833">
        <v>14.6</v>
      </c>
      <c r="I833">
        <v>14.2</v>
      </c>
      <c r="J833">
        <v>14.6</v>
      </c>
      <c r="K833">
        <v>14.5</v>
      </c>
      <c r="L833">
        <v>14.6</v>
      </c>
      <c r="M833">
        <v>14.8</v>
      </c>
      <c r="N833">
        <v>14.9</v>
      </c>
      <c r="O833">
        <v>14.8</v>
      </c>
      <c r="P833">
        <v>14.7</v>
      </c>
      <c r="Q833">
        <v>14.4</v>
      </c>
      <c r="R833">
        <v>14.5</v>
      </c>
      <c r="S833">
        <f>Tableau1[[#This Row],[Final_time]]-SUM(Tableau1[[#This Row],[0_100m]:[1300_1400m]])</f>
        <v>15.269999999999982</v>
      </c>
      <c r="T833">
        <v>218.67</v>
      </c>
      <c r="U833">
        <f t="shared" si="24"/>
        <v>218.67</v>
      </c>
      <c r="V833">
        <f t="shared" si="25"/>
        <v>0</v>
      </c>
      <c r="W833" s="12"/>
      <c r="X833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33" t="s">
        <v>339</v>
      </c>
      <c r="Z833" t="s">
        <v>43</v>
      </c>
      <c r="AA833" s="2"/>
      <c r="AB833" s="2" t="s">
        <v>65</v>
      </c>
      <c r="AC833" s="2">
        <v>44381</v>
      </c>
      <c r="AD833">
        <v>2021</v>
      </c>
      <c r="AE833" s="3">
        <v>26</v>
      </c>
      <c r="AF833" s="5">
        <v>0.46</v>
      </c>
      <c r="AG833" s="3" t="s">
        <v>71</v>
      </c>
    </row>
    <row r="834" spans="1:33" hidden="1" x14ac:dyDescent="0.35">
      <c r="A834" t="str">
        <f>_xlfn.CONCAT(Tableau1[[#This Row],[Athletes]],"_",Tableau1[[#This Row],[Nationality]],"_",Tableau1[[#This Row],[Competition_year]])</f>
        <v>Emil DANIELSSON_SWE_2021</v>
      </c>
      <c r="B834" t="s">
        <v>200</v>
      </c>
      <c r="C834" t="s">
        <v>16</v>
      </c>
      <c r="D834" t="s">
        <v>56</v>
      </c>
      <c r="E834">
        <v>14.4</v>
      </c>
      <c r="F834">
        <v>14.6</v>
      </c>
      <c r="G834">
        <v>14.3</v>
      </c>
      <c r="H834">
        <v>14.6</v>
      </c>
      <c r="I834">
        <v>14</v>
      </c>
      <c r="J834">
        <v>14.5</v>
      </c>
      <c r="K834">
        <v>14.5</v>
      </c>
      <c r="L834">
        <v>14.3</v>
      </c>
      <c r="M834">
        <v>14.7</v>
      </c>
      <c r="N834">
        <v>14.9</v>
      </c>
      <c r="O834">
        <v>14.8</v>
      </c>
      <c r="P834">
        <v>14.8</v>
      </c>
      <c r="Q834">
        <v>14.7</v>
      </c>
      <c r="R834">
        <f>204.2-SUM(Tableau1[[#This Row],[0_100m]:[1200_1300m]])</f>
        <v>15.099999999999966</v>
      </c>
      <c r="S834">
        <f>Tableau1[[#This Row],[Final_time]]-SUM(Tableau1[[#This Row],[0_100m]:[1300_1400m]])</f>
        <v>15.5</v>
      </c>
      <c r="T834">
        <v>219.7</v>
      </c>
      <c r="U834">
        <f t="shared" ref="U834:U897" si="26">SUM(E834:S834)</f>
        <v>219.7</v>
      </c>
      <c r="V834">
        <f t="shared" ref="V834:V897" si="27">ABS(U834-T834)</f>
        <v>0</v>
      </c>
      <c r="W834" s="12"/>
      <c r="X834" t="str">
        <f>_xlfn.CONCAT(Tableau1[[#This Row],[Competition]],"_",Tableau1[[#This Row],[Championship_step]],"_",Tableau1[[#This Row],[Competition_date]],"_",Tableau1[[#This Row],[Gender]])</f>
        <v>Diamond League Stockholm  2021__44381_Male</v>
      </c>
      <c r="Y834" t="s">
        <v>339</v>
      </c>
      <c r="Z834" t="s">
        <v>43</v>
      </c>
      <c r="AA834" s="2"/>
      <c r="AB834" s="2" t="s">
        <v>65</v>
      </c>
      <c r="AC834" s="2">
        <v>44381</v>
      </c>
      <c r="AD834">
        <v>2021</v>
      </c>
      <c r="AE834" s="3">
        <v>26</v>
      </c>
      <c r="AF834" s="5">
        <v>0.46</v>
      </c>
      <c r="AG834" s="3" t="s">
        <v>71</v>
      </c>
    </row>
    <row r="835" spans="1:33" hidden="1" x14ac:dyDescent="0.35">
      <c r="A835" t="str">
        <f>_xlfn.CONCAT(Tableau1[[#This Row],[Athletes]],"_",Tableau1[[#This Row],[Nationality]],"_",Tableau1[[#This Row],[Competition_year]])</f>
        <v>Viktória WAGNER-GYÜRKÉS_HUN_2022</v>
      </c>
      <c r="B835" t="s">
        <v>1294</v>
      </c>
      <c r="C835" t="s">
        <v>47</v>
      </c>
      <c r="D835" t="s">
        <v>105</v>
      </c>
      <c r="E835">
        <v>16.3</v>
      </c>
      <c r="F835">
        <v>16.900000000000002</v>
      </c>
      <c r="G835">
        <v>17</v>
      </c>
      <c r="H835">
        <v>16.799999999999997</v>
      </c>
      <c r="I835">
        <v>16.799999999999997</v>
      </c>
      <c r="J835">
        <v>17.299999999999997</v>
      </c>
      <c r="K835">
        <v>16.900000000000006</v>
      </c>
      <c r="L835">
        <v>17</v>
      </c>
      <c r="M835">
        <v>17.099999999999994</v>
      </c>
      <c r="N835">
        <v>17.400000000000006</v>
      </c>
      <c r="O835">
        <v>16.699999999999989</v>
      </c>
      <c r="P835">
        <v>16.700000000000017</v>
      </c>
      <c r="Q835">
        <v>16.099999999999994</v>
      </c>
      <c r="R835">
        <v>15.800000000000011</v>
      </c>
      <c r="S835">
        <f>Tableau1[[#This Row],[Final_time]]-SUM(Tableau1[[#This Row],[0_100m]:[1300_1400m]])</f>
        <v>15.079999999999984</v>
      </c>
      <c r="T835">
        <v>249.88</v>
      </c>
      <c r="U835">
        <f t="shared" si="26"/>
        <v>249.88</v>
      </c>
      <c r="V835">
        <f t="shared" si="27"/>
        <v>0</v>
      </c>
      <c r="W835" s="12"/>
      <c r="X835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35" t="s">
        <v>309</v>
      </c>
      <c r="Z835" t="s">
        <v>43</v>
      </c>
      <c r="AB835" t="s">
        <v>65</v>
      </c>
      <c r="AC835" s="2">
        <v>44742</v>
      </c>
      <c r="AD835">
        <v>2022</v>
      </c>
      <c r="AE835">
        <v>24</v>
      </c>
      <c r="AF835" s="5">
        <v>0.66</v>
      </c>
      <c r="AG835" s="3" t="s">
        <v>62</v>
      </c>
    </row>
    <row r="836" spans="1:33" hidden="1" x14ac:dyDescent="0.35">
      <c r="A836" t="str">
        <f>_xlfn.CONCAT(Tableau1[[#This Row],[Athletes]],"_",Tableau1[[#This Row],[Nationality]],"_",Tableau1[[#This Row],[Competition_year]])</f>
        <v>Linden HALL_AUS_2022</v>
      </c>
      <c r="B836" t="s">
        <v>184</v>
      </c>
      <c r="C836" t="s">
        <v>47</v>
      </c>
      <c r="D836" t="s">
        <v>21</v>
      </c>
      <c r="E836">
        <v>15.4</v>
      </c>
      <c r="F836">
        <v>16.7</v>
      </c>
      <c r="G836">
        <v>17</v>
      </c>
      <c r="H836">
        <v>16.5</v>
      </c>
      <c r="I836">
        <v>16.8</v>
      </c>
      <c r="J836">
        <v>16.899999999999999</v>
      </c>
      <c r="K836">
        <v>17.100000000000001</v>
      </c>
      <c r="L836">
        <v>16.600000000000001</v>
      </c>
      <c r="M836">
        <v>16</v>
      </c>
      <c r="N836">
        <v>15.9</v>
      </c>
      <c r="O836">
        <v>15.7</v>
      </c>
      <c r="P836">
        <v>15.6</v>
      </c>
      <c r="Q836">
        <v>14.9</v>
      </c>
      <c r="R836">
        <v>16</v>
      </c>
      <c r="S836">
        <f>Tableau1[[#This Row],[Final_time]]-SUM(Tableau1[[#This Row],[0_100m]:[1300_1400m]])</f>
        <v>15.550000000000011</v>
      </c>
      <c r="T836">
        <v>242.64999999999998</v>
      </c>
      <c r="U836">
        <f t="shared" si="26"/>
        <v>242.64999999999998</v>
      </c>
      <c r="V836">
        <f t="shared" si="27"/>
        <v>0</v>
      </c>
      <c r="W836" s="12"/>
      <c r="X836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36" t="s">
        <v>309</v>
      </c>
      <c r="Z836" t="s">
        <v>43</v>
      </c>
      <c r="AB836" t="s">
        <v>65</v>
      </c>
      <c r="AC836" s="2">
        <v>44742</v>
      </c>
      <c r="AD836">
        <v>2022</v>
      </c>
      <c r="AE836">
        <v>24</v>
      </c>
      <c r="AF836" s="5">
        <v>0.66</v>
      </c>
      <c r="AG836" s="3" t="s">
        <v>62</v>
      </c>
    </row>
    <row r="837" spans="1:33" hidden="1" x14ac:dyDescent="0.35">
      <c r="A837" t="str">
        <f>_xlfn.CONCAT(Tableau1[[#This Row],[Athletes]],"_",Tableau1[[#This Row],[Nationality]],"_",Tableau1[[#This Row],[Competition_year]])</f>
        <v>Sarah HEALY_IRL_2022</v>
      </c>
      <c r="B837" t="s">
        <v>166</v>
      </c>
      <c r="C837" t="s">
        <v>47</v>
      </c>
      <c r="D837" t="s">
        <v>35</v>
      </c>
      <c r="E837">
        <v>15.6</v>
      </c>
      <c r="F837">
        <v>16.899999999999999</v>
      </c>
      <c r="G837">
        <v>17.100000000000001</v>
      </c>
      <c r="H837">
        <v>16.499999999999993</v>
      </c>
      <c r="I837">
        <v>16.800000000000011</v>
      </c>
      <c r="J837">
        <v>17</v>
      </c>
      <c r="K837">
        <v>17</v>
      </c>
      <c r="L837">
        <v>16.799999999999983</v>
      </c>
      <c r="M837">
        <v>15.900000000000006</v>
      </c>
      <c r="N837">
        <v>16.200000000000017</v>
      </c>
      <c r="O837">
        <v>16.299999999999983</v>
      </c>
      <c r="P837">
        <v>16.700000000000017</v>
      </c>
      <c r="Q837">
        <v>16.899999999999977</v>
      </c>
      <c r="R837">
        <v>17.100000000000023</v>
      </c>
      <c r="S837">
        <f>Tableau1[[#This Row],[Final_time]]-SUM(Tableau1[[#This Row],[0_100m]:[1300_1400m]])</f>
        <v>16.009999999999991</v>
      </c>
      <c r="T837">
        <v>248.81</v>
      </c>
      <c r="U837">
        <f t="shared" si="26"/>
        <v>248.81</v>
      </c>
      <c r="V837">
        <f t="shared" si="27"/>
        <v>0</v>
      </c>
      <c r="W837" s="12"/>
      <c r="X837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37" t="s">
        <v>309</v>
      </c>
      <c r="Z837" t="s">
        <v>43</v>
      </c>
      <c r="AB837" t="s">
        <v>65</v>
      </c>
      <c r="AC837" s="2">
        <v>44742</v>
      </c>
      <c r="AD837">
        <v>2022</v>
      </c>
      <c r="AE837">
        <v>24</v>
      </c>
      <c r="AF837" s="5">
        <v>0.66</v>
      </c>
      <c r="AG837" s="3" t="s">
        <v>62</v>
      </c>
    </row>
    <row r="838" spans="1:33" hidden="1" x14ac:dyDescent="0.35">
      <c r="A838" t="str">
        <f>_xlfn.CONCAT(Tableau1[[#This Row],[Athletes]],"_",Tableau1[[#This Row],[Nationality]],"_",Tableau1[[#This Row],[Competition_year]])</f>
        <v>Winnie NANYONDO_UGA_2022</v>
      </c>
      <c r="B838" t="s">
        <v>241</v>
      </c>
      <c r="C838" t="s">
        <v>47</v>
      </c>
      <c r="D838" t="s">
        <v>52</v>
      </c>
      <c r="E838">
        <v>15.3</v>
      </c>
      <c r="F838">
        <v>16.8</v>
      </c>
      <c r="G838">
        <v>17.100000000000001</v>
      </c>
      <c r="H838">
        <v>16.600000000000001</v>
      </c>
      <c r="I838">
        <v>16.8</v>
      </c>
      <c r="J838">
        <v>17</v>
      </c>
      <c r="K838">
        <v>17</v>
      </c>
      <c r="L838">
        <v>16.7</v>
      </c>
      <c r="M838">
        <v>16</v>
      </c>
      <c r="N838">
        <v>15.9</v>
      </c>
      <c r="O838">
        <v>15.7</v>
      </c>
      <c r="P838">
        <v>15.6</v>
      </c>
      <c r="Q838">
        <v>14.6</v>
      </c>
      <c r="R838">
        <v>16.2</v>
      </c>
      <c r="S838">
        <f>Tableau1[[#This Row],[Final_time]]-SUM(Tableau1[[#This Row],[0_100m]:[1300_1400m]])</f>
        <v>16.359999999999985</v>
      </c>
      <c r="T838">
        <v>243.65999999999997</v>
      </c>
      <c r="U838">
        <f t="shared" si="26"/>
        <v>243.65999999999997</v>
      </c>
      <c r="V838">
        <f t="shared" si="27"/>
        <v>0</v>
      </c>
      <c r="W838" s="12"/>
      <c r="X838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38" t="s">
        <v>309</v>
      </c>
      <c r="Z838" t="s">
        <v>43</v>
      </c>
      <c r="AB838" t="s">
        <v>65</v>
      </c>
      <c r="AC838" s="2">
        <v>44742</v>
      </c>
      <c r="AD838">
        <v>2022</v>
      </c>
      <c r="AE838">
        <v>24</v>
      </c>
      <c r="AF838" s="5">
        <v>0.66</v>
      </c>
      <c r="AG838" s="3" t="s">
        <v>62</v>
      </c>
    </row>
    <row r="839" spans="1:33" hidden="1" x14ac:dyDescent="0.35">
      <c r="A839" t="str">
        <f>_xlfn.CONCAT(Tableau1[[#This Row],[Athletes]],"_",Tableau1[[#This Row],[Nationality]],"_",Tableau1[[#This Row],[Competition_year]])</f>
        <v>Georgia GRIFFITH_AUS_2022</v>
      </c>
      <c r="B839" t="s">
        <v>248</v>
      </c>
      <c r="C839" t="s">
        <v>47</v>
      </c>
      <c r="D839" t="s">
        <v>21</v>
      </c>
      <c r="E839">
        <v>15.5</v>
      </c>
      <c r="F839">
        <v>16.8</v>
      </c>
      <c r="G839">
        <v>17.100000000000001</v>
      </c>
      <c r="H839">
        <v>16.600000000000001</v>
      </c>
      <c r="I839">
        <v>16.7</v>
      </c>
      <c r="J839">
        <v>17</v>
      </c>
      <c r="K839">
        <v>16.899999999999999</v>
      </c>
      <c r="L839">
        <v>16.899999999999999</v>
      </c>
      <c r="M839">
        <v>15.9</v>
      </c>
      <c r="N839">
        <v>15.9</v>
      </c>
      <c r="O839">
        <v>15.8</v>
      </c>
      <c r="P839">
        <v>15.7</v>
      </c>
      <c r="Q839">
        <v>14.3</v>
      </c>
      <c r="R839">
        <v>16.899999999999999</v>
      </c>
      <c r="S839">
        <f>Tableau1[[#This Row],[Final_time]]-SUM(Tableau1[[#This Row],[0_100m]:[1300_1400m]])</f>
        <v>16.75</v>
      </c>
      <c r="T839">
        <v>244.75000000000003</v>
      </c>
      <c r="U839">
        <f t="shared" si="26"/>
        <v>244.75000000000003</v>
      </c>
      <c r="V839">
        <f t="shared" si="27"/>
        <v>0</v>
      </c>
      <c r="W839" s="12"/>
      <c r="X839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39" t="s">
        <v>309</v>
      </c>
      <c r="Z839" t="s">
        <v>43</v>
      </c>
      <c r="AB839" t="s">
        <v>65</v>
      </c>
      <c r="AC839" s="2">
        <v>44742</v>
      </c>
      <c r="AD839">
        <v>2022</v>
      </c>
      <c r="AE839">
        <v>24</v>
      </c>
      <c r="AF839" s="5">
        <v>0.66</v>
      </c>
      <c r="AG839" s="3" t="s">
        <v>62</v>
      </c>
    </row>
    <row r="840" spans="1:33" hidden="1" x14ac:dyDescent="0.35">
      <c r="A840" t="str">
        <f>_xlfn.CONCAT(Tableau1[[#This Row],[Athletes]],"_",Tableau1[[#This Row],[Nationality]],"_",Tableau1[[#This Row],[Competition_year]])</f>
        <v>Águeda MARQUÉS_ESP_2022</v>
      </c>
      <c r="B840" t="s">
        <v>724</v>
      </c>
      <c r="C840" t="s">
        <v>47</v>
      </c>
      <c r="D840" t="s">
        <v>22</v>
      </c>
      <c r="E840">
        <v>16.2</v>
      </c>
      <c r="F840">
        <v>16.7</v>
      </c>
      <c r="G840">
        <v>17</v>
      </c>
      <c r="H840">
        <v>16.699999999999996</v>
      </c>
      <c r="I840">
        <v>16.600000000000009</v>
      </c>
      <c r="J840">
        <v>17.099999999999994</v>
      </c>
      <c r="K840">
        <v>17</v>
      </c>
      <c r="L840">
        <v>16.799999999999997</v>
      </c>
      <c r="M840">
        <v>16</v>
      </c>
      <c r="N840">
        <v>16.099999999999994</v>
      </c>
      <c r="O840">
        <v>16.400000000000006</v>
      </c>
      <c r="P840">
        <v>16.5</v>
      </c>
      <c r="Q840">
        <v>15.400000000000006</v>
      </c>
      <c r="R840">
        <v>15.900000000000006</v>
      </c>
      <c r="S840">
        <f>Tableau1[[#This Row],[Final_time]]-SUM(Tableau1[[#This Row],[0_100m]:[1300_1400m]])</f>
        <v>17.109999999999985</v>
      </c>
      <c r="T840">
        <v>247.51</v>
      </c>
      <c r="U840">
        <f t="shared" si="26"/>
        <v>247.51</v>
      </c>
      <c r="V840">
        <f t="shared" si="27"/>
        <v>0</v>
      </c>
      <c r="W840" s="12"/>
      <c r="X840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40" t="s">
        <v>309</v>
      </c>
      <c r="Z840" t="s">
        <v>43</v>
      </c>
      <c r="AB840" t="s">
        <v>65</v>
      </c>
      <c r="AC840" s="2">
        <v>44742</v>
      </c>
      <c r="AD840">
        <v>2022</v>
      </c>
      <c r="AE840">
        <v>24</v>
      </c>
      <c r="AF840" s="5">
        <v>0.66</v>
      </c>
      <c r="AG840" s="3" t="s">
        <v>62</v>
      </c>
    </row>
    <row r="841" spans="1:33" hidden="1" x14ac:dyDescent="0.35">
      <c r="A841" t="str">
        <f>_xlfn.CONCAT(Tableau1[[#This Row],[Athletes]],"_",Tableau1[[#This Row],[Nationality]],"_",Tableau1[[#This Row],[Competition_year]])</f>
        <v>Klaudia KAZIMIERSKA_POL_2022</v>
      </c>
      <c r="B841" t="s">
        <v>1043</v>
      </c>
      <c r="C841" t="s">
        <v>47</v>
      </c>
      <c r="D841" t="s">
        <v>83</v>
      </c>
      <c r="E841">
        <v>16.5</v>
      </c>
      <c r="F841">
        <v>16.799999999999997</v>
      </c>
      <c r="G841">
        <v>16.700000000000003</v>
      </c>
      <c r="H841">
        <v>16.700000000000003</v>
      </c>
      <c r="I841">
        <v>16.5</v>
      </c>
      <c r="J841">
        <v>17</v>
      </c>
      <c r="K841">
        <v>17</v>
      </c>
      <c r="L841">
        <v>16.799999999999997</v>
      </c>
      <c r="M841">
        <v>16.400000000000006</v>
      </c>
      <c r="N841">
        <v>16.099999999999994</v>
      </c>
      <c r="O841">
        <v>16.400000000000006</v>
      </c>
      <c r="P841">
        <v>16.5</v>
      </c>
      <c r="Q841">
        <v>16.400000000000006</v>
      </c>
      <c r="R841">
        <v>16.699999999999989</v>
      </c>
      <c r="S841">
        <f>Tableau1[[#This Row],[Final_time]]-SUM(Tableau1[[#This Row],[0_100m]:[1300_1400m]])</f>
        <v>17.370000000000005</v>
      </c>
      <c r="T841">
        <v>249.87</v>
      </c>
      <c r="U841">
        <f t="shared" si="26"/>
        <v>249.87</v>
      </c>
      <c r="V841">
        <f t="shared" si="27"/>
        <v>0</v>
      </c>
      <c r="W841" s="12"/>
      <c r="X841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41" t="s">
        <v>309</v>
      </c>
      <c r="Z841" t="s">
        <v>43</v>
      </c>
      <c r="AB841" t="s">
        <v>65</v>
      </c>
      <c r="AC841" s="2">
        <v>44742</v>
      </c>
      <c r="AD841">
        <v>2022</v>
      </c>
      <c r="AE841">
        <v>24</v>
      </c>
      <c r="AF841" s="5">
        <v>0.66</v>
      </c>
      <c r="AG841" s="3" t="s">
        <v>62</v>
      </c>
    </row>
    <row r="842" spans="1:33" hidden="1" x14ac:dyDescent="0.35">
      <c r="A842" t="str">
        <f>_xlfn.CONCAT(Tableau1[[#This Row],[Athletes]],"_",Tableau1[[#This Row],[Nationality]],"_",Tableau1[[#This Row],[Competition_year]])</f>
        <v>Elisa BORTOLI_ITA_2022</v>
      </c>
      <c r="B842" t="s">
        <v>871</v>
      </c>
      <c r="C842" t="s">
        <v>47</v>
      </c>
      <c r="D842" t="s">
        <v>19</v>
      </c>
      <c r="E842">
        <v>16.399999999999999</v>
      </c>
      <c r="F842">
        <v>17.100000000000001</v>
      </c>
      <c r="G842">
        <v>16.899999999999999</v>
      </c>
      <c r="H842">
        <v>16.800000000000004</v>
      </c>
      <c r="I842">
        <v>16.700000000000003</v>
      </c>
      <c r="J842">
        <v>17.299999999999997</v>
      </c>
      <c r="K842">
        <v>17</v>
      </c>
      <c r="L842">
        <v>16.999999999999986</v>
      </c>
      <c r="M842">
        <v>17.100000000000023</v>
      </c>
      <c r="N842">
        <v>17.399999999999977</v>
      </c>
      <c r="O842">
        <v>17</v>
      </c>
      <c r="P842">
        <v>17</v>
      </c>
      <c r="Q842">
        <v>17.100000000000023</v>
      </c>
      <c r="R842">
        <v>17.5</v>
      </c>
      <c r="S842">
        <f>Tableau1[[#This Row],[Final_time]]-SUM(Tableau1[[#This Row],[0_100m]:[1300_1400m]])</f>
        <v>17.609999999999985</v>
      </c>
      <c r="T842">
        <v>255.91</v>
      </c>
      <c r="U842">
        <f t="shared" si="26"/>
        <v>255.91</v>
      </c>
      <c r="V842">
        <f t="shared" si="27"/>
        <v>0</v>
      </c>
      <c r="W842" s="12"/>
      <c r="X842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42" t="s">
        <v>309</v>
      </c>
      <c r="Z842" t="s">
        <v>43</v>
      </c>
      <c r="AB842" t="s">
        <v>65</v>
      </c>
      <c r="AC842" s="2">
        <v>44742</v>
      </c>
      <c r="AD842">
        <v>2022</v>
      </c>
      <c r="AE842">
        <v>24</v>
      </c>
      <c r="AF842" s="5">
        <v>0.66</v>
      </c>
      <c r="AG842" s="3" t="s">
        <v>62</v>
      </c>
    </row>
    <row r="843" spans="1:33" hidden="1" x14ac:dyDescent="0.35">
      <c r="A843" t="str">
        <f>_xlfn.CONCAT(Tableau1[[#This Row],[Athletes]],"_",Tableau1[[#This Row],[Nationality]],"_",Tableau1[[#This Row],[Competition_year]])</f>
        <v>Sarah LAHTI_SWE_2022</v>
      </c>
      <c r="B843" t="s">
        <v>1236</v>
      </c>
      <c r="C843" t="s">
        <v>47</v>
      </c>
      <c r="D843" t="s">
        <v>56</v>
      </c>
      <c r="E843">
        <v>16.7</v>
      </c>
      <c r="F843">
        <v>16.900000000000002</v>
      </c>
      <c r="G843">
        <v>16.799999999999997</v>
      </c>
      <c r="H843">
        <v>16.699999999999996</v>
      </c>
      <c r="I843">
        <v>16.300000000000011</v>
      </c>
      <c r="J843">
        <v>17.099999999999994</v>
      </c>
      <c r="K843">
        <v>17</v>
      </c>
      <c r="L843">
        <v>16.900000000000006</v>
      </c>
      <c r="M843">
        <v>16.299999999999983</v>
      </c>
      <c r="N843">
        <v>16.400000000000006</v>
      </c>
      <c r="O843">
        <v>16.900000000000006</v>
      </c>
      <c r="P843">
        <v>17</v>
      </c>
      <c r="Q843">
        <v>17.599999999999994</v>
      </c>
      <c r="R843">
        <v>17.800000000000011</v>
      </c>
      <c r="S843">
        <f>Tableau1[[#This Row],[Final_time]]-SUM(Tableau1[[#This Row],[0_100m]:[1300_1400m]])</f>
        <v>18.03</v>
      </c>
      <c r="T843">
        <v>254.43</v>
      </c>
      <c r="U843">
        <f t="shared" si="26"/>
        <v>254.43</v>
      </c>
      <c r="V843">
        <f t="shared" si="27"/>
        <v>0</v>
      </c>
      <c r="W843" s="12"/>
      <c r="X843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43" t="s">
        <v>309</v>
      </c>
      <c r="Z843" t="s">
        <v>43</v>
      </c>
      <c r="AB843" t="s">
        <v>65</v>
      </c>
      <c r="AC843" s="2">
        <v>44742</v>
      </c>
      <c r="AD843">
        <v>2022</v>
      </c>
      <c r="AE843">
        <v>24</v>
      </c>
      <c r="AF843" s="5">
        <v>0.66</v>
      </c>
      <c r="AG843" s="3" t="s">
        <v>62</v>
      </c>
    </row>
    <row r="844" spans="1:33" hidden="1" x14ac:dyDescent="0.35">
      <c r="A844" t="str">
        <f>_xlfn.CONCAT(Tableau1[[#This Row],[Athletes]],"_",Tableau1[[#This Row],[Nationality]],"_",Tableau1[[#This Row],[Competition_year]])</f>
        <v>Ellie BAKER_GBR_2022</v>
      </c>
      <c r="B844" t="s">
        <v>877</v>
      </c>
      <c r="C844" t="s">
        <v>47</v>
      </c>
      <c r="D844" t="s">
        <v>20</v>
      </c>
      <c r="E844">
        <v>15.6</v>
      </c>
      <c r="F844">
        <v>16.899999999999999</v>
      </c>
      <c r="G844">
        <v>17</v>
      </c>
      <c r="H844">
        <v>16.599999999999994</v>
      </c>
      <c r="I844">
        <v>16.700000000000003</v>
      </c>
      <c r="J844">
        <v>17</v>
      </c>
      <c r="K844">
        <v>17</v>
      </c>
      <c r="L844">
        <v>16.799999999999997</v>
      </c>
      <c r="M844">
        <v>15.900000000000006</v>
      </c>
      <c r="N844">
        <v>16</v>
      </c>
      <c r="O844">
        <v>15.800000000000011</v>
      </c>
      <c r="P844">
        <v>15.799999999999983</v>
      </c>
      <c r="Q844">
        <v>16.300000000000011</v>
      </c>
      <c r="R844">
        <v>17</v>
      </c>
      <c r="S844">
        <f>Tableau1[[#This Row],[Final_time]]-SUM(Tableau1[[#This Row],[0_100m]:[1300_1400m]])</f>
        <v>18.22999999999999</v>
      </c>
      <c r="T844">
        <v>248.63</v>
      </c>
      <c r="U844">
        <f t="shared" si="26"/>
        <v>248.63</v>
      </c>
      <c r="V844">
        <f t="shared" si="27"/>
        <v>0</v>
      </c>
      <c r="W844" s="12"/>
      <c r="X844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44" t="s">
        <v>309</v>
      </c>
      <c r="Z844" t="s">
        <v>43</v>
      </c>
      <c r="AB844" t="s">
        <v>65</v>
      </c>
      <c r="AC844" s="2">
        <v>44742</v>
      </c>
      <c r="AD844">
        <v>2022</v>
      </c>
      <c r="AE844">
        <v>24</v>
      </c>
      <c r="AF844" s="5">
        <v>0.66</v>
      </c>
      <c r="AG844" s="3" t="s">
        <v>62</v>
      </c>
    </row>
    <row r="845" spans="1:33" hidden="1" x14ac:dyDescent="0.35">
      <c r="A845" t="str">
        <f>_xlfn.CONCAT(Tableau1[[#This Row],[Athletes]],"_",Tableau1[[#This Row],[Nationality]],"_",Tableau1[[#This Row],[Competition_year]])</f>
        <v>Caterina GRANZ_GER_2022</v>
      </c>
      <c r="B845" t="s">
        <v>813</v>
      </c>
      <c r="C845" t="s">
        <v>47</v>
      </c>
      <c r="D845" t="s">
        <v>34</v>
      </c>
      <c r="E845">
        <v>15.9</v>
      </c>
      <c r="F845">
        <v>16.899999999999999</v>
      </c>
      <c r="G845">
        <v>17</v>
      </c>
      <c r="H845">
        <v>16.5</v>
      </c>
      <c r="I845">
        <v>16.799999999999997</v>
      </c>
      <c r="J845">
        <v>16.900000000000006</v>
      </c>
      <c r="K845">
        <v>17.099999999999994</v>
      </c>
      <c r="L845">
        <v>16.800000000000011</v>
      </c>
      <c r="M845">
        <v>16</v>
      </c>
      <c r="N845">
        <v>16.099999999999994</v>
      </c>
      <c r="O845">
        <v>16.400000000000006</v>
      </c>
      <c r="P845">
        <v>16.699999999999989</v>
      </c>
      <c r="Q845">
        <v>17.5</v>
      </c>
      <c r="R845">
        <v>18.599999999999994</v>
      </c>
      <c r="S845">
        <f>Tableau1[[#This Row],[Final_time]]-SUM(Tableau1[[#This Row],[0_100m]:[1300_1400m]])</f>
        <v>21.079999999999984</v>
      </c>
      <c r="T845">
        <v>256.27999999999997</v>
      </c>
      <c r="U845">
        <f t="shared" si="26"/>
        <v>256.27999999999997</v>
      </c>
      <c r="V845">
        <f t="shared" si="27"/>
        <v>0</v>
      </c>
      <c r="W845" s="12"/>
      <c r="X845" t="str">
        <f>_xlfn.CONCAT(Tableau1[[#This Row],[Competition]],"_",Tableau1[[#This Row],[Championship_step]],"_",Tableau1[[#This Row],[Competition_date]],"_",Tableau1[[#This Row],[Gender]])</f>
        <v>Diamond League Stockholm 2022__44742_Female</v>
      </c>
      <c r="Y845" t="s">
        <v>309</v>
      </c>
      <c r="Z845" t="s">
        <v>43</v>
      </c>
      <c r="AB845" t="s">
        <v>65</v>
      </c>
      <c r="AC845" s="2">
        <v>44742</v>
      </c>
      <c r="AD845">
        <v>2022</v>
      </c>
      <c r="AE845">
        <v>24</v>
      </c>
      <c r="AF845" s="5">
        <v>0.66</v>
      </c>
      <c r="AG845" s="3" t="s">
        <v>62</v>
      </c>
    </row>
    <row r="846" spans="1:33" hidden="1" x14ac:dyDescent="0.35">
      <c r="A846" t="str">
        <f>_xlfn.CONCAT(Tableau1[[#This Row],[Athletes]],"_",Tableau1[[#This Row],[Nationality]],"_",Tableau1[[#This Row],[Competition_year]])</f>
        <v>Filip SASÍNEK_CZE_2022</v>
      </c>
      <c r="B846" t="s">
        <v>262</v>
      </c>
      <c r="C846" t="s">
        <v>16</v>
      </c>
      <c r="D846" t="s">
        <v>140</v>
      </c>
      <c r="E846">
        <v>13.7</v>
      </c>
      <c r="F846">
        <v>14.3</v>
      </c>
      <c r="G846">
        <v>14.7</v>
      </c>
      <c r="H846">
        <v>14.5</v>
      </c>
      <c r="I846">
        <v>15.2</v>
      </c>
      <c r="J846">
        <v>14.7</v>
      </c>
      <c r="K846">
        <v>14.7</v>
      </c>
      <c r="L846">
        <v>15</v>
      </c>
      <c r="M846">
        <v>15.1</v>
      </c>
      <c r="N846">
        <v>15.2</v>
      </c>
      <c r="O846">
        <v>15</v>
      </c>
      <c r="P846">
        <v>14.8</v>
      </c>
      <c r="Q846">
        <v>13.6</v>
      </c>
      <c r="R846">
        <v>13.1</v>
      </c>
      <c r="S846">
        <f>Tableau1[[#This Row],[Final_time]]-SUM(Tableau1[[#This Row],[0_100m]:[1300_1400m]])</f>
        <v>12.960000000000008</v>
      </c>
      <c r="T846">
        <v>216.56</v>
      </c>
      <c r="U846">
        <f t="shared" si="26"/>
        <v>216.56</v>
      </c>
      <c r="V846">
        <f t="shared" si="27"/>
        <v>0</v>
      </c>
      <c r="W846" s="12"/>
      <c r="X84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46" t="s">
        <v>309</v>
      </c>
      <c r="Z846" t="s">
        <v>43</v>
      </c>
      <c r="AB846" t="s">
        <v>65</v>
      </c>
      <c r="AC846" s="2">
        <v>44742</v>
      </c>
      <c r="AD846">
        <v>2022</v>
      </c>
      <c r="AE846">
        <v>24</v>
      </c>
      <c r="AF846" s="5">
        <v>0.75</v>
      </c>
      <c r="AG846" s="3" t="s">
        <v>62</v>
      </c>
    </row>
    <row r="847" spans="1:33" hidden="1" x14ac:dyDescent="0.35">
      <c r="A847" t="str">
        <f>_xlfn.CONCAT(Tableau1[[#This Row],[Athletes]],"_",Tableau1[[#This Row],[Nationality]],"_",Tableau1[[#This Row],[Competition_year]])</f>
        <v>Ronald MUSAGALA_UGA_2022</v>
      </c>
      <c r="B847" t="s">
        <v>265</v>
      </c>
      <c r="C847" t="s">
        <v>16</v>
      </c>
      <c r="D847" t="s">
        <v>52</v>
      </c>
      <c r="E847">
        <v>13.5</v>
      </c>
      <c r="F847">
        <v>14.3</v>
      </c>
      <c r="G847">
        <v>14.7</v>
      </c>
      <c r="H847">
        <v>14.5</v>
      </c>
      <c r="I847">
        <v>15.4</v>
      </c>
      <c r="J847">
        <v>14.5</v>
      </c>
      <c r="K847">
        <v>14.7</v>
      </c>
      <c r="L847">
        <v>15</v>
      </c>
      <c r="M847">
        <v>15.1</v>
      </c>
      <c r="N847">
        <v>15.2</v>
      </c>
      <c r="O847">
        <v>14.9</v>
      </c>
      <c r="P847">
        <v>14.5</v>
      </c>
      <c r="Q847">
        <v>13.9</v>
      </c>
      <c r="R847">
        <v>13.7</v>
      </c>
      <c r="S847">
        <f>Tableau1[[#This Row],[Final_time]]-SUM(Tableau1[[#This Row],[0_100m]:[1300_1400m]])</f>
        <v>13</v>
      </c>
      <c r="T847">
        <v>216.9</v>
      </c>
      <c r="U847">
        <f t="shared" si="26"/>
        <v>216.9</v>
      </c>
      <c r="V847">
        <f t="shared" si="27"/>
        <v>0</v>
      </c>
      <c r="W847" s="12"/>
      <c r="X847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47" t="s">
        <v>309</v>
      </c>
      <c r="Z847" t="s">
        <v>43</v>
      </c>
      <c r="AB847" t="s">
        <v>65</v>
      </c>
      <c r="AC847" s="2">
        <v>44742</v>
      </c>
      <c r="AD847">
        <v>2022</v>
      </c>
      <c r="AE847">
        <v>24</v>
      </c>
      <c r="AF847" s="5">
        <v>0.75</v>
      </c>
      <c r="AG847" s="3" t="s">
        <v>62</v>
      </c>
    </row>
    <row r="848" spans="1:33" hidden="1" x14ac:dyDescent="0.35">
      <c r="A848" t="str">
        <f>_xlfn.CONCAT(Tableau1[[#This Row],[Athletes]],"_",Tableau1[[#This Row],[Nationality]],"_",Tableau1[[#This Row],[Competition_year]])</f>
        <v>Matthew RAMSDEN_AUS_2022</v>
      </c>
      <c r="B848" t="s">
        <v>198</v>
      </c>
      <c r="C848" t="s">
        <v>16</v>
      </c>
      <c r="D848" t="s">
        <v>21</v>
      </c>
      <c r="E848">
        <v>14.1</v>
      </c>
      <c r="F848">
        <v>14.3</v>
      </c>
      <c r="G848">
        <v>14.8</v>
      </c>
      <c r="H848">
        <v>14.6</v>
      </c>
      <c r="I848">
        <v>14.6</v>
      </c>
      <c r="J848">
        <v>15.2</v>
      </c>
      <c r="K848">
        <v>14.6</v>
      </c>
      <c r="L848">
        <v>15.2</v>
      </c>
      <c r="M848">
        <v>14.7</v>
      </c>
      <c r="N848">
        <v>15.2</v>
      </c>
      <c r="O848">
        <v>15.1</v>
      </c>
      <c r="P848">
        <v>14.9</v>
      </c>
      <c r="Q848">
        <v>13.4</v>
      </c>
      <c r="R848">
        <v>13.3</v>
      </c>
      <c r="S848">
        <f>Tableau1[[#This Row],[Final_time]]-SUM(Tableau1[[#This Row],[0_100m]:[1300_1400m]])</f>
        <v>13.050000000000011</v>
      </c>
      <c r="T848">
        <v>217.05</v>
      </c>
      <c r="U848">
        <f t="shared" si="26"/>
        <v>217.05</v>
      </c>
      <c r="V848">
        <f t="shared" si="27"/>
        <v>0</v>
      </c>
      <c r="W848" s="12"/>
      <c r="X848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48" t="s">
        <v>309</v>
      </c>
      <c r="Z848" t="s">
        <v>43</v>
      </c>
      <c r="AB848" t="s">
        <v>65</v>
      </c>
      <c r="AC848" s="2">
        <v>44742</v>
      </c>
      <c r="AD848">
        <v>2022</v>
      </c>
      <c r="AE848">
        <v>24</v>
      </c>
      <c r="AF848" s="5">
        <v>0.75</v>
      </c>
      <c r="AG848" s="3" t="s">
        <v>62</v>
      </c>
    </row>
    <row r="849" spans="1:33" hidden="1" x14ac:dyDescent="0.35">
      <c r="A849" t="str">
        <f>_xlfn.CONCAT(Tableau1[[#This Row],[Athletes]],"_",Tableau1[[#This Row],[Nationality]],"_",Tableau1[[#This Row],[Competition_year]])</f>
        <v>Matthew STONIER_GBR_2022</v>
      </c>
      <c r="B849" t="s">
        <v>278</v>
      </c>
      <c r="C849" t="s">
        <v>16</v>
      </c>
      <c r="D849" t="s">
        <v>20</v>
      </c>
      <c r="E849">
        <v>13.9</v>
      </c>
      <c r="F849">
        <v>14.3</v>
      </c>
      <c r="G849">
        <v>14.8</v>
      </c>
      <c r="H849">
        <v>14.5</v>
      </c>
      <c r="I849">
        <v>14.9</v>
      </c>
      <c r="J849">
        <v>14.9</v>
      </c>
      <c r="K849">
        <v>14.7</v>
      </c>
      <c r="L849">
        <v>15</v>
      </c>
      <c r="M849">
        <v>15.1</v>
      </c>
      <c r="N849">
        <v>15.4</v>
      </c>
      <c r="O849">
        <v>14.8</v>
      </c>
      <c r="P849">
        <v>14.7</v>
      </c>
      <c r="Q849">
        <v>13.4</v>
      </c>
      <c r="R849">
        <v>12.9</v>
      </c>
      <c r="S849">
        <f>Tableau1[[#This Row],[Final_time]]-SUM(Tableau1[[#This Row],[0_100m]:[1300_1400m]])</f>
        <v>13.300000000000011</v>
      </c>
      <c r="T849">
        <v>216.60000000000005</v>
      </c>
      <c r="U849">
        <f t="shared" si="26"/>
        <v>216.60000000000005</v>
      </c>
      <c r="V849">
        <f t="shared" si="27"/>
        <v>0</v>
      </c>
      <c r="W849" s="12"/>
      <c r="X849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49" t="s">
        <v>309</v>
      </c>
      <c r="Z849" t="s">
        <v>43</v>
      </c>
      <c r="AB849" t="s">
        <v>65</v>
      </c>
      <c r="AC849" s="2">
        <v>44742</v>
      </c>
      <c r="AD849">
        <v>2022</v>
      </c>
      <c r="AE849">
        <v>24</v>
      </c>
      <c r="AF849" s="5">
        <v>0.75</v>
      </c>
      <c r="AG849" s="3" t="s">
        <v>62</v>
      </c>
    </row>
    <row r="850" spans="1:33" hidden="1" x14ac:dyDescent="0.35">
      <c r="A850" t="str">
        <f>_xlfn.CONCAT(Tableau1[[#This Row],[Athletes]],"_",Tableau1[[#This Row],[Nationality]],"_",Tableau1[[#This Row],[Competition_year]])</f>
        <v>Andrew COSCORAN_IRL_2022</v>
      </c>
      <c r="B850" t="s">
        <v>232</v>
      </c>
      <c r="C850" t="s">
        <v>16</v>
      </c>
      <c r="D850" t="s">
        <v>35</v>
      </c>
      <c r="E850">
        <v>13.4</v>
      </c>
      <c r="F850">
        <v>14.2</v>
      </c>
      <c r="G850">
        <v>14.6</v>
      </c>
      <c r="H850">
        <v>14.6</v>
      </c>
      <c r="I850">
        <v>15.6</v>
      </c>
      <c r="J850">
        <v>14.4</v>
      </c>
      <c r="K850">
        <v>15.1</v>
      </c>
      <c r="L850">
        <v>15.3</v>
      </c>
      <c r="M850">
        <v>15.2</v>
      </c>
      <c r="N850">
        <v>15.3</v>
      </c>
      <c r="O850">
        <v>14.4</v>
      </c>
      <c r="P850">
        <v>14.6</v>
      </c>
      <c r="Q850">
        <v>13.4</v>
      </c>
      <c r="R850">
        <v>13.6</v>
      </c>
      <c r="S850">
        <f>Tableau1[[#This Row],[Final_time]]-SUM(Tableau1[[#This Row],[0_100m]:[1300_1400m]])</f>
        <v>13.629999999999995</v>
      </c>
      <c r="T850">
        <v>217.33</v>
      </c>
      <c r="U850">
        <f t="shared" si="26"/>
        <v>217.33</v>
      </c>
      <c r="V850">
        <f t="shared" si="27"/>
        <v>0</v>
      </c>
      <c r="W850" s="12"/>
      <c r="X850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0" t="s">
        <v>309</v>
      </c>
      <c r="Z850" t="s">
        <v>43</v>
      </c>
      <c r="AB850" t="s">
        <v>65</v>
      </c>
      <c r="AC850" s="2">
        <v>44742</v>
      </c>
      <c r="AD850">
        <v>2022</v>
      </c>
      <c r="AE850">
        <v>24</v>
      </c>
      <c r="AF850" s="5">
        <v>0.75</v>
      </c>
      <c r="AG850" s="3" t="s">
        <v>62</v>
      </c>
    </row>
    <row r="851" spans="1:33" hidden="1" x14ac:dyDescent="0.35">
      <c r="A851" t="str">
        <f>_xlfn.CONCAT(Tableau1[[#This Row],[Athletes]],"_",Tableau1[[#This Row],[Nationality]],"_",Tableau1[[#This Row],[Competition_year]])</f>
        <v>Samuel PIHLSTRÖM_SWE_2022</v>
      </c>
      <c r="B851" t="s">
        <v>1220</v>
      </c>
      <c r="C851" t="s">
        <v>16</v>
      </c>
      <c r="D851" t="s">
        <v>56</v>
      </c>
      <c r="E851">
        <v>14</v>
      </c>
      <c r="F851">
        <v>14.5</v>
      </c>
      <c r="G851">
        <v>15.1</v>
      </c>
      <c r="H851">
        <v>14.7</v>
      </c>
      <c r="I851">
        <v>15.1</v>
      </c>
      <c r="J851">
        <v>14.6</v>
      </c>
      <c r="K851">
        <v>14.4</v>
      </c>
      <c r="L851">
        <v>15.2</v>
      </c>
      <c r="M851">
        <v>15</v>
      </c>
      <c r="N851">
        <v>15.3</v>
      </c>
      <c r="O851">
        <v>14</v>
      </c>
      <c r="P851">
        <v>14.6</v>
      </c>
      <c r="Q851">
        <v>13.3</v>
      </c>
      <c r="R851">
        <v>13.4</v>
      </c>
      <c r="S851">
        <f>Tableau1[[#This Row],[Final_time]]-SUM(Tableau1[[#This Row],[0_100m]:[1300_1400m]])</f>
        <v>14.030000000000001</v>
      </c>
      <c r="T851">
        <v>217.23000000000002</v>
      </c>
      <c r="U851">
        <f t="shared" si="26"/>
        <v>217.23000000000002</v>
      </c>
      <c r="V851">
        <f t="shared" si="27"/>
        <v>0</v>
      </c>
      <c r="W851" s="12"/>
      <c r="X851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1" t="s">
        <v>309</v>
      </c>
      <c r="Z851" t="s">
        <v>43</v>
      </c>
      <c r="AB851" t="s">
        <v>65</v>
      </c>
      <c r="AC851" s="2">
        <v>44742</v>
      </c>
      <c r="AD851">
        <v>2022</v>
      </c>
      <c r="AE851">
        <v>24</v>
      </c>
      <c r="AF851" s="5">
        <v>0.75</v>
      </c>
      <c r="AG851" s="3" t="s">
        <v>62</v>
      </c>
    </row>
    <row r="852" spans="1:33" hidden="1" x14ac:dyDescent="0.35">
      <c r="A852" t="str">
        <f>_xlfn.CONCAT(Tableau1[[#This Row],[Athletes]],"_",Tableau1[[#This Row],[Nationality]],"_",Tableau1[[#This Row],[Competition_year]])</f>
        <v>Gustav BERLIN_SWE_2022</v>
      </c>
      <c r="B852" t="s">
        <v>930</v>
      </c>
      <c r="C852" t="s">
        <v>16</v>
      </c>
      <c r="D852" t="s">
        <v>56</v>
      </c>
      <c r="E852">
        <v>14.4</v>
      </c>
      <c r="F852">
        <v>14.700000000000001</v>
      </c>
      <c r="G852">
        <v>14.799999999999997</v>
      </c>
      <c r="H852">
        <v>14.800000000000004</v>
      </c>
      <c r="I852">
        <v>14.799999999999997</v>
      </c>
      <c r="J852">
        <v>15</v>
      </c>
      <c r="K852">
        <v>14.599999999999994</v>
      </c>
      <c r="L852">
        <v>15</v>
      </c>
      <c r="M852">
        <v>15</v>
      </c>
      <c r="N852">
        <v>15.099999999999994</v>
      </c>
      <c r="O852">
        <v>14.400000000000006</v>
      </c>
      <c r="P852">
        <v>14.900000000000006</v>
      </c>
      <c r="Q852">
        <v>14.199999999999989</v>
      </c>
      <c r="R852">
        <v>14.300000000000011</v>
      </c>
      <c r="S852">
        <f>Tableau1[[#This Row],[Final_time]]-SUM(Tableau1[[#This Row],[0_100m]:[1300_1400m]])</f>
        <v>14.370000000000005</v>
      </c>
      <c r="T852">
        <v>220.37</v>
      </c>
      <c r="U852">
        <f t="shared" si="26"/>
        <v>220.37</v>
      </c>
      <c r="V852">
        <f t="shared" si="27"/>
        <v>0</v>
      </c>
      <c r="W852" s="12"/>
      <c r="X852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2" t="s">
        <v>309</v>
      </c>
      <c r="Z852" t="s">
        <v>43</v>
      </c>
      <c r="AB852" t="s">
        <v>65</v>
      </c>
      <c r="AC852" s="2">
        <v>44742</v>
      </c>
      <c r="AD852">
        <v>2022</v>
      </c>
      <c r="AE852">
        <v>24</v>
      </c>
      <c r="AF852" s="5">
        <v>0.75</v>
      </c>
      <c r="AG852" s="3" t="s">
        <v>62</v>
      </c>
    </row>
    <row r="853" spans="1:33" hidden="1" x14ac:dyDescent="0.35">
      <c r="A853" t="str">
        <f>_xlfn.CONCAT(Tableau1[[#This Row],[Athletes]],"_",Tableau1[[#This Row],[Nationality]],"_",Tableau1[[#This Row],[Competition_year]])</f>
        <v>Jonathan GRAHN_SWE_2022</v>
      </c>
      <c r="B853" t="s">
        <v>1004</v>
      </c>
      <c r="C853" t="s">
        <v>16</v>
      </c>
      <c r="D853" t="s">
        <v>56</v>
      </c>
      <c r="E853">
        <v>14.1</v>
      </c>
      <c r="F853">
        <v>14.6</v>
      </c>
      <c r="G853">
        <v>15.1</v>
      </c>
      <c r="H853">
        <v>14.7</v>
      </c>
      <c r="I853">
        <v>15.1</v>
      </c>
      <c r="J853">
        <v>14.7</v>
      </c>
      <c r="K853">
        <v>14.4</v>
      </c>
      <c r="L853">
        <v>15.1</v>
      </c>
      <c r="M853">
        <v>15.1</v>
      </c>
      <c r="N853">
        <v>15</v>
      </c>
      <c r="O853">
        <v>14.4</v>
      </c>
      <c r="P853">
        <v>15.1</v>
      </c>
      <c r="Q853">
        <v>14</v>
      </c>
      <c r="R853">
        <v>14.4</v>
      </c>
      <c r="S853">
        <f>Tableau1[[#This Row],[Final_time]]-SUM(Tableau1[[#This Row],[0_100m]:[1300_1400m]])</f>
        <v>14.490000000000009</v>
      </c>
      <c r="T853">
        <v>220.29000000000002</v>
      </c>
      <c r="U853">
        <f t="shared" si="26"/>
        <v>220.29000000000002</v>
      </c>
      <c r="V853">
        <f t="shared" si="27"/>
        <v>0</v>
      </c>
      <c r="W853" s="12"/>
      <c r="X853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3" t="s">
        <v>309</v>
      </c>
      <c r="Z853" t="s">
        <v>43</v>
      </c>
      <c r="AB853" t="s">
        <v>65</v>
      </c>
      <c r="AC853" s="2">
        <v>44742</v>
      </c>
      <c r="AD853">
        <v>2022</v>
      </c>
      <c r="AE853">
        <v>24</v>
      </c>
      <c r="AF853" s="5">
        <v>0.75</v>
      </c>
      <c r="AG853" s="3" t="s">
        <v>62</v>
      </c>
    </row>
    <row r="854" spans="1:33" hidden="1" x14ac:dyDescent="0.35">
      <c r="A854" t="str">
        <f>_xlfn.CONCAT(Tableau1[[#This Row],[Athletes]],"_",Tableau1[[#This Row],[Nationality]],"_",Tableau1[[#This Row],[Competition_year]])</f>
        <v>Kalle BERGLUND_SWE_2022</v>
      </c>
      <c r="B854" t="s">
        <v>347</v>
      </c>
      <c r="C854" t="s">
        <v>16</v>
      </c>
      <c r="D854" t="s">
        <v>56</v>
      </c>
      <c r="E854">
        <v>14.2</v>
      </c>
      <c r="F854">
        <v>14.7</v>
      </c>
      <c r="G854">
        <v>14.5</v>
      </c>
      <c r="H854">
        <v>14.6</v>
      </c>
      <c r="I854">
        <v>14.5</v>
      </c>
      <c r="J854">
        <v>15.3</v>
      </c>
      <c r="K854">
        <v>14.6</v>
      </c>
      <c r="L854">
        <v>15</v>
      </c>
      <c r="M854">
        <v>15</v>
      </c>
      <c r="N854">
        <v>15.1</v>
      </c>
      <c r="O854">
        <v>14.7</v>
      </c>
      <c r="P854">
        <v>14.7</v>
      </c>
      <c r="Q854">
        <v>13.8</v>
      </c>
      <c r="R854">
        <v>14.3</v>
      </c>
      <c r="S854">
        <f>Tableau1[[#This Row],[Final_time]]-SUM(Tableau1[[#This Row],[0_100m]:[1300_1400m]])</f>
        <v>14.919999999999987</v>
      </c>
      <c r="T854">
        <v>219.91999999999996</v>
      </c>
      <c r="U854">
        <f t="shared" si="26"/>
        <v>219.91999999999996</v>
      </c>
      <c r="V854">
        <f t="shared" si="27"/>
        <v>0</v>
      </c>
      <c r="W854" s="12"/>
      <c r="X854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4" t="s">
        <v>309</v>
      </c>
      <c r="Z854" t="s">
        <v>43</v>
      </c>
      <c r="AB854" t="s">
        <v>65</v>
      </c>
      <c r="AC854" s="2">
        <v>44742</v>
      </c>
      <c r="AD854">
        <v>2022</v>
      </c>
      <c r="AE854">
        <v>24</v>
      </c>
      <c r="AF854" s="5">
        <v>0.75</v>
      </c>
      <c r="AG854" s="3" t="s">
        <v>62</v>
      </c>
    </row>
    <row r="855" spans="1:33" hidden="1" x14ac:dyDescent="0.35">
      <c r="A855" t="str">
        <f>_xlfn.CONCAT(Tableau1[[#This Row],[Athletes]],"_",Tableau1[[#This Row],[Nationality]],"_",Tableau1[[#This Row],[Competition_year]])</f>
        <v>Alexander NILSSON_SWE_2022</v>
      </c>
      <c r="B855" t="s">
        <v>734</v>
      </c>
      <c r="C855" t="s">
        <v>16</v>
      </c>
      <c r="D855" t="s">
        <v>56</v>
      </c>
      <c r="E855">
        <v>14.6</v>
      </c>
      <c r="F855">
        <v>14.700000000000001</v>
      </c>
      <c r="G855">
        <v>14.900000000000002</v>
      </c>
      <c r="H855">
        <v>14.799999999999997</v>
      </c>
      <c r="I855">
        <v>14.900000000000006</v>
      </c>
      <c r="J855">
        <v>15</v>
      </c>
      <c r="K855">
        <v>15</v>
      </c>
      <c r="L855">
        <v>15</v>
      </c>
      <c r="M855">
        <v>15.299999999999983</v>
      </c>
      <c r="N855">
        <v>15.300000000000011</v>
      </c>
      <c r="O855">
        <v>15.300000000000011</v>
      </c>
      <c r="P855">
        <v>14.899999999999977</v>
      </c>
      <c r="Q855">
        <v>14.700000000000017</v>
      </c>
      <c r="R855">
        <v>15</v>
      </c>
      <c r="S855">
        <f>Tableau1[[#This Row],[Final_time]]-SUM(Tableau1[[#This Row],[0_100m]:[1300_1400m]])</f>
        <v>15.669999999999987</v>
      </c>
      <c r="T855">
        <v>225.07</v>
      </c>
      <c r="U855">
        <f t="shared" si="26"/>
        <v>225.07</v>
      </c>
      <c r="V855">
        <f t="shared" si="27"/>
        <v>0</v>
      </c>
      <c r="W855" s="12"/>
      <c r="X855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5" t="s">
        <v>309</v>
      </c>
      <c r="Z855" t="s">
        <v>43</v>
      </c>
      <c r="AB855" t="s">
        <v>65</v>
      </c>
      <c r="AC855" s="2">
        <v>44742</v>
      </c>
      <c r="AD855">
        <v>2022</v>
      </c>
      <c r="AE855">
        <v>24</v>
      </c>
      <c r="AF855" s="5">
        <v>0.75</v>
      </c>
      <c r="AG855" s="3" t="s">
        <v>62</v>
      </c>
    </row>
    <row r="856" spans="1:33" hidden="1" x14ac:dyDescent="0.35">
      <c r="A856" t="str">
        <f>_xlfn.CONCAT(Tableau1[[#This Row],[Athletes]],"_",Tableau1[[#This Row],[Nationality]],"_",Tableau1[[#This Row],[Competition_year]])</f>
        <v>Abdelfath YASSIN_SWE_2022</v>
      </c>
      <c r="B856" t="s">
        <v>696</v>
      </c>
      <c r="C856" t="s">
        <v>16</v>
      </c>
      <c r="D856" t="s">
        <v>56</v>
      </c>
      <c r="E856">
        <v>14.1</v>
      </c>
      <c r="F856">
        <v>14.6</v>
      </c>
      <c r="G856">
        <v>15.000000000000004</v>
      </c>
      <c r="H856">
        <v>14.799999999999997</v>
      </c>
      <c r="I856">
        <v>15.200000000000003</v>
      </c>
      <c r="J856">
        <v>14.799999999999997</v>
      </c>
      <c r="K856">
        <v>14.400000000000006</v>
      </c>
      <c r="L856">
        <v>15.099999999999994</v>
      </c>
      <c r="M856">
        <v>15.300000000000011</v>
      </c>
      <c r="N856">
        <v>15.199999999999989</v>
      </c>
      <c r="O856">
        <v>15.199999999999989</v>
      </c>
      <c r="P856">
        <v>15.400000000000006</v>
      </c>
      <c r="Q856">
        <v>15.700000000000017</v>
      </c>
      <c r="R856">
        <v>16.5</v>
      </c>
      <c r="S856">
        <f>Tableau1[[#This Row],[Final_time]]-SUM(Tableau1[[#This Row],[0_100m]:[1300_1400m]])</f>
        <v>17.419999999999987</v>
      </c>
      <c r="T856">
        <v>228.72</v>
      </c>
      <c r="U856">
        <f t="shared" si="26"/>
        <v>228.72</v>
      </c>
      <c r="V856">
        <f t="shared" si="27"/>
        <v>0</v>
      </c>
      <c r="W856" s="12"/>
      <c r="X856" t="str">
        <f>_xlfn.CONCAT(Tableau1[[#This Row],[Competition]],"_",Tableau1[[#This Row],[Championship_step]],"_",Tableau1[[#This Row],[Competition_date]],"_",Tableau1[[#This Row],[Gender]])</f>
        <v>Diamond League Stockholm 2022__44742_Male</v>
      </c>
      <c r="Y856" t="s">
        <v>309</v>
      </c>
      <c r="Z856" t="s">
        <v>43</v>
      </c>
      <c r="AB856" t="s">
        <v>65</v>
      </c>
      <c r="AC856" s="2">
        <v>44742</v>
      </c>
      <c r="AD856">
        <v>2022</v>
      </c>
      <c r="AE856">
        <v>24</v>
      </c>
      <c r="AF856" s="5">
        <v>0.75</v>
      </c>
      <c r="AG856" s="3" t="s">
        <v>62</v>
      </c>
    </row>
    <row r="857" spans="1:33" hidden="1" x14ac:dyDescent="0.35">
      <c r="A857" t="str">
        <f>_xlfn.CONCAT(Tableau1[[#This Row],[Athletes]],"_",Tableau1[[#This Row],[Nationality]],"_",Tableau1[[#This Row],[Competition_year]])</f>
        <v>Ciara MAGEEAN_IRL_2023</v>
      </c>
      <c r="B857" t="s">
        <v>180</v>
      </c>
      <c r="C857" t="s">
        <v>47</v>
      </c>
      <c r="D857" t="s">
        <v>35</v>
      </c>
      <c r="E857">
        <v>15.2</v>
      </c>
      <c r="F857">
        <v>16.899999999999999</v>
      </c>
      <c r="G857">
        <v>16.5</v>
      </c>
      <c r="H857">
        <v>16</v>
      </c>
      <c r="I857">
        <v>16.600000000000001</v>
      </c>
      <c r="J857">
        <v>16.7</v>
      </c>
      <c r="K857">
        <v>16.8</v>
      </c>
      <c r="L857">
        <v>17.8</v>
      </c>
      <c r="M857">
        <v>17</v>
      </c>
      <c r="N857">
        <v>17.3</v>
      </c>
      <c r="O857">
        <v>16</v>
      </c>
      <c r="P857">
        <v>15.5</v>
      </c>
      <c r="Q857">
        <v>15.5</v>
      </c>
      <c r="R857">
        <v>14.9</v>
      </c>
      <c r="S857">
        <f>Tableau1[[#This Row],[Final_time]]-SUM(Tableau1[[#This Row],[0_100m]:[1300_1400m]])</f>
        <v>14.759999999999991</v>
      </c>
      <c r="T857">
        <v>243.46</v>
      </c>
      <c r="U857">
        <f t="shared" si="26"/>
        <v>243.46</v>
      </c>
      <c r="V857">
        <f t="shared" si="27"/>
        <v>0</v>
      </c>
      <c r="W857" s="12"/>
      <c r="X857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57" t="s">
        <v>303</v>
      </c>
      <c r="Z857" t="s">
        <v>43</v>
      </c>
      <c r="AB857" t="s">
        <v>65</v>
      </c>
      <c r="AC857" s="2">
        <v>45109</v>
      </c>
      <c r="AD857">
        <v>2023</v>
      </c>
      <c r="AE857">
        <v>25</v>
      </c>
      <c r="AF857" s="5">
        <v>0.84</v>
      </c>
      <c r="AG857" s="3" t="s">
        <v>61</v>
      </c>
    </row>
    <row r="858" spans="1:33" hidden="1" x14ac:dyDescent="0.35">
      <c r="A858" t="str">
        <f>_xlfn.CONCAT(Tableau1[[#This Row],[Athletes]],"_",Tableau1[[#This Row],[Nationality]],"_",Tableau1[[#This Row],[Competition_year]])</f>
        <v>Freweyni HAILU_ETH_2023</v>
      </c>
      <c r="B858" t="s">
        <v>144</v>
      </c>
      <c r="C858" t="s">
        <v>47</v>
      </c>
      <c r="D858" t="s">
        <v>48</v>
      </c>
      <c r="E858">
        <v>15.4</v>
      </c>
      <c r="F858">
        <v>16.8</v>
      </c>
      <c r="G858">
        <v>16</v>
      </c>
      <c r="H858">
        <v>16</v>
      </c>
      <c r="I858">
        <v>16.600000000000001</v>
      </c>
      <c r="J858">
        <v>16.7</v>
      </c>
      <c r="K858">
        <v>17.3</v>
      </c>
      <c r="L858">
        <v>17.899999999999999</v>
      </c>
      <c r="M858">
        <v>16.399999999999999</v>
      </c>
      <c r="N858">
        <v>17.899999999999999</v>
      </c>
      <c r="O858">
        <v>15.8</v>
      </c>
      <c r="P858">
        <v>15.1</v>
      </c>
      <c r="Q858">
        <v>14.4</v>
      </c>
      <c r="R858">
        <v>15</v>
      </c>
      <c r="S858">
        <f>Tableau1[[#This Row],[Final_time]]-SUM(Tableau1[[#This Row],[0_100m]:[1300_1400m]])</f>
        <v>15.009999999999962</v>
      </c>
      <c r="T858">
        <v>242.31</v>
      </c>
      <c r="U858">
        <f t="shared" si="26"/>
        <v>242.31</v>
      </c>
      <c r="V858">
        <f t="shared" si="27"/>
        <v>0</v>
      </c>
      <c r="W858" s="12"/>
      <c r="X858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58" t="s">
        <v>303</v>
      </c>
      <c r="Z858" t="s">
        <v>43</v>
      </c>
      <c r="AB858" t="s">
        <v>65</v>
      </c>
      <c r="AC858" s="2">
        <v>45109</v>
      </c>
      <c r="AD858">
        <v>2023</v>
      </c>
      <c r="AE858">
        <v>25</v>
      </c>
      <c r="AF858" s="5">
        <v>0.84</v>
      </c>
      <c r="AG858" s="3" t="s">
        <v>61</v>
      </c>
    </row>
    <row r="859" spans="1:33" hidden="1" x14ac:dyDescent="0.35">
      <c r="A859" t="str">
        <f>_xlfn.CONCAT(Tableau1[[#This Row],[Athletes]],"_",Tableau1[[#This Row],[Nationality]],"_",Tableau1[[#This Row],[Competition_year]])</f>
        <v>Melissa COURTNEY-BRYANT_GBR_2023</v>
      </c>
      <c r="B859" t="s">
        <v>168</v>
      </c>
      <c r="C859" t="s">
        <v>47</v>
      </c>
      <c r="D859" t="s">
        <v>20</v>
      </c>
      <c r="E859">
        <v>15.5</v>
      </c>
      <c r="F859">
        <v>16.8</v>
      </c>
      <c r="G859">
        <v>16.600000000000001</v>
      </c>
      <c r="H859">
        <v>16</v>
      </c>
      <c r="I859">
        <v>16.600000000000001</v>
      </c>
      <c r="J859">
        <v>16.5</v>
      </c>
      <c r="K859">
        <v>16.899999999999999</v>
      </c>
      <c r="L859">
        <v>17.8</v>
      </c>
      <c r="M859">
        <v>16.7</v>
      </c>
      <c r="N859">
        <v>17.3</v>
      </c>
      <c r="O859">
        <v>15.9</v>
      </c>
      <c r="P859">
        <v>15.5</v>
      </c>
      <c r="Q859">
        <v>15.1</v>
      </c>
      <c r="R859">
        <v>15.4</v>
      </c>
      <c r="S859">
        <f>Tableau1[[#This Row],[Final_time]]-SUM(Tableau1[[#This Row],[0_100m]:[1300_1400m]])</f>
        <v>15.20999999999998</v>
      </c>
      <c r="T859">
        <v>243.81</v>
      </c>
      <c r="U859">
        <f t="shared" si="26"/>
        <v>243.81</v>
      </c>
      <c r="V859">
        <f t="shared" si="27"/>
        <v>0</v>
      </c>
      <c r="W859" s="12"/>
      <c r="X859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59" t="s">
        <v>303</v>
      </c>
      <c r="Z859" t="s">
        <v>43</v>
      </c>
      <c r="AB859" t="s">
        <v>65</v>
      </c>
      <c r="AC859" s="2">
        <v>45109</v>
      </c>
      <c r="AD859">
        <v>2023</v>
      </c>
      <c r="AE859">
        <v>25</v>
      </c>
      <c r="AF859" s="5">
        <v>0.84</v>
      </c>
      <c r="AG859" s="3" t="s">
        <v>61</v>
      </c>
    </row>
    <row r="860" spans="1:33" hidden="1" x14ac:dyDescent="0.35">
      <c r="A860" t="str">
        <f>_xlfn.CONCAT(Tableau1[[#This Row],[Athletes]],"_",Tableau1[[#This Row],[Nationality]],"_",Tableau1[[#This Row],[Competition_year]])</f>
        <v>Diribe WELTEJI_ETH_2023</v>
      </c>
      <c r="B860" t="s">
        <v>165</v>
      </c>
      <c r="C860" t="s">
        <v>47</v>
      </c>
      <c r="D860" t="s">
        <v>48</v>
      </c>
      <c r="E860">
        <v>15</v>
      </c>
      <c r="F860">
        <v>16.8</v>
      </c>
      <c r="G860">
        <v>16.2</v>
      </c>
      <c r="H860">
        <v>16</v>
      </c>
      <c r="I860">
        <v>16.5</v>
      </c>
      <c r="J860">
        <v>16.8</v>
      </c>
      <c r="K860">
        <v>17.2</v>
      </c>
      <c r="L860">
        <v>17.8</v>
      </c>
      <c r="M860">
        <v>16.8</v>
      </c>
      <c r="N860">
        <v>17.399999999999999</v>
      </c>
      <c r="O860">
        <v>15.7</v>
      </c>
      <c r="P860">
        <v>14.8</v>
      </c>
      <c r="Q860">
        <v>15.4</v>
      </c>
      <c r="R860">
        <v>15.1</v>
      </c>
      <c r="S860">
        <f>Tableau1[[#This Row],[Final_time]]-SUM(Tableau1[[#This Row],[0_100m]:[1300_1400m]])</f>
        <v>15.289999999999964</v>
      </c>
      <c r="T860">
        <v>242.79</v>
      </c>
      <c r="U860">
        <f t="shared" si="26"/>
        <v>242.79</v>
      </c>
      <c r="V860">
        <f t="shared" si="27"/>
        <v>0</v>
      </c>
      <c r="W860" s="12"/>
      <c r="X860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0" t="s">
        <v>303</v>
      </c>
      <c r="Z860" t="s">
        <v>43</v>
      </c>
      <c r="AB860" t="s">
        <v>65</v>
      </c>
      <c r="AC860" s="2">
        <v>45109</v>
      </c>
      <c r="AD860">
        <v>2023</v>
      </c>
      <c r="AE860">
        <v>25</v>
      </c>
      <c r="AF860" s="5">
        <v>0.84</v>
      </c>
      <c r="AG860" s="3" t="s">
        <v>61</v>
      </c>
    </row>
    <row r="861" spans="1:33" hidden="1" x14ac:dyDescent="0.35">
      <c r="A861" t="str">
        <f>_xlfn.CONCAT(Tableau1[[#This Row],[Athletes]],"_",Tableau1[[#This Row],[Nationality]],"_",Tableau1[[#This Row],[Competition_year]])</f>
        <v>Hirut MESHESHA_ETH_2023</v>
      </c>
      <c r="B861" t="s">
        <v>135</v>
      </c>
      <c r="C861" t="s">
        <v>47</v>
      </c>
      <c r="D861" t="s">
        <v>48</v>
      </c>
      <c r="E861">
        <v>14.9</v>
      </c>
      <c r="F861">
        <v>16.5</v>
      </c>
      <c r="G861">
        <v>16.100000000000001</v>
      </c>
      <c r="H861">
        <v>16.100000000000001</v>
      </c>
      <c r="I861">
        <v>16.399999999999999</v>
      </c>
      <c r="J861">
        <v>16.899999999999999</v>
      </c>
      <c r="K861">
        <v>17.3</v>
      </c>
      <c r="L861">
        <v>17.899999999999999</v>
      </c>
      <c r="M861">
        <v>16.8</v>
      </c>
      <c r="N861">
        <v>17.399999999999999</v>
      </c>
      <c r="O861">
        <v>15.8</v>
      </c>
      <c r="P861">
        <v>15.3</v>
      </c>
      <c r="Q861">
        <v>15.2</v>
      </c>
      <c r="R861">
        <v>15.1</v>
      </c>
      <c r="S861">
        <f>Tableau1[[#This Row],[Final_time]]-SUM(Tableau1[[#This Row],[0_100m]:[1300_1400m]])</f>
        <v>15.309999999999974</v>
      </c>
      <c r="T861">
        <v>243.01</v>
      </c>
      <c r="U861">
        <f t="shared" si="26"/>
        <v>243.01</v>
      </c>
      <c r="V861">
        <f t="shared" si="27"/>
        <v>0</v>
      </c>
      <c r="W861" s="12"/>
      <c r="X861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1" t="s">
        <v>303</v>
      </c>
      <c r="Z861" t="s">
        <v>43</v>
      </c>
      <c r="AB861" t="s">
        <v>65</v>
      </c>
      <c r="AC861" s="2">
        <v>45109</v>
      </c>
      <c r="AD861">
        <v>2023</v>
      </c>
      <c r="AE861">
        <v>25</v>
      </c>
      <c r="AF861" s="5">
        <v>0.84</v>
      </c>
      <c r="AG861" s="3" t="s">
        <v>61</v>
      </c>
    </row>
    <row r="862" spans="1:33" hidden="1" x14ac:dyDescent="0.35">
      <c r="A862" t="str">
        <f>_xlfn.CONCAT(Tableau1[[#This Row],[Athletes]],"_",Tableau1[[#This Row],[Nationality]],"_",Tableau1[[#This Row],[Competition_year]])</f>
        <v>Katie SNOWDEN_GBR_2023</v>
      </c>
      <c r="B862" t="s">
        <v>186</v>
      </c>
      <c r="C862" t="s">
        <v>47</v>
      </c>
      <c r="D862" t="s">
        <v>20</v>
      </c>
      <c r="E862">
        <v>15.4</v>
      </c>
      <c r="F862">
        <v>17</v>
      </c>
      <c r="G862">
        <v>16.7</v>
      </c>
      <c r="H862">
        <v>16</v>
      </c>
      <c r="I862">
        <v>16.600000000000001</v>
      </c>
      <c r="J862">
        <v>16.5</v>
      </c>
      <c r="K862">
        <v>16.8</v>
      </c>
      <c r="L862">
        <v>17.5</v>
      </c>
      <c r="M862">
        <v>16.899999999999999</v>
      </c>
      <c r="N862">
        <v>17.600000000000001</v>
      </c>
      <c r="O862">
        <v>16.2</v>
      </c>
      <c r="P862">
        <v>15.7</v>
      </c>
      <c r="Q862">
        <v>15.4</v>
      </c>
      <c r="R862">
        <v>15.4</v>
      </c>
      <c r="S862">
        <f>Tableau1[[#This Row],[Final_time]]-SUM(Tableau1[[#This Row],[0_100m]:[1300_1400m]])</f>
        <v>15.580000000000013</v>
      </c>
      <c r="T862">
        <v>245.28</v>
      </c>
      <c r="U862">
        <f t="shared" si="26"/>
        <v>245.28</v>
      </c>
      <c r="V862">
        <f t="shared" si="27"/>
        <v>0</v>
      </c>
      <c r="W862" s="12"/>
      <c r="X862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2" t="s">
        <v>303</v>
      </c>
      <c r="Z862" t="s">
        <v>43</v>
      </c>
      <c r="AB862" t="s">
        <v>65</v>
      </c>
      <c r="AC862" s="2">
        <v>45109</v>
      </c>
      <c r="AD862">
        <v>2023</v>
      </c>
      <c r="AE862">
        <v>25</v>
      </c>
      <c r="AF862" s="5">
        <v>0.84</v>
      </c>
      <c r="AG862" s="3" t="s">
        <v>61</v>
      </c>
    </row>
    <row r="863" spans="1:33" hidden="1" x14ac:dyDescent="0.35">
      <c r="A863" t="str">
        <f>_xlfn.CONCAT(Tableau1[[#This Row],[Athletes]],"_",Tableau1[[#This Row],[Nationality]],"_",Tableau1[[#This Row],[Competition_year]])</f>
        <v>Esther GUERRERO_ESP_2023</v>
      </c>
      <c r="B863" t="s">
        <v>169</v>
      </c>
      <c r="C863" t="s">
        <v>47</v>
      </c>
      <c r="D863" t="s">
        <v>22</v>
      </c>
      <c r="E863">
        <v>15.6</v>
      </c>
      <c r="F863">
        <v>16.899999999999999</v>
      </c>
      <c r="G863">
        <v>16.7</v>
      </c>
      <c r="H863">
        <v>16.2</v>
      </c>
      <c r="I863">
        <v>16.5</v>
      </c>
      <c r="J863">
        <v>16.5</v>
      </c>
      <c r="K863">
        <v>16.8</v>
      </c>
      <c r="L863">
        <v>17.7</v>
      </c>
      <c r="M863">
        <v>17</v>
      </c>
      <c r="N863">
        <v>17.399999999999999</v>
      </c>
      <c r="O863">
        <v>16.399999999999999</v>
      </c>
      <c r="P863">
        <v>16.399999999999999</v>
      </c>
      <c r="Q863">
        <v>16.600000000000001</v>
      </c>
      <c r="R863">
        <v>16.7</v>
      </c>
      <c r="S863">
        <f>Tableau1[[#This Row],[Final_time]]-SUM(Tableau1[[#This Row],[0_100m]:[1300_1400m]])</f>
        <v>15.810000000000002</v>
      </c>
      <c r="T863">
        <v>249.21</v>
      </c>
      <c r="U863">
        <f t="shared" si="26"/>
        <v>249.21</v>
      </c>
      <c r="V863">
        <f t="shared" si="27"/>
        <v>0</v>
      </c>
      <c r="W863" s="12"/>
      <c r="X863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3" t="s">
        <v>303</v>
      </c>
      <c r="Z863" t="s">
        <v>43</v>
      </c>
      <c r="AB863" t="s">
        <v>65</v>
      </c>
      <c r="AC863" s="2">
        <v>45109</v>
      </c>
      <c r="AD863">
        <v>2023</v>
      </c>
      <c r="AE863">
        <v>25</v>
      </c>
      <c r="AF863" s="5">
        <v>0.84</v>
      </c>
      <c r="AG863" s="3" t="s">
        <v>61</v>
      </c>
    </row>
    <row r="864" spans="1:33" hidden="1" x14ac:dyDescent="0.35">
      <c r="A864" t="str">
        <f>_xlfn.CONCAT(Tableau1[[#This Row],[Athletes]],"_",Tableau1[[#This Row],[Nationality]],"_",Tableau1[[#This Row],[Competition_year]])</f>
        <v>Laura MUIR_GBR_2023</v>
      </c>
      <c r="B864" t="s">
        <v>153</v>
      </c>
      <c r="C864" t="s">
        <v>47</v>
      </c>
      <c r="D864" t="s">
        <v>20</v>
      </c>
      <c r="E864">
        <v>15.2</v>
      </c>
      <c r="F864">
        <v>16.8</v>
      </c>
      <c r="G864">
        <v>16.3</v>
      </c>
      <c r="H864">
        <v>16.100000000000001</v>
      </c>
      <c r="I864">
        <v>16.600000000000001</v>
      </c>
      <c r="J864">
        <v>16.7</v>
      </c>
      <c r="K864">
        <v>16.899999999999999</v>
      </c>
      <c r="L864">
        <v>17.8</v>
      </c>
      <c r="M864">
        <v>17</v>
      </c>
      <c r="N864">
        <v>16.899999999999999</v>
      </c>
      <c r="O864">
        <v>16</v>
      </c>
      <c r="P864">
        <v>15.2</v>
      </c>
      <c r="Q864">
        <v>15.4</v>
      </c>
      <c r="R864">
        <v>15.1</v>
      </c>
      <c r="S864">
        <f>Tableau1[[#This Row],[Final_time]]-SUM(Tableau1[[#This Row],[0_100m]:[1300_1400m]])</f>
        <v>15.830000000000013</v>
      </c>
      <c r="T864">
        <v>243.83</v>
      </c>
      <c r="U864">
        <f t="shared" si="26"/>
        <v>243.83</v>
      </c>
      <c r="V864">
        <f t="shared" si="27"/>
        <v>0</v>
      </c>
      <c r="W864" s="12"/>
      <c r="X864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4" t="s">
        <v>303</v>
      </c>
      <c r="Z864" t="s">
        <v>43</v>
      </c>
      <c r="AB864" t="s">
        <v>65</v>
      </c>
      <c r="AC864" s="2">
        <v>45109</v>
      </c>
      <c r="AD864">
        <v>2023</v>
      </c>
      <c r="AE864">
        <v>25</v>
      </c>
      <c r="AF864" s="5">
        <v>0.84</v>
      </c>
      <c r="AG864" s="3" t="s">
        <v>61</v>
      </c>
    </row>
    <row r="865" spans="1:34" hidden="1" x14ac:dyDescent="0.35">
      <c r="A865" t="str">
        <f>_xlfn.CONCAT(Tableau1[[#This Row],[Athletes]],"_",Tableau1[[#This Row],[Nationality]],"_",Tableau1[[#This Row],[Competition_year]])</f>
        <v>Linden HALL_AUS_2023</v>
      </c>
      <c r="B865" t="s">
        <v>184</v>
      </c>
      <c r="C865" t="s">
        <v>47</v>
      </c>
      <c r="D865" t="s">
        <v>21</v>
      </c>
      <c r="E865">
        <v>15.4</v>
      </c>
      <c r="F865">
        <v>16.7</v>
      </c>
      <c r="G865">
        <v>16.399999999999999</v>
      </c>
      <c r="H865">
        <v>16</v>
      </c>
      <c r="I865">
        <v>16.7</v>
      </c>
      <c r="J865">
        <v>16.600000000000001</v>
      </c>
      <c r="K865">
        <v>16.7</v>
      </c>
      <c r="L865">
        <v>17.7</v>
      </c>
      <c r="M865">
        <v>17</v>
      </c>
      <c r="N865">
        <v>17.399999999999999</v>
      </c>
      <c r="O865">
        <v>16.5</v>
      </c>
      <c r="P865">
        <v>16.7</v>
      </c>
      <c r="Q865">
        <v>16.600000000000001</v>
      </c>
      <c r="R865">
        <v>16.7</v>
      </c>
      <c r="S865">
        <f>Tableau1[[#This Row],[Final_time]]-SUM(Tableau1[[#This Row],[0_100m]:[1300_1400m]])</f>
        <v>16.289999999999992</v>
      </c>
      <c r="T865">
        <v>249.39</v>
      </c>
      <c r="U865">
        <f t="shared" si="26"/>
        <v>249.39</v>
      </c>
      <c r="V865">
        <f t="shared" si="27"/>
        <v>0</v>
      </c>
      <c r="W865" s="12"/>
      <c r="X865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5" t="s">
        <v>303</v>
      </c>
      <c r="Z865" t="s">
        <v>43</v>
      </c>
      <c r="AB865" t="s">
        <v>65</v>
      </c>
      <c r="AC865" s="2">
        <v>45109</v>
      </c>
      <c r="AD865">
        <v>2023</v>
      </c>
      <c r="AE865">
        <v>25</v>
      </c>
      <c r="AF865" s="5">
        <v>0.84</v>
      </c>
      <c r="AG865" s="3" t="s">
        <v>61</v>
      </c>
    </row>
    <row r="866" spans="1:34" hidden="1" x14ac:dyDescent="0.35">
      <c r="A866" t="str">
        <f>_xlfn.CONCAT(Tableau1[[#This Row],[Athletes]],"_",Tableau1[[#This Row],[Nationality]],"_",Tableau1[[#This Row],[Competition_year]])</f>
        <v>Hanna HERMANSSON_SWE_2023</v>
      </c>
      <c r="B866" t="s">
        <v>173</v>
      </c>
      <c r="C866" t="s">
        <v>47</v>
      </c>
      <c r="D866" t="s">
        <v>56</v>
      </c>
      <c r="E866">
        <v>16</v>
      </c>
      <c r="F866">
        <v>17</v>
      </c>
      <c r="G866">
        <v>16.7</v>
      </c>
      <c r="H866">
        <v>16.2</v>
      </c>
      <c r="I866">
        <v>16.5</v>
      </c>
      <c r="J866">
        <v>16.600000000000001</v>
      </c>
      <c r="K866">
        <v>16.7</v>
      </c>
      <c r="L866">
        <v>17.399999999999999</v>
      </c>
      <c r="M866">
        <v>17.2</v>
      </c>
      <c r="N866">
        <v>17.5</v>
      </c>
      <c r="O866">
        <v>17</v>
      </c>
      <c r="P866">
        <v>17</v>
      </c>
      <c r="Q866">
        <v>16.600000000000001</v>
      </c>
      <c r="R866">
        <v>16.8</v>
      </c>
      <c r="S866">
        <f>Tableau1[[#This Row],[Final_time]]-SUM(Tableau1[[#This Row],[0_100m]:[1300_1400m]])</f>
        <v>16.330000000000013</v>
      </c>
      <c r="T866">
        <v>251.53</v>
      </c>
      <c r="U866">
        <f t="shared" si="26"/>
        <v>251.53</v>
      </c>
      <c r="V866">
        <f t="shared" si="27"/>
        <v>0</v>
      </c>
      <c r="W866" s="12"/>
      <c r="X866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6" t="s">
        <v>303</v>
      </c>
      <c r="Z866" t="s">
        <v>43</v>
      </c>
      <c r="AB866" t="s">
        <v>65</v>
      </c>
      <c r="AC866" s="2">
        <v>45109</v>
      </c>
      <c r="AD866">
        <v>2023</v>
      </c>
      <c r="AE866">
        <v>25</v>
      </c>
      <c r="AF866" s="5">
        <v>0.84</v>
      </c>
      <c r="AG866" s="3" t="s">
        <v>61</v>
      </c>
    </row>
    <row r="867" spans="1:34" hidden="1" x14ac:dyDescent="0.35">
      <c r="A867" t="str">
        <f>_xlfn.CONCAT(Tableau1[[#This Row],[Athletes]],"_",Tableau1[[#This Row],[Nationality]],"_",Tableau1[[#This Row],[Competition_year]])</f>
        <v>Birke HAYLOM_ETH_2023</v>
      </c>
      <c r="B867" t="s">
        <v>179</v>
      </c>
      <c r="C867" t="s">
        <v>47</v>
      </c>
      <c r="D867" t="s">
        <v>48</v>
      </c>
      <c r="E867">
        <v>15</v>
      </c>
      <c r="F867">
        <v>16.600000000000001</v>
      </c>
      <c r="G867">
        <v>16.2</v>
      </c>
      <c r="H867">
        <v>16</v>
      </c>
      <c r="I867">
        <v>16.5</v>
      </c>
      <c r="J867">
        <v>16.8</v>
      </c>
      <c r="K867">
        <v>17.3</v>
      </c>
      <c r="L867">
        <v>18.100000000000001</v>
      </c>
      <c r="M867">
        <v>16.7</v>
      </c>
      <c r="N867">
        <v>17.3</v>
      </c>
      <c r="O867">
        <v>15.7</v>
      </c>
      <c r="P867">
        <v>15</v>
      </c>
      <c r="Q867">
        <v>15.7</v>
      </c>
      <c r="R867">
        <v>15.5</v>
      </c>
      <c r="S867">
        <f>Tableau1[[#This Row],[Final_time]]-SUM(Tableau1[[#This Row],[0_100m]:[1300_1400m]])</f>
        <v>16.810000000000031</v>
      </c>
      <c r="T867">
        <v>245.21</v>
      </c>
      <c r="U867">
        <f t="shared" si="26"/>
        <v>245.21</v>
      </c>
      <c r="V867">
        <f t="shared" si="27"/>
        <v>0</v>
      </c>
      <c r="W867" s="12"/>
      <c r="X867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7" t="s">
        <v>303</v>
      </c>
      <c r="Z867" t="s">
        <v>43</v>
      </c>
      <c r="AB867" t="s">
        <v>65</v>
      </c>
      <c r="AC867" s="2">
        <v>45109</v>
      </c>
      <c r="AD867">
        <v>2023</v>
      </c>
      <c r="AE867">
        <v>25</v>
      </c>
      <c r="AF867" s="5">
        <v>0.84</v>
      </c>
      <c r="AG867" s="3" t="s">
        <v>61</v>
      </c>
    </row>
    <row r="868" spans="1:34" hidden="1" x14ac:dyDescent="0.35">
      <c r="A868" t="str">
        <f>_xlfn.CONCAT(Tableau1[[#This Row],[Athletes]],"_",Tableau1[[#This Row],[Nationality]],"_",Tableau1[[#This Row],[Competition_year]])</f>
        <v>Georgia GRIFFITH_AUS_2023</v>
      </c>
      <c r="B868" t="s">
        <v>248</v>
      </c>
      <c r="C868" t="s">
        <v>47</v>
      </c>
      <c r="D868" t="s">
        <v>21</v>
      </c>
      <c r="E868">
        <v>15.7</v>
      </c>
      <c r="F868">
        <v>17.100000000000001</v>
      </c>
      <c r="G868">
        <v>16.600000000000001</v>
      </c>
      <c r="H868">
        <v>16.2</v>
      </c>
      <c r="I868">
        <v>16.5</v>
      </c>
      <c r="J868">
        <v>16.600000000000001</v>
      </c>
      <c r="K868">
        <v>16.600000000000001</v>
      </c>
      <c r="L868">
        <v>17.5</v>
      </c>
      <c r="M868">
        <v>16.8</v>
      </c>
      <c r="N868">
        <v>17.5</v>
      </c>
      <c r="O868">
        <v>16</v>
      </c>
      <c r="P868">
        <v>15.6</v>
      </c>
      <c r="Q868">
        <v>16.100000000000001</v>
      </c>
      <c r="R868">
        <v>16.8</v>
      </c>
      <c r="S868">
        <f>Tableau1[[#This Row],[Final_time]]-SUM(Tableau1[[#This Row],[0_100m]:[1300_1400m]])</f>
        <v>17.409999999999997</v>
      </c>
      <c r="T868">
        <v>249.01</v>
      </c>
      <c r="U868">
        <f t="shared" si="26"/>
        <v>249.01</v>
      </c>
      <c r="V868">
        <f t="shared" si="27"/>
        <v>0</v>
      </c>
      <c r="W868" s="12"/>
      <c r="X868" t="str">
        <f>_xlfn.CONCAT(Tableau1[[#This Row],[Competition]],"_",Tableau1[[#This Row],[Championship_step]],"_",Tableau1[[#This Row],[Competition_date]],"_",Tableau1[[#This Row],[Gender]])</f>
        <v>Diamond League Stockholm 2023__45109_Female</v>
      </c>
      <c r="Y868" t="s">
        <v>303</v>
      </c>
      <c r="Z868" t="s">
        <v>43</v>
      </c>
      <c r="AB868" t="s">
        <v>65</v>
      </c>
      <c r="AC868" s="2">
        <v>45109</v>
      </c>
      <c r="AD868">
        <v>2023</v>
      </c>
      <c r="AE868">
        <v>25</v>
      </c>
      <c r="AF868" s="5">
        <v>0.84</v>
      </c>
      <c r="AG868" s="3" t="s">
        <v>61</v>
      </c>
    </row>
    <row r="869" spans="1:34" hidden="1" x14ac:dyDescent="0.35">
      <c r="A869" t="str">
        <f>_xlfn.CONCAT(Tableau1[[#This Row],[Athletes]],"_",Tableau1[[#This Row],[Nationality]],"_",Tableau1[[#This Row],[Competition_year]])</f>
        <v>Laura MUIR_GBR_2024</v>
      </c>
      <c r="B869" t="s">
        <v>153</v>
      </c>
      <c r="C869" t="s">
        <v>47</v>
      </c>
      <c r="D869" t="s">
        <v>20</v>
      </c>
      <c r="E869">
        <v>14.8</v>
      </c>
      <c r="F869">
        <v>16.2</v>
      </c>
      <c r="G869">
        <v>17.3</v>
      </c>
      <c r="H869">
        <v>16.5</v>
      </c>
      <c r="I869">
        <v>15.5</v>
      </c>
      <c r="J869">
        <v>15.8</v>
      </c>
      <c r="K869">
        <v>15.9</v>
      </c>
      <c r="L869">
        <v>15.8</v>
      </c>
      <c r="M869">
        <v>16</v>
      </c>
      <c r="N869">
        <v>16.2</v>
      </c>
      <c r="O869">
        <v>16.2</v>
      </c>
      <c r="P869">
        <v>16</v>
      </c>
      <c r="Q869">
        <v>15.8</v>
      </c>
      <c r="R869">
        <v>14.6</v>
      </c>
      <c r="S869">
        <f>Tableau1[[#This Row],[Final_time]]-SUM(Tableau1[[#This Row],[0_100m]:[1300_1400m]])</f>
        <v>15.390000000000015</v>
      </c>
      <c r="T869">
        <v>237.99</v>
      </c>
      <c r="U869">
        <f t="shared" si="26"/>
        <v>237.99</v>
      </c>
      <c r="V869">
        <f t="shared" si="27"/>
        <v>0</v>
      </c>
      <c r="W869" s="12"/>
      <c r="X869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69" t="s">
        <v>70</v>
      </c>
      <c r="Z869" s="2" t="s">
        <v>43</v>
      </c>
      <c r="AA869" s="2"/>
      <c r="AB869" s="2" t="s">
        <v>65</v>
      </c>
      <c r="AC869" s="2">
        <v>45445</v>
      </c>
      <c r="AD869" s="3">
        <v>2024</v>
      </c>
      <c r="AE869" s="3">
        <v>24</v>
      </c>
      <c r="AF869" s="5">
        <v>0.43</v>
      </c>
      <c r="AG869" s="3" t="s">
        <v>71</v>
      </c>
      <c r="AH869" t="s">
        <v>72</v>
      </c>
    </row>
    <row r="870" spans="1:34" hidden="1" x14ac:dyDescent="0.35">
      <c r="A870" t="str">
        <f>_xlfn.CONCAT(Tableau1[[#This Row],[Athletes]],"_",Tableau1[[#This Row],[Nationality]],"_",Tableau1[[#This Row],[Competition_year]])</f>
        <v>Georgia GRIFFITH_AUS_2024</v>
      </c>
      <c r="B870" t="s">
        <v>248</v>
      </c>
      <c r="C870" t="s">
        <v>47</v>
      </c>
      <c r="D870" t="s">
        <v>21</v>
      </c>
      <c r="E870">
        <v>14.9</v>
      </c>
      <c r="F870">
        <v>16.2</v>
      </c>
      <c r="G870">
        <v>17.3</v>
      </c>
      <c r="H870">
        <v>16.600000000000001</v>
      </c>
      <c r="I870">
        <v>15.6</v>
      </c>
      <c r="J870">
        <v>15.7</v>
      </c>
      <c r="K870">
        <v>15.9</v>
      </c>
      <c r="L870">
        <v>15.8</v>
      </c>
      <c r="M870">
        <v>15.9</v>
      </c>
      <c r="N870">
        <v>16.3</v>
      </c>
      <c r="O870">
        <v>16.2</v>
      </c>
      <c r="P870">
        <v>16</v>
      </c>
      <c r="Q870">
        <v>15.7</v>
      </c>
      <c r="R870">
        <v>15.5</v>
      </c>
      <c r="S870">
        <f>Tableau1[[#This Row],[Final_time]]-SUM(Tableau1[[#This Row],[0_100m]:[1300_1400m]])</f>
        <v>15.569999999999993</v>
      </c>
      <c r="T870">
        <v>239.17</v>
      </c>
      <c r="U870">
        <f t="shared" si="26"/>
        <v>239.17</v>
      </c>
      <c r="V870">
        <f t="shared" si="27"/>
        <v>0</v>
      </c>
      <c r="W870" s="12"/>
      <c r="X870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0" t="s">
        <v>70</v>
      </c>
      <c r="Z870" s="2" t="s">
        <v>43</v>
      </c>
      <c r="AA870" s="2"/>
      <c r="AB870" s="2" t="s">
        <v>65</v>
      </c>
      <c r="AC870" s="2">
        <v>45445</v>
      </c>
      <c r="AD870" s="3">
        <v>2024</v>
      </c>
      <c r="AE870" s="3">
        <v>24</v>
      </c>
      <c r="AF870" s="5">
        <v>0.43</v>
      </c>
      <c r="AG870" s="3" t="s">
        <v>71</v>
      </c>
      <c r="AH870" t="s">
        <v>72</v>
      </c>
    </row>
    <row r="871" spans="1:34" hidden="1" x14ac:dyDescent="0.35">
      <c r="A871" t="str">
        <f>_xlfn.CONCAT(Tableau1[[#This Row],[Athletes]],"_",Tableau1[[#This Row],[Nationality]],"_",Tableau1[[#This Row],[Competition_year]])</f>
        <v>Edinah JEBITOK_KEN_2024</v>
      </c>
      <c r="B871" t="s">
        <v>155</v>
      </c>
      <c r="C871" t="s">
        <v>47</v>
      </c>
      <c r="D871" t="s">
        <v>17</v>
      </c>
      <c r="E871">
        <v>15.3</v>
      </c>
      <c r="F871">
        <v>16.899999999999999</v>
      </c>
      <c r="G871">
        <v>16.5</v>
      </c>
      <c r="H871">
        <v>16.8</v>
      </c>
      <c r="I871">
        <v>15.4</v>
      </c>
      <c r="J871">
        <v>15.6</v>
      </c>
      <c r="K871">
        <v>16</v>
      </c>
      <c r="L871">
        <v>16.100000000000001</v>
      </c>
      <c r="M871">
        <v>15.9</v>
      </c>
      <c r="N871">
        <v>16</v>
      </c>
      <c r="O871">
        <v>16.3</v>
      </c>
      <c r="P871">
        <v>15.8</v>
      </c>
      <c r="Q871">
        <v>15.4</v>
      </c>
      <c r="R871">
        <v>15.1</v>
      </c>
      <c r="S871">
        <f>Tableau1[[#This Row],[Final_time]]-SUM(Tableau1[[#This Row],[0_100m]:[1300_1400m]])</f>
        <v>15.779999999999973</v>
      </c>
      <c r="T871">
        <v>238.88</v>
      </c>
      <c r="U871">
        <f t="shared" si="26"/>
        <v>238.88</v>
      </c>
      <c r="V871">
        <f t="shared" si="27"/>
        <v>0</v>
      </c>
      <c r="W871" s="12"/>
      <c r="X871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1" t="s">
        <v>70</v>
      </c>
      <c r="Z871" s="2" t="s">
        <v>43</v>
      </c>
      <c r="AA871" s="2"/>
      <c r="AB871" s="2" t="s">
        <v>65</v>
      </c>
      <c r="AC871" s="2">
        <v>45445</v>
      </c>
      <c r="AD871" s="3">
        <v>2024</v>
      </c>
      <c r="AE871" s="3">
        <v>24</v>
      </c>
      <c r="AF871" s="5">
        <v>0.43</v>
      </c>
      <c r="AG871" s="3" t="s">
        <v>71</v>
      </c>
      <c r="AH871" t="s">
        <v>72</v>
      </c>
    </row>
    <row r="872" spans="1:34" hidden="1" x14ac:dyDescent="0.35">
      <c r="A872" t="str">
        <f>_xlfn.CONCAT(Tableau1[[#This Row],[Athletes]],"_",Tableau1[[#This Row],[Nationality]],"_",Tableau1[[#This Row],[Competition_year]])</f>
        <v>Revee WALCOTT-NOLAN_GBR_2024</v>
      </c>
      <c r="B872" t="s">
        <v>635</v>
      </c>
      <c r="C872" t="s">
        <v>47</v>
      </c>
      <c r="D872" t="s">
        <v>20</v>
      </c>
      <c r="E872">
        <v>15</v>
      </c>
      <c r="F872">
        <v>16.8</v>
      </c>
      <c r="G872">
        <v>17.100000000000001</v>
      </c>
      <c r="H872">
        <v>16.899999999999999</v>
      </c>
      <c r="I872">
        <v>15.7</v>
      </c>
      <c r="J872">
        <v>15.9</v>
      </c>
      <c r="K872">
        <v>15.5</v>
      </c>
      <c r="L872">
        <v>16</v>
      </c>
      <c r="M872">
        <v>15.8</v>
      </c>
      <c r="N872">
        <v>16.2</v>
      </c>
      <c r="O872">
        <v>16.2</v>
      </c>
      <c r="P872">
        <v>15.8</v>
      </c>
      <c r="Q872">
        <v>15.9</v>
      </c>
      <c r="R872">
        <v>16</v>
      </c>
      <c r="S872">
        <f>Tableau1[[#This Row],[Final_time]]-SUM(Tableau1[[#This Row],[0_100m]:[1300_1400m]])</f>
        <v>15.96999999999997</v>
      </c>
      <c r="T872">
        <v>240.77</v>
      </c>
      <c r="U872">
        <f t="shared" si="26"/>
        <v>240.77</v>
      </c>
      <c r="V872">
        <f t="shared" si="27"/>
        <v>0</v>
      </c>
      <c r="W872" s="12"/>
      <c r="X872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2" t="s">
        <v>70</v>
      </c>
      <c r="Z872" s="2" t="s">
        <v>43</v>
      </c>
      <c r="AA872" s="2"/>
      <c r="AB872" s="2" t="s">
        <v>65</v>
      </c>
      <c r="AC872" s="2">
        <v>45445</v>
      </c>
      <c r="AD872" s="3">
        <v>2024</v>
      </c>
      <c r="AE872" s="3">
        <v>24</v>
      </c>
      <c r="AF872" s="5">
        <v>0.43</v>
      </c>
      <c r="AG872" s="3" t="s">
        <v>71</v>
      </c>
      <c r="AH872" t="s">
        <v>72</v>
      </c>
    </row>
    <row r="873" spans="1:34" hidden="1" x14ac:dyDescent="0.35">
      <c r="A873" t="str">
        <f>_xlfn.CONCAT(Tableau1[[#This Row],[Athletes]],"_",Tableau1[[#This Row],[Nationality]],"_",Tableau1[[#This Row],[Competition_year]])</f>
        <v>Danielle JONES_USA_2024</v>
      </c>
      <c r="B873" t="s">
        <v>320</v>
      </c>
      <c r="C873" t="s">
        <v>47</v>
      </c>
      <c r="D873" t="s">
        <v>51</v>
      </c>
      <c r="E873">
        <v>15</v>
      </c>
      <c r="F873">
        <v>16.5</v>
      </c>
      <c r="G873">
        <v>17.100000000000001</v>
      </c>
      <c r="H873">
        <v>16.7</v>
      </c>
      <c r="I873">
        <v>16</v>
      </c>
      <c r="J873">
        <v>15.6</v>
      </c>
      <c r="K873">
        <v>15.8</v>
      </c>
      <c r="L873">
        <v>16.100000000000001</v>
      </c>
      <c r="M873">
        <v>15.9</v>
      </c>
      <c r="N873">
        <v>16</v>
      </c>
      <c r="O873">
        <v>16.3</v>
      </c>
      <c r="P873">
        <v>15.8</v>
      </c>
      <c r="Q873">
        <v>15.7</v>
      </c>
      <c r="R873">
        <v>16</v>
      </c>
      <c r="S873">
        <f>Tableau1[[#This Row],[Final_time]]-SUM(Tableau1[[#This Row],[0_100m]:[1300_1400m]])</f>
        <v>16.139999999999986</v>
      </c>
      <c r="T873">
        <v>240.64</v>
      </c>
      <c r="U873">
        <f t="shared" si="26"/>
        <v>240.64</v>
      </c>
      <c r="V873">
        <f t="shared" si="27"/>
        <v>0</v>
      </c>
      <c r="W873" s="12"/>
      <c r="X873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3" t="s">
        <v>70</v>
      </c>
      <c r="Z873" s="2" t="s">
        <v>43</v>
      </c>
      <c r="AA873" s="2"/>
      <c r="AB873" s="2" t="s">
        <v>65</v>
      </c>
      <c r="AC873" s="2">
        <v>45445</v>
      </c>
      <c r="AD873" s="3">
        <v>2024</v>
      </c>
      <c r="AE873" s="3">
        <v>24</v>
      </c>
      <c r="AF873" s="5">
        <v>0.43</v>
      </c>
      <c r="AG873" s="3" t="s">
        <v>71</v>
      </c>
      <c r="AH873" t="s">
        <v>72</v>
      </c>
    </row>
    <row r="874" spans="1:34" hidden="1" x14ac:dyDescent="0.35">
      <c r="A874" t="str">
        <f>_xlfn.CONCAT(Tableau1[[#This Row],[Athletes]],"_",Tableau1[[#This Row],[Nationality]],"_",Tableau1[[#This Row],[Competition_year]])</f>
        <v>Birke HAYLOM_ETH_2024</v>
      </c>
      <c r="B874" t="s">
        <v>179</v>
      </c>
      <c r="C874" t="s">
        <v>47</v>
      </c>
      <c r="D874" t="s">
        <v>48</v>
      </c>
      <c r="E874">
        <v>14.7</v>
      </c>
      <c r="F874">
        <v>16.2</v>
      </c>
      <c r="G874">
        <v>17.2</v>
      </c>
      <c r="H874">
        <v>16.5</v>
      </c>
      <c r="I874">
        <v>15.4</v>
      </c>
      <c r="J874">
        <v>15.9</v>
      </c>
      <c r="K874">
        <v>15.8</v>
      </c>
      <c r="L874">
        <v>15.9</v>
      </c>
      <c r="M874">
        <v>16</v>
      </c>
      <c r="N874">
        <v>16.2</v>
      </c>
      <c r="O874">
        <v>16.100000000000001</v>
      </c>
      <c r="P874">
        <v>16.100000000000001</v>
      </c>
      <c r="Q874">
        <v>15.9</v>
      </c>
      <c r="R874">
        <v>15.7</v>
      </c>
      <c r="S874">
        <f>Tableau1[[#This Row],[Final_time]]-SUM(Tableau1[[#This Row],[0_100m]:[1300_1400m]])</f>
        <v>16.240000000000009</v>
      </c>
      <c r="T874">
        <v>239.84</v>
      </c>
      <c r="U874">
        <f t="shared" si="26"/>
        <v>239.84</v>
      </c>
      <c r="V874">
        <f t="shared" si="27"/>
        <v>0</v>
      </c>
      <c r="W874" s="12"/>
      <c r="X874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4" t="s">
        <v>70</v>
      </c>
      <c r="Z874" s="2" t="s">
        <v>43</v>
      </c>
      <c r="AA874" s="2"/>
      <c r="AB874" s="2" t="s">
        <v>65</v>
      </c>
      <c r="AC874" s="2">
        <v>45445</v>
      </c>
      <c r="AD874" s="3">
        <v>2024</v>
      </c>
      <c r="AE874" s="3">
        <v>24</v>
      </c>
      <c r="AF874" s="5">
        <v>0.43</v>
      </c>
      <c r="AG874" s="3" t="s">
        <v>71</v>
      </c>
      <c r="AH874" t="s">
        <v>72</v>
      </c>
    </row>
    <row r="875" spans="1:34" hidden="1" x14ac:dyDescent="0.35">
      <c r="A875" t="str">
        <f>_xlfn.CONCAT(Tableau1[[#This Row],[Athletes]],"_",Tableau1[[#This Row],[Nationality]],"_",Tableau1[[#This Row],[Competition_year]])</f>
        <v>Sintayehu VISSA_ITA_2024</v>
      </c>
      <c r="B875" t="s">
        <v>297</v>
      </c>
      <c r="C875" t="s">
        <v>47</v>
      </c>
      <c r="D875" t="s">
        <v>19</v>
      </c>
      <c r="E875">
        <v>15.2</v>
      </c>
      <c r="F875">
        <v>16.600000000000001</v>
      </c>
      <c r="G875">
        <v>17</v>
      </c>
      <c r="H875">
        <v>17.2</v>
      </c>
      <c r="I875">
        <v>15.6</v>
      </c>
      <c r="J875">
        <v>16.2</v>
      </c>
      <c r="K875">
        <v>15.6</v>
      </c>
      <c r="L875">
        <v>15.9</v>
      </c>
      <c r="M875">
        <v>16</v>
      </c>
      <c r="N875">
        <v>16.2</v>
      </c>
      <c r="O875">
        <v>16.3</v>
      </c>
      <c r="P875">
        <v>16</v>
      </c>
      <c r="Q875">
        <v>16.5</v>
      </c>
      <c r="R875">
        <v>16.7</v>
      </c>
      <c r="S875">
        <f>Tableau1[[#This Row],[Final_time]]-SUM(Tableau1[[#This Row],[0_100m]:[1300_1400m]])</f>
        <v>16.360000000000042</v>
      </c>
      <c r="T875">
        <v>243.36</v>
      </c>
      <c r="U875">
        <f t="shared" si="26"/>
        <v>243.36</v>
      </c>
      <c r="V875">
        <f t="shared" si="27"/>
        <v>0</v>
      </c>
      <c r="W875" s="12"/>
      <c r="X875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5" t="s">
        <v>70</v>
      </c>
      <c r="Z875" s="2" t="s">
        <v>43</v>
      </c>
      <c r="AA875" s="2"/>
      <c r="AB875" s="2" t="s">
        <v>65</v>
      </c>
      <c r="AC875" s="2">
        <v>45445</v>
      </c>
      <c r="AD875" s="3">
        <v>2024</v>
      </c>
      <c r="AE875" s="3">
        <v>24</v>
      </c>
      <c r="AF875" s="5">
        <v>0.43</v>
      </c>
      <c r="AG875" s="3" t="s">
        <v>71</v>
      </c>
      <c r="AH875" t="s">
        <v>72</v>
      </c>
    </row>
    <row r="876" spans="1:34" hidden="1" x14ac:dyDescent="0.35">
      <c r="A876" t="str">
        <f>_xlfn.CONCAT(Tableau1[[#This Row],[Athletes]],"_",Tableau1[[#This Row],[Nationality]],"_",Tableau1[[#This Row],[Competition_year]])</f>
        <v>Linden HALL_AUS_2024</v>
      </c>
      <c r="B876" t="s">
        <v>184</v>
      </c>
      <c r="C876" t="s">
        <v>47</v>
      </c>
      <c r="D876" t="s">
        <v>21</v>
      </c>
      <c r="E876">
        <v>14.8</v>
      </c>
      <c r="F876">
        <v>16.5</v>
      </c>
      <c r="G876">
        <v>17.2</v>
      </c>
      <c r="H876">
        <v>16.600000000000001</v>
      </c>
      <c r="I876">
        <v>15.9</v>
      </c>
      <c r="J876">
        <v>15.6</v>
      </c>
      <c r="K876">
        <v>15.7</v>
      </c>
      <c r="L876">
        <v>16</v>
      </c>
      <c r="M876">
        <v>15.8</v>
      </c>
      <c r="N876">
        <v>16</v>
      </c>
      <c r="O876">
        <v>16.3</v>
      </c>
      <c r="P876">
        <v>16</v>
      </c>
      <c r="Q876">
        <v>15.9</v>
      </c>
      <c r="R876">
        <v>16.100000000000001</v>
      </c>
      <c r="S876">
        <f>Tableau1[[#This Row],[Final_time]]-SUM(Tableau1[[#This Row],[0_100m]:[1300_1400m]])</f>
        <v>16.609999999999957</v>
      </c>
      <c r="T876">
        <v>241.01</v>
      </c>
      <c r="U876">
        <f t="shared" si="26"/>
        <v>241.01</v>
      </c>
      <c r="V876">
        <f t="shared" si="27"/>
        <v>0</v>
      </c>
      <c r="W876" s="12"/>
      <c r="X876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6" t="s">
        <v>70</v>
      </c>
      <c r="Z876" s="2" t="s">
        <v>43</v>
      </c>
      <c r="AA876" s="2"/>
      <c r="AB876" s="2" t="s">
        <v>65</v>
      </c>
      <c r="AC876" s="2">
        <v>45445</v>
      </c>
      <c r="AD876" s="3">
        <v>2024</v>
      </c>
      <c r="AE876" s="3">
        <v>24</v>
      </c>
      <c r="AF876" s="5">
        <v>0.43</v>
      </c>
      <c r="AG876" s="3" t="s">
        <v>71</v>
      </c>
      <c r="AH876" t="s">
        <v>72</v>
      </c>
    </row>
    <row r="877" spans="1:34" hidden="1" x14ac:dyDescent="0.35">
      <c r="A877" t="str">
        <f>_xlfn.CONCAT(Tableau1[[#This Row],[Athletes]],"_",Tableau1[[#This Row],[Nationality]],"_",Tableau1[[#This Row],[Competition_year]])</f>
        <v>Hanna HERMANSSON_SWE_2024</v>
      </c>
      <c r="B877" t="s">
        <v>173</v>
      </c>
      <c r="C877" t="s">
        <v>47</v>
      </c>
      <c r="D877" t="s">
        <v>56</v>
      </c>
      <c r="E877">
        <v>15.7</v>
      </c>
      <c r="F877">
        <v>16.600000000000001</v>
      </c>
      <c r="G877">
        <v>17</v>
      </c>
      <c r="H877">
        <v>16.899999999999999</v>
      </c>
      <c r="I877">
        <v>16</v>
      </c>
      <c r="J877">
        <v>16.2</v>
      </c>
      <c r="K877">
        <v>16.8</v>
      </c>
      <c r="L877">
        <v>16.5</v>
      </c>
      <c r="M877">
        <v>16.5</v>
      </c>
      <c r="N877">
        <v>16.8</v>
      </c>
      <c r="O877">
        <v>17.100000000000001</v>
      </c>
      <c r="P877">
        <v>16.2</v>
      </c>
      <c r="Q877">
        <v>16.7</v>
      </c>
      <c r="R877">
        <v>16.2</v>
      </c>
      <c r="S877">
        <f>Tableau1[[#This Row],[Final_time]]-SUM(Tableau1[[#This Row],[0_100m]:[1300_1400m]])</f>
        <v>16.650000000000034</v>
      </c>
      <c r="T877">
        <v>247.85</v>
      </c>
      <c r="U877">
        <f t="shared" si="26"/>
        <v>247.85</v>
      </c>
      <c r="V877">
        <f t="shared" si="27"/>
        <v>0</v>
      </c>
      <c r="W877" s="12"/>
      <c r="X877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7" t="s">
        <v>70</v>
      </c>
      <c r="Z877" s="2" t="s">
        <v>43</v>
      </c>
      <c r="AA877" s="2"/>
      <c r="AB877" s="2" t="s">
        <v>65</v>
      </c>
      <c r="AC877" s="2">
        <v>45445</v>
      </c>
      <c r="AD877" s="3">
        <v>2024</v>
      </c>
      <c r="AE877" s="3">
        <v>24</v>
      </c>
      <c r="AF877" s="5">
        <v>0.43</v>
      </c>
      <c r="AG877" s="3" t="s">
        <v>71</v>
      </c>
      <c r="AH877" t="s">
        <v>72</v>
      </c>
    </row>
    <row r="878" spans="1:34" hidden="1" x14ac:dyDescent="0.35">
      <c r="A878" t="str">
        <f>_xlfn.CONCAT(Tableau1[[#This Row],[Athletes]],"_",Tableau1[[#This Row],[Nationality]],"_",Tableau1[[#This Row],[Competition_year]])</f>
        <v>Nozomi TANAKA_JPN_2024</v>
      </c>
      <c r="B878" t="s">
        <v>157</v>
      </c>
      <c r="C878" t="s">
        <v>47</v>
      </c>
      <c r="D878" t="s">
        <v>69</v>
      </c>
      <c r="E878">
        <v>15.2</v>
      </c>
      <c r="F878">
        <v>16.8</v>
      </c>
      <c r="G878">
        <v>16.5</v>
      </c>
      <c r="H878">
        <v>16.8</v>
      </c>
      <c r="I878">
        <v>15.5</v>
      </c>
      <c r="J878">
        <v>16.100000000000001</v>
      </c>
      <c r="K878">
        <v>16.100000000000001</v>
      </c>
      <c r="L878">
        <v>16.100000000000001</v>
      </c>
      <c r="M878">
        <v>15.9</v>
      </c>
      <c r="N878">
        <v>16.2</v>
      </c>
      <c r="O878">
        <v>16.2</v>
      </c>
      <c r="P878">
        <v>16.100000000000001</v>
      </c>
      <c r="Q878">
        <v>16</v>
      </c>
      <c r="R878">
        <v>16.3</v>
      </c>
      <c r="S878">
        <f>Tableau1[[#This Row],[Final_time]]-SUM(Tableau1[[#This Row],[0_100m]:[1300_1400m]])</f>
        <v>17.180000000000007</v>
      </c>
      <c r="T878">
        <v>242.98</v>
      </c>
      <c r="U878">
        <f t="shared" si="26"/>
        <v>242.98</v>
      </c>
      <c r="V878">
        <f t="shared" si="27"/>
        <v>0</v>
      </c>
      <c r="W878" s="12"/>
      <c r="X878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8" t="s">
        <v>70</v>
      </c>
      <c r="Z878" s="2" t="s">
        <v>43</v>
      </c>
      <c r="AA878" s="2"/>
      <c r="AB878" s="2" t="s">
        <v>65</v>
      </c>
      <c r="AC878" s="2">
        <v>45445</v>
      </c>
      <c r="AD878" s="3">
        <v>2024</v>
      </c>
      <c r="AE878" s="3">
        <v>24</v>
      </c>
      <c r="AF878" s="5">
        <v>0.43</v>
      </c>
      <c r="AG878" s="3" t="s">
        <v>71</v>
      </c>
      <c r="AH878" t="s">
        <v>72</v>
      </c>
    </row>
    <row r="879" spans="1:34" hidden="1" x14ac:dyDescent="0.35">
      <c r="A879" t="str">
        <f>_xlfn.CONCAT(Tableau1[[#This Row],[Athletes]],"_",Tableau1[[#This Row],[Nationality]],"_",Tableau1[[#This Row],[Competition_year]])</f>
        <v>Cory Ann MCGEE_USA_2024</v>
      </c>
      <c r="B879" t="s">
        <v>181</v>
      </c>
      <c r="C879" t="s">
        <v>47</v>
      </c>
      <c r="D879" t="s">
        <v>51</v>
      </c>
      <c r="E879">
        <v>15.1</v>
      </c>
      <c r="F879">
        <v>16.600000000000001</v>
      </c>
      <c r="G879">
        <v>17</v>
      </c>
      <c r="H879">
        <v>16.899999999999999</v>
      </c>
      <c r="I879">
        <v>15.6</v>
      </c>
      <c r="J879">
        <v>16</v>
      </c>
      <c r="K879">
        <v>15.6</v>
      </c>
      <c r="L879">
        <v>15.7</v>
      </c>
      <c r="M879">
        <v>15.8</v>
      </c>
      <c r="N879">
        <v>16</v>
      </c>
      <c r="O879">
        <v>16.2</v>
      </c>
      <c r="P879">
        <v>16.100000000000001</v>
      </c>
      <c r="Q879">
        <v>15.7</v>
      </c>
      <c r="R879">
        <v>16.399999999999999</v>
      </c>
      <c r="S879">
        <f>Tableau1[[#This Row],[Final_time]]-SUM(Tableau1[[#This Row],[0_100m]:[1300_1400m]])</f>
        <v>17.940000000000026</v>
      </c>
      <c r="T879">
        <v>242.64</v>
      </c>
      <c r="U879">
        <f t="shared" si="26"/>
        <v>242.64</v>
      </c>
      <c r="V879">
        <f t="shared" si="27"/>
        <v>0</v>
      </c>
      <c r="W879" s="12"/>
      <c r="X879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79" t="s">
        <v>70</v>
      </c>
      <c r="Z879" s="2" t="s">
        <v>43</v>
      </c>
      <c r="AA879" s="2"/>
      <c r="AB879" s="2" t="s">
        <v>65</v>
      </c>
      <c r="AC879" s="2">
        <v>45445</v>
      </c>
      <c r="AD879" s="3">
        <v>2024</v>
      </c>
      <c r="AE879" s="3">
        <v>24</v>
      </c>
      <c r="AF879" s="5">
        <v>0.43</v>
      </c>
      <c r="AG879" s="3" t="s">
        <v>71</v>
      </c>
      <c r="AH879" t="s">
        <v>72</v>
      </c>
    </row>
    <row r="880" spans="1:34" hidden="1" x14ac:dyDescent="0.35">
      <c r="A880" t="str">
        <f>_xlfn.CONCAT(Tableau1[[#This Row],[Athletes]],"_",Tableau1[[#This Row],[Nationality]],"_",Tableau1[[#This Row],[Competition_year]])</f>
        <v>Sarah BILLINGS_AUS_2024</v>
      </c>
      <c r="B880" t="s">
        <v>1234</v>
      </c>
      <c r="C880" t="s">
        <v>47</v>
      </c>
      <c r="D880" t="s">
        <v>21</v>
      </c>
      <c r="E880">
        <v>15.3</v>
      </c>
      <c r="F880">
        <v>16.7</v>
      </c>
      <c r="G880">
        <v>17.100000000000001</v>
      </c>
      <c r="H880">
        <v>16.899999999999999</v>
      </c>
      <c r="I880">
        <v>15.9</v>
      </c>
      <c r="J880">
        <v>16.3</v>
      </c>
      <c r="K880">
        <v>16.7</v>
      </c>
      <c r="L880">
        <v>16.5</v>
      </c>
      <c r="M880">
        <v>16.600000000000001</v>
      </c>
      <c r="N880">
        <v>16.8</v>
      </c>
      <c r="O880">
        <v>17</v>
      </c>
      <c r="P880">
        <v>16.3</v>
      </c>
      <c r="Q880">
        <v>16.8</v>
      </c>
      <c r="R880">
        <v>17.3</v>
      </c>
      <c r="S880">
        <f>Tableau1[[#This Row],[Final_time]]-SUM(Tableau1[[#This Row],[0_100m]:[1300_1400m]])</f>
        <v>18.009999999999962</v>
      </c>
      <c r="T880">
        <v>250.21</v>
      </c>
      <c r="U880">
        <f t="shared" si="26"/>
        <v>250.21</v>
      </c>
      <c r="V880">
        <f t="shared" si="27"/>
        <v>0</v>
      </c>
      <c r="W880" s="12"/>
      <c r="X880" t="str">
        <f>_xlfn.CONCAT(Tableau1[[#This Row],[Competition]],"_",Tableau1[[#This Row],[Championship_step]],"_",Tableau1[[#This Row],[Competition_date]],"_",Tableau1[[#This Row],[Gender]])</f>
        <v>Diamond League Stockholm 2024__45445_Female</v>
      </c>
      <c r="Y880" t="s">
        <v>70</v>
      </c>
      <c r="Z880" s="2" t="s">
        <v>43</v>
      </c>
      <c r="AA880" s="2"/>
      <c r="AB880" s="2" t="s">
        <v>65</v>
      </c>
      <c r="AC880" s="2">
        <v>45445</v>
      </c>
      <c r="AD880" s="3">
        <v>2024</v>
      </c>
      <c r="AE880" s="3">
        <v>24</v>
      </c>
      <c r="AF880" s="5">
        <v>0.43</v>
      </c>
      <c r="AG880" s="3" t="s">
        <v>71</v>
      </c>
      <c r="AH880" t="s">
        <v>72</v>
      </c>
    </row>
    <row r="881" spans="1:34" hidden="1" x14ac:dyDescent="0.35">
      <c r="A881" t="str">
        <f>_xlfn.CONCAT(Tableau1[[#This Row],[Athletes]],"_",Tableau1[[#This Row],[Nationality]],"_",Tableau1[[#This Row],[Competition_year]])</f>
        <v>Federico RIVA_ITA_2024</v>
      </c>
      <c r="B881" t="s">
        <v>901</v>
      </c>
      <c r="C881" t="s">
        <v>16</v>
      </c>
      <c r="D881" t="s">
        <v>19</v>
      </c>
      <c r="E881">
        <v>13.7</v>
      </c>
      <c r="F881">
        <v>14.4</v>
      </c>
      <c r="G881">
        <v>14.8</v>
      </c>
      <c r="H881">
        <v>14.8</v>
      </c>
      <c r="I881">
        <v>14.1</v>
      </c>
      <c r="J881">
        <v>14.8</v>
      </c>
      <c r="K881">
        <v>14.2</v>
      </c>
      <c r="L881">
        <v>14.7</v>
      </c>
      <c r="M881">
        <v>14.3</v>
      </c>
      <c r="N881">
        <v>14.6</v>
      </c>
      <c r="O881">
        <v>14.1</v>
      </c>
      <c r="P881">
        <v>14</v>
      </c>
      <c r="Q881">
        <v>13.7</v>
      </c>
      <c r="R881">
        <v>14</v>
      </c>
      <c r="S881">
        <f>Tableau1[[#This Row],[Final_time]]-SUM(Tableau1[[#This Row],[0_100m]:[1300_1400m]])</f>
        <v>13.670000000000016</v>
      </c>
      <c r="T881">
        <v>213.87</v>
      </c>
      <c r="U881">
        <f t="shared" si="26"/>
        <v>213.87</v>
      </c>
      <c r="V881">
        <f t="shared" si="27"/>
        <v>0</v>
      </c>
      <c r="W881" s="12"/>
      <c r="X881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1" t="s">
        <v>70</v>
      </c>
      <c r="Z881" s="2" t="s">
        <v>43</v>
      </c>
      <c r="AA881" s="2"/>
      <c r="AB881" s="2" t="s">
        <v>74</v>
      </c>
      <c r="AC881" s="2">
        <v>45445</v>
      </c>
      <c r="AD881" s="3">
        <v>2024</v>
      </c>
      <c r="AE881" s="3">
        <v>24</v>
      </c>
      <c r="AF881" s="5">
        <v>0.43</v>
      </c>
      <c r="AG881" s="3" t="s">
        <v>71</v>
      </c>
      <c r="AH881" t="s">
        <v>73</v>
      </c>
    </row>
    <row r="882" spans="1:34" hidden="1" x14ac:dyDescent="0.35">
      <c r="A882" t="str">
        <f>_xlfn.CONCAT(Tableau1[[#This Row],[Athletes]],"_",Tableau1[[#This Row],[Nationality]],"_",Tableau1[[#This Row],[Competition_year]])</f>
        <v>Noah BALTUS_NED_2024</v>
      </c>
      <c r="B882" t="s">
        <v>1155</v>
      </c>
      <c r="C882" t="s">
        <v>16</v>
      </c>
      <c r="D882" t="s">
        <v>39</v>
      </c>
      <c r="E882">
        <v>13.9</v>
      </c>
      <c r="F882">
        <v>14.4</v>
      </c>
      <c r="G882">
        <v>14.7</v>
      </c>
      <c r="H882">
        <v>14.9</v>
      </c>
      <c r="I882">
        <v>13.7</v>
      </c>
      <c r="J882">
        <v>14.7</v>
      </c>
      <c r="K882">
        <v>14.1</v>
      </c>
      <c r="L882">
        <v>14.5</v>
      </c>
      <c r="M882">
        <v>14.5</v>
      </c>
      <c r="N882">
        <v>14.7</v>
      </c>
      <c r="O882">
        <v>14.6</v>
      </c>
      <c r="P882">
        <v>14.2</v>
      </c>
      <c r="Q882">
        <v>14.1</v>
      </c>
      <c r="R882">
        <v>14.2</v>
      </c>
      <c r="S882">
        <f>Tableau1[[#This Row],[Final_time]]-SUM(Tableau1[[#This Row],[0_100m]:[1300_1400m]])</f>
        <v>13.870000000000061</v>
      </c>
      <c r="T882">
        <v>215.07</v>
      </c>
      <c r="U882">
        <f t="shared" si="26"/>
        <v>215.07</v>
      </c>
      <c r="V882">
        <f t="shared" si="27"/>
        <v>0</v>
      </c>
      <c r="W882" s="12"/>
      <c r="X882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2" t="s">
        <v>70</v>
      </c>
      <c r="Z882" s="2" t="s">
        <v>43</v>
      </c>
      <c r="AA882" s="2"/>
      <c r="AB882" s="2" t="s">
        <v>74</v>
      </c>
      <c r="AC882" s="2">
        <v>45445</v>
      </c>
      <c r="AD882" s="3">
        <v>2024</v>
      </c>
      <c r="AE882" s="3">
        <v>24</v>
      </c>
      <c r="AF882" s="5">
        <v>0.43</v>
      </c>
      <c r="AG882" s="3" t="s">
        <v>71</v>
      </c>
      <c r="AH882" t="s">
        <v>73</v>
      </c>
    </row>
    <row r="883" spans="1:34" hidden="1" x14ac:dyDescent="0.35">
      <c r="A883" t="str">
        <f>_xlfn.CONCAT(Tableau1[[#This Row],[Athletes]],"_",Tableau1[[#This Row],[Nationality]],"_",Tableau1[[#This Row],[Competition_year]])</f>
        <v>Samuel PIHLSTRÖM_SWE_2024</v>
      </c>
      <c r="B883" t="s">
        <v>1220</v>
      </c>
      <c r="C883" t="s">
        <v>16</v>
      </c>
      <c r="D883" t="s">
        <v>56</v>
      </c>
      <c r="E883">
        <v>13.7</v>
      </c>
      <c r="F883">
        <v>14.1</v>
      </c>
      <c r="G883">
        <v>14.9</v>
      </c>
      <c r="H883">
        <v>14.6</v>
      </c>
      <c r="I883">
        <v>13.9</v>
      </c>
      <c r="J883">
        <v>14.5</v>
      </c>
      <c r="K883">
        <v>14.2</v>
      </c>
      <c r="L883">
        <v>14.5</v>
      </c>
      <c r="M883">
        <v>14.6</v>
      </c>
      <c r="N883">
        <v>14.1</v>
      </c>
      <c r="O883">
        <v>14.4</v>
      </c>
      <c r="P883">
        <v>14.3</v>
      </c>
      <c r="Q883">
        <v>14.1</v>
      </c>
      <c r="R883">
        <v>14.6</v>
      </c>
      <c r="S883">
        <f>Tableau1[[#This Row],[Final_time]]-SUM(Tableau1[[#This Row],[0_100m]:[1300_1400m]])</f>
        <v>14.009999999999991</v>
      </c>
      <c r="T883">
        <v>214.51</v>
      </c>
      <c r="U883">
        <f t="shared" si="26"/>
        <v>214.51</v>
      </c>
      <c r="V883">
        <f t="shared" si="27"/>
        <v>0</v>
      </c>
      <c r="W883" s="12"/>
      <c r="X883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3" t="s">
        <v>70</v>
      </c>
      <c r="Z883" s="2" t="s">
        <v>43</v>
      </c>
      <c r="AA883" s="2"/>
      <c r="AB883" s="2" t="s">
        <v>74</v>
      </c>
      <c r="AC883" s="2">
        <v>45445</v>
      </c>
      <c r="AD883" s="3">
        <v>2024</v>
      </c>
      <c r="AE883" s="3">
        <v>24</v>
      </c>
      <c r="AF883" s="5">
        <v>0.43</v>
      </c>
      <c r="AG883" s="3" t="s">
        <v>71</v>
      </c>
      <c r="AH883" t="s">
        <v>73</v>
      </c>
    </row>
    <row r="884" spans="1:34" hidden="1" x14ac:dyDescent="0.35">
      <c r="A884" t="str">
        <f>_xlfn.CONCAT(Tableau1[[#This Row],[Athletes]],"_",Tableau1[[#This Row],[Nationality]],"_",Tableau1[[#This Row],[Competition_year]])</f>
        <v>Maël GOUYETTE_FRA_2024</v>
      </c>
      <c r="B884" t="s">
        <v>1077</v>
      </c>
      <c r="C884" t="s">
        <v>16</v>
      </c>
      <c r="D884" t="s">
        <v>18</v>
      </c>
      <c r="E884">
        <v>13.8</v>
      </c>
      <c r="F884">
        <v>14.4</v>
      </c>
      <c r="G884">
        <v>14.9</v>
      </c>
      <c r="H884">
        <v>14.7</v>
      </c>
      <c r="I884">
        <v>13.7</v>
      </c>
      <c r="J884">
        <v>14.5</v>
      </c>
      <c r="K884">
        <v>13.8</v>
      </c>
      <c r="L884">
        <v>14.4</v>
      </c>
      <c r="M884">
        <v>14.5</v>
      </c>
      <c r="N884">
        <v>14.2</v>
      </c>
      <c r="O884">
        <v>14.4</v>
      </c>
      <c r="P884">
        <v>14.3</v>
      </c>
      <c r="Q884">
        <v>14.1</v>
      </c>
      <c r="R884">
        <v>14.2</v>
      </c>
      <c r="S884">
        <f>Tableau1[[#This Row],[Final_time]]-SUM(Tableau1[[#This Row],[0_100m]:[1300_1400m]])</f>
        <v>14.220000000000027</v>
      </c>
      <c r="T884">
        <v>214.12</v>
      </c>
      <c r="U884">
        <f t="shared" si="26"/>
        <v>214.12</v>
      </c>
      <c r="V884">
        <f t="shared" si="27"/>
        <v>0</v>
      </c>
      <c r="W884" s="12"/>
      <c r="X884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4" t="s">
        <v>70</v>
      </c>
      <c r="Z884" s="2" t="s">
        <v>43</v>
      </c>
      <c r="AA884" s="2"/>
      <c r="AB884" s="2" t="s">
        <v>74</v>
      </c>
      <c r="AC884" s="2">
        <v>45445</v>
      </c>
      <c r="AD884" s="3">
        <v>2024</v>
      </c>
      <c r="AE884" s="3">
        <v>24</v>
      </c>
      <c r="AF884" s="5">
        <v>0.43</v>
      </c>
      <c r="AG884" s="3" t="s">
        <v>71</v>
      </c>
      <c r="AH884" t="s">
        <v>73</v>
      </c>
    </row>
    <row r="885" spans="1:34" hidden="1" x14ac:dyDescent="0.35">
      <c r="A885" t="str">
        <f>_xlfn.CONCAT(Tableau1[[#This Row],[Athletes]],"_",Tableau1[[#This Row],[Nationality]],"_",Tableau1[[#This Row],[Competition_year]])</f>
        <v>Hafid RIZQY_MAR_2024</v>
      </c>
      <c r="B885" t="s">
        <v>404</v>
      </c>
      <c r="C885" t="s">
        <v>16</v>
      </c>
      <c r="D885" t="s">
        <v>75</v>
      </c>
      <c r="E885">
        <v>13.7</v>
      </c>
      <c r="F885">
        <v>14.3</v>
      </c>
      <c r="G885">
        <v>14.9</v>
      </c>
      <c r="H885">
        <v>14.7</v>
      </c>
      <c r="I885">
        <v>13.8</v>
      </c>
      <c r="J885">
        <v>14.5</v>
      </c>
      <c r="K885">
        <v>14.1</v>
      </c>
      <c r="L885">
        <v>14.6</v>
      </c>
      <c r="M885">
        <v>14.6</v>
      </c>
      <c r="N885">
        <v>14.4</v>
      </c>
      <c r="O885">
        <v>14.4</v>
      </c>
      <c r="P885">
        <v>14.3</v>
      </c>
      <c r="Q885">
        <v>14</v>
      </c>
      <c r="R885">
        <v>14.4</v>
      </c>
      <c r="S885">
        <f>Tableau1[[#This Row],[Final_time]]-SUM(Tableau1[[#This Row],[0_100m]:[1300_1400m]])</f>
        <v>14.449999999999989</v>
      </c>
      <c r="T885">
        <v>215.15</v>
      </c>
      <c r="U885">
        <f t="shared" si="26"/>
        <v>215.15</v>
      </c>
      <c r="V885">
        <f t="shared" si="27"/>
        <v>0</v>
      </c>
      <c r="W885" s="12"/>
      <c r="X885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5" t="s">
        <v>70</v>
      </c>
      <c r="Z885" s="2" t="s">
        <v>43</v>
      </c>
      <c r="AA885" s="2"/>
      <c r="AB885" s="2" t="s">
        <v>74</v>
      </c>
      <c r="AC885" s="2">
        <v>45445</v>
      </c>
      <c r="AD885" s="3">
        <v>2024</v>
      </c>
      <c r="AE885" s="3">
        <v>24</v>
      </c>
      <c r="AF885" s="5">
        <v>0.43</v>
      </c>
      <c r="AG885" s="3" t="s">
        <v>71</v>
      </c>
      <c r="AH885" t="s">
        <v>73</v>
      </c>
    </row>
    <row r="886" spans="1:34" hidden="1" x14ac:dyDescent="0.35">
      <c r="A886" t="str">
        <f>_xlfn.CONCAT(Tableau1[[#This Row],[Athletes]],"_",Tableau1[[#This Row],[Nationality]],"_",Tableau1[[#This Row],[Competition_year]])</f>
        <v>Charles PHILIBERT-THIBOUTOT_CAN_2024</v>
      </c>
      <c r="B886" t="s">
        <v>113</v>
      </c>
      <c r="C886" t="s">
        <v>16</v>
      </c>
      <c r="D886" t="s">
        <v>55</v>
      </c>
      <c r="E886">
        <v>13.8</v>
      </c>
      <c r="F886">
        <v>14.6</v>
      </c>
      <c r="G886">
        <v>14.8</v>
      </c>
      <c r="H886">
        <v>14.8</v>
      </c>
      <c r="I886">
        <v>13.9</v>
      </c>
      <c r="J886">
        <v>14.4</v>
      </c>
      <c r="K886">
        <v>14.1</v>
      </c>
      <c r="L886">
        <v>14.4</v>
      </c>
      <c r="M886">
        <v>14.3</v>
      </c>
      <c r="N886">
        <v>14.3</v>
      </c>
      <c r="O886">
        <v>14.4</v>
      </c>
      <c r="P886">
        <v>14.3</v>
      </c>
      <c r="Q886">
        <v>13.8</v>
      </c>
      <c r="R886">
        <v>14.3</v>
      </c>
      <c r="S886">
        <f>Tableau1[[#This Row],[Final_time]]-SUM(Tableau1[[#This Row],[0_100m]:[1300_1400m]])</f>
        <v>14.749999999999915</v>
      </c>
      <c r="T886">
        <v>214.95</v>
      </c>
      <c r="U886">
        <f t="shared" si="26"/>
        <v>214.95</v>
      </c>
      <c r="V886">
        <f t="shared" si="27"/>
        <v>0</v>
      </c>
      <c r="W886" s="12"/>
      <c r="X886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6" t="s">
        <v>70</v>
      </c>
      <c r="Z886" s="2" t="s">
        <v>43</v>
      </c>
      <c r="AA886" s="2"/>
      <c r="AB886" s="2" t="s">
        <v>74</v>
      </c>
      <c r="AC886" s="2">
        <v>45445</v>
      </c>
      <c r="AD886" s="3">
        <v>2024</v>
      </c>
      <c r="AE886" s="3">
        <v>24</v>
      </c>
      <c r="AF886" s="5">
        <v>0.43</v>
      </c>
      <c r="AG886" s="3" t="s">
        <v>71</v>
      </c>
      <c r="AH886" t="s">
        <v>73</v>
      </c>
    </row>
    <row r="887" spans="1:34" hidden="1" x14ac:dyDescent="0.35">
      <c r="A887" t="str">
        <f>_xlfn.CONCAT(Tableau1[[#This Row],[Athletes]],"_",Tableau1[[#This Row],[Nationality]],"_",Tableau1[[#This Row],[Competition_year]])</f>
        <v>Robert FARKEN_GER_2024</v>
      </c>
      <c r="B887" t="s">
        <v>342</v>
      </c>
      <c r="C887" t="s">
        <v>16</v>
      </c>
      <c r="D887" t="s">
        <v>34</v>
      </c>
      <c r="E887">
        <v>13.5</v>
      </c>
      <c r="F887">
        <v>14.1</v>
      </c>
      <c r="G887">
        <v>14.8</v>
      </c>
      <c r="H887">
        <v>14.5</v>
      </c>
      <c r="I887">
        <v>13.7</v>
      </c>
      <c r="J887">
        <v>14.2</v>
      </c>
      <c r="K887">
        <v>14</v>
      </c>
      <c r="L887">
        <v>14.5</v>
      </c>
      <c r="M887">
        <v>14.2</v>
      </c>
      <c r="N887">
        <v>14.3</v>
      </c>
      <c r="O887">
        <v>14</v>
      </c>
      <c r="P887">
        <v>14.3</v>
      </c>
      <c r="Q887">
        <v>14.1</v>
      </c>
      <c r="R887">
        <v>14.4</v>
      </c>
      <c r="S887">
        <f>Tableau1[[#This Row],[Final_time]]-SUM(Tableau1[[#This Row],[0_100m]:[1300_1400m]])</f>
        <v>14.929999999999978</v>
      </c>
      <c r="T887">
        <v>213.53</v>
      </c>
      <c r="U887">
        <f t="shared" si="26"/>
        <v>213.53</v>
      </c>
      <c r="V887">
        <f t="shared" si="27"/>
        <v>0</v>
      </c>
      <c r="W887" s="12"/>
      <c r="X887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7" t="s">
        <v>70</v>
      </c>
      <c r="Z887" s="2" t="s">
        <v>43</v>
      </c>
      <c r="AA887" s="2"/>
      <c r="AB887" s="2" t="s">
        <v>74</v>
      </c>
      <c r="AC887" s="2">
        <v>45445</v>
      </c>
      <c r="AD887" s="3">
        <v>2024</v>
      </c>
      <c r="AE887" s="3">
        <v>24</v>
      </c>
      <c r="AF887" s="5">
        <v>0.43</v>
      </c>
      <c r="AG887" s="3" t="s">
        <v>71</v>
      </c>
      <c r="AH887" t="s">
        <v>73</v>
      </c>
    </row>
    <row r="888" spans="1:34" hidden="1" x14ac:dyDescent="0.35">
      <c r="A888" t="str">
        <f>_xlfn.CONCAT(Tableau1[[#This Row],[Athletes]],"_",Tableau1[[#This Row],[Nationality]],"_",Tableau1[[#This Row],[Competition_year]])</f>
        <v>Luke MCCANN_IRL_2024</v>
      </c>
      <c r="B888" t="s">
        <v>209</v>
      </c>
      <c r="C888" t="s">
        <v>16</v>
      </c>
      <c r="D888" t="s">
        <v>35</v>
      </c>
      <c r="E888">
        <v>13.5</v>
      </c>
      <c r="F888">
        <v>13.9</v>
      </c>
      <c r="G888">
        <v>14.9</v>
      </c>
      <c r="H888">
        <v>14.4</v>
      </c>
      <c r="I888">
        <v>13.7</v>
      </c>
      <c r="J888">
        <v>14.2</v>
      </c>
      <c r="K888">
        <v>14.1</v>
      </c>
      <c r="L888">
        <v>14.4</v>
      </c>
      <c r="M888">
        <v>14.2</v>
      </c>
      <c r="N888">
        <v>14.3</v>
      </c>
      <c r="O888">
        <v>14.5</v>
      </c>
      <c r="P888">
        <v>14.2</v>
      </c>
      <c r="Q888">
        <v>14.1</v>
      </c>
      <c r="R888">
        <v>14.3</v>
      </c>
      <c r="S888">
        <f>Tableau1[[#This Row],[Final_time]]-SUM(Tableau1[[#This Row],[0_100m]:[1300_1400m]])</f>
        <v>14.960000000000008</v>
      </c>
      <c r="T888">
        <v>213.66</v>
      </c>
      <c r="U888">
        <f t="shared" si="26"/>
        <v>213.66</v>
      </c>
      <c r="V888">
        <f t="shared" si="27"/>
        <v>0</v>
      </c>
      <c r="W888" s="12"/>
      <c r="X888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8" t="s">
        <v>70</v>
      </c>
      <c r="Z888" s="2" t="s">
        <v>43</v>
      </c>
      <c r="AA888" s="2"/>
      <c r="AB888" s="2" t="s">
        <v>74</v>
      </c>
      <c r="AC888" s="2">
        <v>45445</v>
      </c>
      <c r="AD888" s="3">
        <v>2024</v>
      </c>
      <c r="AE888" s="3">
        <v>24</v>
      </c>
      <c r="AF888" s="5">
        <v>0.43</v>
      </c>
      <c r="AG888" s="3" t="s">
        <v>71</v>
      </c>
      <c r="AH888" t="s">
        <v>73</v>
      </c>
    </row>
    <row r="889" spans="1:34" hidden="1" x14ac:dyDescent="0.35">
      <c r="A889" t="str">
        <f>_xlfn.CONCAT(Tableau1[[#This Row],[Athletes]],"_",Tableau1[[#This Row],[Nationality]],"_",Tableau1[[#This Row],[Competition_year]])</f>
        <v>Ossama MESLEK_ITA_2024</v>
      </c>
      <c r="B889" t="s">
        <v>233</v>
      </c>
      <c r="C889" t="s">
        <v>16</v>
      </c>
      <c r="D889" t="s">
        <v>19</v>
      </c>
      <c r="E889">
        <v>13.6</v>
      </c>
      <c r="F889">
        <v>14.2</v>
      </c>
      <c r="G889">
        <v>14.8</v>
      </c>
      <c r="H889">
        <v>14.5</v>
      </c>
      <c r="I889">
        <v>13.9</v>
      </c>
      <c r="J889">
        <v>14.5</v>
      </c>
      <c r="K889">
        <v>14.2</v>
      </c>
      <c r="L889">
        <v>14.3</v>
      </c>
      <c r="M889">
        <v>14.5</v>
      </c>
      <c r="N889">
        <v>14.2</v>
      </c>
      <c r="O889">
        <v>14.3</v>
      </c>
      <c r="P889">
        <v>14.4</v>
      </c>
      <c r="Q889">
        <v>14</v>
      </c>
      <c r="R889">
        <v>14.3</v>
      </c>
      <c r="S889">
        <f>Tableau1[[#This Row],[Final_time]]-SUM(Tableau1[[#This Row],[0_100m]:[1300_1400m]])</f>
        <v>14.989999999999981</v>
      </c>
      <c r="T889">
        <v>214.69</v>
      </c>
      <c r="U889">
        <f t="shared" si="26"/>
        <v>214.69</v>
      </c>
      <c r="V889">
        <f t="shared" si="27"/>
        <v>0</v>
      </c>
      <c r="W889" s="12"/>
      <c r="X889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89" t="s">
        <v>70</v>
      </c>
      <c r="Z889" s="2" t="s">
        <v>43</v>
      </c>
      <c r="AA889" s="2"/>
      <c r="AB889" s="2" t="s">
        <v>74</v>
      </c>
      <c r="AC889" s="2">
        <v>45445</v>
      </c>
      <c r="AD889" s="3">
        <v>2024</v>
      </c>
      <c r="AE889" s="3">
        <v>24</v>
      </c>
      <c r="AF889" s="5">
        <v>0.43</v>
      </c>
      <c r="AG889" s="3" t="s">
        <v>71</v>
      </c>
      <c r="AH889" t="s">
        <v>73</v>
      </c>
    </row>
    <row r="890" spans="1:34" hidden="1" x14ac:dyDescent="0.35">
      <c r="A890" t="str">
        <f>_xlfn.CONCAT(Tableau1[[#This Row],[Athletes]],"_",Tableau1[[#This Row],[Nationality]],"_",Tableau1[[#This Row],[Competition_year]])</f>
        <v>Adam FOGG_GBR_2024</v>
      </c>
      <c r="B890" t="s">
        <v>715</v>
      </c>
      <c r="C890" t="s">
        <v>16</v>
      </c>
      <c r="D890" t="s">
        <v>20</v>
      </c>
      <c r="E890">
        <v>14</v>
      </c>
      <c r="F890">
        <v>14.1</v>
      </c>
      <c r="G890">
        <v>14.6</v>
      </c>
      <c r="H890">
        <v>14.8</v>
      </c>
      <c r="I890">
        <v>13.4</v>
      </c>
      <c r="J890">
        <v>14.2</v>
      </c>
      <c r="K890">
        <v>14.1</v>
      </c>
      <c r="L890">
        <v>14.4</v>
      </c>
      <c r="M890">
        <v>14.3</v>
      </c>
      <c r="N890">
        <v>14.2</v>
      </c>
      <c r="O890">
        <v>14.4</v>
      </c>
      <c r="P890">
        <v>14.5</v>
      </c>
      <c r="Q890">
        <v>14.6</v>
      </c>
      <c r="R890">
        <v>14.8</v>
      </c>
      <c r="S890">
        <f>Tableau1[[#This Row],[Final_time]]-SUM(Tableau1[[#This Row],[0_100m]:[1300_1400m]])</f>
        <v>15.099999999999994</v>
      </c>
      <c r="T890">
        <v>215.5</v>
      </c>
      <c r="U890">
        <f t="shared" si="26"/>
        <v>215.5</v>
      </c>
      <c r="V890">
        <f t="shared" si="27"/>
        <v>0</v>
      </c>
      <c r="W890" s="12"/>
      <c r="X890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90" t="s">
        <v>70</v>
      </c>
      <c r="Z890" s="2" t="s">
        <v>43</v>
      </c>
      <c r="AA890" s="2"/>
      <c r="AB890" s="2" t="s">
        <v>74</v>
      </c>
      <c r="AC890" s="2">
        <v>45445</v>
      </c>
      <c r="AD890" s="3">
        <v>2024</v>
      </c>
      <c r="AE890" s="3">
        <v>24</v>
      </c>
      <c r="AF890" s="5">
        <v>0.43</v>
      </c>
      <c r="AG890" s="3" t="s">
        <v>71</v>
      </c>
      <c r="AH890" t="s">
        <v>73</v>
      </c>
    </row>
    <row r="891" spans="1:34" hidden="1" x14ac:dyDescent="0.35">
      <c r="A891" t="str">
        <f>_xlfn.CONCAT(Tableau1[[#This Row],[Athletes]],"_",Tableau1[[#This Row],[Nationality]],"_",Tableau1[[#This Row],[Competition_year]])</f>
        <v>Jonathan GRAHN_SWE_2024</v>
      </c>
      <c r="B891" t="s">
        <v>1004</v>
      </c>
      <c r="C891" t="s">
        <v>16</v>
      </c>
      <c r="D891" t="s">
        <v>56</v>
      </c>
      <c r="E891">
        <v>14.3</v>
      </c>
      <c r="F891">
        <v>14</v>
      </c>
      <c r="G891">
        <v>14.9</v>
      </c>
      <c r="H891">
        <v>15.1</v>
      </c>
      <c r="I891">
        <v>13.7</v>
      </c>
      <c r="J891">
        <v>14.6</v>
      </c>
      <c r="K891">
        <v>14</v>
      </c>
      <c r="L891">
        <v>14.5</v>
      </c>
      <c r="M891">
        <v>14.3</v>
      </c>
      <c r="N891">
        <v>14.7</v>
      </c>
      <c r="O891">
        <v>14.3</v>
      </c>
      <c r="P891">
        <v>14.6</v>
      </c>
      <c r="Q891">
        <v>14.7</v>
      </c>
      <c r="R891">
        <v>14.9</v>
      </c>
      <c r="S891">
        <f>Tableau1[[#This Row],[Final_time]]-SUM(Tableau1[[#This Row],[0_100m]:[1300_1400m]])</f>
        <v>15.420000000000016</v>
      </c>
      <c r="T891">
        <v>218.02</v>
      </c>
      <c r="U891">
        <f t="shared" si="26"/>
        <v>218.02</v>
      </c>
      <c r="V891">
        <f t="shared" si="27"/>
        <v>0</v>
      </c>
      <c r="W891" s="12"/>
      <c r="X891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91" t="s">
        <v>70</v>
      </c>
      <c r="Z891" s="2" t="s">
        <v>43</v>
      </c>
      <c r="AA891" s="2"/>
      <c r="AB891" s="2" t="s">
        <v>74</v>
      </c>
      <c r="AC891" s="2">
        <v>45445</v>
      </c>
      <c r="AD891" s="3">
        <v>2024</v>
      </c>
      <c r="AE891" s="3">
        <v>24</v>
      </c>
      <c r="AF891" s="5">
        <v>0.43</v>
      </c>
      <c r="AG891" s="3" t="s">
        <v>71</v>
      </c>
      <c r="AH891" t="s">
        <v>73</v>
      </c>
    </row>
    <row r="892" spans="1:34" hidden="1" x14ac:dyDescent="0.35">
      <c r="A892" t="str">
        <f>_xlfn.CONCAT(Tableau1[[#This Row],[Athletes]],"_",Tableau1[[#This Row],[Nationality]],"_",Tableau1[[#This Row],[Competition_year]])</f>
        <v>Teddese LEMI_ETH_2024</v>
      </c>
      <c r="B892" t="s">
        <v>210</v>
      </c>
      <c r="C892" t="s">
        <v>16</v>
      </c>
      <c r="D892" t="s">
        <v>48</v>
      </c>
      <c r="E892">
        <v>14</v>
      </c>
      <c r="F892">
        <v>13.8</v>
      </c>
      <c r="G892">
        <v>14.8</v>
      </c>
      <c r="H892">
        <v>14.5</v>
      </c>
      <c r="I892">
        <v>13.8</v>
      </c>
      <c r="J892">
        <v>14.3</v>
      </c>
      <c r="K892">
        <v>14.1</v>
      </c>
      <c r="L892">
        <v>14.5</v>
      </c>
      <c r="M892">
        <v>14.4</v>
      </c>
      <c r="N892">
        <v>14.2</v>
      </c>
      <c r="O892">
        <v>14.4</v>
      </c>
      <c r="P892">
        <v>14.3</v>
      </c>
      <c r="Q892">
        <v>13.9</v>
      </c>
      <c r="R892">
        <v>14.5</v>
      </c>
      <c r="S892">
        <f>Tableau1[[#This Row],[Final_time]]-SUM(Tableau1[[#This Row],[0_100m]:[1300_1400m]])</f>
        <v>15.740000000000009</v>
      </c>
      <c r="T892">
        <v>215.24</v>
      </c>
      <c r="U892">
        <f t="shared" si="26"/>
        <v>215.24</v>
      </c>
      <c r="V892">
        <f t="shared" si="27"/>
        <v>0</v>
      </c>
      <c r="W892" s="12"/>
      <c r="X892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92" t="s">
        <v>70</v>
      </c>
      <c r="Z892" s="2" t="s">
        <v>43</v>
      </c>
      <c r="AA892" s="2"/>
      <c r="AB892" s="2" t="s">
        <v>74</v>
      </c>
      <c r="AC892" s="2">
        <v>45445</v>
      </c>
      <c r="AD892" s="3">
        <v>2024</v>
      </c>
      <c r="AE892" s="3">
        <v>24</v>
      </c>
      <c r="AF892" s="5">
        <v>0.43</v>
      </c>
      <c r="AG892" s="3" t="s">
        <v>71</v>
      </c>
      <c r="AH892" t="s">
        <v>73</v>
      </c>
    </row>
    <row r="893" spans="1:34" hidden="1" x14ac:dyDescent="0.35">
      <c r="A893" t="str">
        <f>_xlfn.CONCAT(Tableau1[[#This Row],[Athletes]],"_",Tableau1[[#This Row],[Nationality]],"_",Tableau1[[#This Row],[Competition_year]])</f>
        <v>Charles GRETHEN_LUX_2024</v>
      </c>
      <c r="B893" t="s">
        <v>230</v>
      </c>
      <c r="C893" t="s">
        <v>16</v>
      </c>
      <c r="D893" t="s">
        <v>76</v>
      </c>
      <c r="E893">
        <v>13.6</v>
      </c>
      <c r="F893">
        <v>14.5</v>
      </c>
      <c r="G893">
        <v>15</v>
      </c>
      <c r="H893">
        <v>15</v>
      </c>
      <c r="I893">
        <v>14</v>
      </c>
      <c r="J893">
        <v>14.7</v>
      </c>
      <c r="K893">
        <v>13.8</v>
      </c>
      <c r="L893">
        <v>14.7</v>
      </c>
      <c r="M893">
        <v>14</v>
      </c>
      <c r="N893">
        <v>14.6</v>
      </c>
      <c r="O893">
        <v>15.2</v>
      </c>
      <c r="P893">
        <v>15</v>
      </c>
      <c r="Q893">
        <v>15.7</v>
      </c>
      <c r="R893">
        <v>17</v>
      </c>
      <c r="S893">
        <f>Tableau1[[#This Row],[Final_time]]-SUM(Tableau1[[#This Row],[0_100m]:[1300_1400m]])</f>
        <v>18.560000000000031</v>
      </c>
      <c r="T893">
        <v>225.36</v>
      </c>
      <c r="U893">
        <f t="shared" si="26"/>
        <v>225.36</v>
      </c>
      <c r="V893">
        <f t="shared" si="27"/>
        <v>0</v>
      </c>
      <c r="W893" s="12"/>
      <c r="X893" t="str">
        <f>_xlfn.CONCAT(Tableau1[[#This Row],[Competition]],"_",Tableau1[[#This Row],[Championship_step]],"_",Tableau1[[#This Row],[Competition_date]],"_",Tableau1[[#This Row],[Gender]])</f>
        <v>Diamond League Stockholm 2024__45445_Male</v>
      </c>
      <c r="Y893" t="s">
        <v>70</v>
      </c>
      <c r="Z893" s="2" t="s">
        <v>43</v>
      </c>
      <c r="AA893" s="2"/>
      <c r="AB893" s="2" t="s">
        <v>74</v>
      </c>
      <c r="AC893" s="2">
        <v>45445</v>
      </c>
      <c r="AD893" s="3">
        <v>2024</v>
      </c>
      <c r="AE893" s="3">
        <v>24</v>
      </c>
      <c r="AF893" s="5">
        <v>0.43</v>
      </c>
      <c r="AG893" s="3" t="s">
        <v>71</v>
      </c>
      <c r="AH893" t="s">
        <v>73</v>
      </c>
    </row>
    <row r="894" spans="1:34" hidden="1" x14ac:dyDescent="0.35">
      <c r="A894" t="str">
        <f>_xlfn.CONCAT(Tableau1[[#This Row],[Athletes]],"_",Tableau1[[#This Row],[Nationality]],"_",Tableau1[[#This Row],[Competition_year]])</f>
        <v>Freweyni HAILU_ETH_2023</v>
      </c>
      <c r="B894" t="s">
        <v>144</v>
      </c>
      <c r="C894" t="s">
        <v>47</v>
      </c>
      <c r="D894" t="s">
        <v>48</v>
      </c>
      <c r="E894">
        <v>14.5</v>
      </c>
      <c r="F894">
        <v>15.3</v>
      </c>
      <c r="G894">
        <v>16.399999999999999</v>
      </c>
      <c r="H894">
        <v>16.899999999999999</v>
      </c>
      <c r="I894">
        <v>16.899999999999999</v>
      </c>
      <c r="J894">
        <v>16.5</v>
      </c>
      <c r="K894">
        <v>15.6</v>
      </c>
      <c r="L894">
        <v>16.100000000000001</v>
      </c>
      <c r="M894">
        <v>16.100000000000001</v>
      </c>
      <c r="N894">
        <v>15.9</v>
      </c>
      <c r="O894">
        <v>15.8</v>
      </c>
      <c r="P894">
        <v>15.7</v>
      </c>
      <c r="Q894">
        <v>15.2</v>
      </c>
      <c r="R894">
        <v>15</v>
      </c>
      <c r="S894">
        <f>Tableau1[[#This Row],[Final_time]]-SUM(Tableau1[[#This Row],[0_100m]:[1300_1400m]])</f>
        <v>14.660000000000025</v>
      </c>
      <c r="T894">
        <v>236.56</v>
      </c>
      <c r="U894">
        <f t="shared" si="26"/>
        <v>236.56</v>
      </c>
      <c r="V894">
        <f t="shared" si="27"/>
        <v>0</v>
      </c>
      <c r="W894" s="12"/>
      <c r="X894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894" t="s">
        <v>302</v>
      </c>
      <c r="Z894" t="s">
        <v>43</v>
      </c>
      <c r="AB894" t="s">
        <v>65</v>
      </c>
      <c r="AC894" s="2">
        <v>45171</v>
      </c>
      <c r="AD894">
        <v>2023</v>
      </c>
      <c r="AE894">
        <v>29</v>
      </c>
      <c r="AF894" s="5">
        <v>0.81</v>
      </c>
      <c r="AG894" s="3" t="s">
        <v>62</v>
      </c>
    </row>
    <row r="895" spans="1:34" hidden="1" x14ac:dyDescent="0.35">
      <c r="A895" t="str">
        <f>_xlfn.CONCAT(Tableau1[[#This Row],[Athletes]],"_",Tableau1[[#This Row],[Nationality]],"_",Tableau1[[#This Row],[Competition_year]])</f>
        <v>Nelly CHEPCHIRCHIR_KEN_2023</v>
      </c>
      <c r="B895" t="s">
        <v>178</v>
      </c>
      <c r="C895" t="s">
        <v>47</v>
      </c>
      <c r="D895" t="s">
        <v>17</v>
      </c>
      <c r="E895">
        <v>14.8</v>
      </c>
      <c r="F895">
        <v>15.2</v>
      </c>
      <c r="G895">
        <v>16.100000000000001</v>
      </c>
      <c r="H895">
        <v>16.8</v>
      </c>
      <c r="I895">
        <v>16.899999999999999</v>
      </c>
      <c r="J895">
        <v>16.5</v>
      </c>
      <c r="K895">
        <v>16</v>
      </c>
      <c r="L895">
        <v>16.399999999999999</v>
      </c>
      <c r="M895">
        <v>16</v>
      </c>
      <c r="N895">
        <v>15.9</v>
      </c>
      <c r="O895">
        <v>15.7</v>
      </c>
      <c r="P895">
        <v>15.5</v>
      </c>
      <c r="Q895">
        <v>14.8</v>
      </c>
      <c r="R895">
        <v>15.1</v>
      </c>
      <c r="S895">
        <f>Tableau1[[#This Row],[Final_time]]-SUM(Tableau1[[#This Row],[0_100m]:[1300_1400m]])</f>
        <v>15.019999999999982</v>
      </c>
      <c r="T895">
        <v>236.72</v>
      </c>
      <c r="U895">
        <f t="shared" si="26"/>
        <v>236.72</v>
      </c>
      <c r="V895">
        <f t="shared" si="27"/>
        <v>0</v>
      </c>
      <c r="W895" s="12"/>
      <c r="X895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895" t="s">
        <v>302</v>
      </c>
      <c r="Z895" t="s">
        <v>43</v>
      </c>
      <c r="AB895" t="s">
        <v>65</v>
      </c>
      <c r="AC895" s="2">
        <v>45171</v>
      </c>
      <c r="AD895">
        <v>2023</v>
      </c>
      <c r="AE895">
        <v>29</v>
      </c>
      <c r="AF895" s="5">
        <v>0.81</v>
      </c>
      <c r="AG895" s="3" t="s">
        <v>62</v>
      </c>
    </row>
    <row r="896" spans="1:34" hidden="1" x14ac:dyDescent="0.35">
      <c r="A896" t="str">
        <f>_xlfn.CONCAT(Tableau1[[#This Row],[Athletes]],"_",Tableau1[[#This Row],[Nationality]],"_",Tableau1[[#This Row],[Competition_year]])</f>
        <v>Melissa COURTNEY-BRYANT_GBR_2023</v>
      </c>
      <c r="B896" t="s">
        <v>168</v>
      </c>
      <c r="C896" t="s">
        <v>47</v>
      </c>
      <c r="D896" t="s">
        <v>20</v>
      </c>
      <c r="E896">
        <v>14.9</v>
      </c>
      <c r="F896">
        <v>15.4</v>
      </c>
      <c r="G896">
        <v>16.2</v>
      </c>
      <c r="H896">
        <v>16.899999999999999</v>
      </c>
      <c r="I896">
        <v>16.899999999999999</v>
      </c>
      <c r="J896">
        <v>17</v>
      </c>
      <c r="K896">
        <v>16</v>
      </c>
      <c r="L896">
        <v>16.2</v>
      </c>
      <c r="M896">
        <v>15.9</v>
      </c>
      <c r="N896">
        <v>16</v>
      </c>
      <c r="O896">
        <v>15.5</v>
      </c>
      <c r="P896">
        <v>15.6</v>
      </c>
      <c r="Q896">
        <v>15.4</v>
      </c>
      <c r="R896">
        <v>15.3</v>
      </c>
      <c r="S896">
        <f>Tableau1[[#This Row],[Final_time]]-SUM(Tableau1[[#This Row],[0_100m]:[1300_1400m]])</f>
        <v>15.019999999999982</v>
      </c>
      <c r="T896">
        <v>238.22</v>
      </c>
      <c r="U896">
        <f t="shared" si="26"/>
        <v>238.22</v>
      </c>
      <c r="V896">
        <f t="shared" si="27"/>
        <v>0</v>
      </c>
      <c r="W896" s="12"/>
      <c r="X896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896" t="s">
        <v>302</v>
      </c>
      <c r="Z896" t="s">
        <v>43</v>
      </c>
      <c r="AB896" t="s">
        <v>65</v>
      </c>
      <c r="AC896" s="2">
        <v>45171</v>
      </c>
      <c r="AD896">
        <v>2023</v>
      </c>
      <c r="AE896">
        <v>29</v>
      </c>
      <c r="AF896" s="5">
        <v>0.81</v>
      </c>
      <c r="AG896" s="3" t="s">
        <v>62</v>
      </c>
    </row>
    <row r="897" spans="1:34" hidden="1" x14ac:dyDescent="0.35">
      <c r="A897" t="str">
        <f>_xlfn.CONCAT(Tableau1[[#This Row],[Athletes]],"_",Tableau1[[#This Row],[Nationality]],"_",Tableau1[[#This Row],[Competition_year]])</f>
        <v>Tigist GIRMA_ETH_2023</v>
      </c>
      <c r="B897" t="s">
        <v>412</v>
      </c>
      <c r="C897" t="s">
        <v>47</v>
      </c>
      <c r="D897" t="s">
        <v>48</v>
      </c>
      <c r="E897">
        <v>14.7</v>
      </c>
      <c r="F897">
        <v>15.5</v>
      </c>
      <c r="G897">
        <v>16.100000000000001</v>
      </c>
      <c r="H897">
        <v>17</v>
      </c>
      <c r="I897">
        <v>16.8</v>
      </c>
      <c r="J897">
        <v>16.600000000000001</v>
      </c>
      <c r="K897">
        <v>15.9</v>
      </c>
      <c r="L897">
        <v>16.5</v>
      </c>
      <c r="M897">
        <v>16.3</v>
      </c>
      <c r="N897">
        <v>15.8</v>
      </c>
      <c r="O897">
        <v>16.7</v>
      </c>
      <c r="P897">
        <v>16.899999999999999</v>
      </c>
      <c r="Q897">
        <v>17</v>
      </c>
      <c r="R897">
        <v>16.2</v>
      </c>
      <c r="S897">
        <f>Tableau1[[#This Row],[Final_time]]-SUM(Tableau1[[#This Row],[0_100m]:[1300_1400m]])</f>
        <v>15.27000000000001</v>
      </c>
      <c r="T897">
        <v>243.27</v>
      </c>
      <c r="U897">
        <f t="shared" si="26"/>
        <v>243.27</v>
      </c>
      <c r="V897">
        <f t="shared" si="27"/>
        <v>0</v>
      </c>
      <c r="W897" s="12"/>
      <c r="X897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897" t="s">
        <v>302</v>
      </c>
      <c r="Z897" t="s">
        <v>43</v>
      </c>
      <c r="AB897" t="s">
        <v>65</v>
      </c>
      <c r="AC897" s="2">
        <v>45171</v>
      </c>
      <c r="AD897">
        <v>2023</v>
      </c>
      <c r="AE897">
        <v>29</v>
      </c>
      <c r="AF897" s="5">
        <v>0.81</v>
      </c>
      <c r="AG897" s="3" t="s">
        <v>62</v>
      </c>
    </row>
    <row r="898" spans="1:34" hidden="1" x14ac:dyDescent="0.35">
      <c r="A898" t="str">
        <f>_xlfn.CONCAT(Tableau1[[#This Row],[Athletes]],"_",Tableau1[[#This Row],[Nationality]],"_",Tableau1[[#This Row],[Competition_year]])</f>
        <v>Sarah HEALY_IRL_2023</v>
      </c>
      <c r="B898" t="s">
        <v>166</v>
      </c>
      <c r="C898" t="s">
        <v>47</v>
      </c>
      <c r="D898" t="s">
        <v>35</v>
      </c>
      <c r="E898">
        <v>15.2</v>
      </c>
      <c r="F898">
        <v>15.5</v>
      </c>
      <c r="G898">
        <v>16.399999999999999</v>
      </c>
      <c r="H898">
        <v>16.8</v>
      </c>
      <c r="I898">
        <v>16.899999999999999</v>
      </c>
      <c r="J898">
        <v>16.899999999999999</v>
      </c>
      <c r="K898">
        <v>16.3</v>
      </c>
      <c r="L898">
        <v>16.399999999999999</v>
      </c>
      <c r="M898">
        <v>16.2</v>
      </c>
      <c r="N898">
        <v>16.399999999999999</v>
      </c>
      <c r="O898">
        <v>16</v>
      </c>
      <c r="P898">
        <v>15.9</v>
      </c>
      <c r="Q898">
        <v>15.7</v>
      </c>
      <c r="R898">
        <v>15.6</v>
      </c>
      <c r="S898">
        <f>Tableau1[[#This Row],[Final_time]]-SUM(Tableau1[[#This Row],[0_100m]:[1300_1400m]])</f>
        <v>15.28000000000003</v>
      </c>
      <c r="T898">
        <v>241.48</v>
      </c>
      <c r="U898">
        <f t="shared" ref="U898:U961" si="28">SUM(E898:S898)</f>
        <v>241.48</v>
      </c>
      <c r="V898">
        <f t="shared" ref="V898:V961" si="29">ABS(U898-T898)</f>
        <v>0</v>
      </c>
      <c r="W898" s="12"/>
      <c r="X898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898" t="s">
        <v>302</v>
      </c>
      <c r="Z898" t="s">
        <v>43</v>
      </c>
      <c r="AB898" t="s">
        <v>65</v>
      </c>
      <c r="AC898" s="2">
        <v>45171</v>
      </c>
      <c r="AD898">
        <v>2023</v>
      </c>
      <c r="AE898">
        <v>29</v>
      </c>
      <c r="AF898" s="5">
        <v>0.81</v>
      </c>
      <c r="AG898" s="3" t="s">
        <v>62</v>
      </c>
    </row>
    <row r="899" spans="1:34" hidden="1" x14ac:dyDescent="0.35">
      <c r="A899" t="str">
        <f>_xlfn.CONCAT(Tableau1[[#This Row],[Athletes]],"_",Tableau1[[#This Row],[Nationality]],"_",Tableau1[[#This Row],[Competition_year]])</f>
        <v>Linden HALL_AUS_2023</v>
      </c>
      <c r="B899" t="s">
        <v>184</v>
      </c>
      <c r="C899" t="s">
        <v>47</v>
      </c>
      <c r="D899" t="s">
        <v>21</v>
      </c>
      <c r="E899">
        <v>15.1</v>
      </c>
      <c r="F899">
        <v>15.1</v>
      </c>
      <c r="G899">
        <v>16.100000000000001</v>
      </c>
      <c r="H899">
        <v>17.100000000000001</v>
      </c>
      <c r="I899">
        <v>16.899999999999999</v>
      </c>
      <c r="J899">
        <v>16.7</v>
      </c>
      <c r="K899">
        <v>16.100000000000001</v>
      </c>
      <c r="L899">
        <v>16.100000000000001</v>
      </c>
      <c r="M899">
        <v>15.9</v>
      </c>
      <c r="N899">
        <v>15.7</v>
      </c>
      <c r="O899">
        <v>15.7</v>
      </c>
      <c r="P899">
        <v>15.5</v>
      </c>
      <c r="Q899">
        <v>15.3</v>
      </c>
      <c r="R899">
        <v>15.2</v>
      </c>
      <c r="S899">
        <f>Tableau1[[#This Row],[Final_time]]-SUM(Tableau1[[#This Row],[0_100m]:[1300_1400m]])</f>
        <v>15.420000000000016</v>
      </c>
      <c r="T899">
        <v>237.92</v>
      </c>
      <c r="U899">
        <f t="shared" si="28"/>
        <v>237.92</v>
      </c>
      <c r="V899">
        <f t="shared" si="29"/>
        <v>0</v>
      </c>
      <c r="W899" s="12"/>
      <c r="X899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899" t="s">
        <v>302</v>
      </c>
      <c r="Z899" t="s">
        <v>43</v>
      </c>
      <c r="AB899" t="s">
        <v>65</v>
      </c>
      <c r="AC899" s="2">
        <v>45171</v>
      </c>
      <c r="AD899">
        <v>2023</v>
      </c>
      <c r="AE899">
        <v>29</v>
      </c>
      <c r="AF899" s="5">
        <v>0.81</v>
      </c>
      <c r="AG899" s="3" t="s">
        <v>62</v>
      </c>
    </row>
    <row r="900" spans="1:34" hidden="1" x14ac:dyDescent="0.35">
      <c r="A900" t="str">
        <f>_xlfn.CONCAT(Tableau1[[#This Row],[Athletes]],"_",Tableau1[[#This Row],[Nationality]],"_",Tableau1[[#This Row],[Competition_year]])</f>
        <v>Chunyu WANG_CHN_2023</v>
      </c>
      <c r="B900" t="s">
        <v>482</v>
      </c>
      <c r="C900" t="s">
        <v>47</v>
      </c>
      <c r="D900" t="s">
        <v>416</v>
      </c>
      <c r="E900">
        <v>15.5</v>
      </c>
      <c r="F900">
        <v>15.600000000000001</v>
      </c>
      <c r="G900">
        <v>15.600000000000001</v>
      </c>
      <c r="H900">
        <v>17.099999999999994</v>
      </c>
      <c r="I900">
        <v>17</v>
      </c>
      <c r="J900">
        <v>16.900000000000006</v>
      </c>
      <c r="K900">
        <v>16.899999999999991</v>
      </c>
      <c r="L900">
        <v>16.900000000000006</v>
      </c>
      <c r="M900">
        <v>16.800000000000011</v>
      </c>
      <c r="N900">
        <v>16.699999999999989</v>
      </c>
      <c r="O900">
        <v>17.800000000000011</v>
      </c>
      <c r="P900">
        <v>17.799999999999983</v>
      </c>
      <c r="Q900">
        <v>18</v>
      </c>
      <c r="R900">
        <v>18</v>
      </c>
      <c r="S900">
        <f>Tableau1[[#This Row],[Final_time]]-SUM(Tableau1[[#This Row],[0_100m]:[1300_1400m]])</f>
        <v>16.260000000000019</v>
      </c>
      <c r="T900">
        <v>252.86</v>
      </c>
      <c r="U900">
        <f t="shared" si="28"/>
        <v>252.86</v>
      </c>
      <c r="V900">
        <f t="shared" si="29"/>
        <v>0</v>
      </c>
      <c r="W900" s="12"/>
      <c r="X900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0" t="s">
        <v>302</v>
      </c>
      <c r="Z900" t="s">
        <v>43</v>
      </c>
      <c r="AB900" t="s">
        <v>65</v>
      </c>
      <c r="AC900" s="2">
        <v>45171</v>
      </c>
      <c r="AD900">
        <v>2023</v>
      </c>
      <c r="AE900">
        <v>29</v>
      </c>
      <c r="AF900" s="5">
        <v>0.81</v>
      </c>
      <c r="AG900" s="3" t="s">
        <v>62</v>
      </c>
    </row>
    <row r="901" spans="1:34" hidden="1" x14ac:dyDescent="0.35">
      <c r="A901" t="str">
        <f>_xlfn.CONCAT(Tableau1[[#This Row],[Athletes]],"_",Tableau1[[#This Row],[Nationality]],"_",Tableau1[[#This Row],[Competition_year]])</f>
        <v>Claudia Mihaela BOBOCEA_ROU_2023</v>
      </c>
      <c r="B901" t="s">
        <v>160</v>
      </c>
      <c r="C901" t="s">
        <v>47</v>
      </c>
      <c r="D901" t="s">
        <v>102</v>
      </c>
      <c r="E901">
        <v>15.3</v>
      </c>
      <c r="F901">
        <v>15.899999999999999</v>
      </c>
      <c r="G901">
        <v>16.2</v>
      </c>
      <c r="H901">
        <v>16.800000000000004</v>
      </c>
      <c r="I901">
        <v>16.899999999999991</v>
      </c>
      <c r="J901">
        <v>16.800000000000011</v>
      </c>
      <c r="K901">
        <v>16.5</v>
      </c>
      <c r="L901">
        <v>16.5</v>
      </c>
      <c r="M901">
        <v>16.400000000000006</v>
      </c>
      <c r="N901">
        <v>16.699999999999989</v>
      </c>
      <c r="O901">
        <v>16.599999999999994</v>
      </c>
      <c r="P901">
        <v>16.400000000000006</v>
      </c>
      <c r="Q901">
        <v>16.400000000000006</v>
      </c>
      <c r="R901">
        <v>16.400000000000006</v>
      </c>
      <c r="S901">
        <f>Tableau1[[#This Row],[Final_time]]-SUM(Tableau1[[#This Row],[0_100m]:[1300_1400m]])</f>
        <v>16.269999999999982</v>
      </c>
      <c r="T901">
        <v>246.07</v>
      </c>
      <c r="U901">
        <f t="shared" si="28"/>
        <v>246.07</v>
      </c>
      <c r="V901">
        <f t="shared" si="29"/>
        <v>0</v>
      </c>
      <c r="W901" s="12"/>
      <c r="X901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1" t="s">
        <v>302</v>
      </c>
      <c r="Z901" t="s">
        <v>43</v>
      </c>
      <c r="AB901" t="s">
        <v>65</v>
      </c>
      <c r="AC901" s="2">
        <v>45171</v>
      </c>
      <c r="AD901">
        <v>2023</v>
      </c>
      <c r="AE901">
        <v>29</v>
      </c>
      <c r="AF901" s="5">
        <v>0.81</v>
      </c>
      <c r="AG901" s="3" t="s">
        <v>62</v>
      </c>
    </row>
    <row r="902" spans="1:34" hidden="1" x14ac:dyDescent="0.35">
      <c r="A902" t="str">
        <f>_xlfn.CONCAT(Tableau1[[#This Row],[Athletes]],"_",Tableau1[[#This Row],[Nationality]],"_",Tableau1[[#This Row],[Competition_year]])</f>
        <v>Helen SCHLACHTENHAUFEN_USA_2023</v>
      </c>
      <c r="B902" t="s">
        <v>413</v>
      </c>
      <c r="C902" t="s">
        <v>47</v>
      </c>
      <c r="D902" t="s">
        <v>51</v>
      </c>
      <c r="E902">
        <v>15.1</v>
      </c>
      <c r="F902">
        <v>15.5</v>
      </c>
      <c r="G902">
        <v>16.3</v>
      </c>
      <c r="H902">
        <v>17.3</v>
      </c>
      <c r="I902">
        <v>17</v>
      </c>
      <c r="J902">
        <v>17.100000000000001</v>
      </c>
      <c r="K902">
        <v>16.399999999999999</v>
      </c>
      <c r="L902">
        <v>15.6</v>
      </c>
      <c r="M902">
        <v>16.600000000000001</v>
      </c>
      <c r="N902">
        <v>16.7</v>
      </c>
      <c r="O902">
        <v>16.5</v>
      </c>
      <c r="P902">
        <v>15.7</v>
      </c>
      <c r="Q902">
        <v>15.6</v>
      </c>
      <c r="R902">
        <v>16</v>
      </c>
      <c r="S902">
        <f>Tableau1[[#This Row],[Final_time]]-SUM(Tableau1[[#This Row],[0_100m]:[1300_1400m]])</f>
        <v>16.29000000000002</v>
      </c>
      <c r="T902">
        <v>243.69</v>
      </c>
      <c r="U902">
        <f t="shared" si="28"/>
        <v>243.69</v>
      </c>
      <c r="V902">
        <f t="shared" si="29"/>
        <v>0</v>
      </c>
      <c r="W902" s="12"/>
      <c r="X902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2" t="s">
        <v>302</v>
      </c>
      <c r="Z902" t="s">
        <v>43</v>
      </c>
      <c r="AB902" t="s">
        <v>65</v>
      </c>
      <c r="AC902" s="2">
        <v>45171</v>
      </c>
      <c r="AD902">
        <v>2023</v>
      </c>
      <c r="AE902">
        <v>29</v>
      </c>
      <c r="AF902" s="5">
        <v>0.81</v>
      </c>
      <c r="AG902" s="3" t="s">
        <v>62</v>
      </c>
    </row>
    <row r="903" spans="1:34" hidden="1" x14ac:dyDescent="0.35">
      <c r="A903" t="str">
        <f>_xlfn.CONCAT(Tableau1[[#This Row],[Athletes]],"_",Tableau1[[#This Row],[Nationality]],"_",Tableau1[[#This Row],[Competition_year]])</f>
        <v>Saron BERHE_ETH_2023</v>
      </c>
      <c r="B903" t="s">
        <v>411</v>
      </c>
      <c r="C903" t="s">
        <v>47</v>
      </c>
      <c r="D903" t="s">
        <v>48</v>
      </c>
      <c r="E903">
        <v>15.6</v>
      </c>
      <c r="F903">
        <v>15.4</v>
      </c>
      <c r="G903">
        <v>16.399999999999999</v>
      </c>
      <c r="H903">
        <v>17.100000000000001</v>
      </c>
      <c r="I903">
        <v>16</v>
      </c>
      <c r="J903">
        <v>16.600000000000001</v>
      </c>
      <c r="K903">
        <v>15.4</v>
      </c>
      <c r="L903">
        <v>16.399999999999999</v>
      </c>
      <c r="M903">
        <v>16</v>
      </c>
      <c r="N903">
        <v>15.9</v>
      </c>
      <c r="O903">
        <v>15.8</v>
      </c>
      <c r="P903">
        <v>15.7</v>
      </c>
      <c r="Q903">
        <v>15.4</v>
      </c>
      <c r="R903">
        <v>16.8</v>
      </c>
      <c r="S903">
        <f>Tableau1[[#This Row],[Final_time]]-SUM(Tableau1[[#This Row],[0_100m]:[1300_1400m]])</f>
        <v>16.359999999999985</v>
      </c>
      <c r="T903">
        <v>240.86</v>
      </c>
      <c r="U903">
        <f t="shared" si="28"/>
        <v>240.86</v>
      </c>
      <c r="V903">
        <f t="shared" si="29"/>
        <v>0</v>
      </c>
      <c r="W903" s="12"/>
      <c r="X903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3" t="s">
        <v>302</v>
      </c>
      <c r="Z903" t="s">
        <v>43</v>
      </c>
      <c r="AB903" t="s">
        <v>65</v>
      </c>
      <c r="AC903" s="2">
        <v>45171</v>
      </c>
      <c r="AD903">
        <v>2023</v>
      </c>
      <c r="AE903">
        <v>29</v>
      </c>
      <c r="AF903" s="5">
        <v>0.81</v>
      </c>
      <c r="AG903" s="3" t="s">
        <v>62</v>
      </c>
    </row>
    <row r="904" spans="1:34" hidden="1" x14ac:dyDescent="0.35">
      <c r="A904" t="str">
        <f>_xlfn.CONCAT(Tableau1[[#This Row],[Athletes]],"_",Tableau1[[#This Row],[Nationality]],"_",Tableau1[[#This Row],[Competition_year]])</f>
        <v>Josette ANDREWS_USA_2023</v>
      </c>
      <c r="B904" t="s">
        <v>296</v>
      </c>
      <c r="C904" t="s">
        <v>47</v>
      </c>
      <c r="D904" t="s">
        <v>51</v>
      </c>
      <c r="E904">
        <v>15.4</v>
      </c>
      <c r="F904">
        <v>15.6</v>
      </c>
      <c r="G904">
        <v>15.9</v>
      </c>
      <c r="H904">
        <v>16.8</v>
      </c>
      <c r="I904">
        <v>17</v>
      </c>
      <c r="J904">
        <v>16.899999999999999</v>
      </c>
      <c r="K904">
        <v>16.2</v>
      </c>
      <c r="L904">
        <v>16.3</v>
      </c>
      <c r="M904">
        <v>16.100000000000001</v>
      </c>
      <c r="N904">
        <v>16.3</v>
      </c>
      <c r="O904">
        <v>16.5</v>
      </c>
      <c r="P904">
        <v>16.8</v>
      </c>
      <c r="Q904">
        <v>16.7</v>
      </c>
      <c r="R904">
        <v>16.600000000000001</v>
      </c>
      <c r="S904">
        <f>Tableau1[[#This Row],[Final_time]]-SUM(Tableau1[[#This Row],[0_100m]:[1300_1400m]])</f>
        <v>16.420000000000016</v>
      </c>
      <c r="T904">
        <v>245.52</v>
      </c>
      <c r="U904">
        <f t="shared" si="28"/>
        <v>245.52</v>
      </c>
      <c r="V904">
        <f t="shared" si="29"/>
        <v>0</v>
      </c>
      <c r="W904" s="12"/>
      <c r="X904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4" t="s">
        <v>302</v>
      </c>
      <c r="Z904" t="s">
        <v>43</v>
      </c>
      <c r="AB904" t="s">
        <v>65</v>
      </c>
      <c r="AC904" s="2">
        <v>45171</v>
      </c>
      <c r="AD904">
        <v>2023</v>
      </c>
      <c r="AE904">
        <v>29</v>
      </c>
      <c r="AF904" s="5">
        <v>0.81</v>
      </c>
      <c r="AG904" s="3" t="s">
        <v>62</v>
      </c>
    </row>
    <row r="905" spans="1:34" hidden="1" x14ac:dyDescent="0.35">
      <c r="A905" t="str">
        <f>_xlfn.CONCAT(Tableau1[[#This Row],[Athletes]],"_",Tableau1[[#This Row],[Nationality]],"_",Tableau1[[#This Row],[Competition_year]])</f>
        <v>Purity CHEPKIRUI_KEN_2023</v>
      </c>
      <c r="B905" t="s">
        <v>414</v>
      </c>
      <c r="C905" t="s">
        <v>47</v>
      </c>
      <c r="D905" t="s">
        <v>17</v>
      </c>
      <c r="E905">
        <v>15.3</v>
      </c>
      <c r="F905">
        <v>15.4</v>
      </c>
      <c r="G905">
        <v>16.399999999999999</v>
      </c>
      <c r="H905">
        <v>16.600000000000001</v>
      </c>
      <c r="I905">
        <v>16.600000000000001</v>
      </c>
      <c r="J905">
        <v>16.600000000000001</v>
      </c>
      <c r="K905">
        <v>16</v>
      </c>
      <c r="L905">
        <v>16.7</v>
      </c>
      <c r="M905">
        <v>16.399999999999999</v>
      </c>
      <c r="N905">
        <v>16.7</v>
      </c>
      <c r="O905">
        <v>16.899999999999999</v>
      </c>
      <c r="P905">
        <v>16.600000000000001</v>
      </c>
      <c r="Q905">
        <v>16.100000000000001</v>
      </c>
      <c r="R905">
        <v>16.399999999999999</v>
      </c>
      <c r="S905">
        <f>Tableau1[[#This Row],[Final_time]]-SUM(Tableau1[[#This Row],[0_100m]:[1300_1400m]])</f>
        <v>16.450000000000017</v>
      </c>
      <c r="T905">
        <v>245.15</v>
      </c>
      <c r="U905">
        <f t="shared" si="28"/>
        <v>245.15</v>
      </c>
      <c r="V905">
        <f t="shared" si="29"/>
        <v>0</v>
      </c>
      <c r="W905" s="12"/>
      <c r="X905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5" t="s">
        <v>302</v>
      </c>
      <c r="Z905" t="s">
        <v>43</v>
      </c>
      <c r="AB905" t="s">
        <v>65</v>
      </c>
      <c r="AC905" s="2">
        <v>45171</v>
      </c>
      <c r="AD905">
        <v>2023</v>
      </c>
      <c r="AE905">
        <v>29</v>
      </c>
      <c r="AF905" s="5">
        <v>0.81</v>
      </c>
      <c r="AG905" s="3" t="s">
        <v>62</v>
      </c>
    </row>
    <row r="906" spans="1:34" hidden="1" x14ac:dyDescent="0.35">
      <c r="A906" t="str">
        <f>_xlfn.CONCAT(Tableau1[[#This Row],[Athletes]],"_",Tableau1[[#This Row],[Nationality]],"_",Tableau1[[#This Row],[Competition_year]])</f>
        <v>Worknesh MESELE_ETH_2023</v>
      </c>
      <c r="B906" t="s">
        <v>294</v>
      </c>
      <c r="C906" t="s">
        <v>47</v>
      </c>
      <c r="D906" t="s">
        <v>48</v>
      </c>
      <c r="E906">
        <v>14.6</v>
      </c>
      <c r="F906">
        <v>15.4</v>
      </c>
      <c r="G906">
        <v>16.399999999999999</v>
      </c>
      <c r="H906">
        <v>16.8</v>
      </c>
      <c r="I906">
        <v>16.899999999999999</v>
      </c>
      <c r="J906">
        <v>16.600000000000001</v>
      </c>
      <c r="K906">
        <v>15.5</v>
      </c>
      <c r="L906">
        <v>16.3</v>
      </c>
      <c r="M906">
        <v>16.100000000000001</v>
      </c>
      <c r="N906">
        <v>15.9</v>
      </c>
      <c r="O906">
        <v>15.8</v>
      </c>
      <c r="P906">
        <v>15.7</v>
      </c>
      <c r="Q906">
        <v>15.4</v>
      </c>
      <c r="R906">
        <v>16.899999999999999</v>
      </c>
      <c r="S906">
        <f>Tableau1[[#This Row],[Final_time]]-SUM(Tableau1[[#This Row],[0_100m]:[1300_1400m]])</f>
        <v>16.539999999999992</v>
      </c>
      <c r="T906">
        <v>240.84</v>
      </c>
      <c r="U906">
        <f t="shared" si="28"/>
        <v>240.84</v>
      </c>
      <c r="V906">
        <f t="shared" si="29"/>
        <v>0</v>
      </c>
      <c r="W906" s="12"/>
      <c r="X906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6" t="s">
        <v>302</v>
      </c>
      <c r="Z906" t="s">
        <v>43</v>
      </c>
      <c r="AB906" t="s">
        <v>65</v>
      </c>
      <c r="AC906" s="2">
        <v>45171</v>
      </c>
      <c r="AD906">
        <v>2023</v>
      </c>
      <c r="AE906">
        <v>29</v>
      </c>
      <c r="AF906" s="5">
        <v>0.81</v>
      </c>
      <c r="AG906" s="3" t="s">
        <v>62</v>
      </c>
    </row>
    <row r="907" spans="1:34" hidden="1" x14ac:dyDescent="0.35">
      <c r="A907" t="str">
        <f>_xlfn.CONCAT(Tableau1[[#This Row],[Athletes]],"_",Tableau1[[#This Row],[Nationality]],"_",Tableau1[[#This Row],[Competition_year]])</f>
        <v>Emily MACKAY_USA_2023</v>
      </c>
      <c r="B907" t="s">
        <v>415</v>
      </c>
      <c r="C907" t="s">
        <v>47</v>
      </c>
      <c r="D907" t="s">
        <v>51</v>
      </c>
      <c r="E907">
        <v>15.8</v>
      </c>
      <c r="F907">
        <v>15.399999999999999</v>
      </c>
      <c r="G907">
        <v>16.400000000000002</v>
      </c>
      <c r="H907">
        <v>16.899999999999999</v>
      </c>
      <c r="I907">
        <v>16.900000000000006</v>
      </c>
      <c r="J907">
        <v>17.199999999999989</v>
      </c>
      <c r="K907">
        <v>16.200000000000003</v>
      </c>
      <c r="L907">
        <v>16.200000000000003</v>
      </c>
      <c r="M907">
        <v>16.099999999999994</v>
      </c>
      <c r="N907">
        <v>16.5</v>
      </c>
      <c r="O907">
        <v>16.5</v>
      </c>
      <c r="P907">
        <v>16.400000000000006</v>
      </c>
      <c r="Q907">
        <v>16.699999999999989</v>
      </c>
      <c r="R907">
        <v>16.700000000000017</v>
      </c>
      <c r="S907">
        <f>Tableau1[[#This Row],[Final_time]]-SUM(Tableau1[[#This Row],[0_100m]:[1300_1400m]])</f>
        <v>16.549999999999983</v>
      </c>
      <c r="T907">
        <v>246.45</v>
      </c>
      <c r="U907">
        <f t="shared" si="28"/>
        <v>246.45</v>
      </c>
      <c r="V907">
        <f t="shared" si="29"/>
        <v>0</v>
      </c>
      <c r="W907" s="12"/>
      <c r="X907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7" t="s">
        <v>302</v>
      </c>
      <c r="Z907" t="s">
        <v>43</v>
      </c>
      <c r="AB907" t="s">
        <v>65</v>
      </c>
      <c r="AC907" s="2">
        <v>45171</v>
      </c>
      <c r="AD907">
        <v>2023</v>
      </c>
      <c r="AE907">
        <v>29</v>
      </c>
      <c r="AF907" s="5">
        <v>0.81</v>
      </c>
      <c r="AG907" s="3" t="s">
        <v>62</v>
      </c>
    </row>
    <row r="908" spans="1:34" hidden="1" x14ac:dyDescent="0.35">
      <c r="A908" t="str">
        <f>_xlfn.CONCAT(Tableau1[[#This Row],[Athletes]],"_",Tableau1[[#This Row],[Nationality]],"_",Tableau1[[#This Row],[Competition_year]])</f>
        <v>Danielle JONES_USA_2023</v>
      </c>
      <c r="B908" t="s">
        <v>320</v>
      </c>
      <c r="C908" t="s">
        <v>47</v>
      </c>
      <c r="D908" t="s">
        <v>51</v>
      </c>
      <c r="E908">
        <v>15</v>
      </c>
      <c r="F908">
        <v>15.4</v>
      </c>
      <c r="G908">
        <v>16.2</v>
      </c>
      <c r="H908">
        <v>17</v>
      </c>
      <c r="I908">
        <v>16.899999999999999</v>
      </c>
      <c r="J908">
        <v>17</v>
      </c>
      <c r="K908">
        <v>16</v>
      </c>
      <c r="L908">
        <v>16.2</v>
      </c>
      <c r="M908">
        <v>16</v>
      </c>
      <c r="N908">
        <v>15.9</v>
      </c>
      <c r="O908">
        <v>15.7</v>
      </c>
      <c r="P908">
        <v>15.6</v>
      </c>
      <c r="Q908">
        <v>15.7</v>
      </c>
      <c r="R908">
        <v>16.3</v>
      </c>
      <c r="S908">
        <f>Tableau1[[#This Row],[Final_time]]-SUM(Tableau1[[#This Row],[0_100m]:[1300_1400m]])</f>
        <v>16.760000000000019</v>
      </c>
      <c r="T908">
        <v>241.66</v>
      </c>
      <c r="U908">
        <f t="shared" si="28"/>
        <v>241.66</v>
      </c>
      <c r="V908">
        <f t="shared" si="29"/>
        <v>0</v>
      </c>
      <c r="W908" s="12"/>
      <c r="X908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8" t="s">
        <v>302</v>
      </c>
      <c r="Z908" t="s">
        <v>43</v>
      </c>
      <c r="AB908" t="s">
        <v>65</v>
      </c>
      <c r="AC908" s="2">
        <v>45171</v>
      </c>
      <c r="AD908">
        <v>2023</v>
      </c>
      <c r="AE908">
        <v>29</v>
      </c>
      <c r="AF908" s="5">
        <v>0.81</v>
      </c>
      <c r="AG908" s="3" t="s">
        <v>62</v>
      </c>
    </row>
    <row r="909" spans="1:34" hidden="1" x14ac:dyDescent="0.35">
      <c r="A909" t="str">
        <f>_xlfn.CONCAT(Tableau1[[#This Row],[Athletes]],"_",Tableau1[[#This Row],[Nationality]],"_",Tableau1[[#This Row],[Competition_year]])</f>
        <v>Gaia SABBATINI_ITA_2023</v>
      </c>
      <c r="B909" t="s">
        <v>167</v>
      </c>
      <c r="C909" t="s">
        <v>47</v>
      </c>
      <c r="D909" t="s">
        <v>19</v>
      </c>
      <c r="E909">
        <v>15.7</v>
      </c>
      <c r="F909">
        <v>15.7</v>
      </c>
      <c r="G909">
        <v>16.200000000000003</v>
      </c>
      <c r="H909">
        <v>16.699999999999996</v>
      </c>
      <c r="I909">
        <v>16.700000000000003</v>
      </c>
      <c r="J909">
        <v>16.200000000000003</v>
      </c>
      <c r="K909">
        <v>16.200000000000003</v>
      </c>
      <c r="L909">
        <v>16.199999999999989</v>
      </c>
      <c r="M909">
        <v>16.200000000000017</v>
      </c>
      <c r="N909">
        <v>16.399999999999977</v>
      </c>
      <c r="O909">
        <v>16.400000000000006</v>
      </c>
      <c r="P909">
        <v>16.5</v>
      </c>
      <c r="Q909">
        <v>16.5</v>
      </c>
      <c r="R909">
        <v>16.700000000000017</v>
      </c>
      <c r="S909">
        <f>Tableau1[[#This Row],[Final_time]]-SUM(Tableau1[[#This Row],[0_100m]:[1300_1400m]])</f>
        <v>19.639999999999986</v>
      </c>
      <c r="T909">
        <v>247.94</v>
      </c>
      <c r="U909">
        <f t="shared" si="28"/>
        <v>247.94</v>
      </c>
      <c r="V909">
        <f t="shared" si="29"/>
        <v>0</v>
      </c>
      <c r="W909" s="12"/>
      <c r="X909" t="str">
        <f>_xlfn.CONCAT(Tableau1[[#This Row],[Competition]],"_",Tableau1[[#This Row],[Championship_step]],"_",Tableau1[[#This Row],[Competition_date]],"_",Tableau1[[#This Row],[Gender]])</f>
        <v>Diamond League Xiamen 2023__45171_Female</v>
      </c>
      <c r="Y909" t="s">
        <v>302</v>
      </c>
      <c r="Z909" t="s">
        <v>43</v>
      </c>
      <c r="AB909" t="s">
        <v>65</v>
      </c>
      <c r="AC909" s="2">
        <v>45171</v>
      </c>
      <c r="AD909">
        <v>2023</v>
      </c>
      <c r="AE909">
        <v>29</v>
      </c>
      <c r="AF909" s="5">
        <v>0.81</v>
      </c>
      <c r="AG909" s="3" t="s">
        <v>62</v>
      </c>
    </row>
    <row r="910" spans="1:34" hidden="1" x14ac:dyDescent="0.35">
      <c r="A910" t="str">
        <f>_xlfn.CONCAT(Tableau1[[#This Row],[Athletes]],"_",Tableau1[[#This Row],[Nationality]],"_",Tableau1[[#This Row],[Competition_year]])</f>
        <v>Worknesh MESELE_ETH_2024</v>
      </c>
      <c r="B910" t="s">
        <v>294</v>
      </c>
      <c r="C910" t="s">
        <v>47</v>
      </c>
      <c r="D910" t="s">
        <v>48</v>
      </c>
      <c r="E910">
        <v>15.1</v>
      </c>
      <c r="F910">
        <v>15.8</v>
      </c>
      <c r="G910">
        <v>15.7</v>
      </c>
      <c r="H910">
        <v>16</v>
      </c>
      <c r="I910">
        <v>15.9</v>
      </c>
      <c r="J910">
        <v>16.5</v>
      </c>
      <c r="K910">
        <v>16</v>
      </c>
      <c r="L910">
        <v>16.7</v>
      </c>
      <c r="M910">
        <v>16.600000000000001</v>
      </c>
      <c r="N910">
        <v>16.7</v>
      </c>
      <c r="O910">
        <v>15.8</v>
      </c>
      <c r="P910">
        <v>15.8</v>
      </c>
      <c r="Q910">
        <v>15.1</v>
      </c>
      <c r="R910">
        <v>15.6</v>
      </c>
      <c r="S910">
        <f>Tableau1[[#This Row],[Final_time]]-SUM(Tableau1[[#This Row],[0_100m]:[1300_1400m]])</f>
        <v>14.310000000000002</v>
      </c>
      <c r="T910">
        <v>237.61</v>
      </c>
      <c r="U910">
        <f t="shared" si="28"/>
        <v>237.61</v>
      </c>
      <c r="V910">
        <f t="shared" si="29"/>
        <v>0</v>
      </c>
      <c r="W910" s="12"/>
      <c r="X910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0" t="s">
        <v>49</v>
      </c>
      <c r="Z910" s="2" t="s">
        <v>43</v>
      </c>
      <c r="AA910" s="2"/>
      <c r="AB910" s="2" t="s">
        <v>65</v>
      </c>
      <c r="AC910" s="2">
        <v>45402</v>
      </c>
      <c r="AD910" s="3">
        <v>2024</v>
      </c>
      <c r="AE910">
        <v>23</v>
      </c>
      <c r="AF910" s="5">
        <v>0.94</v>
      </c>
      <c r="AG910" t="s">
        <v>63</v>
      </c>
      <c r="AH910" t="s">
        <v>50</v>
      </c>
    </row>
    <row r="911" spans="1:34" hidden="1" x14ac:dyDescent="0.35">
      <c r="A911" t="str">
        <f>_xlfn.CONCAT(Tableau1[[#This Row],[Athletes]],"_",Tableau1[[#This Row],[Nationality]],"_",Tableau1[[#This Row],[Competition_year]])</f>
        <v>Diribe WELTEJI_ETH_2024</v>
      </c>
      <c r="B911" t="s">
        <v>165</v>
      </c>
      <c r="C911" t="s">
        <v>47</v>
      </c>
      <c r="D911" t="s">
        <v>48</v>
      </c>
      <c r="E911">
        <v>15</v>
      </c>
      <c r="F911">
        <v>15.6</v>
      </c>
      <c r="G911">
        <v>15.8</v>
      </c>
      <c r="H911">
        <v>15.8</v>
      </c>
      <c r="I911">
        <v>15.9</v>
      </c>
      <c r="J911">
        <v>16.399999999999999</v>
      </c>
      <c r="K911">
        <v>16.3</v>
      </c>
      <c r="L911">
        <v>16.7</v>
      </c>
      <c r="M911">
        <v>16.600000000000001</v>
      </c>
      <c r="N911">
        <v>16.7</v>
      </c>
      <c r="O911">
        <v>15.8</v>
      </c>
      <c r="P911">
        <v>16</v>
      </c>
      <c r="Q911">
        <v>15.1</v>
      </c>
      <c r="R911">
        <v>15.6</v>
      </c>
      <c r="S911">
        <f>Tableau1[[#This Row],[Final_time]]-SUM(Tableau1[[#This Row],[0_100m]:[1300_1400m]])</f>
        <v>14.320000000000022</v>
      </c>
      <c r="T911">
        <v>237.62</v>
      </c>
      <c r="U911">
        <f t="shared" si="28"/>
        <v>237.62</v>
      </c>
      <c r="V911">
        <f t="shared" si="29"/>
        <v>0</v>
      </c>
      <c r="W911" s="12"/>
      <c r="X911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1" t="s">
        <v>49</v>
      </c>
      <c r="Z911" s="2" t="s">
        <v>43</v>
      </c>
      <c r="AA911" s="2"/>
      <c r="AB911" s="2" t="s">
        <v>65</v>
      </c>
      <c r="AC911" s="2">
        <v>45402</v>
      </c>
      <c r="AD911" s="3">
        <v>2024</v>
      </c>
      <c r="AE911">
        <v>23</v>
      </c>
      <c r="AF911" s="5">
        <v>0.94</v>
      </c>
      <c r="AG911" t="s">
        <v>63</v>
      </c>
      <c r="AH911" t="s">
        <v>50</v>
      </c>
    </row>
    <row r="912" spans="1:34" hidden="1" x14ac:dyDescent="0.35">
      <c r="A912" t="str">
        <f>_xlfn.CONCAT(Tableau1[[#This Row],[Athletes]],"_",Tableau1[[#This Row],[Nationality]],"_",Tableau1[[#This Row],[Competition_year]])</f>
        <v>Sarah BILLINGS_AUS_2024</v>
      </c>
      <c r="B912" t="s">
        <v>1234</v>
      </c>
      <c r="C912" t="s">
        <v>47</v>
      </c>
      <c r="D912" t="s">
        <v>21</v>
      </c>
      <c r="E912">
        <v>15.8</v>
      </c>
      <c r="F912">
        <v>16.600000000000001</v>
      </c>
      <c r="G912">
        <v>15.8</v>
      </c>
      <c r="H912">
        <v>16.5</v>
      </c>
      <c r="I912">
        <v>16.3</v>
      </c>
      <c r="J912">
        <v>16.399999999999999</v>
      </c>
      <c r="K912">
        <v>16.600000000000001</v>
      </c>
      <c r="L912">
        <v>16.399999999999999</v>
      </c>
      <c r="M912">
        <v>16.399999999999999</v>
      </c>
      <c r="N912">
        <v>16.8</v>
      </c>
      <c r="O912">
        <v>16.5</v>
      </c>
      <c r="P912">
        <v>15.3</v>
      </c>
      <c r="Q912">
        <v>15.3</v>
      </c>
      <c r="R912">
        <v>14.4</v>
      </c>
      <c r="S912">
        <f>Tableau1[[#This Row],[Final_time]]-SUM(Tableau1[[#This Row],[0_100m]:[1300_1400m]])</f>
        <v>14.489999999999952</v>
      </c>
      <c r="T912">
        <v>239.59</v>
      </c>
      <c r="U912">
        <f t="shared" si="28"/>
        <v>239.59</v>
      </c>
      <c r="V912">
        <f t="shared" si="29"/>
        <v>0</v>
      </c>
      <c r="W912" s="12"/>
      <c r="X912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2" t="s">
        <v>49</v>
      </c>
      <c r="Z912" s="2" t="s">
        <v>43</v>
      </c>
      <c r="AA912" s="2"/>
      <c r="AB912" s="2" t="s">
        <v>65</v>
      </c>
      <c r="AC912" s="2">
        <v>45402</v>
      </c>
      <c r="AD912" s="3">
        <v>2024</v>
      </c>
      <c r="AE912">
        <v>23</v>
      </c>
      <c r="AF912" s="5">
        <v>0.94</v>
      </c>
      <c r="AG912" t="s">
        <v>63</v>
      </c>
      <c r="AH912" t="s">
        <v>50</v>
      </c>
    </row>
    <row r="913" spans="1:34" hidden="1" x14ac:dyDescent="0.35">
      <c r="A913" t="str">
        <f>_xlfn.CONCAT(Tableau1[[#This Row],[Athletes]],"_",Tableau1[[#This Row],[Nationality]],"_",Tableau1[[#This Row],[Competition_year]])</f>
        <v>Habitam ALEMU_ETH_2024</v>
      </c>
      <c r="B913" t="s">
        <v>399</v>
      </c>
      <c r="C913" t="s">
        <v>47</v>
      </c>
      <c r="D913" t="s">
        <v>48</v>
      </c>
      <c r="E913">
        <v>15.5</v>
      </c>
      <c r="F913">
        <v>15.9</v>
      </c>
      <c r="G913">
        <v>15.6</v>
      </c>
      <c r="H913">
        <v>16.600000000000001</v>
      </c>
      <c r="I913">
        <v>15.9</v>
      </c>
      <c r="J913">
        <v>16.2</v>
      </c>
      <c r="K913">
        <v>16.100000000000001</v>
      </c>
      <c r="L913">
        <v>16.600000000000001</v>
      </c>
      <c r="M913">
        <v>16.600000000000001</v>
      </c>
      <c r="N913">
        <v>16.5</v>
      </c>
      <c r="O913">
        <v>16.100000000000001</v>
      </c>
      <c r="P913">
        <v>16.100000000000001</v>
      </c>
      <c r="Q913">
        <v>15.8</v>
      </c>
      <c r="R913">
        <v>14.9</v>
      </c>
      <c r="S913">
        <f>Tableau1[[#This Row],[Final_time]]-SUM(Tableau1[[#This Row],[0_100m]:[1300_1400m]])</f>
        <v>14.659999999999997</v>
      </c>
      <c r="T913">
        <v>239.06</v>
      </c>
      <c r="U913">
        <f t="shared" si="28"/>
        <v>239.06</v>
      </c>
      <c r="V913">
        <f t="shared" si="29"/>
        <v>0</v>
      </c>
      <c r="W913" s="12"/>
      <c r="X913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3" t="s">
        <v>49</v>
      </c>
      <c r="Z913" s="2" t="s">
        <v>43</v>
      </c>
      <c r="AA913" s="2"/>
      <c r="AB913" s="2" t="s">
        <v>65</v>
      </c>
      <c r="AC913" s="2">
        <v>45402</v>
      </c>
      <c r="AD913" s="3">
        <v>2024</v>
      </c>
      <c r="AE913">
        <v>23</v>
      </c>
      <c r="AF913" s="5">
        <v>0.94</v>
      </c>
      <c r="AG913" t="s">
        <v>63</v>
      </c>
      <c r="AH913" t="s">
        <v>50</v>
      </c>
    </row>
    <row r="914" spans="1:34" hidden="1" x14ac:dyDescent="0.35">
      <c r="A914" t="str">
        <f>_xlfn.CONCAT(Tableau1[[#This Row],[Athletes]],"_",Tableau1[[#This Row],[Nationality]],"_",Tableau1[[#This Row],[Competition_year]])</f>
        <v>Freweyni HAILU_ETH_2024</v>
      </c>
      <c r="B914" t="s">
        <v>144</v>
      </c>
      <c r="C914" t="s">
        <v>47</v>
      </c>
      <c r="D914" t="s">
        <v>48</v>
      </c>
      <c r="E914">
        <v>15.6</v>
      </c>
      <c r="F914">
        <v>16.2</v>
      </c>
      <c r="G914">
        <v>15.1</v>
      </c>
      <c r="H914">
        <v>16.2</v>
      </c>
      <c r="I914">
        <v>15.3</v>
      </c>
      <c r="J914">
        <v>16.3</v>
      </c>
      <c r="K914">
        <v>16</v>
      </c>
      <c r="L914">
        <v>16.600000000000001</v>
      </c>
      <c r="M914">
        <v>16.600000000000001</v>
      </c>
      <c r="N914">
        <v>16.600000000000001</v>
      </c>
      <c r="O914">
        <v>16.2</v>
      </c>
      <c r="P914">
        <v>16.100000000000001</v>
      </c>
      <c r="Q914">
        <v>14.8</v>
      </c>
      <c r="R914">
        <v>15.6</v>
      </c>
      <c r="S914">
        <f>Tableau1[[#This Row],[Final_time]]-SUM(Tableau1[[#This Row],[0_100m]:[1300_1400m]])</f>
        <v>14.980000000000047</v>
      </c>
      <c r="T914">
        <v>238.18</v>
      </c>
      <c r="U914">
        <f t="shared" si="28"/>
        <v>238.18</v>
      </c>
      <c r="V914">
        <f t="shared" si="29"/>
        <v>0</v>
      </c>
      <c r="W914" s="12"/>
      <c r="X914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4" t="s">
        <v>49</v>
      </c>
      <c r="Z914" s="2" t="s">
        <v>43</v>
      </c>
      <c r="AA914" s="2"/>
      <c r="AB914" s="2" t="s">
        <v>65</v>
      </c>
      <c r="AC914" s="2">
        <v>45402</v>
      </c>
      <c r="AD914" s="3">
        <v>2024</v>
      </c>
      <c r="AE914">
        <v>23</v>
      </c>
      <c r="AF914" s="5">
        <v>0.94</v>
      </c>
      <c r="AG914" t="s">
        <v>63</v>
      </c>
      <c r="AH914" t="s">
        <v>50</v>
      </c>
    </row>
    <row r="915" spans="1:34" hidden="1" x14ac:dyDescent="0.35">
      <c r="A915" t="str">
        <f>_xlfn.CONCAT(Tableau1[[#This Row],[Athletes]],"_",Tableau1[[#This Row],[Nationality]],"_",Tableau1[[#This Row],[Competition_year]])</f>
        <v>Gudaf TSEGAY_ETH_2024</v>
      </c>
      <c r="B915" t="s">
        <v>138</v>
      </c>
      <c r="C915" t="s">
        <v>47</v>
      </c>
      <c r="D915" t="s">
        <v>48</v>
      </c>
      <c r="E915">
        <v>14.8</v>
      </c>
      <c r="F915">
        <v>15.3</v>
      </c>
      <c r="G915">
        <v>15.8</v>
      </c>
      <c r="H915">
        <v>15.4</v>
      </c>
      <c r="I915">
        <v>14.9</v>
      </c>
      <c r="J915">
        <v>15.3</v>
      </c>
      <c r="K915">
        <v>15.5</v>
      </c>
      <c r="L915">
        <v>15.5</v>
      </c>
      <c r="M915">
        <v>15.4</v>
      </c>
      <c r="N915">
        <v>15.8</v>
      </c>
      <c r="O915">
        <v>15.7</v>
      </c>
      <c r="P915">
        <v>15.5</v>
      </c>
      <c r="Q915">
        <v>15</v>
      </c>
      <c r="R915">
        <v>15.3</v>
      </c>
      <c r="S915">
        <f>Tableau1[[#This Row],[Final_time]]-SUM(Tableau1[[#This Row],[0_100m]:[1300_1400m]])</f>
        <v>15.099999999999994</v>
      </c>
      <c r="T915">
        <v>230.3</v>
      </c>
      <c r="U915">
        <f t="shared" si="28"/>
        <v>230.3</v>
      </c>
      <c r="V915">
        <f t="shared" si="29"/>
        <v>0</v>
      </c>
      <c r="W915" s="12"/>
      <c r="X915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5" t="s">
        <v>49</v>
      </c>
      <c r="Z915" s="2" t="s">
        <v>43</v>
      </c>
      <c r="AA915" s="2"/>
      <c r="AB915" s="2" t="s">
        <v>65</v>
      </c>
      <c r="AC915" s="2">
        <v>45402</v>
      </c>
      <c r="AD915" s="3">
        <v>2024</v>
      </c>
      <c r="AE915">
        <v>23</v>
      </c>
      <c r="AF915" s="5">
        <v>0.94</v>
      </c>
      <c r="AG915" t="s">
        <v>63</v>
      </c>
      <c r="AH915" t="s">
        <v>50</v>
      </c>
    </row>
    <row r="916" spans="1:34" hidden="1" x14ac:dyDescent="0.35">
      <c r="A916" t="str">
        <f>_xlfn.CONCAT(Tableau1[[#This Row],[Athletes]],"_",Tableau1[[#This Row],[Nationality]],"_",Tableau1[[#This Row],[Competition_year]])</f>
        <v>Georgia GRIFFITH_AUS_2024</v>
      </c>
      <c r="B916" t="s">
        <v>248</v>
      </c>
      <c r="C916" t="s">
        <v>47</v>
      </c>
      <c r="D916" t="s">
        <v>21</v>
      </c>
      <c r="E916">
        <v>15.4</v>
      </c>
      <c r="F916">
        <v>16.3</v>
      </c>
      <c r="G916">
        <v>16.100000000000001</v>
      </c>
      <c r="H916">
        <v>16.3</v>
      </c>
      <c r="I916">
        <v>16.399999999999999</v>
      </c>
      <c r="J916">
        <v>16.600000000000001</v>
      </c>
      <c r="K916">
        <v>15.8</v>
      </c>
      <c r="L916">
        <v>15.6</v>
      </c>
      <c r="M916">
        <v>15.8</v>
      </c>
      <c r="N916">
        <v>16.3</v>
      </c>
      <c r="O916">
        <v>16.32</v>
      </c>
      <c r="P916">
        <v>16.100000000000001</v>
      </c>
      <c r="Q916">
        <v>15</v>
      </c>
      <c r="R916">
        <v>15.7</v>
      </c>
      <c r="S916">
        <f>Tableau1[[#This Row],[Final_time]]-SUM(Tableau1[[#This Row],[0_100m]:[1300_1400m]])</f>
        <v>15.319999999999993</v>
      </c>
      <c r="T916">
        <v>239.04</v>
      </c>
      <c r="U916">
        <f t="shared" si="28"/>
        <v>239.04</v>
      </c>
      <c r="V916">
        <f t="shared" si="29"/>
        <v>0</v>
      </c>
      <c r="W916" s="12"/>
      <c r="X916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6" t="s">
        <v>49</v>
      </c>
      <c r="Z916" s="2" t="s">
        <v>43</v>
      </c>
      <c r="AA916" s="2"/>
      <c r="AB916" s="2" t="s">
        <v>65</v>
      </c>
      <c r="AC916" s="2">
        <v>45402</v>
      </c>
      <c r="AD916" s="3">
        <v>2024</v>
      </c>
      <c r="AE916">
        <v>23</v>
      </c>
      <c r="AF916" s="5">
        <v>0.94</v>
      </c>
      <c r="AG916" t="s">
        <v>63</v>
      </c>
      <c r="AH916" t="s">
        <v>50</v>
      </c>
    </row>
    <row r="917" spans="1:34" hidden="1" x14ac:dyDescent="0.35">
      <c r="A917" t="str">
        <f>_xlfn.CONCAT(Tableau1[[#This Row],[Athletes]],"_",Tableau1[[#This Row],[Nationality]],"_",Tableau1[[#This Row],[Competition_year]])</f>
        <v>Saron BERHE_ETH_2024</v>
      </c>
      <c r="B917" t="s">
        <v>411</v>
      </c>
      <c r="C917" t="s">
        <v>47</v>
      </c>
      <c r="D917" t="s">
        <v>48</v>
      </c>
      <c r="E917">
        <v>15.3</v>
      </c>
      <c r="F917">
        <v>16.100000000000001</v>
      </c>
      <c r="G917">
        <v>15.7</v>
      </c>
      <c r="H917">
        <v>16.3</v>
      </c>
      <c r="I917">
        <v>15.8</v>
      </c>
      <c r="J917">
        <v>16.3</v>
      </c>
      <c r="K917">
        <v>15.9</v>
      </c>
      <c r="L917">
        <v>16.600000000000001</v>
      </c>
      <c r="M917">
        <v>16.600000000000001</v>
      </c>
      <c r="N917">
        <v>16.7</v>
      </c>
      <c r="O917">
        <v>15.7</v>
      </c>
      <c r="P917">
        <v>16.100000000000001</v>
      </c>
      <c r="Q917">
        <v>15</v>
      </c>
      <c r="R917">
        <v>15.7</v>
      </c>
      <c r="S917">
        <f>Tableau1[[#This Row],[Final_time]]-SUM(Tableau1[[#This Row],[0_100m]:[1300_1400m]])</f>
        <v>15.410000000000053</v>
      </c>
      <c r="T917">
        <v>239.21</v>
      </c>
      <c r="U917">
        <f t="shared" si="28"/>
        <v>239.21</v>
      </c>
      <c r="V917">
        <f t="shared" si="29"/>
        <v>0</v>
      </c>
      <c r="W917" s="12"/>
      <c r="X917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7" t="s">
        <v>49</v>
      </c>
      <c r="Z917" s="2" t="s">
        <v>43</v>
      </c>
      <c r="AA917" s="2"/>
      <c r="AB917" s="2" t="s">
        <v>65</v>
      </c>
      <c r="AC917" s="2">
        <v>45402</v>
      </c>
      <c r="AD917" s="3">
        <v>2024</v>
      </c>
      <c r="AE917">
        <v>23</v>
      </c>
      <c r="AF917" s="5">
        <v>0.94</v>
      </c>
      <c r="AG917" t="s">
        <v>63</v>
      </c>
      <c r="AH917" t="s">
        <v>50</v>
      </c>
    </row>
    <row r="918" spans="1:34" hidden="1" x14ac:dyDescent="0.35">
      <c r="A918" t="str">
        <f>_xlfn.CONCAT(Tableau1[[#This Row],[Athletes]],"_",Tableau1[[#This Row],[Nationality]],"_",Tableau1[[#This Row],[Competition_year]])</f>
        <v>Linden HALL_AUS_2024</v>
      </c>
      <c r="B918" t="s">
        <v>184</v>
      </c>
      <c r="C918" t="s">
        <v>47</v>
      </c>
      <c r="D918" t="s">
        <v>21</v>
      </c>
      <c r="E918">
        <v>15.5</v>
      </c>
      <c r="F918">
        <v>16</v>
      </c>
      <c r="G918">
        <v>16.100000000000001</v>
      </c>
      <c r="H918">
        <v>16.3</v>
      </c>
      <c r="I918">
        <v>16.3</v>
      </c>
      <c r="J918">
        <v>16.8</v>
      </c>
      <c r="K918">
        <v>16.2</v>
      </c>
      <c r="L918">
        <v>15.8</v>
      </c>
      <c r="M918">
        <v>15.5</v>
      </c>
      <c r="N918">
        <v>16.3</v>
      </c>
      <c r="O918">
        <v>16.2</v>
      </c>
      <c r="P918">
        <v>16.2</v>
      </c>
      <c r="Q918">
        <v>15.6</v>
      </c>
      <c r="R918">
        <v>15.9</v>
      </c>
      <c r="S918">
        <f>Tableau1[[#This Row],[Final_time]]-SUM(Tableau1[[#This Row],[0_100m]:[1300_1400m]])</f>
        <v>16.010000000000019</v>
      </c>
      <c r="T918">
        <v>240.71</v>
      </c>
      <c r="U918">
        <f t="shared" si="28"/>
        <v>240.71</v>
      </c>
      <c r="V918">
        <f t="shared" si="29"/>
        <v>0</v>
      </c>
      <c r="W918" s="12"/>
      <c r="X918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8" t="s">
        <v>49</v>
      </c>
      <c r="Z918" s="2" t="s">
        <v>43</v>
      </c>
      <c r="AA918" s="2"/>
      <c r="AB918" s="2" t="s">
        <v>65</v>
      </c>
      <c r="AC918" s="2">
        <v>45402</v>
      </c>
      <c r="AD918" s="3">
        <v>2024</v>
      </c>
      <c r="AE918">
        <v>23</v>
      </c>
      <c r="AF918" s="5">
        <v>0.94</v>
      </c>
      <c r="AG918" t="s">
        <v>63</v>
      </c>
      <c r="AH918" t="s">
        <v>50</v>
      </c>
    </row>
    <row r="919" spans="1:34" hidden="1" x14ac:dyDescent="0.35">
      <c r="A919" t="str">
        <f>_xlfn.CONCAT(Tableau1[[#This Row],[Athletes]],"_",Tableau1[[#This Row],[Nationality]],"_",Tableau1[[#This Row],[Competition_year]])</f>
        <v>Birke HAYLOM_ETH_2024</v>
      </c>
      <c r="B919" t="s">
        <v>179</v>
      </c>
      <c r="C919" t="s">
        <v>47</v>
      </c>
      <c r="D919" t="s">
        <v>48</v>
      </c>
      <c r="E919">
        <v>14.9</v>
      </c>
      <c r="F919">
        <v>15.5</v>
      </c>
      <c r="G919">
        <v>15.8</v>
      </c>
      <c r="H919">
        <v>15.4</v>
      </c>
      <c r="I919">
        <v>14.8</v>
      </c>
      <c r="J919">
        <v>15.3</v>
      </c>
      <c r="K919">
        <v>15.6</v>
      </c>
      <c r="L919">
        <v>15.4</v>
      </c>
      <c r="M919">
        <v>15.5</v>
      </c>
      <c r="N919">
        <v>15.7</v>
      </c>
      <c r="O919">
        <v>15.8</v>
      </c>
      <c r="P919">
        <v>15.8</v>
      </c>
      <c r="Q919">
        <v>15.7</v>
      </c>
      <c r="R919">
        <v>16</v>
      </c>
      <c r="S919">
        <f>Tableau1[[#This Row],[Final_time]]-SUM(Tableau1[[#This Row],[0_100m]:[1300_1400m]])</f>
        <v>16.02000000000001</v>
      </c>
      <c r="T919">
        <v>233.22</v>
      </c>
      <c r="U919">
        <f t="shared" si="28"/>
        <v>233.22</v>
      </c>
      <c r="V919">
        <f t="shared" si="29"/>
        <v>0</v>
      </c>
      <c r="W919" s="12"/>
      <c r="X919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19" t="s">
        <v>49</v>
      </c>
      <c r="Z919" s="2" t="s">
        <v>43</v>
      </c>
      <c r="AA919" s="2"/>
      <c r="AB919" s="2" t="s">
        <v>65</v>
      </c>
      <c r="AC919" s="2">
        <v>45402</v>
      </c>
      <c r="AD919" s="3">
        <v>2024</v>
      </c>
      <c r="AE919">
        <v>23</v>
      </c>
      <c r="AF919" s="5">
        <v>0.94</v>
      </c>
      <c r="AG919" t="s">
        <v>63</v>
      </c>
      <c r="AH919" t="s">
        <v>50</v>
      </c>
    </row>
    <row r="920" spans="1:34" hidden="1" x14ac:dyDescent="0.35">
      <c r="A920" t="str">
        <f>_xlfn.CONCAT(Tableau1[[#This Row],[Athletes]],"_",Tableau1[[#This Row],[Nationality]],"_",Tableau1[[#This Row],[Competition_year]])</f>
        <v>Axumawit EMBAYE_ETH_2024</v>
      </c>
      <c r="B920" t="s">
        <v>269</v>
      </c>
      <c r="C920" t="s">
        <v>47</v>
      </c>
      <c r="D920" t="s">
        <v>48</v>
      </c>
      <c r="E920">
        <v>15.9</v>
      </c>
      <c r="F920">
        <v>16.2</v>
      </c>
      <c r="G920">
        <v>16</v>
      </c>
      <c r="H920">
        <v>16.3</v>
      </c>
      <c r="I920">
        <v>15.9</v>
      </c>
      <c r="J920">
        <v>16.399999999999999</v>
      </c>
      <c r="K920">
        <v>16.7</v>
      </c>
      <c r="L920">
        <v>16.600000000000001</v>
      </c>
      <c r="M920">
        <v>16.8</v>
      </c>
      <c r="N920">
        <v>16.600000000000001</v>
      </c>
      <c r="O920">
        <v>16.5</v>
      </c>
      <c r="P920">
        <v>16.100000000000001</v>
      </c>
      <c r="Q920">
        <v>16.3</v>
      </c>
      <c r="R920">
        <v>16.600000000000001</v>
      </c>
      <c r="S920">
        <f>Tableau1[[#This Row],[Final_time]]-SUM(Tableau1[[#This Row],[0_100m]:[1300_1400m]])</f>
        <v>16.039999999999964</v>
      </c>
      <c r="T920">
        <v>244.94</v>
      </c>
      <c r="U920">
        <f t="shared" si="28"/>
        <v>244.94</v>
      </c>
      <c r="V920">
        <f t="shared" si="29"/>
        <v>0</v>
      </c>
      <c r="W920" s="12"/>
      <c r="X920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20" t="s">
        <v>49</v>
      </c>
      <c r="Z920" s="2" t="s">
        <v>43</v>
      </c>
      <c r="AA920" s="2"/>
      <c r="AB920" s="2" t="s">
        <v>65</v>
      </c>
      <c r="AC920" s="2">
        <v>45402</v>
      </c>
      <c r="AD920" s="3">
        <v>2024</v>
      </c>
      <c r="AE920">
        <v>23</v>
      </c>
      <c r="AF920" s="5">
        <v>0.94</v>
      </c>
      <c r="AG920" t="s">
        <v>63</v>
      </c>
      <c r="AH920" t="s">
        <v>50</v>
      </c>
    </row>
    <row r="921" spans="1:34" hidden="1" x14ac:dyDescent="0.35">
      <c r="A921" t="str">
        <f>_xlfn.CONCAT(Tableau1[[#This Row],[Athletes]],"_",Tableau1[[#This Row],[Nationality]],"_",Tableau1[[#This Row],[Competition_year]])</f>
        <v>Winnie NANYONDO_UGA_2024</v>
      </c>
      <c r="B921" t="s">
        <v>241</v>
      </c>
      <c r="C921" t="s">
        <v>47</v>
      </c>
      <c r="D921" t="s">
        <v>52</v>
      </c>
      <c r="E921">
        <v>15.5</v>
      </c>
      <c r="F921">
        <v>16.399999999999999</v>
      </c>
      <c r="G921">
        <v>15.8</v>
      </c>
      <c r="H921">
        <v>16.3</v>
      </c>
      <c r="I921">
        <v>16.3</v>
      </c>
      <c r="J921">
        <v>16.7</v>
      </c>
      <c r="K921">
        <v>16.399999999999999</v>
      </c>
      <c r="L921">
        <v>16.8</v>
      </c>
      <c r="M921">
        <v>16.399999999999999</v>
      </c>
      <c r="N921">
        <v>17.100000000000001</v>
      </c>
      <c r="O921">
        <v>16.399999999999999</v>
      </c>
      <c r="P921">
        <v>16.399999999999999</v>
      </c>
      <c r="Q921">
        <v>16.3</v>
      </c>
      <c r="R921">
        <v>16.600000000000001</v>
      </c>
      <c r="S921">
        <f>Tableau1[[#This Row],[Final_time]]-SUM(Tableau1[[#This Row],[0_100m]:[1300_1400m]])</f>
        <v>16.689999999999969</v>
      </c>
      <c r="T921">
        <v>246.09</v>
      </c>
      <c r="U921">
        <f t="shared" si="28"/>
        <v>246.09</v>
      </c>
      <c r="V921">
        <f t="shared" si="29"/>
        <v>0</v>
      </c>
      <c r="W921" s="12"/>
      <c r="X921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21" t="s">
        <v>49</v>
      </c>
      <c r="Z921" s="2" t="s">
        <v>43</v>
      </c>
      <c r="AA921" s="2"/>
      <c r="AB921" s="2" t="s">
        <v>65</v>
      </c>
      <c r="AC921" s="2">
        <v>45402</v>
      </c>
      <c r="AD921" s="3">
        <v>2024</v>
      </c>
      <c r="AE921">
        <v>23</v>
      </c>
      <c r="AF921" s="5">
        <v>0.94</v>
      </c>
      <c r="AG921" t="s">
        <v>63</v>
      </c>
      <c r="AH921" t="s">
        <v>50</v>
      </c>
    </row>
    <row r="922" spans="1:34" hidden="1" x14ac:dyDescent="0.35">
      <c r="A922" t="str">
        <f>_xlfn.CONCAT(Tableau1[[#This Row],[Athletes]],"_",Tableau1[[#This Row],[Nationality]],"_",Tableau1[[#This Row],[Competition_year]])</f>
        <v>Addison WILEY_USA_2024</v>
      </c>
      <c r="B922" t="s">
        <v>717</v>
      </c>
      <c r="C922" t="s">
        <v>47</v>
      </c>
      <c r="D922" t="s">
        <v>51</v>
      </c>
      <c r="E922">
        <v>15.2</v>
      </c>
      <c r="F922">
        <v>16</v>
      </c>
      <c r="G922">
        <v>15.6</v>
      </c>
      <c r="H922">
        <v>16</v>
      </c>
      <c r="I922">
        <v>15.9</v>
      </c>
      <c r="J922">
        <v>16.600000000000001</v>
      </c>
      <c r="K922">
        <v>16.3</v>
      </c>
      <c r="L922">
        <v>16.600000000000001</v>
      </c>
      <c r="M922">
        <v>16.5</v>
      </c>
      <c r="N922">
        <v>16.5</v>
      </c>
      <c r="O922">
        <v>16.3</v>
      </c>
      <c r="P922">
        <v>16</v>
      </c>
      <c r="Q922">
        <v>16.399999999999999</v>
      </c>
      <c r="R922">
        <v>16.8</v>
      </c>
      <c r="S922">
        <f>Tableau1[[#This Row],[Final_time]]-SUM(Tableau1[[#This Row],[0_100m]:[1300_1400m]])</f>
        <v>16.749999999999943</v>
      </c>
      <c r="T922">
        <v>243.45</v>
      </c>
      <c r="U922">
        <f t="shared" si="28"/>
        <v>243.45</v>
      </c>
      <c r="V922">
        <f t="shared" si="29"/>
        <v>0</v>
      </c>
      <c r="W922" s="12"/>
      <c r="X922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22" t="s">
        <v>49</v>
      </c>
      <c r="Z922" s="2" t="s">
        <v>43</v>
      </c>
      <c r="AA922" s="2"/>
      <c r="AB922" s="2" t="s">
        <v>65</v>
      </c>
      <c r="AC922" s="2">
        <v>45402</v>
      </c>
      <c r="AD922" s="3">
        <v>2024</v>
      </c>
      <c r="AE922">
        <v>23</v>
      </c>
      <c r="AF922" s="5">
        <v>0.94</v>
      </c>
      <c r="AG922" t="s">
        <v>63</v>
      </c>
      <c r="AH922" t="s">
        <v>50</v>
      </c>
    </row>
    <row r="923" spans="1:34" hidden="1" x14ac:dyDescent="0.35">
      <c r="A923" t="str">
        <f>_xlfn.CONCAT(Tableau1[[#This Row],[Athletes]],"_",Tableau1[[#This Row],[Nationality]],"_",Tableau1[[#This Row],[Competition_year]])</f>
        <v>Gaia SABBATINI_ITA_2024</v>
      </c>
      <c r="B923" t="s">
        <v>167</v>
      </c>
      <c r="C923" t="s">
        <v>47</v>
      </c>
      <c r="D923" t="s">
        <v>19</v>
      </c>
      <c r="E923">
        <v>15.7</v>
      </c>
      <c r="F923">
        <v>16.5</v>
      </c>
      <c r="G923">
        <v>16.3</v>
      </c>
      <c r="H923">
        <v>16.399999999999999</v>
      </c>
      <c r="I923">
        <v>16.3</v>
      </c>
      <c r="J923">
        <v>16.399999999999999</v>
      </c>
      <c r="K923">
        <v>16.7</v>
      </c>
      <c r="L923">
        <v>16.600000000000001</v>
      </c>
      <c r="M923">
        <v>16.8</v>
      </c>
      <c r="N923">
        <v>17</v>
      </c>
      <c r="O923">
        <v>16.600000000000001</v>
      </c>
      <c r="P923">
        <v>16.600000000000001</v>
      </c>
      <c r="Q923">
        <v>16.600000000000001</v>
      </c>
      <c r="R923">
        <v>17.100000000000001</v>
      </c>
      <c r="S923">
        <f>Tableau1[[#This Row],[Final_time]]-SUM(Tableau1[[#This Row],[0_100m]:[1300_1400m]])</f>
        <v>17.300000000000011</v>
      </c>
      <c r="T923">
        <v>248.9</v>
      </c>
      <c r="U923">
        <f t="shared" si="28"/>
        <v>248.9</v>
      </c>
      <c r="V923">
        <f t="shared" si="29"/>
        <v>0</v>
      </c>
      <c r="W923" s="12"/>
      <c r="X923" t="str">
        <f>_xlfn.CONCAT(Tableau1[[#This Row],[Competition]],"_",Tableau1[[#This Row],[Championship_step]],"_",Tableau1[[#This Row],[Competition_date]],"_",Tableau1[[#This Row],[Gender]])</f>
        <v>Diamond League Xiamen 2024__45402_Female</v>
      </c>
      <c r="Y923" t="s">
        <v>49</v>
      </c>
      <c r="Z923" s="2" t="s">
        <v>43</v>
      </c>
      <c r="AA923" s="2"/>
      <c r="AB923" s="2" t="s">
        <v>65</v>
      </c>
      <c r="AC923" s="2">
        <v>45402</v>
      </c>
      <c r="AD923" s="3">
        <v>2024</v>
      </c>
      <c r="AE923">
        <v>23</v>
      </c>
      <c r="AF923" s="5">
        <v>0.94</v>
      </c>
      <c r="AG923" t="s">
        <v>63</v>
      </c>
      <c r="AH923" t="s">
        <v>50</v>
      </c>
    </row>
    <row r="924" spans="1:34" hidden="1" x14ac:dyDescent="0.35">
      <c r="A924" t="str">
        <f>_xlfn.CONCAT(Tableau1[[#This Row],[Athletes]],"_",Tableau1[[#This Row],[Nationality]],"_",Tableau1[[#This Row],[Competition_year]])</f>
        <v>Faith KIPYEGON_KEN_2021</v>
      </c>
      <c r="B924" t="s">
        <v>164</v>
      </c>
      <c r="C924" t="s">
        <v>47</v>
      </c>
      <c r="D924" t="s">
        <v>17</v>
      </c>
      <c r="E924">
        <v>15.8</v>
      </c>
      <c r="F924">
        <v>15.8</v>
      </c>
      <c r="G924">
        <v>16.7</v>
      </c>
      <c r="H924">
        <v>16.7</v>
      </c>
      <c r="I924">
        <v>16.600000000000001</v>
      </c>
      <c r="J924">
        <v>16.100000000000001</v>
      </c>
      <c r="K924">
        <v>16.399999999999999</v>
      </c>
      <c r="L924">
        <v>16.399999999999999</v>
      </c>
      <c r="M924">
        <v>16.600000000000001</v>
      </c>
      <c r="N924">
        <v>16.399999999999999</v>
      </c>
      <c r="O924">
        <v>16.399999999999999</v>
      </c>
      <c r="P924">
        <v>15.6</v>
      </c>
      <c r="Q924">
        <v>14.8</v>
      </c>
      <c r="R924">
        <v>13.9</v>
      </c>
      <c r="S924">
        <f>Tableau1[[#This Row],[Final_time]]-SUM(Tableau1[[#This Row],[0_100m]:[1300_1400m]])</f>
        <v>14.129999999999995</v>
      </c>
      <c r="T924">
        <v>238.33</v>
      </c>
      <c r="U924">
        <f t="shared" si="28"/>
        <v>238.33</v>
      </c>
      <c r="V924">
        <f t="shared" si="29"/>
        <v>0</v>
      </c>
      <c r="W924" s="12"/>
      <c r="X924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24" t="s">
        <v>1411</v>
      </c>
      <c r="Z924" t="s">
        <v>43</v>
      </c>
      <c r="AB924" t="s">
        <v>65</v>
      </c>
      <c r="AC924" s="2">
        <v>44448</v>
      </c>
      <c r="AD924">
        <v>2021</v>
      </c>
      <c r="AE924">
        <v>20</v>
      </c>
      <c r="AF924" s="5">
        <v>0.62</v>
      </c>
      <c r="AG924" s="3" t="s">
        <v>62</v>
      </c>
    </row>
    <row r="925" spans="1:34" hidden="1" x14ac:dyDescent="0.35">
      <c r="A925" t="str">
        <f>_xlfn.CONCAT(Tableau1[[#This Row],[Athletes]],"_",Tableau1[[#This Row],[Nationality]],"_",Tableau1[[#This Row],[Competition_year]])</f>
        <v>Sifan HASSAN_NED_2021</v>
      </c>
      <c r="B925" t="s">
        <v>152</v>
      </c>
      <c r="C925" t="s">
        <v>47</v>
      </c>
      <c r="D925" t="s">
        <v>39</v>
      </c>
      <c r="E925">
        <v>16.100000000000001</v>
      </c>
      <c r="F925">
        <v>15.7</v>
      </c>
      <c r="G925">
        <v>16.7</v>
      </c>
      <c r="H925">
        <v>16.8</v>
      </c>
      <c r="I925">
        <v>16.5</v>
      </c>
      <c r="J925">
        <v>16.100000000000001</v>
      </c>
      <c r="K925">
        <v>16.399999999999999</v>
      </c>
      <c r="L925">
        <v>16.399999999999999</v>
      </c>
      <c r="M925">
        <v>16.600000000000001</v>
      </c>
      <c r="N925">
        <v>16.5</v>
      </c>
      <c r="O925">
        <v>16.2</v>
      </c>
      <c r="P925">
        <v>15.6</v>
      </c>
      <c r="Q925">
        <v>14.8</v>
      </c>
      <c r="R925">
        <v>14</v>
      </c>
      <c r="S925">
        <f>Tableau1[[#This Row],[Final_time]]-SUM(Tableau1[[#This Row],[0_100m]:[1300_1400m]])</f>
        <v>14.150000000000006</v>
      </c>
      <c r="T925">
        <v>238.55</v>
      </c>
      <c r="U925">
        <f t="shared" si="28"/>
        <v>238.55</v>
      </c>
      <c r="V925">
        <f t="shared" si="29"/>
        <v>0</v>
      </c>
      <c r="W925" s="12"/>
      <c r="X925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25" t="s">
        <v>1411</v>
      </c>
      <c r="Z925" t="s">
        <v>43</v>
      </c>
      <c r="AB925" t="s">
        <v>65</v>
      </c>
      <c r="AC925" s="2">
        <v>44448</v>
      </c>
      <c r="AD925">
        <v>2021</v>
      </c>
      <c r="AE925">
        <v>20</v>
      </c>
      <c r="AF925" s="5">
        <v>0.62</v>
      </c>
      <c r="AG925" s="3" t="s">
        <v>62</v>
      </c>
    </row>
    <row r="926" spans="1:34" hidden="1" x14ac:dyDescent="0.35">
      <c r="A926" t="str">
        <f>_xlfn.CONCAT(Tableau1[[#This Row],[Athletes]],"_",Tableau1[[#This Row],[Nationality]],"_",Tableau1[[#This Row],[Competition_year]])</f>
        <v>Josette ANDREWS_USA_2021</v>
      </c>
      <c r="B926" t="s">
        <v>296</v>
      </c>
      <c r="C926" t="s">
        <v>47</v>
      </c>
      <c r="D926" t="s">
        <v>51</v>
      </c>
      <c r="E926">
        <v>15.7</v>
      </c>
      <c r="F926">
        <v>16.5</v>
      </c>
      <c r="G926">
        <v>16.8</v>
      </c>
      <c r="H926">
        <v>17</v>
      </c>
      <c r="I926">
        <v>16.399999999999999</v>
      </c>
      <c r="J926">
        <v>16.2</v>
      </c>
      <c r="K926">
        <v>16.100000000000001</v>
      </c>
      <c r="L926">
        <v>16.399999999999999</v>
      </c>
      <c r="M926">
        <v>16.600000000000001</v>
      </c>
      <c r="N926">
        <v>16.5</v>
      </c>
      <c r="O926">
        <v>15.9</v>
      </c>
      <c r="P926">
        <v>15.6</v>
      </c>
      <c r="Q926">
        <v>14.9</v>
      </c>
      <c r="R926">
        <v>14.6</v>
      </c>
      <c r="S926">
        <f>Tableau1[[#This Row],[Final_time]]-SUM(Tableau1[[#This Row],[0_100m]:[1300_1400m]])</f>
        <v>15.210000000000008</v>
      </c>
      <c r="T926">
        <v>240.41000000000003</v>
      </c>
      <c r="U926">
        <f t="shared" si="28"/>
        <v>240.41000000000003</v>
      </c>
      <c r="V926">
        <f t="shared" si="29"/>
        <v>0</v>
      </c>
      <c r="W926" s="12"/>
      <c r="X926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26" t="s">
        <v>1411</v>
      </c>
      <c r="Z926" t="s">
        <v>43</v>
      </c>
      <c r="AB926" t="s">
        <v>65</v>
      </c>
      <c r="AC926" s="2">
        <v>44448</v>
      </c>
      <c r="AD926">
        <v>2021</v>
      </c>
      <c r="AE926">
        <v>20</v>
      </c>
      <c r="AF926" s="5">
        <v>0.62</v>
      </c>
      <c r="AG926" s="3" t="s">
        <v>62</v>
      </c>
    </row>
    <row r="927" spans="1:34" hidden="1" x14ac:dyDescent="0.35">
      <c r="A927" t="str">
        <f>_xlfn.CONCAT(Tableau1[[#This Row],[Athletes]],"_",Tableau1[[#This Row],[Nationality]],"_",Tableau1[[#This Row],[Competition_year]])</f>
        <v>Marta PÉREZ_ESP_2021</v>
      </c>
      <c r="B927" t="s">
        <v>183</v>
      </c>
      <c r="C927" t="s">
        <v>47</v>
      </c>
      <c r="D927" t="s">
        <v>22</v>
      </c>
      <c r="E927">
        <v>15.8</v>
      </c>
      <c r="F927">
        <v>16.2</v>
      </c>
      <c r="G927">
        <v>16.600000000000001</v>
      </c>
      <c r="H927">
        <v>16.800000000000004</v>
      </c>
      <c r="I927">
        <v>16.599999999999994</v>
      </c>
      <c r="J927">
        <v>16.099999999999994</v>
      </c>
      <c r="K927">
        <v>16.300000000000011</v>
      </c>
      <c r="L927">
        <v>16.5</v>
      </c>
      <c r="M927">
        <v>16.599999999999994</v>
      </c>
      <c r="N927">
        <v>16.400000000000006</v>
      </c>
      <c r="O927">
        <v>16.299999999999983</v>
      </c>
      <c r="P927">
        <v>15.800000000000011</v>
      </c>
      <c r="Q927">
        <v>15.099999999999994</v>
      </c>
      <c r="R927">
        <v>15.300000000000011</v>
      </c>
      <c r="S927">
        <f>Tableau1[[#This Row],[Final_time]]-SUM(Tableau1[[#This Row],[0_100m]:[1300_1400m]])</f>
        <v>15.539999999999992</v>
      </c>
      <c r="T927">
        <v>241.94</v>
      </c>
      <c r="U927">
        <f t="shared" si="28"/>
        <v>241.94</v>
      </c>
      <c r="V927">
        <f t="shared" si="29"/>
        <v>0</v>
      </c>
      <c r="W927" s="12"/>
      <c r="X927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27" t="s">
        <v>1411</v>
      </c>
      <c r="Z927" t="s">
        <v>43</v>
      </c>
      <c r="AB927" t="s">
        <v>65</v>
      </c>
      <c r="AC927" s="2">
        <v>44448</v>
      </c>
      <c r="AD927">
        <v>2021</v>
      </c>
      <c r="AE927">
        <v>20</v>
      </c>
      <c r="AF927" s="5">
        <v>0.62</v>
      </c>
      <c r="AG927" s="3" t="s">
        <v>62</v>
      </c>
    </row>
    <row r="928" spans="1:34" hidden="1" x14ac:dyDescent="0.35">
      <c r="A928" t="str">
        <f>_xlfn.CONCAT(Tableau1[[#This Row],[Athletes]],"_",Tableau1[[#This Row],[Nationality]],"_",Tableau1[[#This Row],[Competition_year]])</f>
        <v>Helen SCHLACHTENHAUFEN_USA_2021</v>
      </c>
      <c r="B928" t="s">
        <v>413</v>
      </c>
      <c r="C928" t="s">
        <v>47</v>
      </c>
      <c r="D928" t="s">
        <v>51</v>
      </c>
      <c r="E928">
        <v>15.7</v>
      </c>
      <c r="F928">
        <v>16.3</v>
      </c>
      <c r="G928">
        <v>16.899999999999999</v>
      </c>
      <c r="H928">
        <v>16.800000000000004</v>
      </c>
      <c r="I928">
        <v>16.599999999999994</v>
      </c>
      <c r="J928">
        <v>16.299999999999997</v>
      </c>
      <c r="K928">
        <v>16.300000000000011</v>
      </c>
      <c r="L928">
        <v>16.400000000000006</v>
      </c>
      <c r="M928">
        <v>16.599999999999994</v>
      </c>
      <c r="N928">
        <v>16.400000000000006</v>
      </c>
      <c r="O928">
        <v>16</v>
      </c>
      <c r="P928">
        <v>15.899999999999977</v>
      </c>
      <c r="Q928">
        <v>15.200000000000017</v>
      </c>
      <c r="R928">
        <v>15.199999999999989</v>
      </c>
      <c r="S928">
        <f>Tableau1[[#This Row],[Final_time]]-SUM(Tableau1[[#This Row],[0_100m]:[1300_1400m]])</f>
        <v>15.700000000000017</v>
      </c>
      <c r="T928">
        <v>242.3</v>
      </c>
      <c r="U928">
        <f t="shared" si="28"/>
        <v>242.3</v>
      </c>
      <c r="V928">
        <f t="shared" si="29"/>
        <v>0</v>
      </c>
      <c r="W928" s="12"/>
      <c r="X928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28" t="s">
        <v>1411</v>
      </c>
      <c r="Z928" t="s">
        <v>43</v>
      </c>
      <c r="AB928" t="s">
        <v>65</v>
      </c>
      <c r="AC928" s="2">
        <v>44448</v>
      </c>
      <c r="AD928">
        <v>2021</v>
      </c>
      <c r="AE928">
        <v>20</v>
      </c>
      <c r="AF928" s="5">
        <v>0.62</v>
      </c>
      <c r="AG928" s="3" t="s">
        <v>62</v>
      </c>
    </row>
    <row r="929" spans="1:33" hidden="1" x14ac:dyDescent="0.35">
      <c r="A929" t="str">
        <f>_xlfn.CONCAT(Tableau1[[#This Row],[Athletes]],"_",Tableau1[[#This Row],[Nationality]],"_",Tableau1[[#This Row],[Competition_year]])</f>
        <v>Linden HALL_AUS_2021</v>
      </c>
      <c r="B929" t="s">
        <v>184</v>
      </c>
      <c r="C929" t="s">
        <v>47</v>
      </c>
      <c r="D929" t="s">
        <v>21</v>
      </c>
      <c r="E929">
        <v>15.5</v>
      </c>
      <c r="F929">
        <v>15.8</v>
      </c>
      <c r="G929">
        <v>16.400000000000002</v>
      </c>
      <c r="H929">
        <v>16.5</v>
      </c>
      <c r="I929">
        <v>16.5</v>
      </c>
      <c r="J929">
        <v>16.399999999999991</v>
      </c>
      <c r="K929">
        <v>16.5</v>
      </c>
      <c r="L929">
        <v>16.700000000000017</v>
      </c>
      <c r="M929">
        <v>16.599999999999994</v>
      </c>
      <c r="N929">
        <v>16.400000000000006</v>
      </c>
      <c r="O929">
        <v>16.5</v>
      </c>
      <c r="P929">
        <v>16.199999999999989</v>
      </c>
      <c r="Q929">
        <v>15.599999999999994</v>
      </c>
      <c r="R929">
        <v>15.800000000000011</v>
      </c>
      <c r="S929">
        <f>Tableau1[[#This Row],[Final_time]]-SUM(Tableau1[[#This Row],[0_100m]:[1300_1400m]])</f>
        <v>16.099999999999994</v>
      </c>
      <c r="T929">
        <v>243.5</v>
      </c>
      <c r="U929">
        <f t="shared" si="28"/>
        <v>243.5</v>
      </c>
      <c r="V929">
        <f t="shared" si="29"/>
        <v>0</v>
      </c>
      <c r="W929" s="12"/>
      <c r="X929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29" t="s">
        <v>1411</v>
      </c>
      <c r="Z929" t="s">
        <v>43</v>
      </c>
      <c r="AB929" t="s">
        <v>65</v>
      </c>
      <c r="AC929" s="2">
        <v>44448</v>
      </c>
      <c r="AD929">
        <v>2021</v>
      </c>
      <c r="AE929">
        <v>20</v>
      </c>
      <c r="AF929" s="5">
        <v>0.62</v>
      </c>
      <c r="AG929" s="3" t="s">
        <v>62</v>
      </c>
    </row>
    <row r="930" spans="1:33" hidden="1" x14ac:dyDescent="0.35">
      <c r="A930" t="str">
        <f>_xlfn.CONCAT(Tableau1[[#This Row],[Athletes]],"_",Tableau1[[#This Row],[Nationality]],"_",Tableau1[[#This Row],[Competition_year]])</f>
        <v>Axumawit EMBAYE_ETH_2021</v>
      </c>
      <c r="B930" t="s">
        <v>269</v>
      </c>
      <c r="C930" t="s">
        <v>47</v>
      </c>
      <c r="D930" t="s">
        <v>48</v>
      </c>
      <c r="E930">
        <v>16.3</v>
      </c>
      <c r="F930">
        <v>15.999999999999996</v>
      </c>
      <c r="G930">
        <v>16.700000000000003</v>
      </c>
      <c r="H930">
        <v>16.799999999999997</v>
      </c>
      <c r="I930">
        <v>16.400000000000006</v>
      </c>
      <c r="J930">
        <v>16.200000000000003</v>
      </c>
      <c r="K930">
        <v>16.699999999999989</v>
      </c>
      <c r="L930">
        <v>16.400000000000006</v>
      </c>
      <c r="M930">
        <v>16.400000000000006</v>
      </c>
      <c r="N930">
        <v>16.5</v>
      </c>
      <c r="O930">
        <v>16.099999999999994</v>
      </c>
      <c r="P930">
        <v>16</v>
      </c>
      <c r="Q930">
        <v>15.5</v>
      </c>
      <c r="R930">
        <v>16</v>
      </c>
      <c r="S930">
        <f>Tableau1[[#This Row],[Final_time]]-SUM(Tableau1[[#This Row],[0_100m]:[1300_1400m]])</f>
        <v>16.180000000000007</v>
      </c>
      <c r="T930">
        <v>244.18</v>
      </c>
      <c r="U930">
        <f t="shared" si="28"/>
        <v>244.18</v>
      </c>
      <c r="V930">
        <f t="shared" si="29"/>
        <v>0</v>
      </c>
      <c r="W930" s="12"/>
      <c r="X930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30" t="s">
        <v>1411</v>
      </c>
      <c r="Z930" t="s">
        <v>43</v>
      </c>
      <c r="AB930" t="s">
        <v>65</v>
      </c>
      <c r="AC930" s="2">
        <v>44448</v>
      </c>
      <c r="AD930">
        <v>2021</v>
      </c>
      <c r="AE930">
        <v>20</v>
      </c>
      <c r="AF930" s="5">
        <v>0.62</v>
      </c>
      <c r="AG930" s="3" t="s">
        <v>62</v>
      </c>
    </row>
    <row r="931" spans="1:33" hidden="1" x14ac:dyDescent="0.35">
      <c r="A931" t="str">
        <f>_xlfn.CONCAT(Tableau1[[#This Row],[Athletes]],"_",Tableau1[[#This Row],[Nationality]],"_",Tableau1[[#This Row],[Competition_year]])</f>
        <v>Winnie NANYONDO_UGA_2021</v>
      </c>
      <c r="B931" t="s">
        <v>241</v>
      </c>
      <c r="C931" t="s">
        <v>47</v>
      </c>
      <c r="D931" t="s">
        <v>52</v>
      </c>
      <c r="E931">
        <v>15.6</v>
      </c>
      <c r="F931">
        <v>16.299999999999997</v>
      </c>
      <c r="G931">
        <v>16.800000000000004</v>
      </c>
      <c r="H931">
        <v>16.799999999999997</v>
      </c>
      <c r="I931">
        <v>16.5</v>
      </c>
      <c r="J931">
        <v>16.099999999999994</v>
      </c>
      <c r="K931">
        <v>16.400000000000006</v>
      </c>
      <c r="L931">
        <v>16.5</v>
      </c>
      <c r="M931">
        <v>16.599999999999994</v>
      </c>
      <c r="N931">
        <v>16.5</v>
      </c>
      <c r="O931">
        <v>16.300000000000011</v>
      </c>
      <c r="P931">
        <v>16.099999999999994</v>
      </c>
      <c r="Q931">
        <v>15.699999999999989</v>
      </c>
      <c r="R931">
        <v>16.100000000000023</v>
      </c>
      <c r="S931">
        <f>Tableau1[[#This Row],[Final_time]]-SUM(Tableau1[[#This Row],[0_100m]:[1300_1400m]])</f>
        <v>16.5</v>
      </c>
      <c r="T931">
        <v>244.8</v>
      </c>
      <c r="U931">
        <f t="shared" si="28"/>
        <v>244.8</v>
      </c>
      <c r="V931">
        <f t="shared" si="29"/>
        <v>0</v>
      </c>
      <c r="W931" s="12"/>
      <c r="X931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31" t="s">
        <v>1411</v>
      </c>
      <c r="Z931" t="s">
        <v>43</v>
      </c>
      <c r="AB931" t="s">
        <v>65</v>
      </c>
      <c r="AC931" s="2">
        <v>44448</v>
      </c>
      <c r="AD931">
        <v>2021</v>
      </c>
      <c r="AE931">
        <v>20</v>
      </c>
      <c r="AF931" s="5">
        <v>0.62</v>
      </c>
      <c r="AG931" s="3" t="s">
        <v>62</v>
      </c>
    </row>
    <row r="932" spans="1:33" hidden="1" x14ac:dyDescent="0.35">
      <c r="A932" t="str">
        <f>_xlfn.CONCAT(Tableau1[[#This Row],[Athletes]],"_",Tableau1[[#This Row],[Nationality]],"_",Tableau1[[#This Row],[Competition_year]])</f>
        <v>Katie SNOWDEN_GBR_2021</v>
      </c>
      <c r="B932" t="s">
        <v>186</v>
      </c>
      <c r="C932" t="s">
        <v>47</v>
      </c>
      <c r="D932" t="s">
        <v>20</v>
      </c>
      <c r="E932">
        <v>15.9</v>
      </c>
      <c r="F932">
        <v>16.600000000000001</v>
      </c>
      <c r="G932">
        <v>16.799999999999997</v>
      </c>
      <c r="H932">
        <v>16.900000000000006</v>
      </c>
      <c r="I932">
        <v>16.200000000000003</v>
      </c>
      <c r="J932">
        <v>16.399999999999991</v>
      </c>
      <c r="K932">
        <v>16.400000000000006</v>
      </c>
      <c r="L932">
        <v>16.499999999999986</v>
      </c>
      <c r="M932">
        <v>16.400000000000006</v>
      </c>
      <c r="N932">
        <v>16.5</v>
      </c>
      <c r="O932">
        <v>16.400000000000006</v>
      </c>
      <c r="P932">
        <v>16.099999999999994</v>
      </c>
      <c r="Q932">
        <v>16.200000000000017</v>
      </c>
      <c r="R932">
        <v>16.299999999999983</v>
      </c>
      <c r="S932">
        <f>Tableau1[[#This Row],[Final_time]]-SUM(Tableau1[[#This Row],[0_100m]:[1300_1400m]])</f>
        <v>16.860000000000014</v>
      </c>
      <c r="T932">
        <v>246.46</v>
      </c>
      <c r="U932">
        <f t="shared" si="28"/>
        <v>246.46</v>
      </c>
      <c r="V932">
        <f t="shared" si="29"/>
        <v>0</v>
      </c>
      <c r="W932" s="12"/>
      <c r="X932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32" t="s">
        <v>1411</v>
      </c>
      <c r="Z932" t="s">
        <v>43</v>
      </c>
      <c r="AB932" t="s">
        <v>65</v>
      </c>
      <c r="AC932" s="2">
        <v>44448</v>
      </c>
      <c r="AD932">
        <v>2021</v>
      </c>
      <c r="AE932">
        <v>20</v>
      </c>
      <c r="AF932" s="5">
        <v>0.62</v>
      </c>
      <c r="AG932" s="3" t="s">
        <v>62</v>
      </c>
    </row>
    <row r="933" spans="1:33" hidden="1" x14ac:dyDescent="0.35">
      <c r="A933" t="str">
        <f>_xlfn.CONCAT(Tableau1[[#This Row],[Athletes]],"_",Tableau1[[#This Row],[Nationality]],"_",Tableau1[[#This Row],[Competition_year]])</f>
        <v>Sarah HEALY_IRL_2021</v>
      </c>
      <c r="B933" t="s">
        <v>166</v>
      </c>
      <c r="C933" t="s">
        <v>47</v>
      </c>
      <c r="D933" t="s">
        <v>35</v>
      </c>
      <c r="E933">
        <v>16.3</v>
      </c>
      <c r="F933">
        <v>16.3</v>
      </c>
      <c r="G933">
        <v>16.899999999999999</v>
      </c>
      <c r="H933">
        <v>16.799999999999997</v>
      </c>
      <c r="I933">
        <v>16.299999999999997</v>
      </c>
      <c r="J933">
        <v>16.400000000000006</v>
      </c>
      <c r="K933">
        <v>16.5</v>
      </c>
      <c r="L933">
        <v>16.699999999999989</v>
      </c>
      <c r="M933">
        <v>17</v>
      </c>
      <c r="N933">
        <v>17.800000000000011</v>
      </c>
      <c r="O933">
        <v>18.099999999999994</v>
      </c>
      <c r="P933">
        <v>18.5</v>
      </c>
      <c r="Q933">
        <v>18.700000000000017</v>
      </c>
      <c r="R933">
        <v>18.5</v>
      </c>
      <c r="S933">
        <f>Tableau1[[#This Row],[Final_time]]-SUM(Tableau1[[#This Row],[0_100m]:[1300_1400m]])</f>
        <v>17.800000000000011</v>
      </c>
      <c r="T933">
        <v>258.60000000000002</v>
      </c>
      <c r="U933">
        <f t="shared" si="28"/>
        <v>258.60000000000002</v>
      </c>
      <c r="V933">
        <f t="shared" si="29"/>
        <v>0</v>
      </c>
      <c r="W933" s="12"/>
      <c r="X933" t="str">
        <f>_xlfn.CONCAT(Tableau1[[#This Row],[Competition]],"_",Tableau1[[#This Row],[Championship_step]],"_",Tableau1[[#This Row],[Competition_date]],"_",Tableau1[[#This Row],[Gender]])</f>
        <v>Diamond League Zurich 2021__44448_Female</v>
      </c>
      <c r="Y933" t="s">
        <v>1411</v>
      </c>
      <c r="Z933" t="s">
        <v>43</v>
      </c>
      <c r="AB933" t="s">
        <v>65</v>
      </c>
      <c r="AC933" s="2">
        <v>44448</v>
      </c>
      <c r="AD933">
        <v>2021</v>
      </c>
      <c r="AE933">
        <v>20</v>
      </c>
      <c r="AF933" s="5">
        <v>0.62</v>
      </c>
      <c r="AG933" s="3" t="s">
        <v>62</v>
      </c>
    </row>
    <row r="934" spans="1:33" hidden="1" x14ac:dyDescent="0.35">
      <c r="A934" t="str">
        <f>_xlfn.CONCAT(Tableau1[[#This Row],[Athletes]],"_",Tableau1[[#This Row],[Nationality]],"_",Tableau1[[#This Row],[Competition_year]])</f>
        <v>Jakob INGEBRIGTSEN_NOR_2021</v>
      </c>
      <c r="B934" t="s">
        <v>151</v>
      </c>
      <c r="C934" t="s">
        <v>16</v>
      </c>
      <c r="D934" t="s">
        <v>30</v>
      </c>
      <c r="E934">
        <v>14.2</v>
      </c>
      <c r="F934">
        <v>13.7</v>
      </c>
      <c r="G934">
        <v>14</v>
      </c>
      <c r="H934">
        <v>13.9</v>
      </c>
      <c r="I934">
        <v>13.9</v>
      </c>
      <c r="J934">
        <v>13.9</v>
      </c>
      <c r="K934">
        <v>14</v>
      </c>
      <c r="L934">
        <v>14.2</v>
      </c>
      <c r="M934">
        <v>14.3</v>
      </c>
      <c r="N934">
        <v>14.2</v>
      </c>
      <c r="O934">
        <v>14.5</v>
      </c>
      <c r="P934">
        <v>14.7</v>
      </c>
      <c r="Q934">
        <v>14.6</v>
      </c>
      <c r="R934">
        <v>14</v>
      </c>
      <c r="S934">
        <f>Tableau1[[#This Row],[Final_time]]-SUM(Tableau1[[#This Row],[0_100m]:[1300_1400m]])</f>
        <v>13.349999999999994</v>
      </c>
      <c r="T934">
        <v>211.45</v>
      </c>
      <c r="U934">
        <f t="shared" si="28"/>
        <v>211.45</v>
      </c>
      <c r="V934">
        <f t="shared" si="29"/>
        <v>0</v>
      </c>
      <c r="W934" s="12"/>
      <c r="X934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34" t="s">
        <v>1411</v>
      </c>
      <c r="Z934" t="s">
        <v>43</v>
      </c>
      <c r="AB934" t="s">
        <v>65</v>
      </c>
      <c r="AC934" s="2">
        <v>44448</v>
      </c>
      <c r="AD934">
        <v>2021</v>
      </c>
      <c r="AE934">
        <v>20</v>
      </c>
      <c r="AF934" s="5">
        <v>0.62</v>
      </c>
      <c r="AG934" s="3" t="s">
        <v>62</v>
      </c>
    </row>
    <row r="935" spans="1:33" hidden="1" x14ac:dyDescent="0.35">
      <c r="A935" t="str">
        <f>_xlfn.CONCAT(Tableau1[[#This Row],[Athletes]],"_",Tableau1[[#This Row],[Nationality]],"_",Tableau1[[#This Row],[Competition_year]])</f>
        <v>Timothy CHERUIYOT_KEN_2021</v>
      </c>
      <c r="B935" t="s">
        <v>205</v>
      </c>
      <c r="C935" t="s">
        <v>16</v>
      </c>
      <c r="D935" t="s">
        <v>17</v>
      </c>
      <c r="E935">
        <v>14.4</v>
      </c>
      <c r="F935">
        <v>13.7</v>
      </c>
      <c r="G935">
        <v>14.1</v>
      </c>
      <c r="H935">
        <v>13.8</v>
      </c>
      <c r="I935">
        <v>14</v>
      </c>
      <c r="J935">
        <v>13.8</v>
      </c>
      <c r="K935">
        <v>14</v>
      </c>
      <c r="L935">
        <v>14.1</v>
      </c>
      <c r="M935">
        <v>14</v>
      </c>
      <c r="N935">
        <v>14.2</v>
      </c>
      <c r="O935">
        <v>14.4</v>
      </c>
      <c r="P935">
        <v>14.9</v>
      </c>
      <c r="Q935">
        <v>14.5</v>
      </c>
      <c r="R935">
        <v>14</v>
      </c>
      <c r="S935">
        <f>Tableau1[[#This Row],[Final_time]]-SUM(Tableau1[[#This Row],[0_100m]:[1300_1400m]])</f>
        <v>13.469999999999999</v>
      </c>
      <c r="T935">
        <v>211.37</v>
      </c>
      <c r="U935">
        <f t="shared" si="28"/>
        <v>211.37</v>
      </c>
      <c r="V935">
        <f t="shared" si="29"/>
        <v>0</v>
      </c>
      <c r="W935" s="12"/>
      <c r="X935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35" t="s">
        <v>1411</v>
      </c>
      <c r="Z935" t="s">
        <v>43</v>
      </c>
      <c r="AB935" t="s">
        <v>65</v>
      </c>
      <c r="AC935" s="2">
        <v>44448</v>
      </c>
      <c r="AD935">
        <v>2021</v>
      </c>
      <c r="AE935">
        <v>20</v>
      </c>
      <c r="AF935" s="5">
        <v>0.62</v>
      </c>
      <c r="AG935" s="3" t="s">
        <v>62</v>
      </c>
    </row>
    <row r="936" spans="1:33" hidden="1" x14ac:dyDescent="0.35">
      <c r="A936" t="str">
        <f>_xlfn.CONCAT(Tableau1[[#This Row],[Athletes]],"_",Tableau1[[#This Row],[Nationality]],"_",Tableau1[[#This Row],[Competition_year]])</f>
        <v>Stewart MCSWEYN_AUS_2021</v>
      </c>
      <c r="B936" t="s">
        <v>219</v>
      </c>
      <c r="C936" t="s">
        <v>16</v>
      </c>
      <c r="D936" t="s">
        <v>21</v>
      </c>
      <c r="E936">
        <v>14.1</v>
      </c>
      <c r="F936">
        <v>13.6</v>
      </c>
      <c r="G936">
        <v>14</v>
      </c>
      <c r="H936">
        <v>13.9</v>
      </c>
      <c r="I936">
        <v>13.8</v>
      </c>
      <c r="J936">
        <v>13.8</v>
      </c>
      <c r="K936">
        <v>14.1</v>
      </c>
      <c r="L936">
        <v>14.1</v>
      </c>
      <c r="M936">
        <v>14</v>
      </c>
      <c r="N936">
        <v>14.5</v>
      </c>
      <c r="O936">
        <v>14.7</v>
      </c>
      <c r="P936">
        <v>15</v>
      </c>
      <c r="Q936">
        <v>14.6</v>
      </c>
      <c r="R936">
        <v>14.4</v>
      </c>
      <c r="S936">
        <f>Tableau1[[#This Row],[Final_time]]-SUM(Tableau1[[#This Row],[0_100m]:[1300_1400m]])</f>
        <v>13.539999999999992</v>
      </c>
      <c r="T936">
        <v>212.13999999999996</v>
      </c>
      <c r="U936">
        <f t="shared" si="28"/>
        <v>212.13999999999996</v>
      </c>
      <c r="V936">
        <f t="shared" si="29"/>
        <v>0</v>
      </c>
      <c r="W936" s="12"/>
      <c r="X936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36" t="s">
        <v>1411</v>
      </c>
      <c r="Z936" t="s">
        <v>43</v>
      </c>
      <c r="AB936" t="s">
        <v>65</v>
      </c>
      <c r="AC936" s="2">
        <v>44448</v>
      </c>
      <c r="AD936">
        <v>2021</v>
      </c>
      <c r="AE936">
        <v>20</v>
      </c>
      <c r="AF936" s="5">
        <v>0.62</v>
      </c>
      <c r="AG936" s="3" t="s">
        <v>62</v>
      </c>
    </row>
    <row r="937" spans="1:33" hidden="1" x14ac:dyDescent="0.35">
      <c r="A937" t="str">
        <f>_xlfn.CONCAT(Tableau1[[#This Row],[Athletes]],"_",Tableau1[[#This Row],[Nationality]],"_",Tableau1[[#This Row],[Competition_year]])</f>
        <v>Oliver HOARE_AUS_2021</v>
      </c>
      <c r="B937" t="s">
        <v>249</v>
      </c>
      <c r="C937" t="s">
        <v>16</v>
      </c>
      <c r="D937" t="s">
        <v>21</v>
      </c>
      <c r="E937">
        <v>14.4</v>
      </c>
      <c r="F937">
        <v>13.999999999999998</v>
      </c>
      <c r="G937">
        <v>14.200000000000003</v>
      </c>
      <c r="H937">
        <v>13.899999999999999</v>
      </c>
      <c r="I937">
        <v>14</v>
      </c>
      <c r="J937">
        <v>13.900000000000006</v>
      </c>
      <c r="K937">
        <v>14.299999999999997</v>
      </c>
      <c r="L937">
        <v>14</v>
      </c>
      <c r="M937">
        <v>14.099999999999994</v>
      </c>
      <c r="N937">
        <v>14.200000000000003</v>
      </c>
      <c r="O937">
        <v>14.400000000000006</v>
      </c>
      <c r="P937">
        <v>14.5</v>
      </c>
      <c r="Q937">
        <v>14.5</v>
      </c>
      <c r="R937">
        <v>14.199999999999989</v>
      </c>
      <c r="S937">
        <f>Tableau1[[#This Row],[Final_time]]-SUM(Tableau1[[#This Row],[0_100m]:[1300_1400m]])</f>
        <v>14.060000000000002</v>
      </c>
      <c r="T937">
        <v>212.66</v>
      </c>
      <c r="U937">
        <f t="shared" si="28"/>
        <v>212.66</v>
      </c>
      <c r="V937">
        <f t="shared" si="29"/>
        <v>0</v>
      </c>
      <c r="W937" s="12"/>
      <c r="X937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37" t="s">
        <v>1411</v>
      </c>
      <c r="Z937" t="s">
        <v>43</v>
      </c>
      <c r="AB937" t="s">
        <v>65</v>
      </c>
      <c r="AC937" s="2">
        <v>44448</v>
      </c>
      <c r="AD937">
        <v>2021</v>
      </c>
      <c r="AE937">
        <v>20</v>
      </c>
      <c r="AF937" s="5">
        <v>0.62</v>
      </c>
      <c r="AG937" s="3" t="s">
        <v>62</v>
      </c>
    </row>
    <row r="938" spans="1:33" hidden="1" x14ac:dyDescent="0.35">
      <c r="A938" t="str">
        <f>_xlfn.CONCAT(Tableau1[[#This Row],[Athletes]],"_",Tableau1[[#This Row],[Nationality]],"_",Tableau1[[#This Row],[Competition_year]])</f>
        <v>Charles Cheboi SIMOTWO_KEN_2021</v>
      </c>
      <c r="B938" t="s">
        <v>258</v>
      </c>
      <c r="C938" t="s">
        <v>16</v>
      </c>
      <c r="D938" t="s">
        <v>17</v>
      </c>
      <c r="E938">
        <v>14.7</v>
      </c>
      <c r="F938">
        <v>14</v>
      </c>
      <c r="G938">
        <v>14.400000000000002</v>
      </c>
      <c r="H938">
        <v>14.100000000000001</v>
      </c>
      <c r="I938">
        <v>14.099999999999994</v>
      </c>
      <c r="J938">
        <v>13.600000000000009</v>
      </c>
      <c r="K938">
        <v>14.399999999999991</v>
      </c>
      <c r="L938">
        <v>14.200000000000003</v>
      </c>
      <c r="M938">
        <v>14.400000000000006</v>
      </c>
      <c r="N938">
        <v>14.599999999999994</v>
      </c>
      <c r="O938">
        <v>14.599999999999994</v>
      </c>
      <c r="P938">
        <v>14.599999999999994</v>
      </c>
      <c r="Q938">
        <v>14.100000000000023</v>
      </c>
      <c r="R938">
        <v>14.299999999999983</v>
      </c>
      <c r="S938">
        <f>Tableau1[[#This Row],[Final_time]]-SUM(Tableau1[[#This Row],[0_100m]:[1300_1400m]])</f>
        <v>14.140000000000015</v>
      </c>
      <c r="T938">
        <v>214.24</v>
      </c>
      <c r="U938">
        <f t="shared" si="28"/>
        <v>214.24</v>
      </c>
      <c r="V938">
        <f t="shared" si="29"/>
        <v>0</v>
      </c>
      <c r="W938" s="12"/>
      <c r="X938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38" t="s">
        <v>1411</v>
      </c>
      <c r="Z938" t="s">
        <v>43</v>
      </c>
      <c r="AB938" t="s">
        <v>65</v>
      </c>
      <c r="AC938" s="2">
        <v>44448</v>
      </c>
      <c r="AD938">
        <v>2021</v>
      </c>
      <c r="AE938">
        <v>20</v>
      </c>
      <c r="AF938" s="5">
        <v>0.62</v>
      </c>
      <c r="AG938" s="3" t="s">
        <v>62</v>
      </c>
    </row>
    <row r="939" spans="1:33" hidden="1" x14ac:dyDescent="0.35">
      <c r="A939" t="str">
        <f>_xlfn.CONCAT(Tableau1[[#This Row],[Athletes]],"_",Tableau1[[#This Row],[Nationality]],"_",Tableau1[[#This Row],[Competition_year]])</f>
        <v>Ignacio FONTES_ESP_2021</v>
      </c>
      <c r="B939" t="s">
        <v>251</v>
      </c>
      <c r="C939" t="s">
        <v>16</v>
      </c>
      <c r="D939" t="s">
        <v>22</v>
      </c>
      <c r="E939">
        <v>14.7</v>
      </c>
      <c r="F939">
        <v>14</v>
      </c>
      <c r="G939">
        <v>14.3</v>
      </c>
      <c r="H939">
        <v>14.100000000000001</v>
      </c>
      <c r="I939">
        <v>13.999999999999993</v>
      </c>
      <c r="J939">
        <v>14</v>
      </c>
      <c r="K939">
        <v>14.300000000000011</v>
      </c>
      <c r="L939">
        <v>14.399999999999991</v>
      </c>
      <c r="M939">
        <v>14.299999999999997</v>
      </c>
      <c r="N939">
        <v>14.5</v>
      </c>
      <c r="O939">
        <v>14.5</v>
      </c>
      <c r="P939">
        <v>14.400000000000006</v>
      </c>
      <c r="Q939">
        <v>14.5</v>
      </c>
      <c r="R939">
        <v>14.300000000000011</v>
      </c>
      <c r="S939">
        <f>Tableau1[[#This Row],[Final_time]]-SUM(Tableau1[[#This Row],[0_100m]:[1300_1400m]])</f>
        <v>14.149999999999977</v>
      </c>
      <c r="T939">
        <v>214.45</v>
      </c>
      <c r="U939">
        <f t="shared" si="28"/>
        <v>214.45</v>
      </c>
      <c r="V939">
        <f t="shared" si="29"/>
        <v>0</v>
      </c>
      <c r="W939" s="12"/>
      <c r="X939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39" t="s">
        <v>1411</v>
      </c>
      <c r="Z939" t="s">
        <v>43</v>
      </c>
      <c r="AB939" t="s">
        <v>65</v>
      </c>
      <c r="AC939" s="2">
        <v>44448</v>
      </c>
      <c r="AD939">
        <v>2021</v>
      </c>
      <c r="AE939">
        <v>20</v>
      </c>
      <c r="AF939" s="5">
        <v>0.62</v>
      </c>
      <c r="AG939" s="3" t="s">
        <v>62</v>
      </c>
    </row>
    <row r="940" spans="1:33" hidden="1" x14ac:dyDescent="0.35">
      <c r="A940" t="str">
        <f>_xlfn.CONCAT(Tableau1[[#This Row],[Athletes]],"_",Tableau1[[#This Row],[Nationality]],"_",Tableau1[[#This Row],[Competition_year]])</f>
        <v>Mohamed KATIR_ESP_2021</v>
      </c>
      <c r="B940" t="s">
        <v>149</v>
      </c>
      <c r="C940" t="s">
        <v>16</v>
      </c>
      <c r="D940" t="s">
        <v>22</v>
      </c>
      <c r="E940">
        <v>14.6</v>
      </c>
      <c r="F940">
        <v>13.9</v>
      </c>
      <c r="G940">
        <v>14.299999999999997</v>
      </c>
      <c r="H940">
        <v>13.900000000000006</v>
      </c>
      <c r="I940">
        <v>13.899999999999991</v>
      </c>
      <c r="J940">
        <v>13.700000000000003</v>
      </c>
      <c r="K940">
        <v>14.200000000000003</v>
      </c>
      <c r="L940">
        <v>14</v>
      </c>
      <c r="M940">
        <v>14.099999999999994</v>
      </c>
      <c r="N940">
        <v>14.099999999999994</v>
      </c>
      <c r="O940">
        <v>14.5</v>
      </c>
      <c r="P940">
        <v>14.5</v>
      </c>
      <c r="Q940">
        <v>14.5</v>
      </c>
      <c r="R940">
        <v>14.200000000000017</v>
      </c>
      <c r="S940">
        <f>Tableau1[[#This Row],[Final_time]]-SUM(Tableau1[[#This Row],[0_100m]:[1300_1400m]])</f>
        <v>14.370000000000005</v>
      </c>
      <c r="T940">
        <v>212.77</v>
      </c>
      <c r="U940">
        <f t="shared" si="28"/>
        <v>212.77</v>
      </c>
      <c r="V940">
        <f t="shared" si="29"/>
        <v>0</v>
      </c>
      <c r="W940" s="12"/>
      <c r="X940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40" t="s">
        <v>1411</v>
      </c>
      <c r="Z940" t="s">
        <v>43</v>
      </c>
      <c r="AB940" t="s">
        <v>65</v>
      </c>
      <c r="AC940" s="2">
        <v>44448</v>
      </c>
      <c r="AD940">
        <v>2021</v>
      </c>
      <c r="AE940">
        <v>20</v>
      </c>
      <c r="AF940" s="5">
        <v>0.62</v>
      </c>
      <c r="AG940" s="3" t="s">
        <v>62</v>
      </c>
    </row>
    <row r="941" spans="1:33" hidden="1" x14ac:dyDescent="0.35">
      <c r="A941" t="str">
        <f>_xlfn.CONCAT(Tableau1[[#This Row],[Athletes]],"_",Tableau1[[#This Row],[Nationality]],"_",Tableau1[[#This Row],[Competition_year]])</f>
        <v>Ronald KWEMOI_KEN_2021</v>
      </c>
      <c r="B941" t="s">
        <v>1200</v>
      </c>
      <c r="C941" t="s">
        <v>16</v>
      </c>
      <c r="D941" t="s">
        <v>17</v>
      </c>
      <c r="E941">
        <v>14.3</v>
      </c>
      <c r="F941">
        <v>14</v>
      </c>
      <c r="G941">
        <v>14.099999999999998</v>
      </c>
      <c r="H941">
        <v>13.899999999999999</v>
      </c>
      <c r="I941">
        <v>13.900000000000006</v>
      </c>
      <c r="J941">
        <v>13.899999999999991</v>
      </c>
      <c r="K941">
        <v>14.200000000000003</v>
      </c>
      <c r="L941">
        <v>14.5</v>
      </c>
      <c r="M941">
        <v>14.400000000000006</v>
      </c>
      <c r="N941">
        <v>14.299999999999997</v>
      </c>
      <c r="O941">
        <v>14.699999999999989</v>
      </c>
      <c r="P941">
        <v>14.300000000000011</v>
      </c>
      <c r="Q941">
        <v>14.300000000000011</v>
      </c>
      <c r="R941">
        <v>14.099999999999994</v>
      </c>
      <c r="S941">
        <f>Tableau1[[#This Row],[Final_time]]-SUM(Tableau1[[#This Row],[0_100m]:[1300_1400m]])</f>
        <v>14.439999999999998</v>
      </c>
      <c r="T941">
        <v>213.34</v>
      </c>
      <c r="U941">
        <f t="shared" si="28"/>
        <v>213.34</v>
      </c>
      <c r="V941">
        <f t="shared" si="29"/>
        <v>0</v>
      </c>
      <c r="W941" s="12"/>
      <c r="X941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41" t="s">
        <v>1411</v>
      </c>
      <c r="Z941" t="s">
        <v>43</v>
      </c>
      <c r="AB941" t="s">
        <v>65</v>
      </c>
      <c r="AC941" s="2">
        <v>44448</v>
      </c>
      <c r="AD941">
        <v>2021</v>
      </c>
      <c r="AE941">
        <v>20</v>
      </c>
      <c r="AF941" s="5">
        <v>0.62</v>
      </c>
      <c r="AG941" s="3" t="s">
        <v>62</v>
      </c>
    </row>
    <row r="942" spans="1:33" hidden="1" x14ac:dyDescent="0.35">
      <c r="A942" t="str">
        <f>_xlfn.CONCAT(Tableau1[[#This Row],[Athletes]],"_",Tableau1[[#This Row],[Nationality]],"_",Tableau1[[#This Row],[Competition_year]])</f>
        <v>Bethwell BIRGEN_KEN_2021</v>
      </c>
      <c r="B942" t="s">
        <v>791</v>
      </c>
      <c r="C942" t="s">
        <v>16</v>
      </c>
      <c r="D942" t="s">
        <v>17</v>
      </c>
      <c r="E942">
        <v>14.5</v>
      </c>
      <c r="F942">
        <v>14</v>
      </c>
      <c r="G942">
        <v>14.200000000000003</v>
      </c>
      <c r="H942">
        <v>14.299999999999997</v>
      </c>
      <c r="I942">
        <v>14.099999999999994</v>
      </c>
      <c r="J942">
        <v>14.400000000000006</v>
      </c>
      <c r="K942">
        <v>14.599999999999994</v>
      </c>
      <c r="L942">
        <v>15.100000000000009</v>
      </c>
      <c r="M942">
        <v>14.999999999999986</v>
      </c>
      <c r="N942">
        <v>15.400000000000006</v>
      </c>
      <c r="O942">
        <v>15.700000000000017</v>
      </c>
      <c r="P942">
        <v>15.899999999999977</v>
      </c>
      <c r="Q942">
        <v>15.800000000000011</v>
      </c>
      <c r="R942">
        <v>16.400000000000006</v>
      </c>
      <c r="S942">
        <f>Tableau1[[#This Row],[Final_time]]-SUM(Tableau1[[#This Row],[0_100m]:[1300_1400m]])</f>
        <v>16.609999999999985</v>
      </c>
      <c r="T942">
        <v>226.01</v>
      </c>
      <c r="U942">
        <f t="shared" si="28"/>
        <v>226.01</v>
      </c>
      <c r="V942">
        <f t="shared" si="29"/>
        <v>0</v>
      </c>
      <c r="W942" s="12"/>
      <c r="X942" t="str">
        <f>_xlfn.CONCAT(Tableau1[[#This Row],[Competition]],"_",Tableau1[[#This Row],[Championship_step]],"_",Tableau1[[#This Row],[Competition_date]],"_",Tableau1[[#This Row],[Gender]])</f>
        <v>Diamond League Zurich 2021__44448_Male</v>
      </c>
      <c r="Y942" t="s">
        <v>1411</v>
      </c>
      <c r="Z942" t="s">
        <v>43</v>
      </c>
      <c r="AB942" t="s">
        <v>65</v>
      </c>
      <c r="AC942" s="2">
        <v>44448</v>
      </c>
      <c r="AD942">
        <v>2021</v>
      </c>
      <c r="AE942">
        <v>20</v>
      </c>
      <c r="AF942" s="5">
        <v>0.62</v>
      </c>
      <c r="AG942" s="3" t="s">
        <v>62</v>
      </c>
    </row>
    <row r="943" spans="1:33" hidden="1" x14ac:dyDescent="0.35">
      <c r="A943" t="str">
        <f>_xlfn.CONCAT(Tableau1[[#This Row],[Athletes]],"_",Tableau1[[#This Row],[Nationality]],"_",Tableau1[[#This Row],[Competition_year]])</f>
        <v>Faith KIPYEGON_KEN_2022</v>
      </c>
      <c r="B943" t="s">
        <v>164</v>
      </c>
      <c r="C943" t="s">
        <v>47</v>
      </c>
      <c r="D943" t="s">
        <v>17</v>
      </c>
      <c r="E943">
        <v>15</v>
      </c>
      <c r="F943">
        <v>15.9</v>
      </c>
      <c r="G943">
        <v>17.600000000000001</v>
      </c>
      <c r="H943">
        <v>17.7</v>
      </c>
      <c r="I943">
        <v>16.600000000000001</v>
      </c>
      <c r="J943">
        <v>16.600000000000001</v>
      </c>
      <c r="K943">
        <v>16.899999999999999</v>
      </c>
      <c r="L943">
        <v>16.8</v>
      </c>
      <c r="M943">
        <v>16.7</v>
      </c>
      <c r="N943">
        <v>16.7</v>
      </c>
      <c r="O943">
        <v>16.100000000000001</v>
      </c>
      <c r="P943">
        <v>15.7</v>
      </c>
      <c r="Q943">
        <v>14.3</v>
      </c>
      <c r="R943">
        <v>13.5</v>
      </c>
      <c r="S943">
        <f>Tableau1[[#This Row],[Final_time]]-SUM(Tableau1[[#This Row],[0_100m]:[1300_1400m]])</f>
        <v>14.340000000000003</v>
      </c>
      <c r="T943">
        <v>240.44</v>
      </c>
      <c r="U943">
        <f t="shared" si="28"/>
        <v>240.44</v>
      </c>
      <c r="V943">
        <f t="shared" si="29"/>
        <v>0</v>
      </c>
      <c r="W943" s="12"/>
      <c r="X943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3" t="s">
        <v>304</v>
      </c>
      <c r="Z943" t="s">
        <v>43</v>
      </c>
      <c r="AB943" t="s">
        <v>65</v>
      </c>
      <c r="AC943" s="2">
        <v>44812</v>
      </c>
      <c r="AD943">
        <v>2022</v>
      </c>
      <c r="AE943">
        <v>19</v>
      </c>
      <c r="AF943" s="5">
        <v>0.59</v>
      </c>
      <c r="AG943" s="3" t="s">
        <v>64</v>
      </c>
    </row>
    <row r="944" spans="1:33" hidden="1" x14ac:dyDescent="0.35">
      <c r="A944" t="str">
        <f>_xlfn.CONCAT(Tableau1[[#This Row],[Athletes]],"_",Tableau1[[#This Row],[Nationality]],"_",Tableau1[[#This Row],[Competition_year]])</f>
        <v>Diribe WELTEJI_ETH_2022</v>
      </c>
      <c r="B944" t="s">
        <v>165</v>
      </c>
      <c r="C944" t="s">
        <v>47</v>
      </c>
      <c r="D944" t="s">
        <v>48</v>
      </c>
      <c r="E944">
        <v>15.4</v>
      </c>
      <c r="F944">
        <v>16.200000000000003</v>
      </c>
      <c r="G944">
        <v>17.600000000000001</v>
      </c>
      <c r="H944">
        <v>17.799999999999997</v>
      </c>
      <c r="I944">
        <v>16.400000000000006</v>
      </c>
      <c r="J944">
        <v>16.599999999999994</v>
      </c>
      <c r="K944">
        <v>17</v>
      </c>
      <c r="L944">
        <v>16.699999999999989</v>
      </c>
      <c r="M944">
        <v>16.800000000000011</v>
      </c>
      <c r="N944">
        <v>16.599999999999994</v>
      </c>
      <c r="O944">
        <v>16.099999999999994</v>
      </c>
      <c r="P944">
        <v>15.5</v>
      </c>
      <c r="Q944">
        <v>14.300000000000011</v>
      </c>
      <c r="R944">
        <v>14.099999999999994</v>
      </c>
      <c r="S944">
        <f>Tableau1[[#This Row],[Final_time]]-SUM(Tableau1[[#This Row],[0_100m]:[1300_1400m]])</f>
        <v>14.689999999999998</v>
      </c>
      <c r="T944">
        <v>241.79</v>
      </c>
      <c r="U944">
        <f t="shared" si="28"/>
        <v>241.79</v>
      </c>
      <c r="V944">
        <f t="shared" si="29"/>
        <v>0</v>
      </c>
      <c r="W944" s="12"/>
      <c r="X944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4" t="s">
        <v>304</v>
      </c>
      <c r="Z944" t="s">
        <v>43</v>
      </c>
      <c r="AB944" t="s">
        <v>65</v>
      </c>
      <c r="AC944" s="2">
        <v>44812</v>
      </c>
      <c r="AD944">
        <v>2022</v>
      </c>
      <c r="AE944">
        <v>19</v>
      </c>
      <c r="AF944" s="5">
        <v>0.59</v>
      </c>
      <c r="AG944" s="3" t="s">
        <v>64</v>
      </c>
    </row>
    <row r="945" spans="1:33" hidden="1" x14ac:dyDescent="0.35">
      <c r="A945" t="str">
        <f>_xlfn.CONCAT(Tableau1[[#This Row],[Athletes]],"_",Tableau1[[#This Row],[Nationality]],"_",Tableau1[[#This Row],[Competition_year]])</f>
        <v>Gudaf TSEGAY_ETH_2022</v>
      </c>
      <c r="B945" t="s">
        <v>138</v>
      </c>
      <c r="C945" t="s">
        <v>47</v>
      </c>
      <c r="D945" t="s">
        <v>48</v>
      </c>
      <c r="E945">
        <v>15.2</v>
      </c>
      <c r="F945">
        <v>15.900000000000002</v>
      </c>
      <c r="G945">
        <v>17.600000000000001</v>
      </c>
      <c r="H945">
        <v>17.700000000000003</v>
      </c>
      <c r="I945">
        <v>16.699999999999989</v>
      </c>
      <c r="J945">
        <v>16.700000000000003</v>
      </c>
      <c r="K945">
        <v>16.900000000000006</v>
      </c>
      <c r="L945">
        <v>16.799999999999997</v>
      </c>
      <c r="M945">
        <v>16.699999999999989</v>
      </c>
      <c r="N945">
        <v>16.700000000000017</v>
      </c>
      <c r="O945">
        <v>16.099999999999994</v>
      </c>
      <c r="P945">
        <v>15.699999999999989</v>
      </c>
      <c r="Q945">
        <v>14.5</v>
      </c>
      <c r="R945">
        <v>14.5</v>
      </c>
      <c r="S945">
        <f>Tableau1[[#This Row],[Final_time]]-SUM(Tableau1[[#This Row],[0_100m]:[1300_1400m]])</f>
        <v>14.710000000000008</v>
      </c>
      <c r="T945">
        <v>242.41</v>
      </c>
      <c r="U945">
        <f t="shared" si="28"/>
        <v>242.41</v>
      </c>
      <c r="V945">
        <f t="shared" si="29"/>
        <v>0</v>
      </c>
      <c r="W945" s="12"/>
      <c r="X945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5" t="s">
        <v>304</v>
      </c>
      <c r="Z945" t="s">
        <v>43</v>
      </c>
      <c r="AB945" t="s">
        <v>65</v>
      </c>
      <c r="AC945" s="2">
        <v>44812</v>
      </c>
      <c r="AD945">
        <v>2022</v>
      </c>
      <c r="AE945">
        <v>19</v>
      </c>
      <c r="AF945" s="5">
        <v>0.59</v>
      </c>
      <c r="AG945" s="3" t="s">
        <v>64</v>
      </c>
    </row>
    <row r="946" spans="1:33" hidden="1" x14ac:dyDescent="0.35">
      <c r="A946" t="str">
        <f>_xlfn.CONCAT(Tableau1[[#This Row],[Athletes]],"_",Tableau1[[#This Row],[Nationality]],"_",Tableau1[[#This Row],[Competition_year]])</f>
        <v>Ciara MAGEEAN_IRL_2022</v>
      </c>
      <c r="B946" t="s">
        <v>180</v>
      </c>
      <c r="C946" t="s">
        <v>47</v>
      </c>
      <c r="D946" t="s">
        <v>35</v>
      </c>
      <c r="E946">
        <v>15</v>
      </c>
      <c r="F946">
        <v>16.100000000000001</v>
      </c>
      <c r="G946">
        <v>17.5</v>
      </c>
      <c r="H946">
        <v>17.7</v>
      </c>
      <c r="I946">
        <v>16.7</v>
      </c>
      <c r="J946">
        <v>16.899999999999999</v>
      </c>
      <c r="K946">
        <v>16.899999999999999</v>
      </c>
      <c r="L946">
        <v>16.7</v>
      </c>
      <c r="M946">
        <v>16.8</v>
      </c>
      <c r="N946">
        <v>16.600000000000001</v>
      </c>
      <c r="O946">
        <v>16.100000000000001</v>
      </c>
      <c r="P946">
        <v>15.5</v>
      </c>
      <c r="Q946">
        <v>14.4</v>
      </c>
      <c r="R946">
        <v>14</v>
      </c>
      <c r="S946">
        <f>Tableau1[[#This Row],[Final_time]]-SUM(Tableau1[[#This Row],[0_100m]:[1300_1400m]])</f>
        <v>14.780000000000001</v>
      </c>
      <c r="T946">
        <v>241.68</v>
      </c>
      <c r="U946">
        <f t="shared" si="28"/>
        <v>241.68</v>
      </c>
      <c r="V946">
        <f t="shared" si="29"/>
        <v>0</v>
      </c>
      <c r="W946" s="12"/>
      <c r="X946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6" t="s">
        <v>304</v>
      </c>
      <c r="Z946" t="s">
        <v>43</v>
      </c>
      <c r="AB946" t="s">
        <v>65</v>
      </c>
      <c r="AC946" s="2">
        <v>44812</v>
      </c>
      <c r="AD946">
        <v>2022</v>
      </c>
      <c r="AE946">
        <v>19</v>
      </c>
      <c r="AF946" s="5">
        <v>0.59</v>
      </c>
      <c r="AG946" s="3" t="s">
        <v>64</v>
      </c>
    </row>
    <row r="947" spans="1:33" hidden="1" x14ac:dyDescent="0.35">
      <c r="A947" t="str">
        <f>_xlfn.CONCAT(Tableau1[[#This Row],[Athletes]],"_",Tableau1[[#This Row],[Nationality]],"_",Tableau1[[#This Row],[Competition_year]])</f>
        <v>Laura MUIR_GBR_2022</v>
      </c>
      <c r="B947" t="s">
        <v>153</v>
      </c>
      <c r="C947" t="s">
        <v>47</v>
      </c>
      <c r="D947" t="s">
        <v>20</v>
      </c>
      <c r="E947">
        <v>15.1</v>
      </c>
      <c r="F947">
        <v>16.100000000000001</v>
      </c>
      <c r="G947">
        <v>17.8</v>
      </c>
      <c r="H947">
        <v>17.700000000000003</v>
      </c>
      <c r="I947">
        <v>16.200000000000003</v>
      </c>
      <c r="J947">
        <v>16.699999999999989</v>
      </c>
      <c r="K947">
        <v>16.900000000000006</v>
      </c>
      <c r="L947">
        <v>16.800000000000011</v>
      </c>
      <c r="M947">
        <v>16.699999999999989</v>
      </c>
      <c r="N947">
        <v>16.800000000000011</v>
      </c>
      <c r="O947">
        <v>16</v>
      </c>
      <c r="P947">
        <v>15.699999999999989</v>
      </c>
      <c r="Q947">
        <v>14.5</v>
      </c>
      <c r="R947">
        <v>14.400000000000006</v>
      </c>
      <c r="S947">
        <f>Tableau1[[#This Row],[Final_time]]-SUM(Tableau1[[#This Row],[0_100m]:[1300_1400m]])</f>
        <v>14.909999999999997</v>
      </c>
      <c r="T947">
        <v>242.31</v>
      </c>
      <c r="U947">
        <f t="shared" si="28"/>
        <v>242.31</v>
      </c>
      <c r="V947">
        <f t="shared" si="29"/>
        <v>0</v>
      </c>
      <c r="W947" s="12"/>
      <c r="X947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7" t="s">
        <v>304</v>
      </c>
      <c r="Z947" t="s">
        <v>43</v>
      </c>
      <c r="AB947" t="s">
        <v>65</v>
      </c>
      <c r="AC947" s="2">
        <v>44812</v>
      </c>
      <c r="AD947">
        <v>2022</v>
      </c>
      <c r="AE947">
        <v>19</v>
      </c>
      <c r="AF947" s="5">
        <v>0.59</v>
      </c>
      <c r="AG947" s="3" t="s">
        <v>64</v>
      </c>
    </row>
    <row r="948" spans="1:33" hidden="1" x14ac:dyDescent="0.35">
      <c r="A948" t="str">
        <f>_xlfn.CONCAT(Tableau1[[#This Row],[Athletes]],"_",Tableau1[[#This Row],[Nationality]],"_",Tableau1[[#This Row],[Competition_year]])</f>
        <v>Freweyni HAILU_ETH_2022</v>
      </c>
      <c r="B948" t="s">
        <v>144</v>
      </c>
      <c r="C948" t="s">
        <v>47</v>
      </c>
      <c r="D948" t="s">
        <v>48</v>
      </c>
      <c r="E948">
        <v>15.4</v>
      </c>
      <c r="F948">
        <v>16.2</v>
      </c>
      <c r="G948">
        <v>17.8</v>
      </c>
      <c r="H948">
        <v>17.8</v>
      </c>
      <c r="I948">
        <v>16.5</v>
      </c>
      <c r="J948">
        <v>16.600000000000001</v>
      </c>
      <c r="K948">
        <v>16.899999999999999</v>
      </c>
      <c r="L948">
        <v>16.7</v>
      </c>
      <c r="M948">
        <v>16.8</v>
      </c>
      <c r="N948">
        <v>16.600000000000001</v>
      </c>
      <c r="O948">
        <v>15.9</v>
      </c>
      <c r="P948">
        <v>15.4</v>
      </c>
      <c r="Q948">
        <v>14.2</v>
      </c>
      <c r="R948">
        <v>13.9</v>
      </c>
      <c r="S948">
        <f>Tableau1[[#This Row],[Final_time]]-SUM(Tableau1[[#This Row],[0_100m]:[1300_1400m]])</f>
        <v>15.030000000000001</v>
      </c>
      <c r="T948">
        <v>241.73000000000002</v>
      </c>
      <c r="U948">
        <f t="shared" si="28"/>
        <v>241.73000000000002</v>
      </c>
      <c r="V948">
        <f t="shared" si="29"/>
        <v>0</v>
      </c>
      <c r="W948" s="12"/>
      <c r="X948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8" t="s">
        <v>304</v>
      </c>
      <c r="Z948" t="s">
        <v>43</v>
      </c>
      <c r="AB948" t="s">
        <v>65</v>
      </c>
      <c r="AC948" s="2">
        <v>44812</v>
      </c>
      <c r="AD948">
        <v>2022</v>
      </c>
      <c r="AE948">
        <v>19</v>
      </c>
      <c r="AF948" s="5">
        <v>0.59</v>
      </c>
      <c r="AG948" s="3" t="s">
        <v>64</v>
      </c>
    </row>
    <row r="949" spans="1:33" hidden="1" x14ac:dyDescent="0.35">
      <c r="A949" t="str">
        <f>_xlfn.CONCAT(Tableau1[[#This Row],[Athletes]],"_",Tableau1[[#This Row],[Nationality]],"_",Tableau1[[#This Row],[Competition_year]])</f>
        <v>Heather MACLEAN_USA_2022</v>
      </c>
      <c r="B949" t="s">
        <v>355</v>
      </c>
      <c r="C949" t="s">
        <v>47</v>
      </c>
      <c r="D949" t="s">
        <v>51</v>
      </c>
      <c r="E949">
        <v>15.2</v>
      </c>
      <c r="F949">
        <v>16.2</v>
      </c>
      <c r="G949">
        <v>17.600000000000001</v>
      </c>
      <c r="H949">
        <v>17.799999999999997</v>
      </c>
      <c r="I949">
        <v>16.700000000000003</v>
      </c>
      <c r="J949">
        <v>16.599999999999994</v>
      </c>
      <c r="K949">
        <v>17.200000000000003</v>
      </c>
      <c r="L949">
        <v>16.700000000000003</v>
      </c>
      <c r="M949">
        <v>16.599999999999994</v>
      </c>
      <c r="N949">
        <v>16.700000000000017</v>
      </c>
      <c r="O949">
        <v>16.099999999999994</v>
      </c>
      <c r="P949">
        <v>15.5</v>
      </c>
      <c r="Q949">
        <v>14.400000000000006</v>
      </c>
      <c r="R949">
        <v>14.5</v>
      </c>
      <c r="S949">
        <f>Tableau1[[#This Row],[Final_time]]-SUM(Tableau1[[#This Row],[0_100m]:[1300_1400m]])</f>
        <v>15.099999999999994</v>
      </c>
      <c r="T949">
        <v>242.9</v>
      </c>
      <c r="U949">
        <f t="shared" si="28"/>
        <v>242.9</v>
      </c>
      <c r="V949">
        <f t="shared" si="29"/>
        <v>0</v>
      </c>
      <c r="W949" s="12"/>
      <c r="X949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49" t="s">
        <v>304</v>
      </c>
      <c r="Z949" t="s">
        <v>43</v>
      </c>
      <c r="AB949" t="s">
        <v>65</v>
      </c>
      <c r="AC949" s="2">
        <v>44812</v>
      </c>
      <c r="AD949">
        <v>2022</v>
      </c>
      <c r="AE949">
        <v>19</v>
      </c>
      <c r="AF949" s="5">
        <v>0.59</v>
      </c>
      <c r="AG949" s="3" t="s">
        <v>64</v>
      </c>
    </row>
    <row r="950" spans="1:33" hidden="1" x14ac:dyDescent="0.35">
      <c r="A950" t="str">
        <f>_xlfn.CONCAT(Tableau1[[#This Row],[Athletes]],"_",Tableau1[[#This Row],[Nationality]],"_",Tableau1[[#This Row],[Competition_year]])</f>
        <v>Axumawit EMBAYE_ETH_2022</v>
      </c>
      <c r="B950" t="s">
        <v>269</v>
      </c>
      <c r="C950" t="s">
        <v>47</v>
      </c>
      <c r="D950" t="s">
        <v>48</v>
      </c>
      <c r="E950">
        <v>15.7</v>
      </c>
      <c r="F950">
        <v>16.3</v>
      </c>
      <c r="G950">
        <v>17.5</v>
      </c>
      <c r="H950">
        <v>17.799999999999997</v>
      </c>
      <c r="I950">
        <v>16.600000000000009</v>
      </c>
      <c r="J950">
        <v>16.599999999999994</v>
      </c>
      <c r="K950">
        <v>16.900000000000006</v>
      </c>
      <c r="L950">
        <v>16.799999999999983</v>
      </c>
      <c r="M950">
        <v>16.700000000000017</v>
      </c>
      <c r="N950">
        <v>16.799999999999983</v>
      </c>
      <c r="O950">
        <v>15.700000000000017</v>
      </c>
      <c r="P950">
        <v>16.099999999999994</v>
      </c>
      <c r="Q950">
        <v>15</v>
      </c>
      <c r="R950">
        <v>16</v>
      </c>
      <c r="S950">
        <f>Tableau1[[#This Row],[Final_time]]-SUM(Tableau1[[#This Row],[0_100m]:[1300_1400m]])</f>
        <v>15.409999999999997</v>
      </c>
      <c r="T950">
        <v>245.91</v>
      </c>
      <c r="U950">
        <f t="shared" si="28"/>
        <v>245.91</v>
      </c>
      <c r="V950">
        <f t="shared" si="29"/>
        <v>0</v>
      </c>
      <c r="W950" s="12"/>
      <c r="X950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50" t="s">
        <v>304</v>
      </c>
      <c r="Z950" t="s">
        <v>43</v>
      </c>
      <c r="AB950" t="s">
        <v>65</v>
      </c>
      <c r="AC950" s="2">
        <v>44812</v>
      </c>
      <c r="AD950">
        <v>2022</v>
      </c>
      <c r="AE950">
        <v>19</v>
      </c>
      <c r="AF950" s="5">
        <v>0.59</v>
      </c>
      <c r="AG950" s="3" t="s">
        <v>64</v>
      </c>
    </row>
    <row r="951" spans="1:33" hidden="1" x14ac:dyDescent="0.35">
      <c r="A951" t="str">
        <f>_xlfn.CONCAT(Tableau1[[#This Row],[Athletes]],"_",Tableau1[[#This Row],[Nationality]],"_",Tableau1[[#This Row],[Competition_year]])</f>
        <v>Cory Ann MCGEE_USA_2022</v>
      </c>
      <c r="B951" t="s">
        <v>181</v>
      </c>
      <c r="C951" t="s">
        <v>47</v>
      </c>
      <c r="D951" t="s">
        <v>51</v>
      </c>
      <c r="E951">
        <v>15.1</v>
      </c>
      <c r="F951">
        <v>16.100000000000001</v>
      </c>
      <c r="G951">
        <v>17.599999999999998</v>
      </c>
      <c r="H951">
        <v>17.700000000000003</v>
      </c>
      <c r="I951">
        <v>16.700000000000003</v>
      </c>
      <c r="J951">
        <v>16.799999999999997</v>
      </c>
      <c r="K951">
        <v>17</v>
      </c>
      <c r="L951">
        <v>16.800000000000011</v>
      </c>
      <c r="M951">
        <v>16.699999999999989</v>
      </c>
      <c r="N951">
        <v>16.5</v>
      </c>
      <c r="O951">
        <v>16.099999999999994</v>
      </c>
      <c r="P951">
        <v>15.800000000000011</v>
      </c>
      <c r="Q951">
        <v>14.799999999999983</v>
      </c>
      <c r="R951">
        <v>14.700000000000017</v>
      </c>
      <c r="S951">
        <f>Tableau1[[#This Row],[Final_time]]-SUM(Tableau1[[#This Row],[0_100m]:[1300_1400m]])</f>
        <v>16.22999999999999</v>
      </c>
      <c r="T951">
        <v>244.63</v>
      </c>
      <c r="U951">
        <f t="shared" si="28"/>
        <v>244.63</v>
      </c>
      <c r="V951">
        <f t="shared" si="29"/>
        <v>0</v>
      </c>
      <c r="W951" s="12"/>
      <c r="X951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51" t="s">
        <v>304</v>
      </c>
      <c r="Z951" t="s">
        <v>43</v>
      </c>
      <c r="AB951" t="s">
        <v>65</v>
      </c>
      <c r="AC951" s="2">
        <v>44812</v>
      </c>
      <c r="AD951">
        <v>2022</v>
      </c>
      <c r="AE951">
        <v>19</v>
      </c>
      <c r="AF951" s="5">
        <v>0.59</v>
      </c>
      <c r="AG951" s="3" t="s">
        <v>64</v>
      </c>
    </row>
    <row r="952" spans="1:33" hidden="1" x14ac:dyDescent="0.35">
      <c r="A952" t="str">
        <f>_xlfn.CONCAT(Tableau1[[#This Row],[Athletes]],"_",Tableau1[[#This Row],[Nationality]],"_",Tableau1[[#This Row],[Competition_year]])</f>
        <v>Hirut MESHESHA_ETH_2022</v>
      </c>
      <c r="B952" t="s">
        <v>135</v>
      </c>
      <c r="C952" t="s">
        <v>47</v>
      </c>
      <c r="D952" t="s">
        <v>48</v>
      </c>
      <c r="E952">
        <v>15.5</v>
      </c>
      <c r="F952">
        <v>16.3</v>
      </c>
      <c r="G952">
        <v>16.999999999999996</v>
      </c>
      <c r="H952">
        <v>17.799999999999997</v>
      </c>
      <c r="I952">
        <v>16.400000000000006</v>
      </c>
      <c r="J952">
        <v>16.599999999999994</v>
      </c>
      <c r="K952">
        <v>16.900000000000006</v>
      </c>
      <c r="L952">
        <v>16.699999999999989</v>
      </c>
      <c r="M952">
        <v>16.800000000000011</v>
      </c>
      <c r="N952">
        <v>16.699999999999989</v>
      </c>
      <c r="O952">
        <v>16.100000000000023</v>
      </c>
      <c r="P952">
        <v>16.299999999999983</v>
      </c>
      <c r="Q952">
        <v>15.400000000000006</v>
      </c>
      <c r="R952">
        <v>15.199999999999989</v>
      </c>
      <c r="S952">
        <f>Tableau1[[#This Row],[Final_time]]-SUM(Tableau1[[#This Row],[0_100m]:[1300_1400m]])</f>
        <v>16.580000000000013</v>
      </c>
      <c r="T952">
        <v>246.28</v>
      </c>
      <c r="U952">
        <f t="shared" si="28"/>
        <v>246.28</v>
      </c>
      <c r="V952">
        <f t="shared" si="29"/>
        <v>0</v>
      </c>
      <c r="W952" s="12"/>
      <c r="X952" t="str">
        <f>_xlfn.CONCAT(Tableau1[[#This Row],[Competition]],"_",Tableau1[[#This Row],[Championship_step]],"_",Tableau1[[#This Row],[Competition_date]],"_",Tableau1[[#This Row],[Gender]])</f>
        <v>Diamond League Zurich 2022__44812_Female</v>
      </c>
      <c r="Y952" t="s">
        <v>304</v>
      </c>
      <c r="Z952" t="s">
        <v>43</v>
      </c>
      <c r="AB952" t="s">
        <v>65</v>
      </c>
      <c r="AC952" s="2">
        <v>44812</v>
      </c>
      <c r="AD952">
        <v>2022</v>
      </c>
      <c r="AE952">
        <v>19</v>
      </c>
      <c r="AF952" s="5">
        <v>0.59</v>
      </c>
      <c r="AG952" s="3" t="s">
        <v>64</v>
      </c>
    </row>
    <row r="953" spans="1:33" hidden="1" x14ac:dyDescent="0.35">
      <c r="A953" t="str">
        <f>_xlfn.CONCAT(Tableau1[[#This Row],[Athletes]],"_",Tableau1[[#This Row],[Nationality]],"_",Tableau1[[#This Row],[Competition_year]])</f>
        <v>Jakob INGEBRIGTSEN_NOR_2022</v>
      </c>
      <c r="B953" t="s">
        <v>151</v>
      </c>
      <c r="C953" t="s">
        <v>16</v>
      </c>
      <c r="D953" t="s">
        <v>30</v>
      </c>
      <c r="E953">
        <v>13.8</v>
      </c>
      <c r="F953">
        <v>13.1</v>
      </c>
      <c r="G953">
        <v>13.6</v>
      </c>
      <c r="H953">
        <v>14</v>
      </c>
      <c r="I953">
        <v>14.2</v>
      </c>
      <c r="J953">
        <v>14.1</v>
      </c>
      <c r="K953">
        <v>14.3</v>
      </c>
      <c r="L953">
        <v>14.5</v>
      </c>
      <c r="M953">
        <v>14.2</v>
      </c>
      <c r="N953">
        <v>14.1</v>
      </c>
      <c r="O953">
        <v>14.2</v>
      </c>
      <c r="P953">
        <v>14</v>
      </c>
      <c r="Q953">
        <v>13.8</v>
      </c>
      <c r="R953">
        <v>13.5</v>
      </c>
      <c r="S953">
        <f>Tableau1[[#This Row],[Final_time]]-SUM(Tableau1[[#This Row],[0_100m]:[1300_1400m]])</f>
        <v>13.620000000000005</v>
      </c>
      <c r="T953">
        <v>209.02</v>
      </c>
      <c r="U953">
        <f t="shared" si="28"/>
        <v>209.02</v>
      </c>
      <c r="V953">
        <f t="shared" si="29"/>
        <v>0</v>
      </c>
      <c r="W953" s="12"/>
      <c r="X953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3" t="s">
        <v>304</v>
      </c>
      <c r="Z953" t="s">
        <v>43</v>
      </c>
      <c r="AB953" t="s">
        <v>65</v>
      </c>
      <c r="AC953" s="2">
        <v>44812</v>
      </c>
      <c r="AD953">
        <v>2022</v>
      </c>
      <c r="AE953">
        <v>19</v>
      </c>
      <c r="AF953" s="5">
        <v>0.59</v>
      </c>
      <c r="AG953" s="3" t="s">
        <v>64</v>
      </c>
    </row>
    <row r="954" spans="1:33" hidden="1" x14ac:dyDescent="0.35">
      <c r="A954" t="str">
        <f>_xlfn.CONCAT(Tableau1[[#This Row],[Athletes]],"_",Tableau1[[#This Row],[Nationality]],"_",Tableau1[[#This Row],[Competition_year]])</f>
        <v>Oliver HOARE_AUS_2022</v>
      </c>
      <c r="B954" t="s">
        <v>249</v>
      </c>
      <c r="C954" t="s">
        <v>16</v>
      </c>
      <c r="D954" t="s">
        <v>21</v>
      </c>
      <c r="E954">
        <v>13.6</v>
      </c>
      <c r="F954">
        <v>13.5</v>
      </c>
      <c r="G954">
        <v>14</v>
      </c>
      <c r="H954">
        <v>14.2</v>
      </c>
      <c r="I954">
        <v>14.1</v>
      </c>
      <c r="J954">
        <v>14.4</v>
      </c>
      <c r="K954">
        <v>14.2</v>
      </c>
      <c r="L954">
        <v>14.5</v>
      </c>
      <c r="M954">
        <v>14.1</v>
      </c>
      <c r="N954">
        <v>14.3</v>
      </c>
      <c r="O954">
        <v>14</v>
      </c>
      <c r="P954">
        <v>14</v>
      </c>
      <c r="Q954">
        <v>14.1</v>
      </c>
      <c r="R954">
        <v>13.8</v>
      </c>
      <c r="S954">
        <f>Tableau1[[#This Row],[Final_time]]-SUM(Tableau1[[#This Row],[0_100m]:[1300_1400m]])</f>
        <v>13.789999999999992</v>
      </c>
      <c r="T954">
        <v>210.59</v>
      </c>
      <c r="U954">
        <f t="shared" si="28"/>
        <v>210.59</v>
      </c>
      <c r="V954">
        <f t="shared" si="29"/>
        <v>0</v>
      </c>
      <c r="W954" s="12"/>
      <c r="X954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4" t="s">
        <v>304</v>
      </c>
      <c r="Z954" t="s">
        <v>43</v>
      </c>
      <c r="AB954" t="s">
        <v>65</v>
      </c>
      <c r="AC954" s="2">
        <v>44812</v>
      </c>
      <c r="AD954">
        <v>2022</v>
      </c>
      <c r="AE954">
        <v>19</v>
      </c>
      <c r="AF954" s="5">
        <v>0.59</v>
      </c>
      <c r="AG954" s="3" t="s">
        <v>64</v>
      </c>
    </row>
    <row r="955" spans="1:33" hidden="1" x14ac:dyDescent="0.35">
      <c r="A955" t="str">
        <f>_xlfn.CONCAT(Tableau1[[#This Row],[Athletes]],"_",Tableau1[[#This Row],[Nationality]],"_",Tableau1[[#This Row],[Competition_year]])</f>
        <v>Stewart MCSWEYN_AUS_2022</v>
      </c>
      <c r="B955" t="s">
        <v>219</v>
      </c>
      <c r="C955" t="s">
        <v>16</v>
      </c>
      <c r="D955" t="s">
        <v>21</v>
      </c>
      <c r="E955">
        <v>14</v>
      </c>
      <c r="F955">
        <v>13.100000000000001</v>
      </c>
      <c r="G955">
        <v>13.5</v>
      </c>
      <c r="H955">
        <v>14.100000000000001</v>
      </c>
      <c r="I955">
        <v>14.200000000000003</v>
      </c>
      <c r="J955">
        <v>14.399999999999991</v>
      </c>
      <c r="K955">
        <v>14.400000000000006</v>
      </c>
      <c r="L955">
        <v>14.599999999999994</v>
      </c>
      <c r="M955">
        <v>14</v>
      </c>
      <c r="N955">
        <v>14.299999999999997</v>
      </c>
      <c r="O955">
        <v>14.200000000000017</v>
      </c>
      <c r="P955">
        <v>14.199999999999989</v>
      </c>
      <c r="Q955">
        <v>14.199999999999989</v>
      </c>
      <c r="R955">
        <v>14</v>
      </c>
      <c r="S955">
        <f>Tableau1[[#This Row],[Final_time]]-SUM(Tableau1[[#This Row],[0_100m]:[1300_1400m]])</f>
        <v>14.25</v>
      </c>
      <c r="T955">
        <v>211.45</v>
      </c>
      <c r="U955">
        <f t="shared" si="28"/>
        <v>211.45</v>
      </c>
      <c r="V955">
        <f t="shared" si="29"/>
        <v>0</v>
      </c>
      <c r="W955" s="12"/>
      <c r="X955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5" t="s">
        <v>304</v>
      </c>
      <c r="Z955" t="s">
        <v>43</v>
      </c>
      <c r="AB955" t="s">
        <v>65</v>
      </c>
      <c r="AC955" s="2">
        <v>44812</v>
      </c>
      <c r="AD955">
        <v>2022</v>
      </c>
      <c r="AE955">
        <v>19</v>
      </c>
      <c r="AF955" s="5">
        <v>0.59</v>
      </c>
      <c r="AG955" s="3" t="s">
        <v>64</v>
      </c>
    </row>
    <row r="956" spans="1:33" hidden="1" x14ac:dyDescent="0.35">
      <c r="A956" t="str">
        <f>_xlfn.CONCAT(Tableau1[[#This Row],[Athletes]],"_",Tableau1[[#This Row],[Nationality]],"_",Tableau1[[#This Row],[Competition_year]])</f>
        <v>Timothy CHERUIYOT_KEN_2022</v>
      </c>
      <c r="B956" t="s">
        <v>205</v>
      </c>
      <c r="C956" t="s">
        <v>16</v>
      </c>
      <c r="D956" t="s">
        <v>17</v>
      </c>
      <c r="E956">
        <v>13.9</v>
      </c>
      <c r="F956">
        <v>13.4</v>
      </c>
      <c r="G956">
        <v>13.5</v>
      </c>
      <c r="H956">
        <v>13.9</v>
      </c>
      <c r="I956">
        <v>14.2</v>
      </c>
      <c r="J956">
        <v>14.1</v>
      </c>
      <c r="K956">
        <v>14.4</v>
      </c>
      <c r="L956">
        <v>14.4</v>
      </c>
      <c r="M956">
        <v>14.3</v>
      </c>
      <c r="N956">
        <v>14.1</v>
      </c>
      <c r="O956">
        <v>14.2</v>
      </c>
      <c r="P956">
        <v>13.9</v>
      </c>
      <c r="Q956">
        <v>13.8</v>
      </c>
      <c r="R956">
        <v>13.8</v>
      </c>
      <c r="S956">
        <f>Tableau1[[#This Row],[Final_time]]-SUM(Tableau1[[#This Row],[0_100m]:[1300_1400m]])</f>
        <v>14.370000000000005</v>
      </c>
      <c r="T956">
        <v>210.27</v>
      </c>
      <c r="U956">
        <f t="shared" si="28"/>
        <v>210.27</v>
      </c>
      <c r="V956">
        <f t="shared" si="29"/>
        <v>0</v>
      </c>
      <c r="W956" s="12"/>
      <c r="X956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6" t="s">
        <v>304</v>
      </c>
      <c r="Z956" t="s">
        <v>43</v>
      </c>
      <c r="AB956" t="s">
        <v>65</v>
      </c>
      <c r="AC956" s="2">
        <v>44812</v>
      </c>
      <c r="AD956">
        <v>2022</v>
      </c>
      <c r="AE956">
        <v>19</v>
      </c>
      <c r="AF956" s="5">
        <v>0.59</v>
      </c>
      <c r="AG956" s="3" t="s">
        <v>64</v>
      </c>
    </row>
    <row r="957" spans="1:33" hidden="1" x14ac:dyDescent="0.35">
      <c r="A957" t="str">
        <f>_xlfn.CONCAT(Tableau1[[#This Row],[Athletes]],"_",Tableau1[[#This Row],[Nationality]],"_",Tableau1[[#This Row],[Competition_year]])</f>
        <v>Abdellatif SADIKI_MAR_2022</v>
      </c>
      <c r="B957" t="s">
        <v>221</v>
      </c>
      <c r="C957" t="s">
        <v>16</v>
      </c>
      <c r="D957" t="s">
        <v>75</v>
      </c>
      <c r="E957">
        <v>13.4</v>
      </c>
      <c r="F957">
        <v>13.6</v>
      </c>
      <c r="G957">
        <v>13.899999999999999</v>
      </c>
      <c r="H957">
        <v>14.200000000000003</v>
      </c>
      <c r="I957">
        <v>14.199999999999996</v>
      </c>
      <c r="J957">
        <v>14.400000000000006</v>
      </c>
      <c r="K957">
        <v>14.5</v>
      </c>
      <c r="L957">
        <v>14.5</v>
      </c>
      <c r="M957">
        <v>14.200000000000003</v>
      </c>
      <c r="N957">
        <v>14.400000000000006</v>
      </c>
      <c r="O957">
        <v>14.599999999999994</v>
      </c>
      <c r="P957">
        <v>14.5</v>
      </c>
      <c r="Q957">
        <v>14.599999999999994</v>
      </c>
      <c r="R957">
        <v>14.599999999999994</v>
      </c>
      <c r="S957">
        <f>Tableau1[[#This Row],[Final_time]]-SUM(Tableau1[[#This Row],[0_100m]:[1300_1400m]])</f>
        <v>14.52000000000001</v>
      </c>
      <c r="T957">
        <v>214.12</v>
      </c>
      <c r="U957">
        <f t="shared" si="28"/>
        <v>214.12</v>
      </c>
      <c r="V957">
        <f t="shared" si="29"/>
        <v>0</v>
      </c>
      <c r="W957" s="12"/>
      <c r="X957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7" t="s">
        <v>304</v>
      </c>
      <c r="Z957" t="s">
        <v>43</v>
      </c>
      <c r="AB957" t="s">
        <v>65</v>
      </c>
      <c r="AC957" s="2">
        <v>44812</v>
      </c>
      <c r="AD957">
        <v>2022</v>
      </c>
      <c r="AE957">
        <v>19</v>
      </c>
      <c r="AF957" s="5">
        <v>0.59</v>
      </c>
      <c r="AG957" s="3" t="s">
        <v>64</v>
      </c>
    </row>
    <row r="958" spans="1:33" hidden="1" x14ac:dyDescent="0.35">
      <c r="A958" t="str">
        <f>_xlfn.CONCAT(Tableau1[[#This Row],[Athletes]],"_",Tableau1[[#This Row],[Nationality]],"_",Tableau1[[#This Row],[Competition_year]])</f>
        <v>Josh KERR_GBR_2022</v>
      </c>
      <c r="B958" t="s">
        <v>189</v>
      </c>
      <c r="C958" t="s">
        <v>16</v>
      </c>
      <c r="D958" t="s">
        <v>20</v>
      </c>
      <c r="E958">
        <v>13.4</v>
      </c>
      <c r="F958">
        <v>13.4</v>
      </c>
      <c r="G958">
        <v>13.900000000000002</v>
      </c>
      <c r="H958">
        <v>14.199999999999996</v>
      </c>
      <c r="I958">
        <v>14.300000000000004</v>
      </c>
      <c r="J958">
        <v>14.399999999999991</v>
      </c>
      <c r="K958">
        <v>14.300000000000011</v>
      </c>
      <c r="L958">
        <v>14.399999999999991</v>
      </c>
      <c r="M958">
        <v>14.200000000000003</v>
      </c>
      <c r="N958">
        <v>14.199999999999989</v>
      </c>
      <c r="O958">
        <v>13.900000000000006</v>
      </c>
      <c r="P958">
        <v>14.099999999999994</v>
      </c>
      <c r="Q958">
        <v>14.100000000000023</v>
      </c>
      <c r="R958">
        <v>14.399999999999977</v>
      </c>
      <c r="S958">
        <f>Tableau1[[#This Row],[Final_time]]-SUM(Tableau1[[#This Row],[0_100m]:[1300_1400m]])</f>
        <v>14.650000000000006</v>
      </c>
      <c r="T958">
        <v>211.85</v>
      </c>
      <c r="U958">
        <f t="shared" si="28"/>
        <v>211.85</v>
      </c>
      <c r="V958">
        <f t="shared" si="29"/>
        <v>0</v>
      </c>
      <c r="W958" s="12"/>
      <c r="X958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8" t="s">
        <v>304</v>
      </c>
      <c r="Z958" t="s">
        <v>43</v>
      </c>
      <c r="AB958" t="s">
        <v>65</v>
      </c>
      <c r="AC958" s="2">
        <v>44812</v>
      </c>
      <c r="AD958">
        <v>2022</v>
      </c>
      <c r="AE958">
        <v>19</v>
      </c>
      <c r="AF958" s="5">
        <v>0.59</v>
      </c>
      <c r="AG958" s="3" t="s">
        <v>64</v>
      </c>
    </row>
    <row r="959" spans="1:33" hidden="1" x14ac:dyDescent="0.35">
      <c r="A959" t="str">
        <f>_xlfn.CONCAT(Tableau1[[#This Row],[Athletes]],"_",Tableau1[[#This Row],[Nationality]],"_",Tableau1[[#This Row],[Competition_year]])</f>
        <v>Abel KIPSANG_KEN_2022</v>
      </c>
      <c r="B959" t="s">
        <v>227</v>
      </c>
      <c r="C959" t="s">
        <v>16</v>
      </c>
      <c r="D959" t="s">
        <v>17</v>
      </c>
      <c r="E959">
        <v>13.4</v>
      </c>
      <c r="F959">
        <v>13.700000000000001</v>
      </c>
      <c r="G959">
        <v>14</v>
      </c>
      <c r="H959">
        <v>13.899999999999999</v>
      </c>
      <c r="I959">
        <v>14</v>
      </c>
      <c r="J959">
        <v>14.200000000000003</v>
      </c>
      <c r="K959">
        <v>14.399999999999991</v>
      </c>
      <c r="L959">
        <v>14.5</v>
      </c>
      <c r="M959">
        <v>14.100000000000009</v>
      </c>
      <c r="N959">
        <v>14.200000000000003</v>
      </c>
      <c r="O959">
        <v>14.199999999999989</v>
      </c>
      <c r="P959">
        <v>13.900000000000006</v>
      </c>
      <c r="Q959">
        <v>13.900000000000006</v>
      </c>
      <c r="R959">
        <v>14.199999999999989</v>
      </c>
      <c r="S959">
        <f>Tableau1[[#This Row],[Final_time]]-SUM(Tableau1[[#This Row],[0_100m]:[1300_1400m]])</f>
        <v>14.760000000000019</v>
      </c>
      <c r="T959">
        <v>211.36</v>
      </c>
      <c r="U959">
        <f t="shared" si="28"/>
        <v>211.36</v>
      </c>
      <c r="V959">
        <f t="shared" si="29"/>
        <v>0</v>
      </c>
      <c r="W959" s="12"/>
      <c r="X959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59" t="s">
        <v>304</v>
      </c>
      <c r="Z959" t="s">
        <v>43</v>
      </c>
      <c r="AB959" t="s">
        <v>65</v>
      </c>
      <c r="AC959" s="2">
        <v>44812</v>
      </c>
      <c r="AD959">
        <v>2022</v>
      </c>
      <c r="AE959">
        <v>19</v>
      </c>
      <c r="AF959" s="5">
        <v>0.59</v>
      </c>
      <c r="AG959" s="3" t="s">
        <v>64</v>
      </c>
    </row>
    <row r="960" spans="1:33" hidden="1" x14ac:dyDescent="0.35">
      <c r="A960" t="str">
        <f>_xlfn.CONCAT(Tableau1[[#This Row],[Athletes]],"_",Tableau1[[#This Row],[Nationality]],"_",Tableau1[[#This Row],[Competition_year]])</f>
        <v>Michał ROZMYS_POL_2022</v>
      </c>
      <c r="B960" t="s">
        <v>236</v>
      </c>
      <c r="C960" t="s">
        <v>16</v>
      </c>
      <c r="D960" t="s">
        <v>83</v>
      </c>
      <c r="E960">
        <v>13.3</v>
      </c>
      <c r="F960">
        <v>13.2</v>
      </c>
      <c r="G960">
        <v>14.100000000000001</v>
      </c>
      <c r="H960">
        <v>14.299999999999997</v>
      </c>
      <c r="I960">
        <v>14.199999999999996</v>
      </c>
      <c r="J960">
        <v>14.400000000000006</v>
      </c>
      <c r="K960">
        <v>14.5</v>
      </c>
      <c r="L960">
        <v>14.599999999999994</v>
      </c>
      <c r="M960">
        <v>14.300000000000011</v>
      </c>
      <c r="N960">
        <v>14.799999999999983</v>
      </c>
      <c r="O960">
        <v>14.800000000000011</v>
      </c>
      <c r="P960">
        <v>14.699999999999989</v>
      </c>
      <c r="Q960">
        <v>14.5</v>
      </c>
      <c r="R960">
        <v>14.300000000000011</v>
      </c>
      <c r="S960">
        <f>Tableau1[[#This Row],[Final_time]]-SUM(Tableau1[[#This Row],[0_100m]:[1300_1400m]])</f>
        <v>14.800000000000011</v>
      </c>
      <c r="T960">
        <v>214.8</v>
      </c>
      <c r="U960">
        <f t="shared" si="28"/>
        <v>214.8</v>
      </c>
      <c r="V960">
        <f t="shared" si="29"/>
        <v>0</v>
      </c>
      <c r="W960" s="12"/>
      <c r="X960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60" t="s">
        <v>304</v>
      </c>
      <c r="Z960" t="s">
        <v>43</v>
      </c>
      <c r="AB960" t="s">
        <v>65</v>
      </c>
      <c r="AC960" s="2">
        <v>44812</v>
      </c>
      <c r="AD960">
        <v>2022</v>
      </c>
      <c r="AE960">
        <v>19</v>
      </c>
      <c r="AF960" s="5">
        <v>0.59</v>
      </c>
      <c r="AG960" s="3" t="s">
        <v>64</v>
      </c>
    </row>
    <row r="961" spans="1:33" hidden="1" x14ac:dyDescent="0.35">
      <c r="A961" t="str">
        <f>_xlfn.CONCAT(Tableau1[[#This Row],[Athletes]],"_",Tableau1[[#This Row],[Nationality]],"_",Tableau1[[#This Row],[Competition_year]])</f>
        <v>Jake HEYWARD_GBR_2022</v>
      </c>
      <c r="B961" t="s">
        <v>341</v>
      </c>
      <c r="C961" t="s">
        <v>16</v>
      </c>
      <c r="D961" t="s">
        <v>20</v>
      </c>
      <c r="E961">
        <v>13.7</v>
      </c>
      <c r="F961">
        <v>13.7</v>
      </c>
      <c r="G961">
        <v>13.600000000000001</v>
      </c>
      <c r="H961">
        <v>14.299999999999997</v>
      </c>
      <c r="I961">
        <v>14.299999999999997</v>
      </c>
      <c r="J961">
        <v>14.300000000000011</v>
      </c>
      <c r="K961">
        <v>14.699999999999989</v>
      </c>
      <c r="L961">
        <v>14.600000000000009</v>
      </c>
      <c r="M961">
        <v>14.200000000000003</v>
      </c>
      <c r="N961">
        <v>14.400000000000006</v>
      </c>
      <c r="O961">
        <v>14.299999999999983</v>
      </c>
      <c r="P961">
        <v>14.5</v>
      </c>
      <c r="Q961">
        <v>14.200000000000017</v>
      </c>
      <c r="R961">
        <v>14.599999999999994</v>
      </c>
      <c r="S961">
        <f>Tableau1[[#This Row],[Final_time]]-SUM(Tableau1[[#This Row],[0_100m]:[1300_1400m]])</f>
        <v>14.870000000000005</v>
      </c>
      <c r="T961">
        <v>214.27</v>
      </c>
      <c r="U961">
        <f t="shared" si="28"/>
        <v>214.27</v>
      </c>
      <c r="V961">
        <f t="shared" si="29"/>
        <v>0</v>
      </c>
      <c r="W961" s="12"/>
      <c r="X961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61" t="s">
        <v>304</v>
      </c>
      <c r="Z961" t="s">
        <v>43</v>
      </c>
      <c r="AB961" t="s">
        <v>65</v>
      </c>
      <c r="AC961" s="2">
        <v>44812</v>
      </c>
      <c r="AD961">
        <v>2022</v>
      </c>
      <c r="AE961">
        <v>19</v>
      </c>
      <c r="AF961" s="5">
        <v>0.59</v>
      </c>
      <c r="AG961" s="3" t="s">
        <v>64</v>
      </c>
    </row>
    <row r="962" spans="1:33" hidden="1" x14ac:dyDescent="0.35">
      <c r="A962" t="str">
        <f>_xlfn.CONCAT(Tableau1[[#This Row],[Athletes]],"_",Tableau1[[#This Row],[Nationality]],"_",Tableau1[[#This Row],[Competition_year]])</f>
        <v>Charles GRETHEN_LUX_2022</v>
      </c>
      <c r="B962" t="s">
        <v>230</v>
      </c>
      <c r="C962" t="s">
        <v>16</v>
      </c>
      <c r="D962" t="s">
        <v>76</v>
      </c>
      <c r="E962">
        <v>13.8</v>
      </c>
      <c r="F962">
        <v>13.599999999999998</v>
      </c>
      <c r="G962">
        <v>14</v>
      </c>
      <c r="H962">
        <v>14.200000000000003</v>
      </c>
      <c r="I962">
        <v>14.100000000000001</v>
      </c>
      <c r="J962">
        <v>14.399999999999991</v>
      </c>
      <c r="K962">
        <v>14.200000000000003</v>
      </c>
      <c r="L962">
        <v>14.600000000000009</v>
      </c>
      <c r="M962">
        <v>14.299999999999997</v>
      </c>
      <c r="N962">
        <v>14.299999999999997</v>
      </c>
      <c r="O962">
        <v>13.900000000000006</v>
      </c>
      <c r="P962">
        <v>14</v>
      </c>
      <c r="Q962">
        <v>14.099999999999994</v>
      </c>
      <c r="R962">
        <v>14.300000000000011</v>
      </c>
      <c r="S962">
        <f>Tableau1[[#This Row],[Final_time]]-SUM(Tableau1[[#This Row],[0_100m]:[1300_1400m]])</f>
        <v>15.359999999999985</v>
      </c>
      <c r="T962">
        <v>213.16</v>
      </c>
      <c r="U962">
        <f t="shared" ref="U962:U1025" si="30">SUM(E962:S962)</f>
        <v>213.16</v>
      </c>
      <c r="V962">
        <f t="shared" ref="V962:V1025" si="31">ABS(U962-T962)</f>
        <v>0</v>
      </c>
      <c r="W962" s="12"/>
      <c r="X962" t="str">
        <f>_xlfn.CONCAT(Tableau1[[#This Row],[Competition]],"_",Tableau1[[#This Row],[Championship_step]],"_",Tableau1[[#This Row],[Competition_date]],"_",Tableau1[[#This Row],[Gender]])</f>
        <v>Diamond League Zurich 2022__44812_Male</v>
      </c>
      <c r="Y962" t="s">
        <v>304</v>
      </c>
      <c r="Z962" t="s">
        <v>43</v>
      </c>
      <c r="AB962" t="s">
        <v>65</v>
      </c>
      <c r="AC962" s="2">
        <v>44812</v>
      </c>
      <c r="AD962">
        <v>2022</v>
      </c>
      <c r="AE962">
        <v>19</v>
      </c>
      <c r="AF962" s="5">
        <v>0.59</v>
      </c>
      <c r="AG962" s="3" t="s">
        <v>64</v>
      </c>
    </row>
    <row r="963" spans="1:33" hidden="1" x14ac:dyDescent="0.35">
      <c r="A963" t="str">
        <f>_xlfn.CONCAT(Tableau1[[#This Row],[Athletes]],"_",Tableau1[[#This Row],[Nationality]],"_",Tableau1[[#This Row],[Competition_year]])</f>
        <v>Yared NUGUSE_USA_2023</v>
      </c>
      <c r="B963" t="s">
        <v>228</v>
      </c>
      <c r="C963" t="s">
        <v>16</v>
      </c>
      <c r="D963" t="s">
        <v>51</v>
      </c>
      <c r="E963">
        <v>13.4</v>
      </c>
      <c r="F963">
        <v>13.4</v>
      </c>
      <c r="G963">
        <v>14.7</v>
      </c>
      <c r="H963">
        <v>14.6</v>
      </c>
      <c r="I963">
        <v>13.9</v>
      </c>
      <c r="J963">
        <v>14</v>
      </c>
      <c r="K963">
        <v>14.4</v>
      </c>
      <c r="L963">
        <v>14.4</v>
      </c>
      <c r="M963">
        <v>14.1</v>
      </c>
      <c r="N963">
        <v>13.9</v>
      </c>
      <c r="O963">
        <v>14.3</v>
      </c>
      <c r="P963">
        <v>14</v>
      </c>
      <c r="Q963">
        <v>14</v>
      </c>
      <c r="R963">
        <v>14</v>
      </c>
      <c r="S963">
        <f>Tableau1[[#This Row],[Final_time]]-SUM(Tableau1[[#This Row],[0_100m]:[1300_1400m]])</f>
        <v>13.389999999999986</v>
      </c>
      <c r="T963">
        <v>210.49</v>
      </c>
      <c r="U963">
        <f t="shared" si="30"/>
        <v>210.49</v>
      </c>
      <c r="V963">
        <f t="shared" si="31"/>
        <v>0</v>
      </c>
      <c r="W963" s="12"/>
      <c r="X963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3" t="s">
        <v>1412</v>
      </c>
      <c r="Z963" t="s">
        <v>43</v>
      </c>
      <c r="AB963" t="s">
        <v>65</v>
      </c>
      <c r="AC963" s="2">
        <v>45169</v>
      </c>
      <c r="AD963">
        <v>2023</v>
      </c>
      <c r="AE963">
        <v>16</v>
      </c>
      <c r="AF963" s="5">
        <v>0.84</v>
      </c>
      <c r="AG963" s="3" t="s">
        <v>281</v>
      </c>
    </row>
    <row r="964" spans="1:33" hidden="1" x14ac:dyDescent="0.35">
      <c r="A964" t="str">
        <f>_xlfn.CONCAT(Tableau1[[#This Row],[Athletes]],"_",Tableau1[[#This Row],[Nationality]],"_",Tableau1[[#This Row],[Competition_year]])</f>
        <v>Niels LAROS_NED_2023</v>
      </c>
      <c r="B964" t="s">
        <v>214</v>
      </c>
      <c r="C964" t="s">
        <v>16</v>
      </c>
      <c r="D964" t="s">
        <v>39</v>
      </c>
      <c r="E964">
        <v>13.4</v>
      </c>
      <c r="F964">
        <v>13.8</v>
      </c>
      <c r="G964">
        <v>14.7</v>
      </c>
      <c r="H964">
        <v>14.9</v>
      </c>
      <c r="I964">
        <v>13.9</v>
      </c>
      <c r="J964">
        <v>14.1</v>
      </c>
      <c r="K964">
        <v>14.3</v>
      </c>
      <c r="L964">
        <v>14.5</v>
      </c>
      <c r="M964">
        <v>13.9</v>
      </c>
      <c r="N964">
        <v>14.2</v>
      </c>
      <c r="O964">
        <v>14.2</v>
      </c>
      <c r="P964">
        <v>14.2</v>
      </c>
      <c r="Q964">
        <v>13.8</v>
      </c>
      <c r="R964">
        <v>14.3</v>
      </c>
      <c r="S964">
        <f>Tableau1[[#This Row],[Final_time]]-SUM(Tableau1[[#This Row],[0_100m]:[1300_1400m]])</f>
        <v>13.430000000000007</v>
      </c>
      <c r="T964">
        <v>211.63</v>
      </c>
      <c r="U964">
        <f t="shared" si="30"/>
        <v>211.63</v>
      </c>
      <c r="V964">
        <f t="shared" si="31"/>
        <v>0</v>
      </c>
      <c r="W964" s="12"/>
      <c r="X964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4" t="s">
        <v>1412</v>
      </c>
      <c r="Z964" t="s">
        <v>43</v>
      </c>
      <c r="AB964" t="s">
        <v>65</v>
      </c>
      <c r="AC964" s="2">
        <v>45169</v>
      </c>
      <c r="AD964">
        <v>2023</v>
      </c>
      <c r="AE964">
        <v>16</v>
      </c>
      <c r="AF964" s="5">
        <v>0.84</v>
      </c>
      <c r="AG964" s="3" t="s">
        <v>281</v>
      </c>
    </row>
    <row r="965" spans="1:33" hidden="1" x14ac:dyDescent="0.35">
      <c r="A965" t="str">
        <f>_xlfn.CONCAT(Tableau1[[#This Row],[Athletes]],"_",Tableau1[[#This Row],[Nationality]],"_",Tableau1[[#This Row],[Competition_year]])</f>
        <v>George MILLS_GBR_2023</v>
      </c>
      <c r="B965" t="s">
        <v>279</v>
      </c>
      <c r="C965" t="s">
        <v>16</v>
      </c>
      <c r="D965" t="s">
        <v>20</v>
      </c>
      <c r="E965">
        <v>13.9</v>
      </c>
      <c r="F965">
        <v>13.6</v>
      </c>
      <c r="G965">
        <v>14.5</v>
      </c>
      <c r="H965">
        <v>15</v>
      </c>
      <c r="I965">
        <v>13.9</v>
      </c>
      <c r="J965">
        <v>14.1</v>
      </c>
      <c r="K965">
        <v>14.3</v>
      </c>
      <c r="L965">
        <v>14.5</v>
      </c>
      <c r="M965">
        <v>13.7</v>
      </c>
      <c r="N965">
        <v>14</v>
      </c>
      <c r="O965">
        <v>13.7</v>
      </c>
      <c r="P965">
        <v>14.1</v>
      </c>
      <c r="Q965">
        <v>13.9</v>
      </c>
      <c r="R965">
        <v>14</v>
      </c>
      <c r="S965">
        <f>Tableau1[[#This Row],[Final_time]]-SUM(Tableau1[[#This Row],[0_100m]:[1300_1400m]])</f>
        <v>13.75</v>
      </c>
      <c r="T965">
        <v>210.95</v>
      </c>
      <c r="U965">
        <f t="shared" si="30"/>
        <v>210.95</v>
      </c>
      <c r="V965">
        <f t="shared" si="31"/>
        <v>0</v>
      </c>
      <c r="W965" s="12"/>
      <c r="X965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5" t="s">
        <v>1412</v>
      </c>
      <c r="Z965" t="s">
        <v>43</v>
      </c>
      <c r="AB965" t="s">
        <v>65</v>
      </c>
      <c r="AC965" s="2">
        <v>45169</v>
      </c>
      <c r="AD965">
        <v>2023</v>
      </c>
      <c r="AE965">
        <v>16</v>
      </c>
      <c r="AF965" s="5">
        <v>0.84</v>
      </c>
      <c r="AG965" s="3" t="s">
        <v>281</v>
      </c>
    </row>
    <row r="966" spans="1:33" hidden="1" x14ac:dyDescent="0.35">
      <c r="A966" t="str">
        <f>_xlfn.CONCAT(Tableau1[[#This Row],[Athletes]],"_",Tableau1[[#This Row],[Nationality]],"_",Tableau1[[#This Row],[Competition_year]])</f>
        <v>Azeddine HABZ_FRA_2023</v>
      </c>
      <c r="B966" t="s">
        <v>218</v>
      </c>
      <c r="C966" t="s">
        <v>16</v>
      </c>
      <c r="D966" t="s">
        <v>18</v>
      </c>
      <c r="E966">
        <v>13.6</v>
      </c>
      <c r="F966">
        <v>13.8</v>
      </c>
      <c r="G966">
        <v>14.4</v>
      </c>
      <c r="H966">
        <v>14.5</v>
      </c>
      <c r="I966">
        <v>13.9</v>
      </c>
      <c r="J966">
        <v>14.1</v>
      </c>
      <c r="K966">
        <v>14.4</v>
      </c>
      <c r="L966">
        <v>14.3</v>
      </c>
      <c r="M966">
        <v>14.2</v>
      </c>
      <c r="N966">
        <v>14.1</v>
      </c>
      <c r="O966">
        <v>14.2</v>
      </c>
      <c r="P966">
        <v>14.3</v>
      </c>
      <c r="Q966">
        <v>13.7</v>
      </c>
      <c r="R966">
        <v>14.1</v>
      </c>
      <c r="S966">
        <f>Tableau1[[#This Row],[Final_time]]-SUM(Tableau1[[#This Row],[0_100m]:[1300_1400m]])</f>
        <v>13.760000000000019</v>
      </c>
      <c r="T966">
        <v>211.36</v>
      </c>
      <c r="U966">
        <f t="shared" si="30"/>
        <v>211.36</v>
      </c>
      <c r="V966">
        <f t="shared" si="31"/>
        <v>0</v>
      </c>
      <c r="W966" s="12"/>
      <c r="X966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6" t="s">
        <v>1412</v>
      </c>
      <c r="Z966" t="s">
        <v>43</v>
      </c>
      <c r="AB966" t="s">
        <v>65</v>
      </c>
      <c r="AC966" s="2">
        <v>45169</v>
      </c>
      <c r="AD966">
        <v>2023</v>
      </c>
      <c r="AE966">
        <v>16</v>
      </c>
      <c r="AF966" s="5">
        <v>0.84</v>
      </c>
      <c r="AG966" s="3" t="s">
        <v>281</v>
      </c>
    </row>
    <row r="967" spans="1:33" hidden="1" x14ac:dyDescent="0.35">
      <c r="A967" t="str">
        <f>_xlfn.CONCAT(Tableau1[[#This Row],[Athletes]],"_",Tableau1[[#This Row],[Nationality]],"_",Tableau1[[#This Row],[Competition_year]])</f>
        <v>Reynold CHERUIYOT_KEN_2023</v>
      </c>
      <c r="B967" t="s">
        <v>1192</v>
      </c>
      <c r="C967" t="s">
        <v>16</v>
      </c>
      <c r="D967" t="s">
        <v>17</v>
      </c>
      <c r="E967">
        <v>13.6</v>
      </c>
      <c r="F967">
        <v>13.4</v>
      </c>
      <c r="G967">
        <v>14.4</v>
      </c>
      <c r="H967">
        <v>14.7</v>
      </c>
      <c r="I967">
        <v>14.1</v>
      </c>
      <c r="J967">
        <v>14</v>
      </c>
      <c r="K967">
        <v>14.4</v>
      </c>
      <c r="L967">
        <v>14.5</v>
      </c>
      <c r="M967">
        <v>14</v>
      </c>
      <c r="N967">
        <v>13.9</v>
      </c>
      <c r="O967">
        <v>14.4</v>
      </c>
      <c r="P967">
        <v>14.2</v>
      </c>
      <c r="Q967">
        <v>13.8</v>
      </c>
      <c r="R967">
        <v>14.7</v>
      </c>
      <c r="S967">
        <f>Tableau1[[#This Row],[Final_time]]-SUM(Tableau1[[#This Row],[0_100m]:[1300_1400m]])</f>
        <v>13.870000000000005</v>
      </c>
      <c r="T967">
        <v>211.97</v>
      </c>
      <c r="U967">
        <f t="shared" si="30"/>
        <v>211.97</v>
      </c>
      <c r="V967">
        <f t="shared" si="31"/>
        <v>0</v>
      </c>
      <c r="W967" s="12"/>
      <c r="X967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7" t="s">
        <v>1412</v>
      </c>
      <c r="Z967" t="s">
        <v>43</v>
      </c>
      <c r="AB967" t="s">
        <v>65</v>
      </c>
      <c r="AC967" s="2">
        <v>45169</v>
      </c>
      <c r="AD967">
        <v>2023</v>
      </c>
      <c r="AE967">
        <v>16</v>
      </c>
      <c r="AF967" s="5">
        <v>0.84</v>
      </c>
      <c r="AG967" s="3" t="s">
        <v>281</v>
      </c>
    </row>
    <row r="968" spans="1:33" hidden="1" x14ac:dyDescent="0.35">
      <c r="A968" t="str">
        <f>_xlfn.CONCAT(Tableau1[[#This Row],[Athletes]],"_",Tableau1[[#This Row],[Nationality]],"_",Tableau1[[#This Row],[Competition_year]])</f>
        <v>Josh KERR_GBR_2023</v>
      </c>
      <c r="B968" t="s">
        <v>189</v>
      </c>
      <c r="C968" t="s">
        <v>16</v>
      </c>
      <c r="D968" t="s">
        <v>20</v>
      </c>
      <c r="E968">
        <v>13.3</v>
      </c>
      <c r="F968">
        <v>13.2</v>
      </c>
      <c r="G968">
        <v>14.7</v>
      </c>
      <c r="H968">
        <v>14.1</v>
      </c>
      <c r="I968">
        <v>14</v>
      </c>
      <c r="J968">
        <v>14.1</v>
      </c>
      <c r="K968">
        <v>14.5</v>
      </c>
      <c r="L968">
        <v>14.2</v>
      </c>
      <c r="M968">
        <v>13.9</v>
      </c>
      <c r="N968">
        <v>14</v>
      </c>
      <c r="O968">
        <v>14.4</v>
      </c>
      <c r="P968">
        <v>14.1</v>
      </c>
      <c r="Q968">
        <v>14.1</v>
      </c>
      <c r="R968">
        <v>14</v>
      </c>
      <c r="S968">
        <f>Tableau1[[#This Row],[Final_time]]-SUM(Tableau1[[#This Row],[0_100m]:[1300_1400m]])</f>
        <v>13.909999999999997</v>
      </c>
      <c r="T968">
        <v>210.51</v>
      </c>
      <c r="U968">
        <f t="shared" si="30"/>
        <v>210.51</v>
      </c>
      <c r="V968">
        <f t="shared" si="31"/>
        <v>0</v>
      </c>
      <c r="W968" s="12"/>
      <c r="X968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8" t="s">
        <v>1412</v>
      </c>
      <c r="Z968" t="s">
        <v>43</v>
      </c>
      <c r="AB968" t="s">
        <v>65</v>
      </c>
      <c r="AC968" s="2">
        <v>45169</v>
      </c>
      <c r="AD968">
        <v>2023</v>
      </c>
      <c r="AE968">
        <v>16</v>
      </c>
      <c r="AF968" s="5">
        <v>0.84</v>
      </c>
      <c r="AG968" s="3" t="s">
        <v>281</v>
      </c>
    </row>
    <row r="969" spans="1:33" hidden="1" x14ac:dyDescent="0.35">
      <c r="A969" t="str">
        <f>_xlfn.CONCAT(Tableau1[[#This Row],[Athletes]],"_",Tableau1[[#This Row],[Nationality]],"_",Tableau1[[#This Row],[Competition_year]])</f>
        <v>Mario GARCÍA_ESP_2023</v>
      </c>
      <c r="B969" t="s">
        <v>117</v>
      </c>
      <c r="C969" t="s">
        <v>16</v>
      </c>
      <c r="D969" t="s">
        <v>22</v>
      </c>
      <c r="E969">
        <v>13.1</v>
      </c>
      <c r="F969">
        <v>13.8</v>
      </c>
      <c r="G969">
        <v>14.8</v>
      </c>
      <c r="H969">
        <v>14.6</v>
      </c>
      <c r="I969">
        <v>14</v>
      </c>
      <c r="J969">
        <v>14.1</v>
      </c>
      <c r="K969">
        <v>14.3</v>
      </c>
      <c r="L969">
        <v>14.6</v>
      </c>
      <c r="M969">
        <v>14</v>
      </c>
      <c r="N969">
        <v>14</v>
      </c>
      <c r="O969">
        <v>14.3</v>
      </c>
      <c r="P969">
        <v>14.1</v>
      </c>
      <c r="Q969">
        <v>14</v>
      </c>
      <c r="R969">
        <v>14.2</v>
      </c>
      <c r="S969">
        <f>Tableau1[[#This Row],[Final_time]]-SUM(Tableau1[[#This Row],[0_100m]:[1300_1400m]])</f>
        <v>14.219999999999999</v>
      </c>
      <c r="T969">
        <v>212.12</v>
      </c>
      <c r="U969">
        <f t="shared" si="30"/>
        <v>212.12</v>
      </c>
      <c r="V969">
        <f t="shared" si="31"/>
        <v>0</v>
      </c>
      <c r="W969" s="12"/>
      <c r="X969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69" t="s">
        <v>1412</v>
      </c>
      <c r="Z969" t="s">
        <v>43</v>
      </c>
      <c r="AB969" t="s">
        <v>65</v>
      </c>
      <c r="AC969" s="2">
        <v>45169</v>
      </c>
      <c r="AD969">
        <v>2023</v>
      </c>
      <c r="AE969">
        <v>16</v>
      </c>
      <c r="AF969" s="5">
        <v>0.84</v>
      </c>
      <c r="AG969" s="3" t="s">
        <v>281</v>
      </c>
    </row>
    <row r="970" spans="1:33" hidden="1" x14ac:dyDescent="0.35">
      <c r="A970" t="str">
        <f>_xlfn.CONCAT(Tableau1[[#This Row],[Athletes]],"_",Tableau1[[#This Row],[Nationality]],"_",Tableau1[[#This Row],[Competition_year]])</f>
        <v>Stewart MCSWEYN_AUS_2023</v>
      </c>
      <c r="B970" t="s">
        <v>219</v>
      </c>
      <c r="C970" t="s">
        <v>16</v>
      </c>
      <c r="D970" t="s">
        <v>21</v>
      </c>
      <c r="E970">
        <v>14.3</v>
      </c>
      <c r="F970">
        <v>13.1</v>
      </c>
      <c r="G970">
        <v>13.9</v>
      </c>
      <c r="H970">
        <v>14.3</v>
      </c>
      <c r="I970">
        <v>13.9</v>
      </c>
      <c r="J970">
        <v>14.1</v>
      </c>
      <c r="K970">
        <v>14.5</v>
      </c>
      <c r="L970">
        <v>14.2</v>
      </c>
      <c r="M970">
        <v>13.9</v>
      </c>
      <c r="N970">
        <v>14</v>
      </c>
      <c r="O970">
        <v>14.4</v>
      </c>
      <c r="P970">
        <v>14.1</v>
      </c>
      <c r="Q970">
        <v>14.5</v>
      </c>
      <c r="R970">
        <v>14.5</v>
      </c>
      <c r="S970">
        <f>Tableau1[[#This Row],[Final_time]]-SUM(Tableau1[[#This Row],[0_100m]:[1300_1400m]])</f>
        <v>14.219999999999999</v>
      </c>
      <c r="T970">
        <v>211.92</v>
      </c>
      <c r="U970">
        <f t="shared" si="30"/>
        <v>211.92</v>
      </c>
      <c r="V970">
        <f t="shared" si="31"/>
        <v>0</v>
      </c>
      <c r="W970" s="12"/>
      <c r="X970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0" t="s">
        <v>1412</v>
      </c>
      <c r="Z970" t="s">
        <v>43</v>
      </c>
      <c r="AB970" t="s">
        <v>65</v>
      </c>
      <c r="AC970" s="2">
        <v>45169</v>
      </c>
      <c r="AD970">
        <v>2023</v>
      </c>
      <c r="AE970">
        <v>16</v>
      </c>
      <c r="AF970" s="5">
        <v>0.84</v>
      </c>
      <c r="AG970" s="3" t="s">
        <v>281</v>
      </c>
    </row>
    <row r="971" spans="1:33" hidden="1" x14ac:dyDescent="0.35">
      <c r="A971" t="str">
        <f>_xlfn.CONCAT(Tableau1[[#This Row],[Athletes]],"_",Tableau1[[#This Row],[Nationality]],"_",Tableau1[[#This Row],[Competition_year]])</f>
        <v>Samuel TANNER_NZL_2023</v>
      </c>
      <c r="B971" t="s">
        <v>203</v>
      </c>
      <c r="C971" t="s">
        <v>16</v>
      </c>
      <c r="D971" t="s">
        <v>118</v>
      </c>
      <c r="E971">
        <v>13.2</v>
      </c>
      <c r="F971">
        <v>13.8</v>
      </c>
      <c r="G971">
        <v>14.8</v>
      </c>
      <c r="H971">
        <v>14.8</v>
      </c>
      <c r="I971">
        <v>13.9</v>
      </c>
      <c r="J971">
        <v>14.1</v>
      </c>
      <c r="K971">
        <v>14.3</v>
      </c>
      <c r="L971">
        <v>14.6</v>
      </c>
      <c r="M971">
        <v>13.9</v>
      </c>
      <c r="N971">
        <v>14.1</v>
      </c>
      <c r="O971">
        <v>14.2</v>
      </c>
      <c r="P971">
        <v>14.2</v>
      </c>
      <c r="Q971">
        <v>13.9</v>
      </c>
      <c r="R971">
        <v>14.1</v>
      </c>
      <c r="S971">
        <f>Tableau1[[#This Row],[Final_time]]-SUM(Tableau1[[#This Row],[0_100m]:[1300_1400m]])</f>
        <v>14.260000000000019</v>
      </c>
      <c r="T971">
        <v>212.16</v>
      </c>
      <c r="U971">
        <f t="shared" si="30"/>
        <v>212.16</v>
      </c>
      <c r="V971">
        <f t="shared" si="31"/>
        <v>0</v>
      </c>
      <c r="W971" s="12"/>
      <c r="X971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1" t="s">
        <v>1412</v>
      </c>
      <c r="Z971" t="s">
        <v>43</v>
      </c>
      <c r="AB971" t="s">
        <v>65</v>
      </c>
      <c r="AC971" s="2">
        <v>45169</v>
      </c>
      <c r="AD971">
        <v>2023</v>
      </c>
      <c r="AE971">
        <v>16</v>
      </c>
      <c r="AF971" s="5">
        <v>0.84</v>
      </c>
      <c r="AG971" s="3" t="s">
        <v>281</v>
      </c>
    </row>
    <row r="972" spans="1:33" hidden="1" x14ac:dyDescent="0.35">
      <c r="A972" t="str">
        <f>_xlfn.CONCAT(Tableau1[[#This Row],[Athletes]],"_",Tableau1[[#This Row],[Nationality]],"_",Tableau1[[#This Row],[Competition_year]])</f>
        <v>Cole HOCKER_USA_2023</v>
      </c>
      <c r="B972" t="s">
        <v>215</v>
      </c>
      <c r="C972" t="s">
        <v>16</v>
      </c>
      <c r="D972" t="s">
        <v>51</v>
      </c>
      <c r="E972">
        <v>13.5</v>
      </c>
      <c r="F972">
        <v>13.5</v>
      </c>
      <c r="G972">
        <v>14.5</v>
      </c>
      <c r="H972">
        <v>14.5</v>
      </c>
      <c r="I972">
        <v>14</v>
      </c>
      <c r="J972">
        <v>13.9</v>
      </c>
      <c r="K972">
        <v>14.4</v>
      </c>
      <c r="L972">
        <v>14.3</v>
      </c>
      <c r="M972">
        <v>14.1</v>
      </c>
      <c r="N972">
        <v>14.2</v>
      </c>
      <c r="O972">
        <v>14.3</v>
      </c>
      <c r="P972">
        <v>14.1</v>
      </c>
      <c r="Q972">
        <v>14.1</v>
      </c>
      <c r="R972">
        <v>14.1</v>
      </c>
      <c r="S972">
        <f>Tableau1[[#This Row],[Final_time]]-SUM(Tableau1[[#This Row],[0_100m]:[1300_1400m]])</f>
        <v>14.5</v>
      </c>
      <c r="T972">
        <v>212</v>
      </c>
      <c r="U972">
        <f t="shared" si="30"/>
        <v>212</v>
      </c>
      <c r="V972">
        <f t="shared" si="31"/>
        <v>0</v>
      </c>
      <c r="W972" s="12"/>
      <c r="X972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2" t="s">
        <v>1412</v>
      </c>
      <c r="Z972" t="s">
        <v>43</v>
      </c>
      <c r="AB972" t="s">
        <v>65</v>
      </c>
      <c r="AC972" s="2">
        <v>45169</v>
      </c>
      <c r="AD972">
        <v>2023</v>
      </c>
      <c r="AE972">
        <v>16</v>
      </c>
      <c r="AF972" s="5">
        <v>0.84</v>
      </c>
      <c r="AG972" s="3" t="s">
        <v>281</v>
      </c>
    </row>
    <row r="973" spans="1:33" hidden="1" x14ac:dyDescent="0.35">
      <c r="A973" t="str">
        <f>_xlfn.CONCAT(Tableau1[[#This Row],[Athletes]],"_",Tableau1[[#This Row],[Nationality]],"_",Tableau1[[#This Row],[Competition_year]])</f>
        <v>Tom ELMER_SUI_2023</v>
      </c>
      <c r="B973" t="s">
        <v>199</v>
      </c>
      <c r="C973" t="s">
        <v>16</v>
      </c>
      <c r="D973" t="s">
        <v>87</v>
      </c>
      <c r="E973">
        <v>14</v>
      </c>
      <c r="F973">
        <v>13.7</v>
      </c>
      <c r="G973">
        <v>14.5</v>
      </c>
      <c r="H973">
        <v>15</v>
      </c>
      <c r="I973">
        <v>14.2</v>
      </c>
      <c r="J973">
        <v>13.9</v>
      </c>
      <c r="K973">
        <v>14.2</v>
      </c>
      <c r="L973">
        <v>14.5</v>
      </c>
      <c r="M973">
        <v>14.1</v>
      </c>
      <c r="N973">
        <v>14.3</v>
      </c>
      <c r="O973">
        <v>14.6</v>
      </c>
      <c r="P973">
        <v>14.4</v>
      </c>
      <c r="Q973">
        <v>14.7</v>
      </c>
      <c r="R973">
        <v>14.4</v>
      </c>
      <c r="S973">
        <f>Tableau1[[#This Row],[Final_time]]-SUM(Tableau1[[#This Row],[0_100m]:[1300_1400m]])</f>
        <v>14.529999999999973</v>
      </c>
      <c r="T973">
        <v>215.03</v>
      </c>
      <c r="U973">
        <f t="shared" si="30"/>
        <v>215.03</v>
      </c>
      <c r="V973">
        <f t="shared" si="31"/>
        <v>0</v>
      </c>
      <c r="W973" s="12"/>
      <c r="X973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3" t="s">
        <v>1412</v>
      </c>
      <c r="Z973" t="s">
        <v>43</v>
      </c>
      <c r="AB973" t="s">
        <v>65</v>
      </c>
      <c r="AC973" s="2">
        <v>45169</v>
      </c>
      <c r="AD973">
        <v>2023</v>
      </c>
      <c r="AE973">
        <v>16</v>
      </c>
      <c r="AF973" s="5">
        <v>0.84</v>
      </c>
      <c r="AG973" s="3" t="s">
        <v>281</v>
      </c>
    </row>
    <row r="974" spans="1:33" hidden="1" x14ac:dyDescent="0.35">
      <c r="A974" t="str">
        <f>_xlfn.CONCAT(Tableau1[[#This Row],[Athletes]],"_",Tableau1[[#This Row],[Nationality]],"_",Tableau1[[#This Row],[Competition_year]])</f>
        <v>Andrew COSCORAN_IRL_2023</v>
      </c>
      <c r="B974" t="s">
        <v>232</v>
      </c>
      <c r="C974" t="s">
        <v>16</v>
      </c>
      <c r="D974" t="s">
        <v>35</v>
      </c>
      <c r="E974">
        <v>13.9</v>
      </c>
      <c r="F974">
        <v>13.6</v>
      </c>
      <c r="G974">
        <v>14.600000000000001</v>
      </c>
      <c r="H974">
        <v>14.899999999999999</v>
      </c>
      <c r="I974">
        <v>14.299999999999997</v>
      </c>
      <c r="J974">
        <v>14.400000000000006</v>
      </c>
      <c r="K974">
        <v>14.599999999999994</v>
      </c>
      <c r="L974">
        <v>14.600000000000009</v>
      </c>
      <c r="M974">
        <v>14.599999999999994</v>
      </c>
      <c r="N974">
        <v>14.599999999999994</v>
      </c>
      <c r="O974">
        <v>14.700000000000017</v>
      </c>
      <c r="P974">
        <v>15.299999999999983</v>
      </c>
      <c r="Q974">
        <v>16.300000000000011</v>
      </c>
      <c r="R974">
        <v>16.400000000000006</v>
      </c>
      <c r="S974">
        <f>Tableau1[[#This Row],[Final_time]]-SUM(Tableau1[[#This Row],[0_100m]:[1300_1400m]])</f>
        <v>20.449999999999989</v>
      </c>
      <c r="T974">
        <v>227.25</v>
      </c>
      <c r="U974">
        <f t="shared" si="30"/>
        <v>227.25</v>
      </c>
      <c r="V974">
        <f t="shared" si="31"/>
        <v>0</v>
      </c>
      <c r="W974" s="12"/>
      <c r="X974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4" t="s">
        <v>1412</v>
      </c>
      <c r="Z974" t="s">
        <v>43</v>
      </c>
      <c r="AB974" t="s">
        <v>65</v>
      </c>
      <c r="AC974" s="2">
        <v>45169</v>
      </c>
      <c r="AD974">
        <v>2023</v>
      </c>
      <c r="AE974">
        <v>16</v>
      </c>
      <c r="AF974" s="5">
        <v>0.84</v>
      </c>
      <c r="AG974" s="3" t="s">
        <v>281</v>
      </c>
    </row>
    <row r="975" spans="1:33" hidden="1" x14ac:dyDescent="0.35">
      <c r="A975" t="str">
        <f>_xlfn.CONCAT(Tableau1[[#This Row],[Athletes]],"_",Tableau1[[#This Row],[Nationality]],"_",Tableau1[[#This Row],[Competition_year]])</f>
        <v>Mohamed KATIR_ESP_2023</v>
      </c>
      <c r="B975" t="s">
        <v>149</v>
      </c>
      <c r="C975" t="s">
        <v>16</v>
      </c>
      <c r="D975" t="s">
        <v>22</v>
      </c>
      <c r="E975">
        <v>14.3</v>
      </c>
      <c r="F975">
        <v>13.7</v>
      </c>
      <c r="G975">
        <v>14.399999999999999</v>
      </c>
      <c r="H975">
        <v>14.800000000000004</v>
      </c>
      <c r="I975">
        <v>13.899999999999991</v>
      </c>
      <c r="J975">
        <v>14.100000000000009</v>
      </c>
      <c r="K975">
        <v>14.099999999999994</v>
      </c>
      <c r="L975">
        <v>14.400000000000006</v>
      </c>
      <c r="M975">
        <v>14.399999999999991</v>
      </c>
      <c r="N975">
        <v>14.400000000000006</v>
      </c>
      <c r="O975">
        <v>14.400000000000006</v>
      </c>
      <c r="P975">
        <v>14.299999999999983</v>
      </c>
      <c r="Q975">
        <v>14.200000000000017</v>
      </c>
      <c r="R975">
        <v>14.199999999999989</v>
      </c>
      <c r="S975">
        <f>Tableau1[[#This Row],[Final_time]]-SUM(Tableau1[[#This Row],[0_100m]:[1300_1400m]])</f>
        <v>20.510000000000019</v>
      </c>
      <c r="T975">
        <v>220.11</v>
      </c>
      <c r="U975">
        <f t="shared" si="30"/>
        <v>220.11</v>
      </c>
      <c r="V975">
        <f t="shared" si="31"/>
        <v>0</v>
      </c>
      <c r="W975" s="12"/>
      <c r="X975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5" t="s">
        <v>1412</v>
      </c>
      <c r="Z975" t="s">
        <v>43</v>
      </c>
      <c r="AB975" t="s">
        <v>65</v>
      </c>
      <c r="AC975" s="2">
        <v>45169</v>
      </c>
      <c r="AD975">
        <v>2023</v>
      </c>
      <c r="AE975">
        <v>16</v>
      </c>
      <c r="AF975" s="5">
        <v>0.84</v>
      </c>
      <c r="AG975" s="3" t="s">
        <v>281</v>
      </c>
    </row>
    <row r="976" spans="1:33" hidden="1" x14ac:dyDescent="0.35">
      <c r="A976" t="str">
        <f>_xlfn.CONCAT(Tableau1[[#This Row],[Athletes]],"_",Tableau1[[#This Row],[Nationality]],"_",Tableau1[[#This Row],[Competition_year]])</f>
        <v>Abel KIPSANG_KEN_2023</v>
      </c>
      <c r="B976" t="s">
        <v>227</v>
      </c>
      <c r="C976" t="s">
        <v>16</v>
      </c>
      <c r="D976" t="s">
        <v>17</v>
      </c>
      <c r="T976">
        <v>210.85</v>
      </c>
      <c r="U976">
        <f t="shared" si="30"/>
        <v>0</v>
      </c>
      <c r="V976">
        <f t="shared" si="31"/>
        <v>210.85</v>
      </c>
      <c r="W976" s="12"/>
      <c r="X976" t="str">
        <f>_xlfn.CONCAT(Tableau1[[#This Row],[Competition]],"_",Tableau1[[#This Row],[Championship_step]],"_",Tableau1[[#This Row],[Competition_date]],"_",Tableau1[[#This Row],[Gender]])</f>
        <v>Diamond League Zurich 2023__45169_Male</v>
      </c>
      <c r="Y976" t="s">
        <v>1412</v>
      </c>
      <c r="Z976" t="s">
        <v>43</v>
      </c>
      <c r="AB976" t="s">
        <v>65</v>
      </c>
      <c r="AC976" s="2">
        <v>45169</v>
      </c>
      <c r="AD976">
        <v>2023</v>
      </c>
      <c r="AE976">
        <v>16</v>
      </c>
      <c r="AF976" s="5">
        <v>0.84</v>
      </c>
      <c r="AG976" s="3" t="s">
        <v>281</v>
      </c>
    </row>
    <row r="977" spans="1:34" hidden="1" x14ac:dyDescent="0.35">
      <c r="A977" t="str">
        <f>_xlfn.CONCAT(Tableau1[[#This Row],[Athletes]],"_",Tableau1[[#This Row],[Nationality]],"_",Tableau1[[#This Row],[Competition_year]])</f>
        <v>Yared NUGUSE_USA_2024</v>
      </c>
      <c r="B977" t="s">
        <v>228</v>
      </c>
      <c r="C977" t="s">
        <v>16</v>
      </c>
      <c r="D977" t="s">
        <v>51</v>
      </c>
      <c r="E977">
        <v>14.1</v>
      </c>
      <c r="F977">
        <v>14.1</v>
      </c>
      <c r="G977">
        <v>14</v>
      </c>
      <c r="H977">
        <v>14.4</v>
      </c>
      <c r="I977">
        <v>14</v>
      </c>
      <c r="J977">
        <v>13.7</v>
      </c>
      <c r="K977">
        <v>13.9</v>
      </c>
      <c r="L977">
        <v>14</v>
      </c>
      <c r="M977">
        <v>14</v>
      </c>
      <c r="N977">
        <v>13.8</v>
      </c>
      <c r="O977">
        <v>14.1</v>
      </c>
      <c r="P977">
        <v>14.3</v>
      </c>
      <c r="Q977">
        <v>14</v>
      </c>
      <c r="R977">
        <v>13.7</v>
      </c>
      <c r="S977">
        <f>Tableau1[[#This Row],[Final_time]]-SUM(Tableau1[[#This Row],[0_100m]:[1300_1400m]])</f>
        <v>13.110000000000014</v>
      </c>
      <c r="T977">
        <v>209.21</v>
      </c>
      <c r="U977">
        <f t="shared" si="30"/>
        <v>209.21</v>
      </c>
      <c r="V977">
        <f t="shared" si="31"/>
        <v>0</v>
      </c>
      <c r="W977" s="12"/>
      <c r="X977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77" t="s">
        <v>93</v>
      </c>
      <c r="Z977" s="2" t="s">
        <v>43</v>
      </c>
      <c r="AA977" s="2"/>
      <c r="AB977" s="2" t="s">
        <v>65</v>
      </c>
      <c r="AC977" s="2">
        <v>45540</v>
      </c>
      <c r="AD977" s="3">
        <v>2024</v>
      </c>
      <c r="AE977" s="3">
        <v>16</v>
      </c>
      <c r="AF977" s="5">
        <v>0.97</v>
      </c>
      <c r="AG977" s="3" t="s">
        <v>94</v>
      </c>
      <c r="AH977" t="s">
        <v>95</v>
      </c>
    </row>
    <row r="978" spans="1:34" hidden="1" x14ac:dyDescent="0.35">
      <c r="A978" t="str">
        <f>_xlfn.CONCAT(Tableau1[[#This Row],[Athletes]],"_",Tableau1[[#This Row],[Nationality]],"_",Tableau1[[#This Row],[Competition_year]])</f>
        <v>Jakob INGEBRIGTSEN_NOR_2024</v>
      </c>
      <c r="B978" t="s">
        <v>151</v>
      </c>
      <c r="C978" t="s">
        <v>16</v>
      </c>
      <c r="D978" t="s">
        <v>30</v>
      </c>
      <c r="E978">
        <v>13.9</v>
      </c>
      <c r="F978">
        <v>14</v>
      </c>
      <c r="G978">
        <v>14.2</v>
      </c>
      <c r="H978">
        <v>14.3</v>
      </c>
      <c r="I978">
        <v>14</v>
      </c>
      <c r="J978">
        <v>13.7</v>
      </c>
      <c r="K978">
        <v>13.8</v>
      </c>
      <c r="L978">
        <v>14.1</v>
      </c>
      <c r="M978">
        <v>14</v>
      </c>
      <c r="N978">
        <v>13.8</v>
      </c>
      <c r="O978">
        <v>14.1</v>
      </c>
      <c r="P978">
        <v>14.3</v>
      </c>
      <c r="Q978">
        <v>14.1</v>
      </c>
      <c r="R978">
        <v>13.7</v>
      </c>
      <c r="S978">
        <f>Tableau1[[#This Row],[Final_time]]-SUM(Tableau1[[#This Row],[0_100m]:[1300_1400m]])</f>
        <v>13.520000000000039</v>
      </c>
      <c r="T978">
        <v>209.52</v>
      </c>
      <c r="U978">
        <f t="shared" si="30"/>
        <v>209.52</v>
      </c>
      <c r="V978">
        <f t="shared" si="31"/>
        <v>0</v>
      </c>
      <c r="W978" s="12"/>
      <c r="X978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78" t="s">
        <v>93</v>
      </c>
      <c r="Z978" s="2" t="s">
        <v>43</v>
      </c>
      <c r="AA978" s="2"/>
      <c r="AB978" s="2" t="s">
        <v>65</v>
      </c>
      <c r="AC978" s="2">
        <v>45540</v>
      </c>
      <c r="AD978" s="3">
        <v>2024</v>
      </c>
      <c r="AE978" s="3">
        <v>16</v>
      </c>
      <c r="AF978" s="5">
        <v>0.97</v>
      </c>
      <c r="AG978" s="3" t="s">
        <v>94</v>
      </c>
      <c r="AH978" t="s">
        <v>95</v>
      </c>
    </row>
    <row r="979" spans="1:34" hidden="1" x14ac:dyDescent="0.35">
      <c r="A979" t="str">
        <f>_xlfn.CONCAT(Tableau1[[#This Row],[Athletes]],"_",Tableau1[[#This Row],[Nationality]],"_",Tableau1[[#This Row],[Competition_year]])</f>
        <v>Cole HOCKER_USA_2024</v>
      </c>
      <c r="B979" t="s">
        <v>215</v>
      </c>
      <c r="C979" t="s">
        <v>16</v>
      </c>
      <c r="D979" t="s">
        <v>51</v>
      </c>
      <c r="E979">
        <v>14.1</v>
      </c>
      <c r="F979">
        <v>14.5</v>
      </c>
      <c r="G979">
        <v>14.1</v>
      </c>
      <c r="H979">
        <v>14.4</v>
      </c>
      <c r="I979">
        <v>13.9</v>
      </c>
      <c r="J979">
        <v>13.8</v>
      </c>
      <c r="K979">
        <v>13.9</v>
      </c>
      <c r="L979">
        <v>13.9</v>
      </c>
      <c r="M979">
        <v>14.1</v>
      </c>
      <c r="N979">
        <v>14</v>
      </c>
      <c r="O979">
        <v>14.2</v>
      </c>
      <c r="P979">
        <v>14.2</v>
      </c>
      <c r="Q979">
        <v>14.1</v>
      </c>
      <c r="R979">
        <v>13.7</v>
      </c>
      <c r="S979">
        <f>Tableau1[[#This Row],[Final_time]]-SUM(Tableau1[[#This Row],[0_100m]:[1300_1400m]])</f>
        <v>13.560000000000059</v>
      </c>
      <c r="T979">
        <v>210.46</v>
      </c>
      <c r="U979">
        <f t="shared" si="30"/>
        <v>210.46</v>
      </c>
      <c r="V979">
        <f t="shared" si="31"/>
        <v>0</v>
      </c>
      <c r="W979" s="12"/>
      <c r="X979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79" t="s">
        <v>93</v>
      </c>
      <c r="Z979" s="2" t="s">
        <v>43</v>
      </c>
      <c r="AA979" s="2"/>
      <c r="AB979" s="2" t="s">
        <v>65</v>
      </c>
      <c r="AC979" s="2">
        <v>45540</v>
      </c>
      <c r="AD979" s="3">
        <v>2024</v>
      </c>
      <c r="AE979" s="3">
        <v>16</v>
      </c>
      <c r="AF979" s="5">
        <v>0.97</v>
      </c>
      <c r="AG979" s="3" t="s">
        <v>94</v>
      </c>
      <c r="AH979" t="s">
        <v>95</v>
      </c>
    </row>
    <row r="980" spans="1:34" hidden="1" x14ac:dyDescent="0.35">
      <c r="A980" t="str">
        <f>_xlfn.CONCAT(Tableau1[[#This Row],[Athletes]],"_",Tableau1[[#This Row],[Nationality]],"_",Tableau1[[#This Row],[Competition_year]])</f>
        <v>Niels LAROS_NED_2024</v>
      </c>
      <c r="B980" t="s">
        <v>214</v>
      </c>
      <c r="C980" t="s">
        <v>16</v>
      </c>
      <c r="D980" t="s">
        <v>39</v>
      </c>
      <c r="E980">
        <v>14.2</v>
      </c>
      <c r="F980">
        <v>14.6</v>
      </c>
      <c r="G980">
        <v>14.1</v>
      </c>
      <c r="H980">
        <v>14.4</v>
      </c>
      <c r="I980">
        <v>13.9</v>
      </c>
      <c r="J980">
        <v>13.9</v>
      </c>
      <c r="K980">
        <v>13.8</v>
      </c>
      <c r="L980">
        <v>14.2</v>
      </c>
      <c r="M980">
        <v>14.2</v>
      </c>
      <c r="N980">
        <v>13.8</v>
      </c>
      <c r="O980">
        <v>14.2</v>
      </c>
      <c r="P980">
        <v>14</v>
      </c>
      <c r="Q980">
        <v>14.1</v>
      </c>
      <c r="R980">
        <v>13.8</v>
      </c>
      <c r="S980">
        <f>Tableau1[[#This Row],[Final_time]]-SUM(Tableau1[[#This Row],[0_100m]:[1300_1400m]])</f>
        <v>14.029999999999973</v>
      </c>
      <c r="T980">
        <v>211.23</v>
      </c>
      <c r="U980">
        <f t="shared" si="30"/>
        <v>211.23</v>
      </c>
      <c r="V980">
        <f t="shared" si="31"/>
        <v>0</v>
      </c>
      <c r="W980" s="12"/>
      <c r="X980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0" t="s">
        <v>93</v>
      </c>
      <c r="Z980" s="2" t="s">
        <v>43</v>
      </c>
      <c r="AA980" s="2"/>
      <c r="AB980" s="2" t="s">
        <v>65</v>
      </c>
      <c r="AC980" s="2">
        <v>45540</v>
      </c>
      <c r="AD980" s="3">
        <v>2024</v>
      </c>
      <c r="AE980" s="3">
        <v>16</v>
      </c>
      <c r="AF980" s="5">
        <v>0.97</v>
      </c>
      <c r="AG980" s="3" t="s">
        <v>94</v>
      </c>
      <c r="AH980" t="s">
        <v>95</v>
      </c>
    </row>
    <row r="981" spans="1:34" hidden="1" x14ac:dyDescent="0.35">
      <c r="A981" t="str">
        <f>_xlfn.CONCAT(Tableau1[[#This Row],[Athletes]],"_",Tableau1[[#This Row],[Nationality]],"_",Tableau1[[#This Row],[Competition_year]])</f>
        <v>Josh KERR_GBR_2024</v>
      </c>
      <c r="B981" t="s">
        <v>189</v>
      </c>
      <c r="C981" t="s">
        <v>16</v>
      </c>
      <c r="D981" t="s">
        <v>20</v>
      </c>
      <c r="E981">
        <v>14.1</v>
      </c>
      <c r="F981">
        <v>14.3</v>
      </c>
      <c r="G981">
        <v>14.1</v>
      </c>
      <c r="H981">
        <v>14.4</v>
      </c>
      <c r="I981">
        <v>13.9</v>
      </c>
      <c r="J981">
        <v>13.8</v>
      </c>
      <c r="K981">
        <v>13.8</v>
      </c>
      <c r="L981">
        <v>14</v>
      </c>
      <c r="M981">
        <v>14.1</v>
      </c>
      <c r="N981">
        <v>14</v>
      </c>
      <c r="O981">
        <v>14.2</v>
      </c>
      <c r="P981">
        <v>14.2</v>
      </c>
      <c r="Q981">
        <v>14</v>
      </c>
      <c r="R981">
        <v>14.2</v>
      </c>
      <c r="S981">
        <f>Tableau1[[#This Row],[Final_time]]-SUM(Tableau1[[#This Row],[0_100m]:[1300_1400m]])</f>
        <v>14.360000000000042</v>
      </c>
      <c r="T981">
        <v>211.46</v>
      </c>
      <c r="U981">
        <f t="shared" si="30"/>
        <v>211.46</v>
      </c>
      <c r="V981">
        <f t="shared" si="31"/>
        <v>0</v>
      </c>
      <c r="W981" s="12"/>
      <c r="X981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1" t="s">
        <v>93</v>
      </c>
      <c r="Z981" s="2" t="s">
        <v>43</v>
      </c>
      <c r="AA981" s="2"/>
      <c r="AB981" s="2" t="s">
        <v>65</v>
      </c>
      <c r="AC981" s="2">
        <v>45540</v>
      </c>
      <c r="AD981" s="3">
        <v>2024</v>
      </c>
      <c r="AE981" s="3">
        <v>16</v>
      </c>
      <c r="AF981" s="5">
        <v>0.97</v>
      </c>
      <c r="AG981" s="3" t="s">
        <v>94</v>
      </c>
      <c r="AH981" t="s">
        <v>95</v>
      </c>
    </row>
    <row r="982" spans="1:34" hidden="1" x14ac:dyDescent="0.35">
      <c r="A982" t="str">
        <f>_xlfn.CONCAT(Tableau1[[#This Row],[Athletes]],"_",Tableau1[[#This Row],[Nationality]],"_",Tableau1[[#This Row],[Competition_year]])</f>
        <v>Reynold CHERUIYOT_KEN_2024</v>
      </c>
      <c r="B982" t="s">
        <v>1192</v>
      </c>
      <c r="C982" t="s">
        <v>16</v>
      </c>
      <c r="D982" t="s">
        <v>17</v>
      </c>
      <c r="E982">
        <v>14.6</v>
      </c>
      <c r="F982">
        <v>14.3</v>
      </c>
      <c r="G982">
        <v>13.9</v>
      </c>
      <c r="H982">
        <v>14.5</v>
      </c>
      <c r="I982">
        <v>14.2</v>
      </c>
      <c r="J982">
        <v>14.1</v>
      </c>
      <c r="K982">
        <v>14.2</v>
      </c>
      <c r="L982">
        <v>14.5</v>
      </c>
      <c r="M982">
        <v>14.3</v>
      </c>
      <c r="N982">
        <v>14.4</v>
      </c>
      <c r="O982">
        <v>14.4</v>
      </c>
      <c r="P982">
        <v>14.2</v>
      </c>
      <c r="Q982">
        <v>13.9</v>
      </c>
      <c r="R982">
        <v>13.7</v>
      </c>
      <c r="S982">
        <f>Tableau1[[#This Row],[Final_time]]-SUM(Tableau1[[#This Row],[0_100m]:[1300_1400m]])</f>
        <v>12.950000000000017</v>
      </c>
      <c r="T982">
        <v>212.15</v>
      </c>
      <c r="U982">
        <f t="shared" si="30"/>
        <v>212.15</v>
      </c>
      <c r="V982">
        <f t="shared" si="31"/>
        <v>0</v>
      </c>
      <c r="W982" s="12"/>
      <c r="X982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2" t="s">
        <v>93</v>
      </c>
      <c r="Z982" s="2" t="s">
        <v>43</v>
      </c>
      <c r="AA982" s="2"/>
      <c r="AB982" s="2" t="s">
        <v>65</v>
      </c>
      <c r="AC982" s="2">
        <v>45540</v>
      </c>
      <c r="AD982" s="3">
        <v>2024</v>
      </c>
      <c r="AE982" s="3">
        <v>16</v>
      </c>
      <c r="AF982" s="5">
        <v>0.97</v>
      </c>
      <c r="AG982" s="3" t="s">
        <v>94</v>
      </c>
      <c r="AH982" t="s">
        <v>95</v>
      </c>
    </row>
    <row r="983" spans="1:34" hidden="1" x14ac:dyDescent="0.35">
      <c r="A983" t="str">
        <f>_xlfn.CONCAT(Tableau1[[#This Row],[Athletes]],"_",Tableau1[[#This Row],[Nationality]],"_",Tableau1[[#This Row],[Competition_year]])</f>
        <v>Azeddine HABZ_FRA_2024</v>
      </c>
      <c r="B983" t="s">
        <v>218</v>
      </c>
      <c r="C983" t="s">
        <v>16</v>
      </c>
      <c r="D983" t="s">
        <v>18</v>
      </c>
      <c r="E983">
        <v>14.8</v>
      </c>
      <c r="F983">
        <v>14.5</v>
      </c>
      <c r="G983">
        <v>13.8</v>
      </c>
      <c r="H983">
        <v>14.5</v>
      </c>
      <c r="I983">
        <v>14</v>
      </c>
      <c r="J983">
        <v>13.9</v>
      </c>
      <c r="K983">
        <v>13.9</v>
      </c>
      <c r="L983">
        <v>14.1</v>
      </c>
      <c r="M983">
        <v>14.2</v>
      </c>
      <c r="N983">
        <v>14.3</v>
      </c>
      <c r="O983">
        <v>14.4</v>
      </c>
      <c r="P983">
        <v>14.2</v>
      </c>
      <c r="Q983">
        <v>14.3</v>
      </c>
      <c r="R983">
        <v>13.9</v>
      </c>
      <c r="S983">
        <f>Tableau1[[#This Row],[Final_time]]-SUM(Tableau1[[#This Row],[0_100m]:[1300_1400m]])</f>
        <v>13.589999999999975</v>
      </c>
      <c r="T983">
        <v>212.39</v>
      </c>
      <c r="U983">
        <f t="shared" si="30"/>
        <v>212.39</v>
      </c>
      <c r="V983">
        <f t="shared" si="31"/>
        <v>0</v>
      </c>
      <c r="W983" s="12"/>
      <c r="X983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3" t="s">
        <v>93</v>
      </c>
      <c r="Z983" s="2" t="s">
        <v>43</v>
      </c>
      <c r="AA983" s="2"/>
      <c r="AB983" s="2" t="s">
        <v>65</v>
      </c>
      <c r="AC983" s="2">
        <v>45540</v>
      </c>
      <c r="AD983" s="3">
        <v>2024</v>
      </c>
      <c r="AE983" s="3">
        <v>16</v>
      </c>
      <c r="AF983" s="5">
        <v>0.97</v>
      </c>
      <c r="AG983" s="3" t="s">
        <v>94</v>
      </c>
      <c r="AH983" t="s">
        <v>95</v>
      </c>
    </row>
    <row r="984" spans="1:34" hidden="1" x14ac:dyDescent="0.35">
      <c r="A984" t="str">
        <f>_xlfn.CONCAT(Tableau1[[#This Row],[Athletes]],"_",Tableau1[[#This Row],[Nationality]],"_",Tableau1[[#This Row],[Competition_year]])</f>
        <v>Robert FARKEN_GER_2024</v>
      </c>
      <c r="B984" t="s">
        <v>342</v>
      </c>
      <c r="C984" t="s">
        <v>16</v>
      </c>
      <c r="D984" t="s">
        <v>34</v>
      </c>
      <c r="E984">
        <v>14.4</v>
      </c>
      <c r="F984">
        <v>14.9</v>
      </c>
      <c r="G984">
        <v>14.1</v>
      </c>
      <c r="H984">
        <v>14.6</v>
      </c>
      <c r="I984">
        <v>14</v>
      </c>
      <c r="J984">
        <v>14</v>
      </c>
      <c r="K984">
        <v>13.8</v>
      </c>
      <c r="L984">
        <v>14</v>
      </c>
      <c r="M984">
        <v>14.2</v>
      </c>
      <c r="N984">
        <v>14.3</v>
      </c>
      <c r="O984">
        <v>14.3</v>
      </c>
      <c r="P984">
        <v>14.2</v>
      </c>
      <c r="Q984">
        <v>13.9</v>
      </c>
      <c r="R984">
        <v>13.9</v>
      </c>
      <c r="S984">
        <f>Tableau1[[#This Row],[Final_time]]-SUM(Tableau1[[#This Row],[0_100m]:[1300_1400m]])</f>
        <v>14.349999999999966</v>
      </c>
      <c r="T984">
        <v>212.95</v>
      </c>
      <c r="U984">
        <f t="shared" si="30"/>
        <v>212.95</v>
      </c>
      <c r="V984">
        <f t="shared" si="31"/>
        <v>0</v>
      </c>
      <c r="W984" s="12"/>
      <c r="X984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4" t="s">
        <v>93</v>
      </c>
      <c r="Z984" s="2" t="s">
        <v>43</v>
      </c>
      <c r="AA984" s="2"/>
      <c r="AB984" s="2" t="s">
        <v>65</v>
      </c>
      <c r="AC984" s="2">
        <v>45540</v>
      </c>
      <c r="AD984" s="3">
        <v>2024</v>
      </c>
      <c r="AE984" s="3">
        <v>16</v>
      </c>
      <c r="AF984" s="5">
        <v>0.97</v>
      </c>
      <c r="AG984" s="3" t="s">
        <v>94</v>
      </c>
      <c r="AH984" t="s">
        <v>95</v>
      </c>
    </row>
    <row r="985" spans="1:34" hidden="1" x14ac:dyDescent="0.35">
      <c r="A985" t="str">
        <f>_xlfn.CONCAT(Tableau1[[#This Row],[Athletes]],"_",Tableau1[[#This Row],[Nationality]],"_",Tableau1[[#This Row],[Competition_year]])</f>
        <v>Jochem VERMEULEN_BEL_2024</v>
      </c>
      <c r="B985" t="s">
        <v>235</v>
      </c>
      <c r="C985" t="s">
        <v>16</v>
      </c>
      <c r="D985" t="s">
        <v>86</v>
      </c>
      <c r="E985">
        <v>14.3</v>
      </c>
      <c r="F985">
        <v>14.8</v>
      </c>
      <c r="G985">
        <v>14.2</v>
      </c>
      <c r="H985">
        <v>14.4</v>
      </c>
      <c r="I985">
        <v>14</v>
      </c>
      <c r="J985">
        <v>14.2</v>
      </c>
      <c r="K985">
        <v>14.1</v>
      </c>
      <c r="L985">
        <v>14</v>
      </c>
      <c r="M985">
        <v>14.2</v>
      </c>
      <c r="N985">
        <v>14.3</v>
      </c>
      <c r="O985">
        <v>14.3</v>
      </c>
      <c r="P985">
        <v>14.2</v>
      </c>
      <c r="Q985">
        <v>14.1</v>
      </c>
      <c r="R985">
        <v>14</v>
      </c>
      <c r="S985">
        <f>Tableau1[[#This Row],[Final_time]]-SUM(Tableau1[[#This Row],[0_100m]:[1300_1400m]])</f>
        <v>13.969999999999999</v>
      </c>
      <c r="T985">
        <v>213.07</v>
      </c>
      <c r="U985">
        <f t="shared" si="30"/>
        <v>213.07</v>
      </c>
      <c r="V985">
        <f t="shared" si="31"/>
        <v>0</v>
      </c>
      <c r="W985" s="12"/>
      <c r="X985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5" t="s">
        <v>93</v>
      </c>
      <c r="Z985" s="2" t="s">
        <v>43</v>
      </c>
      <c r="AA985" s="2"/>
      <c r="AB985" s="2" t="s">
        <v>65</v>
      </c>
      <c r="AC985" s="2">
        <v>45540</v>
      </c>
      <c r="AD985" s="3">
        <v>2024</v>
      </c>
      <c r="AE985" s="3">
        <v>16</v>
      </c>
      <c r="AF985" s="5">
        <v>0.97</v>
      </c>
      <c r="AG985" s="3" t="s">
        <v>94</v>
      </c>
      <c r="AH985" t="s">
        <v>95</v>
      </c>
    </row>
    <row r="986" spans="1:34" hidden="1" x14ac:dyDescent="0.35">
      <c r="A986" t="str">
        <f>_xlfn.CONCAT(Tableau1[[#This Row],[Athletes]],"_",Tableau1[[#This Row],[Nationality]],"_",Tableau1[[#This Row],[Competition_year]])</f>
        <v>Stefan NILLESSEN_NED_2024</v>
      </c>
      <c r="B986" t="s">
        <v>1262</v>
      </c>
      <c r="C986" t="s">
        <v>16</v>
      </c>
      <c r="D986" t="s">
        <v>39</v>
      </c>
      <c r="E986">
        <v>14.5</v>
      </c>
      <c r="F986">
        <v>14.9</v>
      </c>
      <c r="G986">
        <v>14.2</v>
      </c>
      <c r="H986">
        <v>14.5</v>
      </c>
      <c r="I986">
        <v>14.2</v>
      </c>
      <c r="J986">
        <v>14.2</v>
      </c>
      <c r="K986">
        <v>14</v>
      </c>
      <c r="L986">
        <v>14.4</v>
      </c>
      <c r="M986">
        <v>14</v>
      </c>
      <c r="N986">
        <v>13.9</v>
      </c>
      <c r="O986">
        <v>14.3</v>
      </c>
      <c r="P986">
        <v>14</v>
      </c>
      <c r="Q986">
        <v>14.2</v>
      </c>
      <c r="R986">
        <v>14.2</v>
      </c>
      <c r="S986">
        <f>Tableau1[[#This Row],[Final_time]]-SUM(Tableau1[[#This Row],[0_100m]:[1300_1400m]])</f>
        <v>13.580000000000013</v>
      </c>
      <c r="T986">
        <v>213.08</v>
      </c>
      <c r="U986">
        <f t="shared" si="30"/>
        <v>213.08</v>
      </c>
      <c r="V986">
        <f t="shared" si="31"/>
        <v>0</v>
      </c>
      <c r="W986" s="12"/>
      <c r="X986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6" t="s">
        <v>93</v>
      </c>
      <c r="Z986" s="2" t="s">
        <v>43</v>
      </c>
      <c r="AA986" s="2"/>
      <c r="AB986" s="2" t="s">
        <v>65</v>
      </c>
      <c r="AC986" s="2">
        <v>45540</v>
      </c>
      <c r="AD986" s="3">
        <v>2024</v>
      </c>
      <c r="AE986" s="3">
        <v>16</v>
      </c>
      <c r="AF986" s="5">
        <v>0.97</v>
      </c>
      <c r="AG986" s="3" t="s">
        <v>94</v>
      </c>
      <c r="AH986" t="s">
        <v>95</v>
      </c>
    </row>
    <row r="987" spans="1:34" hidden="1" x14ac:dyDescent="0.35">
      <c r="A987" t="str">
        <f>_xlfn.CONCAT(Tableau1[[#This Row],[Athletes]],"_",Tableau1[[#This Row],[Nationality]],"_",Tableau1[[#This Row],[Competition_year]])</f>
        <v>Timothy CHERUIYOT_KEN_2024</v>
      </c>
      <c r="B987" t="s">
        <v>205</v>
      </c>
      <c r="C987" t="s">
        <v>16</v>
      </c>
      <c r="D987" t="s">
        <v>17</v>
      </c>
      <c r="E987">
        <v>14.3</v>
      </c>
      <c r="F987">
        <v>14.3</v>
      </c>
      <c r="G987">
        <v>14</v>
      </c>
      <c r="H987">
        <v>14.4</v>
      </c>
      <c r="I987">
        <v>13.9</v>
      </c>
      <c r="J987">
        <v>13.9</v>
      </c>
      <c r="K987">
        <v>14</v>
      </c>
      <c r="L987">
        <v>14.1</v>
      </c>
      <c r="M987">
        <v>14.2</v>
      </c>
      <c r="N987">
        <v>14.6</v>
      </c>
      <c r="O987">
        <v>15.1</v>
      </c>
      <c r="P987">
        <v>14.5</v>
      </c>
      <c r="Q987">
        <v>14.3</v>
      </c>
      <c r="R987">
        <v>13.9</v>
      </c>
      <c r="S987">
        <f>Tableau1[[#This Row],[Final_time]]-SUM(Tableau1[[#This Row],[0_100m]:[1300_1400m]])</f>
        <v>13.629999999999967</v>
      </c>
      <c r="T987">
        <v>213.13</v>
      </c>
      <c r="U987">
        <f t="shared" si="30"/>
        <v>213.13</v>
      </c>
      <c r="V987">
        <f t="shared" si="31"/>
        <v>0</v>
      </c>
      <c r="W987" s="12"/>
      <c r="X987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7" t="s">
        <v>93</v>
      </c>
      <c r="Z987" s="2" t="s">
        <v>43</v>
      </c>
      <c r="AA987" s="2"/>
      <c r="AB987" s="2" t="s">
        <v>65</v>
      </c>
      <c r="AC987" s="2">
        <v>45540</v>
      </c>
      <c r="AD987" s="3">
        <v>2024</v>
      </c>
      <c r="AE987" s="3">
        <v>16</v>
      </c>
      <c r="AF987" s="5">
        <v>0.97</v>
      </c>
      <c r="AG987" s="3" t="s">
        <v>94</v>
      </c>
      <c r="AH987" t="s">
        <v>95</v>
      </c>
    </row>
    <row r="988" spans="1:34" hidden="1" x14ac:dyDescent="0.35">
      <c r="A988" t="str">
        <f>_xlfn.CONCAT(Tableau1[[#This Row],[Athletes]],"_",Tableau1[[#This Row],[Nationality]],"_",Tableau1[[#This Row],[Competition_year]])</f>
        <v>Narve Gilje NORDÅS_NOR_2024</v>
      </c>
      <c r="B988" t="s">
        <v>217</v>
      </c>
      <c r="C988" t="s">
        <v>16</v>
      </c>
      <c r="D988" t="s">
        <v>30</v>
      </c>
      <c r="E988">
        <v>14.8</v>
      </c>
      <c r="F988">
        <v>14.8</v>
      </c>
      <c r="G988">
        <v>14.2</v>
      </c>
      <c r="H988">
        <v>14.6</v>
      </c>
      <c r="I988">
        <v>14.1</v>
      </c>
      <c r="J988">
        <v>14.4</v>
      </c>
      <c r="K988">
        <v>14.1</v>
      </c>
      <c r="L988">
        <v>14.4</v>
      </c>
      <c r="M988">
        <v>13.9</v>
      </c>
      <c r="N988">
        <v>13.9</v>
      </c>
      <c r="O988">
        <v>13.8</v>
      </c>
      <c r="P988">
        <v>13.9</v>
      </c>
      <c r="Q988">
        <v>14</v>
      </c>
      <c r="R988">
        <v>14.3</v>
      </c>
      <c r="S988">
        <f>Tableau1[[#This Row],[Final_time]]-SUM(Tableau1[[#This Row],[0_100m]:[1300_1400m]])</f>
        <v>15.109999999999957</v>
      </c>
      <c r="T988">
        <v>214.31</v>
      </c>
      <c r="U988">
        <f t="shared" si="30"/>
        <v>214.31</v>
      </c>
      <c r="V988">
        <f t="shared" si="31"/>
        <v>0</v>
      </c>
      <c r="W988" s="12"/>
      <c r="X988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8" t="s">
        <v>93</v>
      </c>
      <c r="Z988" s="2" t="s">
        <v>43</v>
      </c>
      <c r="AA988" s="2"/>
      <c r="AB988" s="2" t="s">
        <v>65</v>
      </c>
      <c r="AC988" s="2">
        <v>45540</v>
      </c>
      <c r="AD988" s="3">
        <v>2024</v>
      </c>
      <c r="AE988" s="3">
        <v>16</v>
      </c>
      <c r="AF988" s="5">
        <v>0.97</v>
      </c>
      <c r="AG988" s="3" t="s">
        <v>94</v>
      </c>
      <c r="AH988" t="s">
        <v>95</v>
      </c>
    </row>
    <row r="989" spans="1:34" hidden="1" x14ac:dyDescent="0.35">
      <c r="A989" t="str">
        <f>_xlfn.CONCAT(Tableau1[[#This Row],[Athletes]],"_",Tableau1[[#This Row],[Nationality]],"_",Tableau1[[#This Row],[Competition_year]])</f>
        <v>Oliver HOARE_AUS_2024</v>
      </c>
      <c r="B989" t="s">
        <v>249</v>
      </c>
      <c r="C989" t="s">
        <v>16</v>
      </c>
      <c r="D989" t="s">
        <v>21</v>
      </c>
      <c r="E989">
        <v>14.4</v>
      </c>
      <c r="F989">
        <v>14.4</v>
      </c>
      <c r="G989">
        <v>14.3</v>
      </c>
      <c r="H989">
        <v>14.6</v>
      </c>
      <c r="I989">
        <v>14.2</v>
      </c>
      <c r="J989">
        <v>14.3</v>
      </c>
      <c r="K989">
        <v>14.1</v>
      </c>
      <c r="L989">
        <v>14.5</v>
      </c>
      <c r="M989">
        <v>14.4</v>
      </c>
      <c r="N989">
        <v>14.4</v>
      </c>
      <c r="O989">
        <v>14.6</v>
      </c>
      <c r="P989">
        <v>14.5</v>
      </c>
      <c r="Q989">
        <v>14.7</v>
      </c>
      <c r="R989">
        <v>14.8</v>
      </c>
      <c r="S989">
        <f>Tableau1[[#This Row],[Final_time]]-SUM(Tableau1[[#This Row],[0_100m]:[1300_1400m]])</f>
        <v>15.230000000000018</v>
      </c>
      <c r="T989">
        <v>217.43</v>
      </c>
      <c r="U989">
        <f t="shared" si="30"/>
        <v>217.43</v>
      </c>
      <c r="V989">
        <f t="shared" si="31"/>
        <v>0</v>
      </c>
      <c r="W989" s="12"/>
      <c r="X989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89" t="s">
        <v>93</v>
      </c>
      <c r="Z989" s="2" t="s">
        <v>43</v>
      </c>
      <c r="AA989" s="2"/>
      <c r="AB989" s="2" t="s">
        <v>65</v>
      </c>
      <c r="AC989" s="2">
        <v>45540</v>
      </c>
      <c r="AD989" s="3">
        <v>2024</v>
      </c>
      <c r="AE989" s="3">
        <v>16</v>
      </c>
      <c r="AF989" s="5">
        <v>0.97</v>
      </c>
      <c r="AG989" s="3" t="s">
        <v>94</v>
      </c>
      <c r="AH989" t="s">
        <v>95</v>
      </c>
    </row>
    <row r="990" spans="1:34" hidden="1" x14ac:dyDescent="0.35">
      <c r="A990" t="str">
        <f>_xlfn.CONCAT(Tableau1[[#This Row],[Athletes]],"_",Tableau1[[#This Row],[Nationality]],"_",Tableau1[[#This Row],[Competition_year]])</f>
        <v>Boaz KIPRUGUT_KEN_2024</v>
      </c>
      <c r="B990" t="s">
        <v>795</v>
      </c>
      <c r="C990" t="s">
        <v>16</v>
      </c>
      <c r="D990" t="s">
        <v>17</v>
      </c>
      <c r="E990">
        <v>14.3</v>
      </c>
      <c r="F990">
        <v>14.7</v>
      </c>
      <c r="G990">
        <v>14.3</v>
      </c>
      <c r="H990">
        <v>14.6</v>
      </c>
      <c r="I990">
        <v>14.2</v>
      </c>
      <c r="J990">
        <v>14.3</v>
      </c>
      <c r="K990">
        <v>14.1</v>
      </c>
      <c r="L990">
        <v>14.7</v>
      </c>
      <c r="M990">
        <v>14.6</v>
      </c>
      <c r="N990">
        <v>14.9</v>
      </c>
      <c r="O990">
        <v>15.3</v>
      </c>
      <c r="P990">
        <v>15.3</v>
      </c>
      <c r="Q990">
        <v>15.3</v>
      </c>
      <c r="R990">
        <v>15.4</v>
      </c>
      <c r="S990">
        <f>Tableau1[[#This Row],[Final_time]]-SUM(Tableau1[[#This Row],[0_100m]:[1300_1400m]])</f>
        <v>15.589999999999975</v>
      </c>
      <c r="T990">
        <v>221.59</v>
      </c>
      <c r="U990">
        <f t="shared" si="30"/>
        <v>221.59</v>
      </c>
      <c r="V990">
        <f t="shared" si="31"/>
        <v>0</v>
      </c>
      <c r="W990" s="12"/>
      <c r="X990" t="str">
        <f>_xlfn.CONCAT(Tableau1[[#This Row],[Competition]],"_",Tableau1[[#This Row],[Championship_step]],"_",Tableau1[[#This Row],[Competition_date]],"_",Tableau1[[#This Row],[Gender]])</f>
        <v>Diamond League Zurich 2024__45540_Male</v>
      </c>
      <c r="Y990" t="s">
        <v>93</v>
      </c>
      <c r="Z990" s="2" t="s">
        <v>43</v>
      </c>
      <c r="AA990" s="2"/>
      <c r="AB990" s="2" t="s">
        <v>65</v>
      </c>
      <c r="AC990" s="2">
        <v>45540</v>
      </c>
      <c r="AD990" s="3">
        <v>2024</v>
      </c>
      <c r="AE990" s="3">
        <v>16</v>
      </c>
      <c r="AF990" s="5">
        <v>0.97</v>
      </c>
      <c r="AG990" s="3" t="s">
        <v>94</v>
      </c>
      <c r="AH990" t="s">
        <v>95</v>
      </c>
    </row>
    <row r="991" spans="1:34" hidden="1" x14ac:dyDescent="0.35">
      <c r="A991" t="str">
        <f>_xlfn.CONCAT(Tableau1[[#This Row],[Athletes]],"_",Tableau1[[#This Row],[Nationality]],"_",Tableau1[[#This Row],[Competition_year]])</f>
        <v>Agathe GUILLEMOT_FRA_2025</v>
      </c>
      <c r="B991" s="7" t="s">
        <v>171</v>
      </c>
      <c r="C991" s="7" t="s">
        <v>47</v>
      </c>
      <c r="D991" s="7" t="s">
        <v>18</v>
      </c>
      <c r="E991" s="7">
        <v>15.1</v>
      </c>
      <c r="F991" s="7">
        <v>15.8</v>
      </c>
      <c r="G991" s="7">
        <v>16.3</v>
      </c>
      <c r="H991" s="7">
        <v>15.6</v>
      </c>
      <c r="I991" s="7">
        <v>15.9</v>
      </c>
      <c r="J991" s="7">
        <v>15.6</v>
      </c>
      <c r="K991" s="7">
        <v>15.9</v>
      </c>
      <c r="L991" s="7">
        <v>15.8</v>
      </c>
      <c r="M991" s="7">
        <v>16.7</v>
      </c>
      <c r="N991" s="7">
        <v>16.399999999999999</v>
      </c>
      <c r="O991" s="7">
        <v>16.7</v>
      </c>
      <c r="P991" s="7">
        <v>16.3</v>
      </c>
      <c r="Q991" s="7">
        <v>16.600000000000001</v>
      </c>
      <c r="R991" s="7">
        <v>16.100000000000001</v>
      </c>
      <c r="S991">
        <f>Tableau1[[#This Row],[Final_time]]-SUM(Tableau1[[#This Row],[0_100m]:[1300_1400m]])</f>
        <v>15.600000000000023</v>
      </c>
      <c r="T991" s="7">
        <v>240.4</v>
      </c>
      <c r="U991">
        <f t="shared" si="30"/>
        <v>240.4</v>
      </c>
      <c r="V991">
        <f t="shared" si="31"/>
        <v>0</v>
      </c>
      <c r="W991" s="12"/>
      <c r="X991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1" t="s">
        <v>1368</v>
      </c>
      <c r="Z991" s="2" t="s">
        <v>43</v>
      </c>
      <c r="AA991" s="2"/>
      <c r="AB991" s="2" t="s">
        <v>65</v>
      </c>
      <c r="AC991" s="2">
        <v>45897</v>
      </c>
      <c r="AD991" s="3">
        <v>2025</v>
      </c>
      <c r="AE991" s="3">
        <v>19</v>
      </c>
      <c r="AF991" s="5">
        <v>0.88</v>
      </c>
      <c r="AG991" s="3" t="s">
        <v>63</v>
      </c>
    </row>
    <row r="992" spans="1:34" hidden="1" x14ac:dyDescent="0.35">
      <c r="A992" t="str">
        <f>_xlfn.CONCAT(Tableau1[[#This Row],[Athletes]],"_",Tableau1[[#This Row],[Nationality]],"_",Tableau1[[#This Row],[Competition_year]])</f>
        <v>Susan Lokayo EJORE_KEN_2025</v>
      </c>
      <c r="B992" s="7" t="s">
        <v>1264</v>
      </c>
      <c r="C992" s="7" t="s">
        <v>47</v>
      </c>
      <c r="D992" s="7" t="s">
        <v>17</v>
      </c>
      <c r="E992" s="7">
        <v>14.9</v>
      </c>
      <c r="F992" s="7">
        <v>15.8</v>
      </c>
      <c r="G992" s="7">
        <v>16.3</v>
      </c>
      <c r="H992" s="7">
        <v>15.4</v>
      </c>
      <c r="I992" s="7">
        <v>15.5</v>
      </c>
      <c r="J992" s="7">
        <v>15.6</v>
      </c>
      <c r="K992" s="7">
        <v>15.8</v>
      </c>
      <c r="L992" s="7">
        <v>15.9</v>
      </c>
      <c r="M992" s="7">
        <v>16.2</v>
      </c>
      <c r="N992" s="7">
        <v>16.3</v>
      </c>
      <c r="O992" s="7">
        <v>16.7</v>
      </c>
      <c r="P992" s="7">
        <v>15.4</v>
      </c>
      <c r="Q992" s="7">
        <v>17.399999999999999</v>
      </c>
      <c r="R992" s="7">
        <v>16.600000000000001</v>
      </c>
      <c r="S992">
        <f>Tableau1[[#This Row],[Final_time]]-SUM(Tableau1[[#This Row],[0_100m]:[1300_1400m]])</f>
        <v>15.679999999999978</v>
      </c>
      <c r="T992" s="7">
        <v>239.48</v>
      </c>
      <c r="U992">
        <f t="shared" si="30"/>
        <v>239.48</v>
      </c>
      <c r="V992">
        <f t="shared" si="31"/>
        <v>0</v>
      </c>
      <c r="W992" s="12"/>
      <c r="X992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2" t="s">
        <v>1368</v>
      </c>
      <c r="Z992" s="2" t="s">
        <v>43</v>
      </c>
      <c r="AA992" s="2"/>
      <c r="AB992" s="2" t="s">
        <v>65</v>
      </c>
      <c r="AC992" s="2">
        <v>45897</v>
      </c>
      <c r="AD992" s="3">
        <v>2025</v>
      </c>
      <c r="AE992" s="3">
        <v>19</v>
      </c>
      <c r="AF992" s="5">
        <v>0.88</v>
      </c>
      <c r="AG992" s="3" t="s">
        <v>63</v>
      </c>
    </row>
    <row r="993" spans="1:33" hidden="1" x14ac:dyDescent="0.35">
      <c r="A993" t="str">
        <f>_xlfn.CONCAT(Tableau1[[#This Row],[Athletes]],"_",Tableau1[[#This Row],[Nationality]],"_",Tableau1[[#This Row],[Competition_year]])</f>
        <v>Marta ZENONI_ITA_2025</v>
      </c>
      <c r="B993" s="7" t="s">
        <v>1333</v>
      </c>
      <c r="C993" s="7" t="s">
        <v>47</v>
      </c>
      <c r="D993" s="7" t="s">
        <v>19</v>
      </c>
      <c r="E993" s="7">
        <v>15.4</v>
      </c>
      <c r="F993" s="7">
        <v>15.9</v>
      </c>
      <c r="G993" s="7">
        <v>16.3</v>
      </c>
      <c r="H993" s="7">
        <v>15.6</v>
      </c>
      <c r="I993" s="7">
        <v>15.8</v>
      </c>
      <c r="J993" s="7">
        <v>15.7</v>
      </c>
      <c r="K993" s="7">
        <v>16.100000000000001</v>
      </c>
      <c r="L993" s="7">
        <v>16.3</v>
      </c>
      <c r="M993" s="7">
        <v>16.2</v>
      </c>
      <c r="N993" s="7">
        <v>16.399999999999999</v>
      </c>
      <c r="O993" s="7">
        <v>16.399999999999999</v>
      </c>
      <c r="P993" s="7">
        <v>16.399999999999999</v>
      </c>
      <c r="Q993" s="7">
        <v>16.5</v>
      </c>
      <c r="R993" s="7">
        <v>15.9</v>
      </c>
      <c r="S993">
        <f>Tableau1[[#This Row],[Final_time]]-SUM(Tableau1[[#This Row],[0_100m]:[1300_1400m]])</f>
        <v>15.809999999999974</v>
      </c>
      <c r="T993" s="7">
        <v>240.71</v>
      </c>
      <c r="U993">
        <f t="shared" si="30"/>
        <v>240.71</v>
      </c>
      <c r="V993">
        <f t="shared" si="31"/>
        <v>0</v>
      </c>
      <c r="W993" s="12"/>
      <c r="X993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3" t="s">
        <v>1368</v>
      </c>
      <c r="Z993" s="2" t="s">
        <v>43</v>
      </c>
      <c r="AA993" s="2"/>
      <c r="AB993" s="2" t="s">
        <v>65</v>
      </c>
      <c r="AC993" s="2">
        <v>45897</v>
      </c>
      <c r="AD993" s="3">
        <v>2025</v>
      </c>
      <c r="AE993" s="3">
        <v>19</v>
      </c>
      <c r="AF993" s="5">
        <v>0.88</v>
      </c>
      <c r="AG993" s="3" t="s">
        <v>63</v>
      </c>
    </row>
    <row r="994" spans="1:33" hidden="1" x14ac:dyDescent="0.35">
      <c r="A994" t="str">
        <f>_xlfn.CONCAT(Tableau1[[#This Row],[Athletes]],"_",Tableau1[[#This Row],[Nationality]],"_",Tableau1[[#This Row],[Competition_year]])</f>
        <v>Heather MACLEAN_USA_2025</v>
      </c>
      <c r="B994" s="7" t="s">
        <v>355</v>
      </c>
      <c r="C994" s="7" t="s">
        <v>47</v>
      </c>
      <c r="D994" s="7" t="s">
        <v>51</v>
      </c>
      <c r="E994" s="7">
        <v>15.1</v>
      </c>
      <c r="F994" s="7">
        <v>15.9</v>
      </c>
      <c r="G994" s="7">
        <v>16.2</v>
      </c>
      <c r="H994" s="7">
        <v>15.4</v>
      </c>
      <c r="I994" s="7">
        <v>15.5</v>
      </c>
      <c r="J994" s="7">
        <v>15.6</v>
      </c>
      <c r="K994" s="7">
        <v>15.9</v>
      </c>
      <c r="L994" s="7">
        <v>15.9</v>
      </c>
      <c r="M994" s="7">
        <v>16.600000000000001</v>
      </c>
      <c r="N994" s="7">
        <v>16.2</v>
      </c>
      <c r="O994" s="7">
        <v>16.5</v>
      </c>
      <c r="P994" s="7">
        <v>16.3</v>
      </c>
      <c r="Q994" s="7">
        <v>16.2</v>
      </c>
      <c r="R994" s="7">
        <v>16.3</v>
      </c>
      <c r="S994">
        <f>Tableau1[[#This Row],[Final_time]]-SUM(Tableau1[[#This Row],[0_100m]:[1300_1400m]])</f>
        <v>15.830000000000013</v>
      </c>
      <c r="T994" s="7">
        <v>239.43</v>
      </c>
      <c r="U994">
        <f t="shared" si="30"/>
        <v>239.43</v>
      </c>
      <c r="V994">
        <f t="shared" si="31"/>
        <v>0</v>
      </c>
      <c r="W994" s="12"/>
      <c r="X994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4" t="s">
        <v>1368</v>
      </c>
      <c r="Z994" s="2" t="s">
        <v>43</v>
      </c>
      <c r="AA994" s="2"/>
      <c r="AB994" s="2" t="s">
        <v>65</v>
      </c>
      <c r="AC994" s="2">
        <v>45897</v>
      </c>
      <c r="AD994" s="3">
        <v>2025</v>
      </c>
      <c r="AE994" s="3">
        <v>19</v>
      </c>
      <c r="AF994" s="5">
        <v>0.88</v>
      </c>
      <c r="AG994" s="3" t="s">
        <v>63</v>
      </c>
    </row>
    <row r="995" spans="1:33" hidden="1" x14ac:dyDescent="0.35">
      <c r="A995" t="str">
        <f>_xlfn.CONCAT(Tableau1[[#This Row],[Athletes]],"_",Tableau1[[#This Row],[Nationality]],"_",Tableau1[[#This Row],[Competition_year]])</f>
        <v>Sinclaire JOHNSON_USA_2025</v>
      </c>
      <c r="B995" s="7" t="s">
        <v>185</v>
      </c>
      <c r="C995" s="7" t="s">
        <v>47</v>
      </c>
      <c r="D995" s="7" t="s">
        <v>51</v>
      </c>
      <c r="E995" s="7">
        <v>14.8</v>
      </c>
      <c r="F995" s="7">
        <v>15.8</v>
      </c>
      <c r="G995" s="7">
        <v>16.100000000000001</v>
      </c>
      <c r="H995" s="7">
        <v>15.6</v>
      </c>
      <c r="I995" s="7">
        <v>15.4</v>
      </c>
      <c r="J995" s="7">
        <v>15.5</v>
      </c>
      <c r="K995" s="7">
        <v>15.5</v>
      </c>
      <c r="L995" s="7">
        <v>15.8</v>
      </c>
      <c r="M995" s="7">
        <v>15.8</v>
      </c>
      <c r="N995" s="7">
        <v>16.399999999999999</v>
      </c>
      <c r="O995" s="7">
        <v>17.399999999999999</v>
      </c>
      <c r="P995" s="7">
        <v>15.5</v>
      </c>
      <c r="Q995" s="7">
        <v>15.8</v>
      </c>
      <c r="R995" s="7">
        <v>16.2</v>
      </c>
      <c r="S995">
        <f>Tableau1[[#This Row],[Final_time]]-SUM(Tableau1[[#This Row],[0_100m]:[1300_1400m]])</f>
        <v>16.199999999999989</v>
      </c>
      <c r="T995" s="7">
        <v>237.8</v>
      </c>
      <c r="U995">
        <f t="shared" si="30"/>
        <v>237.8</v>
      </c>
      <c r="V995">
        <f t="shared" si="31"/>
        <v>0</v>
      </c>
      <c r="W995" s="12"/>
      <c r="X995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5" t="s">
        <v>1368</v>
      </c>
      <c r="Z995" s="2" t="s">
        <v>43</v>
      </c>
      <c r="AA995" s="2"/>
      <c r="AB995" s="2" t="s">
        <v>65</v>
      </c>
      <c r="AC995" s="2">
        <v>45897</v>
      </c>
      <c r="AD995" s="3">
        <v>2025</v>
      </c>
      <c r="AE995" s="3">
        <v>19</v>
      </c>
      <c r="AF995" s="5">
        <v>0.88</v>
      </c>
      <c r="AG995" s="3" t="s">
        <v>63</v>
      </c>
    </row>
    <row r="996" spans="1:33" hidden="1" x14ac:dyDescent="0.35">
      <c r="A996" t="str">
        <f>_xlfn.CONCAT(Tableau1[[#This Row],[Athletes]],"_",Tableau1[[#This Row],[Nationality]],"_",Tableau1[[#This Row],[Competition_year]])</f>
        <v>Sarah HEALY_IRL_2025</v>
      </c>
      <c r="B996" s="7" t="s">
        <v>166</v>
      </c>
      <c r="C996" s="7" t="s">
        <v>47</v>
      </c>
      <c r="D996" s="7" t="s">
        <v>35</v>
      </c>
      <c r="E996" s="7">
        <v>15.2</v>
      </c>
      <c r="F996" s="7">
        <v>15.9</v>
      </c>
      <c r="G996" s="7">
        <v>16.3</v>
      </c>
      <c r="H996" s="7">
        <v>15.5</v>
      </c>
      <c r="I996" s="7">
        <v>15.5</v>
      </c>
      <c r="J996" s="7">
        <v>15.6</v>
      </c>
      <c r="K996" s="7">
        <v>15.8</v>
      </c>
      <c r="L996" s="7">
        <v>15.9</v>
      </c>
      <c r="M996" s="7">
        <v>16.2</v>
      </c>
      <c r="N996" s="7">
        <v>16.2</v>
      </c>
      <c r="O996" s="7">
        <v>16.5</v>
      </c>
      <c r="P996" s="7">
        <v>16</v>
      </c>
      <c r="Q996" s="7">
        <v>16.399999999999999</v>
      </c>
      <c r="R996" s="7">
        <v>16.600000000000001</v>
      </c>
      <c r="S996">
        <f>Tableau1[[#This Row],[Final_time]]-SUM(Tableau1[[#This Row],[0_100m]:[1300_1400m]])</f>
        <v>16.300000000000011</v>
      </c>
      <c r="T996" s="7">
        <v>239.9</v>
      </c>
      <c r="U996">
        <f t="shared" si="30"/>
        <v>239.9</v>
      </c>
      <c r="V996">
        <f t="shared" si="31"/>
        <v>0</v>
      </c>
      <c r="W996" s="12"/>
      <c r="X996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6" t="s">
        <v>1368</v>
      </c>
      <c r="Z996" s="2" t="s">
        <v>43</v>
      </c>
      <c r="AA996" s="2"/>
      <c r="AB996" s="2" t="s">
        <v>65</v>
      </c>
      <c r="AC996" s="2">
        <v>45897</v>
      </c>
      <c r="AD996" s="3">
        <v>2025</v>
      </c>
      <c r="AE996" s="3">
        <v>19</v>
      </c>
      <c r="AF996" s="5">
        <v>0.88</v>
      </c>
      <c r="AG996" s="3" t="s">
        <v>63</v>
      </c>
    </row>
    <row r="997" spans="1:33" hidden="1" x14ac:dyDescent="0.35">
      <c r="A997" t="str">
        <f>_xlfn.CONCAT(Tableau1[[#This Row],[Athletes]],"_",Tableau1[[#This Row],[Nationality]],"_",Tableau1[[#This Row],[Competition_year]])</f>
        <v>Linden HALL_AUS_2025</v>
      </c>
      <c r="B997" s="7" t="s">
        <v>184</v>
      </c>
      <c r="C997" s="7" t="s">
        <v>47</v>
      </c>
      <c r="D997" s="7" t="s">
        <v>21</v>
      </c>
      <c r="E997" s="7">
        <v>15</v>
      </c>
      <c r="F997" s="7">
        <v>15.8</v>
      </c>
      <c r="G997" s="7">
        <v>16</v>
      </c>
      <c r="H997" s="7">
        <v>15.3</v>
      </c>
      <c r="I997" s="7">
        <v>15.4</v>
      </c>
      <c r="J997" s="7">
        <v>15.5</v>
      </c>
      <c r="K997" s="7">
        <v>15.6</v>
      </c>
      <c r="L997" s="7">
        <v>15.8</v>
      </c>
      <c r="M997" s="7">
        <v>16.100000000000001</v>
      </c>
      <c r="N997" s="7">
        <v>16</v>
      </c>
      <c r="O997" s="7">
        <v>16.2</v>
      </c>
      <c r="P997" s="7">
        <v>16.100000000000001</v>
      </c>
      <c r="Q997" s="7">
        <v>16.2</v>
      </c>
      <c r="R997" s="7">
        <v>16.100000000000001</v>
      </c>
      <c r="S997">
        <f>Tableau1[[#This Row],[Final_time]]-SUM(Tableau1[[#This Row],[0_100m]:[1300_1400m]])</f>
        <v>16.340000000000032</v>
      </c>
      <c r="T997" s="7">
        <v>237.44</v>
      </c>
      <c r="U997">
        <f t="shared" si="30"/>
        <v>237.44</v>
      </c>
      <c r="V997">
        <f t="shared" si="31"/>
        <v>0</v>
      </c>
      <c r="W997" s="12"/>
      <c r="X997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7" t="s">
        <v>1368</v>
      </c>
      <c r="Z997" s="2" t="s">
        <v>43</v>
      </c>
      <c r="AA997" s="2"/>
      <c r="AB997" s="2" t="s">
        <v>65</v>
      </c>
      <c r="AC997" s="2">
        <v>45897</v>
      </c>
      <c r="AD997" s="3">
        <v>2025</v>
      </c>
      <c r="AE997" s="3">
        <v>19</v>
      </c>
      <c r="AF997" s="5">
        <v>0.88</v>
      </c>
      <c r="AG997" s="3" t="s">
        <v>63</v>
      </c>
    </row>
    <row r="998" spans="1:33" hidden="1" x14ac:dyDescent="0.35">
      <c r="A998" t="str">
        <f>_xlfn.CONCAT(Tableau1[[#This Row],[Athletes]],"_",Tableau1[[#This Row],[Nationality]],"_",Tableau1[[#This Row],[Competition_year]])</f>
        <v>Birke HAYLOM_ETH_2025</v>
      </c>
      <c r="B998" s="7" t="s">
        <v>179</v>
      </c>
      <c r="C998" s="7" t="s">
        <v>47</v>
      </c>
      <c r="D998" s="7" t="s">
        <v>48</v>
      </c>
      <c r="E998" s="7">
        <v>14.7</v>
      </c>
      <c r="F998" s="7">
        <v>15.8</v>
      </c>
      <c r="G998" s="7">
        <v>16.100000000000001</v>
      </c>
      <c r="H998" s="7">
        <v>15.3</v>
      </c>
      <c r="I998" s="7">
        <v>15.4</v>
      </c>
      <c r="J998" s="7">
        <v>15.3</v>
      </c>
      <c r="K998" s="7">
        <v>15.5</v>
      </c>
      <c r="L998" s="7">
        <v>15.6</v>
      </c>
      <c r="M998" s="7">
        <v>15.9</v>
      </c>
      <c r="N998" s="7">
        <v>16.5</v>
      </c>
      <c r="O998" s="7">
        <v>17.100000000000001</v>
      </c>
      <c r="P998" s="7">
        <v>14.7</v>
      </c>
      <c r="Q998" s="7">
        <v>18.899999999999999</v>
      </c>
      <c r="R998" s="7">
        <v>16.5</v>
      </c>
      <c r="S998">
        <f>Tableau1[[#This Row],[Final_time]]-SUM(Tableau1[[#This Row],[0_100m]:[1300_1400m]])</f>
        <v>16.400000000000006</v>
      </c>
      <c r="T998" s="7">
        <v>239.7</v>
      </c>
      <c r="U998">
        <f t="shared" si="30"/>
        <v>239.7</v>
      </c>
      <c r="V998">
        <f t="shared" si="31"/>
        <v>0</v>
      </c>
      <c r="W998" s="12"/>
      <c r="X998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8" t="s">
        <v>1368</v>
      </c>
      <c r="Z998" s="2" t="s">
        <v>43</v>
      </c>
      <c r="AA998" s="2"/>
      <c r="AB998" s="2" t="s">
        <v>65</v>
      </c>
      <c r="AC998" s="2">
        <v>45897</v>
      </c>
      <c r="AD998" s="3">
        <v>2025</v>
      </c>
      <c r="AE998" s="3">
        <v>19</v>
      </c>
      <c r="AF998" s="5">
        <v>0.88</v>
      </c>
      <c r="AG998" s="3" t="s">
        <v>63</v>
      </c>
    </row>
    <row r="999" spans="1:33" hidden="1" x14ac:dyDescent="0.35">
      <c r="A999" t="str">
        <f>_xlfn.CONCAT(Tableau1[[#This Row],[Athletes]],"_",Tableau1[[#This Row],[Nationality]],"_",Tableau1[[#This Row],[Competition_year]])</f>
        <v>Nelly CHEPCHIRCHIR_KEN_2025</v>
      </c>
      <c r="B999" s="7" t="s">
        <v>178</v>
      </c>
      <c r="C999" s="7" t="s">
        <v>47</v>
      </c>
      <c r="D999" s="7" t="s">
        <v>17</v>
      </c>
      <c r="E999" s="7">
        <v>14.8</v>
      </c>
      <c r="F999" s="7">
        <v>15.8</v>
      </c>
      <c r="G999" s="7">
        <v>16.399999999999999</v>
      </c>
      <c r="H999" s="7">
        <v>15.3</v>
      </c>
      <c r="I999" s="7">
        <v>15.2</v>
      </c>
      <c r="J999" s="7">
        <v>15.2</v>
      </c>
      <c r="K999" s="7">
        <v>15.5</v>
      </c>
      <c r="L999" s="7">
        <v>15.5</v>
      </c>
      <c r="M999" s="7">
        <v>15.4</v>
      </c>
      <c r="N999" s="7">
        <v>15.6</v>
      </c>
      <c r="O999" s="7">
        <v>15.9</v>
      </c>
      <c r="P999" s="7">
        <v>16</v>
      </c>
      <c r="Q999" s="7">
        <v>16.7</v>
      </c>
      <c r="R999" s="7">
        <v>17</v>
      </c>
      <c r="S999">
        <f>Tableau1[[#This Row],[Final_time]]-SUM(Tableau1[[#This Row],[0_100m]:[1300_1400m]])</f>
        <v>16.690000000000026</v>
      </c>
      <c r="T999" s="7">
        <v>236.99</v>
      </c>
      <c r="U999">
        <f t="shared" si="30"/>
        <v>236.99</v>
      </c>
      <c r="V999">
        <f t="shared" si="31"/>
        <v>0</v>
      </c>
      <c r="W999" s="12"/>
      <c r="X999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999" t="s">
        <v>1368</v>
      </c>
      <c r="Z999" s="2" t="s">
        <v>43</v>
      </c>
      <c r="AA999" s="2"/>
      <c r="AB999" s="2" t="s">
        <v>65</v>
      </c>
      <c r="AC999" s="2">
        <v>45897</v>
      </c>
      <c r="AD999" s="3">
        <v>2025</v>
      </c>
      <c r="AE999" s="3">
        <v>19</v>
      </c>
      <c r="AF999" s="5">
        <v>0.88</v>
      </c>
      <c r="AG999" s="3" t="s">
        <v>63</v>
      </c>
    </row>
    <row r="1000" spans="1:33" hidden="1" x14ac:dyDescent="0.35">
      <c r="A1000" t="str">
        <f>_xlfn.CONCAT(Tableau1[[#This Row],[Athletes]],"_",Tableau1[[#This Row],[Nationality]],"_",Tableau1[[#This Row],[Competition_year]])</f>
        <v>Joceline WIND_SUI_2025</v>
      </c>
      <c r="B1000" s="7" t="s">
        <v>993</v>
      </c>
      <c r="C1000" s="7" t="s">
        <v>47</v>
      </c>
      <c r="D1000" s="7" t="s">
        <v>87</v>
      </c>
      <c r="E1000" s="7">
        <v>15.5</v>
      </c>
      <c r="F1000" s="7">
        <v>15.6</v>
      </c>
      <c r="G1000" s="7">
        <v>16.5</v>
      </c>
      <c r="H1000" s="7">
        <v>15.8</v>
      </c>
      <c r="I1000" s="7">
        <v>15.8</v>
      </c>
      <c r="J1000" s="7">
        <v>16</v>
      </c>
      <c r="K1000" s="7">
        <v>16.399999999999999</v>
      </c>
      <c r="L1000" s="7">
        <v>16.8</v>
      </c>
      <c r="M1000" s="7">
        <v>17.399999999999999</v>
      </c>
      <c r="N1000" s="7">
        <v>17.3</v>
      </c>
      <c r="O1000" s="7">
        <v>17.600000000000001</v>
      </c>
      <c r="P1000" s="7">
        <v>17</v>
      </c>
      <c r="Q1000" s="7">
        <v>17.100000000000001</v>
      </c>
      <c r="R1000" s="7">
        <v>16.8</v>
      </c>
      <c r="S1000">
        <f>Tableau1[[#This Row],[Final_time]]-SUM(Tableau1[[#This Row],[0_100m]:[1300_1400m]])</f>
        <v>16.769999999999982</v>
      </c>
      <c r="T1000" s="7">
        <v>248.37</v>
      </c>
      <c r="U1000">
        <f t="shared" si="30"/>
        <v>248.37</v>
      </c>
      <c r="V1000">
        <f t="shared" si="31"/>
        <v>0</v>
      </c>
      <c r="W1000" s="12"/>
      <c r="X1000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1000" t="s">
        <v>1368</v>
      </c>
      <c r="Z1000" s="2" t="s">
        <v>43</v>
      </c>
      <c r="AA1000" s="2"/>
      <c r="AB1000" s="2" t="s">
        <v>65</v>
      </c>
      <c r="AC1000" s="2">
        <v>45897</v>
      </c>
      <c r="AD1000" s="3">
        <v>2025</v>
      </c>
      <c r="AE1000" s="3">
        <v>19</v>
      </c>
      <c r="AF1000" s="5">
        <v>0.88</v>
      </c>
      <c r="AG1000" s="3" t="s">
        <v>63</v>
      </c>
    </row>
    <row r="1001" spans="1:33" hidden="1" x14ac:dyDescent="0.35">
      <c r="A1001" t="str">
        <f>_xlfn.CONCAT(Tableau1[[#This Row],[Athletes]],"_",Tableau1[[#This Row],[Nationality]],"_",Tableau1[[#This Row],[Competition_year]])</f>
        <v>Jessica HULL_AUS_2025</v>
      </c>
      <c r="B1001" s="7" t="s">
        <v>187</v>
      </c>
      <c r="C1001" s="7" t="s">
        <v>47</v>
      </c>
      <c r="D1001" s="7" t="s">
        <v>21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T1001" s="7">
        <v>237.02</v>
      </c>
      <c r="U1001">
        <f t="shared" si="30"/>
        <v>0</v>
      </c>
      <c r="V1001">
        <f t="shared" si="31"/>
        <v>237.02</v>
      </c>
      <c r="W1001" s="12"/>
      <c r="X1001" t="str">
        <f>_xlfn.CONCAT(Tableau1[[#This Row],[Competition]],"_",Tableau1[[#This Row],[Championship_step]],"_",Tableau1[[#This Row],[Competition_date]],"_",Tableau1[[#This Row],[Gender]])</f>
        <v>Diamond League Zurich 2025__45897_Female</v>
      </c>
      <c r="Y1001" t="s">
        <v>1368</v>
      </c>
      <c r="Z1001" s="2" t="s">
        <v>43</v>
      </c>
      <c r="AA1001" s="2"/>
      <c r="AB1001" s="2" t="s">
        <v>65</v>
      </c>
      <c r="AC1001" s="2">
        <v>45897</v>
      </c>
      <c r="AD1001" s="3">
        <v>2025</v>
      </c>
      <c r="AE1001" s="3">
        <v>19</v>
      </c>
      <c r="AF1001" s="5">
        <v>0.88</v>
      </c>
      <c r="AG1001" s="3" t="s">
        <v>63</v>
      </c>
    </row>
    <row r="1002" spans="1:33" hidden="1" x14ac:dyDescent="0.35">
      <c r="A1002" t="str">
        <f>_xlfn.CONCAT(Tableau1[[#This Row],[Athletes]],"_",Tableau1[[#This Row],[Nationality]],"_",Tableau1[[#This Row],[Competition_year]])</f>
        <v>Niels LAROS_NED_2025</v>
      </c>
      <c r="B1002" s="7" t="s">
        <v>214</v>
      </c>
      <c r="C1002" s="7" t="s">
        <v>16</v>
      </c>
      <c r="D1002" s="7" t="s">
        <v>39</v>
      </c>
      <c r="E1002" s="7">
        <v>13.7</v>
      </c>
      <c r="F1002" s="7">
        <v>13.7</v>
      </c>
      <c r="G1002" s="7">
        <v>14.5</v>
      </c>
      <c r="H1002" s="7">
        <v>14.1</v>
      </c>
      <c r="I1002" s="7">
        <v>14.1</v>
      </c>
      <c r="J1002" s="7">
        <v>14.3</v>
      </c>
      <c r="K1002" s="7">
        <v>14.2</v>
      </c>
      <c r="L1002" s="7">
        <v>14.5</v>
      </c>
      <c r="M1002" s="7">
        <v>14.2</v>
      </c>
      <c r="N1002" s="7">
        <v>14.3</v>
      </c>
      <c r="O1002" s="7">
        <v>14.2</v>
      </c>
      <c r="P1002" s="7">
        <v>14</v>
      </c>
      <c r="Q1002" s="7">
        <v>13.5</v>
      </c>
      <c r="R1002" s="7">
        <v>13.4</v>
      </c>
      <c r="S1002">
        <f>Tableau1[[#This Row],[Final_time]]-SUM(Tableau1[[#This Row],[0_100m]:[1300_1400m]])</f>
        <v>12.5</v>
      </c>
      <c r="T1002" s="7">
        <v>209.2</v>
      </c>
      <c r="U1002">
        <f t="shared" si="30"/>
        <v>209.2</v>
      </c>
      <c r="V1002">
        <f t="shared" si="31"/>
        <v>0</v>
      </c>
      <c r="W1002" s="12"/>
      <c r="X1002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2" t="s">
        <v>1368</v>
      </c>
      <c r="Z1002" s="2" t="s">
        <v>43</v>
      </c>
      <c r="AA1002" s="2"/>
      <c r="AB1002" s="2" t="s">
        <v>65</v>
      </c>
      <c r="AC1002" s="2">
        <v>45897</v>
      </c>
      <c r="AD1002" s="3">
        <v>2025</v>
      </c>
      <c r="AE1002" s="3">
        <v>19</v>
      </c>
      <c r="AF1002" s="5">
        <v>0.88</v>
      </c>
      <c r="AG1002" s="3" t="s">
        <v>63</v>
      </c>
    </row>
    <row r="1003" spans="1:33" hidden="1" x14ac:dyDescent="0.35">
      <c r="A1003" t="str">
        <f>_xlfn.CONCAT(Tableau1[[#This Row],[Athletes]],"_",Tableau1[[#This Row],[Nationality]],"_",Tableau1[[#This Row],[Competition_year]])</f>
        <v>Reynold CHERUIYOT_KEN_2025</v>
      </c>
      <c r="B1003" s="7" t="s">
        <v>1192</v>
      </c>
      <c r="C1003" s="7" t="s">
        <v>16</v>
      </c>
      <c r="D1003" s="7" t="s">
        <v>17</v>
      </c>
      <c r="E1003" s="7">
        <v>13.6</v>
      </c>
      <c r="F1003" s="7">
        <v>13.7</v>
      </c>
      <c r="G1003" s="7">
        <v>14.3</v>
      </c>
      <c r="H1003" s="7">
        <v>14.2</v>
      </c>
      <c r="I1003" s="7">
        <v>14.4</v>
      </c>
      <c r="J1003" s="7">
        <v>14.3</v>
      </c>
      <c r="K1003" s="7">
        <v>14.4</v>
      </c>
      <c r="L1003" s="7">
        <v>14.4</v>
      </c>
      <c r="M1003" s="7">
        <v>14.3</v>
      </c>
      <c r="N1003" s="7">
        <v>14.3</v>
      </c>
      <c r="O1003" s="7">
        <v>14.2</v>
      </c>
      <c r="P1003" s="7">
        <v>14.1</v>
      </c>
      <c r="Q1003" s="7">
        <v>13.6</v>
      </c>
      <c r="R1003" s="7">
        <v>13.4</v>
      </c>
      <c r="S1003">
        <f>Tableau1[[#This Row],[Final_time]]-SUM(Tableau1[[#This Row],[0_100m]:[1300_1400m]])</f>
        <v>12.710000000000008</v>
      </c>
      <c r="T1003" s="7">
        <v>209.91</v>
      </c>
      <c r="U1003">
        <f t="shared" si="30"/>
        <v>209.91</v>
      </c>
      <c r="V1003">
        <f t="shared" si="31"/>
        <v>0</v>
      </c>
      <c r="W1003" s="12"/>
      <c r="X1003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3" t="s">
        <v>1368</v>
      </c>
      <c r="Z1003" s="2" t="s">
        <v>43</v>
      </c>
      <c r="AA1003" s="2"/>
      <c r="AB1003" s="2" t="s">
        <v>65</v>
      </c>
      <c r="AC1003" s="2">
        <v>45897</v>
      </c>
      <c r="AD1003" s="3">
        <v>2025</v>
      </c>
      <c r="AE1003" s="3">
        <v>19</v>
      </c>
      <c r="AF1003" s="5">
        <v>0.88</v>
      </c>
      <c r="AG1003" s="3" t="s">
        <v>63</v>
      </c>
    </row>
    <row r="1004" spans="1:33" hidden="1" x14ac:dyDescent="0.35">
      <c r="A1004" t="str">
        <f>_xlfn.CONCAT(Tableau1[[#This Row],[Athletes]],"_",Tableau1[[#This Row],[Nationality]],"_",Tableau1[[#This Row],[Competition_year]])</f>
        <v>Timothy CHERUIYOT_KEN_2025</v>
      </c>
      <c r="B1004" s="7" t="s">
        <v>205</v>
      </c>
      <c r="C1004" s="7" t="s">
        <v>16</v>
      </c>
      <c r="D1004" s="7" t="s">
        <v>17</v>
      </c>
      <c r="E1004" s="7">
        <v>13.8</v>
      </c>
      <c r="F1004" s="7">
        <v>13.5</v>
      </c>
      <c r="G1004" s="7">
        <v>14.4</v>
      </c>
      <c r="H1004" s="7">
        <v>14.1</v>
      </c>
      <c r="I1004" s="7">
        <v>14.4</v>
      </c>
      <c r="J1004" s="7">
        <v>14.4</v>
      </c>
      <c r="K1004" s="7">
        <v>14.1</v>
      </c>
      <c r="L1004" s="7">
        <v>14.5</v>
      </c>
      <c r="M1004" s="7">
        <v>14.3</v>
      </c>
      <c r="N1004" s="7">
        <v>14.1</v>
      </c>
      <c r="O1004" s="7">
        <v>14.3</v>
      </c>
      <c r="P1004" s="7">
        <v>14.1</v>
      </c>
      <c r="Q1004" s="7">
        <v>13.6</v>
      </c>
      <c r="R1004" s="7">
        <v>13.5</v>
      </c>
      <c r="S1004">
        <f>Tableau1[[#This Row],[Final_time]]-SUM(Tableau1[[#This Row],[0_100m]:[1300_1400m]])</f>
        <v>13.030000000000001</v>
      </c>
      <c r="T1004" s="7">
        <v>210.13</v>
      </c>
      <c r="U1004">
        <f t="shared" si="30"/>
        <v>210.13</v>
      </c>
      <c r="V1004">
        <f t="shared" si="31"/>
        <v>0</v>
      </c>
      <c r="W1004" s="12"/>
      <c r="X1004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4" t="s">
        <v>1368</v>
      </c>
      <c r="Z1004" s="2" t="s">
        <v>43</v>
      </c>
      <c r="AA1004" s="2"/>
      <c r="AB1004" s="2" t="s">
        <v>65</v>
      </c>
      <c r="AC1004" s="2">
        <v>45897</v>
      </c>
      <c r="AD1004" s="3">
        <v>2025</v>
      </c>
      <c r="AE1004" s="3">
        <v>19</v>
      </c>
      <c r="AF1004" s="5">
        <v>0.88</v>
      </c>
      <c r="AG1004" s="3" t="s">
        <v>63</v>
      </c>
    </row>
    <row r="1005" spans="1:33" hidden="1" x14ac:dyDescent="0.35">
      <c r="A1005" t="str">
        <f>_xlfn.CONCAT(Tableau1[[#This Row],[Athletes]],"_",Tableau1[[#This Row],[Nationality]],"_",Tableau1[[#This Row],[Competition_year]])</f>
        <v>Samuel PIHLSTRÖM_SWE_2025</v>
      </c>
      <c r="B1005" s="7" t="s">
        <v>1220</v>
      </c>
      <c r="C1005" s="7" t="s">
        <v>16</v>
      </c>
      <c r="D1005" s="7" t="s">
        <v>56</v>
      </c>
      <c r="E1005" s="7">
        <v>14.2</v>
      </c>
      <c r="F1005" s="7">
        <v>13.6</v>
      </c>
      <c r="G1005" s="7">
        <v>14.5</v>
      </c>
      <c r="H1005" s="7">
        <v>14.1</v>
      </c>
      <c r="I1005" s="7">
        <v>14.3</v>
      </c>
      <c r="J1005" s="7">
        <v>14.5</v>
      </c>
      <c r="K1005" s="7">
        <v>14.3</v>
      </c>
      <c r="L1005" s="7">
        <v>14.3</v>
      </c>
      <c r="M1005" s="7">
        <v>14.2</v>
      </c>
      <c r="N1005" s="7">
        <v>14.3</v>
      </c>
      <c r="O1005" s="7">
        <v>14</v>
      </c>
      <c r="P1005" s="7">
        <v>14</v>
      </c>
      <c r="Q1005" s="7">
        <v>13.9</v>
      </c>
      <c r="R1005" s="7">
        <v>13.6</v>
      </c>
      <c r="S1005">
        <f>Tableau1[[#This Row],[Final_time]]-SUM(Tableau1[[#This Row],[0_100m]:[1300_1400m]])</f>
        <v>13.349999999999994</v>
      </c>
      <c r="T1005" s="7">
        <v>211.15</v>
      </c>
      <c r="U1005">
        <f t="shared" si="30"/>
        <v>211.15</v>
      </c>
      <c r="V1005">
        <f t="shared" si="31"/>
        <v>0</v>
      </c>
      <c r="W1005" s="12"/>
      <c r="X1005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5" t="s">
        <v>1368</v>
      </c>
      <c r="Z1005" s="2" t="s">
        <v>43</v>
      </c>
      <c r="AA1005" s="2"/>
      <c r="AB1005" s="2" t="s">
        <v>65</v>
      </c>
      <c r="AC1005" s="2">
        <v>45897</v>
      </c>
      <c r="AD1005" s="3">
        <v>2025</v>
      </c>
      <c r="AE1005" s="3">
        <v>19</v>
      </c>
      <c r="AF1005" s="5">
        <v>0.88</v>
      </c>
      <c r="AG1005" s="3" t="s">
        <v>63</v>
      </c>
    </row>
    <row r="1006" spans="1:33" hidden="1" x14ac:dyDescent="0.35">
      <c r="A1006" t="str">
        <f>_xlfn.CONCAT(Tableau1[[#This Row],[Athletes]],"_",Tableau1[[#This Row],[Nationality]],"_",Tableau1[[#This Row],[Competition_year]])</f>
        <v>Phanuel Kipkosgei KOECH_KEN_2025</v>
      </c>
      <c r="B1006" s="7" t="s">
        <v>1353</v>
      </c>
      <c r="C1006" s="7" t="s">
        <v>16</v>
      </c>
      <c r="D1006" s="7" t="s">
        <v>17</v>
      </c>
      <c r="E1006" s="7">
        <v>13.9</v>
      </c>
      <c r="F1006" s="7">
        <v>13.3</v>
      </c>
      <c r="G1006" s="7">
        <v>14.3</v>
      </c>
      <c r="H1006" s="7">
        <v>13.9</v>
      </c>
      <c r="I1006" s="7">
        <v>14.4</v>
      </c>
      <c r="J1006" s="7">
        <v>14.1</v>
      </c>
      <c r="K1006" s="7">
        <v>14.4</v>
      </c>
      <c r="L1006" s="7">
        <v>14.4</v>
      </c>
      <c r="M1006" s="7">
        <v>14.4</v>
      </c>
      <c r="N1006" s="7">
        <v>14.1</v>
      </c>
      <c r="O1006" s="7">
        <v>14.4</v>
      </c>
      <c r="P1006" s="7">
        <v>14</v>
      </c>
      <c r="Q1006" s="7">
        <v>13.6</v>
      </c>
      <c r="R1006" s="7">
        <v>13.4</v>
      </c>
      <c r="S1006">
        <f>Tableau1[[#This Row],[Final_time]]-SUM(Tableau1[[#This Row],[0_100m]:[1300_1400m]])</f>
        <v>13.419999999999987</v>
      </c>
      <c r="T1006" s="7">
        <v>210.02</v>
      </c>
      <c r="U1006">
        <f t="shared" si="30"/>
        <v>210.02</v>
      </c>
      <c r="V1006">
        <f t="shared" si="31"/>
        <v>0</v>
      </c>
      <c r="W1006" s="12"/>
      <c r="X1006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6" t="s">
        <v>1368</v>
      </c>
      <c r="Z1006" s="2" t="s">
        <v>43</v>
      </c>
      <c r="AA1006" s="2"/>
      <c r="AB1006" s="2" t="s">
        <v>65</v>
      </c>
      <c r="AC1006" s="2">
        <v>45897</v>
      </c>
      <c r="AD1006" s="3">
        <v>2025</v>
      </c>
      <c r="AE1006" s="3">
        <v>19</v>
      </c>
      <c r="AF1006" s="5">
        <v>0.88</v>
      </c>
      <c r="AG1006" s="3" t="s">
        <v>63</v>
      </c>
    </row>
    <row r="1007" spans="1:33" hidden="1" x14ac:dyDescent="0.35">
      <c r="A1007" t="str">
        <f>_xlfn.CONCAT(Tableau1[[#This Row],[Athletes]],"_",Tableau1[[#This Row],[Nationality]],"_",Tableau1[[#This Row],[Competition_year]])</f>
        <v>Anass ESSAYI_MAR_2025</v>
      </c>
      <c r="B1007" s="7" t="s">
        <v>259</v>
      </c>
      <c r="C1007" s="7" t="s">
        <v>16</v>
      </c>
      <c r="D1007" s="7" t="s">
        <v>75</v>
      </c>
      <c r="E1007" s="7">
        <v>14</v>
      </c>
      <c r="F1007" s="7">
        <v>13.6</v>
      </c>
      <c r="G1007" s="7">
        <v>14.5</v>
      </c>
      <c r="H1007" s="7">
        <v>14.1</v>
      </c>
      <c r="I1007" s="7">
        <v>14.4</v>
      </c>
      <c r="J1007" s="7">
        <v>14.4</v>
      </c>
      <c r="K1007" s="7">
        <v>14.4</v>
      </c>
      <c r="L1007" s="7">
        <v>14.2</v>
      </c>
      <c r="M1007" s="7">
        <v>14.2</v>
      </c>
      <c r="N1007" s="7">
        <v>14.4</v>
      </c>
      <c r="O1007" s="7">
        <v>14.3</v>
      </c>
      <c r="P1007" s="7">
        <v>14.1</v>
      </c>
      <c r="Q1007" s="7">
        <v>13.4</v>
      </c>
      <c r="R1007" s="7">
        <v>13.2</v>
      </c>
      <c r="S1007">
        <f>Tableau1[[#This Row],[Final_time]]-SUM(Tableau1[[#This Row],[0_100m]:[1300_1400m]])</f>
        <v>13.46999999999997</v>
      </c>
      <c r="T1007" s="7">
        <v>210.67</v>
      </c>
      <c r="U1007">
        <f t="shared" si="30"/>
        <v>210.67</v>
      </c>
      <c r="V1007">
        <f t="shared" si="31"/>
        <v>0</v>
      </c>
      <c r="W1007" s="12"/>
      <c r="X1007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7" t="s">
        <v>1368</v>
      </c>
      <c r="Z1007" s="2" t="s">
        <v>43</v>
      </c>
      <c r="AA1007" s="2"/>
      <c r="AB1007" s="2" t="s">
        <v>65</v>
      </c>
      <c r="AC1007" s="2">
        <v>45897</v>
      </c>
      <c r="AD1007" s="3">
        <v>2025</v>
      </c>
      <c r="AE1007" s="3">
        <v>19</v>
      </c>
      <c r="AF1007" s="5">
        <v>0.88</v>
      </c>
      <c r="AG1007" s="3" t="s">
        <v>63</v>
      </c>
    </row>
    <row r="1008" spans="1:33" hidden="1" x14ac:dyDescent="0.35">
      <c r="A1008" t="str">
        <f>_xlfn.CONCAT(Tableau1[[#This Row],[Athletes]],"_",Tableau1[[#This Row],[Nationality]],"_",Tableau1[[#This Row],[Competition_year]])</f>
        <v>Azeddine HABZ_FRA_2025</v>
      </c>
      <c r="B1008" s="7" t="s">
        <v>218</v>
      </c>
      <c r="C1008" s="7" t="s">
        <v>16</v>
      </c>
      <c r="D1008" s="7" t="s">
        <v>18</v>
      </c>
      <c r="E1008" s="7">
        <v>13.5</v>
      </c>
      <c r="F1008" s="7">
        <v>13.6</v>
      </c>
      <c r="G1008" s="7">
        <v>14.1</v>
      </c>
      <c r="H1008" s="7">
        <v>14</v>
      </c>
      <c r="I1008" s="7">
        <v>14.4</v>
      </c>
      <c r="J1008" s="7">
        <v>14.1</v>
      </c>
      <c r="K1008" s="7">
        <v>14.4</v>
      </c>
      <c r="L1008" s="7">
        <v>14.4</v>
      </c>
      <c r="M1008" s="7">
        <v>14.3</v>
      </c>
      <c r="N1008" s="7">
        <v>14.2</v>
      </c>
      <c r="O1008" s="7">
        <v>14.4</v>
      </c>
      <c r="P1008" s="7">
        <v>14.1</v>
      </c>
      <c r="Q1008" s="7">
        <v>13.9</v>
      </c>
      <c r="R1008" s="7">
        <v>13.3</v>
      </c>
      <c r="S1008">
        <f>Tableau1[[#This Row],[Final_time]]-SUM(Tableau1[[#This Row],[0_100m]:[1300_1400m]])</f>
        <v>13.689999999999969</v>
      </c>
      <c r="T1008" s="7">
        <v>210.39</v>
      </c>
      <c r="U1008">
        <f t="shared" si="30"/>
        <v>210.39</v>
      </c>
      <c r="V1008">
        <f t="shared" si="31"/>
        <v>0</v>
      </c>
      <c r="W1008" s="12"/>
      <c r="X1008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8" t="s">
        <v>1368</v>
      </c>
      <c r="Z1008" s="2" t="s">
        <v>43</v>
      </c>
      <c r="AA1008" s="2"/>
      <c r="AB1008" s="2" t="s">
        <v>65</v>
      </c>
      <c r="AC1008" s="2">
        <v>45897</v>
      </c>
      <c r="AD1008" s="3">
        <v>2025</v>
      </c>
      <c r="AE1008" s="3">
        <v>19</v>
      </c>
      <c r="AF1008" s="5">
        <v>0.88</v>
      </c>
      <c r="AG1008" s="3" t="s">
        <v>63</v>
      </c>
    </row>
    <row r="1009" spans="1:33" hidden="1" x14ac:dyDescent="0.35">
      <c r="A1009" t="str">
        <f>_xlfn.CONCAT(Tableau1[[#This Row],[Athletes]],"_",Tableau1[[#This Row],[Nationality]],"_",Tableau1[[#This Row],[Competition_year]])</f>
        <v>Robert FARKEN_GER_2025</v>
      </c>
      <c r="B1009" s="7" t="s">
        <v>342</v>
      </c>
      <c r="C1009" s="7" t="s">
        <v>16</v>
      </c>
      <c r="D1009" s="7" t="s">
        <v>34</v>
      </c>
      <c r="E1009" s="7">
        <v>13.8</v>
      </c>
      <c r="F1009" s="7">
        <v>13.6</v>
      </c>
      <c r="G1009" s="7">
        <v>14.5</v>
      </c>
      <c r="H1009" s="7">
        <v>14.1</v>
      </c>
      <c r="I1009" s="7">
        <v>14.4</v>
      </c>
      <c r="J1009" s="7">
        <v>14.3</v>
      </c>
      <c r="K1009" s="7">
        <v>14.4</v>
      </c>
      <c r="L1009" s="7">
        <v>14.4</v>
      </c>
      <c r="M1009" s="7">
        <v>14.3</v>
      </c>
      <c r="N1009" s="7">
        <v>14.3</v>
      </c>
      <c r="O1009" s="7">
        <v>14</v>
      </c>
      <c r="P1009" s="7">
        <v>14</v>
      </c>
      <c r="Q1009" s="7">
        <v>13.9</v>
      </c>
      <c r="R1009" s="7">
        <v>13.6</v>
      </c>
      <c r="S1009">
        <f>Tableau1[[#This Row],[Final_time]]-SUM(Tableau1[[#This Row],[0_100m]:[1300_1400m]])</f>
        <v>13.699999999999989</v>
      </c>
      <c r="T1009" s="7">
        <v>211.3</v>
      </c>
      <c r="U1009">
        <f t="shared" si="30"/>
        <v>211.3</v>
      </c>
      <c r="V1009">
        <f t="shared" si="31"/>
        <v>0</v>
      </c>
      <c r="W1009" s="12"/>
      <c r="X1009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09" t="s">
        <v>1368</v>
      </c>
      <c r="Z1009" s="2" t="s">
        <v>43</v>
      </c>
      <c r="AA1009" s="2"/>
      <c r="AB1009" s="2" t="s">
        <v>65</v>
      </c>
      <c r="AC1009" s="2">
        <v>45897</v>
      </c>
      <c r="AD1009" s="3">
        <v>2025</v>
      </c>
      <c r="AE1009" s="3">
        <v>19</v>
      </c>
      <c r="AF1009" s="5">
        <v>0.88</v>
      </c>
      <c r="AG1009" s="3" t="s">
        <v>63</v>
      </c>
    </row>
    <row r="1010" spans="1:33" hidden="1" x14ac:dyDescent="0.35">
      <c r="A1010" t="str">
        <f>_xlfn.CONCAT(Tableau1[[#This Row],[Athletes]],"_",Tableau1[[#This Row],[Nationality]],"_",Tableau1[[#This Row],[Competition_year]])</f>
        <v>Yared NUGUSE_USA_2025</v>
      </c>
      <c r="B1010" s="7" t="s">
        <v>228</v>
      </c>
      <c r="C1010" s="7" t="s">
        <v>16</v>
      </c>
      <c r="D1010" s="7" t="s">
        <v>51</v>
      </c>
      <c r="E1010" s="7">
        <v>13.7</v>
      </c>
      <c r="F1010" s="7">
        <v>13.4</v>
      </c>
      <c r="G1010" s="7">
        <v>14.3</v>
      </c>
      <c r="H1010" s="7">
        <v>14.2</v>
      </c>
      <c r="I1010" s="7">
        <v>14.4</v>
      </c>
      <c r="J1010" s="7">
        <v>14.2</v>
      </c>
      <c r="K1010" s="7">
        <v>14.3</v>
      </c>
      <c r="L1010" s="7">
        <v>14.4</v>
      </c>
      <c r="M1010" s="7">
        <v>14.3</v>
      </c>
      <c r="N1010" s="7">
        <v>14.2</v>
      </c>
      <c r="O1010" s="7">
        <v>14.3</v>
      </c>
      <c r="P1010" s="7">
        <v>14.1</v>
      </c>
      <c r="Q1010" s="7">
        <v>13.6</v>
      </c>
      <c r="R1010" s="7">
        <v>13.6</v>
      </c>
      <c r="S1010">
        <f>Tableau1[[#This Row],[Final_time]]-SUM(Tableau1[[#This Row],[0_100m]:[1300_1400m]])</f>
        <v>13.840000000000003</v>
      </c>
      <c r="T1010" s="7">
        <v>210.84</v>
      </c>
      <c r="U1010">
        <f t="shared" si="30"/>
        <v>210.84</v>
      </c>
      <c r="V1010">
        <f t="shared" si="31"/>
        <v>0</v>
      </c>
      <c r="W1010" s="12"/>
      <c r="X1010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10" t="s">
        <v>1368</v>
      </c>
      <c r="Z1010" s="2" t="s">
        <v>43</v>
      </c>
      <c r="AA1010" s="2"/>
      <c r="AB1010" s="2" t="s">
        <v>65</v>
      </c>
      <c r="AC1010" s="2">
        <v>45897</v>
      </c>
      <c r="AD1010" s="3">
        <v>2025</v>
      </c>
      <c r="AE1010" s="3">
        <v>19</v>
      </c>
      <c r="AF1010" s="5">
        <v>0.88</v>
      </c>
      <c r="AG1010" s="3" t="s">
        <v>63</v>
      </c>
    </row>
    <row r="1011" spans="1:33" hidden="1" x14ac:dyDescent="0.35">
      <c r="A1011" t="str">
        <f>_xlfn.CONCAT(Tableau1[[#This Row],[Athletes]],"_",Tableau1[[#This Row],[Nationality]],"_",Tableau1[[#This Row],[Competition_year]])</f>
        <v>Isaac NADER_POR_2025</v>
      </c>
      <c r="B1011" s="7" t="s">
        <v>191</v>
      </c>
      <c r="C1011" s="7" t="s">
        <v>16</v>
      </c>
      <c r="D1011" s="7" t="s">
        <v>33</v>
      </c>
      <c r="E1011" s="7">
        <v>13.8</v>
      </c>
      <c r="F1011" s="7">
        <v>13.8</v>
      </c>
      <c r="G1011" s="7">
        <v>14.5</v>
      </c>
      <c r="H1011" s="7">
        <v>14.1</v>
      </c>
      <c r="I1011" s="7">
        <v>14.2</v>
      </c>
      <c r="J1011" s="7">
        <v>14.4</v>
      </c>
      <c r="K1011" s="7">
        <v>14.1</v>
      </c>
      <c r="L1011" s="7">
        <v>14.5</v>
      </c>
      <c r="M1011" s="7">
        <v>14.2</v>
      </c>
      <c r="N1011" s="7">
        <v>14.3</v>
      </c>
      <c r="O1011" s="7">
        <v>14.3</v>
      </c>
      <c r="P1011" s="7">
        <v>14.3</v>
      </c>
      <c r="Q1011" s="7">
        <v>14.1</v>
      </c>
      <c r="R1011" s="7">
        <v>14.1</v>
      </c>
      <c r="S1011">
        <f>Tableau1[[#This Row],[Final_time]]-SUM(Tableau1[[#This Row],[0_100m]:[1300_1400m]])</f>
        <v>16.999999999999972</v>
      </c>
      <c r="T1011" s="7">
        <v>215.7</v>
      </c>
      <c r="U1011">
        <f t="shared" si="30"/>
        <v>215.7</v>
      </c>
      <c r="V1011">
        <f t="shared" si="31"/>
        <v>0</v>
      </c>
      <c r="W1011" s="12"/>
      <c r="X1011" t="str">
        <f>_xlfn.CONCAT(Tableau1[[#This Row],[Competition]],"_",Tableau1[[#This Row],[Championship_step]],"_",Tableau1[[#This Row],[Competition_date]],"_",Tableau1[[#This Row],[Gender]])</f>
        <v>Diamond League Zurich 2025__45897_Male</v>
      </c>
      <c r="Y1011" t="s">
        <v>1368</v>
      </c>
      <c r="Z1011" s="2" t="s">
        <v>43</v>
      </c>
      <c r="AA1011" s="2"/>
      <c r="AB1011" s="2" t="s">
        <v>65</v>
      </c>
      <c r="AC1011" s="2">
        <v>45897</v>
      </c>
      <c r="AD1011" s="3">
        <v>2025</v>
      </c>
      <c r="AE1011" s="3">
        <v>19</v>
      </c>
      <c r="AF1011" s="5">
        <v>0.88</v>
      </c>
      <c r="AG1011" s="3" t="s">
        <v>63</v>
      </c>
    </row>
    <row r="1012" spans="1:33" x14ac:dyDescent="0.35">
      <c r="A1012" t="str">
        <f>_xlfn.CONCAT(Tableau1[[#This Row],[Athletes]],"_",Tableau1[[#This Row],[Nationality]],"_",Tableau1[[#This Row],[Competition_year]])</f>
        <v>Faith KIPYEGON_KEN_2021</v>
      </c>
      <c r="B1012" t="s">
        <v>164</v>
      </c>
      <c r="C1012" t="s">
        <v>47</v>
      </c>
      <c r="D1012" t="s">
        <v>17</v>
      </c>
      <c r="E1012">
        <v>15.7</v>
      </c>
      <c r="F1012">
        <v>15.5</v>
      </c>
      <c r="G1012">
        <v>15.500000000000004</v>
      </c>
      <c r="H1012">
        <v>16.299999999999997</v>
      </c>
      <c r="I1012">
        <v>16.200000000000003</v>
      </c>
      <c r="J1012">
        <v>16.200000000000003</v>
      </c>
      <c r="K1012">
        <v>15.899999999999991</v>
      </c>
      <c r="L1012">
        <v>15.799999999999997</v>
      </c>
      <c r="M1012">
        <v>15.700000000000017</v>
      </c>
      <c r="N1012">
        <v>15.599999999999994</v>
      </c>
      <c r="O1012">
        <v>15.599999999999994</v>
      </c>
      <c r="P1012">
        <v>15.5</v>
      </c>
      <c r="Q1012">
        <v>14.099999999999994</v>
      </c>
      <c r="R1012">
        <v>14.200000000000017</v>
      </c>
      <c r="S1012">
        <f>Tableau1[[#This Row],[Final_time]]-SUM(Tableau1[[#This Row],[0_100m]:[1300_1400m]])</f>
        <v>15.310000000000002</v>
      </c>
      <c r="T1012">
        <v>233.11</v>
      </c>
      <c r="U1012">
        <f t="shared" si="30"/>
        <v>233.11</v>
      </c>
      <c r="V1012">
        <f t="shared" si="31"/>
        <v>0</v>
      </c>
      <c r="W1012" s="12"/>
      <c r="X1012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2" t="s">
        <v>349</v>
      </c>
      <c r="Z1012" s="2" t="s">
        <v>110</v>
      </c>
      <c r="AA1012" s="2" t="s">
        <v>132</v>
      </c>
      <c r="AB1012" s="2" t="s">
        <v>65</v>
      </c>
      <c r="AC1012" s="2">
        <v>44414</v>
      </c>
      <c r="AD1012">
        <v>2021</v>
      </c>
      <c r="AE1012" s="3"/>
      <c r="AG1012" s="3"/>
    </row>
    <row r="1013" spans="1:33" x14ac:dyDescent="0.35">
      <c r="A1013" t="str">
        <f>_xlfn.CONCAT(Tableau1[[#This Row],[Athletes]],"_",Tableau1[[#This Row],[Nationality]],"_",Tableau1[[#This Row],[Competition_year]])</f>
        <v>Elle ST. PIERRE_USA_2021</v>
      </c>
      <c r="B1013" t="s">
        <v>247</v>
      </c>
      <c r="C1013" t="s">
        <v>47</v>
      </c>
      <c r="D1013" t="s">
        <v>51</v>
      </c>
      <c r="E1013">
        <v>15.1</v>
      </c>
      <c r="F1013">
        <v>16</v>
      </c>
      <c r="G1013">
        <v>15.899999999999999</v>
      </c>
      <c r="H1013">
        <v>16.399999999999999</v>
      </c>
      <c r="I1013">
        <v>16.199999999999996</v>
      </c>
      <c r="J1013">
        <v>16.5</v>
      </c>
      <c r="K1013">
        <v>16.200000000000003</v>
      </c>
      <c r="L1013">
        <v>16.299999999999997</v>
      </c>
      <c r="M1013">
        <v>16.400000000000006</v>
      </c>
      <c r="N1013">
        <v>16.300000000000011</v>
      </c>
      <c r="O1013">
        <v>16.299999999999983</v>
      </c>
      <c r="P1013">
        <v>16.300000000000011</v>
      </c>
      <c r="Q1013">
        <v>16.400000000000006</v>
      </c>
      <c r="R1013">
        <v>15.899999999999977</v>
      </c>
      <c r="S1013">
        <f>Tableau1[[#This Row],[Final_time]]-SUM(Tableau1[[#This Row],[0_100m]:[1300_1400m]])</f>
        <v>15.550000000000011</v>
      </c>
      <c r="T1013">
        <v>241.75</v>
      </c>
      <c r="U1013">
        <f t="shared" si="30"/>
        <v>241.75</v>
      </c>
      <c r="V1013">
        <f t="shared" si="31"/>
        <v>0</v>
      </c>
      <c r="W1013" s="12"/>
      <c r="X1013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3" t="s">
        <v>349</v>
      </c>
      <c r="Z1013" s="2" t="s">
        <v>110</v>
      </c>
      <c r="AA1013" s="2" t="s">
        <v>132</v>
      </c>
      <c r="AB1013" s="2" t="s">
        <v>65</v>
      </c>
      <c r="AC1013" s="2">
        <v>44414</v>
      </c>
      <c r="AD1013">
        <v>2021</v>
      </c>
      <c r="AE1013" s="3"/>
      <c r="AG1013" s="3"/>
    </row>
    <row r="1014" spans="1:33" x14ac:dyDescent="0.35">
      <c r="A1014" t="str">
        <f>_xlfn.CONCAT(Tableau1[[#This Row],[Athletes]],"_",Tableau1[[#This Row],[Nationality]],"_",Tableau1[[#This Row],[Competition_year]])</f>
        <v>Laura MUIR_GBR_2021</v>
      </c>
      <c r="B1014" t="s">
        <v>153</v>
      </c>
      <c r="C1014" t="s">
        <v>47</v>
      </c>
      <c r="D1014" t="s">
        <v>20</v>
      </c>
      <c r="E1014">
        <v>15.6</v>
      </c>
      <c r="F1014">
        <v>15.9</v>
      </c>
      <c r="G1014">
        <v>15.200000000000003</v>
      </c>
      <c r="H1014">
        <v>16.399999999999999</v>
      </c>
      <c r="I1014">
        <v>16.300000000000004</v>
      </c>
      <c r="J1014">
        <v>16.299999999999997</v>
      </c>
      <c r="K1014">
        <v>15.899999999999991</v>
      </c>
      <c r="L1014">
        <v>15.900000000000006</v>
      </c>
      <c r="M1014">
        <v>15.5</v>
      </c>
      <c r="N1014">
        <v>15.599999999999994</v>
      </c>
      <c r="O1014">
        <v>15.599999999999994</v>
      </c>
      <c r="P1014">
        <v>15.5</v>
      </c>
      <c r="Q1014">
        <v>14.300000000000011</v>
      </c>
      <c r="R1014">
        <v>14.800000000000011</v>
      </c>
      <c r="S1014">
        <f>Tableau1[[#This Row],[Final_time]]-SUM(Tableau1[[#This Row],[0_100m]:[1300_1400m]])</f>
        <v>15.699999999999989</v>
      </c>
      <c r="T1014">
        <v>234.5</v>
      </c>
      <c r="U1014">
        <f t="shared" si="30"/>
        <v>234.5</v>
      </c>
      <c r="V1014">
        <f t="shared" si="31"/>
        <v>0</v>
      </c>
      <c r="W1014" s="12"/>
      <c r="X1014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4" t="s">
        <v>349</v>
      </c>
      <c r="Z1014" s="2" t="s">
        <v>110</v>
      </c>
      <c r="AA1014" s="2" t="s">
        <v>132</v>
      </c>
      <c r="AB1014" s="2" t="s">
        <v>65</v>
      </c>
      <c r="AC1014" s="2">
        <v>44414</v>
      </c>
      <c r="AD1014">
        <v>2021</v>
      </c>
      <c r="AE1014" s="3"/>
      <c r="AG1014" s="3"/>
    </row>
    <row r="1015" spans="1:33" x14ac:dyDescent="0.35">
      <c r="A1015" t="str">
        <f>_xlfn.CONCAT(Tableau1[[#This Row],[Athletes]],"_",Tableau1[[#This Row],[Nationality]],"_",Tableau1[[#This Row],[Competition_year]])</f>
        <v>Linden HALL_AUS_2021</v>
      </c>
      <c r="B1015" t="s">
        <v>184</v>
      </c>
      <c r="C1015" t="s">
        <v>47</v>
      </c>
      <c r="D1015" t="s">
        <v>21</v>
      </c>
      <c r="E1015">
        <v>15.2</v>
      </c>
      <c r="F1015">
        <v>16.2</v>
      </c>
      <c r="G1015">
        <v>15.899999999999999</v>
      </c>
      <c r="H1015">
        <v>16.5</v>
      </c>
      <c r="I1015">
        <v>16.299999999999997</v>
      </c>
      <c r="J1015">
        <v>16.5</v>
      </c>
      <c r="K1015">
        <v>16.200000000000003</v>
      </c>
      <c r="L1015">
        <v>16.100000000000009</v>
      </c>
      <c r="M1015">
        <v>15.699999999999989</v>
      </c>
      <c r="N1015">
        <v>15.800000000000011</v>
      </c>
      <c r="O1015">
        <v>15.799999999999983</v>
      </c>
      <c r="P1015">
        <v>15.600000000000023</v>
      </c>
      <c r="Q1015">
        <v>15.599999999999994</v>
      </c>
      <c r="R1015">
        <v>15.900000000000006</v>
      </c>
      <c r="S1015">
        <f>Tableau1[[#This Row],[Final_time]]-SUM(Tableau1[[#This Row],[0_100m]:[1300_1400m]])</f>
        <v>15.70999999999998</v>
      </c>
      <c r="T1015">
        <v>239.01</v>
      </c>
      <c r="U1015">
        <f t="shared" si="30"/>
        <v>239.01</v>
      </c>
      <c r="V1015">
        <f t="shared" si="31"/>
        <v>0</v>
      </c>
      <c r="W1015" s="12"/>
      <c r="X1015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5" t="s">
        <v>349</v>
      </c>
      <c r="Z1015" s="2" t="s">
        <v>110</v>
      </c>
      <c r="AA1015" s="2" t="s">
        <v>132</v>
      </c>
      <c r="AB1015" s="2" t="s">
        <v>65</v>
      </c>
      <c r="AC1015" s="2">
        <v>44414</v>
      </c>
      <c r="AD1015">
        <v>2021</v>
      </c>
      <c r="AE1015" s="3"/>
      <c r="AG1015" s="3"/>
    </row>
    <row r="1016" spans="1:33" x14ac:dyDescent="0.35">
      <c r="A1016" t="str">
        <f>_xlfn.CONCAT(Tableau1[[#This Row],[Athletes]],"_",Tableau1[[#This Row],[Nationality]],"_",Tableau1[[#This Row],[Competition_year]])</f>
        <v>Winnie NANYONDO_UGA_2021</v>
      </c>
      <c r="B1016" t="s">
        <v>241</v>
      </c>
      <c r="C1016" t="s">
        <v>47</v>
      </c>
      <c r="D1016" t="s">
        <v>52</v>
      </c>
      <c r="E1016">
        <v>15</v>
      </c>
      <c r="F1016">
        <v>16.3</v>
      </c>
      <c r="G1016">
        <v>15.900000000000002</v>
      </c>
      <c r="H1016">
        <v>16.399999999999999</v>
      </c>
      <c r="I1016">
        <v>16.300000000000004</v>
      </c>
      <c r="J1016">
        <v>16.399999999999991</v>
      </c>
      <c r="K1016">
        <v>16.100000000000009</v>
      </c>
      <c r="L1016">
        <v>16</v>
      </c>
      <c r="M1016">
        <v>16.199999999999989</v>
      </c>
      <c r="N1016">
        <v>16.400000000000006</v>
      </c>
      <c r="O1016">
        <v>15.900000000000006</v>
      </c>
      <c r="P1016">
        <v>15.799999999999983</v>
      </c>
      <c r="Q1016">
        <v>15.600000000000023</v>
      </c>
      <c r="R1016">
        <v>15.699999999999989</v>
      </c>
      <c r="S1016">
        <f>Tableau1[[#This Row],[Final_time]]-SUM(Tableau1[[#This Row],[0_100m]:[1300_1400m]])</f>
        <v>15.800000000000011</v>
      </c>
      <c r="T1016">
        <v>239.8</v>
      </c>
      <c r="U1016">
        <f t="shared" si="30"/>
        <v>239.8</v>
      </c>
      <c r="V1016">
        <f t="shared" si="31"/>
        <v>0</v>
      </c>
      <c r="W1016" s="12"/>
      <c r="X1016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6" t="s">
        <v>349</v>
      </c>
      <c r="Z1016" s="2" t="s">
        <v>110</v>
      </c>
      <c r="AA1016" s="2" t="s">
        <v>132</v>
      </c>
      <c r="AB1016" s="2" t="s">
        <v>65</v>
      </c>
      <c r="AC1016" s="2">
        <v>44414</v>
      </c>
      <c r="AD1016">
        <v>2021</v>
      </c>
      <c r="AE1016" s="3"/>
      <c r="AG1016" s="3"/>
    </row>
    <row r="1017" spans="1:33" x14ac:dyDescent="0.35">
      <c r="A1017" t="str">
        <f>_xlfn.CONCAT(Tableau1[[#This Row],[Athletes]],"_",Tableau1[[#This Row],[Nationality]],"_",Tableau1[[#This Row],[Competition_year]])</f>
        <v>Marta PÉREZ_ESP_2021</v>
      </c>
      <c r="B1017" t="s">
        <v>183</v>
      </c>
      <c r="C1017" t="s">
        <v>47</v>
      </c>
      <c r="D1017" t="s">
        <v>22</v>
      </c>
      <c r="E1017">
        <v>15.1</v>
      </c>
      <c r="F1017">
        <v>16.5</v>
      </c>
      <c r="G1017">
        <v>15.899999999999999</v>
      </c>
      <c r="H1017">
        <v>16.399999999999999</v>
      </c>
      <c r="I1017">
        <v>16.300000000000004</v>
      </c>
      <c r="J1017">
        <v>16.5</v>
      </c>
      <c r="K1017">
        <v>15.899999999999991</v>
      </c>
      <c r="L1017">
        <v>16.099999999999994</v>
      </c>
      <c r="M1017">
        <v>16.100000000000023</v>
      </c>
      <c r="N1017">
        <v>16.199999999999989</v>
      </c>
      <c r="O1017">
        <v>15.699999999999989</v>
      </c>
      <c r="P1017">
        <v>15.800000000000011</v>
      </c>
      <c r="Q1017">
        <v>16</v>
      </c>
      <c r="R1017">
        <v>15.800000000000011</v>
      </c>
      <c r="S1017">
        <f>Tableau1[[#This Row],[Final_time]]-SUM(Tableau1[[#This Row],[0_100m]:[1300_1400m]])</f>
        <v>15.819999999999993</v>
      </c>
      <c r="T1017">
        <v>240.12</v>
      </c>
      <c r="U1017">
        <f t="shared" si="30"/>
        <v>240.12</v>
      </c>
      <c r="V1017">
        <f t="shared" si="31"/>
        <v>0</v>
      </c>
      <c r="W1017" s="12"/>
      <c r="X1017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7" t="s">
        <v>349</v>
      </c>
      <c r="Z1017" s="2" t="s">
        <v>110</v>
      </c>
      <c r="AA1017" s="2" t="s">
        <v>132</v>
      </c>
      <c r="AB1017" s="2" t="s">
        <v>65</v>
      </c>
      <c r="AC1017" s="2">
        <v>44414</v>
      </c>
      <c r="AD1017">
        <v>2021</v>
      </c>
      <c r="AE1017" s="3"/>
      <c r="AG1017" s="3"/>
    </row>
    <row r="1018" spans="1:33" x14ac:dyDescent="0.35">
      <c r="A1018" t="str">
        <f>_xlfn.CONCAT(Tableau1[[#This Row],[Athletes]],"_",Tableau1[[#This Row],[Nationality]],"_",Tableau1[[#This Row],[Competition_year]])</f>
        <v>Nozomi TANAKA_JPN_2021</v>
      </c>
      <c r="B1018" t="s">
        <v>157</v>
      </c>
      <c r="C1018" t="s">
        <v>47</v>
      </c>
      <c r="D1018" t="s">
        <v>69</v>
      </c>
      <c r="E1018">
        <v>15.4</v>
      </c>
      <c r="F1018">
        <v>15.6</v>
      </c>
      <c r="G1018">
        <v>15.899999999999999</v>
      </c>
      <c r="H1018">
        <v>16.399999999999999</v>
      </c>
      <c r="I1018">
        <v>16.200000000000003</v>
      </c>
      <c r="J1018">
        <v>16.299999999999997</v>
      </c>
      <c r="K1018">
        <v>15.900000000000006</v>
      </c>
      <c r="L1018">
        <v>15.899999999999991</v>
      </c>
      <c r="M1018">
        <v>15.800000000000011</v>
      </c>
      <c r="N1018">
        <v>15.900000000000006</v>
      </c>
      <c r="O1018">
        <v>16</v>
      </c>
      <c r="P1018">
        <v>15.599999999999994</v>
      </c>
      <c r="Q1018">
        <v>15.900000000000006</v>
      </c>
      <c r="R1018">
        <v>16.799999999999983</v>
      </c>
      <c r="S1018">
        <f>Tableau1[[#This Row],[Final_time]]-SUM(Tableau1[[#This Row],[0_100m]:[1300_1400m]])</f>
        <v>16.349999999999994</v>
      </c>
      <c r="T1018">
        <v>239.95</v>
      </c>
      <c r="U1018">
        <f t="shared" si="30"/>
        <v>239.95</v>
      </c>
      <c r="V1018">
        <f t="shared" si="31"/>
        <v>0</v>
      </c>
      <c r="W1018" s="12"/>
      <c r="X1018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8" t="s">
        <v>349</v>
      </c>
      <c r="Z1018" s="2" t="s">
        <v>110</v>
      </c>
      <c r="AA1018" s="2" t="s">
        <v>132</v>
      </c>
      <c r="AB1018" s="2" t="s">
        <v>65</v>
      </c>
      <c r="AC1018" s="2">
        <v>44414</v>
      </c>
      <c r="AD1018">
        <v>2021</v>
      </c>
      <c r="AE1018" s="3"/>
      <c r="AG1018" s="3"/>
    </row>
    <row r="1019" spans="1:33" x14ac:dyDescent="0.35">
      <c r="A1019" t="str">
        <f>_xlfn.CONCAT(Tableau1[[#This Row],[Athletes]],"_",Tableau1[[#This Row],[Nationality]],"_",Tableau1[[#This Row],[Competition_year]])</f>
        <v>Freweyni HAILU_ETH_2021</v>
      </c>
      <c r="B1019" t="s">
        <v>144</v>
      </c>
      <c r="C1019" t="s">
        <v>47</v>
      </c>
      <c r="D1019" t="s">
        <v>48</v>
      </c>
      <c r="E1019">
        <v>14.9</v>
      </c>
      <c r="F1019">
        <v>16.799999999999997</v>
      </c>
      <c r="G1019">
        <v>15.2</v>
      </c>
      <c r="H1019">
        <v>16.399999999999999</v>
      </c>
      <c r="I1019">
        <v>16.299999999999997</v>
      </c>
      <c r="J1019">
        <v>16.400000000000006</v>
      </c>
      <c r="K1019">
        <v>16</v>
      </c>
      <c r="L1019">
        <v>15.799999999999997</v>
      </c>
      <c r="M1019">
        <v>15.799999999999997</v>
      </c>
      <c r="N1019">
        <v>15.800000000000011</v>
      </c>
      <c r="O1019">
        <v>15.599999999999994</v>
      </c>
      <c r="P1019">
        <v>15.300000000000011</v>
      </c>
      <c r="Q1019">
        <v>15.299999999999983</v>
      </c>
      <c r="R1019">
        <v>15.599999999999994</v>
      </c>
      <c r="S1019">
        <f>Tableau1[[#This Row],[Final_time]]-SUM(Tableau1[[#This Row],[0_100m]:[1300_1400m]])</f>
        <v>16.400000000000006</v>
      </c>
      <c r="T1019">
        <v>237.6</v>
      </c>
      <c r="U1019">
        <f t="shared" si="30"/>
        <v>237.6</v>
      </c>
      <c r="V1019">
        <f t="shared" si="31"/>
        <v>0</v>
      </c>
      <c r="W1019" s="12"/>
      <c r="X1019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19" t="s">
        <v>349</v>
      </c>
      <c r="Z1019" s="2" t="s">
        <v>110</v>
      </c>
      <c r="AA1019" s="2" t="s">
        <v>132</v>
      </c>
      <c r="AB1019" s="2" t="s">
        <v>65</v>
      </c>
      <c r="AC1019" s="2">
        <v>44414</v>
      </c>
      <c r="AD1019">
        <v>2021</v>
      </c>
      <c r="AE1019" s="3"/>
      <c r="AG1019" s="3"/>
    </row>
    <row r="1020" spans="1:33" x14ac:dyDescent="0.35">
      <c r="A1020" t="str">
        <f>_xlfn.CONCAT(Tableau1[[#This Row],[Athletes]],"_",Tableau1[[#This Row],[Nationality]],"_",Tableau1[[#This Row],[Competition_year]])</f>
        <v>Jessica HULL_AUS_2021</v>
      </c>
      <c r="B1020" t="s">
        <v>187</v>
      </c>
      <c r="C1020" t="s">
        <v>47</v>
      </c>
      <c r="D1020" t="s">
        <v>21</v>
      </c>
      <c r="E1020">
        <v>15.1</v>
      </c>
      <c r="F1020">
        <v>16.100000000000001</v>
      </c>
      <c r="G1020">
        <v>15.900000000000002</v>
      </c>
      <c r="H1020">
        <v>16.399999999999999</v>
      </c>
      <c r="I1020">
        <v>16.299999999999997</v>
      </c>
      <c r="J1020">
        <v>16.400000000000006</v>
      </c>
      <c r="K1020">
        <v>16.099999999999994</v>
      </c>
      <c r="L1020">
        <v>16.200000000000003</v>
      </c>
      <c r="M1020">
        <v>16.199999999999989</v>
      </c>
      <c r="N1020">
        <v>15.800000000000011</v>
      </c>
      <c r="O1020">
        <v>16</v>
      </c>
      <c r="P1020">
        <v>15.900000000000006</v>
      </c>
      <c r="Q1020">
        <v>16.400000000000006</v>
      </c>
      <c r="R1020">
        <v>17.099999999999994</v>
      </c>
      <c r="S1020">
        <f>Tableau1[[#This Row],[Final_time]]-SUM(Tableau1[[#This Row],[0_100m]:[1300_1400m]])</f>
        <v>16.72999999999999</v>
      </c>
      <c r="T1020">
        <v>242.63</v>
      </c>
      <c r="U1020">
        <f t="shared" si="30"/>
        <v>242.63</v>
      </c>
      <c r="V1020">
        <f t="shared" si="31"/>
        <v>0</v>
      </c>
      <c r="W1020" s="12"/>
      <c r="X1020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20" t="s">
        <v>349</v>
      </c>
      <c r="Z1020" s="2" t="s">
        <v>110</v>
      </c>
      <c r="AA1020" s="2" t="s">
        <v>132</v>
      </c>
      <c r="AB1020" s="2" t="s">
        <v>65</v>
      </c>
      <c r="AC1020" s="2">
        <v>44414</v>
      </c>
      <c r="AD1020">
        <v>2021</v>
      </c>
      <c r="AE1020" s="3"/>
      <c r="AG1020" s="3"/>
    </row>
    <row r="1021" spans="1:33" x14ac:dyDescent="0.35">
      <c r="A1021" t="str">
        <f>_xlfn.CONCAT(Tableau1[[#This Row],[Athletes]],"_",Tableau1[[#This Row],[Nationality]],"_",Tableau1[[#This Row],[Competition_year]])</f>
        <v>Sifan HASSAN_NED_2021</v>
      </c>
      <c r="B1021" t="s">
        <v>152</v>
      </c>
      <c r="C1021" t="s">
        <v>47</v>
      </c>
      <c r="D1021" t="s">
        <v>39</v>
      </c>
      <c r="E1021">
        <v>15.9</v>
      </c>
      <c r="F1021">
        <v>15.1</v>
      </c>
      <c r="G1021">
        <v>15.600000000000001</v>
      </c>
      <c r="H1021">
        <v>16.299999999999997</v>
      </c>
      <c r="I1021">
        <v>16.100000000000001</v>
      </c>
      <c r="J1021">
        <v>16.299999999999997</v>
      </c>
      <c r="K1021">
        <v>15.900000000000006</v>
      </c>
      <c r="L1021">
        <v>15.799999999999997</v>
      </c>
      <c r="M1021">
        <v>15.699999999999989</v>
      </c>
      <c r="N1021">
        <v>15.700000000000017</v>
      </c>
      <c r="O1021">
        <v>15.599999999999994</v>
      </c>
      <c r="P1021">
        <v>15.400000000000006</v>
      </c>
      <c r="Q1021">
        <v>14.5</v>
      </c>
      <c r="R1021">
        <v>15.199999999999989</v>
      </c>
      <c r="S1021">
        <f>Tableau1[[#This Row],[Final_time]]-SUM(Tableau1[[#This Row],[0_100m]:[1300_1400m]])</f>
        <v>16.760000000000019</v>
      </c>
      <c r="T1021">
        <v>235.86</v>
      </c>
      <c r="U1021">
        <f t="shared" si="30"/>
        <v>235.86</v>
      </c>
      <c r="V1021">
        <f t="shared" si="31"/>
        <v>0</v>
      </c>
      <c r="W1021" s="12"/>
      <c r="X1021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21" t="s">
        <v>349</v>
      </c>
      <c r="Z1021" s="2" t="s">
        <v>110</v>
      </c>
      <c r="AA1021" s="2" t="s">
        <v>132</v>
      </c>
      <c r="AB1021" s="2" t="s">
        <v>65</v>
      </c>
      <c r="AC1021" s="2">
        <v>44414</v>
      </c>
      <c r="AD1021">
        <v>2021</v>
      </c>
      <c r="AE1021" s="3"/>
      <c r="AG1021" s="3"/>
    </row>
    <row r="1022" spans="1:33" x14ac:dyDescent="0.35">
      <c r="A1022" t="str">
        <f>_xlfn.CONCAT(Tableau1[[#This Row],[Athletes]],"_",Tableau1[[#This Row],[Nationality]],"_",Tableau1[[#This Row],[Competition_year]])</f>
        <v>Gabriela DEBUES-STAFFORD_CAN_2021</v>
      </c>
      <c r="B1022" t="s">
        <v>298</v>
      </c>
      <c r="C1022" t="s">
        <v>47</v>
      </c>
      <c r="D1022" t="s">
        <v>55</v>
      </c>
      <c r="E1022">
        <v>15.3</v>
      </c>
      <c r="F1022">
        <v>15.599999999999998</v>
      </c>
      <c r="G1022">
        <v>15.899999999999999</v>
      </c>
      <c r="H1022">
        <v>16.300000000000004</v>
      </c>
      <c r="I1022">
        <v>16.199999999999996</v>
      </c>
      <c r="J1022">
        <v>16.200000000000003</v>
      </c>
      <c r="K1022">
        <v>16</v>
      </c>
      <c r="L1022">
        <v>15.799999999999997</v>
      </c>
      <c r="M1022">
        <v>15.899999999999991</v>
      </c>
      <c r="N1022">
        <v>15.700000000000017</v>
      </c>
      <c r="O1022">
        <v>15.5</v>
      </c>
      <c r="P1022">
        <v>15.5</v>
      </c>
      <c r="Q1022">
        <v>15.199999999999989</v>
      </c>
      <c r="R1022">
        <v>16.5</v>
      </c>
      <c r="S1022">
        <f>Tableau1[[#This Row],[Final_time]]-SUM(Tableau1[[#This Row],[0_100m]:[1300_1400m]])</f>
        <v>17.330000000000013</v>
      </c>
      <c r="T1022">
        <v>238.93</v>
      </c>
      <c r="U1022">
        <f t="shared" si="30"/>
        <v>238.93</v>
      </c>
      <c r="V1022">
        <f t="shared" si="31"/>
        <v>0</v>
      </c>
      <c r="W1022" s="12"/>
      <c r="X1022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22" t="s">
        <v>349</v>
      </c>
      <c r="Z1022" s="2" t="s">
        <v>110</v>
      </c>
      <c r="AA1022" s="2" t="s">
        <v>132</v>
      </c>
      <c r="AB1022" s="2" t="s">
        <v>65</v>
      </c>
      <c r="AC1022" s="2">
        <v>44414</v>
      </c>
      <c r="AD1022">
        <v>2021</v>
      </c>
      <c r="AE1022" s="3"/>
      <c r="AG1022" s="3"/>
    </row>
    <row r="1023" spans="1:33" x14ac:dyDescent="0.35">
      <c r="A1023" t="str">
        <f>_xlfn.CONCAT(Tableau1[[#This Row],[Athletes]],"_",Tableau1[[#This Row],[Nationality]],"_",Tableau1[[#This Row],[Competition_year]])</f>
        <v>Cory Ann MCGEE_USA_2021</v>
      </c>
      <c r="B1023" t="s">
        <v>181</v>
      </c>
      <c r="C1023" t="s">
        <v>47</v>
      </c>
      <c r="D1023" t="s">
        <v>51</v>
      </c>
      <c r="E1023">
        <v>15.3</v>
      </c>
      <c r="F1023">
        <v>16.099999999999998</v>
      </c>
      <c r="G1023">
        <v>15.899999999999999</v>
      </c>
      <c r="H1023">
        <v>16.400000000000006</v>
      </c>
      <c r="I1023">
        <v>16.299999999999997</v>
      </c>
      <c r="J1023">
        <v>16.5</v>
      </c>
      <c r="K1023">
        <v>16</v>
      </c>
      <c r="L1023">
        <v>16.199999999999989</v>
      </c>
      <c r="M1023">
        <v>16.100000000000023</v>
      </c>
      <c r="N1023">
        <v>16.099999999999994</v>
      </c>
      <c r="O1023">
        <v>16.199999999999989</v>
      </c>
      <c r="P1023">
        <v>16.099999999999994</v>
      </c>
      <c r="Q1023">
        <v>16.5</v>
      </c>
      <c r="R1023">
        <v>17.5</v>
      </c>
      <c r="S1023">
        <f>Tableau1[[#This Row],[Final_time]]-SUM(Tableau1[[#This Row],[0_100m]:[1300_1400m]])</f>
        <v>18.300000000000011</v>
      </c>
      <c r="T1023">
        <v>245.5</v>
      </c>
      <c r="U1023">
        <f t="shared" si="30"/>
        <v>245.5</v>
      </c>
      <c r="V1023">
        <f t="shared" si="31"/>
        <v>0</v>
      </c>
      <c r="W1023" s="12"/>
      <c r="X1023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23" t="s">
        <v>349</v>
      </c>
      <c r="Z1023" s="2" t="s">
        <v>110</v>
      </c>
      <c r="AA1023" s="2" t="s">
        <v>132</v>
      </c>
      <c r="AB1023" s="2" t="s">
        <v>65</v>
      </c>
      <c r="AC1023" s="2">
        <v>44414</v>
      </c>
      <c r="AD1023">
        <v>2021</v>
      </c>
      <c r="AE1023" s="3"/>
      <c r="AG1023" s="3"/>
    </row>
    <row r="1024" spans="1:33" x14ac:dyDescent="0.35">
      <c r="A1024" t="str">
        <f>_xlfn.CONCAT(Tableau1[[#This Row],[Athletes]],"_",Tableau1[[#This Row],[Nationality]],"_",Tableau1[[#This Row],[Competition_year]])</f>
        <v>Kristiina SASÍNEK MÄKI_CZE_2021</v>
      </c>
      <c r="B1024" t="s">
        <v>1046</v>
      </c>
      <c r="C1024" t="s">
        <v>47</v>
      </c>
      <c r="D1024" t="s">
        <v>140</v>
      </c>
      <c r="E1024">
        <v>15.6</v>
      </c>
      <c r="F1024">
        <v>16.100000000000001</v>
      </c>
      <c r="G1024">
        <v>15.8</v>
      </c>
      <c r="H1024">
        <v>16.599999999999994</v>
      </c>
      <c r="I1024">
        <v>16.300000000000011</v>
      </c>
      <c r="J1024">
        <v>16.399999999999991</v>
      </c>
      <c r="K1024">
        <v>16.200000000000003</v>
      </c>
      <c r="L1024">
        <v>16.199999999999989</v>
      </c>
      <c r="M1024">
        <v>16.300000000000011</v>
      </c>
      <c r="N1024">
        <v>16.699999999999989</v>
      </c>
      <c r="O1024">
        <v>16.900000000000006</v>
      </c>
      <c r="P1024">
        <v>17.400000000000006</v>
      </c>
      <c r="Q1024">
        <v>17.599999999999994</v>
      </c>
      <c r="R1024">
        <v>18.800000000000011</v>
      </c>
      <c r="S1024">
        <f>Tableau1[[#This Row],[Final_time]]-SUM(Tableau1[[#This Row],[0_100m]:[1300_1400m]])</f>
        <v>18.859999999999985</v>
      </c>
      <c r="T1024">
        <v>251.76</v>
      </c>
      <c r="U1024">
        <f t="shared" si="30"/>
        <v>251.76</v>
      </c>
      <c r="V1024">
        <f t="shared" si="31"/>
        <v>0</v>
      </c>
      <c r="W1024" s="12"/>
      <c r="X1024" t="str">
        <f>_xlfn.CONCAT(Tableau1[[#This Row],[Competition]],"_",Tableau1[[#This Row],[Championship_step]],"_",Tableau1[[#This Row],[Competition_date]],"_",Tableau1[[#This Row],[Gender]])</f>
        <v>Olympic Games Tokyo 2021_Final_44414_Female</v>
      </c>
      <c r="Y1024" t="s">
        <v>349</v>
      </c>
      <c r="Z1024" s="2" t="s">
        <v>110</v>
      </c>
      <c r="AA1024" s="2" t="s">
        <v>132</v>
      </c>
      <c r="AB1024" s="2" t="s">
        <v>65</v>
      </c>
      <c r="AC1024" s="2">
        <v>44414</v>
      </c>
      <c r="AD1024">
        <v>2021</v>
      </c>
      <c r="AE1024" s="3"/>
      <c r="AG1024" s="3"/>
    </row>
    <row r="1025" spans="1:34" x14ac:dyDescent="0.35">
      <c r="A1025" t="str">
        <f>_xlfn.CONCAT(Tableau1[[#This Row],[Athletes]],"_",Tableau1[[#This Row],[Nationality]],"_",Tableau1[[#This Row],[Competition_year]])</f>
        <v>Jakob INGEBRIGTSEN_NOR_2021</v>
      </c>
      <c r="B1025" t="s">
        <v>151</v>
      </c>
      <c r="C1025" t="s">
        <v>16</v>
      </c>
      <c r="D1025" t="s">
        <v>30</v>
      </c>
      <c r="E1025">
        <v>14.1</v>
      </c>
      <c r="F1025">
        <v>13.700000000000001</v>
      </c>
      <c r="G1025">
        <v>14.2</v>
      </c>
      <c r="H1025">
        <v>14.200000000000003</v>
      </c>
      <c r="I1025">
        <v>14.299999999999997</v>
      </c>
      <c r="J1025">
        <v>13.799999999999997</v>
      </c>
      <c r="K1025">
        <v>13.900000000000006</v>
      </c>
      <c r="L1025">
        <v>13.799999999999997</v>
      </c>
      <c r="M1025">
        <v>14.099999999999994</v>
      </c>
      <c r="N1025">
        <v>13.900000000000006</v>
      </c>
      <c r="O1025">
        <v>13.900000000000006</v>
      </c>
      <c r="P1025">
        <v>13.599999999999994</v>
      </c>
      <c r="Q1025">
        <v>13.699999999999989</v>
      </c>
      <c r="R1025">
        <v>13.5</v>
      </c>
      <c r="S1025">
        <f>Tableau1[[#This Row],[Final_time]]-SUM(Tableau1[[#This Row],[0_100m]:[1300_1400m]])</f>
        <v>13.620000000000005</v>
      </c>
      <c r="T1025">
        <v>208.32</v>
      </c>
      <c r="U1025">
        <f t="shared" si="30"/>
        <v>208.32</v>
      </c>
      <c r="V1025">
        <f t="shared" si="31"/>
        <v>0</v>
      </c>
      <c r="W1025" s="12"/>
      <c r="X1025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25" t="s">
        <v>349</v>
      </c>
      <c r="Z1025" s="2" t="s">
        <v>110</v>
      </c>
      <c r="AA1025" s="2" t="s">
        <v>132</v>
      </c>
      <c r="AB1025" s="2" t="s">
        <v>65</v>
      </c>
      <c r="AC1025" s="2">
        <v>44415</v>
      </c>
      <c r="AD1025">
        <v>2021</v>
      </c>
      <c r="AE1025" s="3"/>
      <c r="AG1025" s="3"/>
    </row>
    <row r="1026" spans="1:34" x14ac:dyDescent="0.35">
      <c r="A1026" t="str">
        <f>_xlfn.CONCAT(Tableau1[[#This Row],[Athletes]],"_",Tableau1[[#This Row],[Nationality]],"_",Tableau1[[#This Row],[Competition_year]])</f>
        <v>Josh KERR_GBR_2021</v>
      </c>
      <c r="B1026" t="s">
        <v>189</v>
      </c>
      <c r="C1026" t="s">
        <v>16</v>
      </c>
      <c r="D1026" t="s">
        <v>20</v>
      </c>
      <c r="E1026">
        <v>13.8</v>
      </c>
      <c r="F1026">
        <v>14.899999999999999</v>
      </c>
      <c r="G1026">
        <v>14.2</v>
      </c>
      <c r="H1026">
        <v>14.399999999999999</v>
      </c>
      <c r="I1026">
        <v>14</v>
      </c>
      <c r="J1026">
        <v>14</v>
      </c>
      <c r="K1026">
        <v>13.900000000000006</v>
      </c>
      <c r="L1026">
        <v>14</v>
      </c>
      <c r="M1026">
        <v>14</v>
      </c>
      <c r="N1026">
        <v>14.100000000000009</v>
      </c>
      <c r="O1026">
        <v>13.599999999999994</v>
      </c>
      <c r="P1026">
        <v>13.5</v>
      </c>
      <c r="Q1026">
        <v>13.5</v>
      </c>
      <c r="R1026">
        <v>13.5</v>
      </c>
      <c r="S1026">
        <f>Tableau1[[#This Row],[Final_time]]-SUM(Tableau1[[#This Row],[0_100m]:[1300_1400m]])</f>
        <v>13.650000000000006</v>
      </c>
      <c r="T1026">
        <v>209.05</v>
      </c>
      <c r="U1026">
        <f t="shared" ref="U1026:U1089" si="32">SUM(E1026:S1026)</f>
        <v>209.05</v>
      </c>
      <c r="V1026">
        <f t="shared" ref="V1026:V1089" si="33">ABS(U1026-T1026)</f>
        <v>0</v>
      </c>
      <c r="W1026" s="12"/>
      <c r="X1026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26" t="s">
        <v>349</v>
      </c>
      <c r="Z1026" s="2" t="s">
        <v>110</v>
      </c>
      <c r="AA1026" s="2" t="s">
        <v>132</v>
      </c>
      <c r="AB1026" s="2" t="s">
        <v>65</v>
      </c>
      <c r="AC1026" s="2">
        <v>44415</v>
      </c>
      <c r="AD1026">
        <v>2021</v>
      </c>
      <c r="AE1026" s="3"/>
      <c r="AG1026" s="3"/>
    </row>
    <row r="1027" spans="1:34" x14ac:dyDescent="0.35">
      <c r="A1027" t="str">
        <f>_xlfn.CONCAT(Tableau1[[#This Row],[Athletes]],"_",Tableau1[[#This Row],[Nationality]],"_",Tableau1[[#This Row],[Competition_year]])</f>
        <v>Cole HOCKER_USA_2021</v>
      </c>
      <c r="B1027" t="s">
        <v>215</v>
      </c>
      <c r="C1027" t="s">
        <v>16</v>
      </c>
      <c r="D1027" t="s">
        <v>51</v>
      </c>
      <c r="E1027">
        <v>14</v>
      </c>
      <c r="F1027">
        <v>14.8</v>
      </c>
      <c r="G1027">
        <v>14.2</v>
      </c>
      <c r="H1027">
        <v>14.399999999999999</v>
      </c>
      <c r="I1027">
        <v>14.399999999999999</v>
      </c>
      <c r="J1027">
        <v>14</v>
      </c>
      <c r="K1027">
        <v>13.799999999999997</v>
      </c>
      <c r="L1027">
        <v>14.200000000000003</v>
      </c>
      <c r="M1027">
        <v>14.200000000000003</v>
      </c>
      <c r="N1027">
        <v>14.5</v>
      </c>
      <c r="O1027">
        <v>14.099999999999994</v>
      </c>
      <c r="P1027">
        <v>13.700000000000017</v>
      </c>
      <c r="Q1027">
        <v>13.699999999999989</v>
      </c>
      <c r="R1027">
        <v>13.5</v>
      </c>
      <c r="S1027">
        <f>Tableau1[[#This Row],[Final_time]]-SUM(Tableau1[[#This Row],[0_100m]:[1300_1400m]])</f>
        <v>13.900000000000006</v>
      </c>
      <c r="T1027">
        <v>211.4</v>
      </c>
      <c r="U1027">
        <f t="shared" si="32"/>
        <v>211.4</v>
      </c>
      <c r="V1027">
        <f t="shared" si="33"/>
        <v>0</v>
      </c>
      <c r="W1027" s="12"/>
      <c r="X1027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27" t="s">
        <v>349</v>
      </c>
      <c r="Z1027" s="2" t="s">
        <v>110</v>
      </c>
      <c r="AA1027" s="2" t="s">
        <v>132</v>
      </c>
      <c r="AB1027" s="2" t="s">
        <v>65</v>
      </c>
      <c r="AC1027" s="2">
        <v>44415</v>
      </c>
      <c r="AD1027">
        <v>2021</v>
      </c>
      <c r="AE1027" s="3"/>
      <c r="AG1027" s="3"/>
    </row>
    <row r="1028" spans="1:34" x14ac:dyDescent="0.35">
      <c r="A1028" t="str">
        <f>_xlfn.CONCAT(Tableau1[[#This Row],[Athletes]],"_",Tableau1[[#This Row],[Nationality]],"_",Tableau1[[#This Row],[Competition_year]])</f>
        <v>Timothy CHERUIYOT_KEN_2021</v>
      </c>
      <c r="B1028" t="s">
        <v>205</v>
      </c>
      <c r="C1028" t="s">
        <v>16</v>
      </c>
      <c r="D1028" t="s">
        <v>17</v>
      </c>
      <c r="E1028">
        <v>14.2</v>
      </c>
      <c r="F1028">
        <v>14.100000000000001</v>
      </c>
      <c r="G1028">
        <v>13.900000000000002</v>
      </c>
      <c r="H1028">
        <v>14.199999999999996</v>
      </c>
      <c r="I1028">
        <v>13.899999999999999</v>
      </c>
      <c r="J1028">
        <v>13.700000000000003</v>
      </c>
      <c r="K1028">
        <v>13.900000000000006</v>
      </c>
      <c r="L1028">
        <v>13.899999999999991</v>
      </c>
      <c r="M1028">
        <v>14</v>
      </c>
      <c r="N1028">
        <v>13.899999999999991</v>
      </c>
      <c r="O1028">
        <v>13.900000000000006</v>
      </c>
      <c r="P1028">
        <v>13.700000000000017</v>
      </c>
      <c r="Q1028">
        <v>13.699999999999989</v>
      </c>
      <c r="R1028">
        <v>13.900000000000006</v>
      </c>
      <c r="S1028">
        <f>Tableau1[[#This Row],[Final_time]]-SUM(Tableau1[[#This Row],[0_100m]:[1300_1400m]])</f>
        <v>14.109999999999985</v>
      </c>
      <c r="T1028">
        <v>209.01</v>
      </c>
      <c r="U1028">
        <f t="shared" si="32"/>
        <v>209.01</v>
      </c>
      <c r="V1028">
        <f t="shared" si="33"/>
        <v>0</v>
      </c>
      <c r="W1028" s="12"/>
      <c r="X1028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28" t="s">
        <v>349</v>
      </c>
      <c r="Z1028" s="2" t="s">
        <v>110</v>
      </c>
      <c r="AA1028" s="2" t="s">
        <v>132</v>
      </c>
      <c r="AB1028" s="2" t="s">
        <v>65</v>
      </c>
      <c r="AC1028" s="2">
        <v>44415</v>
      </c>
      <c r="AD1028">
        <v>2021</v>
      </c>
      <c r="AE1028" s="3"/>
      <c r="AG1028" s="3"/>
    </row>
    <row r="1029" spans="1:34" x14ac:dyDescent="0.35">
      <c r="A1029" t="str">
        <f>_xlfn.CONCAT(Tableau1[[#This Row],[Athletes]],"_",Tableau1[[#This Row],[Nationality]],"_",Tableau1[[#This Row],[Competition_year]])</f>
        <v>Abel KIPSANG_KEN_2021</v>
      </c>
      <c r="B1029" t="s">
        <v>227</v>
      </c>
      <c r="C1029" t="s">
        <v>16</v>
      </c>
      <c r="D1029" t="s">
        <v>17</v>
      </c>
      <c r="E1029">
        <v>13.8</v>
      </c>
      <c r="F1029">
        <v>14.899999999999999</v>
      </c>
      <c r="G1029">
        <v>14.500000000000004</v>
      </c>
      <c r="H1029">
        <v>13.899999999999999</v>
      </c>
      <c r="I1029">
        <v>13.899999999999999</v>
      </c>
      <c r="J1029">
        <v>13.700000000000003</v>
      </c>
      <c r="K1029">
        <v>13.899999999999991</v>
      </c>
      <c r="L1029">
        <v>14.100000000000009</v>
      </c>
      <c r="M1029">
        <v>14.099999999999994</v>
      </c>
      <c r="N1029">
        <v>14.100000000000009</v>
      </c>
      <c r="O1029">
        <v>13.900000000000006</v>
      </c>
      <c r="P1029">
        <v>13.399999999999977</v>
      </c>
      <c r="Q1029">
        <v>13.5</v>
      </c>
      <c r="R1029">
        <v>13.600000000000023</v>
      </c>
      <c r="S1029">
        <f>Tableau1[[#This Row],[Final_time]]-SUM(Tableau1[[#This Row],[0_100m]:[1300_1400m]])</f>
        <v>14.259999999999991</v>
      </c>
      <c r="T1029">
        <v>209.56</v>
      </c>
      <c r="U1029">
        <f t="shared" si="32"/>
        <v>209.56</v>
      </c>
      <c r="V1029">
        <f t="shared" si="33"/>
        <v>0</v>
      </c>
      <c r="W1029" s="12"/>
      <c r="X1029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29" t="s">
        <v>349</v>
      </c>
      <c r="Z1029" s="2" t="s">
        <v>110</v>
      </c>
      <c r="AA1029" s="2" t="s">
        <v>132</v>
      </c>
      <c r="AB1029" s="2" t="s">
        <v>65</v>
      </c>
      <c r="AC1029" s="2">
        <v>44415</v>
      </c>
      <c r="AD1029">
        <v>2021</v>
      </c>
      <c r="AE1029" s="3"/>
      <c r="AG1029" s="3"/>
    </row>
    <row r="1030" spans="1:34" x14ac:dyDescent="0.35">
      <c r="A1030" t="str">
        <f>_xlfn.CONCAT(Tableau1[[#This Row],[Athletes]],"_",Tableau1[[#This Row],[Nationality]],"_",Tableau1[[#This Row],[Competition_year]])</f>
        <v>Jake HEYWARD_GBR_2021</v>
      </c>
      <c r="B1030" t="s">
        <v>341</v>
      </c>
      <c r="C1030" t="s">
        <v>16</v>
      </c>
      <c r="D1030" t="s">
        <v>20</v>
      </c>
      <c r="E1030">
        <v>13.7</v>
      </c>
      <c r="F1030">
        <v>14.600000000000001</v>
      </c>
      <c r="G1030">
        <v>14.499999999999996</v>
      </c>
      <c r="H1030">
        <v>14.300000000000004</v>
      </c>
      <c r="I1030">
        <v>14.100000000000001</v>
      </c>
      <c r="J1030">
        <v>14.299999999999997</v>
      </c>
      <c r="K1030">
        <v>14</v>
      </c>
      <c r="L1030">
        <v>14.200000000000003</v>
      </c>
      <c r="M1030">
        <v>14.399999999999991</v>
      </c>
      <c r="N1030">
        <v>14.599999999999994</v>
      </c>
      <c r="O1030">
        <v>14.200000000000017</v>
      </c>
      <c r="P1030">
        <v>14.400000000000006</v>
      </c>
      <c r="Q1030">
        <v>14.399999999999977</v>
      </c>
      <c r="R1030">
        <v>14.400000000000006</v>
      </c>
      <c r="S1030">
        <f>Tableau1[[#This Row],[Final_time]]-SUM(Tableau1[[#This Row],[0_100m]:[1300_1400m]])</f>
        <v>14.330000000000013</v>
      </c>
      <c r="T1030">
        <v>214.43</v>
      </c>
      <c r="U1030">
        <f t="shared" si="32"/>
        <v>214.43</v>
      </c>
      <c r="V1030">
        <f t="shared" si="33"/>
        <v>0</v>
      </c>
      <c r="W1030" s="12"/>
      <c r="X1030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0" t="s">
        <v>349</v>
      </c>
      <c r="Z1030" s="2" t="s">
        <v>110</v>
      </c>
      <c r="AA1030" s="2" t="s">
        <v>132</v>
      </c>
      <c r="AB1030" s="2" t="s">
        <v>65</v>
      </c>
      <c r="AC1030" s="2">
        <v>44415</v>
      </c>
      <c r="AD1030">
        <v>2021</v>
      </c>
      <c r="AE1030" s="3"/>
      <c r="AG1030" s="3"/>
    </row>
    <row r="1031" spans="1:34" x14ac:dyDescent="0.35">
      <c r="A1031" t="str">
        <f>_xlfn.CONCAT(Tableau1[[#This Row],[Athletes]],"_",Tableau1[[#This Row],[Nationality]],"_",Tableau1[[#This Row],[Competition_year]])</f>
        <v>Adel MECHAAL_ESP_2021</v>
      </c>
      <c r="B1031" t="s">
        <v>190</v>
      </c>
      <c r="C1031" t="s">
        <v>16</v>
      </c>
      <c r="D1031" t="s">
        <v>22</v>
      </c>
      <c r="E1031">
        <v>14.4</v>
      </c>
      <c r="F1031">
        <v>14.299999999999999</v>
      </c>
      <c r="G1031">
        <v>14.3</v>
      </c>
      <c r="H1031">
        <v>14.399999999999999</v>
      </c>
      <c r="I1031">
        <v>14.199999999999996</v>
      </c>
      <c r="J1031">
        <v>14</v>
      </c>
      <c r="K1031">
        <v>13.800000000000011</v>
      </c>
      <c r="L1031">
        <v>14</v>
      </c>
      <c r="M1031">
        <v>14.099999999999994</v>
      </c>
      <c r="N1031">
        <v>14</v>
      </c>
      <c r="O1031">
        <v>13.699999999999989</v>
      </c>
      <c r="P1031">
        <v>13.5</v>
      </c>
      <c r="Q1031">
        <v>13.800000000000011</v>
      </c>
      <c r="R1031">
        <v>13.900000000000006</v>
      </c>
      <c r="S1031">
        <f>Tableau1[[#This Row],[Final_time]]-SUM(Tableau1[[#This Row],[0_100m]:[1300_1400m]])</f>
        <v>14.370000000000005</v>
      </c>
      <c r="T1031">
        <v>210.77</v>
      </c>
      <c r="U1031">
        <f t="shared" si="32"/>
        <v>210.77</v>
      </c>
      <c r="V1031">
        <f t="shared" si="33"/>
        <v>0</v>
      </c>
      <c r="W1031" s="12"/>
      <c r="X1031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1" t="s">
        <v>349</v>
      </c>
      <c r="Z1031" s="2" t="s">
        <v>110</v>
      </c>
      <c r="AA1031" s="2" t="s">
        <v>132</v>
      </c>
      <c r="AB1031" s="2" t="s">
        <v>65</v>
      </c>
      <c r="AC1031" s="2">
        <v>44415</v>
      </c>
      <c r="AD1031">
        <v>2021</v>
      </c>
      <c r="AE1031" s="3"/>
      <c r="AG1031" s="3"/>
    </row>
    <row r="1032" spans="1:34" x14ac:dyDescent="0.35">
      <c r="A1032" t="str">
        <f>_xlfn.CONCAT(Tableau1[[#This Row],[Athletes]],"_",Tableau1[[#This Row],[Nationality]],"_",Tableau1[[#This Row],[Competition_year]])</f>
        <v>Oliver HOARE_AUS_2021</v>
      </c>
      <c r="B1032" t="s">
        <v>249</v>
      </c>
      <c r="C1032" t="s">
        <v>16</v>
      </c>
      <c r="D1032" t="s">
        <v>21</v>
      </c>
      <c r="E1032">
        <v>13.6</v>
      </c>
      <c r="F1032">
        <v>14.4</v>
      </c>
      <c r="G1032">
        <v>14.200000000000003</v>
      </c>
      <c r="H1032">
        <v>14.199999999999996</v>
      </c>
      <c r="I1032">
        <v>14.300000000000004</v>
      </c>
      <c r="J1032">
        <v>14</v>
      </c>
      <c r="K1032">
        <v>14.099999999999994</v>
      </c>
      <c r="L1032">
        <v>14.200000000000003</v>
      </c>
      <c r="M1032">
        <v>14.599999999999994</v>
      </c>
      <c r="N1032">
        <v>14.400000000000006</v>
      </c>
      <c r="O1032">
        <v>14.800000000000011</v>
      </c>
      <c r="P1032">
        <v>14.299999999999983</v>
      </c>
      <c r="Q1032">
        <v>15.099999999999994</v>
      </c>
      <c r="R1032">
        <v>15.100000000000023</v>
      </c>
      <c r="S1032">
        <f>Tableau1[[#This Row],[Final_time]]-SUM(Tableau1[[#This Row],[0_100m]:[1300_1400m]])</f>
        <v>14.489999999999981</v>
      </c>
      <c r="T1032">
        <v>215.79</v>
      </c>
      <c r="U1032">
        <f t="shared" si="32"/>
        <v>215.79</v>
      </c>
      <c r="V1032">
        <f t="shared" si="33"/>
        <v>0</v>
      </c>
      <c r="W1032" s="12"/>
      <c r="X1032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2" t="s">
        <v>349</v>
      </c>
      <c r="Z1032" s="2" t="s">
        <v>110</v>
      </c>
      <c r="AA1032" s="2" t="s">
        <v>132</v>
      </c>
      <c r="AB1032" s="2" t="s">
        <v>65</v>
      </c>
      <c r="AC1032" s="2">
        <v>44415</v>
      </c>
      <c r="AD1032">
        <v>2021</v>
      </c>
      <c r="AE1032" s="3"/>
      <c r="AG1032" s="3"/>
    </row>
    <row r="1033" spans="1:34" x14ac:dyDescent="0.35">
      <c r="A1033" t="str">
        <f>_xlfn.CONCAT(Tableau1[[#This Row],[Athletes]],"_",Tableau1[[#This Row],[Nationality]],"_",Tableau1[[#This Row],[Competition_year]])</f>
        <v>Michał ROZMYS_POL_2021</v>
      </c>
      <c r="B1033" t="s">
        <v>236</v>
      </c>
      <c r="C1033" t="s">
        <v>16</v>
      </c>
      <c r="D1033" t="s">
        <v>83</v>
      </c>
      <c r="E1033">
        <v>13.8</v>
      </c>
      <c r="F1033">
        <v>14.399999999999999</v>
      </c>
      <c r="G1033">
        <v>14.099999999999998</v>
      </c>
      <c r="H1033">
        <v>14.200000000000003</v>
      </c>
      <c r="I1033">
        <v>14.400000000000006</v>
      </c>
      <c r="J1033">
        <v>14.299999999999997</v>
      </c>
      <c r="K1033">
        <v>13.899999999999991</v>
      </c>
      <c r="L1033">
        <v>14.100000000000009</v>
      </c>
      <c r="M1033">
        <v>14.599999999999994</v>
      </c>
      <c r="N1033">
        <v>14.500000000000014</v>
      </c>
      <c r="O1033">
        <v>14.099999999999994</v>
      </c>
      <c r="P1033">
        <v>13.599999999999994</v>
      </c>
      <c r="Q1033">
        <v>14</v>
      </c>
      <c r="R1033">
        <v>14.099999999999994</v>
      </c>
      <c r="S1033">
        <f>Tableau1[[#This Row],[Final_time]]-SUM(Tableau1[[#This Row],[0_100m]:[1300_1400m]])</f>
        <v>14.569999999999993</v>
      </c>
      <c r="T1033">
        <v>212.67</v>
      </c>
      <c r="U1033">
        <f t="shared" si="32"/>
        <v>212.67</v>
      </c>
      <c r="V1033">
        <f t="shared" si="33"/>
        <v>0</v>
      </c>
      <c r="W1033" s="12"/>
      <c r="X1033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3" t="s">
        <v>349</v>
      </c>
      <c r="Z1033" s="2" t="s">
        <v>110</v>
      </c>
      <c r="AA1033" s="2" t="s">
        <v>132</v>
      </c>
      <c r="AB1033" s="2" t="s">
        <v>65</v>
      </c>
      <c r="AC1033" s="2">
        <v>44415</v>
      </c>
      <c r="AD1033">
        <v>2021</v>
      </c>
      <c r="AE1033" s="3"/>
      <c r="AG1033" s="3"/>
    </row>
    <row r="1034" spans="1:34" x14ac:dyDescent="0.35">
      <c r="A1034" t="str">
        <f>_xlfn.CONCAT(Tableau1[[#This Row],[Athletes]],"_",Tableau1[[#This Row],[Nationality]],"_",Tableau1[[#This Row],[Competition_year]])</f>
        <v>Stewart MCSWEYN_AUS_2021</v>
      </c>
      <c r="B1034" t="s">
        <v>219</v>
      </c>
      <c r="C1034" t="s">
        <v>16</v>
      </c>
      <c r="D1034" t="s">
        <v>21</v>
      </c>
      <c r="E1034">
        <v>14.2</v>
      </c>
      <c r="F1034">
        <v>14.100000000000001</v>
      </c>
      <c r="G1034">
        <v>14.099999999999998</v>
      </c>
      <c r="H1034">
        <v>14.200000000000003</v>
      </c>
      <c r="I1034">
        <v>15.100000000000001</v>
      </c>
      <c r="J1034">
        <v>12.799999999999997</v>
      </c>
      <c r="K1034">
        <v>13.900000000000006</v>
      </c>
      <c r="L1034">
        <v>13.899999999999991</v>
      </c>
      <c r="M1034">
        <v>14</v>
      </c>
      <c r="N1034">
        <v>13.899999999999991</v>
      </c>
      <c r="O1034">
        <v>14.100000000000023</v>
      </c>
      <c r="P1034">
        <v>14.099999999999994</v>
      </c>
      <c r="Q1034">
        <v>14.400000000000006</v>
      </c>
      <c r="R1034">
        <v>14.399999999999977</v>
      </c>
      <c r="S1034">
        <f>Tableau1[[#This Row],[Final_time]]-SUM(Tableau1[[#This Row],[0_100m]:[1300_1400m]])</f>
        <v>14.710000000000008</v>
      </c>
      <c r="T1034">
        <v>211.91</v>
      </c>
      <c r="U1034">
        <f t="shared" si="32"/>
        <v>211.91</v>
      </c>
      <c r="V1034">
        <f t="shared" si="33"/>
        <v>0</v>
      </c>
      <c r="W1034" s="12"/>
      <c r="X1034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4" t="s">
        <v>349</v>
      </c>
      <c r="Z1034" s="2" t="s">
        <v>110</v>
      </c>
      <c r="AA1034" s="2" t="s">
        <v>132</v>
      </c>
      <c r="AB1034" s="2" t="s">
        <v>65</v>
      </c>
      <c r="AC1034" s="2">
        <v>44415</v>
      </c>
      <c r="AD1034">
        <v>2021</v>
      </c>
      <c r="AE1034" s="3"/>
      <c r="AG1034" s="3"/>
    </row>
    <row r="1035" spans="1:34" x14ac:dyDescent="0.35">
      <c r="A1035" t="str">
        <f>_xlfn.CONCAT(Tableau1[[#This Row],[Athletes]],"_",Tableau1[[#This Row],[Nationality]],"_",Tableau1[[#This Row],[Competition_year]])</f>
        <v>Jake WIGHTMAN_GBR_2021</v>
      </c>
      <c r="B1035" t="s">
        <v>150</v>
      </c>
      <c r="C1035" t="s">
        <v>16</v>
      </c>
      <c r="D1035" t="s">
        <v>20</v>
      </c>
      <c r="E1035">
        <v>13.8</v>
      </c>
      <c r="F1035">
        <v>14.7</v>
      </c>
      <c r="G1035">
        <v>14</v>
      </c>
      <c r="H1035">
        <v>14.399999999999999</v>
      </c>
      <c r="I1035">
        <v>14.000000000000007</v>
      </c>
      <c r="J1035">
        <v>14</v>
      </c>
      <c r="K1035">
        <v>14.099999999999994</v>
      </c>
      <c r="L1035">
        <v>13.5</v>
      </c>
      <c r="M1035">
        <v>14.400000000000006</v>
      </c>
      <c r="N1035">
        <v>14.299999999999983</v>
      </c>
      <c r="O1035">
        <v>14.300000000000011</v>
      </c>
      <c r="P1035">
        <v>14.199999999999989</v>
      </c>
      <c r="Q1035">
        <v>14.800000000000011</v>
      </c>
      <c r="R1035">
        <v>15.400000000000006</v>
      </c>
      <c r="S1035">
        <f>Tableau1[[#This Row],[Final_time]]-SUM(Tableau1[[#This Row],[0_100m]:[1300_1400m]])</f>
        <v>15.189999999999998</v>
      </c>
      <c r="T1035">
        <v>215.09</v>
      </c>
      <c r="U1035">
        <f t="shared" si="32"/>
        <v>215.09</v>
      </c>
      <c r="V1035">
        <f t="shared" si="33"/>
        <v>0</v>
      </c>
      <c r="W1035" s="12"/>
      <c r="X1035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5" t="s">
        <v>349</v>
      </c>
      <c r="Z1035" s="2" t="s">
        <v>110</v>
      </c>
      <c r="AA1035" s="2" t="s">
        <v>132</v>
      </c>
      <c r="AB1035" s="2" t="s">
        <v>65</v>
      </c>
      <c r="AC1035" s="2">
        <v>44415</v>
      </c>
      <c r="AD1035">
        <v>2021</v>
      </c>
      <c r="AE1035" s="3"/>
      <c r="AG1035" s="3"/>
    </row>
    <row r="1036" spans="1:34" x14ac:dyDescent="0.35">
      <c r="A1036" t="str">
        <f>_xlfn.CONCAT(Tableau1[[#This Row],[Athletes]],"_",Tableau1[[#This Row],[Nationality]],"_",Tableau1[[#This Row],[Competition_year]])</f>
        <v>Ignacio FONTES_ESP_2021</v>
      </c>
      <c r="B1036" t="s">
        <v>251</v>
      </c>
      <c r="C1036" t="s">
        <v>16</v>
      </c>
      <c r="D1036" t="s">
        <v>22</v>
      </c>
      <c r="E1036">
        <v>13.6</v>
      </c>
      <c r="F1036">
        <v>14.6</v>
      </c>
      <c r="G1036">
        <v>14.400000000000002</v>
      </c>
      <c r="H1036">
        <v>14.5</v>
      </c>
      <c r="I1036">
        <v>14.499999999999993</v>
      </c>
      <c r="J1036">
        <v>14.300000000000011</v>
      </c>
      <c r="K1036">
        <v>14.199999999999989</v>
      </c>
      <c r="L1036">
        <v>14.300000000000011</v>
      </c>
      <c r="M1036">
        <v>14.5</v>
      </c>
      <c r="N1036">
        <v>14.699999999999989</v>
      </c>
      <c r="O1036">
        <v>14.900000000000006</v>
      </c>
      <c r="P1036">
        <v>14.5</v>
      </c>
      <c r="Q1036">
        <v>15</v>
      </c>
      <c r="R1036">
        <v>15.300000000000011</v>
      </c>
      <c r="S1036">
        <f>Tableau1[[#This Row],[Final_time]]-SUM(Tableau1[[#This Row],[0_100m]:[1300_1400m]])</f>
        <v>15.259999999999991</v>
      </c>
      <c r="T1036">
        <v>218.56</v>
      </c>
      <c r="U1036">
        <f t="shared" si="32"/>
        <v>218.56</v>
      </c>
      <c r="V1036">
        <f t="shared" si="33"/>
        <v>0</v>
      </c>
      <c r="W1036" s="12"/>
      <c r="X1036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6" t="s">
        <v>349</v>
      </c>
      <c r="Z1036" s="2" t="s">
        <v>110</v>
      </c>
      <c r="AA1036" s="2" t="s">
        <v>132</v>
      </c>
      <c r="AB1036" s="2" t="s">
        <v>65</v>
      </c>
      <c r="AC1036" s="2">
        <v>44415</v>
      </c>
      <c r="AD1036">
        <v>2021</v>
      </c>
      <c r="AE1036" s="3"/>
      <c r="AG1036" s="3"/>
    </row>
    <row r="1037" spans="1:34" x14ac:dyDescent="0.35">
      <c r="A1037" t="str">
        <f>_xlfn.CONCAT(Tableau1[[#This Row],[Athletes]],"_",Tableau1[[#This Row],[Nationality]],"_",Tableau1[[#This Row],[Competition_year]])</f>
        <v>Charles GRETHEN_LUX_2021</v>
      </c>
      <c r="B1037" t="s">
        <v>230</v>
      </c>
      <c r="C1037" t="s">
        <v>16</v>
      </c>
      <c r="D1037" t="s">
        <v>76</v>
      </c>
      <c r="E1037">
        <v>14</v>
      </c>
      <c r="F1037">
        <v>15</v>
      </c>
      <c r="G1037">
        <v>14.200000000000003</v>
      </c>
      <c r="H1037">
        <v>14.299999999999997</v>
      </c>
      <c r="I1037">
        <v>14.400000000000006</v>
      </c>
      <c r="J1037">
        <v>14.099999999999994</v>
      </c>
      <c r="K1037">
        <v>13.799999999999997</v>
      </c>
      <c r="L1037">
        <v>14.200000000000003</v>
      </c>
      <c r="M1037">
        <v>14.300000000000011</v>
      </c>
      <c r="N1037">
        <v>14.599999999999994</v>
      </c>
      <c r="O1037">
        <v>14.400000000000006</v>
      </c>
      <c r="P1037">
        <v>14.299999999999983</v>
      </c>
      <c r="Q1037">
        <v>14.700000000000017</v>
      </c>
      <c r="R1037">
        <v>14.799999999999983</v>
      </c>
      <c r="S1037">
        <f>Tableau1[[#This Row],[Final_time]]-SUM(Tableau1[[#This Row],[0_100m]:[1300_1400m]])</f>
        <v>15.700000000000017</v>
      </c>
      <c r="T1037">
        <v>216.8</v>
      </c>
      <c r="U1037">
        <f t="shared" si="32"/>
        <v>216.8</v>
      </c>
      <c r="V1037">
        <f t="shared" si="33"/>
        <v>0</v>
      </c>
      <c r="W1037" s="12"/>
      <c r="X1037" t="str">
        <f>_xlfn.CONCAT(Tableau1[[#This Row],[Competition]],"_",Tableau1[[#This Row],[Championship_step]],"_",Tableau1[[#This Row],[Competition_date]],"_",Tableau1[[#This Row],[Gender]])</f>
        <v>Olympic Games Tokyo 2021_Final_44415_Male</v>
      </c>
      <c r="Y1037" t="s">
        <v>349</v>
      </c>
      <c r="Z1037" s="2" t="s">
        <v>110</v>
      </c>
      <c r="AA1037" s="2" t="s">
        <v>132</v>
      </c>
      <c r="AB1037" s="2" t="s">
        <v>65</v>
      </c>
      <c r="AC1037" s="2">
        <v>44415</v>
      </c>
      <c r="AD1037">
        <v>2021</v>
      </c>
      <c r="AE1037" s="3"/>
      <c r="AG1037" s="3"/>
    </row>
    <row r="1038" spans="1:34" x14ac:dyDescent="0.35">
      <c r="A1038" t="str">
        <f>_xlfn.CONCAT(Tableau1[[#This Row],[Athletes]],"_",Tableau1[[#This Row],[Nationality]],"_",Tableau1[[#This Row],[Competition_year]])</f>
        <v>Sara KUIVISTO_FIN_2021</v>
      </c>
      <c r="B1038" t="s">
        <v>353</v>
      </c>
      <c r="C1038" t="s">
        <v>47</v>
      </c>
      <c r="D1038" t="s">
        <v>119</v>
      </c>
      <c r="E1038">
        <v>15.9</v>
      </c>
      <c r="F1038">
        <v>16.5</v>
      </c>
      <c r="G1038">
        <v>17.100000000000001</v>
      </c>
      <c r="H1038">
        <v>17.599999999999994</v>
      </c>
      <c r="I1038">
        <v>18</v>
      </c>
      <c r="J1038">
        <v>17.700000000000003</v>
      </c>
      <c r="K1038">
        <v>17.200000000000003</v>
      </c>
      <c r="L1038">
        <v>16.699999999999989</v>
      </c>
      <c r="M1038">
        <v>16.400000000000006</v>
      </c>
      <c r="N1038">
        <v>16.300000000000011</v>
      </c>
      <c r="O1038">
        <v>15.5</v>
      </c>
      <c r="P1038">
        <v>15.199999999999989</v>
      </c>
      <c r="Q1038">
        <v>14.700000000000017</v>
      </c>
      <c r="R1038">
        <v>14.699999999999989</v>
      </c>
      <c r="S1038">
        <f>Tableau1[[#This Row],[Final_time]]-SUM(Tableau1[[#This Row],[0_100m]:[1300_1400m]])</f>
        <v>14.599999999999994</v>
      </c>
      <c r="T1038">
        <v>244.1</v>
      </c>
      <c r="U1038">
        <f t="shared" si="32"/>
        <v>244.1</v>
      </c>
      <c r="V1038">
        <f t="shared" si="33"/>
        <v>0</v>
      </c>
      <c r="W1038" s="12" t="s">
        <v>109</v>
      </c>
      <c r="X1038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38" t="s">
        <v>349</v>
      </c>
      <c r="Z1038" s="2" t="s">
        <v>99</v>
      </c>
      <c r="AA1038" s="2" t="s">
        <v>128</v>
      </c>
      <c r="AB1038" s="2" t="s">
        <v>65</v>
      </c>
      <c r="AC1038" s="2">
        <v>44410</v>
      </c>
      <c r="AD1038">
        <v>2021</v>
      </c>
      <c r="AE1038" s="3"/>
      <c r="AG1038" s="3"/>
      <c r="AH1038" t="s">
        <v>356</v>
      </c>
    </row>
    <row r="1039" spans="1:34" x14ac:dyDescent="0.35">
      <c r="A1039" t="str">
        <f>_xlfn.CONCAT(Tableau1[[#This Row],[Athletes]],"_",Tableau1[[#This Row],[Nationality]],"_",Tableau1[[#This Row],[Competition_year]])</f>
        <v>Winny CHEBET_KEN_2021</v>
      </c>
      <c r="B1039" t="s">
        <v>139</v>
      </c>
      <c r="C1039" t="s">
        <v>47</v>
      </c>
      <c r="D1039" t="s">
        <v>17</v>
      </c>
      <c r="E1039">
        <v>15.9</v>
      </c>
      <c r="F1039">
        <v>16.399999999999999</v>
      </c>
      <c r="G1039">
        <v>16.900000000000006</v>
      </c>
      <c r="H1039">
        <v>17.700000000000003</v>
      </c>
      <c r="I1039">
        <v>18.099999999999994</v>
      </c>
      <c r="J1039">
        <v>17.599999999999994</v>
      </c>
      <c r="K1039">
        <v>17.300000000000011</v>
      </c>
      <c r="L1039">
        <v>16.699999999999989</v>
      </c>
      <c r="M1039">
        <v>16.5</v>
      </c>
      <c r="N1039">
        <v>16.099999999999994</v>
      </c>
      <c r="O1039">
        <v>15.700000000000017</v>
      </c>
      <c r="P1039">
        <v>15.299999999999983</v>
      </c>
      <c r="Q1039">
        <v>14.600000000000023</v>
      </c>
      <c r="R1039">
        <v>14.5</v>
      </c>
      <c r="S1039">
        <f>Tableau1[[#This Row],[Final_time]]-SUM(Tableau1[[#This Row],[0_100m]:[1300_1400m]])</f>
        <v>14.629999999999995</v>
      </c>
      <c r="T1039">
        <v>243.93</v>
      </c>
      <c r="U1039">
        <f t="shared" si="32"/>
        <v>243.93</v>
      </c>
      <c r="V1039">
        <f t="shared" si="33"/>
        <v>0</v>
      </c>
      <c r="W1039" s="12" t="s">
        <v>109</v>
      </c>
      <c r="X1039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39" t="s">
        <v>349</v>
      </c>
      <c r="Z1039" s="2" t="s">
        <v>99</v>
      </c>
      <c r="AA1039" s="2" t="s">
        <v>128</v>
      </c>
      <c r="AB1039" s="2" t="s">
        <v>65</v>
      </c>
      <c r="AC1039" s="2">
        <v>44410</v>
      </c>
      <c r="AD1039">
        <v>2021</v>
      </c>
      <c r="AE1039" s="3"/>
      <c r="AG1039" s="3"/>
      <c r="AH1039" t="s">
        <v>356</v>
      </c>
    </row>
    <row r="1040" spans="1:34" x14ac:dyDescent="0.35">
      <c r="A1040" t="str">
        <f>_xlfn.CONCAT(Tableau1[[#This Row],[Athletes]],"_",Tableau1[[#This Row],[Nationality]],"_",Tableau1[[#This Row],[Competition_year]])</f>
        <v>Gabriela DEBUES-STAFFORD_CAN_2021</v>
      </c>
      <c r="B1040" t="s">
        <v>298</v>
      </c>
      <c r="C1040" t="s">
        <v>47</v>
      </c>
      <c r="D1040" t="s">
        <v>55</v>
      </c>
      <c r="E1040">
        <v>15.4</v>
      </c>
      <c r="F1040">
        <v>16.200000000000003</v>
      </c>
      <c r="G1040">
        <v>17.199999999999996</v>
      </c>
      <c r="H1040">
        <v>17.799999999999997</v>
      </c>
      <c r="I1040">
        <v>18</v>
      </c>
      <c r="J1040">
        <v>17.600000000000009</v>
      </c>
      <c r="K1040">
        <v>17.299999999999997</v>
      </c>
      <c r="L1040">
        <v>16.699999999999989</v>
      </c>
      <c r="M1040">
        <v>16.5</v>
      </c>
      <c r="N1040">
        <v>16.100000000000023</v>
      </c>
      <c r="O1040">
        <v>15.799999999999983</v>
      </c>
      <c r="P1040">
        <v>15.099999999999994</v>
      </c>
      <c r="Q1040">
        <v>14.700000000000017</v>
      </c>
      <c r="R1040">
        <v>14.5</v>
      </c>
      <c r="S1040">
        <f>Tableau1[[#This Row],[Final_time]]-SUM(Tableau1[[#This Row],[0_100m]:[1300_1400m]])</f>
        <v>14.799999999999983</v>
      </c>
      <c r="T1040">
        <v>243.7</v>
      </c>
      <c r="U1040">
        <f t="shared" si="32"/>
        <v>243.7</v>
      </c>
      <c r="V1040">
        <f t="shared" si="33"/>
        <v>0</v>
      </c>
      <c r="W1040" s="12" t="s">
        <v>109</v>
      </c>
      <c r="X1040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0" t="s">
        <v>349</v>
      </c>
      <c r="Z1040" s="2" t="s">
        <v>99</v>
      </c>
      <c r="AA1040" s="2" t="s">
        <v>128</v>
      </c>
      <c r="AB1040" s="2" t="s">
        <v>65</v>
      </c>
      <c r="AC1040" s="2">
        <v>44410</v>
      </c>
      <c r="AD1040">
        <v>2021</v>
      </c>
      <c r="AE1040" s="3"/>
      <c r="AG1040" s="3"/>
      <c r="AH1040" t="s">
        <v>356</v>
      </c>
    </row>
    <row r="1041" spans="1:34" x14ac:dyDescent="0.35">
      <c r="A1041" t="str">
        <f>_xlfn.CONCAT(Tableau1[[#This Row],[Athletes]],"_",Tableau1[[#This Row],[Nationality]],"_",Tableau1[[#This Row],[Competition_year]])</f>
        <v>Freweyni HAILU_ETH_2021</v>
      </c>
      <c r="B1041" t="s">
        <v>144</v>
      </c>
      <c r="C1041" t="s">
        <v>47</v>
      </c>
      <c r="D1041" t="s">
        <v>48</v>
      </c>
      <c r="E1041">
        <v>16.8</v>
      </c>
      <c r="F1041">
        <v>16.7</v>
      </c>
      <c r="G1041">
        <v>16.799999999999997</v>
      </c>
      <c r="H1041">
        <v>17.600000000000009</v>
      </c>
      <c r="I1041">
        <v>18</v>
      </c>
      <c r="J1041">
        <v>17.699999999999989</v>
      </c>
      <c r="K1041">
        <v>16.100000000000009</v>
      </c>
      <c r="L1041">
        <v>16.700000000000003</v>
      </c>
      <c r="M1041">
        <v>16.5</v>
      </c>
      <c r="N1041">
        <v>16.099999999999994</v>
      </c>
      <c r="O1041">
        <v>15.699999999999989</v>
      </c>
      <c r="P1041">
        <v>15.200000000000017</v>
      </c>
      <c r="Q1041">
        <v>14.799999999999983</v>
      </c>
      <c r="R1041">
        <v>14.600000000000023</v>
      </c>
      <c r="S1041">
        <f>Tableau1[[#This Row],[Final_time]]-SUM(Tableau1[[#This Row],[0_100m]:[1300_1400m]])</f>
        <v>14.819999999999993</v>
      </c>
      <c r="T1041">
        <v>244.12</v>
      </c>
      <c r="U1041">
        <f t="shared" si="32"/>
        <v>244.12</v>
      </c>
      <c r="V1041">
        <f t="shared" si="33"/>
        <v>0</v>
      </c>
      <c r="W1041" s="12" t="s">
        <v>109</v>
      </c>
      <c r="X1041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1" t="s">
        <v>349</v>
      </c>
      <c r="Z1041" s="2" t="s">
        <v>99</v>
      </c>
      <c r="AA1041" s="2" t="s">
        <v>128</v>
      </c>
      <c r="AB1041" s="2" t="s">
        <v>65</v>
      </c>
      <c r="AC1041" s="2">
        <v>44410</v>
      </c>
      <c r="AD1041">
        <v>2021</v>
      </c>
      <c r="AE1041" s="3"/>
      <c r="AG1041" s="3"/>
      <c r="AH1041" t="s">
        <v>356</v>
      </c>
    </row>
    <row r="1042" spans="1:34" x14ac:dyDescent="0.35">
      <c r="A1042" t="str">
        <f>_xlfn.CONCAT(Tableau1[[#This Row],[Athletes]],"_",Tableau1[[#This Row],[Nationality]],"_",Tableau1[[#This Row],[Competition_year]])</f>
        <v>Marta PÉREZ_ESP_2021</v>
      </c>
      <c r="B1042" t="s">
        <v>183</v>
      </c>
      <c r="C1042" t="s">
        <v>47</v>
      </c>
      <c r="D1042" t="s">
        <v>22</v>
      </c>
      <c r="E1042">
        <v>15.9</v>
      </c>
      <c r="F1042">
        <v>16.800000000000004</v>
      </c>
      <c r="G1042">
        <v>16.899999999999999</v>
      </c>
      <c r="H1042">
        <v>17.699999999999996</v>
      </c>
      <c r="I1042">
        <v>18</v>
      </c>
      <c r="J1042">
        <v>17.700000000000003</v>
      </c>
      <c r="K1042">
        <v>17.299999999999997</v>
      </c>
      <c r="L1042">
        <v>16.600000000000009</v>
      </c>
      <c r="M1042">
        <v>16.400000000000006</v>
      </c>
      <c r="N1042">
        <v>16</v>
      </c>
      <c r="O1042">
        <v>15.699999999999989</v>
      </c>
      <c r="P1042">
        <v>15.300000000000011</v>
      </c>
      <c r="Q1042">
        <v>14.799999999999983</v>
      </c>
      <c r="R1042">
        <v>14.800000000000011</v>
      </c>
      <c r="S1042">
        <f>Tableau1[[#This Row],[Final_time]]-SUM(Tableau1[[#This Row],[0_100m]:[1300_1400m]])</f>
        <v>14.859999999999985</v>
      </c>
      <c r="T1042">
        <v>244.76</v>
      </c>
      <c r="U1042">
        <f t="shared" si="32"/>
        <v>244.76</v>
      </c>
      <c r="V1042">
        <f t="shared" si="33"/>
        <v>0</v>
      </c>
      <c r="W1042" s="12" t="s">
        <v>142</v>
      </c>
      <c r="X1042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2" t="s">
        <v>349</v>
      </c>
      <c r="Z1042" s="2" t="s">
        <v>99</v>
      </c>
      <c r="AA1042" s="2" t="s">
        <v>128</v>
      </c>
      <c r="AB1042" s="2" t="s">
        <v>65</v>
      </c>
      <c r="AC1042" s="2">
        <v>44410</v>
      </c>
      <c r="AD1042">
        <v>2021</v>
      </c>
      <c r="AE1042" s="3"/>
      <c r="AG1042" s="3"/>
      <c r="AH1042" t="s">
        <v>356</v>
      </c>
    </row>
    <row r="1043" spans="1:34" x14ac:dyDescent="0.35">
      <c r="A1043" t="str">
        <f>_xlfn.CONCAT(Tableau1[[#This Row],[Athletes]],"_",Tableau1[[#This Row],[Nationality]],"_",Tableau1[[#This Row],[Competition_year]])</f>
        <v>Laura MUIR_GBR_2021</v>
      </c>
      <c r="B1043" t="s">
        <v>153</v>
      </c>
      <c r="C1043" t="s">
        <v>47</v>
      </c>
      <c r="D1043" t="s">
        <v>20</v>
      </c>
      <c r="E1043">
        <v>16.600000000000001</v>
      </c>
      <c r="F1043">
        <v>16.799999999999997</v>
      </c>
      <c r="G1043">
        <v>16.700000000000003</v>
      </c>
      <c r="H1043">
        <v>17.600000000000001</v>
      </c>
      <c r="I1043">
        <v>18</v>
      </c>
      <c r="J1043">
        <v>17.599999999999994</v>
      </c>
      <c r="K1043">
        <v>16.200000000000003</v>
      </c>
      <c r="L1043">
        <v>16.699999999999989</v>
      </c>
      <c r="M1043">
        <v>16.5</v>
      </c>
      <c r="N1043">
        <v>16.200000000000017</v>
      </c>
      <c r="O1043">
        <v>15.699999999999989</v>
      </c>
      <c r="P1043">
        <v>15.200000000000017</v>
      </c>
      <c r="Q1043">
        <v>14.599999999999994</v>
      </c>
      <c r="R1043">
        <v>14.599999999999994</v>
      </c>
      <c r="S1043">
        <f>Tableau1[[#This Row],[Final_time]]-SUM(Tableau1[[#This Row],[0_100m]:[1300_1400m]])</f>
        <v>14.889999999999986</v>
      </c>
      <c r="T1043">
        <v>243.89</v>
      </c>
      <c r="U1043">
        <f t="shared" si="32"/>
        <v>243.89</v>
      </c>
      <c r="V1043">
        <f t="shared" si="33"/>
        <v>0</v>
      </c>
      <c r="W1043" s="12" t="s">
        <v>109</v>
      </c>
      <c r="X1043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3" t="s">
        <v>349</v>
      </c>
      <c r="Z1043" s="2" t="s">
        <v>99</v>
      </c>
      <c r="AA1043" s="2" t="s">
        <v>128</v>
      </c>
      <c r="AB1043" s="2" t="s">
        <v>65</v>
      </c>
      <c r="AC1043" s="2">
        <v>44410</v>
      </c>
      <c r="AD1043">
        <v>2021</v>
      </c>
      <c r="AE1043" s="3"/>
      <c r="AG1043" s="3"/>
      <c r="AH1043" t="s">
        <v>356</v>
      </c>
    </row>
    <row r="1044" spans="1:34" x14ac:dyDescent="0.35">
      <c r="A1044" t="str">
        <f>_xlfn.CONCAT(Tableau1[[#This Row],[Athletes]],"_",Tableau1[[#This Row],[Nationality]],"_",Tableau1[[#This Row],[Competition_year]])</f>
        <v>Kristiina SASÍNEK MÄKI_CZE_2021</v>
      </c>
      <c r="B1044" t="s">
        <v>1046</v>
      </c>
      <c r="C1044" t="s">
        <v>47</v>
      </c>
      <c r="D1044" t="s">
        <v>140</v>
      </c>
      <c r="E1044">
        <v>16.2</v>
      </c>
      <c r="F1044">
        <v>16.7</v>
      </c>
      <c r="G1044">
        <v>16.800000000000004</v>
      </c>
      <c r="H1044">
        <v>17.599999999999994</v>
      </c>
      <c r="I1044">
        <v>18.100000000000009</v>
      </c>
      <c r="J1044">
        <v>17.599999999999994</v>
      </c>
      <c r="K1044">
        <v>17.299999999999997</v>
      </c>
      <c r="L1044">
        <v>16.600000000000009</v>
      </c>
      <c r="M1044">
        <v>16.5</v>
      </c>
      <c r="N1044">
        <v>16.299999999999983</v>
      </c>
      <c r="O1044">
        <v>15.400000000000006</v>
      </c>
      <c r="P1044">
        <v>15.300000000000011</v>
      </c>
      <c r="Q1044">
        <v>14.599999999999994</v>
      </c>
      <c r="R1044">
        <v>14.599999999999994</v>
      </c>
      <c r="S1044">
        <f>Tableau1[[#This Row],[Final_time]]-SUM(Tableau1[[#This Row],[0_100m]:[1300_1400m]])</f>
        <v>14.950000000000017</v>
      </c>
      <c r="T1044">
        <v>244.55</v>
      </c>
      <c r="U1044">
        <f t="shared" si="32"/>
        <v>244.55</v>
      </c>
      <c r="V1044">
        <f t="shared" si="33"/>
        <v>0</v>
      </c>
      <c r="W1044" s="12" t="s">
        <v>109</v>
      </c>
      <c r="X1044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4" t="s">
        <v>349</v>
      </c>
      <c r="Z1044" s="2" t="s">
        <v>99</v>
      </c>
      <c r="AA1044" s="2" t="s">
        <v>128</v>
      </c>
      <c r="AB1044" s="2" t="s">
        <v>65</v>
      </c>
      <c r="AC1044" s="2">
        <v>44410</v>
      </c>
      <c r="AD1044">
        <v>2021</v>
      </c>
      <c r="AE1044" s="3"/>
      <c r="AG1044" s="3"/>
      <c r="AH1044" t="s">
        <v>356</v>
      </c>
    </row>
    <row r="1045" spans="1:34" x14ac:dyDescent="0.35">
      <c r="A1045" t="str">
        <f>_xlfn.CONCAT(Tableau1[[#This Row],[Athletes]],"_",Tableau1[[#This Row],[Nationality]],"_",Tableau1[[#This Row],[Competition_year]])</f>
        <v>Cory Ann MCGEE_USA_2021</v>
      </c>
      <c r="B1045" t="s">
        <v>181</v>
      </c>
      <c r="C1045" t="s">
        <v>47</v>
      </c>
      <c r="D1045" t="s">
        <v>51</v>
      </c>
      <c r="E1045">
        <v>16</v>
      </c>
      <c r="F1045">
        <v>16.5</v>
      </c>
      <c r="G1045">
        <v>16.899999999999999</v>
      </c>
      <c r="H1045">
        <v>17.699999999999996</v>
      </c>
      <c r="I1045">
        <v>18</v>
      </c>
      <c r="J1045">
        <v>17.600000000000009</v>
      </c>
      <c r="K1045">
        <v>17.399999999999991</v>
      </c>
      <c r="L1045">
        <v>16.700000000000017</v>
      </c>
      <c r="M1045">
        <v>16.399999999999977</v>
      </c>
      <c r="N1045">
        <v>16.300000000000011</v>
      </c>
      <c r="O1045">
        <v>15.699999999999989</v>
      </c>
      <c r="P1045">
        <v>15.300000000000011</v>
      </c>
      <c r="Q1045">
        <v>14.900000000000006</v>
      </c>
      <c r="R1045">
        <v>14.799999999999983</v>
      </c>
      <c r="S1045">
        <f>Tableau1[[#This Row],[Final_time]]-SUM(Tableau1[[#This Row],[0_100m]:[1300_1400m]])</f>
        <v>14.950000000000017</v>
      </c>
      <c r="T1045">
        <v>245.15</v>
      </c>
      <c r="U1045">
        <f t="shared" si="32"/>
        <v>245.15</v>
      </c>
      <c r="V1045">
        <f t="shared" si="33"/>
        <v>0</v>
      </c>
      <c r="W1045" s="12" t="s">
        <v>142</v>
      </c>
      <c r="X1045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5" t="s">
        <v>349</v>
      </c>
      <c r="Z1045" s="2" t="s">
        <v>99</v>
      </c>
      <c r="AA1045" s="2" t="s">
        <v>128</v>
      </c>
      <c r="AB1045" s="2" t="s">
        <v>65</v>
      </c>
      <c r="AC1045" s="2">
        <v>44410</v>
      </c>
      <c r="AD1045">
        <v>2021</v>
      </c>
      <c r="AE1045" s="3"/>
      <c r="AG1045" s="3"/>
      <c r="AH1045" t="s">
        <v>356</v>
      </c>
    </row>
    <row r="1046" spans="1:34" x14ac:dyDescent="0.35">
      <c r="A1046" t="str">
        <f>_xlfn.CONCAT(Tableau1[[#This Row],[Athletes]],"_",Tableau1[[#This Row],[Nationality]],"_",Tableau1[[#This Row],[Competition_year]])</f>
        <v>Federica DEL BUONO_ITA_2021</v>
      </c>
      <c r="B1046" t="s">
        <v>243</v>
      </c>
      <c r="C1046" t="s">
        <v>47</v>
      </c>
      <c r="D1046" t="s">
        <v>19</v>
      </c>
      <c r="E1046">
        <v>16.7</v>
      </c>
      <c r="F1046">
        <v>16.900000000000002</v>
      </c>
      <c r="G1046">
        <v>16.699999999999996</v>
      </c>
      <c r="H1046">
        <v>17.400000000000006</v>
      </c>
      <c r="I1046">
        <v>18</v>
      </c>
      <c r="J1046">
        <v>17.700000000000003</v>
      </c>
      <c r="K1046">
        <v>17.199999999999989</v>
      </c>
      <c r="L1046">
        <v>16.800000000000011</v>
      </c>
      <c r="M1046">
        <v>16.5</v>
      </c>
      <c r="N1046">
        <v>16</v>
      </c>
      <c r="O1046">
        <v>15.599999999999994</v>
      </c>
      <c r="P1046">
        <v>15.400000000000006</v>
      </c>
      <c r="Q1046">
        <v>15.400000000000006</v>
      </c>
      <c r="R1046">
        <v>15.5</v>
      </c>
      <c r="S1046">
        <f>Tableau1[[#This Row],[Final_time]]-SUM(Tableau1[[#This Row],[0_100m]:[1300_1400m]])</f>
        <v>15.899999999999977</v>
      </c>
      <c r="T1046">
        <v>247.7</v>
      </c>
      <c r="U1046">
        <f t="shared" si="32"/>
        <v>247.7</v>
      </c>
      <c r="V1046">
        <f t="shared" si="33"/>
        <v>0</v>
      </c>
      <c r="W1046" s="12"/>
      <c r="X1046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6" t="s">
        <v>349</v>
      </c>
      <c r="Z1046" s="2" t="s">
        <v>99</v>
      </c>
      <c r="AA1046" s="2" t="s">
        <v>128</v>
      </c>
      <c r="AB1046" s="2" t="s">
        <v>65</v>
      </c>
      <c r="AC1046" s="2">
        <v>44410</v>
      </c>
      <c r="AD1046">
        <v>2021</v>
      </c>
      <c r="AE1046" s="3"/>
      <c r="AG1046" s="3"/>
      <c r="AH1046" t="s">
        <v>356</v>
      </c>
    </row>
    <row r="1047" spans="1:34" x14ac:dyDescent="0.35">
      <c r="A1047" t="str">
        <f>_xlfn.CONCAT(Tableau1[[#This Row],[Athletes]],"_",Tableau1[[#This Row],[Nationality]],"_",Tableau1[[#This Row],[Competition_year]])</f>
        <v>Georgia GRIFFITH_AUS_2021</v>
      </c>
      <c r="B1047" t="s">
        <v>248</v>
      </c>
      <c r="C1047" t="s">
        <v>47</v>
      </c>
      <c r="D1047" t="s">
        <v>21</v>
      </c>
      <c r="E1047">
        <v>16.2</v>
      </c>
      <c r="F1047">
        <v>16.8</v>
      </c>
      <c r="G1047">
        <v>16.799999999999997</v>
      </c>
      <c r="H1047">
        <v>17.600000000000009</v>
      </c>
      <c r="I1047">
        <v>18</v>
      </c>
      <c r="J1047">
        <v>17.699999999999989</v>
      </c>
      <c r="K1047">
        <v>17.300000000000011</v>
      </c>
      <c r="L1047">
        <v>16.900000000000006</v>
      </c>
      <c r="M1047">
        <v>16.5</v>
      </c>
      <c r="N1047">
        <v>16.599999999999994</v>
      </c>
      <c r="O1047">
        <v>16.599999999999994</v>
      </c>
      <c r="P1047">
        <v>16.800000000000011</v>
      </c>
      <c r="Q1047">
        <v>17.5</v>
      </c>
      <c r="R1047">
        <v>17.099999999999994</v>
      </c>
      <c r="S1047">
        <f>Tableau1[[#This Row],[Final_time]]-SUM(Tableau1[[#This Row],[0_100m]:[1300_1400m]])</f>
        <v>16.03</v>
      </c>
      <c r="T1047">
        <v>254.43</v>
      </c>
      <c r="U1047">
        <f t="shared" si="32"/>
        <v>254.43</v>
      </c>
      <c r="V1047">
        <f t="shared" si="33"/>
        <v>0</v>
      </c>
      <c r="W1047" s="12"/>
      <c r="X1047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7" t="s">
        <v>349</v>
      </c>
      <c r="Z1047" s="2" t="s">
        <v>99</v>
      </c>
      <c r="AA1047" s="2" t="s">
        <v>128</v>
      </c>
      <c r="AB1047" s="2" t="s">
        <v>65</v>
      </c>
      <c r="AC1047" s="2">
        <v>44410</v>
      </c>
      <c r="AD1047">
        <v>2021</v>
      </c>
      <c r="AE1047" s="3"/>
      <c r="AG1047" s="3"/>
      <c r="AH1047" t="s">
        <v>356</v>
      </c>
    </row>
    <row r="1048" spans="1:34" x14ac:dyDescent="0.35">
      <c r="A1048" t="str">
        <f>_xlfn.CONCAT(Tableau1[[#This Row],[Athletes]],"_",Tableau1[[#This Row],[Nationality]],"_",Tableau1[[#This Row],[Competition_year]])</f>
        <v>Elise VANDERELST_BEL_2021</v>
      </c>
      <c r="B1048" t="s">
        <v>177</v>
      </c>
      <c r="C1048" t="s">
        <v>47</v>
      </c>
      <c r="D1048" t="s">
        <v>86</v>
      </c>
      <c r="E1048">
        <v>15.6</v>
      </c>
      <c r="F1048">
        <v>16.299999999999997</v>
      </c>
      <c r="G1048">
        <v>17.100000000000001</v>
      </c>
      <c r="H1048">
        <v>17.799999999999997</v>
      </c>
      <c r="I1048">
        <v>18.100000000000009</v>
      </c>
      <c r="J1048">
        <v>17.599999999999994</v>
      </c>
      <c r="K1048">
        <v>17.299999999999997</v>
      </c>
      <c r="L1048">
        <v>16.600000000000009</v>
      </c>
      <c r="M1048">
        <v>16.5</v>
      </c>
      <c r="N1048">
        <v>16.099999999999994</v>
      </c>
      <c r="O1048">
        <v>15.699999999999989</v>
      </c>
      <c r="P1048">
        <v>15.200000000000017</v>
      </c>
      <c r="Q1048">
        <v>14.699999999999989</v>
      </c>
      <c r="R1048">
        <v>14.700000000000017</v>
      </c>
      <c r="S1048">
        <f>Tableau1[[#This Row],[Final_time]]-SUM(Tableau1[[#This Row],[0_100m]:[1300_1400m]])</f>
        <v>16.329999999999984</v>
      </c>
      <c r="T1048">
        <v>245.63</v>
      </c>
      <c r="U1048">
        <f t="shared" si="32"/>
        <v>245.63</v>
      </c>
      <c r="V1048">
        <f t="shared" si="33"/>
        <v>0</v>
      </c>
      <c r="W1048" s="12" t="s">
        <v>142</v>
      </c>
      <c r="X1048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8" t="s">
        <v>349</v>
      </c>
      <c r="Z1048" s="2" t="s">
        <v>99</v>
      </c>
      <c r="AA1048" s="2" t="s">
        <v>128</v>
      </c>
      <c r="AB1048" s="2" t="s">
        <v>65</v>
      </c>
      <c r="AC1048" s="2">
        <v>44410</v>
      </c>
      <c r="AD1048">
        <v>2021</v>
      </c>
      <c r="AE1048" s="3"/>
      <c r="AG1048" s="3"/>
      <c r="AH1048" t="s">
        <v>356</v>
      </c>
    </row>
    <row r="1049" spans="1:34" x14ac:dyDescent="0.35">
      <c r="A1049" t="str">
        <f>_xlfn.CONCAT(Tableau1[[#This Row],[Athletes]],"_",Tableau1[[#This Row],[Nationality]],"_",Tableau1[[#This Row],[Competition_year]])</f>
        <v>Hanna KLEIN_GER_2021</v>
      </c>
      <c r="B1049" t="s">
        <v>246</v>
      </c>
      <c r="C1049" t="s">
        <v>47</v>
      </c>
      <c r="D1049" t="s">
        <v>34</v>
      </c>
      <c r="E1049">
        <v>16.100000000000001</v>
      </c>
      <c r="F1049">
        <v>16.699999999999996</v>
      </c>
      <c r="G1049">
        <v>16.700000000000003</v>
      </c>
      <c r="H1049">
        <v>17.700000000000003</v>
      </c>
      <c r="I1049">
        <v>17.899999999999991</v>
      </c>
      <c r="J1049">
        <v>17.800000000000011</v>
      </c>
      <c r="K1049">
        <v>17.199999999999989</v>
      </c>
      <c r="L1049">
        <v>16.900000000000006</v>
      </c>
      <c r="M1049">
        <v>16.699999999999989</v>
      </c>
      <c r="N1049">
        <v>16.600000000000023</v>
      </c>
      <c r="O1049">
        <v>17</v>
      </c>
      <c r="P1049">
        <v>16.599999999999994</v>
      </c>
      <c r="Q1049">
        <v>17.199999999999989</v>
      </c>
      <c r="R1049">
        <v>17.200000000000017</v>
      </c>
      <c r="S1049">
        <f>Tableau1[[#This Row],[Final_time]]-SUM(Tableau1[[#This Row],[0_100m]:[1300_1400m]])</f>
        <v>16.53</v>
      </c>
      <c r="T1049">
        <v>254.83</v>
      </c>
      <c r="U1049">
        <f t="shared" si="32"/>
        <v>254.83</v>
      </c>
      <c r="V1049">
        <f t="shared" si="33"/>
        <v>0</v>
      </c>
      <c r="W1049" s="12"/>
      <c r="X1049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49" t="s">
        <v>349</v>
      </c>
      <c r="Z1049" s="2" t="s">
        <v>99</v>
      </c>
      <c r="AA1049" s="2" t="s">
        <v>128</v>
      </c>
      <c r="AB1049" s="2" t="s">
        <v>65</v>
      </c>
      <c r="AC1049" s="2">
        <v>44410</v>
      </c>
      <c r="AD1049">
        <v>2021</v>
      </c>
      <c r="AE1049" s="3"/>
      <c r="AG1049" s="3"/>
      <c r="AH1049" t="s">
        <v>356</v>
      </c>
    </row>
    <row r="1050" spans="1:34" x14ac:dyDescent="0.35">
      <c r="A1050" t="str">
        <f>_xlfn.CONCAT(Tableau1[[#This Row],[Athletes]],"_",Tableau1[[#This Row],[Nationality]],"_",Tableau1[[#This Row],[Competition_year]])</f>
        <v>Salomé AFONSO_POR_2021</v>
      </c>
      <c r="B1050" t="s">
        <v>174</v>
      </c>
      <c r="C1050" t="s">
        <v>47</v>
      </c>
      <c r="D1050" t="s">
        <v>33</v>
      </c>
      <c r="E1050">
        <v>16.399999999999999</v>
      </c>
      <c r="F1050">
        <v>16.700000000000003</v>
      </c>
      <c r="G1050">
        <v>16.799999999999997</v>
      </c>
      <c r="H1050">
        <v>17.600000000000001</v>
      </c>
      <c r="I1050">
        <v>18</v>
      </c>
      <c r="J1050">
        <v>17.700000000000003</v>
      </c>
      <c r="K1050">
        <v>17.200000000000003</v>
      </c>
      <c r="L1050">
        <v>16.799999999999983</v>
      </c>
      <c r="M1050">
        <v>16.600000000000023</v>
      </c>
      <c r="N1050">
        <v>16.699999999999989</v>
      </c>
      <c r="O1050">
        <v>15.800000000000011</v>
      </c>
      <c r="P1050">
        <v>15.5</v>
      </c>
      <c r="Q1050">
        <v>15.799999999999983</v>
      </c>
      <c r="R1050">
        <v>16.5</v>
      </c>
      <c r="S1050">
        <f>Tableau1[[#This Row],[Final_time]]-SUM(Tableau1[[#This Row],[0_100m]:[1300_1400m]])</f>
        <v>16.700000000000017</v>
      </c>
      <c r="T1050">
        <v>250.8</v>
      </c>
      <c r="U1050">
        <f t="shared" si="32"/>
        <v>250.8</v>
      </c>
      <c r="V1050">
        <f t="shared" si="33"/>
        <v>0</v>
      </c>
      <c r="W1050" s="12"/>
      <c r="X1050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50" t="s">
        <v>349</v>
      </c>
      <c r="Z1050" s="2" t="s">
        <v>99</v>
      </c>
      <c r="AA1050" s="2" t="s">
        <v>128</v>
      </c>
      <c r="AB1050" s="2" t="s">
        <v>65</v>
      </c>
      <c r="AC1050" s="2">
        <v>44410</v>
      </c>
      <c r="AD1050">
        <v>2021</v>
      </c>
      <c r="AE1050" s="3"/>
      <c r="AG1050" s="3"/>
      <c r="AH1050" t="s">
        <v>356</v>
      </c>
    </row>
    <row r="1051" spans="1:34" x14ac:dyDescent="0.35">
      <c r="A1051" t="str">
        <f>_xlfn.CONCAT(Tableau1[[#This Row],[Athletes]],"_",Tableau1[[#This Row],[Nationality]],"_",Tableau1[[#This Row],[Competition_year]])</f>
        <v>Ciara MAGEEAN_IRL_2021</v>
      </c>
      <c r="B1051" t="s">
        <v>180</v>
      </c>
      <c r="C1051" t="s">
        <v>47</v>
      </c>
      <c r="D1051" t="s">
        <v>35</v>
      </c>
      <c r="E1051">
        <v>15.8</v>
      </c>
      <c r="F1051">
        <v>16.3</v>
      </c>
      <c r="G1051">
        <v>17</v>
      </c>
      <c r="H1051">
        <v>17.699999999999996</v>
      </c>
      <c r="I1051">
        <v>18</v>
      </c>
      <c r="J1051">
        <v>17.700000000000003</v>
      </c>
      <c r="K1051">
        <v>17.200000000000003</v>
      </c>
      <c r="L1051">
        <v>16.700000000000003</v>
      </c>
      <c r="M1051">
        <v>16.5</v>
      </c>
      <c r="N1051">
        <v>16.199999999999989</v>
      </c>
      <c r="O1051">
        <v>15.700000000000017</v>
      </c>
      <c r="P1051">
        <v>15.299999999999983</v>
      </c>
      <c r="Q1051">
        <v>15.099999999999994</v>
      </c>
      <c r="R1051">
        <v>15.300000000000011</v>
      </c>
      <c r="S1051">
        <f>Tableau1[[#This Row],[Final_time]]-SUM(Tableau1[[#This Row],[0_100m]:[1300_1400m]])</f>
        <v>16.789999999999992</v>
      </c>
      <c r="T1051">
        <v>247.29</v>
      </c>
      <c r="U1051">
        <f t="shared" si="32"/>
        <v>247.29</v>
      </c>
      <c r="V1051">
        <f t="shared" si="33"/>
        <v>0</v>
      </c>
      <c r="W1051" s="12"/>
      <c r="X1051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51" t="s">
        <v>349</v>
      </c>
      <c r="Z1051" s="2" t="s">
        <v>99</v>
      </c>
      <c r="AA1051" s="2" t="s">
        <v>128</v>
      </c>
      <c r="AB1051" s="2" t="s">
        <v>65</v>
      </c>
      <c r="AC1051" s="2">
        <v>44410</v>
      </c>
      <c r="AD1051">
        <v>2021</v>
      </c>
      <c r="AE1051" s="3"/>
      <c r="AG1051" s="3"/>
      <c r="AH1051" t="s">
        <v>356</v>
      </c>
    </row>
    <row r="1052" spans="1:34" x14ac:dyDescent="0.35">
      <c r="A1052" t="str">
        <f>_xlfn.CONCAT(Tableau1[[#This Row],[Athletes]],"_",Tableau1[[#This Row],[Nationality]],"_",Tableau1[[#This Row],[Competition_year]])</f>
        <v>Laura GALVÁN_MEX_2021</v>
      </c>
      <c r="B1052" t="s">
        <v>354</v>
      </c>
      <c r="C1052" t="s">
        <v>47</v>
      </c>
      <c r="D1052" t="s">
        <v>101</v>
      </c>
      <c r="E1052">
        <v>16.2</v>
      </c>
      <c r="F1052">
        <v>16.500000000000004</v>
      </c>
      <c r="G1052">
        <v>16.599999999999994</v>
      </c>
      <c r="H1052">
        <v>17.600000000000009</v>
      </c>
      <c r="I1052">
        <v>18</v>
      </c>
      <c r="J1052">
        <v>17.699999999999989</v>
      </c>
      <c r="K1052">
        <v>17.300000000000011</v>
      </c>
      <c r="L1052">
        <v>16.699999999999989</v>
      </c>
      <c r="M1052">
        <v>16.5</v>
      </c>
      <c r="N1052">
        <v>16.099999999999994</v>
      </c>
      <c r="O1052">
        <v>15.700000000000017</v>
      </c>
      <c r="P1052">
        <v>15.299999999999983</v>
      </c>
      <c r="Q1052">
        <v>15.5</v>
      </c>
      <c r="R1052">
        <v>15.5</v>
      </c>
      <c r="S1052">
        <f>Tableau1[[#This Row],[Final_time]]-SUM(Tableau1[[#This Row],[0_100m]:[1300_1400m]])</f>
        <v>16.950000000000017</v>
      </c>
      <c r="T1052">
        <v>248.15</v>
      </c>
      <c r="U1052">
        <f t="shared" si="32"/>
        <v>248.15</v>
      </c>
      <c r="V1052">
        <f t="shared" si="33"/>
        <v>0</v>
      </c>
      <c r="W1052" s="12"/>
      <c r="X1052" t="str">
        <f>_xlfn.CONCAT(Tableau1[[#This Row],[Competition]],"_",Tableau1[[#This Row],[Championship_step]],"_",Tableau1[[#This Row],[Competition_date]],"_",Tableau1[[#This Row],[Gender]])</f>
        <v>Olympic Games Tokyo 2021_Heat 1_44410_Female</v>
      </c>
      <c r="Y1052" t="s">
        <v>349</v>
      </c>
      <c r="Z1052" s="2" t="s">
        <v>99</v>
      </c>
      <c r="AA1052" s="2" t="s">
        <v>128</v>
      </c>
      <c r="AB1052" s="2" t="s">
        <v>65</v>
      </c>
      <c r="AC1052" s="2">
        <v>44410</v>
      </c>
      <c r="AD1052">
        <v>2021</v>
      </c>
      <c r="AE1052" s="3"/>
      <c r="AG1052" s="3"/>
      <c r="AH1052" t="s">
        <v>356</v>
      </c>
    </row>
    <row r="1053" spans="1:34" x14ac:dyDescent="0.35">
      <c r="A1053" t="str">
        <f>_xlfn.CONCAT(Tableau1[[#This Row],[Athletes]],"_",Tableau1[[#This Row],[Nationality]],"_",Tableau1[[#This Row],[Competition_year]])</f>
        <v>Teddese LEMI_ETH_2021</v>
      </c>
      <c r="B1053" t="s">
        <v>210</v>
      </c>
      <c r="C1053" t="s">
        <v>16</v>
      </c>
      <c r="D1053" t="s">
        <v>48</v>
      </c>
      <c r="E1053">
        <v>15.1</v>
      </c>
      <c r="F1053">
        <v>16.7</v>
      </c>
      <c r="G1053">
        <v>15.6</v>
      </c>
      <c r="H1053">
        <v>16</v>
      </c>
      <c r="I1053">
        <v>14.6</v>
      </c>
      <c r="J1053">
        <v>14.5</v>
      </c>
      <c r="K1053">
        <v>14.3</v>
      </c>
      <c r="L1053">
        <v>14</v>
      </c>
      <c r="M1053">
        <v>14</v>
      </c>
      <c r="N1053">
        <v>14.1</v>
      </c>
      <c r="O1053">
        <v>13.9</v>
      </c>
      <c r="P1053">
        <v>13.8</v>
      </c>
      <c r="Q1053">
        <v>13.3</v>
      </c>
      <c r="R1053">
        <v>13.6</v>
      </c>
      <c r="S1053">
        <f>Tableau1[[#This Row],[Final_time]]-SUM(Tableau1[[#This Row],[0_100m]:[1300_1400m]])</f>
        <v>12.759999999999962</v>
      </c>
      <c r="T1053">
        <v>216.26</v>
      </c>
      <c r="U1053">
        <f t="shared" si="32"/>
        <v>216.26</v>
      </c>
      <c r="V1053">
        <f t="shared" si="33"/>
        <v>0</v>
      </c>
      <c r="W1053" s="12" t="s">
        <v>109</v>
      </c>
      <c r="X1053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3" t="s">
        <v>349</v>
      </c>
      <c r="Z1053" s="2" t="s">
        <v>99</v>
      </c>
      <c r="AA1053" s="2" t="s">
        <v>133</v>
      </c>
      <c r="AB1053" s="2" t="s">
        <v>65</v>
      </c>
      <c r="AC1053" s="2">
        <v>44411</v>
      </c>
      <c r="AD1053">
        <v>2021</v>
      </c>
      <c r="AE1053" s="3"/>
      <c r="AG1053" s="3"/>
      <c r="AH1053" t="s">
        <v>350</v>
      </c>
    </row>
    <row r="1054" spans="1:34" x14ac:dyDescent="0.35">
      <c r="A1054" t="str">
        <f>_xlfn.CONCAT(Tableau1[[#This Row],[Athletes]],"_",Tableau1[[#This Row],[Nationality]],"_",Tableau1[[#This Row],[Competition_year]])</f>
        <v>Jakob INGEBRIGTSEN_NOR_2021</v>
      </c>
      <c r="B1054" t="s">
        <v>151</v>
      </c>
      <c r="C1054" t="s">
        <v>16</v>
      </c>
      <c r="D1054" t="s">
        <v>30</v>
      </c>
      <c r="E1054">
        <v>15.4</v>
      </c>
      <c r="F1054">
        <v>16.600000000000001</v>
      </c>
      <c r="G1054">
        <v>15.6</v>
      </c>
      <c r="H1054">
        <v>16.100000000000001</v>
      </c>
      <c r="I1054">
        <v>14.7</v>
      </c>
      <c r="J1054">
        <v>14.5</v>
      </c>
      <c r="K1054">
        <v>13.7</v>
      </c>
      <c r="L1054">
        <v>13.8</v>
      </c>
      <c r="M1054">
        <v>14</v>
      </c>
      <c r="N1054">
        <v>14</v>
      </c>
      <c r="O1054">
        <v>13.8</v>
      </c>
      <c r="P1054">
        <v>13.5</v>
      </c>
      <c r="Q1054">
        <v>13.6</v>
      </c>
      <c r="R1054">
        <v>13.9</v>
      </c>
      <c r="S1054">
        <f>Tableau1[[#This Row],[Final_time]]-SUM(Tableau1[[#This Row],[0_100m]:[1300_1400m]])</f>
        <v>13.289999999999992</v>
      </c>
      <c r="T1054">
        <v>216.49</v>
      </c>
      <c r="U1054">
        <f t="shared" si="32"/>
        <v>216.49</v>
      </c>
      <c r="V1054">
        <f t="shared" si="33"/>
        <v>0</v>
      </c>
      <c r="W1054" s="12" t="s">
        <v>109</v>
      </c>
      <c r="X1054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4" t="s">
        <v>349</v>
      </c>
      <c r="Z1054" s="2" t="s">
        <v>99</v>
      </c>
      <c r="AA1054" s="2" t="s">
        <v>133</v>
      </c>
      <c r="AB1054" s="2" t="s">
        <v>65</v>
      </c>
      <c r="AC1054" s="2">
        <v>44411</v>
      </c>
      <c r="AD1054">
        <v>2021</v>
      </c>
      <c r="AE1054" s="3"/>
      <c r="AG1054" s="3"/>
      <c r="AH1054" t="s">
        <v>350</v>
      </c>
    </row>
    <row r="1055" spans="1:34" x14ac:dyDescent="0.35">
      <c r="A1055" t="str">
        <f>_xlfn.CONCAT(Tableau1[[#This Row],[Athletes]],"_",Tableau1[[#This Row],[Nationality]],"_",Tableau1[[#This Row],[Competition_year]])</f>
        <v>Andrew COSCORAN_IRL_2021</v>
      </c>
      <c r="B1055" t="s">
        <v>232</v>
      </c>
      <c r="C1055" t="s">
        <v>16</v>
      </c>
      <c r="D1055" t="s">
        <v>35</v>
      </c>
      <c r="E1055">
        <v>14.4</v>
      </c>
      <c r="F1055">
        <v>16.600000000000001</v>
      </c>
      <c r="G1055">
        <v>15.9</v>
      </c>
      <c r="H1055">
        <v>15.7</v>
      </c>
      <c r="I1055">
        <v>14.6</v>
      </c>
      <c r="J1055">
        <v>14.3</v>
      </c>
      <c r="K1055">
        <v>14.4</v>
      </c>
      <c r="L1055">
        <v>14</v>
      </c>
      <c r="M1055">
        <v>14.3</v>
      </c>
      <c r="N1055">
        <v>14</v>
      </c>
      <c r="O1055">
        <v>14.1</v>
      </c>
      <c r="P1055">
        <v>13.7</v>
      </c>
      <c r="Q1055">
        <v>13.7</v>
      </c>
      <c r="R1055">
        <v>13.9</v>
      </c>
      <c r="S1055">
        <f>Tableau1[[#This Row],[Final_time]]-SUM(Tableau1[[#This Row],[0_100m]:[1300_1400m]])</f>
        <v>13.510000000000048</v>
      </c>
      <c r="T1055">
        <v>217.11</v>
      </c>
      <c r="U1055">
        <f t="shared" si="32"/>
        <v>217.11</v>
      </c>
      <c r="V1055">
        <f t="shared" si="33"/>
        <v>0</v>
      </c>
      <c r="W1055" s="12" t="s">
        <v>142</v>
      </c>
      <c r="X1055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5" t="s">
        <v>349</v>
      </c>
      <c r="Z1055" s="2" t="s">
        <v>99</v>
      </c>
      <c r="AA1055" s="2" t="s">
        <v>133</v>
      </c>
      <c r="AB1055" s="2" t="s">
        <v>65</v>
      </c>
      <c r="AC1055" s="2">
        <v>44411</v>
      </c>
      <c r="AD1055">
        <v>2021</v>
      </c>
      <c r="AE1055" s="3"/>
      <c r="AG1055" s="3"/>
      <c r="AH1055" t="s">
        <v>350</v>
      </c>
    </row>
    <row r="1056" spans="1:34" x14ac:dyDescent="0.35">
      <c r="A1056" t="str">
        <f>_xlfn.CONCAT(Tableau1[[#This Row],[Athletes]],"_",Tableau1[[#This Row],[Nationality]],"_",Tableau1[[#This Row],[Competition_year]])</f>
        <v>Adel MECHAAL_ESP_2021</v>
      </c>
      <c r="B1056" t="s">
        <v>190</v>
      </c>
      <c r="C1056" t="s">
        <v>16</v>
      </c>
      <c r="D1056" t="s">
        <v>22</v>
      </c>
      <c r="E1056">
        <v>14.6</v>
      </c>
      <c r="F1056">
        <v>16.399999999999999</v>
      </c>
      <c r="G1056">
        <v>15.9</v>
      </c>
      <c r="H1056">
        <v>15.8</v>
      </c>
      <c r="I1056">
        <v>14.5</v>
      </c>
      <c r="J1056">
        <v>14.3</v>
      </c>
      <c r="K1056">
        <v>14.1</v>
      </c>
      <c r="L1056">
        <v>13.9</v>
      </c>
      <c r="M1056">
        <v>13.9</v>
      </c>
      <c r="N1056">
        <v>14</v>
      </c>
      <c r="O1056">
        <v>14</v>
      </c>
      <c r="P1056">
        <v>13.8</v>
      </c>
      <c r="Q1056">
        <v>13.9</v>
      </c>
      <c r="R1056">
        <v>14</v>
      </c>
      <c r="S1056">
        <f>Tableau1[[#This Row],[Final_time]]-SUM(Tableau1[[#This Row],[0_100m]:[1300_1400m]])</f>
        <v>13.639999999999986</v>
      </c>
      <c r="T1056">
        <v>216.74</v>
      </c>
      <c r="U1056">
        <f t="shared" si="32"/>
        <v>216.74</v>
      </c>
      <c r="V1056">
        <f t="shared" si="33"/>
        <v>0</v>
      </c>
      <c r="W1056" s="12" t="s">
        <v>109</v>
      </c>
      <c r="X1056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6" t="s">
        <v>349</v>
      </c>
      <c r="Z1056" s="2" t="s">
        <v>99</v>
      </c>
      <c r="AA1056" s="2" t="s">
        <v>133</v>
      </c>
      <c r="AB1056" s="2" t="s">
        <v>65</v>
      </c>
      <c r="AC1056" s="2">
        <v>44411</v>
      </c>
      <c r="AD1056">
        <v>2021</v>
      </c>
      <c r="AE1056" s="3"/>
      <c r="AG1056" s="3"/>
      <c r="AH1056" t="s">
        <v>350</v>
      </c>
    </row>
    <row r="1057" spans="1:34" x14ac:dyDescent="0.35">
      <c r="A1057" t="str">
        <f>_xlfn.CONCAT(Tableau1[[#This Row],[Athletes]],"_",Tableau1[[#This Row],[Nationality]],"_",Tableau1[[#This Row],[Competition_year]])</f>
        <v>Nick WILLIS_NZL_2021</v>
      </c>
      <c r="B1057" t="s">
        <v>343</v>
      </c>
      <c r="C1057" t="s">
        <v>16</v>
      </c>
      <c r="D1057" t="s">
        <v>118</v>
      </c>
      <c r="E1057">
        <v>14.4</v>
      </c>
      <c r="F1057">
        <v>16.3</v>
      </c>
      <c r="G1057">
        <v>15.9</v>
      </c>
      <c r="H1057">
        <v>15.6</v>
      </c>
      <c r="I1057">
        <v>14.6</v>
      </c>
      <c r="J1057">
        <v>14.3</v>
      </c>
      <c r="K1057">
        <v>14.3</v>
      </c>
      <c r="L1057">
        <v>13.9</v>
      </c>
      <c r="M1057">
        <v>13.9</v>
      </c>
      <c r="N1057">
        <v>14.3</v>
      </c>
      <c r="O1057">
        <v>14</v>
      </c>
      <c r="P1057">
        <v>14</v>
      </c>
      <c r="Q1057">
        <v>13.8</v>
      </c>
      <c r="R1057">
        <v>13.9</v>
      </c>
      <c r="S1057">
        <f>Tableau1[[#This Row],[Final_time]]-SUM(Tableau1[[#This Row],[0_100m]:[1300_1400m]])</f>
        <v>13.679999999999978</v>
      </c>
      <c r="T1057">
        <v>216.88</v>
      </c>
      <c r="U1057">
        <f t="shared" si="32"/>
        <v>216.88</v>
      </c>
      <c r="V1057">
        <f t="shared" si="33"/>
        <v>0</v>
      </c>
      <c r="W1057" s="12" t="s">
        <v>142</v>
      </c>
      <c r="X1057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7" t="s">
        <v>349</v>
      </c>
      <c r="Z1057" s="2" t="s">
        <v>99</v>
      </c>
      <c r="AA1057" s="2" t="s">
        <v>133</v>
      </c>
      <c r="AB1057" s="2" t="s">
        <v>65</v>
      </c>
      <c r="AC1057" s="2">
        <v>44411</v>
      </c>
      <c r="AD1057">
        <v>2021</v>
      </c>
      <c r="AE1057" s="3"/>
      <c r="AG1057" s="3"/>
      <c r="AH1057" t="s">
        <v>350</v>
      </c>
    </row>
    <row r="1058" spans="1:34" x14ac:dyDescent="0.35">
      <c r="A1058" t="str">
        <f>_xlfn.CONCAT(Tableau1[[#This Row],[Athletes]],"_",Tableau1[[#This Row],[Nationality]],"_",Tableau1[[#This Row],[Competition_year]])</f>
        <v>Robert FARKEN_GER_2021</v>
      </c>
      <c r="B1058" t="s">
        <v>342</v>
      </c>
      <c r="C1058" t="s">
        <v>16</v>
      </c>
      <c r="D1058" t="s">
        <v>34</v>
      </c>
      <c r="E1058">
        <v>14.4</v>
      </c>
      <c r="F1058">
        <v>16.399999999999999</v>
      </c>
      <c r="G1058">
        <v>15.7</v>
      </c>
      <c r="H1058">
        <v>15.6</v>
      </c>
      <c r="I1058">
        <v>14.5</v>
      </c>
      <c r="J1058">
        <v>14.3</v>
      </c>
      <c r="K1058">
        <v>14.2</v>
      </c>
      <c r="L1058">
        <v>14</v>
      </c>
      <c r="M1058">
        <v>13.9</v>
      </c>
      <c r="N1058">
        <v>14.2</v>
      </c>
      <c r="O1058">
        <v>14</v>
      </c>
      <c r="P1058">
        <v>13.9</v>
      </c>
      <c r="Q1058">
        <v>13.8</v>
      </c>
      <c r="R1058">
        <v>14</v>
      </c>
      <c r="S1058">
        <f>Tableau1[[#This Row],[Final_time]]-SUM(Tableau1[[#This Row],[0_100m]:[1300_1400m]])</f>
        <v>13.710000000000008</v>
      </c>
      <c r="T1058">
        <v>216.61</v>
      </c>
      <c r="U1058">
        <f t="shared" si="32"/>
        <v>216.61</v>
      </c>
      <c r="V1058">
        <f t="shared" si="33"/>
        <v>0</v>
      </c>
      <c r="W1058" s="12" t="s">
        <v>109</v>
      </c>
      <c r="X1058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8" t="s">
        <v>349</v>
      </c>
      <c r="Z1058" s="2" t="s">
        <v>99</v>
      </c>
      <c r="AA1058" s="2" t="s">
        <v>133</v>
      </c>
      <c r="AB1058" s="2" t="s">
        <v>65</v>
      </c>
      <c r="AC1058" s="2">
        <v>44411</v>
      </c>
      <c r="AD1058">
        <v>2021</v>
      </c>
      <c r="AE1058" s="3"/>
      <c r="AG1058" s="3"/>
      <c r="AH1058" t="s">
        <v>350</v>
      </c>
    </row>
    <row r="1059" spans="1:34" x14ac:dyDescent="0.35">
      <c r="A1059" t="str">
        <f>_xlfn.CONCAT(Tableau1[[#This Row],[Athletes]],"_",Tableau1[[#This Row],[Nationality]],"_",Tableau1[[#This Row],[Competition_year]])</f>
        <v>Jake HEYWARD_GBR_2021</v>
      </c>
      <c r="B1059" t="s">
        <v>341</v>
      </c>
      <c r="C1059" t="s">
        <v>16</v>
      </c>
      <c r="D1059" t="s">
        <v>20</v>
      </c>
      <c r="E1059">
        <v>14.3</v>
      </c>
      <c r="F1059">
        <v>16.399999999999999</v>
      </c>
      <c r="G1059">
        <v>15.7</v>
      </c>
      <c r="H1059">
        <v>15.5</v>
      </c>
      <c r="I1059">
        <v>14.4</v>
      </c>
      <c r="J1059">
        <v>14.4</v>
      </c>
      <c r="K1059">
        <v>14.2</v>
      </c>
      <c r="L1059">
        <v>13.9</v>
      </c>
      <c r="M1059">
        <v>13.6</v>
      </c>
      <c r="N1059">
        <v>13.9</v>
      </c>
      <c r="O1059">
        <v>13.9</v>
      </c>
      <c r="P1059">
        <v>13.7</v>
      </c>
      <c r="Q1059">
        <v>14.2</v>
      </c>
      <c r="R1059">
        <v>14.3</v>
      </c>
      <c r="S1059">
        <f>Tableau1[[#This Row],[Final_time]]-SUM(Tableau1[[#This Row],[0_100m]:[1300_1400m]])</f>
        <v>13.739999999999981</v>
      </c>
      <c r="T1059">
        <v>216.14</v>
      </c>
      <c r="U1059">
        <f t="shared" si="32"/>
        <v>216.14</v>
      </c>
      <c r="V1059">
        <f t="shared" si="33"/>
        <v>0</v>
      </c>
      <c r="W1059" s="12" t="s">
        <v>109</v>
      </c>
      <c r="X1059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59" t="s">
        <v>349</v>
      </c>
      <c r="Z1059" s="2" t="s">
        <v>99</v>
      </c>
      <c r="AA1059" s="2" t="s">
        <v>133</v>
      </c>
      <c r="AB1059" s="2" t="s">
        <v>65</v>
      </c>
      <c r="AC1059" s="2">
        <v>44411</v>
      </c>
      <c r="AD1059">
        <v>2021</v>
      </c>
      <c r="AE1059" s="3"/>
      <c r="AG1059" s="3"/>
      <c r="AH1059" t="s">
        <v>350</v>
      </c>
    </row>
    <row r="1060" spans="1:34" x14ac:dyDescent="0.35">
      <c r="A1060" t="str">
        <f>_xlfn.CONCAT(Tableau1[[#This Row],[Athletes]],"_",Tableau1[[#This Row],[Nationality]],"_",Tableau1[[#This Row],[Competition_year]])</f>
        <v>Ayanleh SOULEIMAN_DJI_2021</v>
      </c>
      <c r="B1060" t="s">
        <v>344</v>
      </c>
      <c r="C1060" t="s">
        <v>16</v>
      </c>
      <c r="D1060" t="s">
        <v>345</v>
      </c>
      <c r="E1060">
        <v>14.8</v>
      </c>
      <c r="F1060">
        <v>16.7</v>
      </c>
      <c r="G1060">
        <v>15.7</v>
      </c>
      <c r="H1060">
        <v>16</v>
      </c>
      <c r="I1060">
        <v>14.4</v>
      </c>
      <c r="J1060">
        <v>14.3</v>
      </c>
      <c r="K1060">
        <v>14.3</v>
      </c>
      <c r="L1060">
        <v>14</v>
      </c>
      <c r="M1060">
        <v>14</v>
      </c>
      <c r="N1060">
        <v>14</v>
      </c>
      <c r="O1060">
        <v>14.2</v>
      </c>
      <c r="P1060">
        <v>13.8</v>
      </c>
      <c r="Q1060">
        <v>13.5</v>
      </c>
      <c r="R1060">
        <v>13.8</v>
      </c>
      <c r="S1060">
        <f>Tableau1[[#This Row],[Final_time]]-SUM(Tableau1[[#This Row],[0_100m]:[1300_1400m]])</f>
        <v>13.75</v>
      </c>
      <c r="T1060">
        <v>217.25</v>
      </c>
      <c r="U1060">
        <f t="shared" si="32"/>
        <v>217.25</v>
      </c>
      <c r="V1060">
        <f t="shared" si="33"/>
        <v>0</v>
      </c>
      <c r="W1060" s="12" t="s">
        <v>142</v>
      </c>
      <c r="X1060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60" t="s">
        <v>349</v>
      </c>
      <c r="Z1060" s="2" t="s">
        <v>99</v>
      </c>
      <c r="AA1060" s="2" t="s">
        <v>133</v>
      </c>
      <c r="AB1060" s="2" t="s">
        <v>65</v>
      </c>
      <c r="AC1060" s="2">
        <v>44411</v>
      </c>
      <c r="AD1060">
        <v>2021</v>
      </c>
      <c r="AE1060" s="3"/>
      <c r="AG1060" s="3"/>
      <c r="AH1060" t="s">
        <v>350</v>
      </c>
    </row>
    <row r="1061" spans="1:34" x14ac:dyDescent="0.35">
      <c r="A1061" t="str">
        <f>_xlfn.CONCAT(Tableau1[[#This Row],[Athletes]],"_",Tableau1[[#This Row],[Nationality]],"_",Tableau1[[#This Row],[Competition_year]])</f>
        <v>Stewart MCSWEYN_AUS_2021</v>
      </c>
      <c r="B1061" t="s">
        <v>219</v>
      </c>
      <c r="C1061" t="s">
        <v>16</v>
      </c>
      <c r="D1061" t="s">
        <v>21</v>
      </c>
      <c r="E1061">
        <v>15.3</v>
      </c>
      <c r="F1061">
        <v>15.6</v>
      </c>
      <c r="G1061">
        <v>15.4</v>
      </c>
      <c r="H1061">
        <v>15.4</v>
      </c>
      <c r="I1061">
        <v>14.4</v>
      </c>
      <c r="J1061">
        <v>14.4</v>
      </c>
      <c r="K1061">
        <v>14.2</v>
      </c>
      <c r="L1061">
        <v>13.9</v>
      </c>
      <c r="M1061">
        <v>13.6</v>
      </c>
      <c r="N1061">
        <v>13.9</v>
      </c>
      <c r="O1061">
        <v>13.9</v>
      </c>
      <c r="P1061">
        <v>13.7</v>
      </c>
      <c r="Q1061">
        <v>14.2</v>
      </c>
      <c r="R1061">
        <v>14.5</v>
      </c>
      <c r="S1061">
        <f>Tableau1[[#This Row],[Final_time]]-SUM(Tableau1[[#This Row],[0_100m]:[1300_1400m]])</f>
        <v>13.989999999999981</v>
      </c>
      <c r="T1061">
        <v>216.39</v>
      </c>
      <c r="U1061">
        <f t="shared" si="32"/>
        <v>216.39</v>
      </c>
      <c r="V1061">
        <f t="shared" si="33"/>
        <v>0</v>
      </c>
      <c r="W1061" s="12" t="s">
        <v>109</v>
      </c>
      <c r="X1061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61" t="s">
        <v>349</v>
      </c>
      <c r="Z1061" s="2" t="s">
        <v>99</v>
      </c>
      <c r="AA1061" s="2" t="s">
        <v>133</v>
      </c>
      <c r="AB1061" s="2" t="s">
        <v>65</v>
      </c>
      <c r="AC1061" s="2">
        <v>44411</v>
      </c>
      <c r="AD1061">
        <v>2021</v>
      </c>
      <c r="AE1061" s="3"/>
      <c r="AG1061" s="3"/>
      <c r="AH1061" t="s">
        <v>350</v>
      </c>
    </row>
    <row r="1062" spans="1:34" x14ac:dyDescent="0.35">
      <c r="A1062" t="str">
        <f>_xlfn.CONCAT(Tableau1[[#This Row],[Athletes]],"_",Tableau1[[#This Row],[Nationality]],"_",Tableau1[[#This Row],[Competition_year]])</f>
        <v>Charles Cheboi SIMOTWO_KEN_2021</v>
      </c>
      <c r="B1062" t="s">
        <v>258</v>
      </c>
      <c r="C1062" t="s">
        <v>16</v>
      </c>
      <c r="D1062" t="s">
        <v>17</v>
      </c>
      <c r="E1062">
        <v>14.4</v>
      </c>
      <c r="F1062">
        <v>16.399999999999999</v>
      </c>
      <c r="G1062">
        <v>15.9</v>
      </c>
      <c r="H1062">
        <v>15.8</v>
      </c>
      <c r="I1062">
        <v>14.9</v>
      </c>
      <c r="J1062">
        <v>14.3</v>
      </c>
      <c r="K1062">
        <v>14.2</v>
      </c>
      <c r="L1062">
        <v>13.9</v>
      </c>
      <c r="M1062">
        <v>14</v>
      </c>
      <c r="N1062">
        <v>14.1</v>
      </c>
      <c r="O1062">
        <v>14.1</v>
      </c>
      <c r="P1062">
        <v>13.3</v>
      </c>
      <c r="Q1062">
        <v>13.7</v>
      </c>
      <c r="R1062">
        <v>14.2</v>
      </c>
      <c r="S1062">
        <f>Tableau1[[#This Row],[Final_time]]-SUM(Tableau1[[#This Row],[0_100m]:[1300_1400m]])</f>
        <v>14.060000000000002</v>
      </c>
      <c r="T1062">
        <v>217.26</v>
      </c>
      <c r="U1062">
        <f t="shared" si="32"/>
        <v>217.26</v>
      </c>
      <c r="V1062">
        <f t="shared" si="33"/>
        <v>0</v>
      </c>
      <c r="W1062" s="12" t="s">
        <v>142</v>
      </c>
      <c r="X1062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62" t="s">
        <v>349</v>
      </c>
      <c r="Z1062" s="2" t="s">
        <v>99</v>
      </c>
      <c r="AA1062" s="2" t="s">
        <v>133</v>
      </c>
      <c r="AB1062" s="2" t="s">
        <v>65</v>
      </c>
      <c r="AC1062" s="2">
        <v>44411</v>
      </c>
      <c r="AD1062">
        <v>2021</v>
      </c>
      <c r="AE1062" s="3"/>
      <c r="AG1062" s="3"/>
      <c r="AH1062" t="s">
        <v>350</v>
      </c>
    </row>
    <row r="1063" spans="1:34" x14ac:dyDescent="0.35">
      <c r="A1063" t="str">
        <f>_xlfn.CONCAT(Tableau1[[#This Row],[Athletes]],"_",Tableau1[[#This Row],[Nationality]],"_",Tableau1[[#This Row],[Competition_year]])</f>
        <v>Baptiste MISCHLER_FRA_2021</v>
      </c>
      <c r="B1063" t="s">
        <v>346</v>
      </c>
      <c r="C1063" t="s">
        <v>16</v>
      </c>
      <c r="D1063" t="s">
        <v>18</v>
      </c>
      <c r="E1063">
        <v>14.2</v>
      </c>
      <c r="F1063">
        <v>16.3</v>
      </c>
      <c r="G1063">
        <v>16.3</v>
      </c>
      <c r="H1063">
        <v>15.6</v>
      </c>
      <c r="I1063">
        <v>14.6</v>
      </c>
      <c r="J1063">
        <v>14.3</v>
      </c>
      <c r="K1063">
        <v>14.3</v>
      </c>
      <c r="L1063">
        <v>14</v>
      </c>
      <c r="M1063">
        <v>13.9</v>
      </c>
      <c r="N1063">
        <v>14.1</v>
      </c>
      <c r="O1063">
        <v>14.1</v>
      </c>
      <c r="P1063">
        <v>13.7</v>
      </c>
      <c r="Q1063">
        <v>13.8</v>
      </c>
      <c r="R1063">
        <v>14.2</v>
      </c>
      <c r="S1063">
        <f>Tableau1[[#This Row],[Final_time]]-SUM(Tableau1[[#This Row],[0_100m]:[1300_1400m]])</f>
        <v>14.130000000000024</v>
      </c>
      <c r="T1063">
        <v>217.53</v>
      </c>
      <c r="U1063">
        <f t="shared" si="32"/>
        <v>217.53</v>
      </c>
      <c r="V1063">
        <f t="shared" si="33"/>
        <v>0</v>
      </c>
      <c r="W1063" s="12"/>
      <c r="X1063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63" t="s">
        <v>349</v>
      </c>
      <c r="Z1063" s="2" t="s">
        <v>99</v>
      </c>
      <c r="AA1063" s="2" t="s">
        <v>133</v>
      </c>
      <c r="AB1063" s="2" t="s">
        <v>65</v>
      </c>
      <c r="AC1063" s="2">
        <v>44411</v>
      </c>
      <c r="AD1063">
        <v>2021</v>
      </c>
      <c r="AE1063" s="3"/>
      <c r="AG1063" s="3"/>
      <c r="AH1063" t="s">
        <v>350</v>
      </c>
    </row>
    <row r="1064" spans="1:34" x14ac:dyDescent="0.35">
      <c r="A1064" t="str">
        <f>_xlfn.CONCAT(Tableau1[[#This Row],[Athletes]],"_",Tableau1[[#This Row],[Nationality]],"_",Tableau1[[#This Row],[Competition_year]])</f>
        <v>Kalle BERGLUND_SWE_2021</v>
      </c>
      <c r="B1064" t="s">
        <v>347</v>
      </c>
      <c r="C1064" t="s">
        <v>16</v>
      </c>
      <c r="D1064" t="s">
        <v>56</v>
      </c>
      <c r="E1064">
        <v>15.2</v>
      </c>
      <c r="F1064">
        <v>16.600000000000001</v>
      </c>
      <c r="G1064">
        <v>15.7</v>
      </c>
      <c r="H1064">
        <v>16</v>
      </c>
      <c r="I1064">
        <v>14.7</v>
      </c>
      <c r="J1064">
        <v>14.6</v>
      </c>
      <c r="K1064">
        <v>14.3</v>
      </c>
      <c r="L1064">
        <v>14.3</v>
      </c>
      <c r="M1064">
        <v>14.9</v>
      </c>
      <c r="N1064">
        <v>15</v>
      </c>
      <c r="O1064">
        <v>15.6</v>
      </c>
      <c r="P1064">
        <v>15.3</v>
      </c>
      <c r="Q1064">
        <v>15.4</v>
      </c>
      <c r="R1064">
        <v>16</v>
      </c>
      <c r="S1064">
        <f>Tableau1[[#This Row],[Final_time]]-SUM(Tableau1[[#This Row],[0_100m]:[1300_1400m]])</f>
        <v>15.830000000000013</v>
      </c>
      <c r="T1064">
        <v>229.43</v>
      </c>
      <c r="U1064">
        <f t="shared" si="32"/>
        <v>229.43</v>
      </c>
      <c r="V1064">
        <f t="shared" si="33"/>
        <v>0</v>
      </c>
      <c r="W1064" s="12"/>
      <c r="X1064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64" t="s">
        <v>349</v>
      </c>
      <c r="Z1064" s="2" t="s">
        <v>99</v>
      </c>
      <c r="AA1064" s="2" t="s">
        <v>133</v>
      </c>
      <c r="AB1064" s="2" t="s">
        <v>65</v>
      </c>
      <c r="AC1064" s="2">
        <v>44411</v>
      </c>
      <c r="AD1064">
        <v>2021</v>
      </c>
      <c r="AE1064" s="3"/>
      <c r="AG1064" s="3"/>
      <c r="AH1064" t="s">
        <v>350</v>
      </c>
    </row>
    <row r="1065" spans="1:34" x14ac:dyDescent="0.35">
      <c r="A1065" t="str">
        <f>_xlfn.CONCAT(Tableau1[[#This Row],[Athletes]],"_",Tableau1[[#This Row],[Nationality]],"_",Tableau1[[#This Row],[Competition_year]])</f>
        <v>Paulo Amotun LOKORO_ART_2021</v>
      </c>
      <c r="B1065" t="s">
        <v>351</v>
      </c>
      <c r="C1065" t="s">
        <v>16</v>
      </c>
      <c r="D1065" t="s">
        <v>348</v>
      </c>
      <c r="E1065">
        <v>14.8</v>
      </c>
      <c r="F1065">
        <v>16.5</v>
      </c>
      <c r="G1065">
        <v>15.7</v>
      </c>
      <c r="H1065">
        <v>16</v>
      </c>
      <c r="I1065">
        <v>14.8</v>
      </c>
      <c r="J1065">
        <v>14.8</v>
      </c>
      <c r="K1065">
        <v>14.7</v>
      </c>
      <c r="L1065">
        <v>14.9</v>
      </c>
      <c r="M1065">
        <v>15.1</v>
      </c>
      <c r="N1065">
        <v>15.5</v>
      </c>
      <c r="O1065">
        <v>15.6</v>
      </c>
      <c r="P1065">
        <v>15.6</v>
      </c>
      <c r="Q1065">
        <v>15.6</v>
      </c>
      <c r="R1065">
        <v>16.3</v>
      </c>
      <c r="S1065">
        <f>Tableau1[[#This Row],[Final_time]]-SUM(Tableau1[[#This Row],[0_100m]:[1300_1400m]])</f>
        <v>15.879999999999995</v>
      </c>
      <c r="T1065">
        <v>231.78</v>
      </c>
      <c r="U1065">
        <f t="shared" si="32"/>
        <v>231.78</v>
      </c>
      <c r="V1065">
        <f t="shared" si="33"/>
        <v>0</v>
      </c>
      <c r="W1065" s="12"/>
      <c r="X1065" t="str">
        <f>_xlfn.CONCAT(Tableau1[[#This Row],[Competition]],"_",Tableau1[[#This Row],[Championship_step]],"_",Tableau1[[#This Row],[Competition_date]],"_",Tableau1[[#This Row],[Gender]])</f>
        <v>Olympic Games Tokyo 2021_Heat 3_44411_Male</v>
      </c>
      <c r="Y1065" t="s">
        <v>349</v>
      </c>
      <c r="Z1065" s="2" t="s">
        <v>99</v>
      </c>
      <c r="AA1065" s="2" t="s">
        <v>133</v>
      </c>
      <c r="AB1065" s="2" t="s">
        <v>65</v>
      </c>
      <c r="AC1065" s="2">
        <v>44411</v>
      </c>
      <c r="AD1065">
        <v>2021</v>
      </c>
      <c r="AE1065" s="3"/>
      <c r="AG1065" s="3"/>
      <c r="AH1065" t="s">
        <v>350</v>
      </c>
    </row>
    <row r="1066" spans="1:34" x14ac:dyDescent="0.35">
      <c r="A1066" t="str">
        <f>_xlfn.CONCAT(Tableau1[[#This Row],[Athletes]],"_",Tableau1[[#This Row],[Nationality]],"_",Tableau1[[#This Row],[Competition_year]])</f>
        <v>Jake WIGHTMAN_GBR_2021</v>
      </c>
      <c r="B1066" t="s">
        <v>150</v>
      </c>
      <c r="C1066" t="s">
        <v>16</v>
      </c>
      <c r="D1066" t="s">
        <v>20</v>
      </c>
      <c r="E1066">
        <v>13.2</v>
      </c>
      <c r="F1066">
        <v>13.8</v>
      </c>
      <c r="G1066">
        <v>14.7</v>
      </c>
      <c r="H1066">
        <v>14.8</v>
      </c>
      <c r="I1066">
        <v>15</v>
      </c>
      <c r="J1066">
        <v>15.1</v>
      </c>
      <c r="K1066">
        <v>15.4</v>
      </c>
      <c r="L1066">
        <v>14.8</v>
      </c>
      <c r="M1066">
        <v>14.7</v>
      </c>
      <c r="N1066">
        <v>14.7</v>
      </c>
      <c r="O1066">
        <v>14.6</v>
      </c>
      <c r="P1066">
        <v>13.8</v>
      </c>
      <c r="Q1066">
        <v>13.4</v>
      </c>
      <c r="R1066">
        <v>12.6</v>
      </c>
      <c r="S1066">
        <f>Tableau1[[#This Row],[Final_time]]-SUM(Tableau1[[#This Row],[0_100m]:[1300_1400m]])</f>
        <v>12.879999999999995</v>
      </c>
      <c r="T1066">
        <v>213.48</v>
      </c>
      <c r="U1066">
        <f t="shared" si="32"/>
        <v>213.48</v>
      </c>
      <c r="V1066">
        <f t="shared" si="33"/>
        <v>0</v>
      </c>
      <c r="W1066" s="12" t="s">
        <v>109</v>
      </c>
      <c r="X1066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66" t="s">
        <v>349</v>
      </c>
      <c r="Z1066" s="2" t="s">
        <v>106</v>
      </c>
      <c r="AA1066" s="2" t="s">
        <v>130</v>
      </c>
      <c r="AB1066" s="2" t="s">
        <v>65</v>
      </c>
      <c r="AC1066" s="2">
        <v>44413</v>
      </c>
      <c r="AD1066">
        <v>2021</v>
      </c>
      <c r="AE1066" s="3"/>
      <c r="AG1066" s="3"/>
      <c r="AH1066" t="s">
        <v>352</v>
      </c>
    </row>
    <row r="1067" spans="1:34" x14ac:dyDescent="0.35">
      <c r="A1067" t="str">
        <f>_xlfn.CONCAT(Tableau1[[#This Row],[Athletes]],"_",Tableau1[[#This Row],[Nationality]],"_",Tableau1[[#This Row],[Competition_year]])</f>
        <v>Cole HOCKER_USA_2021</v>
      </c>
      <c r="B1067" t="s">
        <v>215</v>
      </c>
      <c r="C1067" t="s">
        <v>16</v>
      </c>
      <c r="D1067" t="s">
        <v>51</v>
      </c>
      <c r="E1067">
        <v>13.5</v>
      </c>
      <c r="F1067">
        <v>14.1</v>
      </c>
      <c r="G1067">
        <v>14.7</v>
      </c>
      <c r="H1067">
        <v>14.8</v>
      </c>
      <c r="I1067">
        <v>15</v>
      </c>
      <c r="J1067">
        <v>15.1</v>
      </c>
      <c r="K1067">
        <v>15.2</v>
      </c>
      <c r="L1067">
        <v>15</v>
      </c>
      <c r="M1067">
        <v>14.9</v>
      </c>
      <c r="N1067">
        <v>14.7</v>
      </c>
      <c r="O1067">
        <v>14</v>
      </c>
      <c r="P1067">
        <v>13.7</v>
      </c>
      <c r="Q1067">
        <v>13.3</v>
      </c>
      <c r="R1067">
        <v>12.9</v>
      </c>
      <c r="S1067">
        <f>Tableau1[[#This Row],[Final_time]]-SUM(Tableau1[[#This Row],[0_100m]:[1300_1400m]])</f>
        <v>12.970000000000027</v>
      </c>
      <c r="T1067">
        <v>213.87</v>
      </c>
      <c r="U1067">
        <f t="shared" si="32"/>
        <v>213.87</v>
      </c>
      <c r="V1067">
        <f t="shared" si="33"/>
        <v>0</v>
      </c>
      <c r="W1067" s="12" t="s">
        <v>109</v>
      </c>
      <c r="X1067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67" t="s">
        <v>349</v>
      </c>
      <c r="Z1067" s="2" t="s">
        <v>106</v>
      </c>
      <c r="AA1067" s="2" t="s">
        <v>130</v>
      </c>
      <c r="AB1067" s="2" t="s">
        <v>65</v>
      </c>
      <c r="AC1067" s="2">
        <v>44413</v>
      </c>
      <c r="AD1067">
        <v>2021</v>
      </c>
      <c r="AE1067" s="3"/>
      <c r="AG1067" s="3"/>
      <c r="AH1067" t="s">
        <v>352</v>
      </c>
    </row>
    <row r="1068" spans="1:34" x14ac:dyDescent="0.35">
      <c r="A1068" t="str">
        <f>_xlfn.CONCAT(Tableau1[[#This Row],[Athletes]],"_",Tableau1[[#This Row],[Nationality]],"_",Tableau1[[#This Row],[Competition_year]])</f>
        <v>Oliver HOARE_AUS_2021</v>
      </c>
      <c r="B1068" t="s">
        <v>249</v>
      </c>
      <c r="C1068" t="s">
        <v>16</v>
      </c>
      <c r="D1068" t="s">
        <v>21</v>
      </c>
      <c r="E1068">
        <v>13.5</v>
      </c>
      <c r="F1068">
        <v>14</v>
      </c>
      <c r="G1068">
        <v>14.4</v>
      </c>
      <c r="H1068">
        <v>14.7</v>
      </c>
      <c r="I1068">
        <v>15.1</v>
      </c>
      <c r="J1068">
        <v>15</v>
      </c>
      <c r="K1068">
        <v>15.3</v>
      </c>
      <c r="L1068">
        <v>15</v>
      </c>
      <c r="M1068">
        <v>14.8</v>
      </c>
      <c r="N1068">
        <v>14.7</v>
      </c>
      <c r="O1068">
        <v>14.1</v>
      </c>
      <c r="P1068">
        <v>13.8</v>
      </c>
      <c r="Q1068">
        <v>13.9</v>
      </c>
      <c r="R1068">
        <v>13</v>
      </c>
      <c r="S1068">
        <f>Tableau1[[#This Row],[Final_time]]-SUM(Tableau1[[#This Row],[0_100m]:[1300_1400m]])</f>
        <v>13.050000000000011</v>
      </c>
      <c r="T1068">
        <v>214.35</v>
      </c>
      <c r="U1068">
        <f t="shared" si="32"/>
        <v>214.35</v>
      </c>
      <c r="V1068">
        <f t="shared" si="33"/>
        <v>0</v>
      </c>
      <c r="W1068" s="12" t="s">
        <v>109</v>
      </c>
      <c r="X1068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68" t="s">
        <v>349</v>
      </c>
      <c r="Z1068" s="2" t="s">
        <v>106</v>
      </c>
      <c r="AA1068" s="2" t="s">
        <v>130</v>
      </c>
      <c r="AB1068" s="2" t="s">
        <v>65</v>
      </c>
      <c r="AC1068" s="2">
        <v>44413</v>
      </c>
      <c r="AD1068">
        <v>2021</v>
      </c>
      <c r="AE1068" s="3"/>
      <c r="AG1068" s="3"/>
      <c r="AH1068" t="s">
        <v>352</v>
      </c>
    </row>
    <row r="1069" spans="1:34" x14ac:dyDescent="0.35">
      <c r="A1069" t="str">
        <f>_xlfn.CONCAT(Tableau1[[#This Row],[Athletes]],"_",Tableau1[[#This Row],[Nationality]],"_",Tableau1[[#This Row],[Competition_year]])</f>
        <v>Charles Cheboi SIMOTWO_KEN_2021</v>
      </c>
      <c r="B1069" t="s">
        <v>258</v>
      </c>
      <c r="C1069" t="s">
        <v>16</v>
      </c>
      <c r="D1069" t="s">
        <v>17</v>
      </c>
      <c r="E1069">
        <v>13.7</v>
      </c>
      <c r="F1069">
        <v>14</v>
      </c>
      <c r="G1069">
        <v>14.5</v>
      </c>
      <c r="H1069">
        <f>56.9-SUM(E1069:G1069)</f>
        <v>14.699999999999996</v>
      </c>
      <c r="I1069">
        <v>15</v>
      </c>
      <c r="J1069">
        <v>15.2</v>
      </c>
      <c r="K1069">
        <f>102.3-SUM(E1069:J1069)</f>
        <v>15.199999999999989</v>
      </c>
      <c r="L1069">
        <v>15</v>
      </c>
      <c r="M1069">
        <v>14.8</v>
      </c>
      <c r="N1069">
        <v>14.7</v>
      </c>
      <c r="O1069">
        <f>160.9-SUM(E1069:N1069)</f>
        <v>14.100000000000023</v>
      </c>
      <c r="P1069">
        <v>13.9</v>
      </c>
      <c r="Q1069">
        <v>13.6</v>
      </c>
      <c r="R1069">
        <v>13.1</v>
      </c>
      <c r="S1069">
        <f>Tableau1[[#This Row],[Final_time]]-SUM(Tableau1[[#This Row],[0_100m]:[1300_1400m]])</f>
        <v>13.110000000000014</v>
      </c>
      <c r="T1069">
        <v>214.61</v>
      </c>
      <c r="U1069">
        <f t="shared" si="32"/>
        <v>214.61</v>
      </c>
      <c r="V1069">
        <f t="shared" si="33"/>
        <v>0</v>
      </c>
      <c r="W1069" s="12"/>
      <c r="X1069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69" t="s">
        <v>349</v>
      </c>
      <c r="Z1069" s="2" t="s">
        <v>106</v>
      </c>
      <c r="AA1069" s="2" t="s">
        <v>130</v>
      </c>
      <c r="AB1069" s="2" t="s">
        <v>65</v>
      </c>
      <c r="AC1069" s="2">
        <v>44413</v>
      </c>
      <c r="AD1069">
        <v>2021</v>
      </c>
      <c r="AE1069" s="3"/>
      <c r="AG1069" s="3"/>
      <c r="AH1069" t="s">
        <v>352</v>
      </c>
    </row>
    <row r="1070" spans="1:34" x14ac:dyDescent="0.35">
      <c r="A1070" t="str">
        <f>_xlfn.CONCAT(Tableau1[[#This Row],[Athletes]],"_",Tableau1[[#This Row],[Nationality]],"_",Tableau1[[#This Row],[Competition_year]])</f>
        <v>Timothy CHERUIYOT_KEN_2021</v>
      </c>
      <c r="B1070" t="s">
        <v>205</v>
      </c>
      <c r="C1070" t="s">
        <v>16</v>
      </c>
      <c r="D1070" t="s">
        <v>17</v>
      </c>
      <c r="E1070">
        <v>13</v>
      </c>
      <c r="F1070">
        <v>13.5</v>
      </c>
      <c r="G1070">
        <v>14.8</v>
      </c>
      <c r="H1070">
        <v>14.8</v>
      </c>
      <c r="I1070">
        <v>15.1</v>
      </c>
      <c r="J1070">
        <v>15.1</v>
      </c>
      <c r="K1070">
        <v>15.3</v>
      </c>
      <c r="L1070">
        <v>14.8</v>
      </c>
      <c r="M1070">
        <v>14.9</v>
      </c>
      <c r="N1070">
        <v>14.6</v>
      </c>
      <c r="O1070">
        <v>14.5</v>
      </c>
      <c r="P1070">
        <v>13.7</v>
      </c>
      <c r="Q1070">
        <v>13.8</v>
      </c>
      <c r="R1070">
        <v>12.9</v>
      </c>
      <c r="S1070">
        <f>Tableau1[[#This Row],[Final_time]]-SUM(Tableau1[[#This Row],[0_100m]:[1300_1400m]])</f>
        <v>13.150000000000006</v>
      </c>
      <c r="T1070">
        <v>213.95</v>
      </c>
      <c r="U1070">
        <f t="shared" si="32"/>
        <v>213.95</v>
      </c>
      <c r="V1070">
        <f t="shared" si="33"/>
        <v>0</v>
      </c>
      <c r="W1070" s="12" t="s">
        <v>109</v>
      </c>
      <c r="X1070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0" t="s">
        <v>349</v>
      </c>
      <c r="Z1070" s="2" t="s">
        <v>106</v>
      </c>
      <c r="AA1070" s="2" t="s">
        <v>130</v>
      </c>
      <c r="AB1070" s="2" t="s">
        <v>65</v>
      </c>
      <c r="AC1070" s="2">
        <v>44413</v>
      </c>
      <c r="AD1070">
        <v>2021</v>
      </c>
      <c r="AE1070" s="3"/>
      <c r="AG1070" s="3"/>
      <c r="AH1070" t="s">
        <v>352</v>
      </c>
    </row>
    <row r="1071" spans="1:34" x14ac:dyDescent="0.35">
      <c r="A1071" t="str">
        <f>_xlfn.CONCAT(Tableau1[[#This Row],[Athletes]],"_",Tableau1[[#This Row],[Nationality]],"_",Tableau1[[#This Row],[Competition_year]])</f>
        <v>Ignacio FONTES_ESP_2021</v>
      </c>
      <c r="B1071" t="s">
        <v>251</v>
      </c>
      <c r="C1071" t="s">
        <v>16</v>
      </c>
      <c r="D1071" t="s">
        <v>22</v>
      </c>
      <c r="E1071">
        <v>13.1</v>
      </c>
      <c r="F1071">
        <v>13.7</v>
      </c>
      <c r="G1071">
        <v>14.8</v>
      </c>
      <c r="H1071">
        <v>14.7</v>
      </c>
      <c r="I1071">
        <v>15.1</v>
      </c>
      <c r="J1071">
        <v>15.1</v>
      </c>
      <c r="K1071">
        <v>15.3</v>
      </c>
      <c r="L1071">
        <v>14.9</v>
      </c>
      <c r="M1071">
        <v>14.7</v>
      </c>
      <c r="N1071">
        <v>14.6</v>
      </c>
      <c r="O1071">
        <v>14.6</v>
      </c>
      <c r="P1071">
        <v>13.7</v>
      </c>
      <c r="Q1071">
        <v>13.8</v>
      </c>
      <c r="R1071">
        <v>13.1</v>
      </c>
      <c r="S1071">
        <f>Tableau1[[#This Row],[Final_time]]-SUM(Tableau1[[#This Row],[0_100m]:[1300_1400m]])</f>
        <v>13.290000000000049</v>
      </c>
      <c r="T1071">
        <v>214.49</v>
      </c>
      <c r="U1071">
        <f t="shared" si="32"/>
        <v>214.49</v>
      </c>
      <c r="V1071">
        <f t="shared" si="33"/>
        <v>0</v>
      </c>
      <c r="W1071" s="12" t="s">
        <v>109</v>
      </c>
      <c r="X1071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1" t="s">
        <v>349</v>
      </c>
      <c r="Z1071" s="2" t="s">
        <v>106</v>
      </c>
      <c r="AA1071" s="2" t="s">
        <v>130</v>
      </c>
      <c r="AB1071" s="2" t="s">
        <v>65</v>
      </c>
      <c r="AC1071" s="2">
        <v>44413</v>
      </c>
      <c r="AD1071">
        <v>2021</v>
      </c>
      <c r="AE1071" s="3"/>
      <c r="AG1071" s="3"/>
      <c r="AH1071" t="s">
        <v>352</v>
      </c>
    </row>
    <row r="1072" spans="1:34" x14ac:dyDescent="0.35">
      <c r="A1072" t="str">
        <f>_xlfn.CONCAT(Tableau1[[#This Row],[Athletes]],"_",Tableau1[[#This Row],[Nationality]],"_",Tableau1[[#This Row],[Competition_year]])</f>
        <v>Teddese LEMI_ETH_2021</v>
      </c>
      <c r="B1072" t="s">
        <v>210</v>
      </c>
      <c r="C1072" t="s">
        <v>16</v>
      </c>
      <c r="D1072" t="s">
        <v>48</v>
      </c>
      <c r="E1072">
        <v>13.9</v>
      </c>
      <c r="F1072">
        <v>14</v>
      </c>
      <c r="G1072">
        <v>14.8</v>
      </c>
      <c r="H1072">
        <f>57.4-SUM(E1072:G1072)</f>
        <v>14.699999999999996</v>
      </c>
      <c r="I1072">
        <f>72.3-SUM(E1072:H1072)</f>
        <v>14.899999999999999</v>
      </c>
      <c r="J1072">
        <f>87.4-SUM(E1072:I1072)</f>
        <v>15.100000000000009</v>
      </c>
      <c r="K1072">
        <v>15.3</v>
      </c>
      <c r="L1072">
        <v>15</v>
      </c>
      <c r="M1072">
        <f>132.4-SUM(E1072:L1072)</f>
        <v>14.700000000000003</v>
      </c>
      <c r="N1072">
        <f>147.2-SUM(E1072:M1072)</f>
        <v>14.799999999999983</v>
      </c>
      <c r="O1072">
        <f>161.2-SUM(E1072:N1072)</f>
        <v>14</v>
      </c>
      <c r="P1072">
        <v>13.8</v>
      </c>
      <c r="Q1072">
        <f>188.1-SUM(E1072:P1072)</f>
        <v>13.099999999999994</v>
      </c>
      <c r="R1072">
        <f>201.5-SUM(E1072:Q1072)</f>
        <v>13.400000000000006</v>
      </c>
      <c r="S1072">
        <f>Tableau1[[#This Row],[Final_time]]-SUM(Tableau1[[#This Row],[0_100m]:[1300_1400m]])</f>
        <v>13.310000000000002</v>
      </c>
      <c r="T1072">
        <v>214.81</v>
      </c>
      <c r="U1072">
        <f t="shared" si="32"/>
        <v>214.81</v>
      </c>
      <c r="V1072">
        <f t="shared" si="33"/>
        <v>0</v>
      </c>
      <c r="W1072" s="12"/>
      <c r="X1072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2" t="s">
        <v>349</v>
      </c>
      <c r="Z1072" s="2" t="s">
        <v>106</v>
      </c>
      <c r="AA1072" s="2" t="s">
        <v>130</v>
      </c>
      <c r="AB1072" s="2" t="s">
        <v>65</v>
      </c>
      <c r="AC1072" s="2">
        <v>44413</v>
      </c>
      <c r="AD1072">
        <v>2021</v>
      </c>
      <c r="AE1072" s="3"/>
      <c r="AG1072" s="3"/>
      <c r="AH1072" t="s">
        <v>352</v>
      </c>
    </row>
    <row r="1073" spans="1:34" x14ac:dyDescent="0.35">
      <c r="A1073" t="str">
        <f>_xlfn.CONCAT(Tableau1[[#This Row],[Athletes]],"_",Tableau1[[#This Row],[Nationality]],"_",Tableau1[[#This Row],[Competition_year]])</f>
        <v>Robert FARKEN_GER_2021</v>
      </c>
      <c r="B1073" t="s">
        <v>342</v>
      </c>
      <c r="C1073" t="s">
        <v>16</v>
      </c>
      <c r="D1073" t="s">
        <v>34</v>
      </c>
      <c r="E1073">
        <v>13.5</v>
      </c>
      <c r="F1073">
        <f>27.3-E1073</f>
        <v>13.8</v>
      </c>
      <c r="G1073">
        <v>14.6</v>
      </c>
      <c r="H1073">
        <f>56.7-SUM(E1073:G1073)</f>
        <v>14.800000000000004</v>
      </c>
      <c r="I1073">
        <v>15</v>
      </c>
      <c r="J1073">
        <v>15.2</v>
      </c>
      <c r="K1073">
        <v>15.3</v>
      </c>
      <c r="L1073">
        <f>117.1-SUM(E1073:K1073)</f>
        <v>14.899999999999991</v>
      </c>
      <c r="M1073">
        <v>14.8</v>
      </c>
      <c r="N1073">
        <v>14.7</v>
      </c>
      <c r="O1073">
        <f>160.4-SUM(E1073:N1073)</f>
        <v>13.800000000000011</v>
      </c>
      <c r="P1073">
        <v>13.8</v>
      </c>
      <c r="Q1073">
        <f>188.3-SUM(E1073:P1073)</f>
        <v>14.099999999999994</v>
      </c>
      <c r="R1073">
        <f>201.7-SUM(E1073:Q1073)</f>
        <v>13.399999999999977</v>
      </c>
      <c r="S1073">
        <f>Tableau1[[#This Row],[Final_time]]-SUM(Tableau1[[#This Row],[0_100m]:[1300_1400m]])</f>
        <v>13.510000000000019</v>
      </c>
      <c r="T1073">
        <v>215.21</v>
      </c>
      <c r="U1073">
        <f t="shared" si="32"/>
        <v>215.21</v>
      </c>
      <c r="V1073">
        <f t="shared" si="33"/>
        <v>0</v>
      </c>
      <c r="W1073" s="12"/>
      <c r="X1073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3" t="s">
        <v>349</v>
      </c>
      <c r="Z1073" s="2" t="s">
        <v>106</v>
      </c>
      <c r="AA1073" s="2" t="s">
        <v>130</v>
      </c>
      <c r="AB1073" s="2" t="s">
        <v>65</v>
      </c>
      <c r="AC1073" s="2">
        <v>44413</v>
      </c>
      <c r="AD1073">
        <v>2021</v>
      </c>
      <c r="AE1073" s="3"/>
      <c r="AG1073" s="3"/>
      <c r="AH1073" t="s">
        <v>352</v>
      </c>
    </row>
    <row r="1074" spans="1:34" x14ac:dyDescent="0.35">
      <c r="A1074" t="str">
        <f>_xlfn.CONCAT(Tableau1[[#This Row],[Athletes]],"_",Tableau1[[#This Row],[Nationality]],"_",Tableau1[[#This Row],[Competition_year]])</f>
        <v>Nick WILLIS_NZL_2021</v>
      </c>
      <c r="B1074" t="s">
        <v>343</v>
      </c>
      <c r="C1074" t="s">
        <v>16</v>
      </c>
      <c r="D1074" t="s">
        <v>118</v>
      </c>
      <c r="E1074">
        <v>13.9</v>
      </c>
      <c r="F1074">
        <v>13.9</v>
      </c>
      <c r="G1074">
        <v>14.7</v>
      </c>
      <c r="H1074">
        <v>14.8</v>
      </c>
      <c r="I1074">
        <v>14.9</v>
      </c>
      <c r="J1074">
        <v>15.1</v>
      </c>
      <c r="K1074">
        <v>15.2</v>
      </c>
      <c r="L1074">
        <v>15</v>
      </c>
      <c r="M1074">
        <v>14.9</v>
      </c>
      <c r="N1074">
        <v>14.7</v>
      </c>
      <c r="O1074">
        <v>14.1</v>
      </c>
      <c r="P1074">
        <v>13.9</v>
      </c>
      <c r="Q1074">
        <v>13.5</v>
      </c>
      <c r="R1074">
        <v>13.2</v>
      </c>
      <c r="S1074">
        <f>Tableau1[[#This Row],[Final_time]]-SUM(Tableau1[[#This Row],[0_100m]:[1300_1400m]])</f>
        <v>13.610000000000014</v>
      </c>
      <c r="T1074">
        <v>215.41</v>
      </c>
      <c r="U1074">
        <f t="shared" si="32"/>
        <v>215.41</v>
      </c>
      <c r="V1074">
        <f t="shared" si="33"/>
        <v>0</v>
      </c>
      <c r="W1074" s="12"/>
      <c r="X1074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4" t="s">
        <v>349</v>
      </c>
      <c r="Z1074" s="2" t="s">
        <v>106</v>
      </c>
      <c r="AA1074" s="2" t="s">
        <v>130</v>
      </c>
      <c r="AB1074" s="2" t="s">
        <v>65</v>
      </c>
      <c r="AC1074" s="2">
        <v>44413</v>
      </c>
      <c r="AD1074">
        <v>2021</v>
      </c>
      <c r="AE1074" s="3"/>
      <c r="AG1074" s="3"/>
      <c r="AH1074" t="s">
        <v>352</v>
      </c>
    </row>
    <row r="1075" spans="1:34" x14ac:dyDescent="0.35">
      <c r="A1075" t="str">
        <f>_xlfn.CONCAT(Tableau1[[#This Row],[Athletes]],"_",Tableau1[[#This Row],[Nationality]],"_",Tableau1[[#This Row],[Competition_year]])</f>
        <v>Andrew COSCORAN_IRL_2021</v>
      </c>
      <c r="B1075" t="s">
        <v>232</v>
      </c>
      <c r="C1075" t="s">
        <v>16</v>
      </c>
      <c r="D1075" t="s">
        <v>35</v>
      </c>
      <c r="E1075">
        <v>13.7</v>
      </c>
      <c r="F1075">
        <v>14.1</v>
      </c>
      <c r="G1075">
        <v>14.7</v>
      </c>
      <c r="H1075">
        <v>15</v>
      </c>
      <c r="I1075">
        <v>15</v>
      </c>
      <c r="J1075">
        <v>15</v>
      </c>
      <c r="K1075">
        <v>15.3</v>
      </c>
      <c r="L1075">
        <v>15</v>
      </c>
      <c r="M1075">
        <v>14.8</v>
      </c>
      <c r="N1075">
        <v>14.7</v>
      </c>
      <c r="O1075">
        <v>14.1</v>
      </c>
      <c r="P1075">
        <v>13.9</v>
      </c>
      <c r="Q1075">
        <v>13.3</v>
      </c>
      <c r="R1075">
        <v>13.4</v>
      </c>
      <c r="S1075">
        <f>Tableau1[[#This Row],[Final_time]]-SUM(Tableau1[[#This Row],[0_100m]:[1300_1400m]])</f>
        <v>13.840000000000003</v>
      </c>
      <c r="T1075">
        <v>215.84</v>
      </c>
      <c r="U1075">
        <f t="shared" si="32"/>
        <v>215.84</v>
      </c>
      <c r="V1075">
        <f t="shared" si="33"/>
        <v>0</v>
      </c>
      <c r="W1075" s="12"/>
      <c r="X1075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5" t="s">
        <v>349</v>
      </c>
      <c r="Z1075" s="2" t="s">
        <v>106</v>
      </c>
      <c r="AA1075" s="2" t="s">
        <v>130</v>
      </c>
      <c r="AB1075" s="2" t="s">
        <v>65</v>
      </c>
      <c r="AC1075" s="2">
        <v>44413</v>
      </c>
      <c r="AD1075">
        <v>2021</v>
      </c>
      <c r="AE1075" s="3"/>
      <c r="AG1075" s="3"/>
      <c r="AH1075" t="s">
        <v>352</v>
      </c>
    </row>
    <row r="1076" spans="1:34" x14ac:dyDescent="0.35">
      <c r="A1076" t="str">
        <f>_xlfn.CONCAT(Tableau1[[#This Row],[Athletes]],"_",Tableau1[[#This Row],[Nationality]],"_",Tableau1[[#This Row],[Competition_year]])</f>
        <v>Ismael DEBJANI_BEL_2021</v>
      </c>
      <c r="B1076" t="s">
        <v>226</v>
      </c>
      <c r="C1076" t="s">
        <v>16</v>
      </c>
      <c r="D1076" t="s">
        <v>86</v>
      </c>
      <c r="E1076">
        <v>13.4</v>
      </c>
      <c r="F1076">
        <v>14</v>
      </c>
      <c r="G1076">
        <v>14.7</v>
      </c>
      <c r="H1076">
        <v>14.8</v>
      </c>
      <c r="I1076">
        <v>15</v>
      </c>
      <c r="J1076">
        <v>15.2</v>
      </c>
      <c r="K1076">
        <v>15.2</v>
      </c>
      <c r="L1076">
        <f>117.3-SUM(E1076:K1076)</f>
        <v>15</v>
      </c>
      <c r="M1076">
        <f>132.1-SUM(E1076:L1076)</f>
        <v>14.799999999999997</v>
      </c>
      <c r="N1076">
        <v>14.7</v>
      </c>
      <c r="O1076">
        <v>14.2</v>
      </c>
      <c r="P1076">
        <v>14.4</v>
      </c>
      <c r="Q1076">
        <f>190-SUM(E1076:P1076)</f>
        <v>14.600000000000023</v>
      </c>
      <c r="R1076">
        <f>205.4-SUM(E1076:Q1076)</f>
        <v>15.400000000000006</v>
      </c>
      <c r="S1076">
        <f>Tableau1[[#This Row],[Final_time]]-SUM(Tableau1[[#This Row],[0_100m]:[1300_1400m]])</f>
        <v>16.78</v>
      </c>
      <c r="T1076">
        <v>222.18</v>
      </c>
      <c r="U1076">
        <f t="shared" si="32"/>
        <v>222.18</v>
      </c>
      <c r="V1076">
        <f t="shared" si="33"/>
        <v>0</v>
      </c>
      <c r="W1076" s="12"/>
      <c r="X1076" t="str">
        <f>_xlfn.CONCAT(Tableau1[[#This Row],[Competition]],"_",Tableau1[[#This Row],[Championship_step]],"_",Tableau1[[#This Row],[Competition_date]],"_",Tableau1[[#This Row],[Gender]])</f>
        <v>Olympic Games Tokyo 2021_Semi 1_44413_Male</v>
      </c>
      <c r="Y1076" t="s">
        <v>349</v>
      </c>
      <c r="Z1076" s="2" t="s">
        <v>106</v>
      </c>
      <c r="AA1076" s="2" t="s">
        <v>130</v>
      </c>
      <c r="AB1076" s="2" t="s">
        <v>65</v>
      </c>
      <c r="AC1076" s="2">
        <v>44413</v>
      </c>
      <c r="AD1076">
        <v>2021</v>
      </c>
      <c r="AE1076" s="3"/>
      <c r="AG1076" s="3"/>
      <c r="AH1076" t="s">
        <v>352</v>
      </c>
    </row>
    <row r="1077" spans="1:34" x14ac:dyDescent="0.35">
      <c r="A1077" t="str">
        <f>_xlfn.CONCAT(Tableau1[[#This Row],[Athletes]],"_",Tableau1[[#This Row],[Nationality]],"_",Tableau1[[#This Row],[Competition_year]])</f>
        <v>Sifan HASSAN_NED_2021</v>
      </c>
      <c r="B1077" t="s">
        <v>152</v>
      </c>
      <c r="C1077" t="s">
        <v>47</v>
      </c>
      <c r="D1077" t="s">
        <v>39</v>
      </c>
      <c r="E1077">
        <v>16.7</v>
      </c>
      <c r="F1077">
        <v>16.900000000000002</v>
      </c>
      <c r="G1077">
        <v>16.5</v>
      </c>
      <c r="H1077">
        <v>16.899999999999999</v>
      </c>
      <c r="I1077">
        <v>16.400000000000006</v>
      </c>
      <c r="J1077">
        <v>16.599999999999994</v>
      </c>
      <c r="K1077">
        <v>16.599999999999994</v>
      </c>
      <c r="L1077">
        <v>16.700000000000017</v>
      </c>
      <c r="M1077">
        <v>15.799999999999983</v>
      </c>
      <c r="N1077">
        <v>16.599999999999994</v>
      </c>
      <c r="O1077">
        <v>15.300000000000011</v>
      </c>
      <c r="P1077">
        <v>15.400000000000006</v>
      </c>
      <c r="Q1077">
        <v>14.599999999999994</v>
      </c>
      <c r="R1077">
        <v>14.699999999999989</v>
      </c>
      <c r="S1077">
        <f>Tableau1[[#This Row],[Final_time]]-SUM(Tableau1[[#This Row],[0_100m]:[1300_1400m]])</f>
        <v>14.530000000000001</v>
      </c>
      <c r="T1077">
        <v>240.23</v>
      </c>
      <c r="U1077">
        <f t="shared" si="32"/>
        <v>240.23</v>
      </c>
      <c r="V1077">
        <f t="shared" si="33"/>
        <v>0</v>
      </c>
      <c r="W1077" s="12" t="s">
        <v>109</v>
      </c>
      <c r="X1077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77" t="s">
        <v>349</v>
      </c>
      <c r="Z1077" s="2" t="s">
        <v>106</v>
      </c>
      <c r="AA1077" s="2" t="s">
        <v>131</v>
      </c>
      <c r="AB1077" s="2" t="s">
        <v>65</v>
      </c>
      <c r="AC1077" s="2">
        <v>44412</v>
      </c>
      <c r="AD1077">
        <v>2021</v>
      </c>
      <c r="AE1077" s="3"/>
      <c r="AG1077" s="3"/>
      <c r="AH1077" t="s">
        <v>357</v>
      </c>
    </row>
    <row r="1078" spans="1:34" x14ac:dyDescent="0.35">
      <c r="A1078" t="str">
        <f>_xlfn.CONCAT(Tableau1[[#This Row],[Athletes]],"_",Tableau1[[#This Row],[Nationality]],"_",Tableau1[[#This Row],[Competition_year]])</f>
        <v>Laura MUIR_GBR_2021</v>
      </c>
      <c r="B1078" t="s">
        <v>153</v>
      </c>
      <c r="C1078" t="s">
        <v>47</v>
      </c>
      <c r="D1078" t="s">
        <v>20</v>
      </c>
      <c r="E1078">
        <v>16.3</v>
      </c>
      <c r="F1078">
        <v>16.900000000000002</v>
      </c>
      <c r="G1078">
        <v>16.5</v>
      </c>
      <c r="H1078">
        <v>16.899999999999991</v>
      </c>
      <c r="I1078">
        <v>15.600000000000009</v>
      </c>
      <c r="J1078">
        <v>16.599999999999994</v>
      </c>
      <c r="K1078">
        <v>16.700000000000003</v>
      </c>
      <c r="L1078">
        <v>16.699999999999989</v>
      </c>
      <c r="M1078">
        <v>16</v>
      </c>
      <c r="N1078">
        <v>16.200000000000017</v>
      </c>
      <c r="O1078">
        <v>15.599999999999994</v>
      </c>
      <c r="P1078">
        <v>15.699999999999989</v>
      </c>
      <c r="Q1078">
        <v>15.300000000000011</v>
      </c>
      <c r="R1078">
        <v>14.699999999999989</v>
      </c>
      <c r="S1078">
        <f>Tableau1[[#This Row],[Final_time]]-SUM(Tableau1[[#This Row],[0_100m]:[1300_1400m]])</f>
        <v>15.030000000000001</v>
      </c>
      <c r="T1078">
        <v>240.73</v>
      </c>
      <c r="U1078">
        <f t="shared" si="32"/>
        <v>240.73</v>
      </c>
      <c r="V1078">
        <f t="shared" si="33"/>
        <v>0</v>
      </c>
      <c r="W1078" s="12" t="s">
        <v>109</v>
      </c>
      <c r="X1078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78" t="s">
        <v>349</v>
      </c>
      <c r="Z1078" s="2" t="s">
        <v>106</v>
      </c>
      <c r="AA1078" s="2" t="s">
        <v>131</v>
      </c>
      <c r="AB1078" s="2" t="s">
        <v>65</v>
      </c>
      <c r="AC1078" s="2">
        <v>44412</v>
      </c>
      <c r="AD1078">
        <v>2021</v>
      </c>
      <c r="AE1078" s="3"/>
      <c r="AG1078" s="3"/>
      <c r="AH1078" t="s">
        <v>357</v>
      </c>
    </row>
    <row r="1079" spans="1:34" x14ac:dyDescent="0.35">
      <c r="A1079" t="str">
        <f>_xlfn.CONCAT(Tableau1[[#This Row],[Athletes]],"_",Tableau1[[#This Row],[Nationality]],"_",Tableau1[[#This Row],[Competition_year]])</f>
        <v>Marta PÉREZ_ESP_2021</v>
      </c>
      <c r="B1079" t="s">
        <v>183</v>
      </c>
      <c r="C1079" t="s">
        <v>47</v>
      </c>
      <c r="D1079" t="s">
        <v>22</v>
      </c>
      <c r="E1079">
        <v>15.7</v>
      </c>
      <c r="F1079">
        <v>16.8</v>
      </c>
      <c r="G1079">
        <v>16.700000000000003</v>
      </c>
      <c r="H1079">
        <v>16.700000000000003</v>
      </c>
      <c r="I1079">
        <v>16.599999999999994</v>
      </c>
      <c r="J1079">
        <v>16.700000000000003</v>
      </c>
      <c r="K1079">
        <v>16.799999999999997</v>
      </c>
      <c r="L1079">
        <v>16.800000000000011</v>
      </c>
      <c r="M1079">
        <v>16.299999999999983</v>
      </c>
      <c r="N1079">
        <v>16.200000000000017</v>
      </c>
      <c r="O1079">
        <v>15.299999999999983</v>
      </c>
      <c r="P1079">
        <v>15.599999999999994</v>
      </c>
      <c r="Q1079">
        <v>15.100000000000023</v>
      </c>
      <c r="R1079">
        <v>15.099999999999994</v>
      </c>
      <c r="S1079">
        <f>Tableau1[[#This Row],[Final_time]]-SUM(Tableau1[[#This Row],[0_100m]:[1300_1400m]])</f>
        <v>15.289999999999992</v>
      </c>
      <c r="T1079">
        <v>241.69</v>
      </c>
      <c r="U1079">
        <f t="shared" si="32"/>
        <v>241.69</v>
      </c>
      <c r="V1079">
        <f t="shared" si="33"/>
        <v>0</v>
      </c>
      <c r="W1079" s="12" t="s">
        <v>109</v>
      </c>
      <c r="X1079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79" t="s">
        <v>349</v>
      </c>
      <c r="Z1079" s="2" t="s">
        <v>106</v>
      </c>
      <c r="AA1079" s="2" t="s">
        <v>131</v>
      </c>
      <c r="AB1079" s="2" t="s">
        <v>65</v>
      </c>
      <c r="AC1079" s="2">
        <v>44412</v>
      </c>
      <c r="AD1079">
        <v>2021</v>
      </c>
      <c r="AE1079" s="3"/>
      <c r="AG1079" s="3"/>
      <c r="AH1079" t="s">
        <v>357</v>
      </c>
    </row>
    <row r="1080" spans="1:34" x14ac:dyDescent="0.35">
      <c r="A1080" t="str">
        <f>_xlfn.CONCAT(Tableau1[[#This Row],[Athletes]],"_",Tableau1[[#This Row],[Nationality]],"_",Tableau1[[#This Row],[Competition_year]])</f>
        <v>Winnie NANYONDO_UGA_2021</v>
      </c>
      <c r="B1080" t="s">
        <v>241</v>
      </c>
      <c r="C1080" t="s">
        <v>47</v>
      </c>
      <c r="D1080" t="s">
        <v>52</v>
      </c>
      <c r="E1080">
        <v>15.3</v>
      </c>
      <c r="F1080">
        <v>16.7</v>
      </c>
      <c r="G1080">
        <v>16.700000000000003</v>
      </c>
      <c r="H1080">
        <v>16.599999999999994</v>
      </c>
      <c r="I1080">
        <v>16.700000000000003</v>
      </c>
      <c r="J1080">
        <v>16.700000000000003</v>
      </c>
      <c r="K1080">
        <v>16.700000000000003</v>
      </c>
      <c r="L1080">
        <v>16.699999999999989</v>
      </c>
      <c r="M1080">
        <v>16.200000000000017</v>
      </c>
      <c r="N1080">
        <v>16.299999999999983</v>
      </c>
      <c r="O1080">
        <v>16</v>
      </c>
      <c r="P1080">
        <v>15.300000000000011</v>
      </c>
      <c r="Q1080">
        <v>15.400000000000006</v>
      </c>
      <c r="R1080">
        <v>14.799999999999983</v>
      </c>
      <c r="S1080">
        <f>Tableau1[[#This Row],[Final_time]]-SUM(Tableau1[[#This Row],[0_100m]:[1300_1400m]])</f>
        <v>15.539999999999992</v>
      </c>
      <c r="T1080">
        <v>241.64</v>
      </c>
      <c r="U1080">
        <f t="shared" si="32"/>
        <v>241.64</v>
      </c>
      <c r="V1080">
        <f t="shared" si="33"/>
        <v>0</v>
      </c>
      <c r="W1080" s="12" t="s">
        <v>109</v>
      </c>
      <c r="X1080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0" t="s">
        <v>349</v>
      </c>
      <c r="Z1080" s="2" t="s">
        <v>106</v>
      </c>
      <c r="AA1080" s="2" t="s">
        <v>131</v>
      </c>
      <c r="AB1080" s="2" t="s">
        <v>65</v>
      </c>
      <c r="AC1080" s="2">
        <v>44412</v>
      </c>
      <c r="AD1080">
        <v>2021</v>
      </c>
      <c r="AE1080" s="3"/>
      <c r="AG1080" s="3"/>
      <c r="AH1080" t="s">
        <v>357</v>
      </c>
    </row>
    <row r="1081" spans="1:34" x14ac:dyDescent="0.35">
      <c r="A1081" t="str">
        <f>_xlfn.CONCAT(Tableau1[[#This Row],[Athletes]],"_",Tableau1[[#This Row],[Nationality]],"_",Tableau1[[#This Row],[Competition_year]])</f>
        <v>Sara KUIVISTO_FIN_2021</v>
      </c>
      <c r="B1081" t="s">
        <v>353</v>
      </c>
      <c r="C1081" t="s">
        <v>47</v>
      </c>
      <c r="D1081" t="s">
        <v>119</v>
      </c>
      <c r="E1081">
        <v>15.5</v>
      </c>
      <c r="F1081">
        <v>16.600000000000001</v>
      </c>
      <c r="G1081">
        <v>16.699999999999996</v>
      </c>
      <c r="H1081">
        <v>16.799999999999997</v>
      </c>
      <c r="I1081">
        <v>16.600000000000009</v>
      </c>
      <c r="J1081">
        <v>16.700000000000003</v>
      </c>
      <c r="K1081">
        <v>16.799999999999997</v>
      </c>
      <c r="L1081">
        <v>16.799999999999997</v>
      </c>
      <c r="M1081">
        <v>16</v>
      </c>
      <c r="N1081">
        <v>16.300000000000011</v>
      </c>
      <c r="O1081">
        <v>16</v>
      </c>
      <c r="P1081">
        <v>15.599999999999994</v>
      </c>
      <c r="Q1081">
        <v>15.099999999999994</v>
      </c>
      <c r="R1081">
        <v>15.099999999999994</v>
      </c>
      <c r="S1081">
        <f>Tableau1[[#This Row],[Final_time]]-SUM(Tableau1[[#This Row],[0_100m]:[1300_1400m]])</f>
        <v>15.75</v>
      </c>
      <c r="T1081">
        <v>242.35</v>
      </c>
      <c r="U1081">
        <f t="shared" si="32"/>
        <v>242.35</v>
      </c>
      <c r="V1081">
        <f t="shared" si="33"/>
        <v>0</v>
      </c>
      <c r="W1081" s="12"/>
      <c r="X1081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1" t="s">
        <v>349</v>
      </c>
      <c r="Z1081" s="2" t="s">
        <v>106</v>
      </c>
      <c r="AA1081" s="2" t="s">
        <v>131</v>
      </c>
      <c r="AB1081" s="2" t="s">
        <v>65</v>
      </c>
      <c r="AC1081" s="2">
        <v>44412</v>
      </c>
      <c r="AD1081">
        <v>2021</v>
      </c>
      <c r="AE1081" s="3"/>
      <c r="AG1081" s="3"/>
      <c r="AH1081" t="s">
        <v>357</v>
      </c>
    </row>
    <row r="1082" spans="1:34" x14ac:dyDescent="0.35">
      <c r="A1082" t="str">
        <f>_xlfn.CONCAT(Tableau1[[#This Row],[Athletes]],"_",Tableau1[[#This Row],[Nationality]],"_",Tableau1[[#This Row],[Competition_year]])</f>
        <v>Marta PEN FREITAS_POR_2021</v>
      </c>
      <c r="B1082" t="s">
        <v>324</v>
      </c>
      <c r="C1082" t="s">
        <v>47</v>
      </c>
      <c r="D1082" t="s">
        <v>33</v>
      </c>
      <c r="E1082">
        <v>15.8</v>
      </c>
      <c r="F1082">
        <v>16.900000000000002</v>
      </c>
      <c r="G1082">
        <v>16.599999999999994</v>
      </c>
      <c r="H1082">
        <v>16.900000000000006</v>
      </c>
      <c r="I1082">
        <v>16.399999999999991</v>
      </c>
      <c r="J1082">
        <v>16.400000000000006</v>
      </c>
      <c r="K1082">
        <v>16.700000000000003</v>
      </c>
      <c r="L1082">
        <v>16.600000000000009</v>
      </c>
      <c r="M1082">
        <v>16.399999999999977</v>
      </c>
      <c r="N1082">
        <v>16.5</v>
      </c>
      <c r="O1082">
        <v>16.100000000000023</v>
      </c>
      <c r="P1082">
        <v>15.799999999999983</v>
      </c>
      <c r="Q1082">
        <v>15.900000000000006</v>
      </c>
      <c r="R1082">
        <v>15.400000000000006</v>
      </c>
      <c r="S1082">
        <f>Tableau1[[#This Row],[Final_time]]-SUM(Tableau1[[#This Row],[0_100m]:[1300_1400m]])</f>
        <v>15.75</v>
      </c>
      <c r="T1082">
        <v>244.15</v>
      </c>
      <c r="U1082">
        <f t="shared" si="32"/>
        <v>244.15</v>
      </c>
      <c r="V1082">
        <f t="shared" si="33"/>
        <v>0</v>
      </c>
      <c r="W1082" s="12"/>
      <c r="X1082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2" t="s">
        <v>349</v>
      </c>
      <c r="Z1082" s="2" t="s">
        <v>106</v>
      </c>
      <c r="AA1082" s="2" t="s">
        <v>131</v>
      </c>
      <c r="AB1082" s="2" t="s">
        <v>65</v>
      </c>
      <c r="AC1082" s="2">
        <v>44412</v>
      </c>
      <c r="AD1082">
        <v>2021</v>
      </c>
      <c r="AE1082" s="3"/>
      <c r="AG1082" s="3"/>
      <c r="AH1082" t="s">
        <v>357</v>
      </c>
    </row>
    <row r="1083" spans="1:34" x14ac:dyDescent="0.35">
      <c r="A1083" t="str">
        <f>_xlfn.CONCAT(Tableau1[[#This Row],[Athletes]],"_",Tableau1[[#This Row],[Nationality]],"_",Tableau1[[#This Row],[Competition_year]])</f>
        <v>Lucia STAFFORD_CAN_2021</v>
      </c>
      <c r="B1083" t="s">
        <v>158</v>
      </c>
      <c r="C1083" t="s">
        <v>47</v>
      </c>
      <c r="D1083" t="s">
        <v>55</v>
      </c>
      <c r="E1083">
        <v>16</v>
      </c>
      <c r="F1083">
        <v>16.899999999999999</v>
      </c>
      <c r="G1083">
        <v>16.600000000000001</v>
      </c>
      <c r="H1083">
        <v>16.900000000000006</v>
      </c>
      <c r="I1083">
        <v>16.5</v>
      </c>
      <c r="J1083">
        <v>16.599999999999994</v>
      </c>
      <c r="K1083">
        <v>16.700000000000003</v>
      </c>
      <c r="L1083">
        <v>16.700000000000003</v>
      </c>
      <c r="M1083">
        <v>16.099999999999994</v>
      </c>
      <c r="N1083">
        <v>16.300000000000011</v>
      </c>
      <c r="O1083">
        <v>15.599999999999994</v>
      </c>
      <c r="P1083">
        <v>15.299999999999983</v>
      </c>
      <c r="Q1083">
        <v>14.900000000000006</v>
      </c>
      <c r="R1083">
        <v>15.099999999999994</v>
      </c>
      <c r="S1083">
        <f>Tableau1[[#This Row],[Final_time]]-SUM(Tableau1[[#This Row],[0_100m]:[1300_1400m]])</f>
        <v>15.920000000000016</v>
      </c>
      <c r="T1083">
        <v>242.12</v>
      </c>
      <c r="U1083">
        <f t="shared" si="32"/>
        <v>242.12</v>
      </c>
      <c r="V1083">
        <f t="shared" si="33"/>
        <v>0</v>
      </c>
      <c r="W1083" s="12"/>
      <c r="X1083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3" t="s">
        <v>349</v>
      </c>
      <c r="Z1083" s="2" t="s">
        <v>106</v>
      </c>
      <c r="AA1083" s="2" t="s">
        <v>131</v>
      </c>
      <c r="AB1083" s="2" t="s">
        <v>65</v>
      </c>
      <c r="AC1083" s="2">
        <v>44412</v>
      </c>
      <c r="AD1083">
        <v>2021</v>
      </c>
      <c r="AE1083" s="3"/>
      <c r="AG1083" s="3"/>
      <c r="AH1083" t="s">
        <v>357</v>
      </c>
    </row>
    <row r="1084" spans="1:34" x14ac:dyDescent="0.35">
      <c r="A1084" t="str">
        <f>_xlfn.CONCAT(Tableau1[[#This Row],[Athletes]],"_",Tableau1[[#This Row],[Nationality]],"_",Tableau1[[#This Row],[Competition_year]])</f>
        <v>Lemlem HAILU_ETH_2021</v>
      </c>
      <c r="B1084" t="s">
        <v>271</v>
      </c>
      <c r="C1084" t="s">
        <v>47</v>
      </c>
      <c r="D1084" t="s">
        <v>48</v>
      </c>
      <c r="E1084">
        <v>16.5</v>
      </c>
      <c r="F1084">
        <v>16.899999999999999</v>
      </c>
      <c r="G1084">
        <v>16.600000000000001</v>
      </c>
      <c r="H1084">
        <v>16.799999999999997</v>
      </c>
      <c r="I1084">
        <v>16.400000000000006</v>
      </c>
      <c r="J1084">
        <v>16.700000000000003</v>
      </c>
      <c r="K1084">
        <v>16.5</v>
      </c>
      <c r="L1084">
        <v>16.599999999999994</v>
      </c>
      <c r="M1084">
        <v>16</v>
      </c>
      <c r="N1084">
        <v>16</v>
      </c>
      <c r="O1084">
        <v>15.800000000000011</v>
      </c>
      <c r="P1084">
        <v>16.199999999999989</v>
      </c>
      <c r="Q1084">
        <v>15.300000000000011</v>
      </c>
      <c r="R1084">
        <v>15.5</v>
      </c>
      <c r="S1084">
        <f>Tableau1[[#This Row],[Final_time]]-SUM(Tableau1[[#This Row],[0_100m]:[1300_1400m]])</f>
        <v>15.95999999999998</v>
      </c>
      <c r="T1084">
        <v>243.76</v>
      </c>
      <c r="U1084">
        <f t="shared" si="32"/>
        <v>243.76</v>
      </c>
      <c r="V1084">
        <f t="shared" si="33"/>
        <v>0</v>
      </c>
      <c r="W1084" s="12"/>
      <c r="X1084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4" t="s">
        <v>349</v>
      </c>
      <c r="Z1084" s="2" t="s">
        <v>106</v>
      </c>
      <c r="AA1084" s="2" t="s">
        <v>131</v>
      </c>
      <c r="AB1084" s="2" t="s">
        <v>65</v>
      </c>
      <c r="AC1084" s="2">
        <v>44412</v>
      </c>
      <c r="AD1084">
        <v>2021</v>
      </c>
      <c r="AE1084" s="3"/>
      <c r="AG1084" s="3"/>
      <c r="AH1084" t="s">
        <v>357</v>
      </c>
    </row>
    <row r="1085" spans="1:34" x14ac:dyDescent="0.35">
      <c r="A1085" t="str">
        <f>_xlfn.CONCAT(Tableau1[[#This Row],[Athletes]],"_",Tableau1[[#This Row],[Nationality]],"_",Tableau1[[#This Row],[Competition_year]])</f>
        <v>Diana MEZULIÁNÍKOVÁ_CZE_2021</v>
      </c>
      <c r="B1085" t="s">
        <v>242</v>
      </c>
      <c r="C1085" t="s">
        <v>47</v>
      </c>
      <c r="D1085" t="s">
        <v>140</v>
      </c>
      <c r="E1085">
        <v>15.5</v>
      </c>
      <c r="F1085">
        <v>16.799999999999997</v>
      </c>
      <c r="G1085">
        <v>16.700000000000003</v>
      </c>
      <c r="H1085">
        <v>16.799999999999997</v>
      </c>
      <c r="I1085">
        <v>16.600000000000009</v>
      </c>
      <c r="J1085">
        <v>16.799999999999997</v>
      </c>
      <c r="K1085">
        <v>16.700000000000003</v>
      </c>
      <c r="L1085">
        <v>16.799999999999983</v>
      </c>
      <c r="M1085">
        <v>16.300000000000011</v>
      </c>
      <c r="N1085">
        <v>16.099999999999994</v>
      </c>
      <c r="O1085">
        <v>15.400000000000006</v>
      </c>
      <c r="P1085">
        <v>15.599999999999994</v>
      </c>
      <c r="Q1085">
        <v>15.800000000000011</v>
      </c>
      <c r="R1085">
        <v>15.099999999999994</v>
      </c>
      <c r="S1085">
        <f>Tableau1[[#This Row],[Final_time]]-SUM(Tableau1[[#This Row],[0_100m]:[1300_1400m]])</f>
        <v>16.699999999999989</v>
      </c>
      <c r="T1085">
        <v>243.7</v>
      </c>
      <c r="U1085">
        <f t="shared" si="32"/>
        <v>243.7</v>
      </c>
      <c r="V1085">
        <f t="shared" si="33"/>
        <v>0</v>
      </c>
      <c r="W1085" s="12"/>
      <c r="X1085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5" t="s">
        <v>349</v>
      </c>
      <c r="Z1085" s="2" t="s">
        <v>106</v>
      </c>
      <c r="AA1085" s="2" t="s">
        <v>131</v>
      </c>
      <c r="AB1085" s="2" t="s">
        <v>65</v>
      </c>
      <c r="AC1085" s="2">
        <v>44412</v>
      </c>
      <c r="AD1085">
        <v>2021</v>
      </c>
      <c r="AE1085" s="3"/>
      <c r="AG1085" s="3"/>
      <c r="AH1085" t="s">
        <v>357</v>
      </c>
    </row>
    <row r="1086" spans="1:34" x14ac:dyDescent="0.35">
      <c r="A1086" t="str">
        <f>_xlfn.CONCAT(Tableau1[[#This Row],[Athletes]],"_",Tableau1[[#This Row],[Nationality]],"_",Tableau1[[#This Row],[Competition_year]])</f>
        <v>Linden HALL_AUS_2021</v>
      </c>
      <c r="B1086" t="s">
        <v>184</v>
      </c>
      <c r="C1086" t="s">
        <v>47</v>
      </c>
      <c r="D1086" t="s">
        <v>21</v>
      </c>
      <c r="E1086">
        <v>15.3</v>
      </c>
      <c r="F1086">
        <v>16.5</v>
      </c>
      <c r="G1086">
        <v>16.7</v>
      </c>
      <c r="H1086">
        <v>16.599999999999994</v>
      </c>
      <c r="I1086">
        <v>16.600000000000009</v>
      </c>
      <c r="J1086">
        <v>16.599999999999994</v>
      </c>
      <c r="K1086">
        <v>16.700000000000003</v>
      </c>
      <c r="L1086">
        <v>16.699999999999989</v>
      </c>
      <c r="M1086">
        <v>16</v>
      </c>
      <c r="N1086">
        <v>16.5</v>
      </c>
      <c r="O1086">
        <v>16</v>
      </c>
      <c r="P1086">
        <v>15.300000000000011</v>
      </c>
      <c r="Q1086">
        <v>15.300000000000011</v>
      </c>
      <c r="R1086">
        <v>13.799999999999983</v>
      </c>
      <c r="S1086">
        <f>Tableau1[[#This Row],[Final_time]]-SUM(Tableau1[[#This Row],[0_100m]:[1300_1400m]])</f>
        <v>16.77000000000001</v>
      </c>
      <c r="T1086">
        <v>241.37</v>
      </c>
      <c r="U1086">
        <f t="shared" si="32"/>
        <v>241.37</v>
      </c>
      <c r="V1086">
        <f t="shared" si="33"/>
        <v>0</v>
      </c>
      <c r="W1086" s="12" t="s">
        <v>109</v>
      </c>
      <c r="X1086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6" t="s">
        <v>349</v>
      </c>
      <c r="Z1086" s="2" t="s">
        <v>106</v>
      </c>
      <c r="AA1086" s="2" t="s">
        <v>131</v>
      </c>
      <c r="AB1086" s="2" t="s">
        <v>65</v>
      </c>
      <c r="AC1086" s="2">
        <v>44412</v>
      </c>
      <c r="AD1086">
        <v>2021</v>
      </c>
      <c r="AE1086" s="3"/>
      <c r="AG1086" s="3"/>
      <c r="AH1086" t="s">
        <v>357</v>
      </c>
    </row>
    <row r="1087" spans="1:34" x14ac:dyDescent="0.35">
      <c r="A1087" t="str">
        <f>_xlfn.CONCAT(Tableau1[[#This Row],[Athletes]],"_",Tableau1[[#This Row],[Nationality]],"_",Tableau1[[#This Row],[Competition_year]])</f>
        <v>Heather MACLEAN_USA_2021</v>
      </c>
      <c r="B1087" t="s">
        <v>355</v>
      </c>
      <c r="C1087" t="s">
        <v>47</v>
      </c>
      <c r="D1087" t="s">
        <v>51</v>
      </c>
      <c r="E1087">
        <v>15.7</v>
      </c>
      <c r="F1087">
        <v>16.8</v>
      </c>
      <c r="G1087">
        <v>16.5</v>
      </c>
      <c r="H1087">
        <v>16.900000000000006</v>
      </c>
      <c r="I1087">
        <v>16.699999999999989</v>
      </c>
      <c r="J1087">
        <v>16.700000000000003</v>
      </c>
      <c r="K1087">
        <v>16.700000000000003</v>
      </c>
      <c r="L1087">
        <v>16.699999999999989</v>
      </c>
      <c r="M1087">
        <v>16</v>
      </c>
      <c r="N1087">
        <v>16.600000000000023</v>
      </c>
      <c r="O1087">
        <v>16</v>
      </c>
      <c r="P1087">
        <v>16.299999999999983</v>
      </c>
      <c r="Q1087">
        <v>15.400000000000006</v>
      </c>
      <c r="R1087">
        <v>15.5</v>
      </c>
      <c r="S1087">
        <f>Tableau1[[#This Row],[Final_time]]-SUM(Tableau1[[#This Row],[0_100m]:[1300_1400m]])</f>
        <v>16.830000000000013</v>
      </c>
      <c r="T1087">
        <v>245.33</v>
      </c>
      <c r="U1087">
        <f t="shared" si="32"/>
        <v>245.33</v>
      </c>
      <c r="V1087">
        <f t="shared" si="33"/>
        <v>0</v>
      </c>
      <c r="W1087" s="12"/>
      <c r="X1087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7" t="s">
        <v>349</v>
      </c>
      <c r="Z1087" s="2" t="s">
        <v>106</v>
      </c>
      <c r="AA1087" s="2" t="s">
        <v>131</v>
      </c>
      <c r="AB1087" s="2" t="s">
        <v>65</v>
      </c>
      <c r="AC1087" s="2">
        <v>44412</v>
      </c>
      <c r="AD1087">
        <v>2021</v>
      </c>
      <c r="AE1087" s="3"/>
      <c r="AG1087" s="3"/>
      <c r="AH1087" t="s">
        <v>357</v>
      </c>
    </row>
    <row r="1088" spans="1:34" x14ac:dyDescent="0.35">
      <c r="A1088" t="str">
        <f>_xlfn.CONCAT(Tableau1[[#This Row],[Athletes]],"_",Tableau1[[#This Row],[Nationality]],"_",Tableau1[[#This Row],[Competition_year]])</f>
        <v>Edinah JEBITOK_KEN_2021</v>
      </c>
      <c r="B1088" t="s">
        <v>155</v>
      </c>
      <c r="C1088" t="s">
        <v>47</v>
      </c>
      <c r="D1088" t="s">
        <v>17</v>
      </c>
      <c r="E1088">
        <v>16</v>
      </c>
      <c r="F1088">
        <v>17</v>
      </c>
      <c r="G1088">
        <v>16.600000000000001</v>
      </c>
      <c r="H1088">
        <v>16.800000000000004</v>
      </c>
      <c r="I1088">
        <v>16.599999999999994</v>
      </c>
      <c r="J1088">
        <v>16.700000000000003</v>
      </c>
      <c r="K1088">
        <v>16.700000000000003</v>
      </c>
      <c r="L1088">
        <v>16.699999999999989</v>
      </c>
      <c r="M1088">
        <v>16.300000000000011</v>
      </c>
      <c r="N1088">
        <v>16.299999999999983</v>
      </c>
      <c r="O1088">
        <v>16</v>
      </c>
      <c r="P1088">
        <v>15.300000000000011</v>
      </c>
      <c r="Q1088">
        <v>15.599999999999994</v>
      </c>
      <c r="R1088">
        <v>15.300000000000011</v>
      </c>
      <c r="S1088">
        <f>Tableau1[[#This Row],[Final_time]]-SUM(Tableau1[[#This Row],[0_100m]:[1300_1400m]])</f>
        <v>17.659999999999997</v>
      </c>
      <c r="T1088">
        <v>245.56</v>
      </c>
      <c r="U1088">
        <f t="shared" si="32"/>
        <v>245.56</v>
      </c>
      <c r="V1088">
        <f t="shared" si="33"/>
        <v>0</v>
      </c>
      <c r="W1088" s="12"/>
      <c r="X1088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8" t="s">
        <v>349</v>
      </c>
      <c r="Z1088" s="2" t="s">
        <v>106</v>
      </c>
      <c r="AA1088" s="2" t="s">
        <v>131</v>
      </c>
      <c r="AB1088" s="2" t="s">
        <v>65</v>
      </c>
      <c r="AC1088" s="2">
        <v>44412</v>
      </c>
      <c r="AD1088">
        <v>2021</v>
      </c>
      <c r="AE1088" s="3"/>
      <c r="AG1088" s="3"/>
      <c r="AH1088" t="s">
        <v>357</v>
      </c>
    </row>
    <row r="1089" spans="1:34" x14ac:dyDescent="0.35">
      <c r="A1089" t="str">
        <f>_xlfn.CONCAT(Tableau1[[#This Row],[Athletes]],"_",Tableau1[[#This Row],[Nationality]],"_",Tableau1[[#This Row],[Competition_year]])</f>
        <v>Elise VANDERELST_BEL_2021</v>
      </c>
      <c r="B1089" t="s">
        <v>177</v>
      </c>
      <c r="C1089" t="s">
        <v>47</v>
      </c>
      <c r="D1089" t="s">
        <v>86</v>
      </c>
      <c r="E1089">
        <v>15.8</v>
      </c>
      <c r="F1089">
        <v>16.900000000000002</v>
      </c>
      <c r="G1089">
        <v>16.5</v>
      </c>
      <c r="H1089">
        <v>16.899999999999991</v>
      </c>
      <c r="I1089">
        <v>16.600000000000009</v>
      </c>
      <c r="J1089">
        <v>16.799999999999997</v>
      </c>
      <c r="K1089">
        <v>16.700000000000003</v>
      </c>
      <c r="L1089">
        <v>16.700000000000003</v>
      </c>
      <c r="M1089">
        <v>15.900000000000006</v>
      </c>
      <c r="N1089">
        <v>16.699999999999989</v>
      </c>
      <c r="O1089">
        <v>15.599999999999994</v>
      </c>
      <c r="P1089">
        <v>16.200000000000017</v>
      </c>
      <c r="Q1089">
        <v>15.099999999999994</v>
      </c>
      <c r="R1089">
        <v>14.299999999999983</v>
      </c>
      <c r="S1089">
        <f>Tableau1[[#This Row],[Final_time]]-SUM(Tableau1[[#This Row],[0_100m]:[1300_1400m]])</f>
        <v>18.160000000000025</v>
      </c>
      <c r="T1089">
        <v>244.86</v>
      </c>
      <c r="U1089">
        <f t="shared" si="32"/>
        <v>244.86</v>
      </c>
      <c r="V1089">
        <f t="shared" si="33"/>
        <v>0</v>
      </c>
      <c r="W1089" s="12"/>
      <c r="X1089" t="str">
        <f>_xlfn.CONCAT(Tableau1[[#This Row],[Competition]],"_",Tableau1[[#This Row],[Championship_step]],"_",Tableau1[[#This Row],[Competition_date]],"_",Tableau1[[#This Row],[Gender]])</f>
        <v>Olympic Games Tokyo 2021_Semi 2_44412_Female</v>
      </c>
      <c r="Y1089" t="s">
        <v>349</v>
      </c>
      <c r="Z1089" s="2" t="s">
        <v>106</v>
      </c>
      <c r="AA1089" s="2" t="s">
        <v>131</v>
      </c>
      <c r="AB1089" s="2" t="s">
        <v>65</v>
      </c>
      <c r="AC1089" s="2">
        <v>44412</v>
      </c>
      <c r="AD1089">
        <v>2021</v>
      </c>
      <c r="AE1089" s="3"/>
      <c r="AG1089" s="3"/>
      <c r="AH1089" t="s">
        <v>357</v>
      </c>
    </row>
    <row r="1090" spans="1:34" hidden="1" x14ac:dyDescent="0.35">
      <c r="A1090" t="str">
        <f>_xlfn.CONCAT(Tableau1[[#This Row],[Athletes]],"_",Tableau1[[#This Row],[Nationality]],"_",Tableau1[[#This Row],[Competition_year]])</f>
        <v>Faith KIPYEGON_KEN_2023</v>
      </c>
      <c r="B1090" t="s">
        <v>164</v>
      </c>
      <c r="C1090" t="s">
        <v>47</v>
      </c>
      <c r="D1090" t="s">
        <v>17</v>
      </c>
      <c r="E1090">
        <v>14.12</v>
      </c>
      <c r="F1090">
        <v>16.72</v>
      </c>
      <c r="G1090">
        <v>17.190000000000001</v>
      </c>
      <c r="H1090">
        <v>17.11</v>
      </c>
      <c r="I1090">
        <v>16.54</v>
      </c>
      <c r="J1090">
        <v>16.86</v>
      </c>
      <c r="K1090">
        <v>16.5</v>
      </c>
      <c r="L1090">
        <v>16.739999999999998</v>
      </c>
      <c r="M1090">
        <v>15.85</v>
      </c>
      <c r="N1090">
        <v>15.79</v>
      </c>
      <c r="O1090">
        <v>15.7</v>
      </c>
      <c r="P1090">
        <v>13.29</v>
      </c>
      <c r="Q1090">
        <v>13.62</v>
      </c>
      <c r="R1090">
        <v>14.14</v>
      </c>
      <c r="S1090">
        <f>Tableau1[[#This Row],[Final_time]]-SUM(Tableau1[[#This Row],[0_100m]:[1300_1400m]])</f>
        <v>14.700000000000045</v>
      </c>
      <c r="T1090">
        <v>234.87</v>
      </c>
      <c r="U1090">
        <f t="shared" ref="U1090:U1153" si="34">SUM(E1090:S1090)</f>
        <v>234.87</v>
      </c>
      <c r="V1090">
        <f t="shared" ref="V1090:V1153" si="35">ABS(U1090-T1090)</f>
        <v>0</v>
      </c>
      <c r="W1090" s="12"/>
      <c r="X1090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0" t="s">
        <v>98</v>
      </c>
      <c r="Z1090" s="2" t="s">
        <v>110</v>
      </c>
      <c r="AA1090" s="2" t="s">
        <v>132</v>
      </c>
      <c r="AB1090" s="2" t="s">
        <v>65</v>
      </c>
      <c r="AC1090" s="2">
        <v>45160</v>
      </c>
      <c r="AD1090" s="3">
        <v>2023</v>
      </c>
      <c r="AE1090" s="3">
        <v>28</v>
      </c>
      <c r="AF1090" s="5">
        <v>0.53</v>
      </c>
      <c r="AG1090" s="3"/>
      <c r="AH1090" t="s">
        <v>111</v>
      </c>
    </row>
    <row r="1091" spans="1:34" hidden="1" x14ac:dyDescent="0.35">
      <c r="A1091" t="str">
        <f>_xlfn.CONCAT(Tableau1[[#This Row],[Athletes]],"_",Tableau1[[#This Row],[Nationality]],"_",Tableau1[[#This Row],[Competition_year]])</f>
        <v>Diribe WELTEJI_ETH_2023</v>
      </c>
      <c r="B1091" t="s">
        <v>165</v>
      </c>
      <c r="C1091" t="s">
        <v>47</v>
      </c>
      <c r="D1091" t="s">
        <v>48</v>
      </c>
      <c r="E1091">
        <v>14.14</v>
      </c>
      <c r="F1091">
        <v>16.55</v>
      </c>
      <c r="G1091">
        <v>17.39</v>
      </c>
      <c r="H1091">
        <v>17.190000000000001</v>
      </c>
      <c r="I1091">
        <v>16.64</v>
      </c>
      <c r="J1091">
        <v>16.829999999999998</v>
      </c>
      <c r="K1091">
        <v>16.38</v>
      </c>
      <c r="L1091">
        <v>16.829999999999998</v>
      </c>
      <c r="M1091">
        <v>15.76</v>
      </c>
      <c r="N1091">
        <v>16.04</v>
      </c>
      <c r="O1091">
        <v>14.49</v>
      </c>
      <c r="P1091">
        <v>14.41</v>
      </c>
      <c r="Q1091">
        <v>13.77</v>
      </c>
      <c r="R1091">
        <v>14.44</v>
      </c>
      <c r="S1091">
        <f>Tableau1[[#This Row],[Final_time]]-SUM(Tableau1[[#This Row],[0_100m]:[1300_1400m]])</f>
        <v>14.830000000000013</v>
      </c>
      <c r="T1091">
        <v>235.69</v>
      </c>
      <c r="U1091">
        <f t="shared" si="34"/>
        <v>235.69</v>
      </c>
      <c r="V1091">
        <f t="shared" si="35"/>
        <v>0</v>
      </c>
      <c r="W1091" s="12"/>
      <c r="X1091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1" t="s">
        <v>98</v>
      </c>
      <c r="Z1091" s="2" t="s">
        <v>110</v>
      </c>
      <c r="AA1091" s="2" t="s">
        <v>132</v>
      </c>
      <c r="AB1091" s="2" t="s">
        <v>65</v>
      </c>
      <c r="AC1091" s="2">
        <v>45160</v>
      </c>
      <c r="AD1091" s="3">
        <v>2023</v>
      </c>
      <c r="AE1091" s="3">
        <v>28</v>
      </c>
      <c r="AF1091" s="5">
        <v>0.53</v>
      </c>
      <c r="AG1091" s="3"/>
      <c r="AH1091" t="s">
        <v>111</v>
      </c>
    </row>
    <row r="1092" spans="1:34" hidden="1" x14ac:dyDescent="0.35">
      <c r="A1092" t="str">
        <f>_xlfn.CONCAT(Tableau1[[#This Row],[Athletes]],"_",Tableau1[[#This Row],[Nationality]],"_",Tableau1[[#This Row],[Competition_year]])</f>
        <v>Ludovica CAVALLI_ITA_2023</v>
      </c>
      <c r="B1092" t="s">
        <v>182</v>
      </c>
      <c r="C1092" t="s">
        <v>47</v>
      </c>
      <c r="D1092" t="s">
        <v>19</v>
      </c>
      <c r="E1092">
        <v>14.66</v>
      </c>
      <c r="F1092">
        <v>16.71</v>
      </c>
      <c r="G1092">
        <v>17.079999999999998</v>
      </c>
      <c r="H1092">
        <v>17.350000000000001</v>
      </c>
      <c r="I1092">
        <v>16.53</v>
      </c>
      <c r="J1092">
        <v>16.71</v>
      </c>
      <c r="K1092">
        <v>16.440000000000001</v>
      </c>
      <c r="L1092">
        <v>17.02</v>
      </c>
      <c r="M1092">
        <v>15.7</v>
      </c>
      <c r="N1092">
        <v>16.079999999999998</v>
      </c>
      <c r="O1092">
        <v>15.21</v>
      </c>
      <c r="P1092">
        <v>15.93</v>
      </c>
      <c r="Q1092">
        <v>15.6</v>
      </c>
      <c r="R1092">
        <v>15.77</v>
      </c>
      <c r="S1092">
        <f>Tableau1[[#This Row],[Final_time]]-SUM(Tableau1[[#This Row],[0_100m]:[1300_1400m]])</f>
        <v>15.049999999999955</v>
      </c>
      <c r="T1092">
        <v>241.84</v>
      </c>
      <c r="U1092">
        <f t="shared" si="34"/>
        <v>241.84</v>
      </c>
      <c r="V1092">
        <f t="shared" si="35"/>
        <v>0</v>
      </c>
      <c r="W1092" s="12"/>
      <c r="X1092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2" t="s">
        <v>98</v>
      </c>
      <c r="Z1092" s="2" t="s">
        <v>110</v>
      </c>
      <c r="AA1092" s="2" t="s">
        <v>132</v>
      </c>
      <c r="AB1092" s="2" t="s">
        <v>65</v>
      </c>
      <c r="AC1092" s="2">
        <v>45160</v>
      </c>
      <c r="AD1092" s="3">
        <v>2023</v>
      </c>
      <c r="AE1092" s="3">
        <v>28</v>
      </c>
      <c r="AF1092" s="5">
        <v>0.53</v>
      </c>
      <c r="AG1092" s="3"/>
      <c r="AH1092" t="s">
        <v>111</v>
      </c>
    </row>
    <row r="1093" spans="1:34" hidden="1" x14ac:dyDescent="0.35">
      <c r="A1093" t="str">
        <f>_xlfn.CONCAT(Tableau1[[#This Row],[Athletes]],"_",Tableau1[[#This Row],[Nationality]],"_",Tableau1[[#This Row],[Competition_year]])</f>
        <v>Sifan HASSAN_NED_2023</v>
      </c>
      <c r="B1093" t="s">
        <v>152</v>
      </c>
      <c r="C1093" t="s">
        <v>47</v>
      </c>
      <c r="D1093" t="s">
        <v>39</v>
      </c>
      <c r="E1093">
        <v>15.36</v>
      </c>
      <c r="F1093">
        <v>16.329999999999998</v>
      </c>
      <c r="G1093">
        <v>17.03</v>
      </c>
      <c r="H1093">
        <v>17.48</v>
      </c>
      <c r="I1093">
        <v>16.649999999999999</v>
      </c>
      <c r="J1093">
        <v>16.8</v>
      </c>
      <c r="K1093">
        <v>16.149999999999999</v>
      </c>
      <c r="L1093">
        <v>16.86</v>
      </c>
      <c r="M1093">
        <v>15.68</v>
      </c>
      <c r="N1093">
        <v>15.89</v>
      </c>
      <c r="O1093">
        <v>14.42</v>
      </c>
      <c r="P1093">
        <v>14.49</v>
      </c>
      <c r="Q1093">
        <v>13.61</v>
      </c>
      <c r="R1093">
        <v>14.02</v>
      </c>
      <c r="S1093">
        <f>Tableau1[[#This Row],[Final_time]]-SUM(Tableau1[[#This Row],[0_100m]:[1300_1400m]])</f>
        <v>15.230000000000047</v>
      </c>
      <c r="T1093">
        <v>236</v>
      </c>
      <c r="U1093">
        <f t="shared" si="34"/>
        <v>236</v>
      </c>
      <c r="V1093">
        <f t="shared" si="35"/>
        <v>0</v>
      </c>
      <c r="W1093" s="12"/>
      <c r="X1093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3" t="s">
        <v>98</v>
      </c>
      <c r="Z1093" s="2" t="s">
        <v>110</v>
      </c>
      <c r="AA1093" s="2" t="s">
        <v>132</v>
      </c>
      <c r="AB1093" s="2" t="s">
        <v>65</v>
      </c>
      <c r="AC1093" s="2">
        <v>45160</v>
      </c>
      <c r="AD1093" s="3">
        <v>2023</v>
      </c>
      <c r="AE1093" s="3">
        <v>28</v>
      </c>
      <c r="AF1093" s="5">
        <v>0.53</v>
      </c>
      <c r="AG1093" s="3"/>
      <c r="AH1093" t="s">
        <v>111</v>
      </c>
    </row>
    <row r="1094" spans="1:34" hidden="1" x14ac:dyDescent="0.35">
      <c r="A1094" t="str">
        <f>_xlfn.CONCAT(Tableau1[[#This Row],[Athletes]],"_",Tableau1[[#This Row],[Nationality]],"_",Tableau1[[#This Row],[Competition_year]])</f>
        <v>Melissa COURTNEY-BRYANT_GBR_2023</v>
      </c>
      <c r="B1094" t="s">
        <v>168</v>
      </c>
      <c r="C1094" t="s">
        <v>47</v>
      </c>
      <c r="D1094" t="s">
        <v>20</v>
      </c>
      <c r="E1094">
        <v>15.01</v>
      </c>
      <c r="F1094">
        <v>16.72</v>
      </c>
      <c r="G1094">
        <v>16.96</v>
      </c>
      <c r="H1094">
        <v>17.37</v>
      </c>
      <c r="I1094">
        <v>16.59</v>
      </c>
      <c r="J1094">
        <v>16.66</v>
      </c>
      <c r="K1094">
        <v>17.07</v>
      </c>
      <c r="L1094">
        <v>16.52</v>
      </c>
      <c r="M1094">
        <v>15.9</v>
      </c>
      <c r="N1094">
        <v>16.14</v>
      </c>
      <c r="O1094">
        <v>15.56</v>
      </c>
      <c r="P1094">
        <v>16.21</v>
      </c>
      <c r="Q1094">
        <v>15.57</v>
      </c>
      <c r="R1094">
        <v>15.74</v>
      </c>
      <c r="S1094">
        <f>Tableau1[[#This Row],[Final_time]]-SUM(Tableau1[[#This Row],[0_100m]:[1300_1400m]])</f>
        <v>15.289999999999992</v>
      </c>
      <c r="T1094">
        <v>243.31</v>
      </c>
      <c r="U1094">
        <f t="shared" si="34"/>
        <v>243.31</v>
      </c>
      <c r="V1094">
        <f t="shared" si="35"/>
        <v>0</v>
      </c>
      <c r="W1094" s="12"/>
      <c r="X1094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4" t="s">
        <v>98</v>
      </c>
      <c r="Z1094" s="2" t="s">
        <v>110</v>
      </c>
      <c r="AA1094" s="2" t="s">
        <v>132</v>
      </c>
      <c r="AB1094" s="2" t="s">
        <v>65</v>
      </c>
      <c r="AC1094" s="2">
        <v>45160</v>
      </c>
      <c r="AD1094" s="3">
        <v>2023</v>
      </c>
      <c r="AE1094" s="3">
        <v>28</v>
      </c>
      <c r="AF1094" s="5">
        <v>0.53</v>
      </c>
      <c r="AG1094" s="3"/>
      <c r="AH1094" t="s">
        <v>111</v>
      </c>
    </row>
    <row r="1095" spans="1:34" hidden="1" x14ac:dyDescent="0.35">
      <c r="A1095" t="str">
        <f>_xlfn.CONCAT(Tableau1[[#This Row],[Athletes]],"_",Tableau1[[#This Row],[Nationality]],"_",Tableau1[[#This Row],[Competition_year]])</f>
        <v>Laura MUIR_GBR_2023</v>
      </c>
      <c r="B1095" t="s">
        <v>153</v>
      </c>
      <c r="C1095" t="s">
        <v>47</v>
      </c>
      <c r="D1095" t="s">
        <v>20</v>
      </c>
      <c r="E1095">
        <v>14.44</v>
      </c>
      <c r="F1095">
        <v>16.8</v>
      </c>
      <c r="G1095">
        <v>17.02</v>
      </c>
      <c r="H1095">
        <v>17.21</v>
      </c>
      <c r="I1095">
        <v>16.45</v>
      </c>
      <c r="J1095">
        <v>17</v>
      </c>
      <c r="K1095">
        <v>16.350000000000001</v>
      </c>
      <c r="L1095">
        <v>16.78</v>
      </c>
      <c r="M1095">
        <v>15.73</v>
      </c>
      <c r="N1095">
        <v>15.68</v>
      </c>
      <c r="O1095">
        <v>14.92</v>
      </c>
      <c r="P1095">
        <v>14.83</v>
      </c>
      <c r="Q1095">
        <v>14.71</v>
      </c>
      <c r="R1095">
        <v>15.28</v>
      </c>
      <c r="S1095">
        <f>Tableau1[[#This Row],[Final_time]]-SUM(Tableau1[[#This Row],[0_100m]:[1300_1400m]])</f>
        <v>15.379999999999995</v>
      </c>
      <c r="T1095">
        <v>238.58</v>
      </c>
      <c r="U1095">
        <f t="shared" si="34"/>
        <v>238.58</v>
      </c>
      <c r="V1095">
        <f t="shared" si="35"/>
        <v>0</v>
      </c>
      <c r="W1095" s="12"/>
      <c r="X1095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5" t="s">
        <v>98</v>
      </c>
      <c r="Z1095" s="2" t="s">
        <v>110</v>
      </c>
      <c r="AA1095" s="2" t="s">
        <v>132</v>
      </c>
      <c r="AB1095" s="2" t="s">
        <v>65</v>
      </c>
      <c r="AC1095" s="2">
        <v>45160</v>
      </c>
      <c r="AD1095" s="3">
        <v>2023</v>
      </c>
      <c r="AE1095" s="3">
        <v>28</v>
      </c>
      <c r="AF1095" s="5">
        <v>0.53</v>
      </c>
      <c r="AG1095" s="3"/>
      <c r="AH1095" t="s">
        <v>111</v>
      </c>
    </row>
    <row r="1096" spans="1:34" hidden="1" x14ac:dyDescent="0.35">
      <c r="A1096" t="str">
        <f>_xlfn.CONCAT(Tableau1[[#This Row],[Athletes]],"_",Tableau1[[#This Row],[Nationality]],"_",Tableau1[[#This Row],[Competition_year]])</f>
        <v>Ciara MAGEEAN_IRL_2023</v>
      </c>
      <c r="B1096" t="s">
        <v>180</v>
      </c>
      <c r="C1096" t="s">
        <v>47</v>
      </c>
      <c r="D1096" t="s">
        <v>35</v>
      </c>
      <c r="E1096">
        <v>14.38</v>
      </c>
      <c r="F1096">
        <v>16.649999999999999</v>
      </c>
      <c r="G1096">
        <v>18.149999999999999</v>
      </c>
      <c r="H1096">
        <v>16.190000000000001</v>
      </c>
      <c r="I1096">
        <v>16.559999999999999</v>
      </c>
      <c r="J1096">
        <v>16.75</v>
      </c>
      <c r="K1096">
        <v>16.329999999999998</v>
      </c>
      <c r="L1096">
        <v>17</v>
      </c>
      <c r="M1096">
        <v>15.78</v>
      </c>
      <c r="N1096">
        <v>15.63</v>
      </c>
      <c r="O1096">
        <v>14.9</v>
      </c>
      <c r="P1096">
        <v>14.52</v>
      </c>
      <c r="Q1096">
        <v>13.95</v>
      </c>
      <c r="R1096">
        <v>14.27</v>
      </c>
      <c r="S1096">
        <f>Tableau1[[#This Row],[Final_time]]-SUM(Tableau1[[#This Row],[0_100m]:[1300_1400m]])</f>
        <v>15.550000000000011</v>
      </c>
      <c r="T1096">
        <v>236.61</v>
      </c>
      <c r="U1096">
        <f t="shared" si="34"/>
        <v>236.61</v>
      </c>
      <c r="V1096">
        <f t="shared" si="35"/>
        <v>0</v>
      </c>
      <c r="W1096" s="12"/>
      <c r="X1096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6" t="s">
        <v>98</v>
      </c>
      <c r="Z1096" s="2" t="s">
        <v>110</v>
      </c>
      <c r="AA1096" s="2" t="s">
        <v>132</v>
      </c>
      <c r="AB1096" s="2" t="s">
        <v>65</v>
      </c>
      <c r="AC1096" s="2">
        <v>45160</v>
      </c>
      <c r="AD1096" s="3">
        <v>2023</v>
      </c>
      <c r="AE1096" s="3">
        <v>28</v>
      </c>
      <c r="AF1096" s="5">
        <v>0.53</v>
      </c>
      <c r="AG1096" s="3"/>
      <c r="AH1096" t="s">
        <v>111</v>
      </c>
    </row>
    <row r="1097" spans="1:34" hidden="1" x14ac:dyDescent="0.35">
      <c r="A1097" t="str">
        <f>_xlfn.CONCAT(Tableau1[[#This Row],[Athletes]],"_",Tableau1[[#This Row],[Nationality]],"_",Tableau1[[#This Row],[Competition_year]])</f>
        <v>Katie SNOWDEN_GBR_2023</v>
      </c>
      <c r="B1097" t="s">
        <v>186</v>
      </c>
      <c r="C1097" t="s">
        <v>47</v>
      </c>
      <c r="D1097" t="s">
        <v>20</v>
      </c>
      <c r="E1097">
        <v>14.49</v>
      </c>
      <c r="F1097">
        <v>16.88</v>
      </c>
      <c r="G1097">
        <v>16.86</v>
      </c>
      <c r="H1097">
        <v>17.52</v>
      </c>
      <c r="I1097">
        <v>16.399999999999999</v>
      </c>
      <c r="J1097">
        <v>16.809999999999999</v>
      </c>
      <c r="K1097">
        <v>16.32</v>
      </c>
      <c r="L1097">
        <v>17.059999999999999</v>
      </c>
      <c r="M1097">
        <v>15.55</v>
      </c>
      <c r="N1097">
        <v>15.75</v>
      </c>
      <c r="O1097">
        <v>15.12</v>
      </c>
      <c r="P1097">
        <v>15.1</v>
      </c>
      <c r="Q1097">
        <v>14.78</v>
      </c>
      <c r="R1097">
        <v>15.4</v>
      </c>
      <c r="S1097">
        <f>Tableau1[[#This Row],[Final_time]]-SUM(Tableau1[[#This Row],[0_100m]:[1300_1400m]])</f>
        <v>15.609999999999985</v>
      </c>
      <c r="T1097">
        <v>239.65</v>
      </c>
      <c r="U1097">
        <f t="shared" si="34"/>
        <v>239.65</v>
      </c>
      <c r="V1097">
        <f t="shared" si="35"/>
        <v>0</v>
      </c>
      <c r="W1097" s="12"/>
      <c r="X1097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7" t="s">
        <v>98</v>
      </c>
      <c r="Z1097" s="2" t="s">
        <v>110</v>
      </c>
      <c r="AA1097" s="2" t="s">
        <v>132</v>
      </c>
      <c r="AB1097" s="2" t="s">
        <v>65</v>
      </c>
      <c r="AC1097" s="2">
        <v>45160</v>
      </c>
      <c r="AD1097" s="3">
        <v>2023</v>
      </c>
      <c r="AE1097" s="3">
        <v>28</v>
      </c>
      <c r="AF1097" s="5">
        <v>0.53</v>
      </c>
      <c r="AG1097" s="3"/>
      <c r="AH1097" t="s">
        <v>111</v>
      </c>
    </row>
    <row r="1098" spans="1:34" hidden="1" x14ac:dyDescent="0.35">
      <c r="A1098" t="str">
        <f>_xlfn.CONCAT(Tableau1[[#This Row],[Athletes]],"_",Tableau1[[#This Row],[Nationality]],"_",Tableau1[[#This Row],[Competition_year]])</f>
        <v>Jessica HULL_AUS_2023</v>
      </c>
      <c r="B1098" t="s">
        <v>187</v>
      </c>
      <c r="C1098" t="s">
        <v>47</v>
      </c>
      <c r="D1098" t="s">
        <v>21</v>
      </c>
      <c r="E1098">
        <v>15.22</v>
      </c>
      <c r="F1098">
        <v>16.16</v>
      </c>
      <c r="G1098">
        <v>17.02</v>
      </c>
      <c r="H1098">
        <v>17.239999999999998</v>
      </c>
      <c r="I1098">
        <v>16.55</v>
      </c>
      <c r="J1098">
        <v>16.829999999999998</v>
      </c>
      <c r="K1098">
        <v>17.05</v>
      </c>
      <c r="L1098">
        <v>16.05</v>
      </c>
      <c r="M1098">
        <v>15.96</v>
      </c>
      <c r="N1098">
        <v>15.72</v>
      </c>
      <c r="O1098">
        <v>15.12</v>
      </c>
      <c r="P1098">
        <v>15.38</v>
      </c>
      <c r="Q1098">
        <v>14.47</v>
      </c>
      <c r="R1098">
        <v>15.11</v>
      </c>
      <c r="S1098">
        <f>Tableau1[[#This Row],[Final_time]]-SUM(Tableau1[[#This Row],[0_100m]:[1300_1400m]])</f>
        <v>15.659999999999997</v>
      </c>
      <c r="T1098">
        <v>239.54</v>
      </c>
      <c r="U1098">
        <f t="shared" si="34"/>
        <v>239.54</v>
      </c>
      <c r="V1098">
        <f t="shared" si="35"/>
        <v>0</v>
      </c>
      <c r="W1098" s="12"/>
      <c r="X1098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8" t="s">
        <v>98</v>
      </c>
      <c r="Z1098" s="2" t="s">
        <v>110</v>
      </c>
      <c r="AA1098" s="2" t="s">
        <v>132</v>
      </c>
      <c r="AB1098" s="2" t="s">
        <v>65</v>
      </c>
      <c r="AC1098" s="2">
        <v>45160</v>
      </c>
      <c r="AD1098" s="3">
        <v>2023</v>
      </c>
      <c r="AE1098" s="3">
        <v>28</v>
      </c>
      <c r="AF1098" s="5">
        <v>0.53</v>
      </c>
      <c r="AG1098" s="3"/>
      <c r="AH1098" t="s">
        <v>111</v>
      </c>
    </row>
    <row r="1099" spans="1:34" hidden="1" x14ac:dyDescent="0.35">
      <c r="A1099" t="str">
        <f>_xlfn.CONCAT(Tableau1[[#This Row],[Athletes]],"_",Tableau1[[#This Row],[Nationality]],"_",Tableau1[[#This Row],[Competition_year]])</f>
        <v>Nelly CHEPCHIRCHIR_KEN_2023</v>
      </c>
      <c r="B1099" t="s">
        <v>178</v>
      </c>
      <c r="C1099" t="s">
        <v>47</v>
      </c>
      <c r="D1099" t="s">
        <v>17</v>
      </c>
      <c r="E1099">
        <v>14.27</v>
      </c>
      <c r="F1099">
        <v>16.55</v>
      </c>
      <c r="G1099">
        <v>17.47</v>
      </c>
      <c r="H1099">
        <v>17.21</v>
      </c>
      <c r="I1099">
        <v>16.53</v>
      </c>
      <c r="J1099">
        <v>16.91</v>
      </c>
      <c r="K1099">
        <v>16.38</v>
      </c>
      <c r="L1099">
        <v>16.8</v>
      </c>
      <c r="M1099">
        <v>15.75</v>
      </c>
      <c r="N1099">
        <v>15.66</v>
      </c>
      <c r="O1099">
        <v>14.88</v>
      </c>
      <c r="P1099">
        <v>14.47</v>
      </c>
      <c r="Q1099">
        <v>13.99</v>
      </c>
      <c r="R1099">
        <v>15.32</v>
      </c>
      <c r="S1099">
        <f>Tableau1[[#This Row],[Final_time]]-SUM(Tableau1[[#This Row],[0_100m]:[1300_1400m]])</f>
        <v>15.710000000000008</v>
      </c>
      <c r="T1099">
        <v>237.9</v>
      </c>
      <c r="U1099">
        <f t="shared" si="34"/>
        <v>237.9</v>
      </c>
      <c r="V1099">
        <f t="shared" si="35"/>
        <v>0</v>
      </c>
      <c r="W1099" s="12"/>
      <c r="X1099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099" t="s">
        <v>98</v>
      </c>
      <c r="Z1099" s="2" t="s">
        <v>110</v>
      </c>
      <c r="AA1099" s="2" t="s">
        <v>132</v>
      </c>
      <c r="AB1099" s="2" t="s">
        <v>65</v>
      </c>
      <c r="AC1099" s="2">
        <v>45160</v>
      </c>
      <c r="AD1099" s="3">
        <v>2023</v>
      </c>
      <c r="AE1099" s="3">
        <v>28</v>
      </c>
      <c r="AF1099" s="5">
        <v>0.53</v>
      </c>
      <c r="AG1099" s="3"/>
      <c r="AH1099" t="s">
        <v>111</v>
      </c>
    </row>
    <row r="1100" spans="1:34" hidden="1" x14ac:dyDescent="0.35">
      <c r="A1100" t="str">
        <f>_xlfn.CONCAT(Tableau1[[#This Row],[Athletes]],"_",Tableau1[[#This Row],[Nationality]],"_",Tableau1[[#This Row],[Competition_year]])</f>
        <v>Birke HAYLOM_ETH_2023</v>
      </c>
      <c r="B1100" t="s">
        <v>179</v>
      </c>
      <c r="C1100" t="s">
        <v>47</v>
      </c>
      <c r="D1100" t="s">
        <v>48</v>
      </c>
      <c r="E1100">
        <v>14.22</v>
      </c>
      <c r="F1100">
        <v>16.7</v>
      </c>
      <c r="G1100">
        <v>17.88</v>
      </c>
      <c r="H1100">
        <v>17.48</v>
      </c>
      <c r="I1100">
        <v>16.190000000000001</v>
      </c>
      <c r="J1100">
        <v>16.88</v>
      </c>
      <c r="K1100">
        <v>16.27</v>
      </c>
      <c r="L1100">
        <v>16.88</v>
      </c>
      <c r="M1100">
        <v>15.73</v>
      </c>
      <c r="N1100">
        <v>15.75</v>
      </c>
      <c r="O1100">
        <v>15.02</v>
      </c>
      <c r="P1100">
        <v>15.49</v>
      </c>
      <c r="Q1100">
        <v>14.83</v>
      </c>
      <c r="R1100">
        <v>15.95</v>
      </c>
      <c r="S1100">
        <f>Tableau1[[#This Row],[Final_time]]-SUM(Tableau1[[#This Row],[0_100m]:[1300_1400m]])</f>
        <v>16.239999999999981</v>
      </c>
      <c r="T1100">
        <v>241.51</v>
      </c>
      <c r="U1100">
        <f t="shared" si="34"/>
        <v>241.51</v>
      </c>
      <c r="V1100">
        <f t="shared" si="35"/>
        <v>0</v>
      </c>
      <c r="W1100" s="12"/>
      <c r="X1100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100" t="s">
        <v>98</v>
      </c>
      <c r="Z1100" s="2" t="s">
        <v>110</v>
      </c>
      <c r="AA1100" s="2" t="s">
        <v>132</v>
      </c>
      <c r="AB1100" s="2" t="s">
        <v>65</v>
      </c>
      <c r="AC1100" s="2">
        <v>45160</v>
      </c>
      <c r="AD1100" s="3">
        <v>2023</v>
      </c>
      <c r="AE1100" s="3">
        <v>28</v>
      </c>
      <c r="AF1100" s="5">
        <v>0.53</v>
      </c>
      <c r="AG1100" s="3"/>
      <c r="AH1100" t="s">
        <v>111</v>
      </c>
    </row>
    <row r="1101" spans="1:34" hidden="1" x14ac:dyDescent="0.35">
      <c r="A1101" t="str">
        <f>_xlfn.CONCAT(Tableau1[[#This Row],[Athletes]],"_",Tableau1[[#This Row],[Nationality]],"_",Tableau1[[#This Row],[Competition_year]])</f>
        <v>Cory Ann MCGEE_USA_2023</v>
      </c>
      <c r="B1101" t="s">
        <v>181</v>
      </c>
      <c r="C1101" t="s">
        <v>47</v>
      </c>
      <c r="D1101" t="s">
        <v>51</v>
      </c>
      <c r="E1101">
        <v>14.51</v>
      </c>
      <c r="F1101">
        <v>16.68</v>
      </c>
      <c r="G1101">
        <v>18.760000000000002</v>
      </c>
      <c r="H1101">
        <v>15.98</v>
      </c>
      <c r="I1101">
        <v>16.600000000000001</v>
      </c>
      <c r="J1101">
        <v>16.670000000000002</v>
      </c>
      <c r="K1101">
        <v>16.309999999999999</v>
      </c>
      <c r="L1101">
        <v>16.93</v>
      </c>
      <c r="M1101">
        <v>15.48</v>
      </c>
      <c r="N1101">
        <v>15.73</v>
      </c>
      <c r="O1101">
        <v>15.17</v>
      </c>
      <c r="P1101">
        <v>15.29</v>
      </c>
      <c r="Q1101">
        <v>15.29</v>
      </c>
      <c r="R1101">
        <v>15.83</v>
      </c>
      <c r="S1101">
        <f>Tableau1[[#This Row],[Final_time]]-SUM(Tableau1[[#This Row],[0_100m]:[1300_1400m]])</f>
        <v>16.370000000000033</v>
      </c>
      <c r="T1101">
        <v>241.6</v>
      </c>
      <c r="U1101">
        <f t="shared" si="34"/>
        <v>241.6</v>
      </c>
      <c r="V1101">
        <f t="shared" si="35"/>
        <v>0</v>
      </c>
      <c r="W1101" s="12"/>
      <c r="X1101" t="str">
        <f>_xlfn.CONCAT(Tableau1[[#This Row],[Competition]],"_",Tableau1[[#This Row],[Championship_step]],"_",Tableau1[[#This Row],[Competition_date]],"_",Tableau1[[#This Row],[Gender]])</f>
        <v>World Championships Budapest 2023_Final_45160_Female</v>
      </c>
      <c r="Y1101" t="s">
        <v>98</v>
      </c>
      <c r="Z1101" s="2" t="s">
        <v>110</v>
      </c>
      <c r="AA1101" s="2" t="s">
        <v>132</v>
      </c>
      <c r="AB1101" s="2" t="s">
        <v>65</v>
      </c>
      <c r="AC1101" s="2">
        <v>45160</v>
      </c>
      <c r="AD1101" s="3">
        <v>2023</v>
      </c>
      <c r="AE1101" s="3">
        <v>28</v>
      </c>
      <c r="AF1101" s="5">
        <v>0.53</v>
      </c>
      <c r="AG1101" s="3"/>
      <c r="AH1101" t="s">
        <v>111</v>
      </c>
    </row>
    <row r="1102" spans="1:34" hidden="1" x14ac:dyDescent="0.35">
      <c r="A1102" t="str">
        <f>_xlfn.CONCAT(Tableau1[[#This Row],[Athletes]],"_",Tableau1[[#This Row],[Nationality]],"_",Tableau1[[#This Row],[Competition_year]])</f>
        <v>Narve Gilje NORDÅS_NOR_2023</v>
      </c>
      <c r="B1102" t="s">
        <v>217</v>
      </c>
      <c r="C1102" t="s">
        <v>16</v>
      </c>
      <c r="D1102" t="s">
        <v>30</v>
      </c>
      <c r="E1102">
        <v>14.11</v>
      </c>
      <c r="F1102">
        <v>14.13</v>
      </c>
      <c r="G1102">
        <v>14.35</v>
      </c>
      <c r="H1102">
        <v>14.5</v>
      </c>
      <c r="I1102">
        <v>14.78</v>
      </c>
      <c r="J1102">
        <v>14.68</v>
      </c>
      <c r="K1102">
        <v>14.36</v>
      </c>
      <c r="L1102">
        <v>14.45</v>
      </c>
      <c r="M1102">
        <v>13.69</v>
      </c>
      <c r="N1102">
        <v>14.43</v>
      </c>
      <c r="O1102">
        <v>13.59</v>
      </c>
      <c r="P1102">
        <v>13.22</v>
      </c>
      <c r="Q1102">
        <v>13.29</v>
      </c>
      <c r="R1102">
        <v>13.25</v>
      </c>
      <c r="S1102">
        <f>Tableau1[[#This Row],[Final_time]]-SUM(Tableau1[[#This Row],[0_100m]:[1300_1400m]])</f>
        <v>12.849999999999994</v>
      </c>
      <c r="T1102">
        <v>209.68</v>
      </c>
      <c r="U1102">
        <f t="shared" si="34"/>
        <v>209.68</v>
      </c>
      <c r="V1102">
        <f t="shared" si="35"/>
        <v>0</v>
      </c>
      <c r="W1102" s="12"/>
      <c r="X1102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2" t="s">
        <v>98</v>
      </c>
      <c r="Z1102" s="2" t="s">
        <v>110</v>
      </c>
      <c r="AA1102" s="2" t="s">
        <v>132</v>
      </c>
      <c r="AB1102" s="2" t="s">
        <v>65</v>
      </c>
      <c r="AC1102" s="2">
        <v>45161</v>
      </c>
      <c r="AD1102" s="3">
        <v>2023</v>
      </c>
      <c r="AE1102" s="3">
        <v>27</v>
      </c>
      <c r="AF1102" s="5">
        <v>0.6</v>
      </c>
      <c r="AG1102" s="3"/>
      <c r="AH1102" t="s">
        <v>126</v>
      </c>
    </row>
    <row r="1103" spans="1:34" hidden="1" x14ac:dyDescent="0.35">
      <c r="A1103" t="str">
        <f>_xlfn.CONCAT(Tableau1[[#This Row],[Athletes]],"_",Tableau1[[#This Row],[Nationality]],"_",Tableau1[[#This Row],[Competition_year]])</f>
        <v>Mario GARCÍA_ESP_2023</v>
      </c>
      <c r="B1103" t="s">
        <v>117</v>
      </c>
      <c r="C1103" t="s">
        <v>16</v>
      </c>
      <c r="D1103" t="s">
        <v>22</v>
      </c>
      <c r="E1103">
        <v>13.65</v>
      </c>
      <c r="F1103">
        <v>13.92</v>
      </c>
      <c r="G1103">
        <v>14.3</v>
      </c>
      <c r="H1103">
        <v>14.86</v>
      </c>
      <c r="I1103">
        <v>14.63</v>
      </c>
      <c r="J1103">
        <v>14.98</v>
      </c>
      <c r="K1103">
        <v>14.32</v>
      </c>
      <c r="L1103">
        <v>14.54</v>
      </c>
      <c r="M1103">
        <v>13.93</v>
      </c>
      <c r="N1103">
        <v>13.85</v>
      </c>
      <c r="O1103">
        <v>14.28</v>
      </c>
      <c r="P1103">
        <v>13.3</v>
      </c>
      <c r="Q1103">
        <v>13.13</v>
      </c>
      <c r="R1103">
        <v>13.29</v>
      </c>
      <c r="S1103">
        <f>Tableau1[[#This Row],[Final_time]]-SUM(Tableau1[[#This Row],[0_100m]:[1300_1400m]])</f>
        <v>13.280000000000001</v>
      </c>
      <c r="T1103">
        <v>210.26</v>
      </c>
      <c r="U1103">
        <f t="shared" si="34"/>
        <v>210.26</v>
      </c>
      <c r="V1103">
        <f t="shared" si="35"/>
        <v>0</v>
      </c>
      <c r="W1103" s="12"/>
      <c r="X1103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3" t="s">
        <v>98</v>
      </c>
      <c r="Z1103" s="2" t="s">
        <v>110</v>
      </c>
      <c r="AA1103" s="2" t="s">
        <v>132</v>
      </c>
      <c r="AB1103" s="2" t="s">
        <v>65</v>
      </c>
      <c r="AC1103" s="2">
        <v>45161</v>
      </c>
      <c r="AD1103" s="3">
        <v>2023</v>
      </c>
      <c r="AE1103" s="3">
        <v>27</v>
      </c>
      <c r="AF1103" s="5">
        <v>0.6</v>
      </c>
      <c r="AG1103" s="3"/>
      <c r="AH1103" t="s">
        <v>126</v>
      </c>
    </row>
    <row r="1104" spans="1:34" hidden="1" x14ac:dyDescent="0.35">
      <c r="A1104" t="str">
        <f>_xlfn.CONCAT(Tableau1[[#This Row],[Athletes]],"_",Tableau1[[#This Row],[Nationality]],"_",Tableau1[[#This Row],[Competition_year]])</f>
        <v>Cole HOCKER_USA_2023</v>
      </c>
      <c r="B1104" t="s">
        <v>215</v>
      </c>
      <c r="C1104" t="s">
        <v>16</v>
      </c>
      <c r="D1104" t="s">
        <v>51</v>
      </c>
      <c r="E1104">
        <v>13.88</v>
      </c>
      <c r="F1104">
        <v>14.05</v>
      </c>
      <c r="G1104">
        <v>14.08</v>
      </c>
      <c r="H1104">
        <v>14.74</v>
      </c>
      <c r="I1104">
        <v>14.76</v>
      </c>
      <c r="J1104">
        <v>14.73</v>
      </c>
      <c r="K1104">
        <v>14.31</v>
      </c>
      <c r="L1104">
        <v>14.7</v>
      </c>
      <c r="M1104">
        <v>13.75</v>
      </c>
      <c r="N1104">
        <v>13.9</v>
      </c>
      <c r="O1104">
        <v>14.27</v>
      </c>
      <c r="P1104">
        <v>13.11</v>
      </c>
      <c r="Q1104">
        <v>13.5</v>
      </c>
      <c r="R1104">
        <v>13.57</v>
      </c>
      <c r="S1104">
        <f>Tableau1[[#This Row],[Final_time]]-SUM(Tableau1[[#This Row],[0_100m]:[1300_1400m]])</f>
        <v>13.349999999999966</v>
      </c>
      <c r="T1104">
        <v>210.7</v>
      </c>
      <c r="U1104">
        <f t="shared" si="34"/>
        <v>210.7</v>
      </c>
      <c r="V1104">
        <f t="shared" si="35"/>
        <v>0</v>
      </c>
      <c r="W1104" s="12"/>
      <c r="X1104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4" t="s">
        <v>98</v>
      </c>
      <c r="Z1104" s="2" t="s">
        <v>110</v>
      </c>
      <c r="AA1104" s="2" t="s">
        <v>132</v>
      </c>
      <c r="AB1104" s="2" t="s">
        <v>65</v>
      </c>
      <c r="AC1104" s="2">
        <v>45161</v>
      </c>
      <c r="AD1104" s="3">
        <v>2023</v>
      </c>
      <c r="AE1104" s="3">
        <v>27</v>
      </c>
      <c r="AF1104" s="5">
        <v>0.6</v>
      </c>
      <c r="AG1104" s="3"/>
      <c r="AH1104" t="s">
        <v>126</v>
      </c>
    </row>
    <row r="1105" spans="1:34" hidden="1" x14ac:dyDescent="0.35">
      <c r="A1105" t="str">
        <f>_xlfn.CONCAT(Tableau1[[#This Row],[Athletes]],"_",Tableau1[[#This Row],[Nationality]],"_",Tableau1[[#This Row],[Competition_year]])</f>
        <v>Yared NUGUSE_USA_2023</v>
      </c>
      <c r="B1105" t="s">
        <v>228</v>
      </c>
      <c r="C1105" t="s">
        <v>16</v>
      </c>
      <c r="D1105" t="s">
        <v>51</v>
      </c>
      <c r="E1105">
        <v>13.43</v>
      </c>
      <c r="F1105">
        <v>14.35</v>
      </c>
      <c r="G1105">
        <v>14.37</v>
      </c>
      <c r="H1105">
        <v>14.67</v>
      </c>
      <c r="I1105">
        <v>14.22</v>
      </c>
      <c r="J1105">
        <v>14.64</v>
      </c>
      <c r="K1105">
        <v>14.34</v>
      </c>
      <c r="L1105">
        <v>14.59</v>
      </c>
      <c r="M1105">
        <v>13.82</v>
      </c>
      <c r="N1105">
        <v>13.92</v>
      </c>
      <c r="O1105">
        <v>14.28</v>
      </c>
      <c r="P1105">
        <v>13.34</v>
      </c>
      <c r="Q1105">
        <v>13.42</v>
      </c>
      <c r="R1105">
        <v>13.39</v>
      </c>
      <c r="S1105">
        <f>Tableau1[[#This Row],[Final_time]]-SUM(Tableau1[[#This Row],[0_100m]:[1300_1400m]])</f>
        <v>13.470000000000027</v>
      </c>
      <c r="T1105">
        <v>210.25</v>
      </c>
      <c r="U1105">
        <f t="shared" si="34"/>
        <v>210.25</v>
      </c>
      <c r="V1105">
        <f t="shared" si="35"/>
        <v>0</v>
      </c>
      <c r="W1105" s="12"/>
      <c r="X1105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5" t="s">
        <v>98</v>
      </c>
      <c r="Z1105" s="2" t="s">
        <v>110</v>
      </c>
      <c r="AA1105" s="2" t="s">
        <v>132</v>
      </c>
      <c r="AB1105" s="2" t="s">
        <v>65</v>
      </c>
      <c r="AC1105" s="2">
        <v>45161</v>
      </c>
      <c r="AD1105" s="3">
        <v>2023</v>
      </c>
      <c r="AE1105" s="3">
        <v>27</v>
      </c>
      <c r="AF1105" s="5">
        <v>0.6</v>
      </c>
      <c r="AG1105" s="3"/>
      <c r="AH1105" t="s">
        <v>126</v>
      </c>
    </row>
    <row r="1106" spans="1:34" hidden="1" x14ac:dyDescent="0.35">
      <c r="A1106" t="str">
        <f>_xlfn.CONCAT(Tableau1[[#This Row],[Athletes]],"_",Tableau1[[#This Row],[Nationality]],"_",Tableau1[[#This Row],[Competition_year]])</f>
        <v>Abel KIPSANG_KEN_2023</v>
      </c>
      <c r="B1106" t="s">
        <v>227</v>
      </c>
      <c r="C1106" t="s">
        <v>16</v>
      </c>
      <c r="D1106" t="s">
        <v>17</v>
      </c>
      <c r="E1106">
        <v>13.27</v>
      </c>
      <c r="F1106">
        <f>27.11-Tableau1[[#This Row],[0_100m]]</f>
        <v>13.84</v>
      </c>
      <c r="G1106">
        <v>14.15</v>
      </c>
      <c r="H1106">
        <v>14.75</v>
      </c>
      <c r="I1106">
        <v>14.95</v>
      </c>
      <c r="J1106">
        <v>14.48</v>
      </c>
      <c r="K1106">
        <v>14.54</v>
      </c>
      <c r="L1106">
        <v>14.21</v>
      </c>
      <c r="M1106">
        <v>14.42</v>
      </c>
      <c r="N1106">
        <v>13.59</v>
      </c>
      <c r="O1106">
        <v>14.51</v>
      </c>
      <c r="P1106">
        <v>13</v>
      </c>
      <c r="Q1106">
        <v>13.42</v>
      </c>
      <c r="R1106">
        <v>13.15</v>
      </c>
      <c r="S1106">
        <f>Tableau1[[#This Row],[Final_time]]-SUM(Tableau1[[#This Row],[0_100m]:[1300_1400m]])</f>
        <v>13.610000000000014</v>
      </c>
      <c r="T1106">
        <v>209.89</v>
      </c>
      <c r="U1106">
        <f t="shared" si="34"/>
        <v>209.89</v>
      </c>
      <c r="V1106">
        <f t="shared" si="35"/>
        <v>0</v>
      </c>
      <c r="W1106" s="12"/>
      <c r="X1106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6" t="s">
        <v>98</v>
      </c>
      <c r="Z1106" s="2" t="s">
        <v>110</v>
      </c>
      <c r="AA1106" s="2" t="s">
        <v>132</v>
      </c>
      <c r="AB1106" s="2" t="s">
        <v>65</v>
      </c>
      <c r="AC1106" s="2">
        <v>45161</v>
      </c>
      <c r="AD1106" s="3">
        <v>2023</v>
      </c>
      <c r="AE1106" s="3">
        <v>27</v>
      </c>
      <c r="AF1106" s="5">
        <v>0.6</v>
      </c>
      <c r="AG1106" s="3"/>
      <c r="AH1106" t="s">
        <v>126</v>
      </c>
    </row>
    <row r="1107" spans="1:34" hidden="1" x14ac:dyDescent="0.35">
      <c r="A1107" t="str">
        <f>_xlfn.CONCAT(Tableau1[[#This Row],[Athletes]],"_",Tableau1[[#This Row],[Nationality]],"_",Tableau1[[#This Row],[Competition_year]])</f>
        <v>Josh KERR_GBR_2023</v>
      </c>
      <c r="B1107" t="s">
        <v>189</v>
      </c>
      <c r="C1107" t="s">
        <v>16</v>
      </c>
      <c r="D1107" t="s">
        <v>20</v>
      </c>
      <c r="E1107">
        <v>13.55</v>
      </c>
      <c r="F1107">
        <v>14.14</v>
      </c>
      <c r="G1107">
        <v>14.01</v>
      </c>
      <c r="H1107">
        <v>14.96</v>
      </c>
      <c r="I1107">
        <v>15.03</v>
      </c>
      <c r="J1107">
        <v>14.26</v>
      </c>
      <c r="K1107">
        <v>14.2</v>
      </c>
      <c r="L1107">
        <v>14.67</v>
      </c>
      <c r="M1107">
        <v>13.55</v>
      </c>
      <c r="N1107">
        <v>13.72</v>
      </c>
      <c r="O1107">
        <v>14.52</v>
      </c>
      <c r="P1107">
        <v>12.97</v>
      </c>
      <c r="Q1107">
        <v>13.25</v>
      </c>
      <c r="R1107">
        <v>12.93</v>
      </c>
      <c r="S1107">
        <f>Tableau1[[#This Row],[Final_time]]-SUM(Tableau1[[#This Row],[0_100m]:[1300_1400m]])</f>
        <v>13.619999999999976</v>
      </c>
      <c r="T1107">
        <v>209.38</v>
      </c>
      <c r="U1107">
        <f t="shared" si="34"/>
        <v>209.38</v>
      </c>
      <c r="V1107">
        <f t="shared" si="35"/>
        <v>0</v>
      </c>
      <c r="W1107" s="12"/>
      <c r="X1107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7" t="s">
        <v>98</v>
      </c>
      <c r="Z1107" s="2" t="s">
        <v>110</v>
      </c>
      <c r="AA1107" s="2" t="s">
        <v>132</v>
      </c>
      <c r="AB1107" s="2" t="s">
        <v>65</v>
      </c>
      <c r="AC1107" s="2">
        <v>45161</v>
      </c>
      <c r="AD1107" s="3">
        <v>2023</v>
      </c>
      <c r="AE1107" s="3">
        <v>27</v>
      </c>
      <c r="AF1107" s="5">
        <v>0.6</v>
      </c>
      <c r="AG1107" s="3"/>
      <c r="AH1107" t="s">
        <v>126</v>
      </c>
    </row>
    <row r="1108" spans="1:34" hidden="1" x14ac:dyDescent="0.35">
      <c r="A1108" t="str">
        <f>_xlfn.CONCAT(Tableau1[[#This Row],[Athletes]],"_",Tableau1[[#This Row],[Nationality]],"_",Tableau1[[#This Row],[Competition_year]])</f>
        <v>Jakob INGEBRIGTSEN_NOR_2023</v>
      </c>
      <c r="B1108" t="s">
        <v>151</v>
      </c>
      <c r="C1108" t="s">
        <v>16</v>
      </c>
      <c r="D1108" t="s">
        <v>30</v>
      </c>
      <c r="E1108">
        <v>14.11</v>
      </c>
      <c r="F1108">
        <f>26.23-Tableau1[[#This Row],[0_100m]]</f>
        <v>12.120000000000001</v>
      </c>
      <c r="G1108">
        <v>14.06</v>
      </c>
      <c r="H1108">
        <v>14.84</v>
      </c>
      <c r="I1108">
        <v>14.7</v>
      </c>
      <c r="J1108">
        <v>14.49</v>
      </c>
      <c r="K1108">
        <v>14.57</v>
      </c>
      <c r="L1108">
        <v>15.34</v>
      </c>
      <c r="M1108">
        <v>14.06</v>
      </c>
      <c r="N1108">
        <v>13.77</v>
      </c>
      <c r="O1108">
        <v>13.83</v>
      </c>
      <c r="P1108">
        <v>13.64</v>
      </c>
      <c r="Q1108">
        <v>13.32</v>
      </c>
      <c r="R1108">
        <v>12.89</v>
      </c>
      <c r="S1108">
        <f>Tableau1[[#This Row],[Final_time]]-SUM(Tableau1[[#This Row],[0_100m]:[1300_1400m]])</f>
        <v>13.909999999999997</v>
      </c>
      <c r="T1108">
        <v>209.65</v>
      </c>
      <c r="U1108">
        <f t="shared" si="34"/>
        <v>209.65</v>
      </c>
      <c r="V1108">
        <f t="shared" si="35"/>
        <v>0</v>
      </c>
      <c r="W1108" s="12"/>
      <c r="X1108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8" t="s">
        <v>98</v>
      </c>
      <c r="Z1108" s="2" t="s">
        <v>110</v>
      </c>
      <c r="AA1108" s="2" t="s">
        <v>132</v>
      </c>
      <c r="AB1108" s="2" t="s">
        <v>65</v>
      </c>
      <c r="AC1108" s="2">
        <v>45161</v>
      </c>
      <c r="AD1108" s="3">
        <v>2023</v>
      </c>
      <c r="AE1108" s="3">
        <v>27</v>
      </c>
      <c r="AF1108" s="5">
        <v>0.6</v>
      </c>
      <c r="AG1108" s="3"/>
      <c r="AH1108" t="s">
        <v>126</v>
      </c>
    </row>
    <row r="1109" spans="1:34" hidden="1" x14ac:dyDescent="0.35">
      <c r="A1109" t="str">
        <f>_xlfn.CONCAT(Tableau1[[#This Row],[Athletes]],"_",Tableau1[[#This Row],[Nationality]],"_",Tableau1[[#This Row],[Competition_year]])</f>
        <v>Neil GOURLEY_GBR_2023</v>
      </c>
      <c r="B1109" t="s">
        <v>202</v>
      </c>
      <c r="C1109" t="s">
        <v>16</v>
      </c>
      <c r="D1109" t="s">
        <v>20</v>
      </c>
      <c r="E1109">
        <v>13.37</v>
      </c>
      <c r="F1109">
        <v>14.14</v>
      </c>
      <c r="G1109">
        <v>14.06</v>
      </c>
      <c r="H1109">
        <v>14.98</v>
      </c>
      <c r="I1109">
        <v>14.62</v>
      </c>
      <c r="J1109">
        <v>14.86</v>
      </c>
      <c r="K1109">
        <v>14.41</v>
      </c>
      <c r="L1109">
        <v>14.82</v>
      </c>
      <c r="M1109">
        <v>13.55</v>
      </c>
      <c r="N1109">
        <v>13.98</v>
      </c>
      <c r="O1109">
        <v>14.24</v>
      </c>
      <c r="P1109">
        <v>13.24</v>
      </c>
      <c r="Q1109">
        <v>13.32</v>
      </c>
      <c r="R1109">
        <v>13.55</v>
      </c>
      <c r="S1109">
        <f>Tableau1[[#This Row],[Final_time]]-SUM(Tableau1[[#This Row],[0_100m]:[1300_1400m]])</f>
        <v>13.95999999999998</v>
      </c>
      <c r="T1109">
        <v>211.1</v>
      </c>
      <c r="U1109">
        <f t="shared" si="34"/>
        <v>211.1</v>
      </c>
      <c r="V1109">
        <f t="shared" si="35"/>
        <v>0</v>
      </c>
      <c r="W1109" s="12"/>
      <c r="X1109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09" t="s">
        <v>98</v>
      </c>
      <c r="Z1109" s="2" t="s">
        <v>110</v>
      </c>
      <c r="AA1109" s="2" t="s">
        <v>132</v>
      </c>
      <c r="AB1109" s="2" t="s">
        <v>65</v>
      </c>
      <c r="AC1109" s="2">
        <v>45161</v>
      </c>
      <c r="AD1109" s="3">
        <v>2023</v>
      </c>
      <c r="AE1109" s="3">
        <v>27</v>
      </c>
      <c r="AF1109" s="5">
        <v>0.6</v>
      </c>
      <c r="AG1109" s="3"/>
      <c r="AH1109" t="s">
        <v>126</v>
      </c>
    </row>
    <row r="1110" spans="1:34" hidden="1" x14ac:dyDescent="0.35">
      <c r="A1110" t="str">
        <f>_xlfn.CONCAT(Tableau1[[#This Row],[Athletes]],"_",Tableau1[[#This Row],[Nationality]],"_",Tableau1[[#This Row],[Competition_year]])</f>
        <v>Niels LAROS_NED_2023</v>
      </c>
      <c r="B1110" t="s">
        <v>214</v>
      </c>
      <c r="C1110" t="s">
        <v>16</v>
      </c>
      <c r="D1110" t="s">
        <v>39</v>
      </c>
      <c r="E1110">
        <v>13.34</v>
      </c>
      <c r="F1110">
        <v>13.91</v>
      </c>
      <c r="G1110">
        <v>14.32</v>
      </c>
      <c r="H1110">
        <v>14.83</v>
      </c>
      <c r="I1110">
        <v>14.75</v>
      </c>
      <c r="J1110">
        <v>14.64</v>
      </c>
      <c r="K1110">
        <v>14.66</v>
      </c>
      <c r="L1110">
        <v>14.54</v>
      </c>
      <c r="M1110">
        <v>13.59</v>
      </c>
      <c r="N1110">
        <v>13.98</v>
      </c>
      <c r="O1110">
        <v>15.73</v>
      </c>
      <c r="P1110">
        <v>11.61</v>
      </c>
      <c r="Q1110">
        <v>13.27</v>
      </c>
      <c r="R1110">
        <v>13.37</v>
      </c>
      <c r="S1110">
        <f>Tableau1[[#This Row],[Final_time]]-SUM(Tableau1[[#This Row],[0_100m]:[1300_1400m]])</f>
        <v>14.710000000000008</v>
      </c>
      <c r="T1110">
        <v>211.25</v>
      </c>
      <c r="U1110">
        <f t="shared" si="34"/>
        <v>211.25</v>
      </c>
      <c r="V1110">
        <f t="shared" si="35"/>
        <v>0</v>
      </c>
      <c r="W1110" s="12"/>
      <c r="X1110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10" t="s">
        <v>98</v>
      </c>
      <c r="Z1110" s="2" t="s">
        <v>110</v>
      </c>
      <c r="AA1110" s="2" t="s">
        <v>132</v>
      </c>
      <c r="AB1110" s="2" t="s">
        <v>65</v>
      </c>
      <c r="AC1110" s="2">
        <v>45161</v>
      </c>
      <c r="AD1110" s="3">
        <v>2023</v>
      </c>
      <c r="AE1110" s="3">
        <v>27</v>
      </c>
      <c r="AF1110" s="5">
        <v>0.6</v>
      </c>
      <c r="AG1110" s="3"/>
      <c r="AH1110" t="s">
        <v>126</v>
      </c>
    </row>
    <row r="1111" spans="1:34" hidden="1" x14ac:dyDescent="0.35">
      <c r="A1111" t="str">
        <f>_xlfn.CONCAT(Tableau1[[#This Row],[Athletes]],"_",Tableau1[[#This Row],[Nationality]],"_",Tableau1[[#This Row],[Competition_year]])</f>
        <v>Azeddine HABZ_FRA_2023</v>
      </c>
      <c r="B1111" t="s">
        <v>218</v>
      </c>
      <c r="C1111" t="s">
        <v>16</v>
      </c>
      <c r="D1111" t="s">
        <v>18</v>
      </c>
      <c r="E1111">
        <v>13.27</v>
      </c>
      <c r="F1111">
        <v>14.11</v>
      </c>
      <c r="G1111">
        <v>14.04</v>
      </c>
      <c r="H1111">
        <v>14.61</v>
      </c>
      <c r="I1111">
        <v>15.02</v>
      </c>
      <c r="J1111">
        <v>14.52</v>
      </c>
      <c r="K1111">
        <v>14.33</v>
      </c>
      <c r="L1111">
        <v>14.76</v>
      </c>
      <c r="M1111">
        <v>13.94</v>
      </c>
      <c r="N1111">
        <v>14.05</v>
      </c>
      <c r="O1111">
        <v>14.3</v>
      </c>
      <c r="P1111">
        <v>12.94</v>
      </c>
      <c r="Q1111">
        <v>13.46</v>
      </c>
      <c r="R1111">
        <v>13.88</v>
      </c>
      <c r="S1111">
        <f>Tableau1[[#This Row],[Final_time]]-SUM(Tableau1[[#This Row],[0_100m]:[1300_1400m]])</f>
        <v>15.909999999999968</v>
      </c>
      <c r="T1111">
        <v>213.14</v>
      </c>
      <c r="U1111">
        <f t="shared" si="34"/>
        <v>213.14</v>
      </c>
      <c r="V1111">
        <f t="shared" si="35"/>
        <v>0</v>
      </c>
      <c r="W1111" s="12"/>
      <c r="X1111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11" t="s">
        <v>98</v>
      </c>
      <c r="Z1111" s="2" t="s">
        <v>110</v>
      </c>
      <c r="AA1111" s="2" t="s">
        <v>132</v>
      </c>
      <c r="AB1111" s="2" t="s">
        <v>65</v>
      </c>
      <c r="AC1111" s="2">
        <v>45161</v>
      </c>
      <c r="AD1111" s="3">
        <v>2023</v>
      </c>
      <c r="AE1111" s="3">
        <v>27</v>
      </c>
      <c r="AF1111" s="5">
        <v>0.6</v>
      </c>
      <c r="AG1111" s="3"/>
      <c r="AH1111" t="s">
        <v>126</v>
      </c>
    </row>
    <row r="1112" spans="1:34" hidden="1" x14ac:dyDescent="0.35">
      <c r="A1112" t="str">
        <f>_xlfn.CONCAT(Tableau1[[#This Row],[Athletes]],"_",Tableau1[[#This Row],[Nationality]],"_",Tableau1[[#This Row],[Competition_year]])</f>
        <v>Isaac NADER_POR_2023</v>
      </c>
      <c r="B1112" t="s">
        <v>191</v>
      </c>
      <c r="C1112" t="s">
        <v>16</v>
      </c>
      <c r="D1112" t="s">
        <v>33</v>
      </c>
      <c r="E1112">
        <v>13.37</v>
      </c>
      <c r="F1112">
        <v>14.09</v>
      </c>
      <c r="G1112">
        <v>14.14</v>
      </c>
      <c r="H1112">
        <v>15.04</v>
      </c>
      <c r="I1112">
        <v>14.71</v>
      </c>
      <c r="J1112">
        <v>14.57</v>
      </c>
      <c r="K1112">
        <v>14.28</v>
      </c>
      <c r="L1112">
        <v>14.49</v>
      </c>
      <c r="M1112">
        <v>14.09</v>
      </c>
      <c r="N1112">
        <v>13.66</v>
      </c>
      <c r="O1112">
        <v>14.41</v>
      </c>
      <c r="P1112">
        <v>13.43</v>
      </c>
      <c r="Q1112">
        <v>14.4</v>
      </c>
      <c r="R1112">
        <v>13.75</v>
      </c>
      <c r="S1112">
        <f>Tableau1[[#This Row],[Final_time]]-SUM(Tableau1[[#This Row],[0_100m]:[1300_1400m]])</f>
        <v>16.980000000000018</v>
      </c>
      <c r="T1112">
        <v>215.41</v>
      </c>
      <c r="U1112">
        <f t="shared" si="34"/>
        <v>215.41</v>
      </c>
      <c r="V1112">
        <f t="shared" si="35"/>
        <v>0</v>
      </c>
      <c r="W1112" s="12"/>
      <c r="X1112" t="str">
        <f>_xlfn.CONCAT(Tableau1[[#This Row],[Competition]],"_",Tableau1[[#This Row],[Championship_step]],"_",Tableau1[[#This Row],[Competition_date]],"_",Tableau1[[#This Row],[Gender]])</f>
        <v>World Championships Budapest 2023_Final_45161_Male</v>
      </c>
      <c r="Y1112" t="s">
        <v>98</v>
      </c>
      <c r="Z1112" s="2" t="s">
        <v>110</v>
      </c>
      <c r="AA1112" s="2" t="s">
        <v>132</v>
      </c>
      <c r="AB1112" s="2" t="s">
        <v>65</v>
      </c>
      <c r="AC1112" s="2">
        <v>45161</v>
      </c>
      <c r="AD1112" s="3">
        <v>2023</v>
      </c>
      <c r="AE1112" s="3">
        <v>27</v>
      </c>
      <c r="AF1112" s="5">
        <v>0.6</v>
      </c>
      <c r="AG1112" s="3"/>
      <c r="AH1112" t="s">
        <v>126</v>
      </c>
    </row>
    <row r="1113" spans="1:34" hidden="1" x14ac:dyDescent="0.35">
      <c r="A1113" t="str">
        <f>_xlfn.CONCAT(Tableau1[[#This Row],[Athletes]],"_",Tableau1[[#This Row],[Nationality]],"_",Tableau1[[#This Row],[Competition_year]])</f>
        <v>Reynold CHERUIYOT_KEN_2023</v>
      </c>
      <c r="B1113" t="s">
        <v>1192</v>
      </c>
      <c r="C1113" t="s">
        <v>16</v>
      </c>
      <c r="D1113" t="s">
        <v>17</v>
      </c>
      <c r="T1113">
        <v>210.78</v>
      </c>
      <c r="U1113">
        <f t="shared" si="34"/>
        <v>0</v>
      </c>
      <c r="V1113">
        <f t="shared" si="35"/>
        <v>210.78</v>
      </c>
      <c r="W1113" s="12"/>
      <c r="X1113" t="str">
        <f>_xlfn.CONCAT(Tableau1[[#This Row],[Competition]],"_",Tableau1[[#This Row],[Championship_step]],"_",Tableau1[[#This Row],[Competition_date]],"_",Tableau1[[#This Row],[Gender]])</f>
        <v>World Championships Budapest 2023_Final_45162_Male</v>
      </c>
      <c r="Y1113" t="s">
        <v>98</v>
      </c>
      <c r="Z1113" s="2" t="s">
        <v>110</v>
      </c>
      <c r="AA1113" s="2" t="s">
        <v>132</v>
      </c>
      <c r="AB1113" s="2" t="s">
        <v>65</v>
      </c>
      <c r="AC1113" s="2">
        <v>45162</v>
      </c>
      <c r="AD1113" s="3">
        <v>2023</v>
      </c>
      <c r="AE1113" s="3">
        <v>27</v>
      </c>
      <c r="AF1113" s="5">
        <v>0.6</v>
      </c>
      <c r="AG1113" s="3"/>
      <c r="AH1113" t="s">
        <v>126</v>
      </c>
    </row>
    <row r="1114" spans="1:34" hidden="1" x14ac:dyDescent="0.35">
      <c r="A1114" t="str">
        <f>_xlfn.CONCAT(Tableau1[[#This Row],[Athletes]],"_",Tableau1[[#This Row],[Nationality]],"_",Tableau1[[#This Row],[Competition_year]])</f>
        <v>Alma Delia CORTES_MEX_2023</v>
      </c>
      <c r="B1114" t="s">
        <v>159</v>
      </c>
      <c r="C1114" t="s">
        <v>47</v>
      </c>
      <c r="D1114" t="s">
        <v>101</v>
      </c>
      <c r="E1114">
        <v>15.9</v>
      </c>
      <c r="F1114">
        <v>17.25</v>
      </c>
      <c r="G1114">
        <v>16.23</v>
      </c>
      <c r="H1114">
        <v>16.88</v>
      </c>
      <c r="I1114">
        <v>17.25</v>
      </c>
      <c r="J1114">
        <v>17.12</v>
      </c>
      <c r="K1114">
        <v>16.68</v>
      </c>
      <c r="L1114">
        <v>16.8</v>
      </c>
      <c r="M1114">
        <v>16.62</v>
      </c>
      <c r="N1114">
        <v>16.5</v>
      </c>
      <c r="O1114">
        <v>16.36</v>
      </c>
      <c r="P1114">
        <v>15.44</v>
      </c>
      <c r="Q1114">
        <v>15.53</v>
      </c>
      <c r="R1114">
        <v>17.059999999999999</v>
      </c>
      <c r="S1114">
        <f>Tableau1[[#This Row],[Final_time]]-SUM(Tableau1[[#This Row],[0_100m]:[1300_1400m]])</f>
        <v>14.409999999999968</v>
      </c>
      <c r="T1114">
        <v>246.03</v>
      </c>
      <c r="U1114">
        <f t="shared" si="34"/>
        <v>246.03</v>
      </c>
      <c r="V1114">
        <f t="shared" si="35"/>
        <v>0</v>
      </c>
      <c r="W1114" s="12"/>
      <c r="X1114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14" t="s">
        <v>98</v>
      </c>
      <c r="Z1114" s="2" t="s">
        <v>99</v>
      </c>
      <c r="AA1114" s="2" t="s">
        <v>128</v>
      </c>
      <c r="AB1114" s="2" t="s">
        <v>65</v>
      </c>
      <c r="AC1114" s="2">
        <v>45157</v>
      </c>
      <c r="AD1114" s="3">
        <v>2023</v>
      </c>
      <c r="AE1114" s="3">
        <v>26</v>
      </c>
      <c r="AF1114" s="5">
        <v>0.65</v>
      </c>
      <c r="AG1114" s="3"/>
      <c r="AH1114" t="s">
        <v>100</v>
      </c>
    </row>
    <row r="1115" spans="1:34" hidden="1" x14ac:dyDescent="0.35">
      <c r="A1115" t="str">
        <f>_xlfn.CONCAT(Tableau1[[#This Row],[Athletes]],"_",Tableau1[[#This Row],[Nationality]],"_",Tableau1[[#This Row],[Competition_year]])</f>
        <v>Sifan HASSAN_NED_2023</v>
      </c>
      <c r="B1115" t="s">
        <v>152</v>
      </c>
      <c r="C1115" t="s">
        <v>47</v>
      </c>
      <c r="D1115" t="s">
        <v>39</v>
      </c>
      <c r="E1115">
        <v>16.86</v>
      </c>
      <c r="F1115">
        <v>17.16</v>
      </c>
      <c r="G1115">
        <v>16.27</v>
      </c>
      <c r="H1115">
        <v>16.93</v>
      </c>
      <c r="I1115">
        <v>17.04</v>
      </c>
      <c r="J1115">
        <v>17.309999999999999</v>
      </c>
      <c r="K1115">
        <v>16.670000000000002</v>
      </c>
      <c r="L1115">
        <v>16.989999999999998</v>
      </c>
      <c r="M1115">
        <v>16.07</v>
      </c>
      <c r="N1115">
        <v>16.54</v>
      </c>
      <c r="O1115">
        <v>15.86</v>
      </c>
      <c r="P1115">
        <v>15.29</v>
      </c>
      <c r="Q1115">
        <v>14.2</v>
      </c>
      <c r="R1115">
        <v>14.9</v>
      </c>
      <c r="S1115">
        <f>Tableau1[[#This Row],[Final_time]]-SUM(Tableau1[[#This Row],[0_100m]:[1300_1400m]])</f>
        <v>14.830000000000013</v>
      </c>
      <c r="T1115">
        <v>242.92</v>
      </c>
      <c r="U1115">
        <f t="shared" si="34"/>
        <v>242.92</v>
      </c>
      <c r="V1115">
        <f t="shared" si="35"/>
        <v>0</v>
      </c>
      <c r="W1115" s="12" t="s">
        <v>109</v>
      </c>
      <c r="X1115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15" t="s">
        <v>98</v>
      </c>
      <c r="Z1115" s="2" t="s">
        <v>99</v>
      </c>
      <c r="AA1115" s="2" t="s">
        <v>128</v>
      </c>
      <c r="AB1115" s="2" t="s">
        <v>65</v>
      </c>
      <c r="AC1115" s="2">
        <v>45157</v>
      </c>
      <c r="AD1115" s="3">
        <v>2023</v>
      </c>
      <c r="AE1115" s="3">
        <v>26</v>
      </c>
      <c r="AF1115" s="5">
        <v>0.65</v>
      </c>
      <c r="AG1115" s="3"/>
      <c r="AH1115" t="s">
        <v>100</v>
      </c>
    </row>
    <row r="1116" spans="1:34" hidden="1" x14ac:dyDescent="0.35">
      <c r="A1116" t="str">
        <f>_xlfn.CONCAT(Tableau1[[#This Row],[Athletes]],"_",Tableau1[[#This Row],[Nationality]],"_",Tableau1[[#This Row],[Competition_year]])</f>
        <v>Nikki HILTZ_USA_2023</v>
      </c>
      <c r="B1116" t="s">
        <v>154</v>
      </c>
      <c r="C1116" t="s">
        <v>47</v>
      </c>
      <c r="D1116" t="s">
        <v>51</v>
      </c>
      <c r="E1116">
        <v>15.95</v>
      </c>
      <c r="F1116">
        <v>16.920000000000002</v>
      </c>
      <c r="G1116">
        <v>16.47</v>
      </c>
      <c r="H1116">
        <v>17.04</v>
      </c>
      <c r="I1116">
        <v>17.18</v>
      </c>
      <c r="J1116">
        <v>16.920000000000002</v>
      </c>
      <c r="K1116">
        <v>16.73</v>
      </c>
      <c r="L1116">
        <v>16.899999999999999</v>
      </c>
      <c r="M1116">
        <v>16.38</v>
      </c>
      <c r="N1116">
        <v>16.25</v>
      </c>
      <c r="O1116">
        <v>16.190000000000001</v>
      </c>
      <c r="P1116">
        <v>15.69</v>
      </c>
      <c r="Q1116">
        <v>14.92</v>
      </c>
      <c r="R1116">
        <v>15.03</v>
      </c>
      <c r="S1116">
        <f>Tableau1[[#This Row],[Final_time]]-SUM(Tableau1[[#This Row],[0_100m]:[1300_1400m]])</f>
        <v>15.189999999999998</v>
      </c>
      <c r="T1116">
        <v>243.76</v>
      </c>
      <c r="U1116">
        <f t="shared" si="34"/>
        <v>243.76</v>
      </c>
      <c r="V1116">
        <f t="shared" si="35"/>
        <v>0</v>
      </c>
      <c r="W1116" s="12" t="s">
        <v>109</v>
      </c>
      <c r="X1116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16" t="s">
        <v>98</v>
      </c>
      <c r="Z1116" s="2" t="s">
        <v>99</v>
      </c>
      <c r="AA1116" s="2" t="s">
        <v>128</v>
      </c>
      <c r="AB1116" s="2" t="s">
        <v>65</v>
      </c>
      <c r="AC1116" s="2">
        <v>45157</v>
      </c>
      <c r="AD1116" s="3">
        <v>2023</v>
      </c>
      <c r="AE1116" s="3">
        <v>26</v>
      </c>
      <c r="AF1116" s="5">
        <v>0.65</v>
      </c>
      <c r="AG1116" s="3"/>
      <c r="AH1116" t="s">
        <v>100</v>
      </c>
    </row>
    <row r="1117" spans="1:34" hidden="1" x14ac:dyDescent="0.35">
      <c r="A1117" t="str">
        <f>_xlfn.CONCAT(Tableau1[[#This Row],[Athletes]],"_",Tableau1[[#This Row],[Nationality]],"_",Tableau1[[#This Row],[Competition_year]])</f>
        <v>Laura MUIR_GBR_2023</v>
      </c>
      <c r="B1117" t="s">
        <v>153</v>
      </c>
      <c r="C1117" t="s">
        <v>47</v>
      </c>
      <c r="D1117" t="s">
        <v>20</v>
      </c>
      <c r="E1117">
        <v>16.670000000000002</v>
      </c>
      <c r="F1117">
        <v>18.72</v>
      </c>
      <c r="G1117">
        <v>13.89</v>
      </c>
      <c r="H1117">
        <v>17.100000000000001</v>
      </c>
      <c r="I1117">
        <v>16.98</v>
      </c>
      <c r="J1117">
        <v>16.79</v>
      </c>
      <c r="K1117">
        <v>16.98</v>
      </c>
      <c r="L1117">
        <v>16.63</v>
      </c>
      <c r="M1117">
        <v>16.239999999999998</v>
      </c>
      <c r="N1117">
        <v>16.75</v>
      </c>
      <c r="O1117">
        <v>15.78</v>
      </c>
      <c r="P1117">
        <v>15.74</v>
      </c>
      <c r="Q1117">
        <v>14.8</v>
      </c>
      <c r="R1117">
        <v>15.2</v>
      </c>
      <c r="S1117">
        <f>Tableau1[[#This Row],[Final_time]]-SUM(Tableau1[[#This Row],[0_100m]:[1300_1400m]])</f>
        <v>15.229999999999961</v>
      </c>
      <c r="T1117">
        <v>243.5</v>
      </c>
      <c r="U1117">
        <f t="shared" si="34"/>
        <v>243.5</v>
      </c>
      <c r="V1117">
        <f t="shared" si="35"/>
        <v>0</v>
      </c>
      <c r="W1117" s="12" t="s">
        <v>109</v>
      </c>
      <c r="X1117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17" t="s">
        <v>98</v>
      </c>
      <c r="Z1117" s="2" t="s">
        <v>99</v>
      </c>
      <c r="AA1117" s="2" t="s">
        <v>128</v>
      </c>
      <c r="AB1117" s="2" t="s">
        <v>65</v>
      </c>
      <c r="AC1117" s="2">
        <v>45157</v>
      </c>
      <c r="AD1117" s="3">
        <v>2023</v>
      </c>
      <c r="AE1117" s="3">
        <v>26</v>
      </c>
      <c r="AF1117" s="5">
        <v>0.65</v>
      </c>
      <c r="AG1117" s="3"/>
      <c r="AH1117" t="s">
        <v>100</v>
      </c>
    </row>
    <row r="1118" spans="1:34" hidden="1" x14ac:dyDescent="0.35">
      <c r="A1118" t="str">
        <f>_xlfn.CONCAT(Tableau1[[#This Row],[Athletes]],"_",Tableau1[[#This Row],[Nationality]],"_",Tableau1[[#This Row],[Competition_year]])</f>
        <v>Abbey CALDWELL_AUS_2023</v>
      </c>
      <c r="B1118" t="s">
        <v>156</v>
      </c>
      <c r="C1118" t="s">
        <v>47</v>
      </c>
      <c r="D1118" t="s">
        <v>21</v>
      </c>
      <c r="E1118">
        <v>16.09</v>
      </c>
      <c r="F1118">
        <v>16.850000000000001</v>
      </c>
      <c r="G1118">
        <v>16.68</v>
      </c>
      <c r="H1118">
        <v>16.93</v>
      </c>
      <c r="I1118">
        <v>17.13</v>
      </c>
      <c r="J1118">
        <v>17.13</v>
      </c>
      <c r="K1118">
        <v>16.64</v>
      </c>
      <c r="L1118">
        <v>16.79</v>
      </c>
      <c r="M1118">
        <v>16.350000000000001</v>
      </c>
      <c r="N1118">
        <v>16.62</v>
      </c>
      <c r="O1118">
        <v>15.95</v>
      </c>
      <c r="P1118">
        <v>15.71</v>
      </c>
      <c r="Q1118">
        <v>14.88</v>
      </c>
      <c r="R1118">
        <v>15.16</v>
      </c>
      <c r="S1118">
        <f>Tableau1[[#This Row],[Final_time]]-SUM(Tableau1[[#This Row],[0_100m]:[1300_1400m]])</f>
        <v>15.250000000000028</v>
      </c>
      <c r="T1118">
        <v>244.16</v>
      </c>
      <c r="U1118">
        <f t="shared" si="34"/>
        <v>244.16</v>
      </c>
      <c r="V1118">
        <f t="shared" si="35"/>
        <v>0</v>
      </c>
      <c r="W1118" s="12" t="s">
        <v>109</v>
      </c>
      <c r="X1118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18" t="s">
        <v>98</v>
      </c>
      <c r="Z1118" s="2" t="s">
        <v>99</v>
      </c>
      <c r="AA1118" s="2" t="s">
        <v>128</v>
      </c>
      <c r="AB1118" s="2" t="s">
        <v>65</v>
      </c>
      <c r="AC1118" s="2">
        <v>45157</v>
      </c>
      <c r="AD1118" s="3">
        <v>2023</v>
      </c>
      <c r="AE1118" s="3">
        <v>26</v>
      </c>
      <c r="AF1118" s="5">
        <v>0.65</v>
      </c>
      <c r="AG1118" s="3"/>
      <c r="AH1118" t="s">
        <v>100</v>
      </c>
    </row>
    <row r="1119" spans="1:34" hidden="1" x14ac:dyDescent="0.35">
      <c r="A1119" t="str">
        <f>_xlfn.CONCAT(Tableau1[[#This Row],[Athletes]],"_",Tableau1[[#This Row],[Nationality]],"_",Tableau1[[#This Row],[Competition_year]])</f>
        <v>Sofia ENNAOUI_POL_2023</v>
      </c>
      <c r="B1119" t="s">
        <v>161</v>
      </c>
      <c r="C1119" t="s">
        <v>47</v>
      </c>
      <c r="D1119" t="s">
        <v>83</v>
      </c>
      <c r="E1119">
        <v>15.78</v>
      </c>
      <c r="F1119">
        <v>16.920000000000002</v>
      </c>
      <c r="G1119">
        <v>17.309999999999999</v>
      </c>
      <c r="H1119">
        <v>16.11</v>
      </c>
      <c r="I1119">
        <v>17.13</v>
      </c>
      <c r="J1119">
        <v>17.03</v>
      </c>
      <c r="K1119">
        <v>16.59</v>
      </c>
      <c r="L1119">
        <v>16.95</v>
      </c>
      <c r="M1119">
        <v>16.52</v>
      </c>
      <c r="N1119">
        <v>16.73</v>
      </c>
      <c r="O1119">
        <v>16.649999999999999</v>
      </c>
      <c r="P1119">
        <v>15.55</v>
      </c>
      <c r="Q1119">
        <v>15.52</v>
      </c>
      <c r="R1119">
        <v>16.010000000000002</v>
      </c>
      <c r="S1119">
        <f>Tableau1[[#This Row],[Final_time]]-SUM(Tableau1[[#This Row],[0_100m]:[1300_1400m]])</f>
        <v>15.669999999999987</v>
      </c>
      <c r="T1119">
        <v>246.47</v>
      </c>
      <c r="U1119">
        <f t="shared" si="34"/>
        <v>246.47</v>
      </c>
      <c r="V1119">
        <f t="shared" si="35"/>
        <v>0</v>
      </c>
      <c r="W1119" s="12"/>
      <c r="X1119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19" t="s">
        <v>98</v>
      </c>
      <c r="Z1119" s="2" t="s">
        <v>99</v>
      </c>
      <c r="AA1119" s="2" t="s">
        <v>128</v>
      </c>
      <c r="AB1119" s="2" t="s">
        <v>65</v>
      </c>
      <c r="AC1119" s="2">
        <v>45157</v>
      </c>
      <c r="AD1119" s="3">
        <v>2023</v>
      </c>
      <c r="AE1119" s="3">
        <v>26</v>
      </c>
      <c r="AF1119" s="5">
        <v>0.65</v>
      </c>
      <c r="AG1119" s="3"/>
      <c r="AH1119" t="s">
        <v>100</v>
      </c>
    </row>
    <row r="1120" spans="1:34" hidden="1" x14ac:dyDescent="0.35">
      <c r="A1120" t="str">
        <f>_xlfn.CONCAT(Tableau1[[#This Row],[Athletes]],"_",Tableau1[[#This Row],[Nationality]],"_",Tableau1[[#This Row],[Competition_year]])</f>
        <v>Edinah JEBITOK_KEN_2023</v>
      </c>
      <c r="B1120" t="s">
        <v>155</v>
      </c>
      <c r="C1120" t="s">
        <v>47</v>
      </c>
      <c r="D1120" t="s">
        <v>17</v>
      </c>
      <c r="E1120">
        <v>16.28</v>
      </c>
      <c r="F1120">
        <v>17.02</v>
      </c>
      <c r="G1120">
        <v>16.2</v>
      </c>
      <c r="H1120">
        <v>17.07</v>
      </c>
      <c r="I1120">
        <v>16.98</v>
      </c>
      <c r="J1120">
        <v>16.91</v>
      </c>
      <c r="K1120">
        <v>16.82</v>
      </c>
      <c r="L1120">
        <v>16.63</v>
      </c>
      <c r="M1120">
        <v>16.329999999999998</v>
      </c>
      <c r="N1120">
        <v>16.32</v>
      </c>
      <c r="O1120">
        <v>16.09</v>
      </c>
      <c r="P1120">
        <v>15.77</v>
      </c>
      <c r="Q1120">
        <v>14.78</v>
      </c>
      <c r="R1120">
        <v>15.16</v>
      </c>
      <c r="S1120">
        <f>Tableau1[[#This Row],[Final_time]]-SUM(Tableau1[[#This Row],[0_100m]:[1300_1400m]])</f>
        <v>15.72999999999999</v>
      </c>
      <c r="T1120">
        <v>244.09</v>
      </c>
      <c r="U1120">
        <f t="shared" si="34"/>
        <v>244.09</v>
      </c>
      <c r="V1120">
        <f t="shared" si="35"/>
        <v>0</v>
      </c>
      <c r="W1120" s="12" t="s">
        <v>109</v>
      </c>
      <c r="X1120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0" t="s">
        <v>98</v>
      </c>
      <c r="Z1120" s="2" t="s">
        <v>99</v>
      </c>
      <c r="AA1120" s="2" t="s">
        <v>128</v>
      </c>
      <c r="AB1120" s="2" t="s">
        <v>65</v>
      </c>
      <c r="AC1120" s="2">
        <v>45157</v>
      </c>
      <c r="AD1120" s="3">
        <v>2023</v>
      </c>
      <c r="AE1120" s="3">
        <v>26</v>
      </c>
      <c r="AF1120" s="5">
        <v>0.65</v>
      </c>
      <c r="AG1120" s="3"/>
      <c r="AH1120" t="s">
        <v>100</v>
      </c>
    </row>
    <row r="1121" spans="1:34" hidden="1" x14ac:dyDescent="0.35">
      <c r="A1121" t="str">
        <f>_xlfn.CONCAT(Tableau1[[#This Row],[Athletes]],"_",Tableau1[[#This Row],[Nationality]],"_",Tableau1[[#This Row],[Competition_year]])</f>
        <v>Claudia Mihaela BOBOCEA_ROU_2023</v>
      </c>
      <c r="B1121" t="s">
        <v>160</v>
      </c>
      <c r="C1121" t="s">
        <v>47</v>
      </c>
      <c r="D1121" t="s">
        <v>102</v>
      </c>
      <c r="E1121">
        <v>15.71</v>
      </c>
      <c r="F1121">
        <v>16.850000000000001</v>
      </c>
      <c r="G1121">
        <v>16.43</v>
      </c>
      <c r="H1121">
        <v>17.03</v>
      </c>
      <c r="I1121">
        <v>17.079999999999998</v>
      </c>
      <c r="J1121">
        <v>17</v>
      </c>
      <c r="K1121">
        <v>16.73</v>
      </c>
      <c r="L1121">
        <v>16.850000000000001</v>
      </c>
      <c r="M1121">
        <v>16.309999999999999</v>
      </c>
      <c r="N1121">
        <v>16.46</v>
      </c>
      <c r="O1121">
        <v>16.399999999999999</v>
      </c>
      <c r="P1121">
        <v>15.96</v>
      </c>
      <c r="Q1121">
        <v>15.59</v>
      </c>
      <c r="R1121">
        <v>15.87</v>
      </c>
      <c r="S1121">
        <f>Tableau1[[#This Row],[Final_time]]-SUM(Tableau1[[#This Row],[0_100m]:[1300_1400m]])</f>
        <v>15.799999999999955</v>
      </c>
      <c r="T1121">
        <v>246.07</v>
      </c>
      <c r="U1121">
        <f t="shared" si="34"/>
        <v>246.07</v>
      </c>
      <c r="V1121">
        <f t="shared" si="35"/>
        <v>0</v>
      </c>
      <c r="W1121" s="12"/>
      <c r="X1121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1" t="s">
        <v>98</v>
      </c>
      <c r="Z1121" s="2" t="s">
        <v>99</v>
      </c>
      <c r="AA1121" s="2" t="s">
        <v>128</v>
      </c>
      <c r="AB1121" s="2" t="s">
        <v>65</v>
      </c>
      <c r="AC1121" s="2">
        <v>45157</v>
      </c>
      <c r="AD1121" s="3">
        <v>2023</v>
      </c>
      <c r="AE1121" s="3">
        <v>26</v>
      </c>
      <c r="AF1121" s="5">
        <v>0.65</v>
      </c>
      <c r="AG1121" s="3"/>
      <c r="AH1121" t="s">
        <v>100</v>
      </c>
    </row>
    <row r="1122" spans="1:34" hidden="1" x14ac:dyDescent="0.35">
      <c r="A1122" t="str">
        <f>_xlfn.CONCAT(Tableau1[[#This Row],[Athletes]],"_",Tableau1[[#This Row],[Nationality]],"_",Tableau1[[#This Row],[Competition_year]])</f>
        <v>Nozomi TANAKA_JPN_2023</v>
      </c>
      <c r="B1122" t="s">
        <v>157</v>
      </c>
      <c r="C1122" t="s">
        <v>47</v>
      </c>
      <c r="D1122" t="s">
        <v>69</v>
      </c>
      <c r="E1122">
        <v>15.6</v>
      </c>
      <c r="F1122">
        <v>16.59</v>
      </c>
      <c r="G1122">
        <v>16.649999999999999</v>
      </c>
      <c r="H1122">
        <v>17.170000000000002</v>
      </c>
      <c r="I1122">
        <v>17.350000000000001</v>
      </c>
      <c r="J1122">
        <v>17.05</v>
      </c>
      <c r="K1122">
        <v>16.670000000000002</v>
      </c>
      <c r="L1122">
        <v>16.899999999999999</v>
      </c>
      <c r="M1122">
        <v>16.11</v>
      </c>
      <c r="N1122">
        <v>16.47</v>
      </c>
      <c r="O1122">
        <v>15.88</v>
      </c>
      <c r="P1122">
        <v>15.72</v>
      </c>
      <c r="Q1122">
        <v>14.92</v>
      </c>
      <c r="R1122">
        <v>15.28</v>
      </c>
      <c r="S1122">
        <f>Tableau1[[#This Row],[Final_time]]-SUM(Tableau1[[#This Row],[0_100m]:[1300_1400m]])</f>
        <v>16.000000000000057</v>
      </c>
      <c r="T1122">
        <v>244.36</v>
      </c>
      <c r="U1122">
        <f t="shared" si="34"/>
        <v>244.36</v>
      </c>
      <c r="V1122">
        <f t="shared" si="35"/>
        <v>0</v>
      </c>
      <c r="W1122" s="12" t="s">
        <v>109</v>
      </c>
      <c r="X1122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2" t="s">
        <v>98</v>
      </c>
      <c r="Z1122" s="2" t="s">
        <v>99</v>
      </c>
      <c r="AA1122" s="2" t="s">
        <v>128</v>
      </c>
      <c r="AB1122" s="2" t="s">
        <v>65</v>
      </c>
      <c r="AC1122" s="2">
        <v>45157</v>
      </c>
      <c r="AD1122" s="3">
        <v>2023</v>
      </c>
      <c r="AE1122" s="3">
        <v>26</v>
      </c>
      <c r="AF1122" s="5">
        <v>0.65</v>
      </c>
      <c r="AG1122" s="3"/>
      <c r="AH1122" t="s">
        <v>100</v>
      </c>
    </row>
    <row r="1123" spans="1:34" hidden="1" x14ac:dyDescent="0.35">
      <c r="A1123" t="str">
        <f>_xlfn.CONCAT(Tableau1[[#This Row],[Athletes]],"_",Tableau1[[#This Row],[Nationality]],"_",Tableau1[[#This Row],[Competition_year]])</f>
        <v>Lucia STAFFORD_CAN_2023</v>
      </c>
      <c r="B1123" t="s">
        <v>158</v>
      </c>
      <c r="C1123" t="s">
        <v>47</v>
      </c>
      <c r="D1123" t="s">
        <v>55</v>
      </c>
      <c r="E1123">
        <v>16.12</v>
      </c>
      <c r="F1123">
        <v>17.059999999999999</v>
      </c>
      <c r="G1123">
        <v>16.32</v>
      </c>
      <c r="H1123">
        <v>17.18</v>
      </c>
      <c r="I1123">
        <v>17.04</v>
      </c>
      <c r="J1123">
        <v>17.059999999999999</v>
      </c>
      <c r="K1123">
        <v>16.62</v>
      </c>
      <c r="L1123">
        <v>16.940000000000001</v>
      </c>
      <c r="M1123">
        <v>16.07</v>
      </c>
      <c r="N1123">
        <v>16.34</v>
      </c>
      <c r="O1123">
        <v>15.95</v>
      </c>
      <c r="P1123">
        <v>15.69</v>
      </c>
      <c r="Q1123">
        <v>15.29</v>
      </c>
      <c r="R1123">
        <v>15.15</v>
      </c>
      <c r="S1123">
        <f>Tableau1[[#This Row],[Final_time]]-SUM(Tableau1[[#This Row],[0_100m]:[1300_1400m]])</f>
        <v>16.380000000000024</v>
      </c>
      <c r="T1123">
        <v>245.21</v>
      </c>
      <c r="U1123">
        <f t="shared" si="34"/>
        <v>245.21</v>
      </c>
      <c r="V1123">
        <f t="shared" si="35"/>
        <v>0</v>
      </c>
      <c r="W1123" s="12"/>
      <c r="X1123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3" t="s">
        <v>98</v>
      </c>
      <c r="Z1123" s="2" t="s">
        <v>99</v>
      </c>
      <c r="AA1123" s="2" t="s">
        <v>128</v>
      </c>
      <c r="AB1123" s="2" t="s">
        <v>65</v>
      </c>
      <c r="AC1123" s="2">
        <v>45157</v>
      </c>
      <c r="AD1123" s="3">
        <v>2023</v>
      </c>
      <c r="AE1123" s="3">
        <v>26</v>
      </c>
      <c r="AF1123" s="5">
        <v>0.65</v>
      </c>
      <c r="AG1123" s="3"/>
      <c r="AH1123" t="s">
        <v>100</v>
      </c>
    </row>
    <row r="1124" spans="1:34" hidden="1" x14ac:dyDescent="0.35">
      <c r="A1124" t="str">
        <f>_xlfn.CONCAT(Tableau1[[#This Row],[Athletes]],"_",Tableau1[[#This Row],[Nationality]],"_",Tableau1[[#This Row],[Competition_year]])</f>
        <v>Vera BERTEMES-HOFFMANN_LUX_2023</v>
      </c>
      <c r="B1124" t="s">
        <v>1291</v>
      </c>
      <c r="C1124" t="s">
        <v>47</v>
      </c>
      <c r="D1124" t="s">
        <v>76</v>
      </c>
      <c r="E1124">
        <v>16.41</v>
      </c>
      <c r="F1124">
        <v>17.059999999999999</v>
      </c>
      <c r="G1124">
        <v>16.71</v>
      </c>
      <c r="H1124">
        <v>16.690000000000001</v>
      </c>
      <c r="I1124">
        <v>16.850000000000001</v>
      </c>
      <c r="J1124">
        <v>17.09</v>
      </c>
      <c r="K1124">
        <v>16.97</v>
      </c>
      <c r="L1124">
        <v>16.71</v>
      </c>
      <c r="M1124">
        <v>16.36</v>
      </c>
      <c r="N1124">
        <v>16.510000000000002</v>
      </c>
      <c r="O1124">
        <v>16.45</v>
      </c>
      <c r="P1124">
        <v>16.05</v>
      </c>
      <c r="Q1124">
        <v>16</v>
      </c>
      <c r="R1124">
        <v>16.850000000000001</v>
      </c>
      <c r="S1124">
        <f>Tableau1[[#This Row],[Final_time]]-SUM(Tableau1[[#This Row],[0_100m]:[1300_1400m]])</f>
        <v>17.049999999999983</v>
      </c>
      <c r="T1124">
        <v>249.76</v>
      </c>
      <c r="U1124">
        <f t="shared" si="34"/>
        <v>249.76</v>
      </c>
      <c r="V1124">
        <f t="shared" si="35"/>
        <v>0</v>
      </c>
      <c r="W1124" s="12"/>
      <c r="X1124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4" t="s">
        <v>98</v>
      </c>
      <c r="Z1124" s="2" t="s">
        <v>99</v>
      </c>
      <c r="AA1124" s="2" t="s">
        <v>128</v>
      </c>
      <c r="AB1124" s="2" t="s">
        <v>65</v>
      </c>
      <c r="AC1124" s="2">
        <v>45157</v>
      </c>
      <c r="AD1124" s="3">
        <v>2023</v>
      </c>
      <c r="AE1124" s="3">
        <v>26</v>
      </c>
      <c r="AF1124" s="5">
        <v>0.65</v>
      </c>
      <c r="AG1124" s="3"/>
      <c r="AH1124" t="s">
        <v>100</v>
      </c>
    </row>
    <row r="1125" spans="1:34" hidden="1" x14ac:dyDescent="0.35">
      <c r="A1125" t="str">
        <f>_xlfn.CONCAT(Tableau1[[#This Row],[Athletes]],"_",Tableau1[[#This Row],[Nationality]],"_",Tableau1[[#This Row],[Competition_year]])</f>
        <v>Şilan AYYILDIZ_TUR_2023</v>
      </c>
      <c r="B1125" t="s">
        <v>163</v>
      </c>
      <c r="C1125" t="s">
        <v>47</v>
      </c>
      <c r="D1125" t="s">
        <v>104</v>
      </c>
      <c r="E1125">
        <v>16.29</v>
      </c>
      <c r="F1125">
        <v>16.98</v>
      </c>
      <c r="G1125">
        <v>16.53</v>
      </c>
      <c r="H1125">
        <v>17.170000000000002</v>
      </c>
      <c r="I1125">
        <v>17.010000000000002</v>
      </c>
      <c r="J1125">
        <v>17.11</v>
      </c>
      <c r="K1125">
        <v>17.329999999999998</v>
      </c>
      <c r="L1125">
        <v>16.55</v>
      </c>
      <c r="M1125">
        <v>16.53</v>
      </c>
      <c r="N1125">
        <v>17.239999999999998</v>
      </c>
      <c r="O1125">
        <v>16.52</v>
      </c>
      <c r="P1125">
        <v>17.43</v>
      </c>
      <c r="Q1125">
        <v>17.34</v>
      </c>
      <c r="R1125">
        <v>17.8</v>
      </c>
      <c r="S1125">
        <f>Tableau1[[#This Row],[Final_time]]-SUM(Tableau1[[#This Row],[0_100m]:[1300_1400m]])</f>
        <v>17.129999999999967</v>
      </c>
      <c r="T1125">
        <v>254.96</v>
      </c>
      <c r="U1125">
        <f t="shared" si="34"/>
        <v>254.96</v>
      </c>
      <c r="V1125">
        <f t="shared" si="35"/>
        <v>0</v>
      </c>
      <c r="W1125" s="12"/>
      <c r="X1125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5" t="s">
        <v>98</v>
      </c>
      <c r="Z1125" s="2" t="s">
        <v>99</v>
      </c>
      <c r="AA1125" s="2" t="s">
        <v>128</v>
      </c>
      <c r="AB1125" s="2" t="s">
        <v>65</v>
      </c>
      <c r="AC1125" s="2">
        <v>45157</v>
      </c>
      <c r="AD1125" s="3">
        <v>2023</v>
      </c>
      <c r="AE1125" s="3">
        <v>26</v>
      </c>
      <c r="AF1125" s="5">
        <v>0.65</v>
      </c>
      <c r="AG1125" s="3"/>
      <c r="AH1125" t="s">
        <v>100</v>
      </c>
    </row>
    <row r="1126" spans="1:34" hidden="1" x14ac:dyDescent="0.35">
      <c r="A1126" t="str">
        <f>_xlfn.CONCAT(Tableau1[[#This Row],[Athletes]],"_",Tableau1[[#This Row],[Nationality]],"_",Tableau1[[#This Row],[Competition_year]])</f>
        <v>Jaqueline Beatriz WEBER_BRA_2023</v>
      </c>
      <c r="B1126" t="s">
        <v>162</v>
      </c>
      <c r="C1126" t="s">
        <v>47</v>
      </c>
      <c r="D1126" t="s">
        <v>103</v>
      </c>
      <c r="E1126">
        <v>16.260000000000002</v>
      </c>
      <c r="F1126">
        <v>16.829999999999998</v>
      </c>
      <c r="G1126">
        <v>16.64</v>
      </c>
      <c r="H1126">
        <v>16.989999999999998</v>
      </c>
      <c r="I1126">
        <v>17.010000000000002</v>
      </c>
      <c r="J1126">
        <v>17.059999999999999</v>
      </c>
      <c r="K1126">
        <v>17.61</v>
      </c>
      <c r="L1126">
        <v>15.99</v>
      </c>
      <c r="M1126">
        <v>16.649999999999999</v>
      </c>
      <c r="N1126">
        <v>16.66</v>
      </c>
      <c r="O1126">
        <v>16.850000000000001</v>
      </c>
      <c r="P1126">
        <v>16.14</v>
      </c>
      <c r="Q1126">
        <v>16.809999999999999</v>
      </c>
      <c r="R1126">
        <v>17.510000000000002</v>
      </c>
      <c r="S1126">
        <f>Tableau1[[#This Row],[Final_time]]-SUM(Tableau1[[#This Row],[0_100m]:[1300_1400m]])</f>
        <v>19.450000000000017</v>
      </c>
      <c r="T1126">
        <v>254.46</v>
      </c>
      <c r="U1126">
        <f t="shared" si="34"/>
        <v>254.46</v>
      </c>
      <c r="V1126">
        <f t="shared" si="35"/>
        <v>0</v>
      </c>
      <c r="W1126" s="12"/>
      <c r="X1126" t="str">
        <f>_xlfn.CONCAT(Tableau1[[#This Row],[Competition]],"_",Tableau1[[#This Row],[Championship_step]],"_",Tableau1[[#This Row],[Competition_date]],"_",Tableau1[[#This Row],[Gender]])</f>
        <v>World Championships Budapest 2023_Heat 1_45157_Female</v>
      </c>
      <c r="Y1126" t="s">
        <v>98</v>
      </c>
      <c r="Z1126" s="2" t="s">
        <v>99</v>
      </c>
      <c r="AA1126" s="2" t="s">
        <v>128</v>
      </c>
      <c r="AB1126" s="2" t="s">
        <v>65</v>
      </c>
      <c r="AC1126" s="2">
        <v>45157</v>
      </c>
      <c r="AD1126" s="3">
        <v>2023</v>
      </c>
      <c r="AE1126" s="3">
        <v>26</v>
      </c>
      <c r="AF1126" s="5">
        <v>0.65</v>
      </c>
      <c r="AG1126" s="3"/>
      <c r="AH1126" t="s">
        <v>100</v>
      </c>
    </row>
    <row r="1127" spans="1:34" hidden="1" x14ac:dyDescent="0.35">
      <c r="A1127" t="str">
        <f>_xlfn.CONCAT(Tableau1[[#This Row],[Athletes]],"_",Tableau1[[#This Row],[Nationality]],"_",Tableau1[[#This Row],[Competition_year]])</f>
        <v>Reynold CHERUIYOT_KEN_2023</v>
      </c>
      <c r="B1127" t="s">
        <v>1192</v>
      </c>
      <c r="C1127" t="s">
        <v>16</v>
      </c>
      <c r="D1127" t="s">
        <v>17</v>
      </c>
      <c r="E1127">
        <v>13.39</v>
      </c>
      <c r="F1127">
        <v>14.4</v>
      </c>
      <c r="G1127">
        <v>14.79</v>
      </c>
      <c r="H1127">
        <v>15.09</v>
      </c>
      <c r="I1127">
        <v>14.99</v>
      </c>
      <c r="J1127">
        <v>15.18</v>
      </c>
      <c r="K1127">
        <v>15.51</v>
      </c>
      <c r="L1127">
        <v>13.61</v>
      </c>
      <c r="M1127">
        <v>14.73</v>
      </c>
      <c r="N1127">
        <v>15.14</v>
      </c>
      <c r="O1127">
        <v>12.94</v>
      </c>
      <c r="P1127">
        <v>13.95</v>
      </c>
      <c r="Q1127">
        <v>13.72</v>
      </c>
      <c r="R1127">
        <v>13.9</v>
      </c>
      <c r="S1127">
        <f>Tableau1[[#This Row],[Final_time]]-SUM(Tableau1[[#This Row],[0_100m]:[1300_1400m]])</f>
        <v>12.900000000000034</v>
      </c>
      <c r="T1127">
        <v>214.24</v>
      </c>
      <c r="U1127">
        <f t="shared" si="34"/>
        <v>214.24</v>
      </c>
      <c r="V1127">
        <f t="shared" si="35"/>
        <v>0</v>
      </c>
      <c r="W1127" s="12" t="s">
        <v>109</v>
      </c>
      <c r="X1127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27" t="s">
        <v>98</v>
      </c>
      <c r="Z1127" s="2" t="s">
        <v>99</v>
      </c>
      <c r="AA1127" s="2" t="s">
        <v>128</v>
      </c>
      <c r="AB1127" s="2" t="s">
        <v>65</v>
      </c>
      <c r="AC1127" s="2">
        <v>45157</v>
      </c>
      <c r="AD1127" s="3">
        <v>2023</v>
      </c>
      <c r="AE1127" s="3">
        <v>28</v>
      </c>
      <c r="AF1127" s="5">
        <v>0.6</v>
      </c>
      <c r="AG1127" s="3"/>
      <c r="AH1127" t="s">
        <v>112</v>
      </c>
    </row>
    <row r="1128" spans="1:34" hidden="1" x14ac:dyDescent="0.35">
      <c r="A1128" t="str">
        <f>_xlfn.CONCAT(Tableau1[[#This Row],[Athletes]],"_",Tableau1[[#This Row],[Nationality]],"_",Tableau1[[#This Row],[Competition_year]])</f>
        <v>Jakob INGEBRIGTSEN_NOR_2023</v>
      </c>
      <c r="B1128" t="s">
        <v>151</v>
      </c>
      <c r="C1128" t="s">
        <v>16</v>
      </c>
      <c r="D1128" t="s">
        <v>30</v>
      </c>
      <c r="E1128">
        <v>15.25</v>
      </c>
      <c r="F1128">
        <v>14.18</v>
      </c>
      <c r="G1128">
        <v>13.7</v>
      </c>
      <c r="H1128">
        <v>14.68</v>
      </c>
      <c r="I1128">
        <v>14.52</v>
      </c>
      <c r="J1128">
        <v>15.09</v>
      </c>
      <c r="K1128">
        <v>15.78</v>
      </c>
      <c r="L1128">
        <v>13.37</v>
      </c>
      <c r="M1128">
        <v>14.49</v>
      </c>
      <c r="N1128">
        <v>14.27</v>
      </c>
      <c r="O1128">
        <v>13.98</v>
      </c>
      <c r="P1128">
        <v>13.99</v>
      </c>
      <c r="Q1128">
        <v>13.71</v>
      </c>
      <c r="R1128">
        <v>13.59</v>
      </c>
      <c r="S1128">
        <f>Tableau1[[#This Row],[Final_time]]-SUM(Tableau1[[#This Row],[0_100m]:[1300_1400m]])</f>
        <v>13.339999999999975</v>
      </c>
      <c r="T1128">
        <v>213.94</v>
      </c>
      <c r="U1128">
        <f t="shared" si="34"/>
        <v>213.94</v>
      </c>
      <c r="V1128">
        <f t="shared" si="35"/>
        <v>0</v>
      </c>
      <c r="W1128" s="12" t="s">
        <v>109</v>
      </c>
      <c r="X1128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28" t="s">
        <v>98</v>
      </c>
      <c r="Z1128" s="2" t="s">
        <v>99</v>
      </c>
      <c r="AA1128" s="2" t="s">
        <v>128</v>
      </c>
      <c r="AB1128" s="2" t="s">
        <v>65</v>
      </c>
      <c r="AC1128" s="2">
        <v>45157</v>
      </c>
      <c r="AD1128" s="3">
        <v>2023</v>
      </c>
      <c r="AE1128" s="3">
        <v>28</v>
      </c>
      <c r="AF1128" s="5">
        <v>0.6</v>
      </c>
      <c r="AG1128" s="3"/>
      <c r="AH1128" t="s">
        <v>112</v>
      </c>
    </row>
    <row r="1129" spans="1:34" hidden="1" x14ac:dyDescent="0.35">
      <c r="A1129" t="str">
        <f>_xlfn.CONCAT(Tableau1[[#This Row],[Athletes]],"_",Tableau1[[#This Row],[Nationality]],"_",Tableau1[[#This Row],[Competition_year]])</f>
        <v>Amos BARTELSMEYER_GER_2023</v>
      </c>
      <c r="B1129" t="s">
        <v>192</v>
      </c>
      <c r="C1129" t="s">
        <v>16</v>
      </c>
      <c r="D1129" t="s">
        <v>34</v>
      </c>
      <c r="E1129">
        <v>13.9</v>
      </c>
      <c r="F1129">
        <v>14.58</v>
      </c>
      <c r="G1129">
        <v>14.88</v>
      </c>
      <c r="H1129">
        <v>14.92</v>
      </c>
      <c r="I1129">
        <v>14.81</v>
      </c>
      <c r="J1129">
        <v>14.9</v>
      </c>
      <c r="K1129">
        <v>14.72</v>
      </c>
      <c r="L1129">
        <v>14.91</v>
      </c>
      <c r="M1129">
        <v>14.87</v>
      </c>
      <c r="N1129">
        <v>14.42</v>
      </c>
      <c r="O1129">
        <v>13.54</v>
      </c>
      <c r="P1129">
        <v>13.86</v>
      </c>
      <c r="Q1129">
        <v>14</v>
      </c>
      <c r="R1129">
        <v>13.71</v>
      </c>
      <c r="S1129">
        <f>Tableau1[[#This Row],[Final_time]]-SUM(Tableau1[[#This Row],[0_100m]:[1300_1400m]])</f>
        <v>13.419999999999987</v>
      </c>
      <c r="T1129">
        <v>215.44</v>
      </c>
      <c r="U1129">
        <f t="shared" si="34"/>
        <v>215.44</v>
      </c>
      <c r="V1129">
        <f t="shared" si="35"/>
        <v>0</v>
      </c>
      <c r="W1129" s="12"/>
      <c r="X1129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29" t="s">
        <v>98</v>
      </c>
      <c r="Z1129" s="2" t="s">
        <v>99</v>
      </c>
      <c r="AA1129" s="2" t="s">
        <v>128</v>
      </c>
      <c r="AB1129" s="2" t="s">
        <v>65</v>
      </c>
      <c r="AC1129" s="2">
        <v>45157</v>
      </c>
      <c r="AD1129" s="3">
        <v>2023</v>
      </c>
      <c r="AE1129" s="3">
        <v>28</v>
      </c>
      <c r="AF1129" s="5">
        <v>0.6</v>
      </c>
      <c r="AG1129" s="3"/>
      <c r="AH1129" t="s">
        <v>112</v>
      </c>
    </row>
    <row r="1130" spans="1:34" hidden="1" x14ac:dyDescent="0.35">
      <c r="A1130" t="str">
        <f>_xlfn.CONCAT(Tableau1[[#This Row],[Athletes]],"_",Tableau1[[#This Row],[Nationality]],"_",Tableau1[[#This Row],[Competition_year]])</f>
        <v>Charles PHILIBERT-THIBOUTOT_CAN_2023</v>
      </c>
      <c r="B1130" t="s">
        <v>113</v>
      </c>
      <c r="C1130" t="s">
        <v>16</v>
      </c>
      <c r="D1130" t="s">
        <v>55</v>
      </c>
      <c r="E1130">
        <v>14.06</v>
      </c>
      <c r="F1130">
        <v>14.37</v>
      </c>
      <c r="G1130">
        <v>14.78</v>
      </c>
      <c r="H1130">
        <v>15.03</v>
      </c>
      <c r="I1130">
        <v>14.64</v>
      </c>
      <c r="J1130">
        <v>14.73</v>
      </c>
      <c r="K1130">
        <v>15.19</v>
      </c>
      <c r="L1130">
        <v>14.33</v>
      </c>
      <c r="M1130">
        <v>14.23</v>
      </c>
      <c r="N1130">
        <v>16.21</v>
      </c>
      <c r="O1130">
        <v>12.23</v>
      </c>
      <c r="P1130">
        <v>13.97</v>
      </c>
      <c r="Q1130">
        <v>13.75</v>
      </c>
      <c r="R1130">
        <v>13.62</v>
      </c>
      <c r="S1130">
        <f>Tableau1[[#This Row],[Final_time]]-SUM(Tableau1[[#This Row],[0_100m]:[1300_1400m]])</f>
        <v>13.460000000000008</v>
      </c>
      <c r="T1130">
        <v>214.6</v>
      </c>
      <c r="U1130">
        <f t="shared" si="34"/>
        <v>214.6</v>
      </c>
      <c r="V1130">
        <f t="shared" si="35"/>
        <v>0</v>
      </c>
      <c r="W1130" s="12" t="s">
        <v>109</v>
      </c>
      <c r="X1130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0" t="s">
        <v>98</v>
      </c>
      <c r="Z1130" s="2" t="s">
        <v>99</v>
      </c>
      <c r="AA1130" s="2" t="s">
        <v>128</v>
      </c>
      <c r="AB1130" s="2" t="s">
        <v>65</v>
      </c>
      <c r="AC1130" s="2">
        <v>45157</v>
      </c>
      <c r="AD1130" s="3">
        <v>2023</v>
      </c>
      <c r="AE1130" s="3">
        <v>28</v>
      </c>
      <c r="AF1130" s="5">
        <v>0.6</v>
      </c>
      <c r="AG1130" s="3"/>
      <c r="AH1130" t="s">
        <v>112</v>
      </c>
    </row>
    <row r="1131" spans="1:34" hidden="1" x14ac:dyDescent="0.35">
      <c r="A1131" t="str">
        <f>_xlfn.CONCAT(Tableau1[[#This Row],[Athletes]],"_",Tableau1[[#This Row],[Nationality]],"_",Tableau1[[#This Row],[Competition_year]])</f>
        <v>Josh KERR_GBR_2023</v>
      </c>
      <c r="B1131" t="s">
        <v>189</v>
      </c>
      <c r="C1131" t="s">
        <v>16</v>
      </c>
      <c r="D1131" t="s">
        <v>20</v>
      </c>
      <c r="E1131">
        <v>13.76</v>
      </c>
      <c r="F1131">
        <v>14.41</v>
      </c>
      <c r="G1131">
        <v>14.53</v>
      </c>
      <c r="H1131">
        <v>15.21</v>
      </c>
      <c r="I1131">
        <v>14.94</v>
      </c>
      <c r="J1131">
        <v>14.85</v>
      </c>
      <c r="K1131">
        <v>14.34</v>
      </c>
      <c r="L1131">
        <v>14.65</v>
      </c>
      <c r="M1131">
        <v>14.31</v>
      </c>
      <c r="N1131">
        <v>14.45</v>
      </c>
      <c r="O1131">
        <v>13.83</v>
      </c>
      <c r="P1131">
        <v>14.06</v>
      </c>
      <c r="Q1131">
        <v>13.71</v>
      </c>
      <c r="R1131">
        <v>13.42</v>
      </c>
      <c r="S1131">
        <f>Tableau1[[#This Row],[Final_time]]-SUM(Tableau1[[#This Row],[0_100m]:[1300_1400m]])</f>
        <v>13.530000000000001</v>
      </c>
      <c r="T1131">
        <v>214</v>
      </c>
      <c r="U1131">
        <f t="shared" si="34"/>
        <v>214</v>
      </c>
      <c r="V1131">
        <f t="shared" si="35"/>
        <v>0</v>
      </c>
      <c r="W1131" s="12" t="s">
        <v>109</v>
      </c>
      <c r="X1131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1" t="s">
        <v>98</v>
      </c>
      <c r="Z1131" s="2" t="s">
        <v>99</v>
      </c>
      <c r="AA1131" s="2" t="s">
        <v>128</v>
      </c>
      <c r="AB1131" s="2" t="s">
        <v>65</v>
      </c>
      <c r="AC1131" s="2">
        <v>45157</v>
      </c>
      <c r="AD1131" s="3">
        <v>2023</v>
      </c>
      <c r="AE1131" s="3">
        <v>28</v>
      </c>
      <c r="AF1131" s="5">
        <v>0.6</v>
      </c>
      <c r="AG1131" s="3"/>
      <c r="AH1131" t="s">
        <v>112</v>
      </c>
    </row>
    <row r="1132" spans="1:34" hidden="1" x14ac:dyDescent="0.35">
      <c r="A1132" t="str">
        <f>_xlfn.CONCAT(Tableau1[[#This Row],[Athletes]],"_",Tableau1[[#This Row],[Nationality]],"_",Tableau1[[#This Row],[Competition_year]])</f>
        <v>Isaac NADER_POR_2023</v>
      </c>
      <c r="B1132" t="s">
        <v>191</v>
      </c>
      <c r="C1132" t="s">
        <v>16</v>
      </c>
      <c r="D1132" t="s">
        <v>33</v>
      </c>
      <c r="E1132">
        <v>13.88</v>
      </c>
      <c r="F1132">
        <v>14.47</v>
      </c>
      <c r="G1132">
        <v>15.5</v>
      </c>
      <c r="H1132">
        <v>14.04</v>
      </c>
      <c r="I1132">
        <v>14.83</v>
      </c>
      <c r="J1132">
        <v>14.87</v>
      </c>
      <c r="K1132">
        <v>14.8</v>
      </c>
      <c r="L1132">
        <v>14.53</v>
      </c>
      <c r="M1132">
        <v>14.37</v>
      </c>
      <c r="N1132">
        <v>14.56</v>
      </c>
      <c r="O1132">
        <v>14.36</v>
      </c>
      <c r="P1132">
        <v>13.25</v>
      </c>
      <c r="Q1132">
        <v>13.72</v>
      </c>
      <c r="R1132">
        <v>13.62</v>
      </c>
      <c r="S1132">
        <f>Tableau1[[#This Row],[Final_time]]-SUM(Tableau1[[#This Row],[0_100m]:[1300_1400m]])</f>
        <v>13.560000000000031</v>
      </c>
      <c r="T1132">
        <v>214.36</v>
      </c>
      <c r="U1132">
        <f t="shared" si="34"/>
        <v>214.36</v>
      </c>
      <c r="V1132">
        <f t="shared" si="35"/>
        <v>0</v>
      </c>
      <c r="W1132" s="12" t="s">
        <v>109</v>
      </c>
      <c r="X1132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2" t="s">
        <v>98</v>
      </c>
      <c r="Z1132" s="2" t="s">
        <v>99</v>
      </c>
      <c r="AA1132" s="2" t="s">
        <v>128</v>
      </c>
      <c r="AB1132" s="2" t="s">
        <v>65</v>
      </c>
      <c r="AC1132" s="2">
        <v>45157</v>
      </c>
      <c r="AD1132" s="3">
        <v>2023</v>
      </c>
      <c r="AE1132" s="3">
        <v>28</v>
      </c>
      <c r="AF1132" s="5">
        <v>0.6</v>
      </c>
      <c r="AG1132" s="3"/>
      <c r="AH1132" t="s">
        <v>112</v>
      </c>
    </row>
    <row r="1133" spans="1:34" hidden="1" x14ac:dyDescent="0.35">
      <c r="A1133" t="str">
        <f>_xlfn.CONCAT(Tableau1[[#This Row],[Athletes]],"_",Tableau1[[#This Row],[Nationality]],"_",Tableau1[[#This Row],[Competition_year]])</f>
        <v>Adel MECHAAL_ESP_2023</v>
      </c>
      <c r="B1133" t="s">
        <v>190</v>
      </c>
      <c r="C1133" t="s">
        <v>16</v>
      </c>
      <c r="D1133" t="s">
        <v>22</v>
      </c>
      <c r="E1133">
        <v>14.29</v>
      </c>
      <c r="F1133">
        <v>14.27</v>
      </c>
      <c r="G1133">
        <v>14.65</v>
      </c>
      <c r="H1133">
        <v>14.88</v>
      </c>
      <c r="I1133">
        <v>14.95</v>
      </c>
      <c r="J1133">
        <v>15.36</v>
      </c>
      <c r="K1133">
        <v>13.99</v>
      </c>
      <c r="L1133">
        <v>14.75</v>
      </c>
      <c r="M1133">
        <v>14.28</v>
      </c>
      <c r="N1133">
        <v>14.66</v>
      </c>
      <c r="O1133">
        <v>13.65</v>
      </c>
      <c r="P1133">
        <v>13.72</v>
      </c>
      <c r="Q1133">
        <v>13.87</v>
      </c>
      <c r="R1133">
        <v>13.34</v>
      </c>
      <c r="S1133">
        <f>Tableau1[[#This Row],[Final_time]]-SUM(Tableau1[[#This Row],[0_100m]:[1300_1400m]])</f>
        <v>13.689999999999998</v>
      </c>
      <c r="T1133">
        <v>214.35</v>
      </c>
      <c r="U1133">
        <f t="shared" si="34"/>
        <v>214.35</v>
      </c>
      <c r="V1133">
        <f t="shared" si="35"/>
        <v>0</v>
      </c>
      <c r="W1133" s="12" t="s">
        <v>109</v>
      </c>
      <c r="X1133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3" t="s">
        <v>98</v>
      </c>
      <c r="Z1133" s="2" t="s">
        <v>99</v>
      </c>
      <c r="AA1133" s="2" t="s">
        <v>128</v>
      </c>
      <c r="AB1133" s="2" t="s">
        <v>65</v>
      </c>
      <c r="AC1133" s="2">
        <v>45157</v>
      </c>
      <c r="AD1133" s="3">
        <v>2023</v>
      </c>
      <c r="AE1133" s="3">
        <v>28</v>
      </c>
      <c r="AF1133" s="5">
        <v>0.6</v>
      </c>
      <c r="AG1133" s="3"/>
      <c r="AH1133" t="s">
        <v>112</v>
      </c>
    </row>
    <row r="1134" spans="1:34" hidden="1" x14ac:dyDescent="0.35">
      <c r="A1134" t="str">
        <f>_xlfn.CONCAT(Tableau1[[#This Row],[Athletes]],"_",Tableau1[[#This Row],[Nationality]],"_",Tableau1[[#This Row],[Competition_year]])</f>
        <v>Tom ELMER_SUI_2023</v>
      </c>
      <c r="B1134" t="s">
        <v>199</v>
      </c>
      <c r="C1134" t="s">
        <v>16</v>
      </c>
      <c r="D1134" t="s">
        <v>87</v>
      </c>
      <c r="E1134">
        <v>13.61</v>
      </c>
      <c r="F1134">
        <v>14.67</v>
      </c>
      <c r="G1134">
        <v>14.87</v>
      </c>
      <c r="H1134">
        <v>14.67</v>
      </c>
      <c r="I1134">
        <v>14.68</v>
      </c>
      <c r="J1134">
        <v>15.1</v>
      </c>
      <c r="K1134">
        <v>14.46</v>
      </c>
      <c r="L1134">
        <v>14.69</v>
      </c>
      <c r="M1134">
        <v>14.64</v>
      </c>
      <c r="N1134">
        <v>32.61</v>
      </c>
      <c r="O1134">
        <v>15.39</v>
      </c>
      <c r="P1134">
        <v>14.03</v>
      </c>
      <c r="Q1134">
        <v>14.24</v>
      </c>
      <c r="R1134">
        <v>13.76</v>
      </c>
      <c r="S1134">
        <f>Tableau1[[#This Row],[Final_time]]-SUM(Tableau1[[#This Row],[0_100m]:[1300_1400m]])</f>
        <v>14.300000000000011</v>
      </c>
      <c r="T1134">
        <v>235.72</v>
      </c>
      <c r="U1134">
        <f t="shared" si="34"/>
        <v>235.72</v>
      </c>
      <c r="V1134">
        <f t="shared" si="35"/>
        <v>0</v>
      </c>
      <c r="W1134" s="12" t="s">
        <v>116</v>
      </c>
      <c r="X1134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4" t="s">
        <v>98</v>
      </c>
      <c r="Z1134" s="2" t="s">
        <v>99</v>
      </c>
      <c r="AA1134" s="2" t="s">
        <v>128</v>
      </c>
      <c r="AB1134" s="2" t="s">
        <v>65</v>
      </c>
      <c r="AC1134" s="2">
        <v>45157</v>
      </c>
      <c r="AD1134" s="3">
        <v>2023</v>
      </c>
      <c r="AE1134" s="3">
        <v>28</v>
      </c>
      <c r="AF1134" s="5">
        <v>0.6</v>
      </c>
      <c r="AG1134" s="3"/>
      <c r="AH1134" t="s">
        <v>112</v>
      </c>
    </row>
    <row r="1135" spans="1:34" hidden="1" x14ac:dyDescent="0.35">
      <c r="A1135" t="str">
        <f>_xlfn.CONCAT(Tableau1[[#This Row],[Athletes]],"_",Tableau1[[#This Row],[Nationality]],"_",Tableau1[[#This Row],[Competition_year]])</f>
        <v>Yervand MKRTCHYAN_ARM_2023</v>
      </c>
      <c r="B1135" t="s">
        <v>196</v>
      </c>
      <c r="C1135" t="s">
        <v>16</v>
      </c>
      <c r="D1135" t="s">
        <v>115</v>
      </c>
      <c r="E1135">
        <v>14.08</v>
      </c>
      <c r="F1135">
        <v>14.91</v>
      </c>
      <c r="G1135">
        <v>15.61</v>
      </c>
      <c r="H1135">
        <v>14.04</v>
      </c>
      <c r="I1135">
        <v>14.76</v>
      </c>
      <c r="J1135">
        <v>14.99</v>
      </c>
      <c r="K1135">
        <v>15.45</v>
      </c>
      <c r="L1135">
        <v>14.06</v>
      </c>
      <c r="M1135">
        <v>14.52</v>
      </c>
      <c r="N1135">
        <v>15.08</v>
      </c>
      <c r="O1135">
        <v>14.88</v>
      </c>
      <c r="P1135">
        <v>13.4</v>
      </c>
      <c r="Q1135">
        <v>14.38</v>
      </c>
      <c r="R1135">
        <v>14.76</v>
      </c>
      <c r="S1135">
        <f>Tableau1[[#This Row],[Final_time]]-SUM(Tableau1[[#This Row],[0_100m]:[1300_1400m]])</f>
        <v>14.429999999999978</v>
      </c>
      <c r="T1135">
        <v>219.35</v>
      </c>
      <c r="U1135">
        <f t="shared" si="34"/>
        <v>219.35</v>
      </c>
      <c r="V1135">
        <f t="shared" si="35"/>
        <v>0</v>
      </c>
      <c r="W1135" s="12"/>
      <c r="X1135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5" t="s">
        <v>98</v>
      </c>
      <c r="Z1135" s="2" t="s">
        <v>99</v>
      </c>
      <c r="AA1135" s="2" t="s">
        <v>128</v>
      </c>
      <c r="AB1135" s="2" t="s">
        <v>65</v>
      </c>
      <c r="AC1135" s="2">
        <v>45157</v>
      </c>
      <c r="AD1135" s="3">
        <v>2023</v>
      </c>
      <c r="AE1135" s="3">
        <v>28</v>
      </c>
      <c r="AF1135" s="5">
        <v>0.6</v>
      </c>
      <c r="AG1135" s="3"/>
      <c r="AH1135" t="s">
        <v>112</v>
      </c>
    </row>
    <row r="1136" spans="1:34" hidden="1" x14ac:dyDescent="0.35">
      <c r="A1136" t="str">
        <f>_xlfn.CONCAT(Tableau1[[#This Row],[Athletes]],"_",Tableau1[[#This Row],[Nationality]],"_",Tableau1[[#This Row],[Competition_year]])</f>
        <v>Samuel ZELEKE_ETH_2023</v>
      </c>
      <c r="B1136" t="s">
        <v>193</v>
      </c>
      <c r="C1136" t="s">
        <v>16</v>
      </c>
      <c r="D1136" t="s">
        <v>48</v>
      </c>
      <c r="E1136">
        <v>14.62</v>
      </c>
      <c r="F1136">
        <v>14.26</v>
      </c>
      <c r="G1136">
        <v>14.69</v>
      </c>
      <c r="H1136">
        <v>14.62</v>
      </c>
      <c r="I1136">
        <v>13.99</v>
      </c>
      <c r="J1136">
        <v>14.7</v>
      </c>
      <c r="K1136">
        <v>15.2</v>
      </c>
      <c r="L1136">
        <v>14.22</v>
      </c>
      <c r="M1136">
        <v>14.87</v>
      </c>
      <c r="N1136">
        <v>14.9</v>
      </c>
      <c r="O1136">
        <v>14.44</v>
      </c>
      <c r="P1136">
        <v>13.53</v>
      </c>
      <c r="Q1136">
        <v>13.92</v>
      </c>
      <c r="R1136">
        <v>14.14</v>
      </c>
      <c r="S1136">
        <f>Tableau1[[#This Row],[Final_time]]-SUM(Tableau1[[#This Row],[0_100m]:[1300_1400m]])</f>
        <v>14.470000000000027</v>
      </c>
      <c r="T1136">
        <v>216.57</v>
      </c>
      <c r="U1136">
        <f t="shared" si="34"/>
        <v>216.57</v>
      </c>
      <c r="V1136">
        <f t="shared" si="35"/>
        <v>0</v>
      </c>
      <c r="W1136" s="12"/>
      <c r="X1136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6" t="s">
        <v>98</v>
      </c>
      <c r="Z1136" s="2" t="s">
        <v>99</v>
      </c>
      <c r="AA1136" s="2" t="s">
        <v>128</v>
      </c>
      <c r="AB1136" s="2" t="s">
        <v>65</v>
      </c>
      <c r="AC1136" s="2">
        <v>45157</v>
      </c>
      <c r="AD1136" s="3">
        <v>2023</v>
      </c>
      <c r="AE1136" s="3">
        <v>28</v>
      </c>
      <c r="AF1136" s="5">
        <v>0.6</v>
      </c>
      <c r="AG1136" s="3"/>
      <c r="AH1136" t="s">
        <v>112</v>
      </c>
    </row>
    <row r="1137" spans="1:34" hidden="1" x14ac:dyDescent="0.35">
      <c r="A1137" t="str">
        <f>_xlfn.CONCAT(Tableau1[[#This Row],[Athletes]],"_",Tableau1[[#This Row],[Nationality]],"_",Tableau1[[#This Row],[Competition_year]])</f>
        <v>Abraham GUEM_SSD_2023</v>
      </c>
      <c r="B1137" t="s">
        <v>194</v>
      </c>
      <c r="C1137" t="s">
        <v>16</v>
      </c>
      <c r="D1137" t="s">
        <v>114</v>
      </c>
      <c r="E1137">
        <v>14.44</v>
      </c>
      <c r="F1137">
        <v>16.18</v>
      </c>
      <c r="G1137">
        <v>13.21</v>
      </c>
      <c r="H1137">
        <v>14.71</v>
      </c>
      <c r="I1137">
        <v>14.7</v>
      </c>
      <c r="J1137">
        <v>14.96</v>
      </c>
      <c r="K1137">
        <v>14.59</v>
      </c>
      <c r="L1137">
        <v>14.66</v>
      </c>
      <c r="M1137">
        <v>14.42</v>
      </c>
      <c r="N1137">
        <v>15.12</v>
      </c>
      <c r="O1137">
        <v>14.13</v>
      </c>
      <c r="P1137">
        <v>14.03</v>
      </c>
      <c r="Q1137">
        <v>13.95</v>
      </c>
      <c r="R1137">
        <v>14.17</v>
      </c>
      <c r="S1137">
        <f>Tableau1[[#This Row],[Final_time]]-SUM(Tableau1[[#This Row],[0_100m]:[1300_1400m]])</f>
        <v>14.580000000000041</v>
      </c>
      <c r="T1137">
        <v>217.85</v>
      </c>
      <c r="U1137">
        <f t="shared" si="34"/>
        <v>217.85</v>
      </c>
      <c r="V1137">
        <f t="shared" si="35"/>
        <v>0</v>
      </c>
      <c r="W1137" s="12"/>
      <c r="X1137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7" t="s">
        <v>98</v>
      </c>
      <c r="Z1137" s="2" t="s">
        <v>99</v>
      </c>
      <c r="AA1137" s="2" t="s">
        <v>128</v>
      </c>
      <c r="AB1137" s="2" t="s">
        <v>65</v>
      </c>
      <c r="AC1137" s="2">
        <v>45157</v>
      </c>
      <c r="AD1137" s="3">
        <v>2023</v>
      </c>
      <c r="AE1137" s="3">
        <v>28</v>
      </c>
      <c r="AF1137" s="5">
        <v>0.6</v>
      </c>
      <c r="AG1137" s="3"/>
      <c r="AH1137" t="s">
        <v>112</v>
      </c>
    </row>
    <row r="1138" spans="1:34" hidden="1" x14ac:dyDescent="0.35">
      <c r="A1138" t="str">
        <f>_xlfn.CONCAT(Tableau1[[#This Row],[Athletes]],"_",Tableau1[[#This Row],[Nationality]],"_",Tableau1[[#This Row],[Competition_year]])</f>
        <v>Matthew RAMSDEN_AUS_2023</v>
      </c>
      <c r="B1138" t="s">
        <v>198</v>
      </c>
      <c r="C1138" t="s">
        <v>16</v>
      </c>
      <c r="D1138" t="s">
        <v>21</v>
      </c>
      <c r="E1138">
        <v>14.83</v>
      </c>
      <c r="F1138">
        <v>14.96</v>
      </c>
      <c r="G1138">
        <v>14.05</v>
      </c>
      <c r="H1138">
        <v>14.9</v>
      </c>
      <c r="I1138">
        <v>14.73</v>
      </c>
      <c r="J1138">
        <v>14.78</v>
      </c>
      <c r="K1138">
        <v>14.86</v>
      </c>
      <c r="L1138">
        <v>14.52</v>
      </c>
      <c r="M1138">
        <v>14.42</v>
      </c>
      <c r="N1138">
        <v>18.21</v>
      </c>
      <c r="O1138">
        <v>14.93</v>
      </c>
      <c r="P1138">
        <v>15.24</v>
      </c>
      <c r="Q1138">
        <v>15.42</v>
      </c>
      <c r="R1138">
        <v>15.45</v>
      </c>
      <c r="S1138">
        <f>Tableau1[[#This Row],[Final_time]]-SUM(Tableau1[[#This Row],[0_100m]:[1300_1400m]])</f>
        <v>15.150000000000006</v>
      </c>
      <c r="T1138">
        <v>226.45</v>
      </c>
      <c r="U1138">
        <f t="shared" si="34"/>
        <v>226.45</v>
      </c>
      <c r="V1138">
        <f t="shared" si="35"/>
        <v>0</v>
      </c>
      <c r="W1138" s="12" t="s">
        <v>116</v>
      </c>
      <c r="X1138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8" t="s">
        <v>98</v>
      </c>
      <c r="Z1138" s="2" t="s">
        <v>99</v>
      </c>
      <c r="AA1138" s="2" t="s">
        <v>128</v>
      </c>
      <c r="AB1138" s="2" t="s">
        <v>65</v>
      </c>
      <c r="AC1138" s="2">
        <v>45157</v>
      </c>
      <c r="AD1138" s="3">
        <v>2023</v>
      </c>
      <c r="AE1138" s="3">
        <v>28</v>
      </c>
      <c r="AF1138" s="5">
        <v>0.6</v>
      </c>
      <c r="AG1138" s="3"/>
      <c r="AH1138" t="s">
        <v>112</v>
      </c>
    </row>
    <row r="1139" spans="1:34" hidden="1" x14ac:dyDescent="0.35">
      <c r="A1139" t="str">
        <f>_xlfn.CONCAT(Tableau1[[#This Row],[Athletes]],"_",Tableau1[[#This Row],[Nationality]],"_",Tableau1[[#This Row],[Competition_year]])</f>
        <v>Nicholas GRIGGS_IRL_2023</v>
      </c>
      <c r="B1139" t="s">
        <v>197</v>
      </c>
      <c r="C1139" t="s">
        <v>16</v>
      </c>
      <c r="D1139" t="s">
        <v>35</v>
      </c>
      <c r="E1139">
        <v>14.39</v>
      </c>
      <c r="F1139">
        <v>15.07</v>
      </c>
      <c r="G1139">
        <v>14.41</v>
      </c>
      <c r="H1139">
        <v>14.53</v>
      </c>
      <c r="I1139">
        <v>14.67</v>
      </c>
      <c r="J1139">
        <v>14.89</v>
      </c>
      <c r="K1139">
        <v>16.52</v>
      </c>
      <c r="L1139">
        <v>12.98</v>
      </c>
      <c r="M1139">
        <v>14.25</v>
      </c>
      <c r="N1139">
        <v>15.37</v>
      </c>
      <c r="O1139">
        <v>13.69</v>
      </c>
      <c r="P1139">
        <v>14.18</v>
      </c>
      <c r="Q1139">
        <v>14.78</v>
      </c>
      <c r="R1139">
        <v>15.13</v>
      </c>
      <c r="S1139">
        <f>Tableau1[[#This Row],[Final_time]]-SUM(Tableau1[[#This Row],[0_100m]:[1300_1400m]])</f>
        <v>15.859999999999985</v>
      </c>
      <c r="T1139">
        <v>220.72</v>
      </c>
      <c r="U1139">
        <f t="shared" si="34"/>
        <v>220.72</v>
      </c>
      <c r="V1139">
        <f t="shared" si="35"/>
        <v>0</v>
      </c>
      <c r="W1139" s="12"/>
      <c r="X1139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39" t="s">
        <v>98</v>
      </c>
      <c r="Z1139" s="2" t="s">
        <v>99</v>
      </c>
      <c r="AA1139" s="2" t="s">
        <v>128</v>
      </c>
      <c r="AB1139" s="2" t="s">
        <v>65</v>
      </c>
      <c r="AC1139" s="2">
        <v>45157</v>
      </c>
      <c r="AD1139" s="3">
        <v>2023</v>
      </c>
      <c r="AE1139" s="3">
        <v>28</v>
      </c>
      <c r="AF1139" s="5">
        <v>0.6</v>
      </c>
      <c r="AG1139" s="3"/>
      <c r="AH1139" t="s">
        <v>112</v>
      </c>
    </row>
    <row r="1140" spans="1:34" hidden="1" x14ac:dyDescent="0.35">
      <c r="A1140" t="str">
        <f>_xlfn.CONCAT(Tableau1[[#This Row],[Athletes]],"_",Tableau1[[#This Row],[Nationality]],"_",Tableau1[[#This Row],[Competition_year]])</f>
        <v>Emil DANIELSSON_SWE_2023</v>
      </c>
      <c r="B1140" t="s">
        <v>200</v>
      </c>
      <c r="C1140" t="s">
        <v>16</v>
      </c>
      <c r="D1140" t="s">
        <v>56</v>
      </c>
      <c r="E1140">
        <v>14.4</v>
      </c>
      <c r="F1140">
        <v>14.76</v>
      </c>
      <c r="G1140">
        <v>14.14</v>
      </c>
      <c r="H1140">
        <v>14.64</v>
      </c>
      <c r="I1140">
        <v>14.67</v>
      </c>
      <c r="J1140">
        <v>14.72</v>
      </c>
      <c r="K1140">
        <v>14.69</v>
      </c>
      <c r="L1140">
        <v>14.98</v>
      </c>
      <c r="M1140">
        <v>14.49</v>
      </c>
      <c r="N1140">
        <v>33.729999999999997</v>
      </c>
      <c r="O1140">
        <v>14.28</v>
      </c>
      <c r="P1140">
        <v>13.99</v>
      </c>
      <c r="Q1140">
        <v>14.26</v>
      </c>
      <c r="R1140">
        <v>14.08</v>
      </c>
      <c r="S1140">
        <f>Tableau1[[#This Row],[Final_time]]-SUM(Tableau1[[#This Row],[0_100m]:[1300_1400m]])</f>
        <v>15.869999999999976</v>
      </c>
      <c r="T1140">
        <v>237.7</v>
      </c>
      <c r="U1140">
        <f t="shared" si="34"/>
        <v>237.7</v>
      </c>
      <c r="V1140">
        <f t="shared" si="35"/>
        <v>0</v>
      </c>
      <c r="W1140" s="12" t="s">
        <v>116</v>
      </c>
      <c r="X1140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40" t="s">
        <v>98</v>
      </c>
      <c r="Z1140" s="2" t="s">
        <v>99</v>
      </c>
      <c r="AA1140" s="2" t="s">
        <v>128</v>
      </c>
      <c r="AB1140" s="2" t="s">
        <v>65</v>
      </c>
      <c r="AC1140" s="2">
        <v>45157</v>
      </c>
      <c r="AD1140" s="3">
        <v>2023</v>
      </c>
      <c r="AE1140" s="3">
        <v>28</v>
      </c>
      <c r="AF1140" s="5">
        <v>0.6</v>
      </c>
      <c r="AG1140" s="3"/>
      <c r="AH1140" t="s">
        <v>112</v>
      </c>
    </row>
    <row r="1141" spans="1:34" hidden="1" x14ac:dyDescent="0.35">
      <c r="A1141" t="str">
        <f>_xlfn.CONCAT(Tableau1[[#This Row],[Athletes]],"_",Tableau1[[#This Row],[Nationality]],"_",Tableau1[[#This Row],[Competition_year]])</f>
        <v>Ryan MPHAHLELE_RSA_2023</v>
      </c>
      <c r="B1141" t="s">
        <v>195</v>
      </c>
      <c r="C1141" t="s">
        <v>16</v>
      </c>
      <c r="D1141" t="s">
        <v>36</v>
      </c>
      <c r="E1141">
        <v>13.55</v>
      </c>
      <c r="F1141">
        <v>14.56</v>
      </c>
      <c r="G1141">
        <v>14.59</v>
      </c>
      <c r="H1141">
        <v>14.87</v>
      </c>
      <c r="I1141">
        <v>14.48</v>
      </c>
      <c r="J1141">
        <v>14.87</v>
      </c>
      <c r="K1141">
        <v>14.49</v>
      </c>
      <c r="L1141">
        <v>14.7</v>
      </c>
      <c r="M1141">
        <v>14.8</v>
      </c>
      <c r="N1141">
        <v>14.63</v>
      </c>
      <c r="O1141">
        <v>15.27</v>
      </c>
      <c r="P1141">
        <v>13.07</v>
      </c>
      <c r="Q1141">
        <v>13.84</v>
      </c>
      <c r="R1141">
        <v>15.23</v>
      </c>
      <c r="S1141">
        <f>Tableau1[[#This Row],[Final_time]]-SUM(Tableau1[[#This Row],[0_100m]:[1300_1400m]])</f>
        <v>16.210000000000008</v>
      </c>
      <c r="T1141">
        <v>219.16</v>
      </c>
      <c r="U1141">
        <f t="shared" si="34"/>
        <v>219.16</v>
      </c>
      <c r="V1141">
        <f t="shared" si="35"/>
        <v>0</v>
      </c>
      <c r="W1141" s="12"/>
      <c r="X1141" t="str">
        <f>_xlfn.CONCAT(Tableau1[[#This Row],[Competition]],"_",Tableau1[[#This Row],[Championship_step]],"_",Tableau1[[#This Row],[Competition_date]],"_",Tableau1[[#This Row],[Gender]])</f>
        <v>World Championships Budapest 2023_Heat 1_45157_Male</v>
      </c>
      <c r="Y1141" t="s">
        <v>98</v>
      </c>
      <c r="Z1141" s="2" t="s">
        <v>99</v>
      </c>
      <c r="AA1141" s="2" t="s">
        <v>128</v>
      </c>
      <c r="AB1141" s="2" t="s">
        <v>65</v>
      </c>
      <c r="AC1141" s="2">
        <v>45157</v>
      </c>
      <c r="AD1141" s="3">
        <v>2023</v>
      </c>
      <c r="AE1141" s="3">
        <v>28</v>
      </c>
      <c r="AF1141" s="5">
        <v>0.6</v>
      </c>
      <c r="AG1141" s="3"/>
      <c r="AH1141" t="s">
        <v>112</v>
      </c>
    </row>
    <row r="1142" spans="1:34" hidden="1" x14ac:dyDescent="0.35">
      <c r="A1142" t="str">
        <f>_xlfn.CONCAT(Tableau1[[#This Row],[Athletes]],"_",Tableau1[[#This Row],[Nationality]],"_",Tableau1[[#This Row],[Competition_year]])</f>
        <v>Sarah HEALY_IRL_2023</v>
      </c>
      <c r="B1142" t="s">
        <v>166</v>
      </c>
      <c r="C1142" t="s">
        <v>47</v>
      </c>
      <c r="D1142" t="s">
        <v>35</v>
      </c>
      <c r="E1142">
        <v>15.52</v>
      </c>
      <c r="F1142">
        <v>17.29</v>
      </c>
      <c r="G1142">
        <v>18.559999999999999</v>
      </c>
      <c r="H1142">
        <v>16.190000000000001</v>
      </c>
      <c r="I1142">
        <v>17.010000000000002</v>
      </c>
      <c r="J1142">
        <v>17.12</v>
      </c>
      <c r="K1142">
        <v>16.95</v>
      </c>
      <c r="L1142">
        <v>16.64</v>
      </c>
      <c r="M1142">
        <v>16.27</v>
      </c>
      <c r="N1142">
        <v>16.260000000000002</v>
      </c>
      <c r="O1142">
        <v>15.39</v>
      </c>
      <c r="P1142">
        <v>15.45</v>
      </c>
      <c r="Q1142">
        <v>14.76</v>
      </c>
      <c r="R1142">
        <v>15.29</v>
      </c>
      <c r="S1142">
        <f>Tableau1[[#This Row],[Final_time]]-SUM(Tableau1[[#This Row],[0_100m]:[1300_1400m]])</f>
        <v>14.299999999999983</v>
      </c>
      <c r="T1142">
        <v>243</v>
      </c>
      <c r="U1142">
        <f t="shared" si="34"/>
        <v>243</v>
      </c>
      <c r="V1142">
        <f t="shared" si="35"/>
        <v>0</v>
      </c>
      <c r="W1142" s="12" t="s">
        <v>109</v>
      </c>
      <c r="X1142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2" t="s">
        <v>98</v>
      </c>
      <c r="Z1142" s="2" t="s">
        <v>99</v>
      </c>
      <c r="AA1142" s="2" t="s">
        <v>129</v>
      </c>
      <c r="AB1142" s="2" t="s">
        <v>65</v>
      </c>
      <c r="AC1142" s="2">
        <v>45157</v>
      </c>
      <c r="AD1142" s="3">
        <v>2023</v>
      </c>
      <c r="AE1142" s="3">
        <v>29</v>
      </c>
      <c r="AF1142" s="5">
        <v>0.6</v>
      </c>
      <c r="AG1142" s="3"/>
      <c r="AH1142" t="s">
        <v>100</v>
      </c>
    </row>
    <row r="1143" spans="1:34" hidden="1" x14ac:dyDescent="0.35">
      <c r="A1143" t="str">
        <f>_xlfn.CONCAT(Tableau1[[#This Row],[Athletes]],"_",Tableau1[[#This Row],[Nationality]],"_",Tableau1[[#This Row],[Competition_year]])</f>
        <v>Faith KIPYEGON_KEN_2023</v>
      </c>
      <c r="B1143" t="s">
        <v>164</v>
      </c>
      <c r="C1143" t="s">
        <v>47</v>
      </c>
      <c r="D1143" t="s">
        <v>17</v>
      </c>
      <c r="E1143">
        <v>15.34</v>
      </c>
      <c r="F1143">
        <v>17.39</v>
      </c>
      <c r="G1143">
        <v>17.399999999999999</v>
      </c>
      <c r="H1143">
        <v>17.3</v>
      </c>
      <c r="I1143">
        <v>17.05</v>
      </c>
      <c r="J1143">
        <v>17.29</v>
      </c>
      <c r="K1143">
        <v>17</v>
      </c>
      <c r="L1143">
        <v>16.29</v>
      </c>
      <c r="M1143">
        <v>16.37</v>
      </c>
      <c r="N1143">
        <v>16.43</v>
      </c>
      <c r="O1143">
        <v>15.39</v>
      </c>
      <c r="P1143">
        <v>15.27</v>
      </c>
      <c r="Q1143">
        <v>14.83</v>
      </c>
      <c r="R1143">
        <v>14.89</v>
      </c>
      <c r="S1143">
        <f>Tableau1[[#This Row],[Final_time]]-SUM(Tableau1[[#This Row],[0_100m]:[1300_1400m]])</f>
        <v>14.379999999999995</v>
      </c>
      <c r="T1143">
        <v>242.62</v>
      </c>
      <c r="U1143">
        <f t="shared" si="34"/>
        <v>242.62</v>
      </c>
      <c r="V1143">
        <f t="shared" si="35"/>
        <v>0</v>
      </c>
      <c r="W1143" s="12" t="s">
        <v>109</v>
      </c>
      <c r="X1143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3" t="s">
        <v>98</v>
      </c>
      <c r="Z1143" s="2" t="s">
        <v>99</v>
      </c>
      <c r="AA1143" s="2" t="s">
        <v>129</v>
      </c>
      <c r="AB1143" s="2" t="s">
        <v>65</v>
      </c>
      <c r="AC1143" s="2">
        <v>45157</v>
      </c>
      <c r="AD1143" s="3">
        <v>2023</v>
      </c>
      <c r="AE1143" s="3">
        <v>29</v>
      </c>
      <c r="AF1143" s="5">
        <v>0.6</v>
      </c>
      <c r="AG1143" s="3"/>
      <c r="AH1143" t="s">
        <v>100</v>
      </c>
    </row>
    <row r="1144" spans="1:34" hidden="1" x14ac:dyDescent="0.35">
      <c r="A1144" t="str">
        <f>_xlfn.CONCAT(Tableau1[[#This Row],[Athletes]],"_",Tableau1[[#This Row],[Nationality]],"_",Tableau1[[#This Row],[Competition_year]])</f>
        <v>Diribe WELTEJI_ETH_2023</v>
      </c>
      <c r="B1144" t="s">
        <v>165</v>
      </c>
      <c r="C1144" t="s">
        <v>47</v>
      </c>
      <c r="D1144" t="s">
        <v>48</v>
      </c>
      <c r="E1144">
        <v>16.02</v>
      </c>
      <c r="F1144">
        <v>18.23</v>
      </c>
      <c r="G1144">
        <v>15.96</v>
      </c>
      <c r="H1144">
        <v>17.5</v>
      </c>
      <c r="I1144">
        <v>17</v>
      </c>
      <c r="J1144">
        <v>17.13</v>
      </c>
      <c r="K1144">
        <v>16.940000000000001</v>
      </c>
      <c r="L1144">
        <v>16.61</v>
      </c>
      <c r="M1144">
        <v>16.11</v>
      </c>
      <c r="N1144">
        <v>16.27</v>
      </c>
      <c r="O1144">
        <v>15.45</v>
      </c>
      <c r="P1144">
        <v>15.37</v>
      </c>
      <c r="Q1144">
        <v>14.8</v>
      </c>
      <c r="R1144">
        <v>14.93</v>
      </c>
      <c r="S1144">
        <f>Tableau1[[#This Row],[Final_time]]-SUM(Tableau1[[#This Row],[0_100m]:[1300_1400m]])</f>
        <v>14.399999999999977</v>
      </c>
      <c r="T1144">
        <v>242.72</v>
      </c>
      <c r="U1144">
        <f t="shared" si="34"/>
        <v>242.72</v>
      </c>
      <c r="V1144">
        <f t="shared" si="35"/>
        <v>0</v>
      </c>
      <c r="W1144" s="12" t="s">
        <v>109</v>
      </c>
      <c r="X1144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4" t="s">
        <v>98</v>
      </c>
      <c r="Z1144" s="2" t="s">
        <v>99</v>
      </c>
      <c r="AA1144" s="2" t="s">
        <v>129</v>
      </c>
      <c r="AB1144" s="2" t="s">
        <v>65</v>
      </c>
      <c r="AC1144" s="2">
        <v>45157</v>
      </c>
      <c r="AD1144" s="3">
        <v>2023</v>
      </c>
      <c r="AE1144" s="3">
        <v>29</v>
      </c>
      <c r="AF1144" s="5">
        <v>0.6</v>
      </c>
      <c r="AG1144" s="3"/>
      <c r="AH1144" t="s">
        <v>100</v>
      </c>
    </row>
    <row r="1145" spans="1:34" hidden="1" x14ac:dyDescent="0.35">
      <c r="A1145" t="str">
        <f>_xlfn.CONCAT(Tableau1[[#This Row],[Athletes]],"_",Tableau1[[#This Row],[Nationality]],"_",Tableau1[[#This Row],[Competition_year]])</f>
        <v>Gaia SABBATINI_ITA_2023</v>
      </c>
      <c r="B1145" t="s">
        <v>167</v>
      </c>
      <c r="C1145" t="s">
        <v>47</v>
      </c>
      <c r="D1145" t="s">
        <v>19</v>
      </c>
      <c r="E1145">
        <v>15.42</v>
      </c>
      <c r="F1145">
        <v>18.329999999999998</v>
      </c>
      <c r="G1145">
        <v>16.579999999999998</v>
      </c>
      <c r="H1145">
        <v>17.48</v>
      </c>
      <c r="I1145">
        <v>17.010000000000002</v>
      </c>
      <c r="J1145">
        <v>17.100000000000001</v>
      </c>
      <c r="K1145">
        <v>16.86</v>
      </c>
      <c r="L1145">
        <v>16.7</v>
      </c>
      <c r="M1145">
        <v>16.25</v>
      </c>
      <c r="N1145">
        <v>16.23</v>
      </c>
      <c r="O1145">
        <v>17.14</v>
      </c>
      <c r="P1145">
        <v>13.78</v>
      </c>
      <c r="Q1145">
        <v>14.87</v>
      </c>
      <c r="R1145">
        <v>14.65</v>
      </c>
      <c r="S1145">
        <f>Tableau1[[#This Row],[Final_time]]-SUM(Tableau1[[#This Row],[0_100m]:[1300_1400m]])</f>
        <v>14.639999999999958</v>
      </c>
      <c r="T1145">
        <v>243.04</v>
      </c>
      <c r="U1145">
        <f t="shared" si="34"/>
        <v>243.04</v>
      </c>
      <c r="V1145">
        <f t="shared" si="35"/>
        <v>0</v>
      </c>
      <c r="W1145" s="12" t="s">
        <v>109</v>
      </c>
      <c r="X1145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5" t="s">
        <v>98</v>
      </c>
      <c r="Z1145" s="2" t="s">
        <v>99</v>
      </c>
      <c r="AA1145" s="2" t="s">
        <v>129</v>
      </c>
      <c r="AB1145" s="2" t="s">
        <v>65</v>
      </c>
      <c r="AC1145" s="2">
        <v>45157</v>
      </c>
      <c r="AD1145" s="3">
        <v>2023</v>
      </c>
      <c r="AE1145" s="3">
        <v>29</v>
      </c>
      <c r="AF1145" s="5">
        <v>0.6</v>
      </c>
      <c r="AG1145" s="3"/>
      <c r="AH1145" t="s">
        <v>100</v>
      </c>
    </row>
    <row r="1146" spans="1:34" hidden="1" x14ac:dyDescent="0.35">
      <c r="A1146" t="str">
        <f>_xlfn.CONCAT(Tableau1[[#This Row],[Athletes]],"_",Tableau1[[#This Row],[Nationality]],"_",Tableau1[[#This Row],[Competition_year]])</f>
        <v>Melissa COURTNEY-BRYANT_GBR_2023</v>
      </c>
      <c r="B1146" t="s">
        <v>168</v>
      </c>
      <c r="C1146" t="s">
        <v>47</v>
      </c>
      <c r="D1146" t="s">
        <v>20</v>
      </c>
      <c r="E1146">
        <v>15.39</v>
      </c>
      <c r="F1146">
        <v>17.16</v>
      </c>
      <c r="G1146">
        <v>17.48</v>
      </c>
      <c r="H1146">
        <v>17.45</v>
      </c>
      <c r="I1146">
        <v>17.02</v>
      </c>
      <c r="J1146">
        <v>17.11</v>
      </c>
      <c r="K1146">
        <v>17.03</v>
      </c>
      <c r="L1146">
        <v>16.52</v>
      </c>
      <c r="M1146">
        <v>16.36</v>
      </c>
      <c r="N1146">
        <v>16.14</v>
      </c>
      <c r="O1146">
        <v>15.78</v>
      </c>
      <c r="P1146">
        <v>15.32</v>
      </c>
      <c r="Q1146">
        <v>14.81</v>
      </c>
      <c r="R1146">
        <v>14.83</v>
      </c>
      <c r="S1146">
        <f>Tableau1[[#This Row],[Final_time]]-SUM(Tableau1[[#This Row],[0_100m]:[1300_1400m]])</f>
        <v>14.740000000000009</v>
      </c>
      <c r="T1146">
        <v>243.14</v>
      </c>
      <c r="U1146">
        <f t="shared" si="34"/>
        <v>243.14</v>
      </c>
      <c r="V1146">
        <f t="shared" si="35"/>
        <v>0</v>
      </c>
      <c r="W1146" s="12" t="s">
        <v>109</v>
      </c>
      <c r="X1146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6" t="s">
        <v>98</v>
      </c>
      <c r="Z1146" s="2" t="s">
        <v>99</v>
      </c>
      <c r="AA1146" s="2" t="s">
        <v>129</v>
      </c>
      <c r="AB1146" s="2" t="s">
        <v>65</v>
      </c>
      <c r="AC1146" s="2">
        <v>45157</v>
      </c>
      <c r="AD1146" s="3">
        <v>2023</v>
      </c>
      <c r="AE1146" s="3">
        <v>29</v>
      </c>
      <c r="AF1146" s="5">
        <v>0.6</v>
      </c>
      <c r="AG1146" s="3"/>
      <c r="AH1146" t="s">
        <v>100</v>
      </c>
    </row>
    <row r="1147" spans="1:34" hidden="1" x14ac:dyDescent="0.35">
      <c r="A1147" t="str">
        <f>_xlfn.CONCAT(Tableau1[[#This Row],[Athletes]],"_",Tableau1[[#This Row],[Nationality]],"_",Tableau1[[#This Row],[Competition_year]])</f>
        <v>Sofia THØGERSEN_DEN_2023</v>
      </c>
      <c r="B1147" t="s">
        <v>170</v>
      </c>
      <c r="C1147" t="s">
        <v>47</v>
      </c>
      <c r="D1147" t="s">
        <v>40</v>
      </c>
      <c r="E1147">
        <v>15.99</v>
      </c>
      <c r="F1147">
        <v>18.25</v>
      </c>
      <c r="G1147">
        <v>17.260000000000002</v>
      </c>
      <c r="H1147">
        <v>17.399999999999999</v>
      </c>
      <c r="I1147">
        <v>16.98</v>
      </c>
      <c r="J1147">
        <v>16.97</v>
      </c>
      <c r="K1147">
        <v>16.84</v>
      </c>
      <c r="L1147">
        <v>16.68</v>
      </c>
      <c r="M1147">
        <v>16.21</v>
      </c>
      <c r="N1147">
        <v>16.14</v>
      </c>
      <c r="O1147">
        <v>15.7</v>
      </c>
      <c r="P1147">
        <v>15.66</v>
      </c>
      <c r="Q1147">
        <v>14.84</v>
      </c>
      <c r="R1147">
        <v>15.3</v>
      </c>
      <c r="S1147">
        <f>Tableau1[[#This Row],[Final_time]]-SUM(Tableau1[[#This Row],[0_100m]:[1300_1400m]])</f>
        <v>15.119999999999976</v>
      </c>
      <c r="T1147">
        <v>245.34</v>
      </c>
      <c r="U1147">
        <f t="shared" si="34"/>
        <v>245.34</v>
      </c>
      <c r="V1147">
        <f t="shared" si="35"/>
        <v>0</v>
      </c>
      <c r="W1147" s="12"/>
      <c r="X1147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7" t="s">
        <v>98</v>
      </c>
      <c r="Z1147" s="2" t="s">
        <v>99</v>
      </c>
      <c r="AA1147" s="2" t="s">
        <v>129</v>
      </c>
      <c r="AB1147" s="2" t="s">
        <v>65</v>
      </c>
      <c r="AC1147" s="2">
        <v>45157</v>
      </c>
      <c r="AD1147" s="3">
        <v>2023</v>
      </c>
      <c r="AE1147" s="3">
        <v>29</v>
      </c>
      <c r="AF1147" s="5">
        <v>0.6</v>
      </c>
      <c r="AG1147" s="3"/>
      <c r="AH1147" t="s">
        <v>100</v>
      </c>
    </row>
    <row r="1148" spans="1:34" hidden="1" x14ac:dyDescent="0.35">
      <c r="A1148" t="str">
        <f>_xlfn.CONCAT(Tableau1[[#This Row],[Athletes]],"_",Tableau1[[#This Row],[Nationality]],"_",Tableau1[[#This Row],[Competition_year]])</f>
        <v>Esther GUERRERO_ESP_2023</v>
      </c>
      <c r="B1148" t="s">
        <v>169</v>
      </c>
      <c r="C1148" t="s">
        <v>47</v>
      </c>
      <c r="D1148" t="s">
        <v>22</v>
      </c>
      <c r="E1148">
        <v>15.74</v>
      </c>
      <c r="F1148">
        <v>17.37</v>
      </c>
      <c r="G1148">
        <v>17.48</v>
      </c>
      <c r="H1148">
        <v>17.34</v>
      </c>
      <c r="I1148">
        <v>17</v>
      </c>
      <c r="J1148">
        <v>17.13</v>
      </c>
      <c r="K1148">
        <v>16.97</v>
      </c>
      <c r="L1148">
        <v>16.600000000000001</v>
      </c>
      <c r="M1148">
        <v>16.11</v>
      </c>
      <c r="N1148">
        <v>16.12</v>
      </c>
      <c r="O1148">
        <v>15.78</v>
      </c>
      <c r="P1148">
        <v>15.36</v>
      </c>
      <c r="Q1148">
        <v>14.89</v>
      </c>
      <c r="R1148">
        <v>14.77</v>
      </c>
      <c r="S1148">
        <f>Tableau1[[#This Row],[Final_time]]-SUM(Tableau1[[#This Row],[0_100m]:[1300_1400m]])</f>
        <v>15.670000000000016</v>
      </c>
      <c r="T1148">
        <v>244.33</v>
      </c>
      <c r="U1148">
        <f t="shared" si="34"/>
        <v>244.33</v>
      </c>
      <c r="V1148">
        <f t="shared" si="35"/>
        <v>0</v>
      </c>
      <c r="W1148" s="12" t="s">
        <v>109</v>
      </c>
      <c r="X1148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8" t="s">
        <v>98</v>
      </c>
      <c r="Z1148" s="2" t="s">
        <v>99</v>
      </c>
      <c r="AA1148" s="2" t="s">
        <v>129</v>
      </c>
      <c r="AB1148" s="2" t="s">
        <v>65</v>
      </c>
      <c r="AC1148" s="2">
        <v>45157</v>
      </c>
      <c r="AD1148" s="3">
        <v>2023</v>
      </c>
      <c r="AE1148" s="3">
        <v>29</v>
      </c>
      <c r="AF1148" s="5">
        <v>0.6</v>
      </c>
      <c r="AG1148" s="3"/>
      <c r="AH1148" t="s">
        <v>100</v>
      </c>
    </row>
    <row r="1149" spans="1:34" hidden="1" x14ac:dyDescent="0.35">
      <c r="A1149" t="str">
        <f>_xlfn.CONCAT(Tableau1[[#This Row],[Athletes]],"_",Tableau1[[#This Row],[Nationality]],"_",Tableau1[[#This Row],[Competition_year]])</f>
        <v>Hanna HERMANSSON_SWE_2023</v>
      </c>
      <c r="B1149" t="s">
        <v>173</v>
      </c>
      <c r="C1149" t="s">
        <v>47</v>
      </c>
      <c r="D1149" t="s">
        <v>56</v>
      </c>
      <c r="E1149">
        <v>16.239999999999998</v>
      </c>
      <c r="F1149">
        <v>17.670000000000002</v>
      </c>
      <c r="G1149">
        <v>18.420000000000002</v>
      </c>
      <c r="H1149">
        <v>16.34</v>
      </c>
      <c r="I1149">
        <v>16.91</v>
      </c>
      <c r="J1149">
        <v>17.170000000000002</v>
      </c>
      <c r="K1149">
        <v>18.940000000000001</v>
      </c>
      <c r="L1149">
        <v>14.49</v>
      </c>
      <c r="M1149">
        <v>16.21</v>
      </c>
      <c r="N1149">
        <v>16.09</v>
      </c>
      <c r="O1149">
        <v>15.77</v>
      </c>
      <c r="P1149">
        <v>15.9</v>
      </c>
      <c r="Q1149">
        <v>14.99</v>
      </c>
      <c r="R1149">
        <v>15.1</v>
      </c>
      <c r="S1149">
        <f>Tableau1[[#This Row],[Final_time]]-SUM(Tableau1[[#This Row],[0_100m]:[1300_1400m]])</f>
        <v>16.17999999999995</v>
      </c>
      <c r="T1149">
        <v>246.42</v>
      </c>
      <c r="U1149">
        <f t="shared" si="34"/>
        <v>246.42</v>
      </c>
      <c r="V1149">
        <f t="shared" si="35"/>
        <v>0</v>
      </c>
      <c r="W1149" s="12"/>
      <c r="X1149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49" t="s">
        <v>98</v>
      </c>
      <c r="Z1149" s="2" t="s">
        <v>99</v>
      </c>
      <c r="AA1149" s="2" t="s">
        <v>129</v>
      </c>
      <c r="AB1149" s="2" t="s">
        <v>65</v>
      </c>
      <c r="AC1149" s="2">
        <v>45157</v>
      </c>
      <c r="AD1149" s="3">
        <v>2023</v>
      </c>
      <c r="AE1149" s="3">
        <v>29</v>
      </c>
      <c r="AF1149" s="5">
        <v>0.6</v>
      </c>
      <c r="AG1149" s="3"/>
      <c r="AH1149" t="s">
        <v>100</v>
      </c>
    </row>
    <row r="1150" spans="1:34" hidden="1" x14ac:dyDescent="0.35">
      <c r="A1150" t="str">
        <f>_xlfn.CONCAT(Tableau1[[#This Row],[Athletes]],"_",Tableau1[[#This Row],[Nationality]],"_",Tableau1[[#This Row],[Competition_year]])</f>
        <v>Agathe GUILLEMOT_FRA_2023</v>
      </c>
      <c r="B1150" t="s">
        <v>171</v>
      </c>
      <c r="C1150" t="s">
        <v>47</v>
      </c>
      <c r="D1150" t="s">
        <v>18</v>
      </c>
      <c r="E1150">
        <v>15.77</v>
      </c>
      <c r="F1150">
        <v>17.27</v>
      </c>
      <c r="G1150">
        <v>18.809999999999999</v>
      </c>
      <c r="H1150">
        <v>16.28</v>
      </c>
      <c r="I1150">
        <v>17.07</v>
      </c>
      <c r="J1150">
        <v>17.45</v>
      </c>
      <c r="K1150">
        <v>16.739999999999998</v>
      </c>
      <c r="L1150">
        <v>16.420000000000002</v>
      </c>
      <c r="M1150">
        <v>16.190000000000001</v>
      </c>
      <c r="N1150">
        <v>16.66</v>
      </c>
      <c r="O1150">
        <v>15.2</v>
      </c>
      <c r="P1150">
        <v>15.39</v>
      </c>
      <c r="Q1150">
        <v>15.18</v>
      </c>
      <c r="R1150">
        <v>15.5</v>
      </c>
      <c r="S1150">
        <f>Tableau1[[#This Row],[Final_time]]-SUM(Tableau1[[#This Row],[0_100m]:[1300_1400m]])</f>
        <v>16.25</v>
      </c>
      <c r="T1150">
        <v>246.18</v>
      </c>
      <c r="U1150">
        <f t="shared" si="34"/>
        <v>246.18</v>
      </c>
      <c r="V1150">
        <f t="shared" si="35"/>
        <v>0</v>
      </c>
      <c r="W1150" s="12"/>
      <c r="X1150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50" t="s">
        <v>98</v>
      </c>
      <c r="Z1150" s="2" t="s">
        <v>99</v>
      </c>
      <c r="AA1150" s="2" t="s">
        <v>129</v>
      </c>
      <c r="AB1150" s="2" t="s">
        <v>65</v>
      </c>
      <c r="AC1150" s="2">
        <v>45157</v>
      </c>
      <c r="AD1150" s="3">
        <v>2023</v>
      </c>
      <c r="AE1150" s="3">
        <v>29</v>
      </c>
      <c r="AF1150" s="5">
        <v>0.6</v>
      </c>
      <c r="AG1150" s="3"/>
      <c r="AH1150" t="s">
        <v>100</v>
      </c>
    </row>
    <row r="1151" spans="1:34" hidden="1" x14ac:dyDescent="0.35">
      <c r="A1151" t="str">
        <f>_xlfn.CONCAT(Tableau1[[#This Row],[Athletes]],"_",Tableau1[[#This Row],[Nationality]],"_",Tableau1[[#This Row],[Competition_year]])</f>
        <v>Salomé AFONSO_POR_2023</v>
      </c>
      <c r="B1151" t="s">
        <v>174</v>
      </c>
      <c r="C1151" t="s">
        <v>47</v>
      </c>
      <c r="D1151" t="s">
        <v>33</v>
      </c>
      <c r="E1151">
        <v>15.92</v>
      </c>
      <c r="F1151">
        <v>17.34</v>
      </c>
      <c r="G1151">
        <v>17.59</v>
      </c>
      <c r="H1151">
        <v>17.41</v>
      </c>
      <c r="I1151">
        <v>17.05</v>
      </c>
      <c r="J1151">
        <v>17.239999999999998</v>
      </c>
      <c r="K1151">
        <v>16.97</v>
      </c>
      <c r="L1151">
        <v>16.59</v>
      </c>
      <c r="M1151">
        <v>16.079999999999998</v>
      </c>
      <c r="N1151">
        <v>16.25</v>
      </c>
      <c r="O1151">
        <v>15.85</v>
      </c>
      <c r="P1151">
        <v>15.14</v>
      </c>
      <c r="Q1151">
        <v>15.3</v>
      </c>
      <c r="R1151">
        <v>15.5</v>
      </c>
      <c r="S1151">
        <f>Tableau1[[#This Row],[Final_time]]-SUM(Tableau1[[#This Row],[0_100m]:[1300_1400m]])</f>
        <v>16.319999999999993</v>
      </c>
      <c r="T1151">
        <v>246.55</v>
      </c>
      <c r="U1151">
        <f t="shared" si="34"/>
        <v>246.55</v>
      </c>
      <c r="V1151">
        <f t="shared" si="35"/>
        <v>0</v>
      </c>
      <c r="W1151" s="12"/>
      <c r="X1151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51" t="s">
        <v>98</v>
      </c>
      <c r="Z1151" s="2" t="s">
        <v>99</v>
      </c>
      <c r="AA1151" s="2" t="s">
        <v>129</v>
      </c>
      <c r="AB1151" s="2" t="s">
        <v>65</v>
      </c>
      <c r="AC1151" s="2">
        <v>45157</v>
      </c>
      <c r="AD1151" s="3">
        <v>2023</v>
      </c>
      <c r="AE1151" s="3">
        <v>29</v>
      </c>
      <c r="AF1151" s="5">
        <v>0.6</v>
      </c>
      <c r="AG1151" s="3"/>
      <c r="AH1151" t="s">
        <v>100</v>
      </c>
    </row>
    <row r="1152" spans="1:34" hidden="1" x14ac:dyDescent="0.35">
      <c r="A1152" t="str">
        <f>_xlfn.CONCAT(Tableau1[[#This Row],[Athletes]],"_",Tableau1[[#This Row],[Nationality]],"_",Tableau1[[#This Row],[Competition_year]])</f>
        <v>Aleksandra PŁOCIŃSKA_POL_2023</v>
      </c>
      <c r="B1152" t="s">
        <v>172</v>
      </c>
      <c r="C1152" t="s">
        <v>47</v>
      </c>
      <c r="D1152" t="s">
        <v>83</v>
      </c>
      <c r="E1152">
        <v>15.63</v>
      </c>
      <c r="F1152">
        <v>17.32</v>
      </c>
      <c r="G1152">
        <v>17.489999999999998</v>
      </c>
      <c r="H1152">
        <v>17.54</v>
      </c>
      <c r="I1152">
        <v>17</v>
      </c>
      <c r="J1152">
        <v>17.23</v>
      </c>
      <c r="K1152">
        <v>18.309999999999999</v>
      </c>
      <c r="L1152">
        <v>15.2</v>
      </c>
      <c r="M1152">
        <v>16.2</v>
      </c>
      <c r="N1152">
        <v>16.18</v>
      </c>
      <c r="O1152">
        <v>15.64</v>
      </c>
      <c r="P1152">
        <v>15.38</v>
      </c>
      <c r="Q1152">
        <v>15.12</v>
      </c>
      <c r="R1152">
        <v>15.71</v>
      </c>
      <c r="S1152">
        <f>Tableau1[[#This Row],[Final_time]]-SUM(Tableau1[[#This Row],[0_100m]:[1300_1400m]])</f>
        <v>16.439999999999969</v>
      </c>
      <c r="T1152">
        <v>246.39</v>
      </c>
      <c r="U1152">
        <f t="shared" si="34"/>
        <v>246.39</v>
      </c>
      <c r="V1152">
        <f t="shared" si="35"/>
        <v>0</v>
      </c>
      <c r="W1152" s="12"/>
      <c r="X1152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52" t="s">
        <v>98</v>
      </c>
      <c r="Z1152" s="2" t="s">
        <v>99</v>
      </c>
      <c r="AA1152" s="2" t="s">
        <v>129</v>
      </c>
      <c r="AB1152" s="2" t="s">
        <v>65</v>
      </c>
      <c r="AC1152" s="2">
        <v>45157</v>
      </c>
      <c r="AD1152" s="3">
        <v>2023</v>
      </c>
      <c r="AE1152" s="3">
        <v>29</v>
      </c>
      <c r="AF1152" s="5">
        <v>0.6</v>
      </c>
      <c r="AG1152" s="3"/>
      <c r="AH1152" t="s">
        <v>100</v>
      </c>
    </row>
    <row r="1153" spans="1:34" hidden="1" x14ac:dyDescent="0.35">
      <c r="A1153" t="str">
        <f>_xlfn.CONCAT(Tableau1[[#This Row],[Athletes]],"_",Tableau1[[#This Row],[Nationality]],"_",Tableau1[[#This Row],[Competition_year]])</f>
        <v>Lili Anna VINDICS-TÓTH_HUN_2023</v>
      </c>
      <c r="B1153" t="s">
        <v>176</v>
      </c>
      <c r="C1153" t="s">
        <v>47</v>
      </c>
      <c r="D1153" t="s">
        <v>105</v>
      </c>
      <c r="E1153">
        <v>16.5</v>
      </c>
      <c r="F1153">
        <v>17.61</v>
      </c>
      <c r="G1153">
        <v>18.010000000000002</v>
      </c>
      <c r="H1153">
        <v>17.12</v>
      </c>
      <c r="I1153">
        <v>16.84</v>
      </c>
      <c r="J1153">
        <v>17.149999999999999</v>
      </c>
      <c r="K1153">
        <v>17.43</v>
      </c>
      <c r="L1153">
        <v>15.94</v>
      </c>
      <c r="M1153">
        <v>15.96</v>
      </c>
      <c r="N1153">
        <v>16.920000000000002</v>
      </c>
      <c r="O1153">
        <v>15.65</v>
      </c>
      <c r="P1153">
        <v>16.329999999999998</v>
      </c>
      <c r="Q1153">
        <v>16.510000000000002</v>
      </c>
      <c r="R1153">
        <v>16.649999999999999</v>
      </c>
      <c r="S1153">
        <f>Tableau1[[#This Row],[Final_time]]-SUM(Tableau1[[#This Row],[0_100m]:[1300_1400m]])</f>
        <v>16.45999999999998</v>
      </c>
      <c r="T1153">
        <v>251.08</v>
      </c>
      <c r="U1153">
        <f t="shared" si="34"/>
        <v>251.08</v>
      </c>
      <c r="V1153">
        <f t="shared" si="35"/>
        <v>0</v>
      </c>
      <c r="W1153" s="12"/>
      <c r="X1153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53" t="s">
        <v>98</v>
      </c>
      <c r="Z1153" s="2" t="s">
        <v>99</v>
      </c>
      <c r="AA1153" s="2" t="s">
        <v>129</v>
      </c>
      <c r="AB1153" s="2" t="s">
        <v>65</v>
      </c>
      <c r="AC1153" s="2">
        <v>45157</v>
      </c>
      <c r="AD1153" s="3">
        <v>2023</v>
      </c>
      <c r="AE1153" s="3">
        <v>29</v>
      </c>
      <c r="AF1153" s="5">
        <v>0.6</v>
      </c>
      <c r="AG1153" s="3"/>
      <c r="AH1153" t="s">
        <v>100</v>
      </c>
    </row>
    <row r="1154" spans="1:34" hidden="1" x14ac:dyDescent="0.35">
      <c r="A1154" t="str">
        <f>_xlfn.CONCAT(Tableau1[[#This Row],[Athletes]],"_",Tableau1[[#This Row],[Nationality]],"_",Tableau1[[#This Row],[Competition_year]])</f>
        <v>Carina VILJOEN_RSA_2023</v>
      </c>
      <c r="B1154" t="s">
        <v>175</v>
      </c>
      <c r="C1154" t="s">
        <v>47</v>
      </c>
      <c r="D1154" t="s">
        <v>36</v>
      </c>
      <c r="E1154">
        <v>15.75</v>
      </c>
      <c r="F1154">
        <v>17.68</v>
      </c>
      <c r="G1154">
        <v>18.86</v>
      </c>
      <c r="H1154">
        <v>15.97</v>
      </c>
      <c r="I1154">
        <v>17.2</v>
      </c>
      <c r="J1154">
        <v>17.059999999999999</v>
      </c>
      <c r="K1154">
        <v>16.82</v>
      </c>
      <c r="L1154">
        <v>16.61</v>
      </c>
      <c r="M1154">
        <v>16.25</v>
      </c>
      <c r="N1154">
        <v>16.190000000000001</v>
      </c>
      <c r="O1154">
        <v>15.73</v>
      </c>
      <c r="P1154">
        <v>15.87</v>
      </c>
      <c r="Q1154">
        <v>16.55</v>
      </c>
      <c r="R1154">
        <v>17.059999999999999</v>
      </c>
      <c r="S1154">
        <f>Tableau1[[#This Row],[Final_time]]-SUM(Tableau1[[#This Row],[0_100m]:[1300_1400m]])</f>
        <v>17.420000000000016</v>
      </c>
      <c r="T1154">
        <v>251.02</v>
      </c>
      <c r="U1154">
        <f t="shared" ref="U1154:U1217" si="36">SUM(E1154:S1154)</f>
        <v>251.02</v>
      </c>
      <c r="V1154">
        <f t="shared" ref="V1154:V1217" si="37">ABS(U1154-T1154)</f>
        <v>0</v>
      </c>
      <c r="W1154" s="12"/>
      <c r="X1154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54" t="s">
        <v>98</v>
      </c>
      <c r="Z1154" s="2" t="s">
        <v>99</v>
      </c>
      <c r="AA1154" s="2" t="s">
        <v>129</v>
      </c>
      <c r="AB1154" s="2" t="s">
        <v>65</v>
      </c>
      <c r="AC1154" s="2">
        <v>45157</v>
      </c>
      <c r="AD1154" s="3">
        <v>2023</v>
      </c>
      <c r="AE1154" s="3">
        <v>29</v>
      </c>
      <c r="AF1154" s="5">
        <v>0.6</v>
      </c>
      <c r="AG1154" s="3"/>
      <c r="AH1154" t="s">
        <v>100</v>
      </c>
    </row>
    <row r="1155" spans="1:34" hidden="1" x14ac:dyDescent="0.35">
      <c r="A1155" t="str">
        <f>_xlfn.CONCAT(Tableau1[[#This Row],[Athletes]],"_",Tableau1[[#This Row],[Nationality]],"_",Tableau1[[#This Row],[Competition_year]])</f>
        <v>Elise VANDERELST_BEL_2023</v>
      </c>
      <c r="B1155" t="s">
        <v>177</v>
      </c>
      <c r="C1155" t="s">
        <v>47</v>
      </c>
      <c r="D1155" t="s">
        <v>86</v>
      </c>
      <c r="E1155">
        <v>15.55</v>
      </c>
      <c r="F1155">
        <v>17.62</v>
      </c>
      <c r="G1155">
        <v>18.309999999999999</v>
      </c>
      <c r="H1155">
        <v>16.649999999999999</v>
      </c>
      <c r="I1155">
        <v>16.97</v>
      </c>
      <c r="J1155">
        <v>17.39</v>
      </c>
      <c r="K1155">
        <v>16.739999999999998</v>
      </c>
      <c r="L1155">
        <v>16.760000000000002</v>
      </c>
      <c r="M1155">
        <v>16.18</v>
      </c>
      <c r="N1155">
        <v>16.329999999999998</v>
      </c>
      <c r="O1155">
        <v>15.9</v>
      </c>
      <c r="P1155">
        <v>15.67</v>
      </c>
      <c r="Q1155">
        <v>16.14</v>
      </c>
      <c r="R1155">
        <v>17.53</v>
      </c>
      <c r="S1155">
        <f>Tableau1[[#This Row],[Final_time]]-SUM(Tableau1[[#This Row],[0_100m]:[1300_1400m]])</f>
        <v>17.810000000000031</v>
      </c>
      <c r="T1155">
        <v>251.55</v>
      </c>
      <c r="U1155">
        <f t="shared" si="36"/>
        <v>251.55</v>
      </c>
      <c r="V1155">
        <f t="shared" si="37"/>
        <v>0</v>
      </c>
      <c r="W1155" s="12"/>
      <c r="X1155" t="str">
        <f>_xlfn.CONCAT(Tableau1[[#This Row],[Competition]],"_",Tableau1[[#This Row],[Championship_step]],"_",Tableau1[[#This Row],[Competition_date]],"_",Tableau1[[#This Row],[Gender]])</f>
        <v>World Championships Budapest 2023_Heat 2_45157_Female</v>
      </c>
      <c r="Y1155" t="s">
        <v>98</v>
      </c>
      <c r="Z1155" s="2" t="s">
        <v>99</v>
      </c>
      <c r="AA1155" s="2" t="s">
        <v>129</v>
      </c>
      <c r="AB1155" s="2" t="s">
        <v>65</v>
      </c>
      <c r="AC1155" s="2">
        <v>45157</v>
      </c>
      <c r="AD1155" s="3">
        <v>2023</v>
      </c>
      <c r="AE1155" s="3">
        <v>29</v>
      </c>
      <c r="AF1155" s="5">
        <v>0.6</v>
      </c>
      <c r="AG1155" s="3"/>
      <c r="AH1155" t="s">
        <v>100</v>
      </c>
    </row>
    <row r="1156" spans="1:34" hidden="1" x14ac:dyDescent="0.35">
      <c r="A1156" t="str">
        <f>_xlfn.CONCAT(Tableau1[[#This Row],[Athletes]],"_",Tableau1[[#This Row],[Nationality]],"_",Tableau1[[#This Row],[Competition_year]])</f>
        <v>Tshepo TSHITE_RSA_2023</v>
      </c>
      <c r="B1156" t="s">
        <v>201</v>
      </c>
      <c r="C1156" t="s">
        <v>16</v>
      </c>
      <c r="D1156" t="s">
        <v>36</v>
      </c>
      <c r="E1156">
        <v>13.48</v>
      </c>
      <c r="F1156">
        <v>16.2</v>
      </c>
      <c r="G1156">
        <v>20.16</v>
      </c>
      <c r="H1156">
        <v>16.010000000000002</v>
      </c>
      <c r="I1156">
        <v>18.38</v>
      </c>
      <c r="J1156">
        <v>18.16</v>
      </c>
      <c r="K1156">
        <v>15.63</v>
      </c>
      <c r="L1156">
        <v>14.77</v>
      </c>
      <c r="M1156">
        <v>14.33</v>
      </c>
      <c r="N1156">
        <v>14.39</v>
      </c>
      <c r="O1156">
        <v>13.77</v>
      </c>
      <c r="P1156">
        <v>13.26</v>
      </c>
      <c r="Q1156">
        <v>12.73</v>
      </c>
      <c r="R1156">
        <v>13.01</v>
      </c>
      <c r="S1156">
        <f>Tableau1[[#This Row],[Final_time]]-SUM(Tableau1[[#This Row],[0_100m]:[1300_1400m]])</f>
        <v>12.510000000000019</v>
      </c>
      <c r="T1156">
        <v>226.79</v>
      </c>
      <c r="U1156">
        <f t="shared" si="36"/>
        <v>226.79</v>
      </c>
      <c r="V1156">
        <f t="shared" si="37"/>
        <v>0</v>
      </c>
      <c r="W1156" s="12" t="s">
        <v>109</v>
      </c>
      <c r="X1156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56" t="s">
        <v>98</v>
      </c>
      <c r="Z1156" s="2" t="s">
        <v>99</v>
      </c>
      <c r="AA1156" s="2" t="s">
        <v>129</v>
      </c>
      <c r="AB1156" s="2" t="s">
        <v>65</v>
      </c>
      <c r="AC1156" s="2">
        <v>45157</v>
      </c>
      <c r="AD1156" s="3">
        <v>2023</v>
      </c>
      <c r="AE1156" s="3">
        <v>28</v>
      </c>
      <c r="AF1156" s="5">
        <v>0.6</v>
      </c>
      <c r="AG1156" s="3"/>
      <c r="AH1156" t="s">
        <v>112</v>
      </c>
    </row>
    <row r="1157" spans="1:34" hidden="1" x14ac:dyDescent="0.35">
      <c r="A1157" t="str">
        <f>_xlfn.CONCAT(Tableau1[[#This Row],[Athletes]],"_",Tableau1[[#This Row],[Nationality]],"_",Tableau1[[#This Row],[Competition_year]])</f>
        <v>Mario GARCÍA_ESP_2023</v>
      </c>
      <c r="B1157" t="s">
        <v>117</v>
      </c>
      <c r="C1157" t="s">
        <v>16</v>
      </c>
      <c r="D1157" t="s">
        <v>22</v>
      </c>
      <c r="E1157">
        <v>13.97</v>
      </c>
      <c r="F1157">
        <v>15.99</v>
      </c>
      <c r="G1157">
        <v>18.059999999999999</v>
      </c>
      <c r="H1157">
        <v>18.21</v>
      </c>
      <c r="I1157">
        <v>17.670000000000002</v>
      </c>
      <c r="J1157">
        <v>17.559999999999999</v>
      </c>
      <c r="K1157">
        <v>15.84</v>
      </c>
      <c r="L1157">
        <v>14.85</v>
      </c>
      <c r="M1157">
        <v>14.49</v>
      </c>
      <c r="N1157">
        <v>13.86</v>
      </c>
      <c r="O1157">
        <v>15.23</v>
      </c>
      <c r="P1157">
        <v>11.73</v>
      </c>
      <c r="Q1157">
        <v>13.13</v>
      </c>
      <c r="R1157">
        <v>13.51</v>
      </c>
      <c r="S1157">
        <f>Tableau1[[#This Row],[Final_time]]-SUM(Tableau1[[#This Row],[0_100m]:[1300_1400m]])</f>
        <v>12.670000000000044</v>
      </c>
      <c r="T1157">
        <v>226.77</v>
      </c>
      <c r="U1157">
        <f t="shared" si="36"/>
        <v>226.77</v>
      </c>
      <c r="V1157">
        <f t="shared" si="37"/>
        <v>0</v>
      </c>
      <c r="W1157" s="12" t="s">
        <v>109</v>
      </c>
      <c r="X1157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57" t="s">
        <v>98</v>
      </c>
      <c r="Z1157" s="2" t="s">
        <v>99</v>
      </c>
      <c r="AA1157" s="2" t="s">
        <v>129</v>
      </c>
      <c r="AB1157" s="2" t="s">
        <v>65</v>
      </c>
      <c r="AC1157" s="2">
        <v>45157</v>
      </c>
      <c r="AD1157" s="3">
        <v>2023</v>
      </c>
      <c r="AE1157" s="3">
        <v>28</v>
      </c>
      <c r="AF1157" s="5">
        <v>0.6</v>
      </c>
      <c r="AG1157" s="3"/>
      <c r="AH1157" t="s">
        <v>112</v>
      </c>
    </row>
    <row r="1158" spans="1:34" hidden="1" x14ac:dyDescent="0.35">
      <c r="A1158" t="str">
        <f>_xlfn.CONCAT(Tableau1[[#This Row],[Athletes]],"_",Tableau1[[#This Row],[Nationality]],"_",Tableau1[[#This Row],[Competition_year]])</f>
        <v>Neil GOURLEY_GBR_2023</v>
      </c>
      <c r="B1158" t="s">
        <v>202</v>
      </c>
      <c r="C1158" t="s">
        <v>16</v>
      </c>
      <c r="D1158" t="s">
        <v>20</v>
      </c>
      <c r="E1158">
        <v>13.5</v>
      </c>
      <c r="F1158">
        <v>16.079999999999998</v>
      </c>
      <c r="G1158">
        <v>17.829999999999998</v>
      </c>
      <c r="H1158">
        <v>18.079999999999998</v>
      </c>
      <c r="I1158">
        <v>18.260000000000002</v>
      </c>
      <c r="J1158">
        <v>17.59</v>
      </c>
      <c r="K1158">
        <v>17.3</v>
      </c>
      <c r="L1158">
        <v>13.72</v>
      </c>
      <c r="M1158">
        <v>14.43</v>
      </c>
      <c r="N1158">
        <v>14.2</v>
      </c>
      <c r="O1158">
        <v>13.39</v>
      </c>
      <c r="P1158">
        <v>13.67</v>
      </c>
      <c r="Q1158">
        <v>12.97</v>
      </c>
      <c r="R1158">
        <v>13.17</v>
      </c>
      <c r="S1158">
        <f>Tableau1[[#This Row],[Final_time]]-SUM(Tableau1[[#This Row],[0_100m]:[1300_1400m]])</f>
        <v>12.680000000000035</v>
      </c>
      <c r="T1158">
        <v>226.87</v>
      </c>
      <c r="U1158">
        <f t="shared" si="36"/>
        <v>226.87</v>
      </c>
      <c r="V1158">
        <f t="shared" si="37"/>
        <v>0</v>
      </c>
      <c r="W1158" s="12" t="s">
        <v>109</v>
      </c>
      <c r="X1158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58" t="s">
        <v>98</v>
      </c>
      <c r="Z1158" s="2" t="s">
        <v>99</v>
      </c>
      <c r="AA1158" s="2" t="s">
        <v>129</v>
      </c>
      <c r="AB1158" s="2" t="s">
        <v>65</v>
      </c>
      <c r="AC1158" s="2">
        <v>45157</v>
      </c>
      <c r="AD1158" s="3">
        <v>2023</v>
      </c>
      <c r="AE1158" s="3">
        <v>28</v>
      </c>
      <c r="AF1158" s="5">
        <v>0.6</v>
      </c>
      <c r="AG1158" s="3"/>
      <c r="AH1158" t="s">
        <v>112</v>
      </c>
    </row>
    <row r="1159" spans="1:34" hidden="1" x14ac:dyDescent="0.35">
      <c r="A1159" t="str">
        <f>_xlfn.CONCAT(Tableau1[[#This Row],[Athletes]],"_",Tableau1[[#This Row],[Nationality]],"_",Tableau1[[#This Row],[Competition_year]])</f>
        <v>Julian RANC_FRA_2023</v>
      </c>
      <c r="B1159" t="s">
        <v>213</v>
      </c>
      <c r="C1159" t="s">
        <v>16</v>
      </c>
      <c r="D1159" t="s">
        <v>18</v>
      </c>
      <c r="E1159">
        <v>13.74</v>
      </c>
      <c r="F1159">
        <v>16</v>
      </c>
      <c r="G1159">
        <v>17.72</v>
      </c>
      <c r="H1159">
        <v>18.190000000000001</v>
      </c>
      <c r="I1159">
        <v>18.22</v>
      </c>
      <c r="J1159">
        <v>17.48</v>
      </c>
      <c r="K1159">
        <v>17.350000000000001</v>
      </c>
      <c r="L1159">
        <v>13.79</v>
      </c>
      <c r="M1159">
        <v>14.08</v>
      </c>
      <c r="N1159">
        <v>14.43</v>
      </c>
      <c r="O1159">
        <v>13.03</v>
      </c>
      <c r="P1159">
        <v>13.67</v>
      </c>
      <c r="Q1159">
        <v>13.12</v>
      </c>
      <c r="R1159">
        <v>14.93</v>
      </c>
      <c r="S1159">
        <f>Tableau1[[#This Row],[Final_time]]-SUM(Tableau1[[#This Row],[0_100m]:[1300_1400m]])</f>
        <v>12.879999999999967</v>
      </c>
      <c r="T1159">
        <v>228.63</v>
      </c>
      <c r="U1159">
        <f t="shared" si="36"/>
        <v>228.63</v>
      </c>
      <c r="V1159">
        <f t="shared" si="37"/>
        <v>0</v>
      </c>
      <c r="W1159" s="12"/>
      <c r="X1159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59" t="s">
        <v>98</v>
      </c>
      <c r="Z1159" s="2" t="s">
        <v>99</v>
      </c>
      <c r="AA1159" s="2" t="s">
        <v>129</v>
      </c>
      <c r="AB1159" s="2" t="s">
        <v>65</v>
      </c>
      <c r="AC1159" s="2">
        <v>45157</v>
      </c>
      <c r="AD1159" s="3">
        <v>2023</v>
      </c>
      <c r="AE1159" s="3">
        <v>28</v>
      </c>
      <c r="AF1159" s="5">
        <v>0.6</v>
      </c>
      <c r="AG1159" s="3"/>
      <c r="AH1159" t="s">
        <v>112</v>
      </c>
    </row>
    <row r="1160" spans="1:34" hidden="1" x14ac:dyDescent="0.35">
      <c r="A1160" t="str">
        <f>_xlfn.CONCAT(Tableau1[[#This Row],[Athletes]],"_",Tableau1[[#This Row],[Nationality]],"_",Tableau1[[#This Row],[Competition_year]])</f>
        <v>Samuel TANNER_NZL_2023</v>
      </c>
      <c r="B1160" t="s">
        <v>203</v>
      </c>
      <c r="C1160" t="s">
        <v>16</v>
      </c>
      <c r="D1160" t="s">
        <v>118</v>
      </c>
      <c r="E1160">
        <v>13.52</v>
      </c>
      <c r="F1160">
        <v>16.2</v>
      </c>
      <c r="G1160">
        <v>18.45</v>
      </c>
      <c r="H1160">
        <v>17.43</v>
      </c>
      <c r="I1160">
        <v>18.28</v>
      </c>
      <c r="J1160">
        <v>17.73</v>
      </c>
      <c r="K1160">
        <v>16.13</v>
      </c>
      <c r="L1160">
        <v>14.89</v>
      </c>
      <c r="M1160">
        <v>13.98</v>
      </c>
      <c r="N1160">
        <v>14.09</v>
      </c>
      <c r="O1160">
        <v>14.58</v>
      </c>
      <c r="P1160">
        <v>12.36</v>
      </c>
      <c r="Q1160">
        <v>12.99</v>
      </c>
      <c r="R1160">
        <v>13.29</v>
      </c>
      <c r="S1160">
        <f>Tableau1[[#This Row],[Final_time]]-SUM(Tableau1[[#This Row],[0_100m]:[1300_1400m]])</f>
        <v>13.010000000000019</v>
      </c>
      <c r="T1160">
        <v>226.93</v>
      </c>
      <c r="U1160">
        <f t="shared" si="36"/>
        <v>226.93</v>
      </c>
      <c r="V1160">
        <f t="shared" si="37"/>
        <v>0</v>
      </c>
      <c r="W1160" s="12" t="s">
        <v>109</v>
      </c>
      <c r="X1160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0" t="s">
        <v>98</v>
      </c>
      <c r="Z1160" s="2" t="s">
        <v>99</v>
      </c>
      <c r="AA1160" s="2" t="s">
        <v>129</v>
      </c>
      <c r="AB1160" s="2" t="s">
        <v>65</v>
      </c>
      <c r="AC1160" s="2">
        <v>45157</v>
      </c>
      <c r="AD1160" s="3">
        <v>2023</v>
      </c>
      <c r="AE1160" s="3">
        <v>28</v>
      </c>
      <c r="AF1160" s="5">
        <v>0.6</v>
      </c>
      <c r="AG1160" s="3"/>
      <c r="AH1160" t="s">
        <v>112</v>
      </c>
    </row>
    <row r="1161" spans="1:34" hidden="1" x14ac:dyDescent="0.35">
      <c r="A1161" t="str">
        <f>_xlfn.CONCAT(Tableau1[[#This Row],[Athletes]],"_",Tableau1[[#This Row],[Nationality]],"_",Tableau1[[#This Row],[Competition_year]])</f>
        <v>Joonas RINNE_FIN_2023</v>
      </c>
      <c r="B1161" t="s">
        <v>206</v>
      </c>
      <c r="C1161" t="s">
        <v>16</v>
      </c>
      <c r="D1161" t="s">
        <v>119</v>
      </c>
      <c r="E1161">
        <v>13.83</v>
      </c>
      <c r="F1161">
        <v>15.97</v>
      </c>
      <c r="G1161">
        <v>20.79</v>
      </c>
      <c r="H1161">
        <v>15.55</v>
      </c>
      <c r="I1161">
        <v>18.170000000000002</v>
      </c>
      <c r="J1161">
        <v>17.510000000000002</v>
      </c>
      <c r="K1161">
        <v>16.239999999999998</v>
      </c>
      <c r="L1161">
        <v>15</v>
      </c>
      <c r="M1161">
        <v>13.71</v>
      </c>
      <c r="N1161">
        <v>14.26</v>
      </c>
      <c r="O1161">
        <v>13.09</v>
      </c>
      <c r="P1161">
        <v>13.62</v>
      </c>
      <c r="Q1161">
        <v>13.13</v>
      </c>
      <c r="R1161">
        <v>13.26</v>
      </c>
      <c r="S1161">
        <f>Tableau1[[#This Row],[Final_time]]-SUM(Tableau1[[#This Row],[0_100m]:[1300_1400m]])</f>
        <v>13.030000000000001</v>
      </c>
      <c r="T1161">
        <v>227.16</v>
      </c>
      <c r="U1161">
        <f t="shared" si="36"/>
        <v>227.16</v>
      </c>
      <c r="V1161">
        <f t="shared" si="37"/>
        <v>0</v>
      </c>
      <c r="W1161" s="12"/>
      <c r="X1161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1" t="s">
        <v>98</v>
      </c>
      <c r="Z1161" s="2" t="s">
        <v>99</v>
      </c>
      <c r="AA1161" s="2" t="s">
        <v>129</v>
      </c>
      <c r="AB1161" s="2" t="s">
        <v>65</v>
      </c>
      <c r="AC1161" s="2">
        <v>45157</v>
      </c>
      <c r="AD1161" s="3">
        <v>2023</v>
      </c>
      <c r="AE1161" s="3">
        <v>28</v>
      </c>
      <c r="AF1161" s="5">
        <v>0.6</v>
      </c>
      <c r="AG1161" s="3"/>
      <c r="AH1161" t="s">
        <v>112</v>
      </c>
    </row>
    <row r="1162" spans="1:34" hidden="1" x14ac:dyDescent="0.35">
      <c r="A1162" t="str">
        <f>_xlfn.CONCAT(Tableau1[[#This Row],[Athletes]],"_",Tableau1[[#This Row],[Nationality]],"_",Tableau1[[#This Row],[Competition_year]])</f>
        <v>Joe WASKOM_USA_2023</v>
      </c>
      <c r="B1162" t="s">
        <v>207</v>
      </c>
      <c r="C1162" t="s">
        <v>16</v>
      </c>
      <c r="D1162" t="s">
        <v>51</v>
      </c>
      <c r="E1162">
        <v>13.61</v>
      </c>
      <c r="F1162">
        <v>15.9</v>
      </c>
      <c r="G1162">
        <v>17.760000000000002</v>
      </c>
      <c r="H1162">
        <v>18.489999999999998</v>
      </c>
      <c r="I1162">
        <v>18.3</v>
      </c>
      <c r="J1162">
        <v>17.489999999999998</v>
      </c>
      <c r="K1162">
        <v>16.07</v>
      </c>
      <c r="L1162">
        <v>15.04</v>
      </c>
      <c r="M1162">
        <v>14.17</v>
      </c>
      <c r="N1162">
        <v>14.06</v>
      </c>
      <c r="O1162">
        <v>13.33</v>
      </c>
      <c r="P1162">
        <v>13.75</v>
      </c>
      <c r="Q1162">
        <v>12.81</v>
      </c>
      <c r="R1162">
        <v>13.45</v>
      </c>
      <c r="S1162">
        <f>Tableau1[[#This Row],[Final_time]]-SUM(Tableau1[[#This Row],[0_100m]:[1300_1400m]])</f>
        <v>13.03000000000003</v>
      </c>
      <c r="T1162">
        <v>227.26</v>
      </c>
      <c r="U1162">
        <f t="shared" si="36"/>
        <v>227.26</v>
      </c>
      <c r="V1162">
        <f t="shared" si="37"/>
        <v>0</v>
      </c>
      <c r="W1162" s="12"/>
      <c r="X1162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2" t="s">
        <v>98</v>
      </c>
      <c r="Z1162" s="2" t="s">
        <v>99</v>
      </c>
      <c r="AA1162" s="2" t="s">
        <v>129</v>
      </c>
      <c r="AB1162" s="2" t="s">
        <v>65</v>
      </c>
      <c r="AC1162" s="2">
        <v>45157</v>
      </c>
      <c r="AD1162" s="3">
        <v>2023</v>
      </c>
      <c r="AE1162" s="3">
        <v>28</v>
      </c>
      <c r="AF1162" s="5">
        <v>0.6</v>
      </c>
      <c r="AG1162" s="3"/>
      <c r="AH1162" t="s">
        <v>112</v>
      </c>
    </row>
    <row r="1163" spans="1:34" hidden="1" x14ac:dyDescent="0.35">
      <c r="A1163" t="str">
        <f>_xlfn.CONCAT(Tableau1[[#This Row],[Athletes]],"_",Tableau1[[#This Row],[Nationality]],"_",Tableau1[[#This Row],[Competition_year]])</f>
        <v>Ruben VERHEYDEN_BEL_2023</v>
      </c>
      <c r="B1163" t="s">
        <v>204</v>
      </c>
      <c r="C1163" t="s">
        <v>16</v>
      </c>
      <c r="D1163" t="s">
        <v>86</v>
      </c>
      <c r="E1163">
        <v>15.08</v>
      </c>
      <c r="F1163">
        <v>14.55</v>
      </c>
      <c r="G1163">
        <v>18.05</v>
      </c>
      <c r="H1163">
        <v>18.16</v>
      </c>
      <c r="I1163">
        <v>18.16</v>
      </c>
      <c r="J1163">
        <v>17.399999999999999</v>
      </c>
      <c r="K1163">
        <v>15.86</v>
      </c>
      <c r="L1163">
        <v>15.04</v>
      </c>
      <c r="M1163">
        <v>14.12</v>
      </c>
      <c r="N1163">
        <v>14.29</v>
      </c>
      <c r="O1163">
        <v>13.13</v>
      </c>
      <c r="P1163">
        <v>13.51</v>
      </c>
      <c r="Q1163">
        <v>13.16</v>
      </c>
      <c r="R1163">
        <v>13.47</v>
      </c>
      <c r="S1163">
        <f>Tableau1[[#This Row],[Final_time]]-SUM(Tableau1[[#This Row],[0_100m]:[1300_1400m]])</f>
        <v>13.04000000000002</v>
      </c>
      <c r="T1163">
        <v>227.02</v>
      </c>
      <c r="U1163">
        <f t="shared" si="36"/>
        <v>227.02</v>
      </c>
      <c r="V1163">
        <f t="shared" si="37"/>
        <v>0</v>
      </c>
      <c r="W1163" s="12" t="s">
        <v>109</v>
      </c>
      <c r="X1163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3" t="s">
        <v>98</v>
      </c>
      <c r="Z1163" s="2" t="s">
        <v>99</v>
      </c>
      <c r="AA1163" s="2" t="s">
        <v>129</v>
      </c>
      <c r="AB1163" s="2" t="s">
        <v>65</v>
      </c>
      <c r="AC1163" s="2">
        <v>45157</v>
      </c>
      <c r="AD1163" s="3">
        <v>2023</v>
      </c>
      <c r="AE1163" s="3">
        <v>28</v>
      </c>
      <c r="AF1163" s="5">
        <v>0.6</v>
      </c>
      <c r="AG1163" s="3"/>
      <c r="AH1163" t="s">
        <v>112</v>
      </c>
    </row>
    <row r="1164" spans="1:34" hidden="1" x14ac:dyDescent="0.35">
      <c r="A1164" t="str">
        <f>_xlfn.CONCAT(Tableau1[[#This Row],[Athletes]],"_",Tableau1[[#This Row],[Nationality]],"_",Tableau1[[#This Row],[Competition_year]])</f>
        <v>Hicham AKANKAM_MAR_2023</v>
      </c>
      <c r="B1164" t="s">
        <v>208</v>
      </c>
      <c r="C1164" t="s">
        <v>16</v>
      </c>
      <c r="D1164" t="s">
        <v>75</v>
      </c>
      <c r="E1164">
        <v>13.58</v>
      </c>
      <c r="F1164">
        <v>15.78</v>
      </c>
      <c r="G1164">
        <v>18.05</v>
      </c>
      <c r="H1164">
        <v>18.100000000000001</v>
      </c>
      <c r="I1164">
        <v>18.25</v>
      </c>
      <c r="J1164">
        <v>17.510000000000002</v>
      </c>
      <c r="K1164">
        <v>16.12</v>
      </c>
      <c r="L1164">
        <v>15.09</v>
      </c>
      <c r="M1164">
        <v>14.24</v>
      </c>
      <c r="N1164">
        <v>14.45</v>
      </c>
      <c r="O1164">
        <v>13.14</v>
      </c>
      <c r="P1164">
        <v>13.96</v>
      </c>
      <c r="Q1164">
        <v>12.74</v>
      </c>
      <c r="R1164">
        <v>13.32</v>
      </c>
      <c r="S1164">
        <f>Tableau1[[#This Row],[Final_time]]-SUM(Tableau1[[#This Row],[0_100m]:[1300_1400m]])</f>
        <v>13.119999999999976</v>
      </c>
      <c r="T1164">
        <v>227.45</v>
      </c>
      <c r="U1164">
        <f t="shared" si="36"/>
        <v>227.45</v>
      </c>
      <c r="V1164">
        <f t="shared" si="37"/>
        <v>0</v>
      </c>
      <c r="W1164" s="12"/>
      <c r="X1164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4" t="s">
        <v>98</v>
      </c>
      <c r="Z1164" s="2" t="s">
        <v>99</v>
      </c>
      <c r="AA1164" s="2" t="s">
        <v>129</v>
      </c>
      <c r="AB1164" s="2" t="s">
        <v>65</v>
      </c>
      <c r="AC1164" s="2">
        <v>45157</v>
      </c>
      <c r="AD1164" s="3">
        <v>2023</v>
      </c>
      <c r="AE1164" s="3">
        <v>28</v>
      </c>
      <c r="AF1164" s="5">
        <v>0.6</v>
      </c>
      <c r="AG1164" s="3"/>
      <c r="AH1164" t="s">
        <v>112</v>
      </c>
    </row>
    <row r="1165" spans="1:34" hidden="1" x14ac:dyDescent="0.35">
      <c r="A1165" t="str">
        <f>_xlfn.CONCAT(Tableau1[[#This Row],[Athletes]],"_",Tableau1[[#This Row],[Nationality]],"_",Tableau1[[#This Row],[Competition_year]])</f>
        <v>Timothy CHERUIYOT_KEN_2023</v>
      </c>
      <c r="B1165" t="s">
        <v>205</v>
      </c>
      <c r="C1165" t="s">
        <v>16</v>
      </c>
      <c r="D1165" t="s">
        <v>17</v>
      </c>
      <c r="E1165">
        <v>14.22</v>
      </c>
      <c r="F1165">
        <v>15.83</v>
      </c>
      <c r="G1165">
        <v>18.03</v>
      </c>
      <c r="H1165">
        <v>18.23</v>
      </c>
      <c r="I1165">
        <v>18.18</v>
      </c>
      <c r="J1165">
        <v>17.53</v>
      </c>
      <c r="K1165">
        <v>15.21</v>
      </c>
      <c r="L1165">
        <v>14.78</v>
      </c>
      <c r="M1165">
        <v>14.4</v>
      </c>
      <c r="N1165">
        <v>14.24</v>
      </c>
      <c r="O1165">
        <v>13.15</v>
      </c>
      <c r="P1165">
        <v>13.48</v>
      </c>
      <c r="Q1165">
        <v>13.22</v>
      </c>
      <c r="R1165">
        <v>13.38</v>
      </c>
      <c r="S1165">
        <f>Tableau1[[#This Row],[Final_time]]-SUM(Tableau1[[#This Row],[0_100m]:[1300_1400m]])</f>
        <v>13.20999999999998</v>
      </c>
      <c r="T1165">
        <v>227.09</v>
      </c>
      <c r="U1165">
        <f t="shared" si="36"/>
        <v>227.09</v>
      </c>
      <c r="V1165">
        <f t="shared" si="37"/>
        <v>0</v>
      </c>
      <c r="W1165" s="12" t="s">
        <v>109</v>
      </c>
      <c r="X1165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5" t="s">
        <v>98</v>
      </c>
      <c r="Z1165" s="2" t="s">
        <v>99</v>
      </c>
      <c r="AA1165" s="2" t="s">
        <v>129</v>
      </c>
      <c r="AB1165" s="2" t="s">
        <v>65</v>
      </c>
      <c r="AC1165" s="2">
        <v>45157</v>
      </c>
      <c r="AD1165" s="3">
        <v>2023</v>
      </c>
      <c r="AE1165" s="3">
        <v>28</v>
      </c>
      <c r="AF1165" s="5">
        <v>0.6</v>
      </c>
      <c r="AG1165" s="3"/>
      <c r="AH1165" t="s">
        <v>112</v>
      </c>
    </row>
    <row r="1166" spans="1:34" hidden="1" x14ac:dyDescent="0.35">
      <c r="A1166" t="str">
        <f>_xlfn.CONCAT(Tableau1[[#This Row],[Athletes]],"_",Tableau1[[#This Row],[Nationality]],"_",Tableau1[[#This Row],[Competition_year]])</f>
        <v>Teddese LEMI_ETH_2023</v>
      </c>
      <c r="B1166" t="s">
        <v>210</v>
      </c>
      <c r="C1166" t="s">
        <v>16</v>
      </c>
      <c r="D1166" t="s">
        <v>48</v>
      </c>
      <c r="E1166">
        <v>14.25</v>
      </c>
      <c r="F1166">
        <v>16.149999999999999</v>
      </c>
      <c r="G1166">
        <v>20.11</v>
      </c>
      <c r="H1166">
        <v>16</v>
      </c>
      <c r="I1166">
        <v>18.18</v>
      </c>
      <c r="J1166">
        <v>17.45</v>
      </c>
      <c r="K1166">
        <v>16.22</v>
      </c>
      <c r="L1166">
        <v>14.79</v>
      </c>
      <c r="M1166">
        <v>14.26</v>
      </c>
      <c r="N1166">
        <v>13.93</v>
      </c>
      <c r="O1166">
        <v>13.12</v>
      </c>
      <c r="P1166">
        <v>13.35</v>
      </c>
      <c r="Q1166">
        <v>12.86</v>
      </c>
      <c r="R1166">
        <v>13.59</v>
      </c>
      <c r="S1166">
        <f>Tableau1[[#This Row],[Final_time]]-SUM(Tableau1[[#This Row],[0_100m]:[1300_1400m]])</f>
        <v>13.22999999999999</v>
      </c>
      <c r="T1166">
        <v>227.49</v>
      </c>
      <c r="U1166">
        <f t="shared" si="36"/>
        <v>227.49</v>
      </c>
      <c r="V1166">
        <f t="shared" si="37"/>
        <v>0</v>
      </c>
      <c r="W1166" s="12"/>
      <c r="X1166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6" t="s">
        <v>98</v>
      </c>
      <c r="Z1166" s="2" t="s">
        <v>99</v>
      </c>
      <c r="AA1166" s="2" t="s">
        <v>129</v>
      </c>
      <c r="AB1166" s="2" t="s">
        <v>65</v>
      </c>
      <c r="AC1166" s="2">
        <v>45157</v>
      </c>
      <c r="AD1166" s="3">
        <v>2023</v>
      </c>
      <c r="AE1166" s="3">
        <v>28</v>
      </c>
      <c r="AF1166" s="5">
        <v>0.6</v>
      </c>
      <c r="AG1166" s="3"/>
      <c r="AH1166" t="s">
        <v>112</v>
      </c>
    </row>
    <row r="1167" spans="1:34" hidden="1" x14ac:dyDescent="0.35">
      <c r="A1167" t="str">
        <f>_xlfn.CONCAT(Tableau1[[#This Row],[Athletes]],"_",Tableau1[[#This Row],[Nationality]],"_",Tableau1[[#This Row],[Competition_year]])</f>
        <v>Luke MCCANN_IRL_2023</v>
      </c>
      <c r="B1167" t="s">
        <v>209</v>
      </c>
      <c r="C1167" t="s">
        <v>16</v>
      </c>
      <c r="D1167" t="s">
        <v>35</v>
      </c>
      <c r="E1167">
        <v>14.02</v>
      </c>
      <c r="F1167">
        <v>15.91</v>
      </c>
      <c r="G1167">
        <v>17.760000000000002</v>
      </c>
      <c r="H1167">
        <v>18.440000000000001</v>
      </c>
      <c r="I1167">
        <v>18.03</v>
      </c>
      <c r="J1167">
        <v>17.39</v>
      </c>
      <c r="K1167">
        <v>15.85</v>
      </c>
      <c r="L1167">
        <v>14.96</v>
      </c>
      <c r="M1167">
        <v>14.59</v>
      </c>
      <c r="N1167">
        <v>14.16</v>
      </c>
      <c r="O1167">
        <v>13.34</v>
      </c>
      <c r="P1167">
        <v>13.55</v>
      </c>
      <c r="Q1167">
        <v>12.62</v>
      </c>
      <c r="R1167">
        <v>13.29</v>
      </c>
      <c r="S1167">
        <f>Tableau1[[#This Row],[Final_time]]-SUM(Tableau1[[#This Row],[0_100m]:[1300_1400m]])</f>
        <v>13.569999999999993</v>
      </c>
      <c r="T1167">
        <v>227.48</v>
      </c>
      <c r="U1167">
        <f t="shared" si="36"/>
        <v>227.48</v>
      </c>
      <c r="V1167">
        <f t="shared" si="37"/>
        <v>0</v>
      </c>
      <c r="W1167" s="12"/>
      <c r="X1167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7" t="s">
        <v>98</v>
      </c>
      <c r="Z1167" s="2" t="s">
        <v>99</v>
      </c>
      <c r="AA1167" s="2" t="s">
        <v>129</v>
      </c>
      <c r="AB1167" s="2" t="s">
        <v>65</v>
      </c>
      <c r="AC1167" s="2">
        <v>45157</v>
      </c>
      <c r="AD1167" s="3">
        <v>2023</v>
      </c>
      <c r="AE1167" s="3">
        <v>28</v>
      </c>
      <c r="AF1167" s="5">
        <v>0.6</v>
      </c>
      <c r="AG1167" s="3"/>
      <c r="AH1167" t="s">
        <v>112</v>
      </c>
    </row>
    <row r="1168" spans="1:34" hidden="1" x14ac:dyDescent="0.35">
      <c r="A1168" t="str">
        <f>_xlfn.CONCAT(Tableau1[[#This Row],[Athletes]],"_",Tableau1[[#This Row],[Nationality]],"_",Tableau1[[#This Row],[Competition_year]])</f>
        <v>Rob NAPOLITANO_PUR_2023</v>
      </c>
      <c r="B1168" t="s">
        <v>211</v>
      </c>
      <c r="C1168" t="s">
        <v>16</v>
      </c>
      <c r="D1168" t="s">
        <v>120</v>
      </c>
      <c r="E1168">
        <v>13.71</v>
      </c>
      <c r="F1168">
        <v>16.079999999999998</v>
      </c>
      <c r="G1168">
        <v>17.78</v>
      </c>
      <c r="H1168">
        <v>18.32</v>
      </c>
      <c r="I1168">
        <v>18.32</v>
      </c>
      <c r="J1168">
        <v>17.21</v>
      </c>
      <c r="K1168">
        <v>16.239999999999998</v>
      </c>
      <c r="L1168">
        <v>15.03</v>
      </c>
      <c r="M1168">
        <v>15.4</v>
      </c>
      <c r="N1168">
        <v>12.96</v>
      </c>
      <c r="O1168">
        <v>13.3</v>
      </c>
      <c r="P1168">
        <v>13.55</v>
      </c>
      <c r="Q1168">
        <v>13.2</v>
      </c>
      <c r="R1168">
        <v>13.44</v>
      </c>
      <c r="S1168">
        <f>Tableau1[[#This Row],[Final_time]]-SUM(Tableau1[[#This Row],[0_100m]:[1300_1400m]])</f>
        <v>13.749999999999972</v>
      </c>
      <c r="T1168">
        <v>228.29</v>
      </c>
      <c r="U1168">
        <f t="shared" si="36"/>
        <v>228.29</v>
      </c>
      <c r="V1168">
        <f t="shared" si="37"/>
        <v>0</v>
      </c>
      <c r="W1168" s="12"/>
      <c r="X1168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8" t="s">
        <v>98</v>
      </c>
      <c r="Z1168" s="2" t="s">
        <v>99</v>
      </c>
      <c r="AA1168" s="2" t="s">
        <v>129</v>
      </c>
      <c r="AB1168" s="2" t="s">
        <v>65</v>
      </c>
      <c r="AC1168" s="2">
        <v>45157</v>
      </c>
      <c r="AD1168" s="3">
        <v>2023</v>
      </c>
      <c r="AE1168" s="3">
        <v>28</v>
      </c>
      <c r="AF1168" s="5">
        <v>0.6</v>
      </c>
      <c r="AG1168" s="3"/>
      <c r="AH1168" t="s">
        <v>112</v>
      </c>
    </row>
    <row r="1169" spans="1:34" hidden="1" x14ac:dyDescent="0.35">
      <c r="A1169" t="str">
        <f>_xlfn.CONCAT(Tableau1[[#This Row],[Athletes]],"_",Tableau1[[#This Row],[Nationality]],"_",Tableau1[[#This Row],[Competition_year]])</f>
        <v>Joao BUSSOTTI NEVES_ITA_2023</v>
      </c>
      <c r="B1169" t="s">
        <v>212</v>
      </c>
      <c r="C1169" t="s">
        <v>16</v>
      </c>
      <c r="D1169" t="s">
        <v>19</v>
      </c>
      <c r="E1169">
        <v>13.61</v>
      </c>
      <c r="F1169">
        <v>15.79</v>
      </c>
      <c r="G1169">
        <v>18.23</v>
      </c>
      <c r="H1169">
        <v>17.91</v>
      </c>
      <c r="I1169">
        <v>18.2</v>
      </c>
      <c r="J1169">
        <v>17.66</v>
      </c>
      <c r="K1169">
        <v>16.600000000000001</v>
      </c>
      <c r="L1169">
        <v>14.97</v>
      </c>
      <c r="M1169">
        <v>13.7</v>
      </c>
      <c r="N1169">
        <v>14</v>
      </c>
      <c r="O1169">
        <v>13.28</v>
      </c>
      <c r="P1169">
        <v>13.6</v>
      </c>
      <c r="Q1169">
        <v>13.13</v>
      </c>
      <c r="R1169">
        <v>13.4</v>
      </c>
      <c r="S1169">
        <f>Tableau1[[#This Row],[Final_time]]-SUM(Tableau1[[#This Row],[0_100m]:[1300_1400m]])</f>
        <v>14.470000000000027</v>
      </c>
      <c r="T1169">
        <v>228.55</v>
      </c>
      <c r="U1169">
        <f t="shared" si="36"/>
        <v>228.55</v>
      </c>
      <c r="V1169">
        <f t="shared" si="37"/>
        <v>0</v>
      </c>
      <c r="W1169" s="12"/>
      <c r="X1169" t="str">
        <f>_xlfn.CONCAT(Tableau1[[#This Row],[Competition]],"_",Tableau1[[#This Row],[Championship_step]],"_",Tableau1[[#This Row],[Competition_date]],"_",Tableau1[[#This Row],[Gender]])</f>
        <v>World Championships Budapest 2023_Heat 2_45157_Male</v>
      </c>
      <c r="Y1169" t="s">
        <v>98</v>
      </c>
      <c r="Z1169" s="2" t="s">
        <v>99</v>
      </c>
      <c r="AA1169" s="2" t="s">
        <v>129</v>
      </c>
      <c r="AB1169" s="2" t="s">
        <v>65</v>
      </c>
      <c r="AC1169" s="2">
        <v>45157</v>
      </c>
      <c r="AD1169" s="3">
        <v>2023</v>
      </c>
      <c r="AE1169" s="3">
        <v>28</v>
      </c>
      <c r="AF1169" s="5">
        <v>0.6</v>
      </c>
      <c r="AG1169" s="3"/>
      <c r="AH1169" t="s">
        <v>112</v>
      </c>
    </row>
    <row r="1170" spans="1:34" hidden="1" x14ac:dyDescent="0.35">
      <c r="A1170" t="str">
        <f>_xlfn.CONCAT(Tableau1[[#This Row],[Athletes]],"_",Tableau1[[#This Row],[Nationality]],"_",Tableau1[[#This Row],[Competition_year]])</f>
        <v>Niels LAROS_NED_2023</v>
      </c>
      <c r="B1170" t="s">
        <v>214</v>
      </c>
      <c r="C1170" t="s">
        <v>16</v>
      </c>
      <c r="D1170" t="s">
        <v>39</v>
      </c>
      <c r="E1170">
        <v>13.8</v>
      </c>
      <c r="F1170">
        <v>15.95</v>
      </c>
      <c r="G1170">
        <v>14.51</v>
      </c>
      <c r="H1170">
        <v>14.89</v>
      </c>
      <c r="I1170">
        <v>14.63</v>
      </c>
      <c r="J1170">
        <v>14.8</v>
      </c>
      <c r="K1170">
        <v>14.26</v>
      </c>
      <c r="L1170">
        <v>14.42</v>
      </c>
      <c r="M1170">
        <v>14.81</v>
      </c>
      <c r="N1170">
        <v>14.62</v>
      </c>
      <c r="O1170">
        <v>14.03</v>
      </c>
      <c r="P1170">
        <v>13.52</v>
      </c>
      <c r="Q1170">
        <v>13.04</v>
      </c>
      <c r="R1170">
        <v>14.29</v>
      </c>
      <c r="S1170">
        <f>Tableau1[[#This Row],[Final_time]]-SUM(Tableau1[[#This Row],[0_100m]:[1300_1400m]])</f>
        <v>12.680000000000007</v>
      </c>
      <c r="T1170">
        <v>214.25</v>
      </c>
      <c r="U1170">
        <f t="shared" si="36"/>
        <v>214.25</v>
      </c>
      <c r="V1170">
        <f t="shared" si="37"/>
        <v>0</v>
      </c>
      <c r="W1170" s="12" t="s">
        <v>109</v>
      </c>
      <c r="X1170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0" t="s">
        <v>98</v>
      </c>
      <c r="Z1170" s="2" t="s">
        <v>99</v>
      </c>
      <c r="AA1170" s="2" t="s">
        <v>133</v>
      </c>
      <c r="AB1170" s="2" t="s">
        <v>65</v>
      </c>
      <c r="AC1170" s="2">
        <v>45157</v>
      </c>
      <c r="AD1170" s="3">
        <v>2023</v>
      </c>
      <c r="AE1170" s="3">
        <v>28</v>
      </c>
      <c r="AF1170" s="5">
        <v>0.6</v>
      </c>
      <c r="AG1170" s="3"/>
      <c r="AH1170" t="s">
        <v>112</v>
      </c>
    </row>
    <row r="1171" spans="1:34" hidden="1" x14ac:dyDescent="0.35">
      <c r="A1171" t="str">
        <f>_xlfn.CONCAT(Tableau1[[#This Row],[Athletes]],"_",Tableau1[[#This Row],[Nationality]],"_",Tableau1[[#This Row],[Competition_year]])</f>
        <v>Pietro ARESE_ITA_2023</v>
      </c>
      <c r="B1171" t="s">
        <v>216</v>
      </c>
      <c r="C1171" t="s">
        <v>16</v>
      </c>
      <c r="D1171" t="s">
        <v>19</v>
      </c>
      <c r="E1171">
        <v>14.73</v>
      </c>
      <c r="F1171">
        <v>15.06</v>
      </c>
      <c r="G1171">
        <v>15.09</v>
      </c>
      <c r="H1171">
        <v>14.78</v>
      </c>
      <c r="I1171">
        <v>14.27</v>
      </c>
      <c r="J1171">
        <v>15.06</v>
      </c>
      <c r="K1171">
        <v>13.93</v>
      </c>
      <c r="L1171">
        <v>14.59</v>
      </c>
      <c r="M1171">
        <v>14.67</v>
      </c>
      <c r="N1171">
        <v>15.36</v>
      </c>
      <c r="O1171">
        <v>13.3</v>
      </c>
      <c r="P1171">
        <v>13.64</v>
      </c>
      <c r="Q1171">
        <v>13.05</v>
      </c>
      <c r="R1171">
        <v>13.8</v>
      </c>
      <c r="S1171">
        <f>Tableau1[[#This Row],[Final_time]]-SUM(Tableau1[[#This Row],[0_100m]:[1300_1400m]])</f>
        <v>13.150000000000006</v>
      </c>
      <c r="T1171">
        <v>214.48</v>
      </c>
      <c r="U1171">
        <f t="shared" si="36"/>
        <v>214.48</v>
      </c>
      <c r="V1171">
        <f t="shared" si="37"/>
        <v>0</v>
      </c>
      <c r="W1171" s="12" t="s">
        <v>109</v>
      </c>
      <c r="X1171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1" t="s">
        <v>98</v>
      </c>
      <c r="Z1171" s="2" t="s">
        <v>99</v>
      </c>
      <c r="AA1171" s="2" t="s">
        <v>133</v>
      </c>
      <c r="AB1171" s="2" t="s">
        <v>65</v>
      </c>
      <c r="AC1171" s="2">
        <v>45157</v>
      </c>
      <c r="AD1171" s="3">
        <v>2023</v>
      </c>
      <c r="AE1171" s="3">
        <v>28</v>
      </c>
      <c r="AF1171" s="5">
        <v>0.6</v>
      </c>
      <c r="AG1171" s="3"/>
      <c r="AH1171" t="s">
        <v>112</v>
      </c>
    </row>
    <row r="1172" spans="1:34" hidden="1" x14ac:dyDescent="0.35">
      <c r="A1172" t="str">
        <f>_xlfn.CONCAT(Tableau1[[#This Row],[Athletes]],"_",Tableau1[[#This Row],[Nationality]],"_",Tableau1[[#This Row],[Competition_year]])</f>
        <v>Ajay Kumar SAROJ_IND_2023</v>
      </c>
      <c r="B1172" t="s">
        <v>224</v>
      </c>
      <c r="C1172" t="s">
        <v>16</v>
      </c>
      <c r="D1172" t="s">
        <v>122</v>
      </c>
      <c r="E1172">
        <v>14.34</v>
      </c>
      <c r="F1172">
        <v>19.12</v>
      </c>
      <c r="G1172">
        <v>11.78</v>
      </c>
      <c r="H1172">
        <v>14.61</v>
      </c>
      <c r="I1172">
        <v>14.47</v>
      </c>
      <c r="J1172">
        <v>14.73</v>
      </c>
      <c r="K1172">
        <v>15.25</v>
      </c>
      <c r="L1172">
        <v>13.92</v>
      </c>
      <c r="M1172">
        <v>14.79</v>
      </c>
      <c r="N1172">
        <v>15.32</v>
      </c>
      <c r="O1172">
        <v>14.37</v>
      </c>
      <c r="P1172">
        <v>13.07</v>
      </c>
      <c r="Q1172">
        <v>13.97</v>
      </c>
      <c r="R1172">
        <v>15.17</v>
      </c>
      <c r="S1172">
        <f>Tableau1[[#This Row],[Final_time]]-SUM(Tableau1[[#This Row],[0_100m]:[1300_1400m]])</f>
        <v>13.330000000000013</v>
      </c>
      <c r="T1172">
        <v>218.24</v>
      </c>
      <c r="U1172">
        <f t="shared" si="36"/>
        <v>218.24</v>
      </c>
      <c r="V1172">
        <f t="shared" si="37"/>
        <v>0</v>
      </c>
      <c r="W1172" s="12"/>
      <c r="X1172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2" t="s">
        <v>98</v>
      </c>
      <c r="Z1172" s="2" t="s">
        <v>99</v>
      </c>
      <c r="AA1172" s="2" t="s">
        <v>133</v>
      </c>
      <c r="AB1172" s="2" t="s">
        <v>65</v>
      </c>
      <c r="AC1172" s="2">
        <v>45157</v>
      </c>
      <c r="AD1172" s="3">
        <v>2023</v>
      </c>
      <c r="AE1172" s="3">
        <v>28</v>
      </c>
      <c r="AF1172" s="5">
        <v>0.6</v>
      </c>
      <c r="AG1172" s="3"/>
      <c r="AH1172" t="s">
        <v>112</v>
      </c>
    </row>
    <row r="1173" spans="1:34" hidden="1" x14ac:dyDescent="0.35">
      <c r="A1173" t="str">
        <f>_xlfn.CONCAT(Tableau1[[#This Row],[Athletes]],"_",Tableau1[[#This Row],[Nationality]],"_",Tableau1[[#This Row],[Competition_year]])</f>
        <v>Cole HOCKER_USA_2023</v>
      </c>
      <c r="B1173" t="s">
        <v>215</v>
      </c>
      <c r="C1173" t="s">
        <v>16</v>
      </c>
      <c r="D1173" t="s">
        <v>51</v>
      </c>
      <c r="E1173">
        <v>14.08</v>
      </c>
      <c r="F1173">
        <v>15.08</v>
      </c>
      <c r="G1173">
        <v>14.76</v>
      </c>
      <c r="H1173">
        <v>14.74</v>
      </c>
      <c r="I1173">
        <v>14.71</v>
      </c>
      <c r="J1173">
        <v>14.53</v>
      </c>
      <c r="K1173">
        <v>15.75</v>
      </c>
      <c r="L1173">
        <v>13.74</v>
      </c>
      <c r="M1173">
        <v>14.92</v>
      </c>
      <c r="N1173">
        <v>14.73</v>
      </c>
      <c r="O1173">
        <v>13.98</v>
      </c>
      <c r="P1173">
        <v>13.86</v>
      </c>
      <c r="Q1173">
        <v>13.29</v>
      </c>
      <c r="R1173">
        <v>12.88</v>
      </c>
      <c r="S1173">
        <f>Tableau1[[#This Row],[Final_time]]-SUM(Tableau1[[#This Row],[0_100m]:[1300_1400m]])</f>
        <v>13.380000000000024</v>
      </c>
      <c r="T1173">
        <v>214.43</v>
      </c>
      <c r="U1173">
        <f t="shared" si="36"/>
        <v>214.43</v>
      </c>
      <c r="V1173">
        <f t="shared" si="37"/>
        <v>0</v>
      </c>
      <c r="W1173" s="12" t="s">
        <v>109</v>
      </c>
      <c r="X1173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3" t="s">
        <v>98</v>
      </c>
      <c r="Z1173" s="2" t="s">
        <v>99</v>
      </c>
      <c r="AA1173" s="2" t="s">
        <v>133</v>
      </c>
      <c r="AB1173" s="2" t="s">
        <v>65</v>
      </c>
      <c r="AC1173" s="2">
        <v>45157</v>
      </c>
      <c r="AD1173" s="3">
        <v>2023</v>
      </c>
      <c r="AE1173" s="3">
        <v>28</v>
      </c>
      <c r="AF1173" s="5">
        <v>0.6</v>
      </c>
      <c r="AG1173" s="3"/>
      <c r="AH1173" t="s">
        <v>112</v>
      </c>
    </row>
    <row r="1174" spans="1:34" hidden="1" x14ac:dyDescent="0.35">
      <c r="A1174" t="str">
        <f>_xlfn.CONCAT(Tableau1[[#This Row],[Athletes]],"_",Tableau1[[#This Row],[Nationality]],"_",Tableau1[[#This Row],[Competition_year]])</f>
        <v>Abdellatif SADIKI_MAR_2023</v>
      </c>
      <c r="B1174" t="s">
        <v>221</v>
      </c>
      <c r="C1174" t="s">
        <v>16</v>
      </c>
      <c r="D1174" t="s">
        <v>75</v>
      </c>
      <c r="E1174">
        <v>14.17</v>
      </c>
      <c r="F1174">
        <v>14.78</v>
      </c>
      <c r="G1174">
        <v>15.26</v>
      </c>
      <c r="H1174">
        <v>14.63</v>
      </c>
      <c r="I1174">
        <v>14.68</v>
      </c>
      <c r="J1174">
        <v>14.61</v>
      </c>
      <c r="K1174">
        <v>15.66</v>
      </c>
      <c r="L1174">
        <v>13.96</v>
      </c>
      <c r="M1174">
        <v>14.75</v>
      </c>
      <c r="N1174">
        <v>14.61</v>
      </c>
      <c r="O1174">
        <v>14.68</v>
      </c>
      <c r="P1174">
        <v>13.47</v>
      </c>
      <c r="Q1174">
        <v>14.1</v>
      </c>
      <c r="R1174">
        <v>14.35</v>
      </c>
      <c r="S1174">
        <f>Tableau1[[#This Row],[Final_time]]-SUM(Tableau1[[#This Row],[0_100m]:[1300_1400m]])</f>
        <v>13.47999999999999</v>
      </c>
      <c r="T1174">
        <v>217.19</v>
      </c>
      <c r="U1174">
        <f t="shared" si="36"/>
        <v>217.19</v>
      </c>
      <c r="V1174">
        <f t="shared" si="37"/>
        <v>0</v>
      </c>
      <c r="W1174" s="12"/>
      <c r="X1174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4" t="s">
        <v>98</v>
      </c>
      <c r="Z1174" s="2" t="s">
        <v>99</v>
      </c>
      <c r="AA1174" s="2" t="s">
        <v>133</v>
      </c>
      <c r="AB1174" s="2" t="s">
        <v>65</v>
      </c>
      <c r="AC1174" s="2">
        <v>45157</v>
      </c>
      <c r="AD1174" s="3">
        <v>2023</v>
      </c>
      <c r="AE1174" s="3">
        <v>28</v>
      </c>
      <c r="AF1174" s="5">
        <v>0.6</v>
      </c>
      <c r="AG1174" s="3"/>
      <c r="AH1174" t="s">
        <v>112</v>
      </c>
    </row>
    <row r="1175" spans="1:34" hidden="1" x14ac:dyDescent="0.35">
      <c r="A1175" t="str">
        <f>_xlfn.CONCAT(Tableau1[[#This Row],[Athletes]],"_",Tableau1[[#This Row],[Nationality]],"_",Tableau1[[#This Row],[Competition_year]])</f>
        <v>Narve Gilje NORDÅS_NOR_2023</v>
      </c>
      <c r="B1175" t="s">
        <v>217</v>
      </c>
      <c r="C1175" t="s">
        <v>16</v>
      </c>
      <c r="D1175" t="s">
        <v>30</v>
      </c>
      <c r="E1175">
        <v>14.35</v>
      </c>
      <c r="F1175">
        <v>14.95</v>
      </c>
      <c r="G1175">
        <v>14.7</v>
      </c>
      <c r="H1175">
        <v>14.63</v>
      </c>
      <c r="I1175">
        <v>14.54</v>
      </c>
      <c r="J1175">
        <v>14.57</v>
      </c>
      <c r="K1175">
        <v>15.7</v>
      </c>
      <c r="L1175">
        <v>13.78</v>
      </c>
      <c r="M1175">
        <v>14.98</v>
      </c>
      <c r="N1175">
        <v>15.01</v>
      </c>
      <c r="O1175">
        <v>14.05</v>
      </c>
      <c r="P1175">
        <v>13.61</v>
      </c>
      <c r="Q1175">
        <v>13.01</v>
      </c>
      <c r="R1175">
        <v>13.3</v>
      </c>
      <c r="S1175">
        <f>Tableau1[[#This Row],[Final_time]]-SUM(Tableau1[[#This Row],[0_100m]:[1300_1400m]])</f>
        <v>13.489999999999981</v>
      </c>
      <c r="T1175">
        <v>214.67</v>
      </c>
      <c r="U1175">
        <f t="shared" si="36"/>
        <v>214.67</v>
      </c>
      <c r="V1175">
        <f t="shared" si="37"/>
        <v>0</v>
      </c>
      <c r="W1175" s="12" t="s">
        <v>109</v>
      </c>
      <c r="X1175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5" t="s">
        <v>98</v>
      </c>
      <c r="Z1175" s="2" t="s">
        <v>99</v>
      </c>
      <c r="AA1175" s="2" t="s">
        <v>133</v>
      </c>
      <c r="AB1175" s="2" t="s">
        <v>65</v>
      </c>
      <c r="AC1175" s="2">
        <v>45157</v>
      </c>
      <c r="AD1175" s="3">
        <v>2023</v>
      </c>
      <c r="AE1175" s="3">
        <v>28</v>
      </c>
      <c r="AF1175" s="5">
        <v>0.6</v>
      </c>
      <c r="AG1175" s="3"/>
      <c r="AH1175" t="s">
        <v>112</v>
      </c>
    </row>
    <row r="1176" spans="1:34" hidden="1" x14ac:dyDescent="0.35">
      <c r="A1176" t="str">
        <f>_xlfn.CONCAT(Tableau1[[#This Row],[Athletes]],"_",Tableau1[[#This Row],[Nationality]],"_",Tableau1[[#This Row],[Competition_year]])</f>
        <v>Ismael DEBJANI_BEL_2023</v>
      </c>
      <c r="B1176" t="s">
        <v>226</v>
      </c>
      <c r="C1176" t="s">
        <v>16</v>
      </c>
      <c r="D1176" t="s">
        <v>86</v>
      </c>
      <c r="E1176">
        <v>13.81</v>
      </c>
      <c r="F1176">
        <v>15.05</v>
      </c>
      <c r="G1176">
        <v>16.03</v>
      </c>
      <c r="H1176">
        <v>14.12</v>
      </c>
      <c r="I1176">
        <v>14.72</v>
      </c>
      <c r="J1176">
        <v>14.57</v>
      </c>
      <c r="K1176">
        <v>14.82</v>
      </c>
      <c r="L1176">
        <v>14.83</v>
      </c>
      <c r="M1176">
        <v>14.63</v>
      </c>
      <c r="N1176">
        <v>15.38</v>
      </c>
      <c r="O1176">
        <v>15.46</v>
      </c>
      <c r="P1176">
        <v>13.09</v>
      </c>
      <c r="Q1176">
        <v>14.68</v>
      </c>
      <c r="R1176">
        <v>14.75</v>
      </c>
      <c r="S1176">
        <f>Tableau1[[#This Row],[Final_time]]-SUM(Tableau1[[#This Row],[0_100m]:[1300_1400m]])</f>
        <v>13.789999999999964</v>
      </c>
      <c r="T1176">
        <v>219.73</v>
      </c>
      <c r="U1176">
        <f t="shared" si="36"/>
        <v>219.73</v>
      </c>
      <c r="V1176">
        <f t="shared" si="37"/>
        <v>0</v>
      </c>
      <c r="W1176" s="12"/>
      <c r="X1176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6" t="s">
        <v>98</v>
      </c>
      <c r="Z1176" s="2" t="s">
        <v>99</v>
      </c>
      <c r="AA1176" s="2" t="s">
        <v>133</v>
      </c>
      <c r="AB1176" s="2" t="s">
        <v>65</v>
      </c>
      <c r="AC1176" s="2">
        <v>45157</v>
      </c>
      <c r="AD1176" s="3">
        <v>2023</v>
      </c>
      <c r="AE1176" s="3">
        <v>28</v>
      </c>
      <c r="AF1176" s="5">
        <v>0.6</v>
      </c>
      <c r="AG1176" s="3"/>
      <c r="AH1176" t="s">
        <v>112</v>
      </c>
    </row>
    <row r="1177" spans="1:34" hidden="1" x14ac:dyDescent="0.35">
      <c r="A1177" t="str">
        <f>_xlfn.CONCAT(Tableau1[[#This Row],[Athletes]],"_",Tableau1[[#This Row],[Nationality]],"_",Tableau1[[#This Row],[Competition_year]])</f>
        <v>Stewart MCSWEYN_AUS_2023</v>
      </c>
      <c r="B1177" t="s">
        <v>219</v>
      </c>
      <c r="C1177" t="s">
        <v>16</v>
      </c>
      <c r="D1177" t="s">
        <v>21</v>
      </c>
      <c r="E1177">
        <v>14.28</v>
      </c>
      <c r="F1177">
        <v>14.81</v>
      </c>
      <c r="G1177">
        <v>14.72</v>
      </c>
      <c r="H1177">
        <v>14.58</v>
      </c>
      <c r="I1177">
        <v>14.54</v>
      </c>
      <c r="J1177">
        <v>14.93</v>
      </c>
      <c r="K1177">
        <v>14.5</v>
      </c>
      <c r="L1177">
        <v>14.72</v>
      </c>
      <c r="M1177">
        <v>14.95</v>
      </c>
      <c r="N1177">
        <v>15</v>
      </c>
      <c r="O1177">
        <v>15.22</v>
      </c>
      <c r="P1177">
        <v>12.23</v>
      </c>
      <c r="Q1177">
        <v>13.65</v>
      </c>
      <c r="R1177">
        <v>14.08</v>
      </c>
      <c r="S1177">
        <f>Tableau1[[#This Row],[Final_time]]-SUM(Tableau1[[#This Row],[0_100m]:[1300_1400m]])</f>
        <v>13.799999999999983</v>
      </c>
      <c r="T1177">
        <v>216.01</v>
      </c>
      <c r="U1177">
        <f t="shared" si="36"/>
        <v>216.01</v>
      </c>
      <c r="V1177">
        <f t="shared" si="37"/>
        <v>0</v>
      </c>
      <c r="W1177" s="12"/>
      <c r="X1177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7" t="s">
        <v>98</v>
      </c>
      <c r="Z1177" s="2" t="s">
        <v>99</v>
      </c>
      <c r="AA1177" s="2" t="s">
        <v>133</v>
      </c>
      <c r="AB1177" s="2" t="s">
        <v>65</v>
      </c>
      <c r="AC1177" s="2">
        <v>45157</v>
      </c>
      <c r="AD1177" s="3">
        <v>2023</v>
      </c>
      <c r="AE1177" s="3">
        <v>28</v>
      </c>
      <c r="AF1177" s="5">
        <v>0.6</v>
      </c>
      <c r="AG1177" s="3"/>
      <c r="AH1177" t="s">
        <v>112</v>
      </c>
    </row>
    <row r="1178" spans="1:34" hidden="1" x14ac:dyDescent="0.35">
      <c r="A1178" t="str">
        <f>_xlfn.CONCAT(Tableau1[[#This Row],[Athletes]],"_",Tableau1[[#This Row],[Nationality]],"_",Tableau1[[#This Row],[Competition_year]])</f>
        <v>Mohamed KATIR_ESP_2023</v>
      </c>
      <c r="B1178" t="s">
        <v>149</v>
      </c>
      <c r="C1178" t="s">
        <v>16</v>
      </c>
      <c r="D1178" t="s">
        <v>22</v>
      </c>
      <c r="E1178">
        <v>14.49</v>
      </c>
      <c r="F1178">
        <v>15.07</v>
      </c>
      <c r="G1178">
        <v>15.74</v>
      </c>
      <c r="H1178">
        <v>14.57</v>
      </c>
      <c r="I1178">
        <v>13.87</v>
      </c>
      <c r="J1178">
        <v>15.18</v>
      </c>
      <c r="K1178">
        <v>13.78</v>
      </c>
      <c r="L1178">
        <v>14.4</v>
      </c>
      <c r="M1178">
        <v>14.88</v>
      </c>
      <c r="N1178">
        <v>14.9</v>
      </c>
      <c r="O1178">
        <v>13.84</v>
      </c>
      <c r="P1178">
        <v>13.43</v>
      </c>
      <c r="Q1178">
        <v>13.02</v>
      </c>
      <c r="R1178">
        <v>13.3</v>
      </c>
      <c r="S1178">
        <f>Tableau1[[#This Row],[Final_time]]-SUM(Tableau1[[#This Row],[0_100m]:[1300_1400m]])</f>
        <v>13.869999999999948</v>
      </c>
      <c r="T1178">
        <v>214.34</v>
      </c>
      <c r="U1178">
        <f t="shared" si="36"/>
        <v>214.34</v>
      </c>
      <c r="V1178">
        <f t="shared" si="37"/>
        <v>0</v>
      </c>
      <c r="W1178" s="12" t="s">
        <v>109</v>
      </c>
      <c r="X1178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8" t="s">
        <v>98</v>
      </c>
      <c r="Z1178" s="2" t="s">
        <v>99</v>
      </c>
      <c r="AA1178" s="2" t="s">
        <v>133</v>
      </c>
      <c r="AB1178" s="2" t="s">
        <v>65</v>
      </c>
      <c r="AC1178" s="2">
        <v>45157</v>
      </c>
      <c r="AD1178" s="3">
        <v>2023</v>
      </c>
      <c r="AE1178" s="3">
        <v>28</v>
      </c>
      <c r="AF1178" s="5">
        <v>0.6</v>
      </c>
      <c r="AG1178" s="3"/>
      <c r="AH1178" t="s">
        <v>112</v>
      </c>
    </row>
    <row r="1179" spans="1:34" hidden="1" x14ac:dyDescent="0.35">
      <c r="A1179" t="str">
        <f>_xlfn.CONCAT(Tableau1[[#This Row],[Athletes]],"_",Tableau1[[#This Row],[Nationality]],"_",Tableau1[[#This Row],[Competition_year]])</f>
        <v>Salim Abu MAYANJA_UGA_2023</v>
      </c>
      <c r="B1179" t="s">
        <v>1214</v>
      </c>
      <c r="C1179" t="s">
        <v>16</v>
      </c>
      <c r="D1179" t="s">
        <v>52</v>
      </c>
      <c r="E1179">
        <v>13.9</v>
      </c>
      <c r="F1179">
        <v>15.32</v>
      </c>
      <c r="G1179">
        <v>15.78</v>
      </c>
      <c r="H1179">
        <v>14.45</v>
      </c>
      <c r="I1179">
        <v>14.63</v>
      </c>
      <c r="J1179">
        <v>15.24</v>
      </c>
      <c r="K1179">
        <v>14.29</v>
      </c>
      <c r="L1179">
        <v>14.44</v>
      </c>
      <c r="M1179">
        <v>14.67</v>
      </c>
      <c r="N1179">
        <v>14.54</v>
      </c>
      <c r="O1179">
        <v>14.19</v>
      </c>
      <c r="P1179">
        <v>13.97</v>
      </c>
      <c r="Q1179">
        <v>13.89</v>
      </c>
      <c r="R1179">
        <v>14.8</v>
      </c>
      <c r="S1179">
        <f>Tableau1[[#This Row],[Final_time]]-SUM(Tableau1[[#This Row],[0_100m]:[1300_1400m]])</f>
        <v>14.040000000000049</v>
      </c>
      <c r="T1179">
        <v>218.15</v>
      </c>
      <c r="U1179">
        <f t="shared" si="36"/>
        <v>218.15</v>
      </c>
      <c r="V1179">
        <f t="shared" si="37"/>
        <v>0</v>
      </c>
      <c r="W1179" s="12"/>
      <c r="X1179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79" t="s">
        <v>98</v>
      </c>
      <c r="Z1179" s="2" t="s">
        <v>99</v>
      </c>
      <c r="AA1179" s="2" t="s">
        <v>133</v>
      </c>
      <c r="AB1179" s="2" t="s">
        <v>65</v>
      </c>
      <c r="AC1179" s="2">
        <v>45157</v>
      </c>
      <c r="AD1179" s="3">
        <v>2023</v>
      </c>
      <c r="AE1179" s="3">
        <v>28</v>
      </c>
      <c r="AF1179" s="5">
        <v>0.6</v>
      </c>
      <c r="AG1179" s="3"/>
      <c r="AH1179" t="s">
        <v>112</v>
      </c>
    </row>
    <row r="1180" spans="1:34" hidden="1" x14ac:dyDescent="0.35">
      <c r="A1180" t="str">
        <f>_xlfn.CONCAT(Tableau1[[#This Row],[Athletes]],"_",Tableau1[[#This Row],[Nationality]],"_",Tableau1[[#This Row],[Competition_year]])</f>
        <v>Azeddine HABZ_FRA_2023</v>
      </c>
      <c r="B1180" t="s">
        <v>218</v>
      </c>
      <c r="C1180" t="s">
        <v>16</v>
      </c>
      <c r="D1180" t="s">
        <v>18</v>
      </c>
      <c r="E1180">
        <v>13.83</v>
      </c>
      <c r="F1180">
        <v>15.08</v>
      </c>
      <c r="G1180">
        <v>15.09</v>
      </c>
      <c r="H1180">
        <v>14.74</v>
      </c>
      <c r="I1180">
        <v>14.47</v>
      </c>
      <c r="J1180">
        <v>14.67</v>
      </c>
      <c r="K1180">
        <v>14.65</v>
      </c>
      <c r="L1180">
        <v>14.64</v>
      </c>
      <c r="M1180">
        <v>15.26</v>
      </c>
      <c r="N1180">
        <v>14.61</v>
      </c>
      <c r="O1180">
        <v>13.93</v>
      </c>
      <c r="P1180">
        <v>13.7</v>
      </c>
      <c r="Q1180">
        <v>12.97</v>
      </c>
      <c r="R1180">
        <v>13.45</v>
      </c>
      <c r="S1180">
        <f>Tableau1[[#This Row],[Final_time]]-SUM(Tableau1[[#This Row],[0_100m]:[1300_1400m]])</f>
        <v>14.069999999999993</v>
      </c>
      <c r="T1180">
        <v>215.16</v>
      </c>
      <c r="U1180">
        <f t="shared" si="36"/>
        <v>215.16</v>
      </c>
      <c r="V1180">
        <f t="shared" si="37"/>
        <v>0</v>
      </c>
      <c r="W1180" s="12" t="s">
        <v>109</v>
      </c>
      <c r="X1180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80" t="s">
        <v>98</v>
      </c>
      <c r="Z1180" s="2" t="s">
        <v>99</v>
      </c>
      <c r="AA1180" s="2" t="s">
        <v>133</v>
      </c>
      <c r="AB1180" s="2" t="s">
        <v>65</v>
      </c>
      <c r="AC1180" s="2">
        <v>45157</v>
      </c>
      <c r="AD1180" s="3">
        <v>2023</v>
      </c>
      <c r="AE1180" s="3">
        <v>28</v>
      </c>
      <c r="AF1180" s="5">
        <v>0.6</v>
      </c>
      <c r="AG1180" s="3"/>
      <c r="AH1180" t="s">
        <v>112</v>
      </c>
    </row>
    <row r="1181" spans="1:34" hidden="1" x14ac:dyDescent="0.35">
      <c r="A1181" t="str">
        <f>_xlfn.CONCAT(Tableau1[[#This Row],[Athletes]],"_",Tableau1[[#This Row],[Nationality]],"_",Tableau1[[#This Row],[Competition_year]])</f>
        <v>Diego Javier LACAMOIRE_ARG_2023</v>
      </c>
      <c r="B1181" t="s">
        <v>225</v>
      </c>
      <c r="C1181" t="s">
        <v>16</v>
      </c>
      <c r="D1181" t="s">
        <v>123</v>
      </c>
      <c r="E1181">
        <v>14.16</v>
      </c>
      <c r="F1181">
        <v>15.26</v>
      </c>
      <c r="G1181">
        <v>15.23</v>
      </c>
      <c r="H1181">
        <v>14.81</v>
      </c>
      <c r="I1181">
        <v>14.56</v>
      </c>
      <c r="J1181">
        <v>14.88</v>
      </c>
      <c r="K1181">
        <v>14.67</v>
      </c>
      <c r="L1181">
        <v>14.58</v>
      </c>
      <c r="M1181">
        <v>14.84</v>
      </c>
      <c r="N1181">
        <v>15.84</v>
      </c>
      <c r="O1181">
        <v>13.34</v>
      </c>
      <c r="P1181">
        <v>14.28</v>
      </c>
      <c r="Q1181">
        <v>14.14</v>
      </c>
      <c r="R1181">
        <v>14.25</v>
      </c>
      <c r="S1181">
        <f>Tableau1[[#This Row],[Final_time]]-SUM(Tableau1[[#This Row],[0_100m]:[1300_1400m]])</f>
        <v>14.079999999999956</v>
      </c>
      <c r="T1181">
        <v>218.92</v>
      </c>
      <c r="U1181">
        <f t="shared" si="36"/>
        <v>218.92</v>
      </c>
      <c r="V1181">
        <f t="shared" si="37"/>
        <v>0</v>
      </c>
      <c r="W1181" s="12"/>
      <c r="X1181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81" t="s">
        <v>98</v>
      </c>
      <c r="Z1181" s="2" t="s">
        <v>99</v>
      </c>
      <c r="AA1181" s="2" t="s">
        <v>133</v>
      </c>
      <c r="AB1181" s="2" t="s">
        <v>65</v>
      </c>
      <c r="AC1181" s="2">
        <v>45157</v>
      </c>
      <c r="AD1181" s="3">
        <v>2023</v>
      </c>
      <c r="AE1181" s="3">
        <v>28</v>
      </c>
      <c r="AF1181" s="5">
        <v>0.6</v>
      </c>
      <c r="AG1181" s="3"/>
      <c r="AH1181" t="s">
        <v>112</v>
      </c>
    </row>
    <row r="1182" spans="1:34" hidden="1" x14ac:dyDescent="0.35">
      <c r="A1182" t="str">
        <f>_xlfn.CONCAT(Tableau1[[#This Row],[Athletes]],"_",Tableau1[[#This Row],[Nationality]],"_",Tableau1[[#This Row],[Competition_year]])</f>
        <v>István SZÖGI_HUN_2023</v>
      </c>
      <c r="B1182" t="s">
        <v>223</v>
      </c>
      <c r="C1182" t="s">
        <v>16</v>
      </c>
      <c r="D1182" t="s">
        <v>105</v>
      </c>
      <c r="E1182">
        <v>14.04</v>
      </c>
      <c r="F1182">
        <v>14.94</v>
      </c>
      <c r="G1182">
        <v>15.97</v>
      </c>
      <c r="H1182">
        <v>14.29</v>
      </c>
      <c r="I1182">
        <v>14.67</v>
      </c>
      <c r="J1182">
        <v>14.81</v>
      </c>
      <c r="K1182">
        <v>15.9</v>
      </c>
      <c r="L1182">
        <v>13.19</v>
      </c>
      <c r="M1182">
        <v>14.95</v>
      </c>
      <c r="N1182">
        <v>15</v>
      </c>
      <c r="O1182">
        <v>13.96</v>
      </c>
      <c r="P1182">
        <v>14.22</v>
      </c>
      <c r="Q1182">
        <v>13.58</v>
      </c>
      <c r="R1182">
        <v>13.86</v>
      </c>
      <c r="S1182">
        <f>Tableau1[[#This Row],[Final_time]]-SUM(Tableau1[[#This Row],[0_100m]:[1300_1400m]])</f>
        <v>14.189999999999998</v>
      </c>
      <c r="T1182">
        <v>217.57</v>
      </c>
      <c r="U1182">
        <f t="shared" si="36"/>
        <v>217.57</v>
      </c>
      <c r="V1182">
        <f t="shared" si="37"/>
        <v>0</v>
      </c>
      <c r="W1182" s="12"/>
      <c r="X1182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82" t="s">
        <v>98</v>
      </c>
      <c r="Z1182" s="2" t="s">
        <v>99</v>
      </c>
      <c r="AA1182" s="2" t="s">
        <v>133</v>
      </c>
      <c r="AB1182" s="2" t="s">
        <v>65</v>
      </c>
      <c r="AC1182" s="2">
        <v>45157</v>
      </c>
      <c r="AD1182" s="3">
        <v>2023</v>
      </c>
      <c r="AE1182" s="3">
        <v>28</v>
      </c>
      <c r="AF1182" s="5">
        <v>0.6</v>
      </c>
      <c r="AG1182" s="3"/>
      <c r="AH1182" t="s">
        <v>112</v>
      </c>
    </row>
    <row r="1183" spans="1:34" hidden="1" x14ac:dyDescent="0.35">
      <c r="A1183" t="str">
        <f>_xlfn.CONCAT(Tableau1[[#This Row],[Athletes]],"_",Tableau1[[#This Row],[Nationality]],"_",Tableau1[[#This Row],[Competition_year]])</f>
        <v>Elzan BIBIĆ_SRB_2023</v>
      </c>
      <c r="B1183" t="s">
        <v>222</v>
      </c>
      <c r="C1183" t="s">
        <v>16</v>
      </c>
      <c r="D1183" t="s">
        <v>121</v>
      </c>
      <c r="E1183">
        <v>13.87</v>
      </c>
      <c r="F1183">
        <v>15.23</v>
      </c>
      <c r="G1183">
        <v>15.38</v>
      </c>
      <c r="H1183">
        <v>14.89</v>
      </c>
      <c r="I1183">
        <v>14.05</v>
      </c>
      <c r="J1183">
        <v>14.51</v>
      </c>
      <c r="K1183">
        <v>15.38</v>
      </c>
      <c r="L1183">
        <v>14.29</v>
      </c>
      <c r="M1183">
        <v>14.89</v>
      </c>
      <c r="N1183">
        <v>14.75</v>
      </c>
      <c r="O1183">
        <v>14.01</v>
      </c>
      <c r="P1183">
        <v>14.06</v>
      </c>
      <c r="Q1183">
        <v>13.8</v>
      </c>
      <c r="R1183">
        <v>14.09</v>
      </c>
      <c r="S1183">
        <f>Tableau1[[#This Row],[Final_time]]-SUM(Tableau1[[#This Row],[0_100m]:[1300_1400m]])</f>
        <v>14.249999999999972</v>
      </c>
      <c r="T1183">
        <v>217.45</v>
      </c>
      <c r="U1183">
        <f t="shared" si="36"/>
        <v>217.45</v>
      </c>
      <c r="V1183">
        <f t="shared" si="37"/>
        <v>0</v>
      </c>
      <c r="W1183" s="12"/>
      <c r="X1183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83" t="s">
        <v>98</v>
      </c>
      <c r="Z1183" s="2" t="s">
        <v>99</v>
      </c>
      <c r="AA1183" s="2" t="s">
        <v>133</v>
      </c>
      <c r="AB1183" s="2" t="s">
        <v>65</v>
      </c>
      <c r="AC1183" s="2">
        <v>45157</v>
      </c>
      <c r="AD1183" s="3">
        <v>2023</v>
      </c>
      <c r="AE1183" s="3">
        <v>28</v>
      </c>
      <c r="AF1183" s="5">
        <v>0.6</v>
      </c>
      <c r="AG1183" s="3"/>
      <c r="AH1183" t="s">
        <v>112</v>
      </c>
    </row>
    <row r="1184" spans="1:34" hidden="1" x14ac:dyDescent="0.35">
      <c r="A1184" t="str">
        <f>_xlfn.CONCAT(Tableau1[[#This Row],[Athletes]],"_",Tableau1[[#This Row],[Nationality]],"_",Tableau1[[#This Row],[Competition_year]])</f>
        <v>Kieran LUMB_CAN_2023</v>
      </c>
      <c r="B1184" t="s">
        <v>220</v>
      </c>
      <c r="C1184" t="s">
        <v>16</v>
      </c>
      <c r="D1184" t="s">
        <v>55</v>
      </c>
      <c r="E1184">
        <v>14.07</v>
      </c>
      <c r="F1184">
        <v>15.1</v>
      </c>
      <c r="G1184">
        <v>15.71</v>
      </c>
      <c r="H1184">
        <v>14.08</v>
      </c>
      <c r="I1184">
        <v>14.67</v>
      </c>
      <c r="J1184">
        <v>14.97</v>
      </c>
      <c r="K1184">
        <v>14.14</v>
      </c>
      <c r="L1184">
        <v>14.6</v>
      </c>
      <c r="M1184">
        <v>14.88</v>
      </c>
      <c r="N1184">
        <v>14.68</v>
      </c>
      <c r="O1184">
        <v>14.1</v>
      </c>
      <c r="P1184">
        <v>13.74</v>
      </c>
      <c r="Q1184">
        <v>13.69</v>
      </c>
      <c r="R1184">
        <v>13.97</v>
      </c>
      <c r="S1184">
        <f>Tableau1[[#This Row],[Final_time]]-SUM(Tableau1[[#This Row],[0_100m]:[1300_1400m]])</f>
        <v>14.259999999999991</v>
      </c>
      <c r="T1184">
        <v>216.66</v>
      </c>
      <c r="U1184">
        <f t="shared" si="36"/>
        <v>216.66</v>
      </c>
      <c r="V1184">
        <f t="shared" si="37"/>
        <v>0</v>
      </c>
      <c r="W1184" s="12"/>
      <c r="X1184" t="str">
        <f>_xlfn.CONCAT(Tableau1[[#This Row],[Competition]],"_",Tableau1[[#This Row],[Championship_step]],"_",Tableau1[[#This Row],[Competition_date]],"_",Tableau1[[#This Row],[Gender]])</f>
        <v>World Championships Budapest 2023_Heat 3_45157_Male</v>
      </c>
      <c r="Y1184" t="s">
        <v>98</v>
      </c>
      <c r="Z1184" s="2" t="s">
        <v>99</v>
      </c>
      <c r="AA1184" s="2" t="s">
        <v>133</v>
      </c>
      <c r="AB1184" s="2" t="s">
        <v>65</v>
      </c>
      <c r="AC1184" s="2">
        <v>45157</v>
      </c>
      <c r="AD1184" s="3">
        <v>2023</v>
      </c>
      <c r="AE1184" s="3">
        <v>28</v>
      </c>
      <c r="AF1184" s="5">
        <v>0.6</v>
      </c>
      <c r="AG1184" s="3"/>
      <c r="AH1184" t="s">
        <v>112</v>
      </c>
    </row>
    <row r="1185" spans="1:34" hidden="1" x14ac:dyDescent="0.35">
      <c r="A1185" t="str">
        <f>_xlfn.CONCAT(Tableau1[[#This Row],[Athletes]],"_",Tableau1[[#This Row],[Nationality]],"_",Tableau1[[#This Row],[Competition_year]])</f>
        <v>Adam SPENCER_AUS_2023</v>
      </c>
      <c r="B1185" t="s">
        <v>229</v>
      </c>
      <c r="C1185" t="s">
        <v>16</v>
      </c>
      <c r="D1185" t="s">
        <v>21</v>
      </c>
      <c r="E1185">
        <v>13.79</v>
      </c>
      <c r="F1185">
        <v>14.34</v>
      </c>
      <c r="G1185">
        <v>14.32</v>
      </c>
      <c r="H1185">
        <v>14.19</v>
      </c>
      <c r="I1185">
        <v>15.02</v>
      </c>
      <c r="J1185">
        <v>14.94</v>
      </c>
      <c r="K1185">
        <v>15.56</v>
      </c>
      <c r="L1185">
        <v>13.77</v>
      </c>
      <c r="M1185">
        <v>14.65</v>
      </c>
      <c r="N1185">
        <v>14.58</v>
      </c>
      <c r="O1185">
        <v>14.41</v>
      </c>
      <c r="P1185">
        <v>14.33</v>
      </c>
      <c r="Q1185">
        <v>13.32</v>
      </c>
      <c r="R1185">
        <v>14.02</v>
      </c>
      <c r="S1185">
        <f>Tableau1[[#This Row],[Final_time]]-SUM(Tableau1[[#This Row],[0_100m]:[1300_1400m]])</f>
        <v>12.929999999999978</v>
      </c>
      <c r="T1185">
        <v>214.17</v>
      </c>
      <c r="U1185">
        <f t="shared" si="36"/>
        <v>214.17</v>
      </c>
      <c r="V1185">
        <f t="shared" si="37"/>
        <v>0</v>
      </c>
      <c r="W1185" s="12" t="s">
        <v>109</v>
      </c>
      <c r="X1185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85" t="s">
        <v>98</v>
      </c>
      <c r="Z1185" s="2" t="s">
        <v>99</v>
      </c>
      <c r="AA1185" s="2" t="s">
        <v>134</v>
      </c>
      <c r="AB1185" s="2" t="s">
        <v>65</v>
      </c>
      <c r="AC1185" s="2">
        <v>45157</v>
      </c>
      <c r="AD1185" s="3">
        <v>2023</v>
      </c>
      <c r="AE1185" s="3">
        <v>28</v>
      </c>
      <c r="AF1185" s="5">
        <v>0.6</v>
      </c>
      <c r="AG1185" s="3"/>
      <c r="AH1185" t="s">
        <v>112</v>
      </c>
    </row>
    <row r="1186" spans="1:34" hidden="1" x14ac:dyDescent="0.35">
      <c r="A1186" t="str">
        <f>_xlfn.CONCAT(Tableau1[[#This Row],[Athletes]],"_",Tableau1[[#This Row],[Nationality]],"_",Tableau1[[#This Row],[Competition_year]])</f>
        <v>Yared NUGUSE_USA_2023</v>
      </c>
      <c r="B1186" t="s">
        <v>228</v>
      </c>
      <c r="C1186" t="s">
        <v>16</v>
      </c>
      <c r="D1186" t="s">
        <v>51</v>
      </c>
      <c r="E1186">
        <v>13.61</v>
      </c>
      <c r="F1186">
        <v>14.49</v>
      </c>
      <c r="G1186">
        <v>13.52</v>
      </c>
      <c r="H1186">
        <v>14.56</v>
      </c>
      <c r="I1186">
        <v>14.9</v>
      </c>
      <c r="J1186">
        <v>14.46</v>
      </c>
      <c r="K1186">
        <v>14.72</v>
      </c>
      <c r="L1186">
        <v>14.9</v>
      </c>
      <c r="M1186">
        <v>14.68</v>
      </c>
      <c r="N1186">
        <v>14.93</v>
      </c>
      <c r="O1186">
        <v>14.28</v>
      </c>
      <c r="P1186">
        <v>14.26</v>
      </c>
      <c r="Q1186">
        <v>13.71</v>
      </c>
      <c r="R1186">
        <v>14.03</v>
      </c>
      <c r="S1186">
        <f>Tableau1[[#This Row],[Final_time]]-SUM(Tableau1[[#This Row],[0_100m]:[1300_1400m]])</f>
        <v>13.109999999999957</v>
      </c>
      <c r="T1186">
        <v>214.16</v>
      </c>
      <c r="U1186">
        <f t="shared" si="36"/>
        <v>214.16</v>
      </c>
      <c r="V1186">
        <f t="shared" si="37"/>
        <v>0</v>
      </c>
      <c r="W1186" s="12" t="s">
        <v>109</v>
      </c>
      <c r="X1186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86" t="s">
        <v>98</v>
      </c>
      <c r="Z1186" s="2" t="s">
        <v>99</v>
      </c>
      <c r="AA1186" s="2" t="s">
        <v>134</v>
      </c>
      <c r="AB1186" s="2" t="s">
        <v>65</v>
      </c>
      <c r="AC1186" s="2">
        <v>45157</v>
      </c>
      <c r="AD1186" s="3">
        <v>2023</v>
      </c>
      <c r="AE1186" s="3">
        <v>28</v>
      </c>
      <c r="AF1186" s="5">
        <v>0.6</v>
      </c>
      <c r="AG1186" s="3"/>
      <c r="AH1186" t="s">
        <v>112</v>
      </c>
    </row>
    <row r="1187" spans="1:34" hidden="1" x14ac:dyDescent="0.35">
      <c r="A1187" t="str">
        <f>_xlfn.CONCAT(Tableau1[[#This Row],[Athletes]],"_",Tableau1[[#This Row],[Nationality]],"_",Tableau1[[#This Row],[Competition_year]])</f>
        <v>Abel KIPSANG_KEN_2023</v>
      </c>
      <c r="B1187" t="s">
        <v>227</v>
      </c>
      <c r="C1187" t="s">
        <v>16</v>
      </c>
      <c r="D1187" t="s">
        <v>17</v>
      </c>
      <c r="E1187">
        <v>13.12</v>
      </c>
      <c r="F1187">
        <v>13.81</v>
      </c>
      <c r="G1187">
        <v>14.11</v>
      </c>
      <c r="H1187">
        <v>14.28</v>
      </c>
      <c r="I1187">
        <v>14.95</v>
      </c>
      <c r="J1187">
        <v>14.66</v>
      </c>
      <c r="K1187">
        <v>14.99</v>
      </c>
      <c r="L1187">
        <v>14.8</v>
      </c>
      <c r="M1187">
        <v>14.74</v>
      </c>
      <c r="N1187">
        <v>14.92</v>
      </c>
      <c r="O1187">
        <v>14.4</v>
      </c>
      <c r="P1187">
        <v>14.25</v>
      </c>
      <c r="Q1187">
        <v>13.82</v>
      </c>
      <c r="R1187">
        <v>14.07</v>
      </c>
      <c r="S1187">
        <f>Tableau1[[#This Row],[Final_time]]-SUM(Tableau1[[#This Row],[0_100m]:[1300_1400m]])</f>
        <v>13.160000000000053</v>
      </c>
      <c r="T1187">
        <v>214.08</v>
      </c>
      <c r="U1187">
        <f t="shared" si="36"/>
        <v>214.08</v>
      </c>
      <c r="V1187">
        <f t="shared" si="37"/>
        <v>0</v>
      </c>
      <c r="W1187" s="12" t="s">
        <v>109</v>
      </c>
      <c r="X1187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87" t="s">
        <v>98</v>
      </c>
      <c r="Z1187" s="2" t="s">
        <v>99</v>
      </c>
      <c r="AA1187" s="2" t="s">
        <v>134</v>
      </c>
      <c r="AB1187" s="2" t="s">
        <v>65</v>
      </c>
      <c r="AC1187" s="2">
        <v>45157</v>
      </c>
      <c r="AD1187" s="3">
        <v>2023</v>
      </c>
      <c r="AE1187" s="3">
        <v>28</v>
      </c>
      <c r="AF1187" s="5">
        <v>0.6</v>
      </c>
      <c r="AG1187" s="3"/>
      <c r="AH1187" t="s">
        <v>112</v>
      </c>
    </row>
    <row r="1188" spans="1:34" hidden="1" x14ac:dyDescent="0.35">
      <c r="A1188" t="str">
        <f>_xlfn.CONCAT(Tableau1[[#This Row],[Athletes]],"_",Tableau1[[#This Row],[Nationality]],"_",Tableau1[[#This Row],[Competition_year]])</f>
        <v>Charles GRETHEN_LUX_2023</v>
      </c>
      <c r="B1188" t="s">
        <v>230</v>
      </c>
      <c r="C1188" t="s">
        <v>16</v>
      </c>
      <c r="D1188" t="s">
        <v>76</v>
      </c>
      <c r="E1188">
        <v>13.21</v>
      </c>
      <c r="F1188">
        <v>13.63</v>
      </c>
      <c r="G1188">
        <v>15.79</v>
      </c>
      <c r="H1188">
        <v>12.88</v>
      </c>
      <c r="I1188">
        <v>14.89</v>
      </c>
      <c r="J1188">
        <v>14.73</v>
      </c>
      <c r="K1188">
        <v>15.24</v>
      </c>
      <c r="L1188">
        <v>14.39</v>
      </c>
      <c r="M1188">
        <v>14.84</v>
      </c>
      <c r="N1188">
        <v>14.66</v>
      </c>
      <c r="O1188">
        <v>14.76</v>
      </c>
      <c r="P1188">
        <v>14.18</v>
      </c>
      <c r="Q1188">
        <v>13.78</v>
      </c>
      <c r="R1188">
        <v>13.93</v>
      </c>
      <c r="S1188">
        <f>Tableau1[[#This Row],[Final_time]]-SUM(Tableau1[[#This Row],[0_100m]:[1300_1400m]])</f>
        <v>13.409999999999997</v>
      </c>
      <c r="T1188">
        <v>214.32</v>
      </c>
      <c r="U1188">
        <f t="shared" si="36"/>
        <v>214.32</v>
      </c>
      <c r="V1188">
        <f t="shared" si="37"/>
        <v>0</v>
      </c>
      <c r="W1188" s="12" t="s">
        <v>109</v>
      </c>
      <c r="X1188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88" t="s">
        <v>98</v>
      </c>
      <c r="Z1188" s="2" t="s">
        <v>99</v>
      </c>
      <c r="AA1188" s="2" t="s">
        <v>134</v>
      </c>
      <c r="AB1188" s="2" t="s">
        <v>65</v>
      </c>
      <c r="AC1188" s="2">
        <v>45157</v>
      </c>
      <c r="AD1188" s="3">
        <v>2023</v>
      </c>
      <c r="AE1188" s="3">
        <v>28</v>
      </c>
      <c r="AF1188" s="5">
        <v>0.6</v>
      </c>
      <c r="AG1188" s="3"/>
      <c r="AH1188" t="s">
        <v>112</v>
      </c>
    </row>
    <row r="1189" spans="1:34" hidden="1" x14ac:dyDescent="0.35">
      <c r="A1189" t="str">
        <f>_xlfn.CONCAT(Tableau1[[#This Row],[Athletes]],"_",Tableau1[[#This Row],[Nationality]],"_",Tableau1[[#This Row],[Competition_year]])</f>
        <v>Elliot GILES_GBR_2023</v>
      </c>
      <c r="B1189" t="s">
        <v>231</v>
      </c>
      <c r="C1189" t="s">
        <v>16</v>
      </c>
      <c r="D1189" t="s">
        <v>20</v>
      </c>
      <c r="E1189">
        <v>13.27</v>
      </c>
      <c r="F1189">
        <v>13.94</v>
      </c>
      <c r="G1189">
        <v>16.489999999999998</v>
      </c>
      <c r="H1189">
        <v>12.14</v>
      </c>
      <c r="I1189">
        <v>15</v>
      </c>
      <c r="J1189">
        <v>14.78</v>
      </c>
      <c r="K1189">
        <v>16.39</v>
      </c>
      <c r="L1189">
        <v>13.07</v>
      </c>
      <c r="M1189">
        <v>15.27</v>
      </c>
      <c r="N1189">
        <v>14.21</v>
      </c>
      <c r="O1189">
        <v>15.04</v>
      </c>
      <c r="P1189">
        <v>14.02</v>
      </c>
      <c r="Q1189">
        <v>13.64</v>
      </c>
      <c r="R1189">
        <v>13.94</v>
      </c>
      <c r="S1189">
        <f>Tableau1[[#This Row],[Final_time]]-SUM(Tableau1[[#This Row],[0_100m]:[1300_1400m]])</f>
        <v>13.42999999999995</v>
      </c>
      <c r="T1189">
        <v>214.63</v>
      </c>
      <c r="U1189">
        <f t="shared" si="36"/>
        <v>214.63</v>
      </c>
      <c r="V1189">
        <f t="shared" si="37"/>
        <v>0</v>
      </c>
      <c r="W1189" s="12" t="s">
        <v>109</v>
      </c>
      <c r="X1189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89" t="s">
        <v>98</v>
      </c>
      <c r="Z1189" s="2" t="s">
        <v>99</v>
      </c>
      <c r="AA1189" s="2" t="s">
        <v>134</v>
      </c>
      <c r="AB1189" s="2" t="s">
        <v>65</v>
      </c>
      <c r="AC1189" s="2">
        <v>45157</v>
      </c>
      <c r="AD1189" s="3">
        <v>2023</v>
      </c>
      <c r="AE1189" s="3">
        <v>28</v>
      </c>
      <c r="AF1189" s="5">
        <v>0.6</v>
      </c>
      <c r="AG1189" s="3"/>
      <c r="AH1189" t="s">
        <v>112</v>
      </c>
    </row>
    <row r="1190" spans="1:34" hidden="1" x14ac:dyDescent="0.35">
      <c r="A1190" t="str">
        <f>_xlfn.CONCAT(Tableau1[[#This Row],[Athletes]],"_",Tableau1[[#This Row],[Nationality]],"_",Tableau1[[#This Row],[Competition_year]])</f>
        <v>Andrew COSCORAN_IRL_2023</v>
      </c>
      <c r="B1190" t="s">
        <v>232</v>
      </c>
      <c r="C1190" t="s">
        <v>16</v>
      </c>
      <c r="D1190" t="s">
        <v>35</v>
      </c>
      <c r="E1190">
        <v>13.47</v>
      </c>
      <c r="F1190">
        <v>14.09</v>
      </c>
      <c r="G1190">
        <v>14.48</v>
      </c>
      <c r="H1190">
        <v>14</v>
      </c>
      <c r="I1190">
        <v>14.99</v>
      </c>
      <c r="J1190">
        <v>14.81</v>
      </c>
      <c r="K1190">
        <v>14.62</v>
      </c>
      <c r="L1190">
        <v>14.85</v>
      </c>
      <c r="M1190">
        <v>14.7</v>
      </c>
      <c r="N1190">
        <v>14.71</v>
      </c>
      <c r="O1190">
        <v>14.45</v>
      </c>
      <c r="P1190">
        <v>14.38</v>
      </c>
      <c r="Q1190">
        <v>13.51</v>
      </c>
      <c r="R1190">
        <v>14.21</v>
      </c>
      <c r="S1190">
        <f>Tableau1[[#This Row],[Final_time]]-SUM(Tableau1[[#This Row],[0_100m]:[1300_1400m]])</f>
        <v>13.480000000000018</v>
      </c>
      <c r="T1190">
        <v>214.75</v>
      </c>
      <c r="U1190">
        <f t="shared" si="36"/>
        <v>214.75</v>
      </c>
      <c r="V1190">
        <f t="shared" si="37"/>
        <v>0</v>
      </c>
      <c r="W1190" s="12" t="s">
        <v>109</v>
      </c>
      <c r="X1190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0" t="s">
        <v>98</v>
      </c>
      <c r="Z1190" s="2" t="s">
        <v>99</v>
      </c>
      <c r="AA1190" s="2" t="s">
        <v>134</v>
      </c>
      <c r="AB1190" s="2" t="s">
        <v>65</v>
      </c>
      <c r="AC1190" s="2">
        <v>45157</v>
      </c>
      <c r="AD1190" s="3">
        <v>2023</v>
      </c>
      <c r="AE1190" s="3">
        <v>28</v>
      </c>
      <c r="AF1190" s="5">
        <v>0.6</v>
      </c>
      <c r="AG1190" s="3"/>
      <c r="AH1190" t="s">
        <v>112</v>
      </c>
    </row>
    <row r="1191" spans="1:34" hidden="1" x14ac:dyDescent="0.35">
      <c r="A1191" t="str">
        <f>_xlfn.CONCAT(Tableau1[[#This Row],[Athletes]],"_",Tableau1[[#This Row],[Nationality]],"_",Tableau1[[#This Row],[Competition_year]])</f>
        <v>Raphael PALLITSCH_AUT_2023</v>
      </c>
      <c r="B1191" t="s">
        <v>237</v>
      </c>
      <c r="C1191" t="s">
        <v>16</v>
      </c>
      <c r="D1191" t="s">
        <v>41</v>
      </c>
      <c r="E1191">
        <v>13.83</v>
      </c>
      <c r="F1191">
        <v>14.1</v>
      </c>
      <c r="G1191">
        <v>14.54</v>
      </c>
      <c r="H1191">
        <v>14.55</v>
      </c>
      <c r="I1191">
        <v>14.98</v>
      </c>
      <c r="J1191">
        <v>15.26</v>
      </c>
      <c r="K1191">
        <v>14.33</v>
      </c>
      <c r="L1191">
        <v>14.73</v>
      </c>
      <c r="M1191">
        <v>14.59</v>
      </c>
      <c r="N1191">
        <v>14.85</v>
      </c>
      <c r="O1191">
        <v>14.44</v>
      </c>
      <c r="P1191">
        <v>14.22</v>
      </c>
      <c r="Q1191">
        <v>14.16</v>
      </c>
      <c r="R1191">
        <v>14.23</v>
      </c>
      <c r="S1191">
        <f>Tableau1[[#This Row],[Final_time]]-SUM(Tableau1[[#This Row],[0_100m]:[1300_1400m]])</f>
        <v>13.660000000000025</v>
      </c>
      <c r="T1191">
        <v>216.47</v>
      </c>
      <c r="U1191">
        <f t="shared" si="36"/>
        <v>216.47</v>
      </c>
      <c r="V1191">
        <f t="shared" si="37"/>
        <v>0</v>
      </c>
      <c r="W1191" s="12"/>
      <c r="X1191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1" t="s">
        <v>98</v>
      </c>
      <c r="Z1191" s="2" t="s">
        <v>99</v>
      </c>
      <c r="AA1191" s="2" t="s">
        <v>134</v>
      </c>
      <c r="AB1191" s="2" t="s">
        <v>65</v>
      </c>
      <c r="AC1191" s="2">
        <v>45157</v>
      </c>
      <c r="AD1191" s="3">
        <v>2023</v>
      </c>
      <c r="AE1191" s="3">
        <v>28</v>
      </c>
      <c r="AF1191" s="5">
        <v>0.6</v>
      </c>
      <c r="AG1191" s="3"/>
      <c r="AH1191" t="s">
        <v>112</v>
      </c>
    </row>
    <row r="1192" spans="1:34" hidden="1" x14ac:dyDescent="0.35">
      <c r="A1192" t="str">
        <f>_xlfn.CONCAT(Tableau1[[#This Row],[Athletes]],"_",Tableau1[[#This Row],[Nationality]],"_",Tableau1[[#This Row],[Competition_year]])</f>
        <v>Salim KEDDAR_ALG_2023</v>
      </c>
      <c r="B1192" t="s">
        <v>234</v>
      </c>
      <c r="C1192" t="s">
        <v>16</v>
      </c>
      <c r="D1192" t="s">
        <v>124</v>
      </c>
      <c r="E1192">
        <v>13.7</v>
      </c>
      <c r="F1192">
        <v>14.85</v>
      </c>
      <c r="G1192">
        <v>13.43</v>
      </c>
      <c r="H1192">
        <v>14.61</v>
      </c>
      <c r="I1192">
        <v>14.81</v>
      </c>
      <c r="J1192">
        <v>14.57</v>
      </c>
      <c r="K1192">
        <v>14.72</v>
      </c>
      <c r="L1192">
        <v>15.01</v>
      </c>
      <c r="M1192">
        <v>14.63</v>
      </c>
      <c r="N1192">
        <v>14.82</v>
      </c>
      <c r="O1192">
        <v>15.47</v>
      </c>
      <c r="P1192">
        <v>13.41</v>
      </c>
      <c r="Q1192">
        <v>13.7</v>
      </c>
      <c r="R1192">
        <v>13.67</v>
      </c>
      <c r="S1192">
        <f>Tableau1[[#This Row],[Final_time]]-SUM(Tableau1[[#This Row],[0_100m]:[1300_1400m]])</f>
        <v>13.77000000000001</v>
      </c>
      <c r="T1192">
        <v>215.17</v>
      </c>
      <c r="U1192">
        <f t="shared" si="36"/>
        <v>215.17</v>
      </c>
      <c r="V1192">
        <f t="shared" si="37"/>
        <v>0</v>
      </c>
      <c r="W1192" s="12"/>
      <c r="X1192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2" t="s">
        <v>98</v>
      </c>
      <c r="Z1192" s="2" t="s">
        <v>99</v>
      </c>
      <c r="AA1192" s="2" t="s">
        <v>134</v>
      </c>
      <c r="AB1192" s="2" t="s">
        <v>65</v>
      </c>
      <c r="AC1192" s="2">
        <v>45157</v>
      </c>
      <c r="AD1192" s="3">
        <v>2023</v>
      </c>
      <c r="AE1192" s="3">
        <v>28</v>
      </c>
      <c r="AF1192" s="5">
        <v>0.6</v>
      </c>
      <c r="AG1192" s="3"/>
      <c r="AH1192" t="s">
        <v>112</v>
      </c>
    </row>
    <row r="1193" spans="1:34" hidden="1" x14ac:dyDescent="0.35">
      <c r="A1193" t="str">
        <f>_xlfn.CONCAT(Tableau1[[#This Row],[Athletes]],"_",Tableau1[[#This Row],[Nationality]],"_",Tableau1[[#This Row],[Competition_year]])</f>
        <v>Ossama MESLEK_ITA_2023</v>
      </c>
      <c r="B1193" t="s">
        <v>233</v>
      </c>
      <c r="C1193" t="s">
        <v>16</v>
      </c>
      <c r="D1193" t="s">
        <v>19</v>
      </c>
      <c r="E1193">
        <v>13.45</v>
      </c>
      <c r="F1193">
        <v>14.21</v>
      </c>
      <c r="G1193">
        <v>14.29</v>
      </c>
      <c r="H1193">
        <v>14.57</v>
      </c>
      <c r="I1193">
        <v>15</v>
      </c>
      <c r="J1193">
        <v>14.74</v>
      </c>
      <c r="K1193">
        <v>15.78</v>
      </c>
      <c r="L1193">
        <v>13.79</v>
      </c>
      <c r="M1193">
        <v>14.63</v>
      </c>
      <c r="N1193">
        <v>14.66</v>
      </c>
      <c r="O1193">
        <v>14.25</v>
      </c>
      <c r="P1193">
        <v>14.36</v>
      </c>
      <c r="Q1193">
        <v>13.67</v>
      </c>
      <c r="R1193">
        <v>13.91</v>
      </c>
      <c r="S1193">
        <f>Tableau1[[#This Row],[Final_time]]-SUM(Tableau1[[#This Row],[0_100m]:[1300_1400m]])</f>
        <v>13.810000000000002</v>
      </c>
      <c r="T1193">
        <v>215.12</v>
      </c>
      <c r="U1193">
        <f t="shared" si="36"/>
        <v>215.12</v>
      </c>
      <c r="V1193">
        <f t="shared" si="37"/>
        <v>0</v>
      </c>
      <c r="W1193" s="12"/>
      <c r="X1193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3" t="s">
        <v>98</v>
      </c>
      <c r="Z1193" s="2" t="s">
        <v>99</v>
      </c>
      <c r="AA1193" s="2" t="s">
        <v>134</v>
      </c>
      <c r="AB1193" s="2" t="s">
        <v>65</v>
      </c>
      <c r="AC1193" s="2">
        <v>45157</v>
      </c>
      <c r="AD1193" s="3">
        <v>2023</v>
      </c>
      <c r="AE1193" s="3">
        <v>28</v>
      </c>
      <c r="AF1193" s="5">
        <v>0.6</v>
      </c>
      <c r="AG1193" s="3"/>
      <c r="AH1193" t="s">
        <v>112</v>
      </c>
    </row>
    <row r="1194" spans="1:34" hidden="1" x14ac:dyDescent="0.35">
      <c r="A1194" t="str">
        <f>_xlfn.CONCAT(Tableau1[[#This Row],[Athletes]],"_",Tableau1[[#This Row],[Nationality]],"_",Tableau1[[#This Row],[Competition_year]])</f>
        <v>Jochem VERMEULEN_BEL_2023</v>
      </c>
      <c r="B1194" t="s">
        <v>235</v>
      </c>
      <c r="C1194" t="s">
        <v>16</v>
      </c>
      <c r="D1194" t="s">
        <v>86</v>
      </c>
      <c r="E1194">
        <v>13.47</v>
      </c>
      <c r="F1194">
        <v>16.059999999999999</v>
      </c>
      <c r="G1194">
        <v>11.83</v>
      </c>
      <c r="H1194">
        <v>14.59</v>
      </c>
      <c r="I1194">
        <v>15.13</v>
      </c>
      <c r="J1194">
        <v>14.98</v>
      </c>
      <c r="K1194">
        <v>14.49</v>
      </c>
      <c r="L1194">
        <v>14.98</v>
      </c>
      <c r="M1194">
        <v>14.55</v>
      </c>
      <c r="N1194">
        <v>14.64</v>
      </c>
      <c r="O1194">
        <v>14.69</v>
      </c>
      <c r="P1194">
        <v>14.38</v>
      </c>
      <c r="Q1194">
        <v>13.77</v>
      </c>
      <c r="R1194">
        <v>13.62</v>
      </c>
      <c r="S1194">
        <f>Tableau1[[#This Row],[Final_time]]-SUM(Tableau1[[#This Row],[0_100m]:[1300_1400m]])</f>
        <v>14.269999999999953</v>
      </c>
      <c r="T1194">
        <v>215.45</v>
      </c>
      <c r="U1194">
        <f t="shared" si="36"/>
        <v>215.45</v>
      </c>
      <c r="V1194">
        <f t="shared" si="37"/>
        <v>0</v>
      </c>
      <c r="W1194" s="12"/>
      <c r="X1194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4" t="s">
        <v>98</v>
      </c>
      <c r="Z1194" s="2" t="s">
        <v>99</v>
      </c>
      <c r="AA1194" s="2" t="s">
        <v>134</v>
      </c>
      <c r="AB1194" s="2" t="s">
        <v>65</v>
      </c>
      <c r="AC1194" s="2">
        <v>45157</v>
      </c>
      <c r="AD1194" s="3">
        <v>2023</v>
      </c>
      <c r="AE1194" s="3">
        <v>28</v>
      </c>
      <c r="AF1194" s="5">
        <v>0.6</v>
      </c>
      <c r="AG1194" s="3"/>
      <c r="AH1194" t="s">
        <v>112</v>
      </c>
    </row>
    <row r="1195" spans="1:34" hidden="1" x14ac:dyDescent="0.35">
      <c r="A1195" t="str">
        <f>_xlfn.CONCAT(Tableau1[[#This Row],[Athletes]],"_",Tableau1[[#This Row],[Nationality]],"_",Tableau1[[#This Row],[Competition_year]])</f>
        <v>Michał ROZMYS_POL_2023</v>
      </c>
      <c r="B1195" t="s">
        <v>236</v>
      </c>
      <c r="C1195" t="s">
        <v>16</v>
      </c>
      <c r="D1195" t="s">
        <v>83</v>
      </c>
      <c r="E1195">
        <v>13.24</v>
      </c>
      <c r="F1195">
        <v>13.72</v>
      </c>
      <c r="G1195">
        <v>14.21</v>
      </c>
      <c r="H1195">
        <v>14.56</v>
      </c>
      <c r="I1195">
        <v>14.89</v>
      </c>
      <c r="J1195">
        <v>14.58</v>
      </c>
      <c r="K1195">
        <v>15.13</v>
      </c>
      <c r="L1195">
        <v>14.71</v>
      </c>
      <c r="M1195">
        <v>14.72</v>
      </c>
      <c r="N1195">
        <v>15.3</v>
      </c>
      <c r="O1195">
        <v>14.06</v>
      </c>
      <c r="P1195">
        <v>14.3</v>
      </c>
      <c r="Q1195">
        <v>13.76</v>
      </c>
      <c r="R1195">
        <v>14.61</v>
      </c>
      <c r="S1195">
        <f>Tableau1[[#This Row],[Final_time]]-SUM(Tableau1[[#This Row],[0_100m]:[1300_1400m]])</f>
        <v>14.46999999999997</v>
      </c>
      <c r="T1195">
        <v>216.26</v>
      </c>
      <c r="U1195">
        <f t="shared" si="36"/>
        <v>216.26</v>
      </c>
      <c r="V1195">
        <f t="shared" si="37"/>
        <v>0</v>
      </c>
      <c r="W1195" s="12"/>
      <c r="X1195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5" t="s">
        <v>98</v>
      </c>
      <c r="Z1195" s="2" t="s">
        <v>99</v>
      </c>
      <c r="AA1195" s="2" t="s">
        <v>134</v>
      </c>
      <c r="AB1195" s="2" t="s">
        <v>65</v>
      </c>
      <c r="AC1195" s="2">
        <v>45157</v>
      </c>
      <c r="AD1195" s="3">
        <v>2023</v>
      </c>
      <c r="AE1195" s="3">
        <v>28</v>
      </c>
      <c r="AF1195" s="5">
        <v>0.6</v>
      </c>
      <c r="AG1195" s="3"/>
      <c r="AH1195" t="s">
        <v>112</v>
      </c>
    </row>
    <row r="1196" spans="1:34" hidden="1" x14ac:dyDescent="0.35">
      <c r="A1196" t="str">
        <f>_xlfn.CONCAT(Tableau1[[#This Row],[Athletes]],"_",Tableau1[[#This Row],[Nationality]],"_",Tableau1[[#This Row],[Competition_year]])</f>
        <v>Kristian Uldbjerg HANSEN_DEN_2023</v>
      </c>
      <c r="B1196" t="s">
        <v>238</v>
      </c>
      <c r="C1196" t="s">
        <v>16</v>
      </c>
      <c r="D1196" t="s">
        <v>40</v>
      </c>
      <c r="E1196">
        <v>13.57</v>
      </c>
      <c r="F1196">
        <v>13.91</v>
      </c>
      <c r="G1196">
        <v>15.34</v>
      </c>
      <c r="H1196">
        <v>13.45</v>
      </c>
      <c r="I1196">
        <v>15</v>
      </c>
      <c r="J1196">
        <v>15.11</v>
      </c>
      <c r="K1196">
        <v>15.12</v>
      </c>
      <c r="L1196">
        <v>14.17</v>
      </c>
      <c r="M1196">
        <v>14.63</v>
      </c>
      <c r="N1196">
        <v>14.66</v>
      </c>
      <c r="O1196">
        <v>14.62</v>
      </c>
      <c r="P1196">
        <v>14.35</v>
      </c>
      <c r="Q1196">
        <v>14.12</v>
      </c>
      <c r="R1196">
        <v>14.41</v>
      </c>
      <c r="S1196">
        <f>Tableau1[[#This Row],[Final_time]]-SUM(Tableau1[[#This Row],[0_100m]:[1300_1400m]])</f>
        <v>14.810000000000002</v>
      </c>
      <c r="T1196">
        <v>217.27</v>
      </c>
      <c r="U1196">
        <f t="shared" si="36"/>
        <v>217.27</v>
      </c>
      <c r="V1196">
        <f t="shared" si="37"/>
        <v>0</v>
      </c>
      <c r="W1196" s="12"/>
      <c r="X1196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6" t="s">
        <v>98</v>
      </c>
      <c r="Z1196" s="2" t="s">
        <v>99</v>
      </c>
      <c r="AA1196" s="2" t="s">
        <v>134</v>
      </c>
      <c r="AB1196" s="2" t="s">
        <v>65</v>
      </c>
      <c r="AC1196" s="2">
        <v>45157</v>
      </c>
      <c r="AD1196" s="3">
        <v>2023</v>
      </c>
      <c r="AE1196" s="3">
        <v>28</v>
      </c>
      <c r="AF1196" s="5">
        <v>0.6</v>
      </c>
      <c r="AG1196" s="3"/>
      <c r="AH1196" t="s">
        <v>112</v>
      </c>
    </row>
    <row r="1197" spans="1:34" hidden="1" x14ac:dyDescent="0.35">
      <c r="A1197" t="str">
        <f>_xlfn.CONCAT(Tableau1[[#This Row],[Athletes]],"_",Tableau1[[#This Row],[Nationality]],"_",Tableau1[[#This Row],[Competition_year]])</f>
        <v>Adisu GIRMA_ETH_2023</v>
      </c>
      <c r="B1197" t="s">
        <v>239</v>
      </c>
      <c r="C1197" t="s">
        <v>16</v>
      </c>
      <c r="D1197" t="s">
        <v>48</v>
      </c>
      <c r="E1197">
        <v>13.49</v>
      </c>
      <c r="F1197">
        <v>14.28</v>
      </c>
      <c r="G1197">
        <v>14.07</v>
      </c>
      <c r="H1197">
        <v>14.63</v>
      </c>
      <c r="I1197">
        <v>15.06</v>
      </c>
      <c r="J1197">
        <v>15.98</v>
      </c>
      <c r="K1197">
        <v>13.87</v>
      </c>
      <c r="L1197">
        <v>15.05</v>
      </c>
      <c r="M1197">
        <v>15.15</v>
      </c>
      <c r="N1197">
        <v>15.11</v>
      </c>
      <c r="O1197">
        <v>14.89</v>
      </c>
      <c r="P1197">
        <v>15.54</v>
      </c>
      <c r="Q1197">
        <v>15.56</v>
      </c>
      <c r="R1197">
        <v>16.8</v>
      </c>
      <c r="S1197">
        <f>Tableau1[[#This Row],[Final_time]]-SUM(Tableau1[[#This Row],[0_100m]:[1300_1400m]])</f>
        <v>16.380000000000024</v>
      </c>
      <c r="T1197">
        <v>225.86</v>
      </c>
      <c r="U1197">
        <f t="shared" si="36"/>
        <v>225.86</v>
      </c>
      <c r="V1197">
        <f t="shared" si="37"/>
        <v>0</v>
      </c>
      <c r="W1197" s="12"/>
      <c r="X1197" t="str">
        <f>_xlfn.CONCAT(Tableau1[[#This Row],[Competition]],"_",Tableau1[[#This Row],[Championship_step]],"_",Tableau1[[#This Row],[Competition_date]],"_",Tableau1[[#This Row],[Gender]])</f>
        <v>World Championships Budapest 2023_Heat 4_45157_Male</v>
      </c>
      <c r="Y1197" t="s">
        <v>98</v>
      </c>
      <c r="Z1197" s="2" t="s">
        <v>99</v>
      </c>
      <c r="AA1197" s="2" t="s">
        <v>134</v>
      </c>
      <c r="AB1197" s="2" t="s">
        <v>65</v>
      </c>
      <c r="AC1197" s="2">
        <v>45157</v>
      </c>
      <c r="AD1197" s="3">
        <v>2023</v>
      </c>
      <c r="AE1197" s="3">
        <v>28</v>
      </c>
      <c r="AF1197" s="5">
        <v>0.6</v>
      </c>
      <c r="AG1197" s="3"/>
      <c r="AH1197" t="s">
        <v>112</v>
      </c>
    </row>
    <row r="1198" spans="1:34" hidden="1" x14ac:dyDescent="0.35">
      <c r="A1198" t="str">
        <f>_xlfn.CONCAT(Tableau1[[#This Row],[Athletes]],"_",Tableau1[[#This Row],[Nationality]],"_",Tableau1[[#This Row],[Competition_year]])</f>
        <v>Ludovica CAVALLI_ITA_2023</v>
      </c>
      <c r="B1198" t="s">
        <v>182</v>
      </c>
      <c r="C1198" t="s">
        <v>47</v>
      </c>
      <c r="D1198" t="s">
        <v>19</v>
      </c>
      <c r="E1198">
        <v>15.16</v>
      </c>
      <c r="F1198">
        <v>17.010000000000002</v>
      </c>
      <c r="G1198">
        <v>17.36</v>
      </c>
      <c r="H1198">
        <v>17.16</v>
      </c>
      <c r="I1198">
        <v>17.71</v>
      </c>
      <c r="J1198">
        <v>17.64</v>
      </c>
      <c r="K1198">
        <v>16.82</v>
      </c>
      <c r="L1198">
        <v>16.66</v>
      </c>
      <c r="M1198">
        <v>15.73</v>
      </c>
      <c r="N1198">
        <v>15.76</v>
      </c>
      <c r="O1198">
        <v>15.72</v>
      </c>
      <c r="P1198">
        <v>15.67</v>
      </c>
      <c r="Q1198">
        <v>14.88</v>
      </c>
      <c r="R1198">
        <v>15</v>
      </c>
      <c r="S1198">
        <f>Tableau1[[#This Row],[Final_time]]-SUM(Tableau1[[#This Row],[0_100m]:[1300_1400m]])</f>
        <v>14.55000000000004</v>
      </c>
      <c r="T1198">
        <v>242.83</v>
      </c>
      <c r="U1198">
        <f t="shared" si="36"/>
        <v>242.83</v>
      </c>
      <c r="V1198">
        <f t="shared" si="37"/>
        <v>0</v>
      </c>
      <c r="W1198" s="12" t="s">
        <v>109</v>
      </c>
      <c r="X1198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198" t="s">
        <v>98</v>
      </c>
      <c r="Z1198" s="2" t="s">
        <v>106</v>
      </c>
      <c r="AA1198" s="2" t="s">
        <v>130</v>
      </c>
      <c r="AB1198" s="2" t="s">
        <v>65</v>
      </c>
      <c r="AC1198" s="2">
        <v>45158</v>
      </c>
      <c r="AD1198" s="3">
        <v>2023</v>
      </c>
      <c r="AE1198" s="3">
        <v>33</v>
      </c>
      <c r="AF1198" s="5">
        <v>0.46</v>
      </c>
      <c r="AG1198" s="3"/>
      <c r="AH1198" t="s">
        <v>107</v>
      </c>
    </row>
    <row r="1199" spans="1:34" hidden="1" x14ac:dyDescent="0.35">
      <c r="A1199" t="str">
        <f>_xlfn.CONCAT(Tableau1[[#This Row],[Athletes]],"_",Tableau1[[#This Row],[Nationality]],"_",Tableau1[[#This Row],[Competition_year]])</f>
        <v>Melissa COURTNEY-BRYANT_GBR_2023</v>
      </c>
      <c r="B1199" t="s">
        <v>168</v>
      </c>
      <c r="C1199" t="s">
        <v>47</v>
      </c>
      <c r="D1199" t="s">
        <v>20</v>
      </c>
      <c r="E1199">
        <v>15.29</v>
      </c>
      <c r="F1199">
        <v>17.12</v>
      </c>
      <c r="G1199">
        <v>17.32</v>
      </c>
      <c r="H1199">
        <v>17.32</v>
      </c>
      <c r="I1199">
        <v>17.57</v>
      </c>
      <c r="J1199">
        <v>17.75</v>
      </c>
      <c r="K1199">
        <v>18.3</v>
      </c>
      <c r="L1199">
        <v>15.17</v>
      </c>
      <c r="M1199">
        <v>15.6</v>
      </c>
      <c r="N1199">
        <v>15.79</v>
      </c>
      <c r="O1199">
        <v>15.61</v>
      </c>
      <c r="P1199">
        <v>15.65</v>
      </c>
      <c r="Q1199">
        <v>14.99</v>
      </c>
      <c r="R1199">
        <v>14.62</v>
      </c>
      <c r="S1199">
        <f>Tableau1[[#This Row],[Final_time]]-SUM(Tableau1[[#This Row],[0_100m]:[1300_1400m]])</f>
        <v>14.689999999999998</v>
      </c>
      <c r="T1199">
        <v>242.79</v>
      </c>
      <c r="U1199">
        <f t="shared" si="36"/>
        <v>242.79</v>
      </c>
      <c r="V1199">
        <f t="shared" si="37"/>
        <v>0</v>
      </c>
      <c r="W1199" s="12" t="s">
        <v>109</v>
      </c>
      <c r="X1199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199" t="s">
        <v>98</v>
      </c>
      <c r="Z1199" s="2" t="s">
        <v>106</v>
      </c>
      <c r="AA1199" s="2" t="s">
        <v>130</v>
      </c>
      <c r="AB1199" s="2" t="s">
        <v>65</v>
      </c>
      <c r="AC1199" s="2">
        <v>45158</v>
      </c>
      <c r="AD1199" s="3">
        <v>2023</v>
      </c>
      <c r="AE1199" s="3">
        <v>33</v>
      </c>
      <c r="AF1199" s="5">
        <v>0.46</v>
      </c>
      <c r="AG1199" s="3"/>
      <c r="AH1199" t="s">
        <v>107</v>
      </c>
    </row>
    <row r="1200" spans="1:34" hidden="1" x14ac:dyDescent="0.35">
      <c r="A1200" t="str">
        <f>_xlfn.CONCAT(Tableau1[[#This Row],[Athletes]],"_",Tableau1[[#This Row],[Nationality]],"_",Tableau1[[#This Row],[Competition_year]])</f>
        <v>Marta PÉREZ_ESP_2023</v>
      </c>
      <c r="B1200" t="s">
        <v>183</v>
      </c>
      <c r="C1200" t="s">
        <v>47</v>
      </c>
      <c r="D1200" t="s">
        <v>22</v>
      </c>
      <c r="E1200">
        <v>15.59</v>
      </c>
      <c r="F1200">
        <v>17.13</v>
      </c>
      <c r="G1200">
        <v>16.940000000000001</v>
      </c>
      <c r="H1200">
        <v>17.12</v>
      </c>
      <c r="I1200">
        <v>17.75</v>
      </c>
      <c r="J1200">
        <v>17.670000000000002</v>
      </c>
      <c r="K1200">
        <v>17.239999999999998</v>
      </c>
      <c r="L1200">
        <v>16.28</v>
      </c>
      <c r="M1200">
        <v>15.8</v>
      </c>
      <c r="N1200">
        <v>15.95</v>
      </c>
      <c r="O1200">
        <v>15.53</v>
      </c>
      <c r="P1200">
        <v>15.69</v>
      </c>
      <c r="Q1200">
        <v>14.84</v>
      </c>
      <c r="R1200">
        <v>14.73</v>
      </c>
      <c r="S1200">
        <f>Tableau1[[#This Row],[Final_time]]-SUM(Tableau1[[#This Row],[0_100m]:[1300_1400m]])</f>
        <v>14.700000000000017</v>
      </c>
      <c r="T1200">
        <v>242.96</v>
      </c>
      <c r="U1200">
        <f t="shared" si="36"/>
        <v>242.96</v>
      </c>
      <c r="V1200">
        <f t="shared" si="37"/>
        <v>0</v>
      </c>
      <c r="W1200" s="12"/>
      <c r="X1200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0" t="s">
        <v>98</v>
      </c>
      <c r="Z1200" s="2" t="s">
        <v>106</v>
      </c>
      <c r="AA1200" s="2" t="s">
        <v>130</v>
      </c>
      <c r="AB1200" s="2" t="s">
        <v>65</v>
      </c>
      <c r="AC1200" s="2">
        <v>45158</v>
      </c>
      <c r="AD1200" s="3">
        <v>2023</v>
      </c>
      <c r="AE1200" s="3">
        <v>33</v>
      </c>
      <c r="AF1200" s="5">
        <v>0.46</v>
      </c>
      <c r="AG1200" s="3"/>
      <c r="AH1200" t="s">
        <v>107</v>
      </c>
    </row>
    <row r="1201" spans="1:34" hidden="1" x14ac:dyDescent="0.35">
      <c r="A1201" t="str">
        <f>_xlfn.CONCAT(Tableau1[[#This Row],[Athletes]],"_",Tableau1[[#This Row],[Nationality]],"_",Tableau1[[#This Row],[Competition_year]])</f>
        <v>Nelly CHEPCHIRCHIR_KEN_2023</v>
      </c>
      <c r="B1201" t="s">
        <v>178</v>
      </c>
      <c r="C1201" t="s">
        <v>47</v>
      </c>
      <c r="D1201" t="s">
        <v>17</v>
      </c>
      <c r="E1201">
        <v>15.07</v>
      </c>
      <c r="F1201">
        <v>16.96</v>
      </c>
      <c r="G1201">
        <v>17.27</v>
      </c>
      <c r="H1201">
        <v>17.13</v>
      </c>
      <c r="I1201">
        <v>17.78</v>
      </c>
      <c r="J1201">
        <v>17.82</v>
      </c>
      <c r="K1201">
        <v>16.600000000000001</v>
      </c>
      <c r="L1201">
        <v>16.55</v>
      </c>
      <c r="M1201">
        <v>15.72</v>
      </c>
      <c r="N1201">
        <v>15.98</v>
      </c>
      <c r="O1201">
        <v>15.59</v>
      </c>
      <c r="P1201">
        <v>15.36</v>
      </c>
      <c r="Q1201">
        <v>14.64</v>
      </c>
      <c r="R1201">
        <v>14.83</v>
      </c>
      <c r="S1201">
        <f>Tableau1[[#This Row],[Final_time]]-SUM(Tableau1[[#This Row],[0_100m]:[1300_1400m]])</f>
        <v>14.840000000000003</v>
      </c>
      <c r="T1201">
        <v>242.14</v>
      </c>
      <c r="U1201">
        <f t="shared" si="36"/>
        <v>242.14</v>
      </c>
      <c r="V1201">
        <f t="shared" si="37"/>
        <v>0</v>
      </c>
      <c r="W1201" s="12" t="s">
        <v>109</v>
      </c>
      <c r="X1201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1" t="s">
        <v>98</v>
      </c>
      <c r="Z1201" s="2" t="s">
        <v>106</v>
      </c>
      <c r="AA1201" s="2" t="s">
        <v>130</v>
      </c>
      <c r="AB1201" s="2" t="s">
        <v>65</v>
      </c>
      <c r="AC1201" s="2">
        <v>45158</v>
      </c>
      <c r="AD1201" s="3">
        <v>2023</v>
      </c>
      <c r="AE1201" s="3">
        <v>33</v>
      </c>
      <c r="AF1201" s="5">
        <v>0.46</v>
      </c>
      <c r="AG1201" s="3"/>
      <c r="AH1201" t="s">
        <v>107</v>
      </c>
    </row>
    <row r="1202" spans="1:34" hidden="1" x14ac:dyDescent="0.35">
      <c r="A1202" t="str">
        <f>_xlfn.CONCAT(Tableau1[[#This Row],[Athletes]],"_",Tableau1[[#This Row],[Nationality]],"_",Tableau1[[#This Row],[Competition_year]])</f>
        <v>Ciara MAGEEAN_IRL_2023</v>
      </c>
      <c r="B1202" t="s">
        <v>180</v>
      </c>
      <c r="C1202" t="s">
        <v>47</v>
      </c>
      <c r="D1202" t="s">
        <v>35</v>
      </c>
      <c r="E1202">
        <v>15.12</v>
      </c>
      <c r="F1202">
        <v>17.11</v>
      </c>
      <c r="G1202">
        <v>17.329999999999998</v>
      </c>
      <c r="H1202">
        <v>17.350000000000001</v>
      </c>
      <c r="I1202">
        <v>17.62</v>
      </c>
      <c r="J1202">
        <v>17.71</v>
      </c>
      <c r="K1202">
        <v>16.739999999999998</v>
      </c>
      <c r="L1202">
        <v>16.66</v>
      </c>
      <c r="M1202">
        <v>15.51</v>
      </c>
      <c r="N1202">
        <v>15.97</v>
      </c>
      <c r="O1202">
        <v>15.67</v>
      </c>
      <c r="P1202">
        <v>15.55</v>
      </c>
      <c r="Q1202">
        <v>14.75</v>
      </c>
      <c r="R1202">
        <v>14.7</v>
      </c>
      <c r="S1202">
        <f>Tableau1[[#This Row],[Final_time]]-SUM(Tableau1[[#This Row],[0_100m]:[1300_1400m]])</f>
        <v>14.909999999999997</v>
      </c>
      <c r="T1202">
        <v>242.7</v>
      </c>
      <c r="U1202">
        <f t="shared" si="36"/>
        <v>242.7</v>
      </c>
      <c r="V1202">
        <f t="shared" si="37"/>
        <v>0</v>
      </c>
      <c r="W1202" s="12" t="s">
        <v>109</v>
      </c>
      <c r="X1202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2" t="s">
        <v>98</v>
      </c>
      <c r="Z1202" s="2" t="s">
        <v>106</v>
      </c>
      <c r="AA1202" s="2" t="s">
        <v>130</v>
      </c>
      <c r="AB1202" s="2" t="s">
        <v>65</v>
      </c>
      <c r="AC1202" s="2">
        <v>45158</v>
      </c>
      <c r="AD1202" s="3">
        <v>2023</v>
      </c>
      <c r="AE1202" s="3">
        <v>33</v>
      </c>
      <c r="AF1202" s="5">
        <v>0.46</v>
      </c>
      <c r="AG1202" s="3"/>
      <c r="AH1202" t="s">
        <v>107</v>
      </c>
    </row>
    <row r="1203" spans="1:34" hidden="1" x14ac:dyDescent="0.35">
      <c r="A1203" t="str">
        <f>_xlfn.CONCAT(Tableau1[[#This Row],[Athletes]],"_",Tableau1[[#This Row],[Nationality]],"_",Tableau1[[#This Row],[Competition_year]])</f>
        <v>Birke HAYLOM_ETH_2023</v>
      </c>
      <c r="B1203" t="s">
        <v>179</v>
      </c>
      <c r="C1203" t="s">
        <v>47</v>
      </c>
      <c r="D1203" t="s">
        <v>48</v>
      </c>
      <c r="E1203">
        <v>15.08</v>
      </c>
      <c r="F1203">
        <v>17.12</v>
      </c>
      <c r="G1203">
        <v>17.18</v>
      </c>
      <c r="H1203">
        <v>17.21</v>
      </c>
      <c r="I1203">
        <v>17.66</v>
      </c>
      <c r="J1203">
        <v>18.09</v>
      </c>
      <c r="K1203">
        <v>16.350000000000001</v>
      </c>
      <c r="L1203">
        <v>16.77</v>
      </c>
      <c r="M1203">
        <v>15.61</v>
      </c>
      <c r="N1203">
        <v>15.92</v>
      </c>
      <c r="O1203">
        <v>16.09</v>
      </c>
      <c r="P1203">
        <v>14.97</v>
      </c>
      <c r="Q1203">
        <v>14.69</v>
      </c>
      <c r="R1203">
        <v>14.67</v>
      </c>
      <c r="S1203">
        <f>Tableau1[[#This Row],[Final_time]]-SUM(Tableau1[[#This Row],[0_100m]:[1300_1400m]])</f>
        <v>15.05000000000004</v>
      </c>
      <c r="T1203">
        <v>242.46</v>
      </c>
      <c r="U1203">
        <f t="shared" si="36"/>
        <v>242.46</v>
      </c>
      <c r="V1203">
        <f t="shared" si="37"/>
        <v>0</v>
      </c>
      <c r="W1203" s="12" t="s">
        <v>109</v>
      </c>
      <c r="X1203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3" t="s">
        <v>98</v>
      </c>
      <c r="Z1203" s="2" t="s">
        <v>106</v>
      </c>
      <c r="AA1203" s="2" t="s">
        <v>130</v>
      </c>
      <c r="AB1203" s="2" t="s">
        <v>65</v>
      </c>
      <c r="AC1203" s="2">
        <v>45158</v>
      </c>
      <c r="AD1203" s="3">
        <v>2023</v>
      </c>
      <c r="AE1203" s="3">
        <v>33</v>
      </c>
      <c r="AF1203" s="5">
        <v>0.46</v>
      </c>
      <c r="AG1203" s="3"/>
      <c r="AH1203" t="s">
        <v>107</v>
      </c>
    </row>
    <row r="1204" spans="1:34" hidden="1" x14ac:dyDescent="0.35">
      <c r="A1204" t="str">
        <f>_xlfn.CONCAT(Tableau1[[#This Row],[Athletes]],"_",Tableau1[[#This Row],[Nationality]],"_",Tableau1[[#This Row],[Competition_year]])</f>
        <v>Cory Ann MCGEE_USA_2023</v>
      </c>
      <c r="B1204" t="s">
        <v>181</v>
      </c>
      <c r="C1204" t="s">
        <v>47</v>
      </c>
      <c r="D1204" t="s">
        <v>51</v>
      </c>
      <c r="E1204">
        <v>15.09</v>
      </c>
      <c r="F1204">
        <v>16.93</v>
      </c>
      <c r="G1204">
        <v>17.190000000000001</v>
      </c>
      <c r="H1204">
        <v>17.329999999999998</v>
      </c>
      <c r="I1204">
        <v>17.690000000000001</v>
      </c>
      <c r="J1204">
        <v>17.760000000000002</v>
      </c>
      <c r="K1204">
        <v>16.690000000000001</v>
      </c>
      <c r="L1204">
        <v>16.73</v>
      </c>
      <c r="M1204">
        <v>15.62</v>
      </c>
      <c r="N1204">
        <v>15.86</v>
      </c>
      <c r="O1204">
        <v>15.77</v>
      </c>
      <c r="P1204">
        <v>15.62</v>
      </c>
      <c r="Q1204">
        <v>14.62</v>
      </c>
      <c r="R1204">
        <v>14.72</v>
      </c>
      <c r="S1204">
        <f>Tableau1[[#This Row],[Final_time]]-SUM(Tableau1[[#This Row],[0_100m]:[1300_1400m]])</f>
        <v>15.090000000000003</v>
      </c>
      <c r="T1204">
        <v>242.71</v>
      </c>
      <c r="U1204">
        <f t="shared" si="36"/>
        <v>242.71</v>
      </c>
      <c r="V1204">
        <f t="shared" si="37"/>
        <v>0</v>
      </c>
      <c r="W1204" s="12" t="s">
        <v>109</v>
      </c>
      <c r="X1204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4" t="s">
        <v>98</v>
      </c>
      <c r="Z1204" s="2" t="s">
        <v>106</v>
      </c>
      <c r="AA1204" s="2" t="s">
        <v>130</v>
      </c>
      <c r="AB1204" s="2" t="s">
        <v>65</v>
      </c>
      <c r="AC1204" s="2">
        <v>45158</v>
      </c>
      <c r="AD1204" s="3">
        <v>2023</v>
      </c>
      <c r="AE1204" s="3">
        <v>33</v>
      </c>
      <c r="AF1204" s="5">
        <v>0.46</v>
      </c>
      <c r="AG1204" s="3"/>
      <c r="AH1204" t="s">
        <v>107</v>
      </c>
    </row>
    <row r="1205" spans="1:34" hidden="1" x14ac:dyDescent="0.35">
      <c r="A1205" t="str">
        <f>_xlfn.CONCAT(Tableau1[[#This Row],[Athletes]],"_",Tableau1[[#This Row],[Nationality]],"_",Tableau1[[#This Row],[Competition_year]])</f>
        <v>Edinah JEBITOK_KEN_2023</v>
      </c>
      <c r="B1205" t="s">
        <v>155</v>
      </c>
      <c r="C1205" t="s">
        <v>47</v>
      </c>
      <c r="D1205" t="s">
        <v>17</v>
      </c>
      <c r="E1205">
        <v>15.56</v>
      </c>
      <c r="F1205">
        <v>17.010000000000002</v>
      </c>
      <c r="G1205">
        <v>17.29</v>
      </c>
      <c r="H1205">
        <v>17.260000000000002</v>
      </c>
      <c r="I1205">
        <v>17.71</v>
      </c>
      <c r="J1205">
        <v>17.440000000000001</v>
      </c>
      <c r="K1205">
        <v>16.440000000000001</v>
      </c>
      <c r="L1205">
        <v>16.53</v>
      </c>
      <c r="M1205">
        <v>15.86</v>
      </c>
      <c r="N1205">
        <v>16.16</v>
      </c>
      <c r="O1205">
        <v>15.78</v>
      </c>
      <c r="P1205">
        <v>15.78</v>
      </c>
      <c r="Q1205">
        <v>15.32</v>
      </c>
      <c r="R1205">
        <v>15.75</v>
      </c>
      <c r="S1205">
        <f>Tableau1[[#This Row],[Final_time]]-SUM(Tableau1[[#This Row],[0_100m]:[1300_1400m]])</f>
        <v>15.519999999999982</v>
      </c>
      <c r="T1205">
        <v>245.41</v>
      </c>
      <c r="U1205">
        <f t="shared" si="36"/>
        <v>245.41</v>
      </c>
      <c r="V1205">
        <f t="shared" si="37"/>
        <v>0</v>
      </c>
      <c r="W1205" s="12"/>
      <c r="X1205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5" t="s">
        <v>98</v>
      </c>
      <c r="Z1205" s="2" t="s">
        <v>106</v>
      </c>
      <c r="AA1205" s="2" t="s">
        <v>130</v>
      </c>
      <c r="AB1205" s="2" t="s">
        <v>65</v>
      </c>
      <c r="AC1205" s="2">
        <v>45158</v>
      </c>
      <c r="AD1205" s="3">
        <v>2023</v>
      </c>
      <c r="AE1205" s="3">
        <v>33</v>
      </c>
      <c r="AF1205" s="5">
        <v>0.46</v>
      </c>
      <c r="AG1205" s="3"/>
      <c r="AH1205" t="s">
        <v>107</v>
      </c>
    </row>
    <row r="1206" spans="1:34" hidden="1" x14ac:dyDescent="0.35">
      <c r="A1206" t="str">
        <f>_xlfn.CONCAT(Tableau1[[#This Row],[Athletes]],"_",Tableau1[[#This Row],[Nationality]],"_",Tableau1[[#This Row],[Competition_year]])</f>
        <v>Linden HALL_AUS_2023</v>
      </c>
      <c r="B1206" t="s">
        <v>184</v>
      </c>
      <c r="C1206" t="s">
        <v>47</v>
      </c>
      <c r="D1206" t="s">
        <v>21</v>
      </c>
      <c r="E1206">
        <v>15.48</v>
      </c>
      <c r="F1206">
        <v>17.190000000000001</v>
      </c>
      <c r="G1206">
        <v>16.96</v>
      </c>
      <c r="H1206">
        <v>17.37</v>
      </c>
      <c r="I1206">
        <v>17.559999999999999</v>
      </c>
      <c r="J1206">
        <v>17.75</v>
      </c>
      <c r="K1206">
        <v>16.670000000000002</v>
      </c>
      <c r="L1206">
        <v>16.329999999999998</v>
      </c>
      <c r="M1206">
        <v>15.58</v>
      </c>
      <c r="N1206">
        <v>15.96</v>
      </c>
      <c r="O1206">
        <v>15.51</v>
      </c>
      <c r="P1206">
        <v>15.58</v>
      </c>
      <c r="Q1206">
        <v>15.18</v>
      </c>
      <c r="R1206">
        <v>15.31</v>
      </c>
      <c r="S1206">
        <f>Tableau1[[#This Row],[Final_time]]-SUM(Tableau1[[#This Row],[0_100m]:[1300_1400m]])</f>
        <v>15.529999999999973</v>
      </c>
      <c r="T1206">
        <v>243.96</v>
      </c>
      <c r="U1206">
        <f t="shared" si="36"/>
        <v>243.96</v>
      </c>
      <c r="V1206">
        <f t="shared" si="37"/>
        <v>0</v>
      </c>
      <c r="W1206" s="12"/>
      <c r="X1206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6" t="s">
        <v>98</v>
      </c>
      <c r="Z1206" s="2" t="s">
        <v>106</v>
      </c>
      <c r="AA1206" s="2" t="s">
        <v>130</v>
      </c>
      <c r="AB1206" s="2" t="s">
        <v>65</v>
      </c>
      <c r="AC1206" s="2">
        <v>45158</v>
      </c>
      <c r="AD1206" s="3">
        <v>2023</v>
      </c>
      <c r="AE1206" s="3">
        <v>33</v>
      </c>
      <c r="AF1206" s="5">
        <v>0.46</v>
      </c>
      <c r="AG1206" s="3"/>
      <c r="AH1206" t="s">
        <v>107</v>
      </c>
    </row>
    <row r="1207" spans="1:34" hidden="1" x14ac:dyDescent="0.35">
      <c r="A1207" t="str">
        <f>_xlfn.CONCAT(Tableau1[[#This Row],[Athletes]],"_",Tableau1[[#This Row],[Nationality]],"_",Tableau1[[#This Row],[Competition_year]])</f>
        <v>Nozomi TANAKA_JPN_2023</v>
      </c>
      <c r="B1207" t="s">
        <v>157</v>
      </c>
      <c r="C1207" t="s">
        <v>47</v>
      </c>
      <c r="D1207" t="s">
        <v>69</v>
      </c>
      <c r="E1207">
        <v>15.3</v>
      </c>
      <c r="F1207">
        <v>17.04</v>
      </c>
      <c r="G1207">
        <v>17.309999999999999</v>
      </c>
      <c r="H1207">
        <v>17.260000000000002</v>
      </c>
      <c r="I1207">
        <v>17.600000000000001</v>
      </c>
      <c r="J1207">
        <v>17.77</v>
      </c>
      <c r="K1207">
        <v>16.649999999999999</v>
      </c>
      <c r="L1207">
        <v>16.57</v>
      </c>
      <c r="M1207">
        <v>15.73</v>
      </c>
      <c r="N1207">
        <v>15.98</v>
      </c>
      <c r="O1207">
        <v>15.72</v>
      </c>
      <c r="P1207">
        <v>15.68</v>
      </c>
      <c r="Q1207">
        <v>15.29</v>
      </c>
      <c r="R1207">
        <v>16.53</v>
      </c>
      <c r="S1207">
        <f>Tableau1[[#This Row],[Final_time]]-SUM(Tableau1[[#This Row],[0_100m]:[1300_1400m]])</f>
        <v>16.28000000000003</v>
      </c>
      <c r="T1207">
        <v>246.71</v>
      </c>
      <c r="U1207">
        <f t="shared" si="36"/>
        <v>246.71</v>
      </c>
      <c r="V1207">
        <f t="shared" si="37"/>
        <v>0</v>
      </c>
      <c r="W1207" s="12"/>
      <c r="X1207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7" t="s">
        <v>98</v>
      </c>
      <c r="Z1207" s="2" t="s">
        <v>106</v>
      </c>
      <c r="AA1207" s="2" t="s">
        <v>130</v>
      </c>
      <c r="AB1207" s="2" t="s">
        <v>65</v>
      </c>
      <c r="AC1207" s="2">
        <v>45158</v>
      </c>
      <c r="AD1207" s="3">
        <v>2023</v>
      </c>
      <c r="AE1207" s="3">
        <v>33</v>
      </c>
      <c r="AF1207" s="5">
        <v>0.46</v>
      </c>
      <c r="AG1207" s="3"/>
      <c r="AH1207" t="s">
        <v>107</v>
      </c>
    </row>
    <row r="1208" spans="1:34" hidden="1" x14ac:dyDescent="0.35">
      <c r="A1208" t="str">
        <f>_xlfn.CONCAT(Tableau1[[#This Row],[Athletes]],"_",Tableau1[[#This Row],[Nationality]],"_",Tableau1[[#This Row],[Competition_year]])</f>
        <v>Sinclaire JOHNSON_USA_2023</v>
      </c>
      <c r="B1208" t="s">
        <v>185</v>
      </c>
      <c r="C1208" t="s">
        <v>47</v>
      </c>
      <c r="D1208" t="s">
        <v>51</v>
      </c>
      <c r="E1208">
        <v>15.23</v>
      </c>
      <c r="F1208">
        <v>17.21</v>
      </c>
      <c r="G1208">
        <v>17.16</v>
      </c>
      <c r="H1208">
        <v>17.22</v>
      </c>
      <c r="I1208">
        <v>17.54</v>
      </c>
      <c r="J1208">
        <v>17.8</v>
      </c>
      <c r="K1208">
        <v>16.73</v>
      </c>
      <c r="L1208">
        <v>16.7</v>
      </c>
      <c r="M1208">
        <v>15.72</v>
      </c>
      <c r="N1208">
        <v>16.03</v>
      </c>
      <c r="O1208">
        <v>15.35</v>
      </c>
      <c r="P1208">
        <v>15.54</v>
      </c>
      <c r="Q1208">
        <v>15.22</v>
      </c>
      <c r="R1208">
        <v>16.47</v>
      </c>
      <c r="S1208">
        <f>Tableau1[[#This Row],[Final_time]]-SUM(Tableau1[[#This Row],[0_100m]:[1300_1400m]])</f>
        <v>16.470000000000027</v>
      </c>
      <c r="T1208">
        <v>246.39</v>
      </c>
      <c r="U1208">
        <f t="shared" si="36"/>
        <v>246.39</v>
      </c>
      <c r="V1208">
        <f t="shared" si="37"/>
        <v>0</v>
      </c>
      <c r="W1208" s="12"/>
      <c r="X1208" t="str">
        <f>_xlfn.CONCAT(Tableau1[[#This Row],[Competition]],"_",Tableau1[[#This Row],[Championship_step]],"_",Tableau1[[#This Row],[Competition_date]],"_",Tableau1[[#This Row],[Gender]])</f>
        <v>World Championships Budapest 2023_Semi 1_45158_Female</v>
      </c>
      <c r="Y1208" t="s">
        <v>98</v>
      </c>
      <c r="Z1208" s="2" t="s">
        <v>106</v>
      </c>
      <c r="AA1208" s="2" t="s">
        <v>130</v>
      </c>
      <c r="AB1208" s="2" t="s">
        <v>65</v>
      </c>
      <c r="AC1208" s="2">
        <v>45158</v>
      </c>
      <c r="AD1208" s="3">
        <v>2023</v>
      </c>
      <c r="AE1208" s="3">
        <v>33</v>
      </c>
      <c r="AF1208" s="5">
        <v>0.46</v>
      </c>
      <c r="AG1208" s="3"/>
      <c r="AH1208" t="s">
        <v>107</v>
      </c>
    </row>
    <row r="1209" spans="1:34" hidden="1" x14ac:dyDescent="0.35">
      <c r="A1209" t="str">
        <f>_xlfn.CONCAT(Tableau1[[#This Row],[Athletes]],"_",Tableau1[[#This Row],[Nationality]],"_",Tableau1[[#This Row],[Competition_year]])</f>
        <v>Emil DANIELSSON_SWE_2023</v>
      </c>
      <c r="B1209" t="s">
        <v>200</v>
      </c>
      <c r="C1209" t="s">
        <v>16</v>
      </c>
      <c r="D1209" t="s">
        <v>56</v>
      </c>
      <c r="E1209">
        <v>14.48</v>
      </c>
      <c r="F1209">
        <v>14.34</v>
      </c>
      <c r="G1209">
        <v>17.5</v>
      </c>
      <c r="H1209">
        <v>11.68</v>
      </c>
      <c r="I1209">
        <v>14.2</v>
      </c>
      <c r="J1209">
        <v>15.03</v>
      </c>
      <c r="K1209">
        <v>15.06</v>
      </c>
      <c r="L1209">
        <v>14.1</v>
      </c>
      <c r="M1209">
        <v>14.6</v>
      </c>
      <c r="N1209">
        <v>14.72</v>
      </c>
      <c r="O1209">
        <v>14.48</v>
      </c>
      <c r="P1209">
        <v>14.05</v>
      </c>
      <c r="Q1209">
        <v>13.23</v>
      </c>
      <c r="R1209">
        <v>15.25</v>
      </c>
      <c r="S1209">
        <f>Tableau1[[#This Row],[Final_time]]-SUM(Tableau1[[#This Row],[0_100m]:[1300_1400m]])</f>
        <v>11.439999999999998</v>
      </c>
      <c r="T1209">
        <v>214.16</v>
      </c>
      <c r="U1209">
        <f t="shared" si="36"/>
        <v>214.16</v>
      </c>
      <c r="V1209">
        <f t="shared" si="37"/>
        <v>0</v>
      </c>
      <c r="W1209" s="12"/>
      <c r="X1209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09" t="s">
        <v>98</v>
      </c>
      <c r="Z1209" s="2" t="s">
        <v>106</v>
      </c>
      <c r="AA1209" s="2" t="s">
        <v>130</v>
      </c>
      <c r="AB1209" s="2" t="s">
        <v>65</v>
      </c>
      <c r="AC1209" s="2">
        <v>45158</v>
      </c>
      <c r="AD1209" s="3">
        <v>2023</v>
      </c>
      <c r="AE1209" s="3">
        <v>33</v>
      </c>
      <c r="AF1209" s="5">
        <v>0.46</v>
      </c>
      <c r="AG1209" s="3"/>
      <c r="AH1209" t="s">
        <v>125</v>
      </c>
    </row>
    <row r="1210" spans="1:34" hidden="1" x14ac:dyDescent="0.35">
      <c r="A1210" t="str">
        <f>_xlfn.CONCAT(Tableau1[[#This Row],[Athletes]],"_",Tableau1[[#This Row],[Nationality]],"_",Tableau1[[#This Row],[Competition_year]])</f>
        <v>Pietro ARESE_ITA_2023</v>
      </c>
      <c r="B1210" t="s">
        <v>216</v>
      </c>
      <c r="C1210" t="s">
        <v>16</v>
      </c>
      <c r="D1210" t="s">
        <v>19</v>
      </c>
      <c r="E1210">
        <v>16.260000000000002</v>
      </c>
      <c r="F1210">
        <v>11.82</v>
      </c>
      <c r="G1210">
        <v>14.48</v>
      </c>
      <c r="H1210">
        <v>14.37</v>
      </c>
      <c r="I1210">
        <v>14.54</v>
      </c>
      <c r="J1210">
        <v>14.72</v>
      </c>
      <c r="K1210">
        <v>14.38</v>
      </c>
      <c r="L1210">
        <v>14.99</v>
      </c>
      <c r="M1210">
        <v>14.46</v>
      </c>
      <c r="N1210">
        <v>14.87</v>
      </c>
      <c r="O1210">
        <v>14.67</v>
      </c>
      <c r="P1210">
        <v>13.83</v>
      </c>
      <c r="Q1210">
        <v>13.58</v>
      </c>
      <c r="R1210">
        <v>13.78</v>
      </c>
      <c r="S1210">
        <f>Tableau1[[#This Row],[Final_time]]-SUM(Tableau1[[#This Row],[0_100m]:[1300_1400m]])</f>
        <v>12.360000000000014</v>
      </c>
      <c r="T1210">
        <v>213.11</v>
      </c>
      <c r="U1210">
        <f t="shared" si="36"/>
        <v>213.11</v>
      </c>
      <c r="V1210">
        <f t="shared" si="37"/>
        <v>0</v>
      </c>
      <c r="W1210" s="12"/>
      <c r="X1210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0" t="s">
        <v>98</v>
      </c>
      <c r="Z1210" s="2" t="s">
        <v>106</v>
      </c>
      <c r="AA1210" s="2" t="s">
        <v>130</v>
      </c>
      <c r="AB1210" s="2" t="s">
        <v>65</v>
      </c>
      <c r="AC1210" s="2">
        <v>45158</v>
      </c>
      <c r="AD1210" s="3">
        <v>2023</v>
      </c>
      <c r="AE1210" s="3">
        <v>33</v>
      </c>
      <c r="AF1210" s="5">
        <v>0.46</v>
      </c>
      <c r="AG1210" s="3"/>
      <c r="AH1210" t="s">
        <v>125</v>
      </c>
    </row>
    <row r="1211" spans="1:34" hidden="1" x14ac:dyDescent="0.35">
      <c r="A1211" t="str">
        <f>_xlfn.CONCAT(Tableau1[[#This Row],[Athletes]],"_",Tableau1[[#This Row],[Nationality]],"_",Tableau1[[#This Row],[Competition_year]])</f>
        <v>Tshepo TSHITE_RSA_2023</v>
      </c>
      <c r="B1211" t="s">
        <v>201</v>
      </c>
      <c r="C1211" t="s">
        <v>16</v>
      </c>
      <c r="D1211" t="s">
        <v>36</v>
      </c>
      <c r="E1211">
        <v>13.2</v>
      </c>
      <c r="F1211">
        <v>14.76</v>
      </c>
      <c r="G1211">
        <v>14.28</v>
      </c>
      <c r="H1211">
        <v>14.77</v>
      </c>
      <c r="I1211">
        <v>14.64</v>
      </c>
      <c r="J1211">
        <v>14.81</v>
      </c>
      <c r="K1211">
        <v>14.71</v>
      </c>
      <c r="L1211">
        <v>14.74</v>
      </c>
      <c r="M1211">
        <v>14.79</v>
      </c>
      <c r="N1211">
        <v>15.12</v>
      </c>
      <c r="O1211">
        <v>14.28</v>
      </c>
      <c r="P1211">
        <v>14.34</v>
      </c>
      <c r="Q1211">
        <v>13.19</v>
      </c>
      <c r="R1211">
        <v>12.83</v>
      </c>
      <c r="S1211">
        <f>Tableau1[[#This Row],[Final_time]]-SUM(Tableau1[[#This Row],[0_100m]:[1300_1400m]])</f>
        <v>12.519999999999953</v>
      </c>
      <c r="T1211">
        <v>212.98</v>
      </c>
      <c r="U1211">
        <f t="shared" si="36"/>
        <v>212.98</v>
      </c>
      <c r="V1211">
        <f t="shared" si="37"/>
        <v>0</v>
      </c>
      <c r="W1211" s="12"/>
      <c r="X1211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1" t="s">
        <v>98</v>
      </c>
      <c r="Z1211" s="2" t="s">
        <v>106</v>
      </c>
      <c r="AA1211" s="2" t="s">
        <v>130</v>
      </c>
      <c r="AB1211" s="2" t="s">
        <v>65</v>
      </c>
      <c r="AC1211" s="2">
        <v>45158</v>
      </c>
      <c r="AD1211" s="3">
        <v>2023</v>
      </c>
      <c r="AE1211" s="3">
        <v>33</v>
      </c>
      <c r="AF1211" s="5">
        <v>0.46</v>
      </c>
      <c r="AG1211" s="3"/>
      <c r="AH1211" t="s">
        <v>125</v>
      </c>
    </row>
    <row r="1212" spans="1:34" hidden="1" x14ac:dyDescent="0.35">
      <c r="A1212" t="str">
        <f>_xlfn.CONCAT(Tableau1[[#This Row],[Athletes]],"_",Tableau1[[#This Row],[Nationality]],"_",Tableau1[[#This Row],[Competition_year]])</f>
        <v>Neil GOURLEY_GBR_2023</v>
      </c>
      <c r="B1212" t="s">
        <v>202</v>
      </c>
      <c r="C1212" t="s">
        <v>16</v>
      </c>
      <c r="D1212" t="s">
        <v>20</v>
      </c>
      <c r="E1212">
        <v>13.67</v>
      </c>
      <c r="F1212">
        <v>14.56</v>
      </c>
      <c r="G1212">
        <v>15.79</v>
      </c>
      <c r="H1212">
        <v>13.27</v>
      </c>
      <c r="I1212">
        <v>14.21</v>
      </c>
      <c r="J1212">
        <v>14.91</v>
      </c>
      <c r="K1212">
        <v>14.43</v>
      </c>
      <c r="L1212">
        <v>14.97</v>
      </c>
      <c r="M1212">
        <v>14.49</v>
      </c>
      <c r="N1212">
        <v>14.92</v>
      </c>
      <c r="O1212">
        <v>14.48</v>
      </c>
      <c r="P1212">
        <v>13.97</v>
      </c>
      <c r="Q1212">
        <v>12.96</v>
      </c>
      <c r="R1212">
        <v>13.72</v>
      </c>
      <c r="S1212">
        <f>Tableau1[[#This Row],[Final_time]]-SUM(Tableau1[[#This Row],[0_100m]:[1300_1400m]])</f>
        <v>12.620000000000005</v>
      </c>
      <c r="T1212">
        <v>212.97</v>
      </c>
      <c r="U1212">
        <f t="shared" si="36"/>
        <v>212.97</v>
      </c>
      <c r="V1212">
        <f t="shared" si="37"/>
        <v>0</v>
      </c>
      <c r="W1212" s="12" t="s">
        <v>109</v>
      </c>
      <c r="X1212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2" t="s">
        <v>98</v>
      </c>
      <c r="Z1212" s="2" t="s">
        <v>106</v>
      </c>
      <c r="AA1212" s="2" t="s">
        <v>130</v>
      </c>
      <c r="AB1212" s="2" t="s">
        <v>65</v>
      </c>
      <c r="AC1212" s="2">
        <v>45158</v>
      </c>
      <c r="AD1212" s="3">
        <v>2023</v>
      </c>
      <c r="AE1212" s="3">
        <v>33</v>
      </c>
      <c r="AF1212" s="5">
        <v>0.46</v>
      </c>
      <c r="AG1212" s="3"/>
      <c r="AH1212" t="s">
        <v>125</v>
      </c>
    </row>
    <row r="1213" spans="1:34" hidden="1" x14ac:dyDescent="0.35">
      <c r="A1213" t="str">
        <f>_xlfn.CONCAT(Tableau1[[#This Row],[Athletes]],"_",Tableau1[[#This Row],[Nationality]],"_",Tableau1[[#This Row],[Competition_year]])</f>
        <v>Narve Gilje NORDÅS_NOR_2023</v>
      </c>
      <c r="B1213" t="s">
        <v>217</v>
      </c>
      <c r="C1213" t="s">
        <v>16</v>
      </c>
      <c r="D1213" t="s">
        <v>30</v>
      </c>
      <c r="E1213">
        <v>14.39</v>
      </c>
      <c r="F1213">
        <v>14.95</v>
      </c>
      <c r="G1213">
        <v>13.85</v>
      </c>
      <c r="H1213">
        <v>14.41</v>
      </c>
      <c r="I1213">
        <v>14.49</v>
      </c>
      <c r="J1213">
        <v>14.46</v>
      </c>
      <c r="K1213">
        <v>14.48</v>
      </c>
      <c r="L1213">
        <v>14.91</v>
      </c>
      <c r="M1213">
        <v>14.53</v>
      </c>
      <c r="N1213">
        <v>14.91</v>
      </c>
      <c r="O1213">
        <v>14.07</v>
      </c>
      <c r="P1213">
        <v>13.58</v>
      </c>
      <c r="Q1213">
        <v>13.06</v>
      </c>
      <c r="R1213">
        <v>13.82</v>
      </c>
      <c r="S1213">
        <f>Tableau1[[#This Row],[Final_time]]-SUM(Tableau1[[#This Row],[0_100m]:[1300_1400m]])</f>
        <v>12.900000000000034</v>
      </c>
      <c r="T1213">
        <v>212.81</v>
      </c>
      <c r="U1213">
        <f t="shared" si="36"/>
        <v>212.81</v>
      </c>
      <c r="V1213">
        <f t="shared" si="37"/>
        <v>0</v>
      </c>
      <c r="W1213" s="12" t="s">
        <v>109</v>
      </c>
      <c r="X1213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3" t="s">
        <v>98</v>
      </c>
      <c r="Z1213" s="2" t="s">
        <v>106</v>
      </c>
      <c r="AA1213" s="2" t="s">
        <v>130</v>
      </c>
      <c r="AB1213" s="2" t="s">
        <v>65</v>
      </c>
      <c r="AC1213" s="2">
        <v>45158</v>
      </c>
      <c r="AD1213" s="3">
        <v>2023</v>
      </c>
      <c r="AE1213" s="3">
        <v>33</v>
      </c>
      <c r="AF1213" s="5">
        <v>0.46</v>
      </c>
      <c r="AG1213" s="3"/>
      <c r="AH1213" t="s">
        <v>125</v>
      </c>
    </row>
    <row r="1214" spans="1:34" hidden="1" x14ac:dyDescent="0.35">
      <c r="A1214" t="str">
        <f>_xlfn.CONCAT(Tableau1[[#This Row],[Athletes]],"_",Tableau1[[#This Row],[Nationality]],"_",Tableau1[[#This Row],[Competition_year]])</f>
        <v>Niels LAROS_NED_2023</v>
      </c>
      <c r="B1214" t="s">
        <v>214</v>
      </c>
      <c r="C1214" t="s">
        <v>16</v>
      </c>
      <c r="D1214" t="s">
        <v>39</v>
      </c>
      <c r="E1214">
        <v>13.32</v>
      </c>
      <c r="F1214">
        <v>14.74</v>
      </c>
      <c r="G1214">
        <v>14.23</v>
      </c>
      <c r="H1214">
        <v>14.53</v>
      </c>
      <c r="I1214">
        <v>14.57</v>
      </c>
      <c r="J1214">
        <v>14.59</v>
      </c>
      <c r="K1214">
        <v>14.48</v>
      </c>
      <c r="L1214">
        <v>14.93</v>
      </c>
      <c r="M1214">
        <v>14.53</v>
      </c>
      <c r="N1214">
        <v>15.02</v>
      </c>
      <c r="O1214">
        <v>15.44</v>
      </c>
      <c r="P1214">
        <v>12.99</v>
      </c>
      <c r="Q1214">
        <v>12.94</v>
      </c>
      <c r="R1214">
        <v>13.51</v>
      </c>
      <c r="S1214">
        <f>Tableau1[[#This Row],[Final_time]]-SUM(Tableau1[[#This Row],[0_100m]:[1300_1400m]])</f>
        <v>12.919999999999987</v>
      </c>
      <c r="T1214">
        <v>212.74</v>
      </c>
      <c r="U1214">
        <f t="shared" si="36"/>
        <v>212.74</v>
      </c>
      <c r="V1214">
        <f t="shared" si="37"/>
        <v>0</v>
      </c>
      <c r="W1214" s="12" t="s">
        <v>109</v>
      </c>
      <c r="X1214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4" t="s">
        <v>98</v>
      </c>
      <c r="Z1214" s="2" t="s">
        <v>106</v>
      </c>
      <c r="AA1214" s="2" t="s">
        <v>130</v>
      </c>
      <c r="AB1214" s="2" t="s">
        <v>65</v>
      </c>
      <c r="AC1214" s="2">
        <v>45158</v>
      </c>
      <c r="AD1214" s="3">
        <v>2023</v>
      </c>
      <c r="AE1214" s="3">
        <v>33</v>
      </c>
      <c r="AF1214" s="5">
        <v>0.46</v>
      </c>
      <c r="AG1214" s="3"/>
      <c r="AH1214" t="s">
        <v>125</v>
      </c>
    </row>
    <row r="1215" spans="1:34" hidden="1" x14ac:dyDescent="0.35">
      <c r="A1215" t="str">
        <f>_xlfn.CONCAT(Tableau1[[#This Row],[Athletes]],"_",Tableau1[[#This Row],[Nationality]],"_",Tableau1[[#This Row],[Competition_year]])</f>
        <v>Abel KIPSANG_KEN_2023</v>
      </c>
      <c r="B1215" t="s">
        <v>227</v>
      </c>
      <c r="C1215" t="s">
        <v>16</v>
      </c>
      <c r="D1215" t="s">
        <v>17</v>
      </c>
      <c r="E1215">
        <v>13.18</v>
      </c>
      <c r="F1215">
        <v>14.22</v>
      </c>
      <c r="G1215">
        <v>14.06</v>
      </c>
      <c r="H1215">
        <v>14.43</v>
      </c>
      <c r="I1215">
        <v>14.43</v>
      </c>
      <c r="J1215">
        <v>15.06</v>
      </c>
      <c r="K1215">
        <v>14.52</v>
      </c>
      <c r="L1215">
        <v>14.98</v>
      </c>
      <c r="M1215">
        <v>14.61</v>
      </c>
      <c r="N1215">
        <v>15.24</v>
      </c>
      <c r="O1215">
        <v>14.4</v>
      </c>
      <c r="P1215">
        <v>13.62</v>
      </c>
      <c r="Q1215">
        <v>13.14</v>
      </c>
      <c r="R1215">
        <v>14.74</v>
      </c>
      <c r="S1215">
        <f>Tableau1[[#This Row],[Final_time]]-SUM(Tableau1[[#This Row],[0_100m]:[1300_1400m]])</f>
        <v>13.089999999999947</v>
      </c>
      <c r="T1215">
        <v>213.72</v>
      </c>
      <c r="U1215">
        <f t="shared" si="36"/>
        <v>213.72</v>
      </c>
      <c r="V1215">
        <f t="shared" si="37"/>
        <v>0</v>
      </c>
      <c r="W1215" s="12" t="s">
        <v>109</v>
      </c>
      <c r="X1215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5" t="s">
        <v>98</v>
      </c>
      <c r="Z1215" s="2" t="s">
        <v>106</v>
      </c>
      <c r="AA1215" s="2" t="s">
        <v>130</v>
      </c>
      <c r="AB1215" s="2" t="s">
        <v>65</v>
      </c>
      <c r="AC1215" s="2">
        <v>45158</v>
      </c>
      <c r="AD1215" s="3">
        <v>2023</v>
      </c>
      <c r="AE1215" s="3">
        <v>33</v>
      </c>
      <c r="AF1215" s="5">
        <v>0.46</v>
      </c>
      <c r="AG1215" s="3"/>
      <c r="AH1215" t="s">
        <v>125</v>
      </c>
    </row>
    <row r="1216" spans="1:34" hidden="1" x14ac:dyDescent="0.35">
      <c r="A1216" t="str">
        <f>_xlfn.CONCAT(Tableau1[[#This Row],[Athletes]],"_",Tableau1[[#This Row],[Nationality]],"_",Tableau1[[#This Row],[Competition_year]])</f>
        <v>Azeddine HABZ_FRA_2023</v>
      </c>
      <c r="B1216" t="s">
        <v>218</v>
      </c>
      <c r="C1216" t="s">
        <v>16</v>
      </c>
      <c r="D1216" t="s">
        <v>18</v>
      </c>
      <c r="E1216">
        <v>13.32</v>
      </c>
      <c r="F1216">
        <v>14.31</v>
      </c>
      <c r="G1216">
        <v>14.13</v>
      </c>
      <c r="H1216">
        <v>14.46</v>
      </c>
      <c r="I1216">
        <v>14.48</v>
      </c>
      <c r="J1216">
        <v>14.69</v>
      </c>
      <c r="K1216">
        <v>15.54</v>
      </c>
      <c r="L1216">
        <v>14.26</v>
      </c>
      <c r="M1216">
        <v>14.59</v>
      </c>
      <c r="N1216">
        <v>14.85</v>
      </c>
      <c r="O1216">
        <v>14.49</v>
      </c>
      <c r="P1216">
        <v>13.73</v>
      </c>
      <c r="Q1216">
        <v>13.16</v>
      </c>
      <c r="R1216">
        <v>13.6</v>
      </c>
      <c r="S1216">
        <f>Tableau1[[#This Row],[Final_time]]-SUM(Tableau1[[#This Row],[0_100m]:[1300_1400m]])</f>
        <v>13.180000000000007</v>
      </c>
      <c r="T1216">
        <v>212.79</v>
      </c>
      <c r="U1216">
        <f t="shared" si="36"/>
        <v>212.79</v>
      </c>
      <c r="V1216">
        <f t="shared" si="37"/>
        <v>0</v>
      </c>
      <c r="W1216" s="12" t="s">
        <v>109</v>
      </c>
      <c r="X1216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6" t="s">
        <v>98</v>
      </c>
      <c r="Z1216" s="2" t="s">
        <v>106</v>
      </c>
      <c r="AA1216" s="2" t="s">
        <v>130</v>
      </c>
      <c r="AB1216" s="2" t="s">
        <v>65</v>
      </c>
      <c r="AC1216" s="2">
        <v>45158</v>
      </c>
      <c r="AD1216" s="3">
        <v>2023</v>
      </c>
      <c r="AE1216" s="3">
        <v>33</v>
      </c>
      <c r="AF1216" s="5">
        <v>0.46</v>
      </c>
      <c r="AG1216" s="3"/>
      <c r="AH1216" t="s">
        <v>125</v>
      </c>
    </row>
    <row r="1217" spans="1:34" hidden="1" x14ac:dyDescent="0.35">
      <c r="A1217" t="str">
        <f>_xlfn.CONCAT(Tableau1[[#This Row],[Athletes]],"_",Tableau1[[#This Row],[Nationality]],"_",Tableau1[[#This Row],[Competition_year]])</f>
        <v>Yared NUGUSE_USA_2023</v>
      </c>
      <c r="B1217" t="s">
        <v>228</v>
      </c>
      <c r="C1217" t="s">
        <v>16</v>
      </c>
      <c r="D1217" t="s">
        <v>51</v>
      </c>
      <c r="E1217">
        <v>13.56</v>
      </c>
      <c r="F1217">
        <v>14.18</v>
      </c>
      <c r="G1217">
        <v>13.87</v>
      </c>
      <c r="H1217">
        <v>14.42</v>
      </c>
      <c r="I1217">
        <v>14.39</v>
      </c>
      <c r="J1217">
        <v>14.73</v>
      </c>
      <c r="K1217">
        <v>14.96</v>
      </c>
      <c r="L1217">
        <v>14.88</v>
      </c>
      <c r="M1217">
        <v>14.68</v>
      </c>
      <c r="N1217">
        <v>15.09</v>
      </c>
      <c r="O1217">
        <v>14.21</v>
      </c>
      <c r="P1217">
        <v>13.7</v>
      </c>
      <c r="Q1217">
        <v>13.19</v>
      </c>
      <c r="R1217">
        <v>13.64</v>
      </c>
      <c r="S1217">
        <f>Tableau1[[#This Row],[Final_time]]-SUM(Tableau1[[#This Row],[0_100m]:[1300_1400m]])</f>
        <v>13.189999999999998</v>
      </c>
      <c r="T1217">
        <v>212.69</v>
      </c>
      <c r="U1217">
        <f t="shared" si="36"/>
        <v>212.69</v>
      </c>
      <c r="V1217">
        <f t="shared" si="37"/>
        <v>0</v>
      </c>
      <c r="W1217" s="12" t="s">
        <v>109</v>
      </c>
      <c r="X1217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7" t="s">
        <v>98</v>
      </c>
      <c r="Z1217" s="2" t="s">
        <v>106</v>
      </c>
      <c r="AA1217" s="2" t="s">
        <v>130</v>
      </c>
      <c r="AB1217" s="2" t="s">
        <v>65</v>
      </c>
      <c r="AC1217" s="2">
        <v>45158</v>
      </c>
      <c r="AD1217" s="3">
        <v>2023</v>
      </c>
      <c r="AE1217" s="3">
        <v>33</v>
      </c>
      <c r="AF1217" s="5">
        <v>0.46</v>
      </c>
      <c r="AG1217" s="3"/>
      <c r="AH1217" t="s">
        <v>125</v>
      </c>
    </row>
    <row r="1218" spans="1:34" hidden="1" x14ac:dyDescent="0.35">
      <c r="A1218" t="str">
        <f>_xlfn.CONCAT(Tableau1[[#This Row],[Athletes]],"_",Tableau1[[#This Row],[Nationality]],"_",Tableau1[[#This Row],[Competition_year]])</f>
        <v>Ruben VERHEYDEN_BEL_2023</v>
      </c>
      <c r="B1218" t="s">
        <v>204</v>
      </c>
      <c r="C1218" t="s">
        <v>16</v>
      </c>
      <c r="D1218" t="s">
        <v>86</v>
      </c>
      <c r="E1218">
        <v>15.02</v>
      </c>
      <c r="F1218">
        <v>13.2</v>
      </c>
      <c r="G1218">
        <v>16.739999999999998</v>
      </c>
      <c r="H1218">
        <v>12.44</v>
      </c>
      <c r="I1218">
        <v>14.56</v>
      </c>
      <c r="J1218">
        <v>14.86</v>
      </c>
      <c r="K1218">
        <v>15.81</v>
      </c>
      <c r="L1218">
        <v>13.4</v>
      </c>
      <c r="M1218">
        <v>14.62</v>
      </c>
      <c r="N1218">
        <v>16.96</v>
      </c>
      <c r="O1218">
        <v>12.17</v>
      </c>
      <c r="P1218">
        <v>13.94</v>
      </c>
      <c r="Q1218">
        <v>13.54</v>
      </c>
      <c r="R1218">
        <v>13.43</v>
      </c>
      <c r="S1218">
        <f>Tableau1[[#This Row],[Final_time]]-SUM(Tableau1[[#This Row],[0_100m]:[1300_1400m]])</f>
        <v>13.27000000000001</v>
      </c>
      <c r="T1218">
        <v>213.96</v>
      </c>
      <c r="U1218">
        <f t="shared" ref="U1218:U1281" si="38">SUM(E1218:S1218)</f>
        <v>213.96</v>
      </c>
      <c r="V1218">
        <f t="shared" ref="V1218:V1281" si="39">ABS(U1218-T1218)</f>
        <v>0</v>
      </c>
      <c r="W1218" s="12"/>
      <c r="X1218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8" t="s">
        <v>98</v>
      </c>
      <c r="Z1218" s="2" t="s">
        <v>106</v>
      </c>
      <c r="AA1218" s="2" t="s">
        <v>130</v>
      </c>
      <c r="AB1218" s="2" t="s">
        <v>65</v>
      </c>
      <c r="AC1218" s="2">
        <v>45158</v>
      </c>
      <c r="AD1218" s="3">
        <v>2023</v>
      </c>
      <c r="AE1218" s="3">
        <v>33</v>
      </c>
      <c r="AF1218" s="5">
        <v>0.46</v>
      </c>
      <c r="AG1218" s="3"/>
      <c r="AH1218" t="s">
        <v>125</v>
      </c>
    </row>
    <row r="1219" spans="1:34" hidden="1" x14ac:dyDescent="0.35">
      <c r="A1219" t="str">
        <f>_xlfn.CONCAT(Tableau1[[#This Row],[Athletes]],"_",Tableau1[[#This Row],[Nationality]],"_",Tableau1[[#This Row],[Competition_year]])</f>
        <v>Adel MECHAAL_ESP_2023</v>
      </c>
      <c r="B1219" t="s">
        <v>190</v>
      </c>
      <c r="C1219" t="s">
        <v>16</v>
      </c>
      <c r="D1219" t="s">
        <v>22</v>
      </c>
      <c r="E1219">
        <v>14.25</v>
      </c>
      <c r="F1219">
        <v>14.23</v>
      </c>
      <c r="G1219">
        <v>14.42</v>
      </c>
      <c r="H1219">
        <v>14.44</v>
      </c>
      <c r="I1219">
        <v>14.43</v>
      </c>
      <c r="J1219">
        <v>14.65</v>
      </c>
      <c r="K1219">
        <v>14.23</v>
      </c>
      <c r="L1219">
        <v>14.61</v>
      </c>
      <c r="M1219">
        <v>14.65</v>
      </c>
      <c r="N1219">
        <v>15.01</v>
      </c>
      <c r="O1219">
        <v>14.33</v>
      </c>
      <c r="P1219">
        <v>13.87</v>
      </c>
      <c r="Q1219">
        <v>13.22</v>
      </c>
      <c r="R1219">
        <v>13.62</v>
      </c>
      <c r="S1219">
        <f>Tableau1[[#This Row],[Final_time]]-SUM(Tableau1[[#This Row],[0_100m]:[1300_1400m]])</f>
        <v>13.370000000000005</v>
      </c>
      <c r="T1219">
        <v>213.33</v>
      </c>
      <c r="U1219">
        <f t="shared" si="38"/>
        <v>213.33</v>
      </c>
      <c r="V1219">
        <f t="shared" si="39"/>
        <v>0</v>
      </c>
      <c r="W1219" s="12"/>
      <c r="X1219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19" t="s">
        <v>98</v>
      </c>
      <c r="Z1219" s="2" t="s">
        <v>106</v>
      </c>
      <c r="AA1219" s="2" t="s">
        <v>130</v>
      </c>
      <c r="AB1219" s="2" t="s">
        <v>65</v>
      </c>
      <c r="AC1219" s="2">
        <v>45158</v>
      </c>
      <c r="AD1219" s="3">
        <v>2023</v>
      </c>
      <c r="AE1219" s="3">
        <v>33</v>
      </c>
      <c r="AF1219" s="5">
        <v>0.46</v>
      </c>
      <c r="AG1219" s="3"/>
      <c r="AH1219" t="s">
        <v>125</v>
      </c>
    </row>
    <row r="1220" spans="1:34" hidden="1" x14ac:dyDescent="0.35">
      <c r="A1220" t="str">
        <f>_xlfn.CONCAT(Tableau1[[#This Row],[Athletes]],"_",Tableau1[[#This Row],[Nationality]],"_",Tableau1[[#This Row],[Competition_year]])</f>
        <v>Matthew RAMSDEN_AUS_2023</v>
      </c>
      <c r="B1220" t="s">
        <v>198</v>
      </c>
      <c r="C1220" t="s">
        <v>16</v>
      </c>
      <c r="D1220" t="s">
        <v>21</v>
      </c>
      <c r="E1220">
        <v>14.15</v>
      </c>
      <c r="F1220">
        <v>14.27</v>
      </c>
      <c r="G1220">
        <v>16.059999999999999</v>
      </c>
      <c r="H1220">
        <v>13.14</v>
      </c>
      <c r="I1220">
        <v>17.149999999999999</v>
      </c>
      <c r="J1220">
        <v>12.19</v>
      </c>
      <c r="K1220">
        <v>14.64</v>
      </c>
      <c r="L1220">
        <v>14.49</v>
      </c>
      <c r="M1220">
        <v>14.81</v>
      </c>
      <c r="N1220">
        <v>15.13</v>
      </c>
      <c r="O1220">
        <v>13.95</v>
      </c>
      <c r="P1220">
        <v>14.28</v>
      </c>
      <c r="Q1220">
        <v>14.31</v>
      </c>
      <c r="R1220">
        <v>14.51</v>
      </c>
      <c r="S1220">
        <f>Tableau1[[#This Row],[Final_time]]-SUM(Tableau1[[#This Row],[0_100m]:[1300_1400m]])</f>
        <v>13.750000000000028</v>
      </c>
      <c r="T1220">
        <v>216.83</v>
      </c>
      <c r="U1220">
        <f t="shared" si="38"/>
        <v>216.83</v>
      </c>
      <c r="V1220">
        <f t="shared" si="39"/>
        <v>0</v>
      </c>
      <c r="W1220" s="12"/>
      <c r="X1220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20" t="s">
        <v>98</v>
      </c>
      <c r="Z1220" s="2" t="s">
        <v>106</v>
      </c>
      <c r="AA1220" s="2" t="s">
        <v>130</v>
      </c>
      <c r="AB1220" s="2" t="s">
        <v>65</v>
      </c>
      <c r="AC1220" s="2">
        <v>45158</v>
      </c>
      <c r="AD1220" s="3">
        <v>2023</v>
      </c>
      <c r="AE1220" s="3">
        <v>33</v>
      </c>
      <c r="AF1220" s="5">
        <v>0.46</v>
      </c>
      <c r="AG1220" s="3"/>
      <c r="AH1220" t="s">
        <v>125</v>
      </c>
    </row>
    <row r="1221" spans="1:34" hidden="1" x14ac:dyDescent="0.35">
      <c r="A1221" t="str">
        <f>_xlfn.CONCAT(Tableau1[[#This Row],[Athletes]],"_",Tableau1[[#This Row],[Nationality]],"_",Tableau1[[#This Row],[Competition_year]])</f>
        <v>Mohamed KATIR_ESP_2023</v>
      </c>
      <c r="B1221" t="s">
        <v>149</v>
      </c>
      <c r="C1221" t="s">
        <v>16</v>
      </c>
      <c r="D1221" t="s">
        <v>22</v>
      </c>
      <c r="E1221">
        <v>14.06</v>
      </c>
      <c r="F1221">
        <v>14.56</v>
      </c>
      <c r="G1221">
        <v>13.82</v>
      </c>
      <c r="H1221">
        <v>14.16</v>
      </c>
      <c r="I1221">
        <v>14.24</v>
      </c>
      <c r="J1221">
        <v>14.63</v>
      </c>
      <c r="K1221">
        <v>14.65</v>
      </c>
      <c r="L1221">
        <v>15</v>
      </c>
      <c r="M1221">
        <v>14.47</v>
      </c>
      <c r="N1221">
        <v>15.32</v>
      </c>
      <c r="O1221">
        <v>14.15</v>
      </c>
      <c r="P1221">
        <v>13.74</v>
      </c>
      <c r="Q1221">
        <v>13.09</v>
      </c>
      <c r="R1221">
        <v>13.75</v>
      </c>
      <c r="S1221">
        <f>Tableau1[[#This Row],[Final_time]]-SUM(Tableau1[[#This Row],[0_100m]:[1300_1400m]])</f>
        <v>13.919999999999987</v>
      </c>
      <c r="T1221">
        <v>213.56</v>
      </c>
      <c r="U1221">
        <f t="shared" si="38"/>
        <v>213.56</v>
      </c>
      <c r="V1221">
        <f t="shared" si="39"/>
        <v>0</v>
      </c>
      <c r="W1221" s="12"/>
      <c r="X1221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21" t="s">
        <v>98</v>
      </c>
      <c r="Z1221" s="2" t="s">
        <v>106</v>
      </c>
      <c r="AA1221" s="2" t="s">
        <v>130</v>
      </c>
      <c r="AB1221" s="2" t="s">
        <v>65</v>
      </c>
      <c r="AC1221" s="2">
        <v>45158</v>
      </c>
      <c r="AD1221" s="3">
        <v>2023</v>
      </c>
      <c r="AE1221" s="3">
        <v>33</v>
      </c>
      <c r="AF1221" s="5">
        <v>0.46</v>
      </c>
      <c r="AG1221" s="3"/>
      <c r="AH1221" t="s">
        <v>125</v>
      </c>
    </row>
    <row r="1222" spans="1:34" hidden="1" x14ac:dyDescent="0.35">
      <c r="A1222" t="str">
        <f>_xlfn.CONCAT(Tableau1[[#This Row],[Athletes]],"_",Tableau1[[#This Row],[Nationality]],"_",Tableau1[[#This Row],[Competition_year]])</f>
        <v>Andrew COSCORAN_IRL_2023</v>
      </c>
      <c r="B1222" t="s">
        <v>232</v>
      </c>
      <c r="C1222" t="s">
        <v>16</v>
      </c>
      <c r="D1222" t="s">
        <v>35</v>
      </c>
      <c r="E1222">
        <v>13.24</v>
      </c>
      <c r="F1222">
        <v>14.51</v>
      </c>
      <c r="G1222">
        <v>14.7</v>
      </c>
      <c r="H1222">
        <v>14.15</v>
      </c>
      <c r="I1222">
        <v>14.79</v>
      </c>
      <c r="J1222">
        <v>15.23</v>
      </c>
      <c r="K1222">
        <v>16.3</v>
      </c>
      <c r="L1222">
        <v>12.69</v>
      </c>
      <c r="M1222">
        <v>14.83</v>
      </c>
      <c r="N1222">
        <v>14.83</v>
      </c>
      <c r="O1222">
        <v>15.69</v>
      </c>
      <c r="P1222">
        <v>12.91</v>
      </c>
      <c r="Q1222">
        <v>13.81</v>
      </c>
      <c r="R1222">
        <v>14.76</v>
      </c>
      <c r="S1222">
        <f>Tableau1[[#This Row],[Final_time]]-SUM(Tableau1[[#This Row],[0_100m]:[1300_1400m]])</f>
        <v>14.949999999999989</v>
      </c>
      <c r="T1222">
        <v>217.39</v>
      </c>
      <c r="U1222">
        <f t="shared" si="38"/>
        <v>217.39</v>
      </c>
      <c r="V1222">
        <f t="shared" si="39"/>
        <v>0</v>
      </c>
      <c r="W1222" s="12"/>
      <c r="X1222" t="str">
        <f>_xlfn.CONCAT(Tableau1[[#This Row],[Competition]],"_",Tableau1[[#This Row],[Championship_step]],"_",Tableau1[[#This Row],[Competition_date]],"_",Tableau1[[#This Row],[Gender]])</f>
        <v>World Championships Budapest 2023_Semi 1_45158_Male</v>
      </c>
      <c r="Y1222" t="s">
        <v>98</v>
      </c>
      <c r="Z1222" s="2" t="s">
        <v>106</v>
      </c>
      <c r="AA1222" s="2" t="s">
        <v>130</v>
      </c>
      <c r="AB1222" s="2" t="s">
        <v>65</v>
      </c>
      <c r="AC1222" s="2">
        <v>45158</v>
      </c>
      <c r="AD1222" s="3">
        <v>2023</v>
      </c>
      <c r="AE1222" s="3">
        <v>33</v>
      </c>
      <c r="AF1222" s="5">
        <v>0.46</v>
      </c>
      <c r="AG1222" s="3"/>
      <c r="AH1222" t="s">
        <v>125</v>
      </c>
    </row>
    <row r="1223" spans="1:34" hidden="1" x14ac:dyDescent="0.35">
      <c r="A1223" t="str">
        <f>_xlfn.CONCAT(Tableau1[[#This Row],[Athletes]],"_",Tableau1[[#This Row],[Nationality]],"_",Tableau1[[#This Row],[Competition_year]])</f>
        <v>Diribe WELTEJI_ETH_2023</v>
      </c>
      <c r="B1223" t="s">
        <v>165</v>
      </c>
      <c r="C1223" t="s">
        <v>47</v>
      </c>
      <c r="D1223" t="s">
        <v>48</v>
      </c>
      <c r="E1223">
        <v>14.61</v>
      </c>
      <c r="F1223">
        <v>15.39</v>
      </c>
      <c r="G1223">
        <v>15.75</v>
      </c>
      <c r="H1223">
        <v>16.14</v>
      </c>
      <c r="I1223">
        <v>16.41</v>
      </c>
      <c r="J1223">
        <v>16.86</v>
      </c>
      <c r="K1223">
        <v>18.239999999999998</v>
      </c>
      <c r="L1223">
        <v>14.94</v>
      </c>
      <c r="M1223">
        <v>16.489999999999998</v>
      </c>
      <c r="N1223">
        <v>16.649999999999999</v>
      </c>
      <c r="O1223">
        <v>15.34</v>
      </c>
      <c r="P1223">
        <v>14.86</v>
      </c>
      <c r="Q1223">
        <v>14.42</v>
      </c>
      <c r="R1223">
        <v>15.15</v>
      </c>
      <c r="S1223">
        <f>Tableau1[[#This Row],[Final_time]]-SUM(Tableau1[[#This Row],[0_100m]:[1300_1400m]])</f>
        <v>13.930000000000007</v>
      </c>
      <c r="T1223">
        <v>235.18</v>
      </c>
      <c r="U1223">
        <f t="shared" si="38"/>
        <v>235.18</v>
      </c>
      <c r="V1223">
        <f t="shared" si="39"/>
        <v>0</v>
      </c>
      <c r="W1223" s="12" t="s">
        <v>109</v>
      </c>
      <c r="X1223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3" t="s">
        <v>98</v>
      </c>
      <c r="Z1223" s="2" t="s">
        <v>106</v>
      </c>
      <c r="AA1223" s="2" t="s">
        <v>131</v>
      </c>
      <c r="AB1223" s="2" t="s">
        <v>65</v>
      </c>
      <c r="AC1223" s="2">
        <v>45158</v>
      </c>
      <c r="AD1223" s="3">
        <v>2023</v>
      </c>
      <c r="AE1223" s="3">
        <v>33</v>
      </c>
      <c r="AF1223" s="5">
        <v>0.46</v>
      </c>
      <c r="AG1223" s="3"/>
      <c r="AH1223" t="s">
        <v>107</v>
      </c>
    </row>
    <row r="1224" spans="1:34" hidden="1" x14ac:dyDescent="0.35">
      <c r="A1224" t="str">
        <f>_xlfn.CONCAT(Tableau1[[#This Row],[Athletes]],"_",Tableau1[[#This Row],[Nationality]],"_",Tableau1[[#This Row],[Competition_year]])</f>
        <v>Faith KIPYEGON_KEN_2023</v>
      </c>
      <c r="B1224" t="s">
        <v>164</v>
      </c>
      <c r="C1224" t="s">
        <v>47</v>
      </c>
      <c r="D1224" t="s">
        <v>17</v>
      </c>
      <c r="E1224">
        <v>15.41</v>
      </c>
      <c r="F1224">
        <v>15.15</v>
      </c>
      <c r="G1224">
        <v>15.43</v>
      </c>
      <c r="H1224">
        <v>15.95</v>
      </c>
      <c r="I1224">
        <v>16.46</v>
      </c>
      <c r="J1224">
        <v>16.64</v>
      </c>
      <c r="K1224">
        <v>16.34</v>
      </c>
      <c r="L1224">
        <v>16.61</v>
      </c>
      <c r="M1224">
        <v>16.46</v>
      </c>
      <c r="N1224">
        <v>16.920000000000002</v>
      </c>
      <c r="O1224">
        <v>15.06</v>
      </c>
      <c r="P1224">
        <v>14.67</v>
      </c>
      <c r="Q1224">
        <v>14.7</v>
      </c>
      <c r="R1224">
        <v>15</v>
      </c>
      <c r="S1224">
        <f>Tableau1[[#This Row],[Final_time]]-SUM(Tableau1[[#This Row],[0_100m]:[1300_1400m]])</f>
        <v>14.340000000000003</v>
      </c>
      <c r="T1224">
        <v>235.14</v>
      </c>
      <c r="U1224">
        <f t="shared" si="38"/>
        <v>235.14</v>
      </c>
      <c r="V1224">
        <f t="shared" si="39"/>
        <v>0</v>
      </c>
      <c r="W1224" s="12" t="s">
        <v>109</v>
      </c>
      <c r="X1224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4" t="s">
        <v>98</v>
      </c>
      <c r="Z1224" s="2" t="s">
        <v>106</v>
      </c>
      <c r="AA1224" s="2" t="s">
        <v>131</v>
      </c>
      <c r="AB1224" s="2" t="s">
        <v>65</v>
      </c>
      <c r="AC1224" s="2">
        <v>45158</v>
      </c>
      <c r="AD1224" s="3">
        <v>2023</v>
      </c>
      <c r="AE1224" s="3">
        <v>33</v>
      </c>
      <c r="AF1224" s="5">
        <v>0.46</v>
      </c>
      <c r="AG1224" s="3"/>
      <c r="AH1224" t="s">
        <v>107</v>
      </c>
    </row>
    <row r="1225" spans="1:34" hidden="1" x14ac:dyDescent="0.35">
      <c r="A1225" t="str">
        <f>_xlfn.CONCAT(Tableau1[[#This Row],[Athletes]],"_",Tableau1[[#This Row],[Nationality]],"_",Tableau1[[#This Row],[Competition_year]])</f>
        <v>Katie SNOWDEN_GBR_2023</v>
      </c>
      <c r="B1225" t="s">
        <v>186</v>
      </c>
      <c r="C1225" t="s">
        <v>47</v>
      </c>
      <c r="D1225" t="s">
        <v>20</v>
      </c>
      <c r="E1225">
        <v>14.94</v>
      </c>
      <c r="F1225">
        <v>15.53</v>
      </c>
      <c r="G1225">
        <v>15.92</v>
      </c>
      <c r="H1225">
        <v>16.02</v>
      </c>
      <c r="I1225">
        <v>16.25</v>
      </c>
      <c r="J1225">
        <v>16.63</v>
      </c>
      <c r="K1225">
        <v>16.420000000000002</v>
      </c>
      <c r="L1225">
        <v>16.309999999999999</v>
      </c>
      <c r="M1225">
        <v>16.53</v>
      </c>
      <c r="N1225">
        <v>16.82</v>
      </c>
      <c r="O1225">
        <v>15.47</v>
      </c>
      <c r="P1225">
        <v>14.88</v>
      </c>
      <c r="Q1225">
        <v>14.76</v>
      </c>
      <c r="R1225">
        <v>15.68</v>
      </c>
      <c r="S1225">
        <f>Tableau1[[#This Row],[Final_time]]-SUM(Tableau1[[#This Row],[0_100m]:[1300_1400m]])</f>
        <v>14.560000000000031</v>
      </c>
      <c r="T1225">
        <v>236.72</v>
      </c>
      <c r="U1225">
        <f t="shared" si="38"/>
        <v>236.72</v>
      </c>
      <c r="V1225">
        <f t="shared" si="39"/>
        <v>0</v>
      </c>
      <c r="W1225" s="12" t="s">
        <v>109</v>
      </c>
      <c r="X1225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5" t="s">
        <v>98</v>
      </c>
      <c r="Z1225" s="2" t="s">
        <v>106</v>
      </c>
      <c r="AA1225" s="2" t="s">
        <v>131</v>
      </c>
      <c r="AB1225" s="2" t="s">
        <v>65</v>
      </c>
      <c r="AC1225" s="2">
        <v>45158</v>
      </c>
      <c r="AD1225" s="3">
        <v>2023</v>
      </c>
      <c r="AE1225" s="3">
        <v>33</v>
      </c>
      <c r="AF1225" s="5">
        <v>0.46</v>
      </c>
      <c r="AG1225" s="3"/>
      <c r="AH1225" t="s">
        <v>107</v>
      </c>
    </row>
    <row r="1226" spans="1:34" hidden="1" x14ac:dyDescent="0.35">
      <c r="A1226" t="str">
        <f>_xlfn.CONCAT(Tableau1[[#This Row],[Athletes]],"_",Tableau1[[#This Row],[Nationality]],"_",Tableau1[[#This Row],[Competition_year]])</f>
        <v>Sarah HEALY_IRL_2023</v>
      </c>
      <c r="B1226" t="s">
        <v>166</v>
      </c>
      <c r="C1226" t="s">
        <v>47</v>
      </c>
      <c r="D1226" t="s">
        <v>35</v>
      </c>
      <c r="E1226">
        <v>15.19</v>
      </c>
      <c r="F1226">
        <v>15.64</v>
      </c>
      <c r="G1226">
        <v>15.88</v>
      </c>
      <c r="H1226">
        <v>16.170000000000002</v>
      </c>
      <c r="I1226">
        <v>16.2</v>
      </c>
      <c r="J1226">
        <v>16.61</v>
      </c>
      <c r="K1226">
        <v>16.47</v>
      </c>
      <c r="L1226">
        <v>16.489999999999998</v>
      </c>
      <c r="M1226">
        <v>16.38</v>
      </c>
      <c r="N1226">
        <v>16.62</v>
      </c>
      <c r="O1226">
        <v>15.98</v>
      </c>
      <c r="P1226">
        <v>15.78</v>
      </c>
      <c r="Q1226">
        <v>15.65</v>
      </c>
      <c r="R1226">
        <v>15.83</v>
      </c>
      <c r="S1226">
        <f>Tableau1[[#This Row],[Final_time]]-SUM(Tableau1[[#This Row],[0_100m]:[1300_1400m]])</f>
        <v>14.789999999999992</v>
      </c>
      <c r="T1226">
        <v>239.68</v>
      </c>
      <c r="U1226">
        <f t="shared" si="38"/>
        <v>239.68</v>
      </c>
      <c r="V1226">
        <f t="shared" si="39"/>
        <v>0</v>
      </c>
      <c r="W1226" s="12"/>
      <c r="X1226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6" t="s">
        <v>98</v>
      </c>
      <c r="Z1226" s="2" t="s">
        <v>106</v>
      </c>
      <c r="AA1226" s="2" t="s">
        <v>131</v>
      </c>
      <c r="AB1226" s="2" t="s">
        <v>65</v>
      </c>
      <c r="AC1226" s="2">
        <v>45158</v>
      </c>
      <c r="AD1226" s="3">
        <v>2023</v>
      </c>
      <c r="AE1226" s="3">
        <v>33</v>
      </c>
      <c r="AF1226" s="5">
        <v>0.46</v>
      </c>
      <c r="AG1226" s="3"/>
      <c r="AH1226" t="s">
        <v>107</v>
      </c>
    </row>
    <row r="1227" spans="1:34" hidden="1" x14ac:dyDescent="0.35">
      <c r="A1227" t="str">
        <f>_xlfn.CONCAT(Tableau1[[#This Row],[Athletes]],"_",Tableau1[[#This Row],[Nationality]],"_",Tableau1[[#This Row],[Competition_year]])</f>
        <v>Sifan HASSAN_NED_2023</v>
      </c>
      <c r="B1227" t="s">
        <v>152</v>
      </c>
      <c r="C1227" t="s">
        <v>47</v>
      </c>
      <c r="D1227" t="s">
        <v>39</v>
      </c>
      <c r="E1227">
        <v>15.53</v>
      </c>
      <c r="F1227">
        <v>15.57</v>
      </c>
      <c r="G1227">
        <v>15.98</v>
      </c>
      <c r="H1227">
        <v>16.100000000000001</v>
      </c>
      <c r="I1227">
        <v>15.49</v>
      </c>
      <c r="J1227">
        <v>16.55</v>
      </c>
      <c r="K1227">
        <v>16</v>
      </c>
      <c r="L1227">
        <v>16.72</v>
      </c>
      <c r="M1227">
        <v>16.53</v>
      </c>
      <c r="N1227">
        <v>16.8</v>
      </c>
      <c r="O1227">
        <v>15.17</v>
      </c>
      <c r="P1227">
        <v>14.8</v>
      </c>
      <c r="Q1227">
        <v>14.74</v>
      </c>
      <c r="R1227">
        <v>14.68</v>
      </c>
      <c r="S1227">
        <f>Tableau1[[#This Row],[Final_time]]-SUM(Tableau1[[#This Row],[0_100m]:[1300_1400m]])</f>
        <v>14.819999999999965</v>
      </c>
      <c r="T1227">
        <v>235.48</v>
      </c>
      <c r="U1227">
        <f t="shared" si="38"/>
        <v>235.48</v>
      </c>
      <c r="V1227">
        <f t="shared" si="39"/>
        <v>0</v>
      </c>
      <c r="W1227" s="12" t="s">
        <v>109</v>
      </c>
      <c r="X1227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7" t="s">
        <v>98</v>
      </c>
      <c r="Z1227" s="2" t="s">
        <v>106</v>
      </c>
      <c r="AA1227" s="2" t="s">
        <v>131</v>
      </c>
      <c r="AB1227" s="2" t="s">
        <v>65</v>
      </c>
      <c r="AC1227" s="2">
        <v>45158</v>
      </c>
      <c r="AD1227" s="3">
        <v>2023</v>
      </c>
      <c r="AE1227" s="3">
        <v>33</v>
      </c>
      <c r="AF1227" s="5">
        <v>0.46</v>
      </c>
      <c r="AG1227" s="3"/>
      <c r="AH1227" t="s">
        <v>107</v>
      </c>
    </row>
    <row r="1228" spans="1:34" hidden="1" x14ac:dyDescent="0.35">
      <c r="A1228" t="str">
        <f>_xlfn.CONCAT(Tableau1[[#This Row],[Athletes]],"_",Tableau1[[#This Row],[Nationality]],"_",Tableau1[[#This Row],[Competition_year]])</f>
        <v>Abbey CALDWELL_AUS_2023</v>
      </c>
      <c r="B1228" t="s">
        <v>156</v>
      </c>
      <c r="C1228" t="s">
        <v>47</v>
      </c>
      <c r="D1228" t="s">
        <v>21</v>
      </c>
      <c r="E1228">
        <v>15.37</v>
      </c>
      <c r="F1228">
        <v>15.77</v>
      </c>
      <c r="G1228">
        <v>16.14</v>
      </c>
      <c r="H1228">
        <v>15.84</v>
      </c>
      <c r="I1228">
        <v>16.23</v>
      </c>
      <c r="J1228">
        <v>16.690000000000001</v>
      </c>
      <c r="K1228">
        <v>16.62</v>
      </c>
      <c r="L1228">
        <v>16.27</v>
      </c>
      <c r="M1228">
        <v>16.45</v>
      </c>
      <c r="N1228">
        <v>16.47</v>
      </c>
      <c r="O1228">
        <v>17.07</v>
      </c>
      <c r="P1228">
        <v>14.94</v>
      </c>
      <c r="Q1228">
        <v>15.66</v>
      </c>
      <c r="R1228">
        <v>15.35</v>
      </c>
      <c r="S1228">
        <f>Tableau1[[#This Row],[Final_time]]-SUM(Tableau1[[#This Row],[0_100m]:[1300_1400m]])</f>
        <v>14.920000000000016</v>
      </c>
      <c r="T1228">
        <v>239.79</v>
      </c>
      <c r="U1228">
        <f t="shared" si="38"/>
        <v>239.79</v>
      </c>
      <c r="V1228">
        <f t="shared" si="39"/>
        <v>0</v>
      </c>
      <c r="W1228" s="12"/>
      <c r="X1228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8" t="s">
        <v>98</v>
      </c>
      <c r="Z1228" s="2" t="s">
        <v>106</v>
      </c>
      <c r="AA1228" s="2" t="s">
        <v>131</v>
      </c>
      <c r="AB1228" s="2" t="s">
        <v>65</v>
      </c>
      <c r="AC1228" s="2">
        <v>45158</v>
      </c>
      <c r="AD1228" s="3">
        <v>2023</v>
      </c>
      <c r="AE1228" s="3">
        <v>33</v>
      </c>
      <c r="AF1228" s="5">
        <v>0.46</v>
      </c>
      <c r="AG1228" s="3"/>
      <c r="AH1228" t="s">
        <v>107</v>
      </c>
    </row>
    <row r="1229" spans="1:34" hidden="1" x14ac:dyDescent="0.35">
      <c r="A1229" t="str">
        <f>_xlfn.CONCAT(Tableau1[[#This Row],[Athletes]],"_",Tableau1[[#This Row],[Nationality]],"_",Tableau1[[#This Row],[Competition_year]])</f>
        <v>Laura MUIR_GBR_2023</v>
      </c>
      <c r="B1229" t="s">
        <v>153</v>
      </c>
      <c r="C1229" t="s">
        <v>47</v>
      </c>
      <c r="D1229" t="s">
        <v>20</v>
      </c>
      <c r="E1229">
        <v>15.77</v>
      </c>
      <c r="F1229">
        <v>15.86</v>
      </c>
      <c r="G1229">
        <v>15.86</v>
      </c>
      <c r="H1229">
        <v>16.05</v>
      </c>
      <c r="I1229">
        <v>16.010000000000002</v>
      </c>
      <c r="J1229">
        <v>16.579999999999998</v>
      </c>
      <c r="K1229">
        <v>15.58</v>
      </c>
      <c r="L1229">
        <v>16.59</v>
      </c>
      <c r="M1229">
        <v>16.41</v>
      </c>
      <c r="N1229">
        <v>16.64</v>
      </c>
      <c r="O1229">
        <v>15.22</v>
      </c>
      <c r="P1229">
        <v>14.82</v>
      </c>
      <c r="Q1229">
        <v>14.79</v>
      </c>
      <c r="R1229">
        <v>15.02</v>
      </c>
      <c r="S1229">
        <f>Tableau1[[#This Row],[Final_time]]-SUM(Tableau1[[#This Row],[0_100m]:[1300_1400m]])</f>
        <v>15.160000000000053</v>
      </c>
      <c r="T1229">
        <v>236.36</v>
      </c>
      <c r="U1229">
        <f t="shared" si="38"/>
        <v>236.36</v>
      </c>
      <c r="V1229">
        <f t="shared" si="39"/>
        <v>0</v>
      </c>
      <c r="W1229" s="12" t="s">
        <v>109</v>
      </c>
      <c r="X1229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29" t="s">
        <v>98</v>
      </c>
      <c r="Z1229" s="2" t="s">
        <v>106</v>
      </c>
      <c r="AA1229" s="2" t="s">
        <v>131</v>
      </c>
      <c r="AB1229" s="2" t="s">
        <v>65</v>
      </c>
      <c r="AC1229" s="2">
        <v>45158</v>
      </c>
      <c r="AD1229" s="3">
        <v>2023</v>
      </c>
      <c r="AE1229" s="3">
        <v>33</v>
      </c>
      <c r="AF1229" s="5">
        <v>0.46</v>
      </c>
      <c r="AG1229" s="3"/>
      <c r="AH1229" t="s">
        <v>107</v>
      </c>
    </row>
    <row r="1230" spans="1:34" hidden="1" x14ac:dyDescent="0.35">
      <c r="A1230" t="str">
        <f>_xlfn.CONCAT(Tableau1[[#This Row],[Athletes]],"_",Tableau1[[#This Row],[Nationality]],"_",Tableau1[[#This Row],[Competition_year]])</f>
        <v>Esther GUERRERO_ESP_2023</v>
      </c>
      <c r="B1230" t="s">
        <v>169</v>
      </c>
      <c r="C1230" t="s">
        <v>47</v>
      </c>
      <c r="D1230" t="s">
        <v>22</v>
      </c>
      <c r="E1230">
        <v>15.16</v>
      </c>
      <c r="F1230">
        <v>15.61</v>
      </c>
      <c r="G1230">
        <v>16.010000000000002</v>
      </c>
      <c r="H1230">
        <v>16.23</v>
      </c>
      <c r="I1230">
        <v>16.36</v>
      </c>
      <c r="J1230">
        <v>16.649999999999999</v>
      </c>
      <c r="K1230">
        <v>16.62</v>
      </c>
      <c r="L1230">
        <v>16.12</v>
      </c>
      <c r="M1230">
        <v>16.39</v>
      </c>
      <c r="N1230">
        <v>16.579999999999998</v>
      </c>
      <c r="O1230">
        <v>17.03</v>
      </c>
      <c r="P1230">
        <v>14.84</v>
      </c>
      <c r="Q1230">
        <v>15.62</v>
      </c>
      <c r="R1230">
        <v>15.61</v>
      </c>
      <c r="S1230">
        <f>Tableau1[[#This Row],[Final_time]]-SUM(Tableau1[[#This Row],[0_100m]:[1300_1400m]])</f>
        <v>15.299999999999955</v>
      </c>
      <c r="T1230">
        <v>240.13</v>
      </c>
      <c r="U1230">
        <f t="shared" si="38"/>
        <v>240.13</v>
      </c>
      <c r="V1230">
        <f t="shared" si="39"/>
        <v>0</v>
      </c>
      <c r="W1230" s="12"/>
      <c r="X1230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30" t="s">
        <v>98</v>
      </c>
      <c r="Z1230" s="2" t="s">
        <v>106</v>
      </c>
      <c r="AA1230" s="2" t="s">
        <v>131</v>
      </c>
      <c r="AB1230" s="2" t="s">
        <v>65</v>
      </c>
      <c r="AC1230" s="2">
        <v>45158</v>
      </c>
      <c r="AD1230" s="3">
        <v>2023</v>
      </c>
      <c r="AE1230" s="3">
        <v>33</v>
      </c>
      <c r="AF1230" s="5">
        <v>0.46</v>
      </c>
      <c r="AG1230" s="3"/>
      <c r="AH1230" t="s">
        <v>107</v>
      </c>
    </row>
    <row r="1231" spans="1:34" hidden="1" x14ac:dyDescent="0.35">
      <c r="A1231" t="str">
        <f>_xlfn.CONCAT(Tableau1[[#This Row],[Athletes]],"_",Tableau1[[#This Row],[Nationality]],"_",Tableau1[[#This Row],[Competition_year]])</f>
        <v>Adelle TRACEY_JAM_2023</v>
      </c>
      <c r="B1231" t="s">
        <v>188</v>
      </c>
      <c r="C1231" t="s">
        <v>47</v>
      </c>
      <c r="D1231" t="s">
        <v>108</v>
      </c>
      <c r="E1231">
        <v>14.96</v>
      </c>
      <c r="F1231">
        <v>15.53</v>
      </c>
      <c r="G1231">
        <v>15.96</v>
      </c>
      <c r="H1231">
        <v>16.190000000000001</v>
      </c>
      <c r="I1231">
        <v>16.21</v>
      </c>
      <c r="J1231">
        <v>16.59</v>
      </c>
      <c r="K1231">
        <v>16.39</v>
      </c>
      <c r="L1231">
        <v>16.670000000000002</v>
      </c>
      <c r="M1231">
        <v>16.39</v>
      </c>
      <c r="N1231">
        <v>16.78</v>
      </c>
      <c r="O1231">
        <v>15.47</v>
      </c>
      <c r="P1231">
        <v>15.1</v>
      </c>
      <c r="Q1231">
        <v>15.18</v>
      </c>
      <c r="R1231">
        <v>15.67</v>
      </c>
      <c r="S1231">
        <f>Tableau1[[#This Row],[Final_time]]-SUM(Tableau1[[#This Row],[0_100m]:[1300_1400m]])</f>
        <v>15.680000000000035</v>
      </c>
      <c r="T1231">
        <v>238.77</v>
      </c>
      <c r="U1231">
        <f t="shared" si="38"/>
        <v>238.77</v>
      </c>
      <c r="V1231">
        <f t="shared" si="39"/>
        <v>0</v>
      </c>
      <c r="W1231" s="12"/>
      <c r="X1231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31" t="s">
        <v>98</v>
      </c>
      <c r="Z1231" s="2" t="s">
        <v>106</v>
      </c>
      <c r="AA1231" s="2" t="s">
        <v>131</v>
      </c>
      <c r="AB1231" s="2" t="s">
        <v>65</v>
      </c>
      <c r="AC1231" s="2">
        <v>45158</v>
      </c>
      <c r="AD1231" s="3">
        <v>2023</v>
      </c>
      <c r="AE1231" s="3">
        <v>33</v>
      </c>
      <c r="AF1231" s="5">
        <v>0.46</v>
      </c>
      <c r="AG1231" s="3"/>
      <c r="AH1231" t="s">
        <v>107</v>
      </c>
    </row>
    <row r="1232" spans="1:34" hidden="1" x14ac:dyDescent="0.35">
      <c r="A1232" t="str">
        <f>_xlfn.CONCAT(Tableau1[[#This Row],[Athletes]],"_",Tableau1[[#This Row],[Nationality]],"_",Tableau1[[#This Row],[Competition_year]])</f>
        <v>Nikki HILTZ_USA_2023</v>
      </c>
      <c r="B1232" t="s">
        <v>154</v>
      </c>
      <c r="C1232" t="s">
        <v>47</v>
      </c>
      <c r="D1232" t="s">
        <v>51</v>
      </c>
      <c r="E1232">
        <v>15.12</v>
      </c>
      <c r="F1232">
        <v>15.84</v>
      </c>
      <c r="G1232">
        <v>15.64</v>
      </c>
      <c r="H1232">
        <v>16.239999999999998</v>
      </c>
      <c r="I1232">
        <v>16.36</v>
      </c>
      <c r="J1232">
        <v>16.559999999999999</v>
      </c>
      <c r="K1232">
        <v>16.77</v>
      </c>
      <c r="L1232">
        <v>16.32</v>
      </c>
      <c r="M1232">
        <v>16.350000000000001</v>
      </c>
      <c r="N1232">
        <v>16.54</v>
      </c>
      <c r="O1232">
        <v>15.82</v>
      </c>
      <c r="P1232">
        <v>15.75</v>
      </c>
      <c r="Q1232">
        <v>15.63</v>
      </c>
      <c r="R1232">
        <v>16</v>
      </c>
      <c r="S1232">
        <f>Tableau1[[#This Row],[Final_time]]-SUM(Tableau1[[#This Row],[0_100m]:[1300_1400m]])</f>
        <v>15.900000000000034</v>
      </c>
      <c r="T1232">
        <v>240.84</v>
      </c>
      <c r="U1232">
        <f t="shared" si="38"/>
        <v>240.84</v>
      </c>
      <c r="V1232">
        <f t="shared" si="39"/>
        <v>0</v>
      </c>
      <c r="W1232" s="12"/>
      <c r="X1232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32" t="s">
        <v>98</v>
      </c>
      <c r="Z1232" s="2" t="s">
        <v>106</v>
      </c>
      <c r="AA1232" s="2" t="s">
        <v>131</v>
      </c>
      <c r="AB1232" s="2" t="s">
        <v>65</v>
      </c>
      <c r="AC1232" s="2">
        <v>45158</v>
      </c>
      <c r="AD1232" s="3">
        <v>2023</v>
      </c>
      <c r="AE1232" s="3">
        <v>33</v>
      </c>
      <c r="AF1232" s="5">
        <v>0.46</v>
      </c>
      <c r="AG1232" s="3"/>
      <c r="AH1232" t="s">
        <v>107</v>
      </c>
    </row>
    <row r="1233" spans="1:34" hidden="1" x14ac:dyDescent="0.35">
      <c r="A1233" t="str">
        <f>_xlfn.CONCAT(Tableau1[[#This Row],[Athletes]],"_",Tableau1[[#This Row],[Nationality]],"_",Tableau1[[#This Row],[Competition_year]])</f>
        <v>Jessica HULL_AUS_2023</v>
      </c>
      <c r="B1233" t="s">
        <v>187</v>
      </c>
      <c r="C1233" t="s">
        <v>47</v>
      </c>
      <c r="D1233" t="s">
        <v>21</v>
      </c>
      <c r="E1233">
        <v>14.71</v>
      </c>
      <c r="F1233">
        <v>15.53</v>
      </c>
      <c r="G1233">
        <v>16.23</v>
      </c>
      <c r="H1233">
        <v>15.62</v>
      </c>
      <c r="I1233">
        <v>16.329999999999998</v>
      </c>
      <c r="J1233">
        <v>16.75</v>
      </c>
      <c r="K1233">
        <v>16.239999999999998</v>
      </c>
      <c r="L1233">
        <v>16.72</v>
      </c>
      <c r="M1233">
        <v>16.46</v>
      </c>
      <c r="N1233">
        <v>16.7</v>
      </c>
      <c r="O1233">
        <v>15.19</v>
      </c>
      <c r="P1233">
        <v>15.12</v>
      </c>
      <c r="Q1233">
        <v>14.76</v>
      </c>
      <c r="R1233">
        <v>15.43</v>
      </c>
      <c r="S1233">
        <f>Tableau1[[#This Row],[Final_time]]-SUM(Tableau1[[#This Row],[0_100m]:[1300_1400m]])</f>
        <v>16.060000000000002</v>
      </c>
      <c r="T1233">
        <v>237.85</v>
      </c>
      <c r="U1233">
        <f t="shared" si="38"/>
        <v>237.85</v>
      </c>
      <c r="V1233">
        <f t="shared" si="39"/>
        <v>0</v>
      </c>
      <c r="W1233" s="12" t="s">
        <v>109</v>
      </c>
      <c r="X1233" t="str">
        <f>_xlfn.CONCAT(Tableau1[[#This Row],[Competition]],"_",Tableau1[[#This Row],[Championship_step]],"_",Tableau1[[#This Row],[Competition_date]],"_",Tableau1[[#This Row],[Gender]])</f>
        <v>World Championships Budapest 2023_Semi 2_45158_Female</v>
      </c>
      <c r="Y1233" t="s">
        <v>98</v>
      </c>
      <c r="Z1233" s="2" t="s">
        <v>106</v>
      </c>
      <c r="AA1233" s="2" t="s">
        <v>131</v>
      </c>
      <c r="AB1233" s="2" t="s">
        <v>65</v>
      </c>
      <c r="AC1233" s="2">
        <v>45158</v>
      </c>
      <c r="AD1233" s="3">
        <v>2023</v>
      </c>
      <c r="AE1233" s="3">
        <v>33</v>
      </c>
      <c r="AF1233" s="5">
        <v>0.46</v>
      </c>
      <c r="AG1233" s="3"/>
      <c r="AH1233" t="s">
        <v>107</v>
      </c>
    </row>
    <row r="1234" spans="1:34" hidden="1" x14ac:dyDescent="0.35">
      <c r="A1234" t="str">
        <f>_xlfn.CONCAT(Tableau1[[#This Row],[Athletes]],"_",Tableau1[[#This Row],[Nationality]],"_",Tableau1[[#This Row],[Competition_year]])</f>
        <v>Jakob INGEBRIGTSEN_NOR_2023</v>
      </c>
      <c r="B1234" t="s">
        <v>151</v>
      </c>
      <c r="C1234" t="s">
        <v>16</v>
      </c>
      <c r="D1234" t="s">
        <v>30</v>
      </c>
      <c r="E1234">
        <v>14.95</v>
      </c>
      <c r="F1234">
        <v>15.29</v>
      </c>
      <c r="G1234">
        <v>16.190000000000001</v>
      </c>
      <c r="H1234">
        <v>14.75</v>
      </c>
      <c r="I1234">
        <v>15.24</v>
      </c>
      <c r="J1234">
        <v>15.09</v>
      </c>
      <c r="K1234">
        <v>15.37</v>
      </c>
      <c r="L1234">
        <v>14.56</v>
      </c>
      <c r="M1234">
        <v>13.75</v>
      </c>
      <c r="N1234">
        <v>14.04</v>
      </c>
      <c r="O1234">
        <v>15.12</v>
      </c>
      <c r="P1234">
        <v>12.29</v>
      </c>
      <c r="Q1234">
        <v>12.9</v>
      </c>
      <c r="R1234">
        <v>12.97</v>
      </c>
      <c r="S1234">
        <f>Tableau1[[#This Row],[Final_time]]-SUM(Tableau1[[#This Row],[0_100m]:[1300_1400m]])</f>
        <v>12.469999999999999</v>
      </c>
      <c r="T1234">
        <v>214.98</v>
      </c>
      <c r="U1234">
        <f t="shared" si="38"/>
        <v>214.98</v>
      </c>
      <c r="V1234">
        <f t="shared" si="39"/>
        <v>0</v>
      </c>
      <c r="W1234" s="12" t="s">
        <v>109</v>
      </c>
      <c r="X1234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34" t="s">
        <v>98</v>
      </c>
      <c r="Z1234" s="2" t="s">
        <v>106</v>
      </c>
      <c r="AA1234" s="2" t="s">
        <v>131</v>
      </c>
      <c r="AB1234" s="2" t="s">
        <v>65</v>
      </c>
      <c r="AC1234" s="2">
        <v>45158</v>
      </c>
      <c r="AD1234" s="3">
        <v>2023</v>
      </c>
      <c r="AE1234" s="3">
        <v>33</v>
      </c>
      <c r="AF1234" s="5">
        <v>0.46</v>
      </c>
      <c r="AG1234" s="3"/>
      <c r="AH1234" t="s">
        <v>125</v>
      </c>
    </row>
    <row r="1235" spans="1:34" hidden="1" x14ac:dyDescent="0.35">
      <c r="A1235" t="str">
        <f>_xlfn.CONCAT(Tableau1[[#This Row],[Athletes]],"_",Tableau1[[#This Row],[Nationality]],"_",Tableau1[[#This Row],[Competition_year]])</f>
        <v>Reynold CHERUIYOT_KEN_2023</v>
      </c>
      <c r="B1235" t="s">
        <v>1192</v>
      </c>
      <c r="C1235" t="s">
        <v>16</v>
      </c>
      <c r="D1235" t="s">
        <v>17</v>
      </c>
      <c r="E1235">
        <v>14</v>
      </c>
      <c r="F1235">
        <v>16.54</v>
      </c>
      <c r="G1235">
        <v>15.09</v>
      </c>
      <c r="H1235">
        <v>15.2</v>
      </c>
      <c r="I1235">
        <v>15.06</v>
      </c>
      <c r="J1235">
        <v>15.65</v>
      </c>
      <c r="K1235">
        <v>14.86</v>
      </c>
      <c r="L1235">
        <v>14.77</v>
      </c>
      <c r="M1235">
        <v>14.06</v>
      </c>
      <c r="N1235">
        <v>14.22</v>
      </c>
      <c r="O1235">
        <v>13.49</v>
      </c>
      <c r="P1235">
        <v>13.45</v>
      </c>
      <c r="Q1235">
        <v>13.21</v>
      </c>
      <c r="R1235">
        <v>13.19</v>
      </c>
      <c r="S1235">
        <f>Tableau1[[#This Row],[Final_time]]-SUM(Tableau1[[#This Row],[0_100m]:[1300_1400m]])</f>
        <v>12.740000000000009</v>
      </c>
      <c r="T1235">
        <v>215.53</v>
      </c>
      <c r="U1235">
        <f t="shared" si="38"/>
        <v>215.53</v>
      </c>
      <c r="V1235">
        <f t="shared" si="39"/>
        <v>0</v>
      </c>
      <c r="W1235" s="12" t="s">
        <v>109</v>
      </c>
      <c r="X1235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35" t="s">
        <v>98</v>
      </c>
      <c r="Z1235" s="2" t="s">
        <v>106</v>
      </c>
      <c r="AA1235" s="2" t="s">
        <v>131</v>
      </c>
      <c r="AB1235" s="2" t="s">
        <v>65</v>
      </c>
      <c r="AC1235" s="2">
        <v>45158</v>
      </c>
      <c r="AD1235" s="3">
        <v>2023</v>
      </c>
      <c r="AE1235" s="3">
        <v>33</v>
      </c>
      <c r="AF1235" s="5">
        <v>0.46</v>
      </c>
      <c r="AG1235" s="3"/>
      <c r="AH1235" t="s">
        <v>125</v>
      </c>
    </row>
    <row r="1236" spans="1:34" hidden="1" x14ac:dyDescent="0.35">
      <c r="A1236" t="str">
        <f>_xlfn.CONCAT(Tableau1[[#This Row],[Athletes]],"_",Tableau1[[#This Row],[Nationality]],"_",Tableau1[[#This Row],[Competition_year]])</f>
        <v>Mario GARCÍA_ESP_2023</v>
      </c>
      <c r="B1236" t="s">
        <v>117</v>
      </c>
      <c r="C1236" t="s">
        <v>16</v>
      </c>
      <c r="D1236" t="s">
        <v>22</v>
      </c>
      <c r="E1236">
        <v>13.74</v>
      </c>
      <c r="F1236">
        <v>15.96</v>
      </c>
      <c r="G1236">
        <v>15.33</v>
      </c>
      <c r="H1236">
        <v>15.4</v>
      </c>
      <c r="I1236">
        <v>15.37</v>
      </c>
      <c r="J1236">
        <v>15.75</v>
      </c>
      <c r="K1236">
        <v>14.5</v>
      </c>
      <c r="L1236">
        <v>14.55</v>
      </c>
      <c r="M1236">
        <v>13.96</v>
      </c>
      <c r="N1236">
        <v>14.25</v>
      </c>
      <c r="O1236">
        <v>13.58</v>
      </c>
      <c r="P1236">
        <v>13.38</v>
      </c>
      <c r="Q1236">
        <v>13.48</v>
      </c>
      <c r="R1236">
        <v>13.25</v>
      </c>
      <c r="S1236">
        <f>Tableau1[[#This Row],[Final_time]]-SUM(Tableau1[[#This Row],[0_100m]:[1300_1400m]])</f>
        <v>12.759999999999991</v>
      </c>
      <c r="T1236">
        <v>215.26</v>
      </c>
      <c r="U1236">
        <f t="shared" si="38"/>
        <v>215.26</v>
      </c>
      <c r="V1236">
        <f t="shared" si="39"/>
        <v>0</v>
      </c>
      <c r="W1236" s="12" t="s">
        <v>109</v>
      </c>
      <c r="X1236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36" t="s">
        <v>98</v>
      </c>
      <c r="Z1236" s="2" t="s">
        <v>106</v>
      </c>
      <c r="AA1236" s="2" t="s">
        <v>131</v>
      </c>
      <c r="AB1236" s="2" t="s">
        <v>65</v>
      </c>
      <c r="AC1236" s="2">
        <v>45158</v>
      </c>
      <c r="AD1236" s="3">
        <v>2023</v>
      </c>
      <c r="AE1236" s="3">
        <v>33</v>
      </c>
      <c r="AF1236" s="5">
        <v>0.46</v>
      </c>
      <c r="AG1236" s="3"/>
      <c r="AH1236" t="s">
        <v>125</v>
      </c>
    </row>
    <row r="1237" spans="1:34" hidden="1" x14ac:dyDescent="0.35">
      <c r="A1237" t="str">
        <f>_xlfn.CONCAT(Tableau1[[#This Row],[Athletes]],"_",Tableau1[[#This Row],[Nationality]],"_",Tableau1[[#This Row],[Competition_year]])</f>
        <v>Josh KERR_GBR_2023</v>
      </c>
      <c r="B1237" t="s">
        <v>189</v>
      </c>
      <c r="C1237" t="s">
        <v>16</v>
      </c>
      <c r="D1237" t="s">
        <v>20</v>
      </c>
      <c r="E1237">
        <v>13.82</v>
      </c>
      <c r="F1237">
        <v>15.31</v>
      </c>
      <c r="G1237">
        <v>15.53</v>
      </c>
      <c r="H1237">
        <v>15.6</v>
      </c>
      <c r="I1237">
        <v>15.17</v>
      </c>
      <c r="J1237">
        <v>15.6</v>
      </c>
      <c r="K1237">
        <v>14.87</v>
      </c>
      <c r="L1237">
        <v>14.4</v>
      </c>
      <c r="M1237">
        <v>14.08</v>
      </c>
      <c r="N1237">
        <v>14.01</v>
      </c>
      <c r="O1237">
        <v>13.74</v>
      </c>
      <c r="P1237">
        <v>13.43</v>
      </c>
      <c r="Q1237">
        <v>13.48</v>
      </c>
      <c r="R1237">
        <v>13.33</v>
      </c>
      <c r="S1237">
        <f>Tableau1[[#This Row],[Final_time]]-SUM(Tableau1[[#This Row],[0_100m]:[1300_1400m]])</f>
        <v>12.769999999999953</v>
      </c>
      <c r="T1237">
        <v>215.14</v>
      </c>
      <c r="U1237">
        <f t="shared" si="38"/>
        <v>215.14</v>
      </c>
      <c r="V1237">
        <f t="shared" si="39"/>
        <v>0</v>
      </c>
      <c r="W1237" s="12" t="s">
        <v>109</v>
      </c>
      <c r="X1237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37" t="s">
        <v>98</v>
      </c>
      <c r="Z1237" s="2" t="s">
        <v>106</v>
      </c>
      <c r="AA1237" s="2" t="s">
        <v>131</v>
      </c>
      <c r="AB1237" s="2" t="s">
        <v>65</v>
      </c>
      <c r="AC1237" s="2">
        <v>45158</v>
      </c>
      <c r="AD1237" s="3">
        <v>2023</v>
      </c>
      <c r="AE1237" s="3">
        <v>33</v>
      </c>
      <c r="AF1237" s="5">
        <v>0.46</v>
      </c>
      <c r="AG1237" s="3"/>
      <c r="AH1237" t="s">
        <v>125</v>
      </c>
    </row>
    <row r="1238" spans="1:34" hidden="1" x14ac:dyDescent="0.35">
      <c r="A1238" t="str">
        <f>_xlfn.CONCAT(Tableau1[[#This Row],[Athletes]],"_",Tableau1[[#This Row],[Nationality]],"_",Tableau1[[#This Row],[Competition_year]])</f>
        <v>Isaac NADER_POR_2023</v>
      </c>
      <c r="B1238" t="s">
        <v>191</v>
      </c>
      <c r="C1238" t="s">
        <v>16</v>
      </c>
      <c r="D1238" t="s">
        <v>33</v>
      </c>
      <c r="E1238">
        <v>13.9</v>
      </c>
      <c r="F1238">
        <v>15.35</v>
      </c>
      <c r="G1238">
        <v>15.64</v>
      </c>
      <c r="H1238">
        <v>15.7</v>
      </c>
      <c r="I1238">
        <v>15.29</v>
      </c>
      <c r="J1238">
        <v>15.54</v>
      </c>
      <c r="K1238">
        <v>14.8</v>
      </c>
      <c r="L1238">
        <v>14.78</v>
      </c>
      <c r="M1238">
        <v>13.98</v>
      </c>
      <c r="N1238">
        <v>14.15</v>
      </c>
      <c r="O1238">
        <v>13.7</v>
      </c>
      <c r="P1238">
        <v>13.67</v>
      </c>
      <c r="Q1238">
        <v>13.08</v>
      </c>
      <c r="R1238">
        <v>12.9</v>
      </c>
      <c r="S1238">
        <f>Tableau1[[#This Row],[Final_time]]-SUM(Tableau1[[#This Row],[0_100m]:[1300_1400m]])</f>
        <v>12.830000000000013</v>
      </c>
      <c r="T1238">
        <v>215.31</v>
      </c>
      <c r="U1238">
        <f t="shared" si="38"/>
        <v>215.31</v>
      </c>
      <c r="V1238">
        <f t="shared" si="39"/>
        <v>0</v>
      </c>
      <c r="W1238" s="12" t="s">
        <v>109</v>
      </c>
      <c r="X1238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38" t="s">
        <v>98</v>
      </c>
      <c r="Z1238" s="2" t="s">
        <v>106</v>
      </c>
      <c r="AA1238" s="2" t="s">
        <v>131</v>
      </c>
      <c r="AB1238" s="2" t="s">
        <v>65</v>
      </c>
      <c r="AC1238" s="2">
        <v>45158</v>
      </c>
      <c r="AD1238" s="3">
        <v>2023</v>
      </c>
      <c r="AE1238" s="3">
        <v>33</v>
      </c>
      <c r="AF1238" s="5">
        <v>0.46</v>
      </c>
      <c r="AG1238" s="3"/>
      <c r="AH1238" t="s">
        <v>125</v>
      </c>
    </row>
    <row r="1239" spans="1:34" hidden="1" x14ac:dyDescent="0.35">
      <c r="A1239" t="str">
        <f>_xlfn.CONCAT(Tableau1[[#This Row],[Athletes]],"_",Tableau1[[#This Row],[Nationality]],"_",Tableau1[[#This Row],[Competition_year]])</f>
        <v>Cole HOCKER_USA_2023</v>
      </c>
      <c r="B1239" t="s">
        <v>215</v>
      </c>
      <c r="C1239" t="s">
        <v>16</v>
      </c>
      <c r="D1239" t="s">
        <v>51</v>
      </c>
      <c r="E1239">
        <v>13.95</v>
      </c>
      <c r="F1239">
        <v>15.03</v>
      </c>
      <c r="G1239">
        <v>15.48</v>
      </c>
      <c r="H1239">
        <v>15.64</v>
      </c>
      <c r="I1239">
        <v>15.27</v>
      </c>
      <c r="J1239">
        <v>15.63</v>
      </c>
      <c r="K1239">
        <v>14.78</v>
      </c>
      <c r="L1239">
        <v>14.75</v>
      </c>
      <c r="M1239">
        <v>14.12</v>
      </c>
      <c r="N1239">
        <v>14.72</v>
      </c>
      <c r="O1239">
        <v>13.44</v>
      </c>
      <c r="P1239">
        <v>13.19</v>
      </c>
      <c r="Q1239">
        <v>13.34</v>
      </c>
      <c r="R1239">
        <v>12.95</v>
      </c>
      <c r="S1239">
        <f>Tableau1[[#This Row],[Final_time]]-SUM(Tableau1[[#This Row],[0_100m]:[1300_1400m]])</f>
        <v>12.940000000000026</v>
      </c>
      <c r="T1239">
        <v>215.23</v>
      </c>
      <c r="U1239">
        <f t="shared" si="38"/>
        <v>215.23</v>
      </c>
      <c r="V1239">
        <f t="shared" si="39"/>
        <v>0</v>
      </c>
      <c r="W1239" s="12" t="s">
        <v>109</v>
      </c>
      <c r="X1239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39" t="s">
        <v>98</v>
      </c>
      <c r="Z1239" s="2" t="s">
        <v>106</v>
      </c>
      <c r="AA1239" s="2" t="s">
        <v>131</v>
      </c>
      <c r="AB1239" s="2" t="s">
        <v>65</v>
      </c>
      <c r="AC1239" s="2">
        <v>45158</v>
      </c>
      <c r="AD1239" s="3">
        <v>2023</v>
      </c>
      <c r="AE1239" s="3">
        <v>33</v>
      </c>
      <c r="AF1239" s="5">
        <v>0.46</v>
      </c>
      <c r="AG1239" s="3"/>
      <c r="AH1239" t="s">
        <v>125</v>
      </c>
    </row>
    <row r="1240" spans="1:34" hidden="1" x14ac:dyDescent="0.35">
      <c r="A1240" t="str">
        <f>_xlfn.CONCAT(Tableau1[[#This Row],[Athletes]],"_",Tableau1[[#This Row],[Nationality]],"_",Tableau1[[#This Row],[Competition_year]])</f>
        <v>Samuel TANNER_NZL_2023</v>
      </c>
      <c r="B1240" t="s">
        <v>203</v>
      </c>
      <c r="C1240" t="s">
        <v>16</v>
      </c>
      <c r="D1240" t="s">
        <v>118</v>
      </c>
      <c r="E1240">
        <v>13.98</v>
      </c>
      <c r="F1240">
        <v>15.69</v>
      </c>
      <c r="G1240">
        <v>15.81</v>
      </c>
      <c r="H1240">
        <v>15.2</v>
      </c>
      <c r="I1240">
        <v>15.32</v>
      </c>
      <c r="J1240">
        <v>15.66</v>
      </c>
      <c r="K1240">
        <v>14.81</v>
      </c>
      <c r="L1240">
        <v>15.02</v>
      </c>
      <c r="M1240">
        <v>13.89</v>
      </c>
      <c r="N1240">
        <v>14.14</v>
      </c>
      <c r="O1240">
        <v>14.38</v>
      </c>
      <c r="P1240">
        <v>12.92</v>
      </c>
      <c r="Q1240">
        <v>13.19</v>
      </c>
      <c r="R1240">
        <v>13.58</v>
      </c>
      <c r="S1240">
        <f>Tableau1[[#This Row],[Final_time]]-SUM(Tableau1[[#This Row],[0_100m]:[1300_1400m]])</f>
        <v>12.990000000000038</v>
      </c>
      <c r="T1240">
        <v>216.58</v>
      </c>
      <c r="U1240">
        <f t="shared" si="38"/>
        <v>216.58</v>
      </c>
      <c r="V1240">
        <f t="shared" si="39"/>
        <v>0</v>
      </c>
      <c r="W1240" s="12"/>
      <c r="X1240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0" t="s">
        <v>98</v>
      </c>
      <c r="Z1240" s="2" t="s">
        <v>106</v>
      </c>
      <c r="AA1240" s="2" t="s">
        <v>131</v>
      </c>
      <c r="AB1240" s="2" t="s">
        <v>65</v>
      </c>
      <c r="AC1240" s="2">
        <v>45158</v>
      </c>
      <c r="AD1240" s="3">
        <v>2023</v>
      </c>
      <c r="AE1240" s="3">
        <v>33</v>
      </c>
      <c r="AF1240" s="5">
        <v>0.46</v>
      </c>
      <c r="AG1240" s="3"/>
      <c r="AH1240" t="s">
        <v>125</v>
      </c>
    </row>
    <row r="1241" spans="1:34" hidden="1" x14ac:dyDescent="0.35">
      <c r="A1241" t="str">
        <f>_xlfn.CONCAT(Tableau1[[#This Row],[Athletes]],"_",Tableau1[[#This Row],[Nationality]],"_",Tableau1[[#This Row],[Competition_year]])</f>
        <v>Charles GRETHEN_LUX_2023</v>
      </c>
      <c r="B1241" t="s">
        <v>230</v>
      </c>
      <c r="C1241" t="s">
        <v>16</v>
      </c>
      <c r="D1241" t="s">
        <v>76</v>
      </c>
      <c r="E1241">
        <v>13.64</v>
      </c>
      <c r="F1241">
        <v>15.71</v>
      </c>
      <c r="G1241">
        <v>15.1</v>
      </c>
      <c r="H1241">
        <v>15.71</v>
      </c>
      <c r="I1241">
        <v>15.46</v>
      </c>
      <c r="J1241">
        <v>16</v>
      </c>
      <c r="K1241">
        <v>14.47</v>
      </c>
      <c r="L1241">
        <v>14.87</v>
      </c>
      <c r="M1241">
        <v>14</v>
      </c>
      <c r="N1241">
        <v>14.9</v>
      </c>
      <c r="O1241">
        <v>13.91</v>
      </c>
      <c r="P1241">
        <v>12.69</v>
      </c>
      <c r="Q1241">
        <v>13.43</v>
      </c>
      <c r="R1241">
        <v>12.97</v>
      </c>
      <c r="S1241">
        <f>Tableau1[[#This Row],[Final_time]]-SUM(Tableau1[[#This Row],[0_100m]:[1300_1400m]])</f>
        <v>13.319999999999993</v>
      </c>
      <c r="T1241">
        <v>216.18</v>
      </c>
      <c r="U1241">
        <f t="shared" si="38"/>
        <v>216.18</v>
      </c>
      <c r="V1241">
        <f t="shared" si="39"/>
        <v>0</v>
      </c>
      <c r="W1241" s="12"/>
      <c r="X1241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1" t="s">
        <v>98</v>
      </c>
      <c r="Z1241" s="2" t="s">
        <v>106</v>
      </c>
      <c r="AA1241" s="2" t="s">
        <v>131</v>
      </c>
      <c r="AB1241" s="2" t="s">
        <v>65</v>
      </c>
      <c r="AC1241" s="2">
        <v>45158</v>
      </c>
      <c r="AD1241" s="3">
        <v>2023</v>
      </c>
      <c r="AE1241" s="3">
        <v>33</v>
      </c>
      <c r="AF1241" s="5">
        <v>0.46</v>
      </c>
      <c r="AG1241" s="3"/>
      <c r="AH1241" t="s">
        <v>125</v>
      </c>
    </row>
    <row r="1242" spans="1:34" hidden="1" x14ac:dyDescent="0.35">
      <c r="A1242" t="str">
        <f>_xlfn.CONCAT(Tableau1[[#This Row],[Athletes]],"_",Tableau1[[#This Row],[Nationality]],"_",Tableau1[[#This Row],[Competition_year]])</f>
        <v>Charles PHILIBERT-THIBOUTOT_CAN_2023</v>
      </c>
      <c r="B1242" t="s">
        <v>113</v>
      </c>
      <c r="C1242" t="s">
        <v>16</v>
      </c>
      <c r="D1242" t="s">
        <v>55</v>
      </c>
      <c r="E1242">
        <v>14.46</v>
      </c>
      <c r="F1242">
        <v>15.33</v>
      </c>
      <c r="G1242">
        <v>15.43</v>
      </c>
      <c r="H1242">
        <v>15.68</v>
      </c>
      <c r="I1242">
        <v>15.31</v>
      </c>
      <c r="J1242">
        <v>15.6</v>
      </c>
      <c r="K1242">
        <v>14.81</v>
      </c>
      <c r="L1242">
        <v>14.89</v>
      </c>
      <c r="M1242">
        <v>13.98</v>
      </c>
      <c r="N1242">
        <v>14.13</v>
      </c>
      <c r="O1242">
        <v>13.56</v>
      </c>
      <c r="P1242">
        <v>13.69</v>
      </c>
      <c r="Q1242">
        <v>13.18</v>
      </c>
      <c r="R1242">
        <v>13.41</v>
      </c>
      <c r="S1242">
        <f>Tableau1[[#This Row],[Final_time]]-SUM(Tableau1[[#This Row],[0_100m]:[1300_1400m]])</f>
        <v>13.950000000000017</v>
      </c>
      <c r="T1242">
        <v>217.41</v>
      </c>
      <c r="U1242">
        <f t="shared" si="38"/>
        <v>217.41</v>
      </c>
      <c r="V1242">
        <f t="shared" si="39"/>
        <v>0</v>
      </c>
      <c r="W1242" s="12"/>
      <c r="X1242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2" t="s">
        <v>98</v>
      </c>
      <c r="Z1242" s="2" t="s">
        <v>106</v>
      </c>
      <c r="AA1242" s="2" t="s">
        <v>131</v>
      </c>
      <c r="AB1242" s="2" t="s">
        <v>65</v>
      </c>
      <c r="AC1242" s="2">
        <v>45158</v>
      </c>
      <c r="AD1242" s="3">
        <v>2023</v>
      </c>
      <c r="AE1242" s="3">
        <v>33</v>
      </c>
      <c r="AF1242" s="5">
        <v>0.46</v>
      </c>
      <c r="AG1242" s="3"/>
      <c r="AH1242" t="s">
        <v>125</v>
      </c>
    </row>
    <row r="1243" spans="1:34" hidden="1" x14ac:dyDescent="0.35">
      <c r="A1243" t="str">
        <f>_xlfn.CONCAT(Tableau1[[#This Row],[Athletes]],"_",Tableau1[[#This Row],[Nationality]],"_",Tableau1[[#This Row],[Competition_year]])</f>
        <v>Timothy CHERUIYOT_KEN_2023</v>
      </c>
      <c r="B1243" t="s">
        <v>205</v>
      </c>
      <c r="C1243" t="s">
        <v>16</v>
      </c>
      <c r="D1243" t="s">
        <v>17</v>
      </c>
      <c r="E1243">
        <v>14.19</v>
      </c>
      <c r="F1243">
        <v>15.7</v>
      </c>
      <c r="G1243">
        <v>15.52</v>
      </c>
      <c r="H1243">
        <v>15.65</v>
      </c>
      <c r="I1243">
        <v>15.04</v>
      </c>
      <c r="J1243">
        <v>15.46</v>
      </c>
      <c r="K1243">
        <v>15.1</v>
      </c>
      <c r="L1243">
        <v>14.67</v>
      </c>
      <c r="M1243">
        <v>14.04</v>
      </c>
      <c r="N1243">
        <v>14.29</v>
      </c>
      <c r="O1243">
        <v>14.33</v>
      </c>
      <c r="P1243">
        <v>13.06</v>
      </c>
      <c r="Q1243">
        <v>13.12</v>
      </c>
      <c r="R1243">
        <v>13.25</v>
      </c>
      <c r="S1243">
        <f>Tableau1[[#This Row],[Final_time]]-SUM(Tableau1[[#This Row],[0_100m]:[1300_1400m]])</f>
        <v>13.97999999999999</v>
      </c>
      <c r="T1243">
        <v>217.4</v>
      </c>
      <c r="U1243">
        <f t="shared" si="38"/>
        <v>217.4</v>
      </c>
      <c r="V1243">
        <f t="shared" si="39"/>
        <v>0</v>
      </c>
      <c r="W1243" s="12"/>
      <c r="X1243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3" t="s">
        <v>98</v>
      </c>
      <c r="Z1243" s="2" t="s">
        <v>106</v>
      </c>
      <c r="AA1243" s="2" t="s">
        <v>131</v>
      </c>
      <c r="AB1243" s="2" t="s">
        <v>65</v>
      </c>
      <c r="AC1243" s="2">
        <v>45158</v>
      </c>
      <c r="AD1243" s="3">
        <v>2023</v>
      </c>
      <c r="AE1243" s="3">
        <v>33</v>
      </c>
      <c r="AF1243" s="5">
        <v>0.46</v>
      </c>
      <c r="AG1243" s="3"/>
      <c r="AH1243" t="s">
        <v>125</v>
      </c>
    </row>
    <row r="1244" spans="1:34" hidden="1" x14ac:dyDescent="0.35">
      <c r="A1244" t="str">
        <f>_xlfn.CONCAT(Tableau1[[#This Row],[Athletes]],"_",Tableau1[[#This Row],[Nationality]],"_",Tableau1[[#This Row],[Competition_year]])</f>
        <v>Tom ELMER_SUI_2023</v>
      </c>
      <c r="B1244" t="s">
        <v>199</v>
      </c>
      <c r="C1244" t="s">
        <v>16</v>
      </c>
      <c r="D1244" t="s">
        <v>87</v>
      </c>
      <c r="E1244">
        <v>13.74</v>
      </c>
      <c r="F1244">
        <v>16.079999999999998</v>
      </c>
      <c r="G1244">
        <v>16.8</v>
      </c>
      <c r="H1244">
        <v>13.76</v>
      </c>
      <c r="I1244">
        <v>15.38</v>
      </c>
      <c r="J1244">
        <v>15.38</v>
      </c>
      <c r="K1244">
        <v>15.01</v>
      </c>
      <c r="L1244">
        <v>14.77</v>
      </c>
      <c r="M1244">
        <v>14.04</v>
      </c>
      <c r="N1244">
        <v>14.54</v>
      </c>
      <c r="O1244">
        <v>13.27</v>
      </c>
      <c r="P1244">
        <v>13.87</v>
      </c>
      <c r="Q1244">
        <v>13.8</v>
      </c>
      <c r="R1244">
        <v>13.89</v>
      </c>
      <c r="S1244">
        <f>Tableau1[[#This Row],[Final_time]]-SUM(Tableau1[[#This Row],[0_100m]:[1300_1400m]])</f>
        <v>13.999999999999972</v>
      </c>
      <c r="T1244">
        <v>218.33</v>
      </c>
      <c r="U1244">
        <f t="shared" si="38"/>
        <v>218.33</v>
      </c>
      <c r="V1244">
        <f t="shared" si="39"/>
        <v>0</v>
      </c>
      <c r="W1244" s="12"/>
      <c r="X1244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4" t="s">
        <v>98</v>
      </c>
      <c r="Z1244" s="2" t="s">
        <v>106</v>
      </c>
      <c r="AA1244" s="2" t="s">
        <v>131</v>
      </c>
      <c r="AB1244" s="2" t="s">
        <v>65</v>
      </c>
      <c r="AC1244" s="2">
        <v>45158</v>
      </c>
      <c r="AD1244" s="3">
        <v>2023</v>
      </c>
      <c r="AE1244" s="3">
        <v>33</v>
      </c>
      <c r="AF1244" s="5">
        <v>0.46</v>
      </c>
      <c r="AG1244" s="3"/>
      <c r="AH1244" t="s">
        <v>125</v>
      </c>
    </row>
    <row r="1245" spans="1:34" hidden="1" x14ac:dyDescent="0.35">
      <c r="A1245" t="str">
        <f>_xlfn.CONCAT(Tableau1[[#This Row],[Athletes]],"_",Tableau1[[#This Row],[Nationality]],"_",Tableau1[[#This Row],[Competition_year]])</f>
        <v>Adam SPENCER_AUS_2023</v>
      </c>
      <c r="B1245" t="s">
        <v>229</v>
      </c>
      <c r="C1245" t="s">
        <v>16</v>
      </c>
      <c r="D1245" t="s">
        <v>21</v>
      </c>
      <c r="E1245">
        <v>14.05</v>
      </c>
      <c r="F1245">
        <v>16.09</v>
      </c>
      <c r="G1245">
        <v>15.17</v>
      </c>
      <c r="H1245">
        <v>15.79</v>
      </c>
      <c r="I1245">
        <v>14.95</v>
      </c>
      <c r="J1245">
        <v>15.36</v>
      </c>
      <c r="K1245">
        <v>14.78</v>
      </c>
      <c r="L1245">
        <v>15.08</v>
      </c>
      <c r="M1245">
        <v>14</v>
      </c>
      <c r="N1245">
        <v>14.07</v>
      </c>
      <c r="O1245">
        <v>13.96</v>
      </c>
      <c r="P1245">
        <v>14.28</v>
      </c>
      <c r="Q1245">
        <v>14.42</v>
      </c>
      <c r="R1245">
        <v>14.9</v>
      </c>
      <c r="S1245">
        <f>Tableau1[[#This Row],[Final_time]]-SUM(Tableau1[[#This Row],[0_100m]:[1300_1400m]])</f>
        <v>15.200000000000017</v>
      </c>
      <c r="T1245">
        <v>222.1</v>
      </c>
      <c r="U1245">
        <f t="shared" si="38"/>
        <v>222.1</v>
      </c>
      <c r="V1245">
        <f t="shared" si="39"/>
        <v>0</v>
      </c>
      <c r="W1245" s="12"/>
      <c r="X1245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5" t="s">
        <v>98</v>
      </c>
      <c r="Z1245" s="2" t="s">
        <v>106</v>
      </c>
      <c r="AA1245" s="2" t="s">
        <v>131</v>
      </c>
      <c r="AB1245" s="2" t="s">
        <v>65</v>
      </c>
      <c r="AC1245" s="2">
        <v>45158</v>
      </c>
      <c r="AD1245" s="3">
        <v>2023</v>
      </c>
      <c r="AE1245" s="3">
        <v>33</v>
      </c>
      <c r="AF1245" s="5">
        <v>0.46</v>
      </c>
      <c r="AG1245" s="3"/>
      <c r="AH1245" t="s">
        <v>125</v>
      </c>
    </row>
    <row r="1246" spans="1:34" hidden="1" x14ac:dyDescent="0.35">
      <c r="A1246" t="str">
        <f>_xlfn.CONCAT(Tableau1[[#This Row],[Athletes]],"_",Tableau1[[#This Row],[Nationality]],"_",Tableau1[[#This Row],[Competition_year]])</f>
        <v>Elliot GILES_GBR_2023</v>
      </c>
      <c r="B1246" t="s">
        <v>231</v>
      </c>
      <c r="C1246" t="s">
        <v>16</v>
      </c>
      <c r="D1246" t="s">
        <v>20</v>
      </c>
      <c r="E1246">
        <v>13.69</v>
      </c>
      <c r="F1246">
        <v>15.13</v>
      </c>
      <c r="G1246">
        <v>15.97</v>
      </c>
      <c r="H1246">
        <v>15.53</v>
      </c>
      <c r="I1246">
        <v>15.25</v>
      </c>
      <c r="J1246">
        <v>15.81</v>
      </c>
      <c r="K1246">
        <v>14.76</v>
      </c>
      <c r="L1246">
        <v>14.69</v>
      </c>
      <c r="M1246">
        <v>13.93</v>
      </c>
      <c r="N1246">
        <v>14.53</v>
      </c>
      <c r="O1246">
        <v>13.46</v>
      </c>
      <c r="P1246">
        <v>13.58</v>
      </c>
      <c r="Q1246">
        <v>13.45</v>
      </c>
      <c r="R1246">
        <v>13.81</v>
      </c>
      <c r="S1246">
        <f>Tableau1[[#This Row],[Final_time]]-SUM(Tableau1[[#This Row],[0_100m]:[1300_1400m]])</f>
        <v>15.460000000000008</v>
      </c>
      <c r="T1246">
        <v>219.05</v>
      </c>
      <c r="U1246">
        <f t="shared" si="38"/>
        <v>219.05</v>
      </c>
      <c r="V1246">
        <f t="shared" si="39"/>
        <v>0</v>
      </c>
      <c r="W1246" s="12"/>
      <c r="X1246" t="str">
        <f>_xlfn.CONCAT(Tableau1[[#This Row],[Competition]],"_",Tableau1[[#This Row],[Championship_step]],"_",Tableau1[[#This Row],[Competition_date]],"_",Tableau1[[#This Row],[Gender]])</f>
        <v>World Championships Budapest 2023_Semi 2_45158_Male</v>
      </c>
      <c r="Y1246" t="s">
        <v>98</v>
      </c>
      <c r="Z1246" s="2" t="s">
        <v>106</v>
      </c>
      <c r="AA1246" s="2" t="s">
        <v>131</v>
      </c>
      <c r="AB1246" s="2" t="s">
        <v>65</v>
      </c>
      <c r="AC1246" s="2">
        <v>45158</v>
      </c>
      <c r="AD1246" s="3">
        <v>2023</v>
      </c>
      <c r="AE1246" s="3">
        <v>33</v>
      </c>
      <c r="AF1246" s="5">
        <v>0.46</v>
      </c>
      <c r="AG1246" s="3"/>
      <c r="AH1246" t="s">
        <v>125</v>
      </c>
    </row>
    <row r="1247" spans="1:34" hidden="1" x14ac:dyDescent="0.35">
      <c r="A1247" t="str">
        <f>_xlfn.CONCAT(Tableau1[[#This Row],[Athletes]],"_",Tableau1[[#This Row],[Nationality]],"_",Tableau1[[#This Row],[Competition_year]])</f>
        <v>Sofia ENNAOUI_POL_2022</v>
      </c>
      <c r="B1247" t="s">
        <v>161</v>
      </c>
      <c r="C1247" t="s">
        <v>47</v>
      </c>
      <c r="D1247" t="s">
        <v>83</v>
      </c>
      <c r="E1247">
        <v>15.27</v>
      </c>
      <c r="F1247">
        <v>15.24</v>
      </c>
      <c r="G1247">
        <v>15.55</v>
      </c>
      <c r="H1247">
        <v>16.3</v>
      </c>
      <c r="I1247">
        <v>16.16</v>
      </c>
      <c r="J1247">
        <v>16.72</v>
      </c>
      <c r="K1247">
        <v>16.36</v>
      </c>
      <c r="L1247">
        <v>16.54</v>
      </c>
      <c r="M1247">
        <v>17.02</v>
      </c>
      <c r="N1247">
        <v>16.96</v>
      </c>
      <c r="O1247">
        <v>15.86</v>
      </c>
      <c r="P1247">
        <v>16.260000000000002</v>
      </c>
      <c r="Q1247">
        <v>15.71</v>
      </c>
      <c r="R1247">
        <v>16.21</v>
      </c>
      <c r="S1247">
        <f>Tableau1[[#This Row],[Final_time]]-SUM(Tableau1[[#This Row],[0_100m]:[1300_1400m]])</f>
        <v>15.269999999999982</v>
      </c>
      <c r="T1247">
        <v>241.43</v>
      </c>
      <c r="U1247">
        <f t="shared" si="38"/>
        <v>241.43</v>
      </c>
      <c r="V1247">
        <f t="shared" si="39"/>
        <v>0</v>
      </c>
      <c r="W1247" s="12"/>
      <c r="X1247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47" t="s">
        <v>136</v>
      </c>
      <c r="Z1247" s="2" t="s">
        <v>110</v>
      </c>
      <c r="AA1247" s="2" t="s">
        <v>132</v>
      </c>
      <c r="AB1247" s="2" t="s">
        <v>65</v>
      </c>
      <c r="AC1247" s="2">
        <v>44760</v>
      </c>
      <c r="AD1247" s="3">
        <v>2022</v>
      </c>
      <c r="AE1247" s="3">
        <v>25</v>
      </c>
      <c r="AF1247" s="5">
        <v>0.46</v>
      </c>
      <c r="AG1247" s="3"/>
      <c r="AH1247" t="s">
        <v>145</v>
      </c>
    </row>
    <row r="1248" spans="1:34" hidden="1" x14ac:dyDescent="0.35">
      <c r="A1248" t="str">
        <f>_xlfn.CONCAT(Tableau1[[#This Row],[Athletes]],"_",Tableau1[[#This Row],[Nationality]],"_",Tableau1[[#This Row],[Competition_year]])</f>
        <v>Faith KIPYEGON_KEN_2022</v>
      </c>
      <c r="B1248" t="s">
        <v>164</v>
      </c>
      <c r="C1248" t="s">
        <v>47</v>
      </c>
      <c r="D1248" t="s">
        <v>17</v>
      </c>
      <c r="E1248">
        <v>14.63</v>
      </c>
      <c r="F1248">
        <v>14.3</v>
      </c>
      <c r="G1248">
        <v>14.54</v>
      </c>
      <c r="H1248">
        <v>15.42</v>
      </c>
      <c r="I1248">
        <v>15.76</v>
      </c>
      <c r="J1248">
        <v>16.27</v>
      </c>
      <c r="K1248">
        <v>16.05</v>
      </c>
      <c r="L1248">
        <v>16.25</v>
      </c>
      <c r="M1248">
        <v>16.32</v>
      </c>
      <c r="N1248">
        <v>16.45</v>
      </c>
      <c r="O1248">
        <v>15.82</v>
      </c>
      <c r="P1248">
        <v>15.89</v>
      </c>
      <c r="Q1248">
        <v>14.97</v>
      </c>
      <c r="R1248">
        <v>14.78</v>
      </c>
      <c r="S1248">
        <f>Tableau1[[#This Row],[Final_time]]-SUM(Tableau1[[#This Row],[0_100m]:[1300_1400m]])</f>
        <v>15.510000000000019</v>
      </c>
      <c r="T1248">
        <v>232.96</v>
      </c>
      <c r="U1248">
        <f t="shared" si="38"/>
        <v>232.96</v>
      </c>
      <c r="V1248">
        <f t="shared" si="39"/>
        <v>0</v>
      </c>
      <c r="W1248" s="12"/>
      <c r="X1248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48" t="s">
        <v>136</v>
      </c>
      <c r="Z1248" s="2" t="s">
        <v>110</v>
      </c>
      <c r="AA1248" s="2" t="s">
        <v>132</v>
      </c>
      <c r="AB1248" s="2" t="s">
        <v>65</v>
      </c>
      <c r="AC1248" s="2">
        <v>44760</v>
      </c>
      <c r="AD1248" s="3">
        <v>2022</v>
      </c>
      <c r="AE1248" s="3">
        <v>25</v>
      </c>
      <c r="AF1248" s="5">
        <v>0.46</v>
      </c>
      <c r="AG1248" s="3"/>
      <c r="AH1248" t="s">
        <v>145</v>
      </c>
    </row>
    <row r="1249" spans="1:34" hidden="1" x14ac:dyDescent="0.35">
      <c r="A1249" t="str">
        <f>_xlfn.CONCAT(Tableau1[[#This Row],[Athletes]],"_",Tableau1[[#This Row],[Nationality]],"_",Tableau1[[#This Row],[Competition_year]])</f>
        <v>Freweyni HAILU_ETH_2022</v>
      </c>
      <c r="B1249" t="s">
        <v>144</v>
      </c>
      <c r="C1249" t="s">
        <v>47</v>
      </c>
      <c r="D1249" t="s">
        <v>48</v>
      </c>
      <c r="E1249">
        <v>15.93</v>
      </c>
      <c r="F1249">
        <v>14.73</v>
      </c>
      <c r="G1249">
        <v>14.96</v>
      </c>
      <c r="H1249">
        <v>16.09</v>
      </c>
      <c r="I1249">
        <v>16.100000000000001</v>
      </c>
      <c r="J1249">
        <v>16.77</v>
      </c>
      <c r="K1249">
        <v>15.76</v>
      </c>
      <c r="L1249">
        <v>16.739999999999998</v>
      </c>
      <c r="M1249">
        <v>16.7</v>
      </c>
      <c r="N1249">
        <v>16.66</v>
      </c>
      <c r="O1249">
        <v>15.61</v>
      </c>
      <c r="P1249">
        <v>16.46</v>
      </c>
      <c r="Q1249">
        <v>16.82</v>
      </c>
      <c r="R1249">
        <v>16.25</v>
      </c>
      <c r="S1249">
        <f>Tableau1[[#This Row],[Final_time]]-SUM(Tableau1[[#This Row],[0_100m]:[1300_1400m]])</f>
        <v>15.699999999999989</v>
      </c>
      <c r="T1249">
        <v>241.28</v>
      </c>
      <c r="U1249">
        <f t="shared" si="38"/>
        <v>241.28</v>
      </c>
      <c r="V1249">
        <f t="shared" si="39"/>
        <v>0</v>
      </c>
      <c r="W1249" s="12"/>
      <c r="X1249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49" t="s">
        <v>136</v>
      </c>
      <c r="Z1249" s="2" t="s">
        <v>110</v>
      </c>
      <c r="AA1249" s="2" t="s">
        <v>132</v>
      </c>
      <c r="AB1249" s="2" t="s">
        <v>65</v>
      </c>
      <c r="AC1249" s="2">
        <v>44760</v>
      </c>
      <c r="AD1249" s="3">
        <v>2022</v>
      </c>
      <c r="AE1249" s="3">
        <v>25</v>
      </c>
      <c r="AF1249" s="5">
        <v>0.46</v>
      </c>
      <c r="AG1249" s="3"/>
      <c r="AH1249" t="s">
        <v>145</v>
      </c>
    </row>
    <row r="1250" spans="1:34" hidden="1" x14ac:dyDescent="0.35">
      <c r="A1250" t="str">
        <f>_xlfn.CONCAT(Tableau1[[#This Row],[Athletes]],"_",Tableau1[[#This Row],[Nationality]],"_",Tableau1[[#This Row],[Competition_year]])</f>
        <v>Sinclaire JOHNSON_USA_2022</v>
      </c>
      <c r="B1250" t="s">
        <v>185</v>
      </c>
      <c r="C1250" t="s">
        <v>47</v>
      </c>
      <c r="D1250" t="s">
        <v>51</v>
      </c>
      <c r="E1250">
        <v>14.92</v>
      </c>
      <c r="F1250">
        <v>14.76</v>
      </c>
      <c r="G1250">
        <v>15.4</v>
      </c>
      <c r="H1250">
        <v>16.149999999999999</v>
      </c>
      <c r="I1250">
        <v>16.43</v>
      </c>
      <c r="J1250">
        <v>16.75</v>
      </c>
      <c r="K1250">
        <v>16.489999999999998</v>
      </c>
      <c r="L1250">
        <v>16.63</v>
      </c>
      <c r="M1250">
        <v>16.579999999999998</v>
      </c>
      <c r="N1250">
        <v>16.8</v>
      </c>
      <c r="O1250">
        <v>16.38</v>
      </c>
      <c r="P1250">
        <v>16.22</v>
      </c>
      <c r="Q1250">
        <v>16.239999999999998</v>
      </c>
      <c r="R1250">
        <v>16.11</v>
      </c>
      <c r="S1250">
        <f>Tableau1[[#This Row],[Final_time]]-SUM(Tableau1[[#This Row],[0_100m]:[1300_1400m]])</f>
        <v>15.769999999999982</v>
      </c>
      <c r="T1250">
        <v>241.63</v>
      </c>
      <c r="U1250">
        <f t="shared" si="38"/>
        <v>241.63</v>
      </c>
      <c r="V1250">
        <f t="shared" si="39"/>
        <v>0</v>
      </c>
      <c r="W1250" s="12"/>
      <c r="X1250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0" t="s">
        <v>136</v>
      </c>
      <c r="Z1250" s="2" t="s">
        <v>110</v>
      </c>
      <c r="AA1250" s="2" t="s">
        <v>132</v>
      </c>
      <c r="AB1250" s="2" t="s">
        <v>65</v>
      </c>
      <c r="AC1250" s="2">
        <v>44760</v>
      </c>
      <c r="AD1250" s="3">
        <v>2022</v>
      </c>
      <c r="AE1250" s="3">
        <v>25</v>
      </c>
      <c r="AF1250" s="5">
        <v>0.46</v>
      </c>
      <c r="AG1250" s="3"/>
      <c r="AH1250" t="s">
        <v>145</v>
      </c>
    </row>
    <row r="1251" spans="1:34" hidden="1" x14ac:dyDescent="0.35">
      <c r="A1251" t="str">
        <f>_xlfn.CONCAT(Tableau1[[#This Row],[Athletes]],"_",Tableau1[[#This Row],[Nationality]],"_",Tableau1[[#This Row],[Competition_year]])</f>
        <v>Gudaf TSEGAY_ETH_2022</v>
      </c>
      <c r="B1251" t="s">
        <v>138</v>
      </c>
      <c r="C1251" t="s">
        <v>47</v>
      </c>
      <c r="D1251" t="s">
        <v>48</v>
      </c>
      <c r="E1251">
        <v>14.57</v>
      </c>
      <c r="F1251">
        <v>14.22</v>
      </c>
      <c r="G1251">
        <v>14.63</v>
      </c>
      <c r="H1251">
        <v>15.4</v>
      </c>
      <c r="I1251">
        <v>15.8</v>
      </c>
      <c r="J1251">
        <v>16.23</v>
      </c>
      <c r="K1251">
        <v>16.23</v>
      </c>
      <c r="L1251">
        <v>16.100000000000001</v>
      </c>
      <c r="M1251">
        <v>16.29</v>
      </c>
      <c r="N1251">
        <v>16.47</v>
      </c>
      <c r="O1251">
        <v>15.82</v>
      </c>
      <c r="P1251">
        <v>15.93</v>
      </c>
      <c r="Q1251">
        <v>15.27</v>
      </c>
      <c r="R1251">
        <v>15.47</v>
      </c>
      <c r="S1251">
        <f>Tableau1[[#This Row],[Final_time]]-SUM(Tableau1[[#This Row],[0_100m]:[1300_1400m]])</f>
        <v>16.090000000000003</v>
      </c>
      <c r="T1251">
        <v>234.52</v>
      </c>
      <c r="U1251">
        <f t="shared" si="38"/>
        <v>234.52</v>
      </c>
      <c r="V1251">
        <f t="shared" si="39"/>
        <v>0</v>
      </c>
      <c r="W1251" s="12"/>
      <c r="X1251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1" t="s">
        <v>136</v>
      </c>
      <c r="Z1251" s="2" t="s">
        <v>110</v>
      </c>
      <c r="AA1251" s="2" t="s">
        <v>132</v>
      </c>
      <c r="AB1251" s="2" t="s">
        <v>65</v>
      </c>
      <c r="AC1251" s="2">
        <v>44760</v>
      </c>
      <c r="AD1251" s="3">
        <v>2022</v>
      </c>
      <c r="AE1251" s="3">
        <v>25</v>
      </c>
      <c r="AF1251" s="5">
        <v>0.46</v>
      </c>
      <c r="AG1251" s="3"/>
      <c r="AH1251" t="s">
        <v>145</v>
      </c>
    </row>
    <row r="1252" spans="1:34" hidden="1" x14ac:dyDescent="0.35">
      <c r="A1252" t="str">
        <f>_xlfn.CONCAT(Tableau1[[#This Row],[Athletes]],"_",Tableau1[[#This Row],[Nationality]],"_",Tableau1[[#This Row],[Competition_year]])</f>
        <v>Winnie NANYONDO_UGA_2022</v>
      </c>
      <c r="B1252" t="s">
        <v>241</v>
      </c>
      <c r="C1252" t="s">
        <v>47</v>
      </c>
      <c r="D1252" t="s">
        <v>52</v>
      </c>
      <c r="E1252">
        <v>15.05</v>
      </c>
      <c r="F1252">
        <v>14.87</v>
      </c>
      <c r="G1252">
        <v>15.48</v>
      </c>
      <c r="H1252">
        <v>16.03</v>
      </c>
      <c r="I1252">
        <v>16.05</v>
      </c>
      <c r="J1252">
        <v>16.68</v>
      </c>
      <c r="K1252">
        <v>16.47</v>
      </c>
      <c r="L1252">
        <v>16.739999999999998</v>
      </c>
      <c r="M1252">
        <v>17.010000000000002</v>
      </c>
      <c r="N1252">
        <v>16.75</v>
      </c>
      <c r="O1252">
        <v>16.22</v>
      </c>
      <c r="P1252">
        <v>16.350000000000001</v>
      </c>
      <c r="Q1252">
        <v>16.12</v>
      </c>
      <c r="R1252">
        <v>16.07</v>
      </c>
      <c r="S1252">
        <f>Tableau1[[#This Row],[Final_time]]-SUM(Tableau1[[#This Row],[0_100m]:[1300_1400m]])</f>
        <v>16.090000000000003</v>
      </c>
      <c r="T1252">
        <v>241.98</v>
      </c>
      <c r="U1252">
        <f t="shared" si="38"/>
        <v>241.98</v>
      </c>
      <c r="V1252">
        <f t="shared" si="39"/>
        <v>0</v>
      </c>
      <c r="W1252" s="12"/>
      <c r="X1252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2" t="s">
        <v>136</v>
      </c>
      <c r="Z1252" s="2" t="s">
        <v>110</v>
      </c>
      <c r="AA1252" s="2" t="s">
        <v>132</v>
      </c>
      <c r="AB1252" s="2" t="s">
        <v>65</v>
      </c>
      <c r="AC1252" s="2">
        <v>44760</v>
      </c>
      <c r="AD1252" s="3">
        <v>2022</v>
      </c>
      <c r="AE1252" s="3">
        <v>25</v>
      </c>
      <c r="AF1252" s="5">
        <v>0.46</v>
      </c>
      <c r="AG1252" s="3"/>
      <c r="AH1252" t="s">
        <v>145</v>
      </c>
    </row>
    <row r="1253" spans="1:34" hidden="1" x14ac:dyDescent="0.35">
      <c r="A1253" t="str">
        <f>_xlfn.CONCAT(Tableau1[[#This Row],[Athletes]],"_",Tableau1[[#This Row],[Nationality]],"_",Tableau1[[#This Row],[Competition_year]])</f>
        <v>Jessica HULL_AUS_2022</v>
      </c>
      <c r="B1253" t="s">
        <v>187</v>
      </c>
      <c r="C1253" t="s">
        <v>47</v>
      </c>
      <c r="D1253" t="s">
        <v>21</v>
      </c>
      <c r="E1253">
        <v>15</v>
      </c>
      <c r="F1253">
        <v>14.8</v>
      </c>
      <c r="G1253">
        <v>15.42</v>
      </c>
      <c r="H1253">
        <v>16.23</v>
      </c>
      <c r="I1253">
        <v>16.3</v>
      </c>
      <c r="J1253">
        <v>16.739999999999998</v>
      </c>
      <c r="K1253">
        <v>16.41</v>
      </c>
      <c r="L1253">
        <v>16.72</v>
      </c>
      <c r="M1253">
        <v>16.64</v>
      </c>
      <c r="N1253">
        <v>16.72</v>
      </c>
      <c r="O1253">
        <v>15.84</v>
      </c>
      <c r="P1253">
        <v>16.23</v>
      </c>
      <c r="Q1253">
        <v>16.36</v>
      </c>
      <c r="R1253">
        <v>16.260000000000002</v>
      </c>
      <c r="S1253">
        <f>Tableau1[[#This Row],[Final_time]]-SUM(Tableau1[[#This Row],[0_100m]:[1300_1400m]])</f>
        <v>16.150000000000034</v>
      </c>
      <c r="T1253">
        <v>241.82</v>
      </c>
      <c r="U1253">
        <f t="shared" si="38"/>
        <v>241.82</v>
      </c>
      <c r="V1253">
        <f t="shared" si="39"/>
        <v>0</v>
      </c>
      <c r="W1253" s="12"/>
      <c r="X1253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3" t="s">
        <v>136</v>
      </c>
      <c r="Z1253" s="2" t="s">
        <v>110</v>
      </c>
      <c r="AA1253" s="2" t="s">
        <v>132</v>
      </c>
      <c r="AB1253" s="2" t="s">
        <v>65</v>
      </c>
      <c r="AC1253" s="2">
        <v>44760</v>
      </c>
      <c r="AD1253" s="3">
        <v>2022</v>
      </c>
      <c r="AE1253" s="3">
        <v>25</v>
      </c>
      <c r="AF1253" s="5">
        <v>0.46</v>
      </c>
      <c r="AG1253" s="3"/>
      <c r="AH1253" t="s">
        <v>145</v>
      </c>
    </row>
    <row r="1254" spans="1:34" hidden="1" x14ac:dyDescent="0.35">
      <c r="A1254" t="str">
        <f>_xlfn.CONCAT(Tableau1[[#This Row],[Athletes]],"_",Tableau1[[#This Row],[Nationality]],"_",Tableau1[[#This Row],[Competition_year]])</f>
        <v>Georgia GRIFFITH_AUS_2022</v>
      </c>
      <c r="B1254" t="s">
        <v>248</v>
      </c>
      <c r="C1254" t="s">
        <v>47</v>
      </c>
      <c r="D1254" t="s">
        <v>21</v>
      </c>
      <c r="E1254">
        <v>15.3</v>
      </c>
      <c r="F1254">
        <v>14.81</v>
      </c>
      <c r="G1254">
        <v>15.41</v>
      </c>
      <c r="H1254">
        <v>16.07</v>
      </c>
      <c r="I1254">
        <v>16.28</v>
      </c>
      <c r="J1254">
        <v>16.82</v>
      </c>
      <c r="K1254">
        <v>16.420000000000002</v>
      </c>
      <c r="L1254">
        <v>16.670000000000002</v>
      </c>
      <c r="M1254">
        <v>16.73</v>
      </c>
      <c r="N1254">
        <v>16.96</v>
      </c>
      <c r="O1254">
        <v>16.22</v>
      </c>
      <c r="P1254">
        <v>16.239999999999998</v>
      </c>
      <c r="Q1254">
        <v>16.12</v>
      </c>
      <c r="R1254">
        <v>16.91</v>
      </c>
      <c r="S1254">
        <f>Tableau1[[#This Row],[Final_time]]-SUM(Tableau1[[#This Row],[0_100m]:[1300_1400m]])</f>
        <v>16.299999999999983</v>
      </c>
      <c r="T1254">
        <v>243.26</v>
      </c>
      <c r="U1254">
        <f t="shared" si="38"/>
        <v>243.26</v>
      </c>
      <c r="V1254">
        <f t="shared" si="39"/>
        <v>0</v>
      </c>
      <c r="W1254" s="12"/>
      <c r="X1254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4" t="s">
        <v>136</v>
      </c>
      <c r="Z1254" s="2" t="s">
        <v>110</v>
      </c>
      <c r="AA1254" s="2" t="s">
        <v>132</v>
      </c>
      <c r="AB1254" s="2" t="s">
        <v>65</v>
      </c>
      <c r="AC1254" s="2">
        <v>44760</v>
      </c>
      <c r="AD1254" s="3">
        <v>2022</v>
      </c>
      <c r="AE1254" s="3">
        <v>25</v>
      </c>
      <c r="AF1254" s="5">
        <v>0.46</v>
      </c>
      <c r="AG1254" s="3"/>
      <c r="AH1254" t="s">
        <v>145</v>
      </c>
    </row>
    <row r="1255" spans="1:34" hidden="1" x14ac:dyDescent="0.35">
      <c r="A1255" t="str">
        <f>_xlfn.CONCAT(Tableau1[[#This Row],[Athletes]],"_",Tableau1[[#This Row],[Nationality]],"_",Tableau1[[#This Row],[Competition_year]])</f>
        <v>Laura MUIR_GBR_2022</v>
      </c>
      <c r="B1255" t="s">
        <v>153</v>
      </c>
      <c r="C1255" t="s">
        <v>47</v>
      </c>
      <c r="D1255" t="s">
        <v>20</v>
      </c>
      <c r="E1255">
        <v>14.79</v>
      </c>
      <c r="F1255">
        <v>14.38</v>
      </c>
      <c r="G1255">
        <v>14.49</v>
      </c>
      <c r="H1255">
        <v>15.52</v>
      </c>
      <c r="I1255">
        <v>15.69</v>
      </c>
      <c r="J1255">
        <v>16.22</v>
      </c>
      <c r="K1255">
        <v>16.09</v>
      </c>
      <c r="L1255">
        <v>16.23</v>
      </c>
      <c r="M1255">
        <v>16.39</v>
      </c>
      <c r="N1255">
        <v>16.47</v>
      </c>
      <c r="O1255">
        <v>15.56</v>
      </c>
      <c r="P1255">
        <v>16.07</v>
      </c>
      <c r="Q1255">
        <v>15.53</v>
      </c>
      <c r="R1255">
        <v>15.49</v>
      </c>
      <c r="S1255">
        <f>Tableau1[[#This Row],[Final_time]]-SUM(Tableau1[[#This Row],[0_100m]:[1300_1400m]])</f>
        <v>16.359999999999985</v>
      </c>
      <c r="T1255">
        <v>235.28</v>
      </c>
      <c r="U1255">
        <f t="shared" si="38"/>
        <v>235.28</v>
      </c>
      <c r="V1255">
        <f t="shared" si="39"/>
        <v>0</v>
      </c>
      <c r="W1255" s="12"/>
      <c r="X1255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5" t="s">
        <v>136</v>
      </c>
      <c r="Z1255" s="2" t="s">
        <v>110</v>
      </c>
      <c r="AA1255" s="2" t="s">
        <v>132</v>
      </c>
      <c r="AB1255" s="2" t="s">
        <v>65</v>
      </c>
      <c r="AC1255" s="2">
        <v>44760</v>
      </c>
      <c r="AD1255" s="3">
        <v>2022</v>
      </c>
      <c r="AE1255" s="3">
        <v>25</v>
      </c>
      <c r="AF1255" s="5">
        <v>0.46</v>
      </c>
      <c r="AG1255" s="3"/>
      <c r="AH1255" t="s">
        <v>145</v>
      </c>
    </row>
    <row r="1256" spans="1:34" hidden="1" x14ac:dyDescent="0.35">
      <c r="A1256" t="str">
        <f>_xlfn.CONCAT(Tableau1[[#This Row],[Athletes]],"_",Tableau1[[#This Row],[Nationality]],"_",Tableau1[[#This Row],[Competition_year]])</f>
        <v>Marta PÉREZ_ESP_2022</v>
      </c>
      <c r="B1256" t="s">
        <v>183</v>
      </c>
      <c r="C1256" t="s">
        <v>47</v>
      </c>
      <c r="D1256" t="s">
        <v>22</v>
      </c>
      <c r="E1256">
        <v>15.52</v>
      </c>
      <c r="F1256">
        <v>14.83</v>
      </c>
      <c r="G1256">
        <v>15.36</v>
      </c>
      <c r="H1256">
        <v>16.22</v>
      </c>
      <c r="I1256">
        <v>15.99</v>
      </c>
      <c r="J1256">
        <v>16.989999999999998</v>
      </c>
      <c r="K1256">
        <v>16.510000000000002</v>
      </c>
      <c r="L1256">
        <v>16.62</v>
      </c>
      <c r="M1256">
        <v>16.84</v>
      </c>
      <c r="N1256">
        <v>16.89</v>
      </c>
      <c r="O1256">
        <v>16.440000000000001</v>
      </c>
      <c r="P1256">
        <v>16.559999999999999</v>
      </c>
      <c r="Q1256">
        <v>16.48</v>
      </c>
      <c r="R1256">
        <v>16.37</v>
      </c>
      <c r="S1256">
        <f>Tableau1[[#This Row],[Final_time]]-SUM(Tableau1[[#This Row],[0_100m]:[1300_1400m]])</f>
        <v>16.630000000000024</v>
      </c>
      <c r="T1256">
        <v>244.25</v>
      </c>
      <c r="U1256">
        <f t="shared" si="38"/>
        <v>244.25</v>
      </c>
      <c r="V1256">
        <f t="shared" si="39"/>
        <v>0</v>
      </c>
      <c r="W1256" s="12"/>
      <c r="X1256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6" t="s">
        <v>136</v>
      </c>
      <c r="Z1256" s="2" t="s">
        <v>110</v>
      </c>
      <c r="AA1256" s="2" t="s">
        <v>132</v>
      </c>
      <c r="AB1256" s="2" t="s">
        <v>65</v>
      </c>
      <c r="AC1256" s="2">
        <v>44760</v>
      </c>
      <c r="AD1256" s="3">
        <v>2022</v>
      </c>
      <c r="AE1256" s="3">
        <v>25</v>
      </c>
      <c r="AF1256" s="5">
        <v>0.46</v>
      </c>
      <c r="AG1256" s="3"/>
      <c r="AH1256" t="s">
        <v>145</v>
      </c>
    </row>
    <row r="1257" spans="1:34" hidden="1" x14ac:dyDescent="0.35">
      <c r="A1257" t="str">
        <f>_xlfn.CONCAT(Tableau1[[#This Row],[Athletes]],"_",Tableau1[[#This Row],[Nationality]],"_",Tableau1[[#This Row],[Competition_year]])</f>
        <v>Cory Ann MCGEE_USA_2022</v>
      </c>
      <c r="B1257" t="s">
        <v>181</v>
      </c>
      <c r="C1257" t="s">
        <v>47</v>
      </c>
      <c r="D1257" t="s">
        <v>51</v>
      </c>
      <c r="E1257">
        <v>15.12</v>
      </c>
      <c r="F1257">
        <v>14.79</v>
      </c>
      <c r="G1257">
        <v>15.08</v>
      </c>
      <c r="H1257">
        <v>16.16</v>
      </c>
      <c r="I1257">
        <v>16.27</v>
      </c>
      <c r="J1257">
        <v>16.62</v>
      </c>
      <c r="K1257">
        <v>16.43</v>
      </c>
      <c r="L1257">
        <v>16.649999999999999</v>
      </c>
      <c r="M1257">
        <v>16.64</v>
      </c>
      <c r="N1257">
        <v>16.760000000000002</v>
      </c>
      <c r="O1257">
        <v>16.170000000000002</v>
      </c>
      <c r="P1257">
        <v>16.170000000000002</v>
      </c>
      <c r="Q1257">
        <v>16.54</v>
      </c>
      <c r="R1257">
        <v>16.61</v>
      </c>
      <c r="S1257">
        <f>Tableau1[[#This Row],[Final_time]]-SUM(Tableau1[[#This Row],[0_100m]:[1300_1400m]])</f>
        <v>17.689999999999998</v>
      </c>
      <c r="T1257">
        <v>243.7</v>
      </c>
      <c r="U1257">
        <f t="shared" si="38"/>
        <v>243.7</v>
      </c>
      <c r="V1257">
        <f t="shared" si="39"/>
        <v>0</v>
      </c>
      <c r="W1257" s="12"/>
      <c r="X1257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7" t="s">
        <v>136</v>
      </c>
      <c r="Z1257" s="2" t="s">
        <v>110</v>
      </c>
      <c r="AA1257" s="2" t="s">
        <v>132</v>
      </c>
      <c r="AB1257" s="2" t="s">
        <v>65</v>
      </c>
      <c r="AC1257" s="2">
        <v>44760</v>
      </c>
      <c r="AD1257" s="3">
        <v>2022</v>
      </c>
      <c r="AE1257" s="3">
        <v>25</v>
      </c>
      <c r="AF1257" s="5">
        <v>0.46</v>
      </c>
      <c r="AG1257" s="3"/>
      <c r="AH1257" t="s">
        <v>145</v>
      </c>
    </row>
    <row r="1258" spans="1:34" hidden="1" x14ac:dyDescent="0.35">
      <c r="A1258" t="str">
        <f>_xlfn.CONCAT(Tableau1[[#This Row],[Athletes]],"_",Tableau1[[#This Row],[Nationality]],"_",Tableau1[[#This Row],[Competition_year]])</f>
        <v>Hirut MESHESHA_ETH_2022</v>
      </c>
      <c r="B1258" t="s">
        <v>135</v>
      </c>
      <c r="C1258" t="s">
        <v>47</v>
      </c>
      <c r="D1258" t="s">
        <v>48</v>
      </c>
      <c r="E1258">
        <v>14.85</v>
      </c>
      <c r="F1258">
        <v>14.02</v>
      </c>
      <c r="G1258">
        <v>14.65</v>
      </c>
      <c r="H1258">
        <v>15.64</v>
      </c>
      <c r="I1258">
        <v>15.72</v>
      </c>
      <c r="J1258">
        <v>16.649999999999999</v>
      </c>
      <c r="K1258">
        <v>15.57</v>
      </c>
      <c r="L1258">
        <v>16.98</v>
      </c>
      <c r="M1258">
        <v>17.14</v>
      </c>
      <c r="N1258">
        <v>17.399999999999999</v>
      </c>
      <c r="O1258">
        <v>17.420000000000002</v>
      </c>
      <c r="P1258">
        <v>16.760000000000002</v>
      </c>
      <c r="Q1258">
        <v>16.829999999999998</v>
      </c>
      <c r="R1258">
        <v>17.61</v>
      </c>
      <c r="S1258">
        <f>Tableau1[[#This Row],[Final_time]]-SUM(Tableau1[[#This Row],[0_100m]:[1300_1400m]])</f>
        <v>18.620000000000005</v>
      </c>
      <c r="T1258">
        <v>245.86</v>
      </c>
      <c r="U1258">
        <f t="shared" si="38"/>
        <v>245.86</v>
      </c>
      <c r="V1258">
        <f t="shared" si="39"/>
        <v>0</v>
      </c>
      <c r="W1258" s="12"/>
      <c r="X1258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8" t="s">
        <v>136</v>
      </c>
      <c r="Z1258" s="2" t="s">
        <v>110</v>
      </c>
      <c r="AA1258" s="2" t="s">
        <v>132</v>
      </c>
      <c r="AB1258" s="2" t="s">
        <v>65</v>
      </c>
      <c r="AC1258" s="2">
        <v>44760</v>
      </c>
      <c r="AD1258" s="3">
        <v>2022</v>
      </c>
      <c r="AE1258" s="3">
        <v>25</v>
      </c>
      <c r="AF1258" s="5">
        <v>0.46</v>
      </c>
      <c r="AG1258" s="3"/>
      <c r="AH1258" t="s">
        <v>145</v>
      </c>
    </row>
    <row r="1259" spans="1:34" hidden="1" x14ac:dyDescent="0.35">
      <c r="A1259" t="str">
        <f>_xlfn.CONCAT(Tableau1[[#This Row],[Athletes]],"_",Tableau1[[#This Row],[Nationality]],"_",Tableau1[[#This Row],[Competition_year]])</f>
        <v>Winny CHEBET_KEN_2022</v>
      </c>
      <c r="B1259" t="s">
        <v>139</v>
      </c>
      <c r="C1259" t="s">
        <v>47</v>
      </c>
      <c r="D1259" t="s">
        <v>17</v>
      </c>
      <c r="E1259">
        <v>14.87</v>
      </c>
      <c r="F1259">
        <v>14.7</v>
      </c>
      <c r="G1259">
        <v>15.36</v>
      </c>
      <c r="H1259">
        <v>16.190000000000001</v>
      </c>
      <c r="I1259">
        <v>16.440000000000001</v>
      </c>
      <c r="J1259">
        <v>16.73</v>
      </c>
      <c r="K1259">
        <v>16.440000000000001</v>
      </c>
      <c r="L1259">
        <v>16.829999999999998</v>
      </c>
      <c r="M1259">
        <v>16.93</v>
      </c>
      <c r="N1259">
        <v>17.13</v>
      </c>
      <c r="O1259">
        <v>17.73</v>
      </c>
      <c r="P1259">
        <v>18.47</v>
      </c>
      <c r="Q1259">
        <v>19.2</v>
      </c>
      <c r="R1259">
        <v>18.829999999999998</v>
      </c>
      <c r="S1259">
        <f>Tableau1[[#This Row],[Final_time]]-SUM(Tableau1[[#This Row],[0_100m]:[1300_1400m]])</f>
        <v>19.28000000000003</v>
      </c>
      <c r="T1259">
        <v>255.13</v>
      </c>
      <c r="U1259">
        <f t="shared" si="38"/>
        <v>255.13</v>
      </c>
      <c r="V1259">
        <f t="shared" si="39"/>
        <v>0</v>
      </c>
      <c r="W1259" s="12"/>
      <c r="X1259" t="str">
        <f>_xlfn.CONCAT(Tableau1[[#This Row],[Competition]],"_",Tableau1[[#This Row],[Championship_step]],"_",Tableau1[[#This Row],[Competition_date]],"_",Tableau1[[#This Row],[Gender]])</f>
        <v>World Championships Eugene 2022_Final_44760_Female</v>
      </c>
      <c r="Y1259" t="s">
        <v>136</v>
      </c>
      <c r="Z1259" s="2" t="s">
        <v>110</v>
      </c>
      <c r="AA1259" s="2" t="s">
        <v>132</v>
      </c>
      <c r="AB1259" s="2" t="s">
        <v>65</v>
      </c>
      <c r="AC1259" s="2">
        <v>44760</v>
      </c>
      <c r="AD1259" s="3">
        <v>2022</v>
      </c>
      <c r="AE1259" s="3">
        <v>25</v>
      </c>
      <c r="AF1259" s="5">
        <v>0.46</v>
      </c>
      <c r="AG1259" s="3"/>
      <c r="AH1259" t="s">
        <v>145</v>
      </c>
    </row>
    <row r="1260" spans="1:34" hidden="1" x14ac:dyDescent="0.35">
      <c r="A1260" t="str">
        <f>_xlfn.CONCAT(Tableau1[[#This Row],[Athletes]],"_",Tableau1[[#This Row],[Nationality]],"_",Tableau1[[#This Row],[Competition_year]])</f>
        <v>Jake WIGHTMAN_GBR_2022</v>
      </c>
      <c r="B1260" t="s">
        <v>150</v>
      </c>
      <c r="C1260" t="s">
        <v>16</v>
      </c>
      <c r="D1260" t="s">
        <v>20</v>
      </c>
      <c r="E1260">
        <v>13.52</v>
      </c>
      <c r="F1260">
        <v>14.24</v>
      </c>
      <c r="G1260">
        <v>13.96</v>
      </c>
      <c r="H1260">
        <v>14.03</v>
      </c>
      <c r="I1260">
        <v>14.3</v>
      </c>
      <c r="J1260">
        <v>14.24</v>
      </c>
      <c r="K1260">
        <v>13.77</v>
      </c>
      <c r="L1260">
        <v>14.35</v>
      </c>
      <c r="M1260">
        <v>13.78</v>
      </c>
      <c r="N1260">
        <v>14.21</v>
      </c>
      <c r="O1260">
        <v>13.99</v>
      </c>
      <c r="P1260">
        <v>14.08</v>
      </c>
      <c r="Q1260">
        <v>13.65</v>
      </c>
      <c r="R1260">
        <v>13.47</v>
      </c>
      <c r="S1260">
        <f>Tableau1[[#This Row],[Final_time]]-SUM(Tableau1[[#This Row],[0_100m]:[1300_1400m]])</f>
        <v>13.639999999999986</v>
      </c>
      <c r="T1260">
        <v>209.23</v>
      </c>
      <c r="U1260">
        <f t="shared" si="38"/>
        <v>209.23</v>
      </c>
      <c r="V1260">
        <f t="shared" si="39"/>
        <v>0</v>
      </c>
      <c r="W1260" s="12"/>
      <c r="X1260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0" t="s">
        <v>136</v>
      </c>
      <c r="Z1260" s="2" t="s">
        <v>110</v>
      </c>
      <c r="AA1260" s="2" t="s">
        <v>132</v>
      </c>
      <c r="AB1260" s="2" t="s">
        <v>65</v>
      </c>
      <c r="AC1260" s="2">
        <v>44761</v>
      </c>
      <c r="AD1260" s="3">
        <v>2022</v>
      </c>
      <c r="AE1260" s="3">
        <v>30</v>
      </c>
      <c r="AF1260" s="5">
        <v>0.42</v>
      </c>
      <c r="AG1260" s="3"/>
      <c r="AH1260" t="s">
        <v>266</v>
      </c>
    </row>
    <row r="1261" spans="1:34" hidden="1" x14ac:dyDescent="0.35">
      <c r="A1261" t="str">
        <f>_xlfn.CONCAT(Tableau1[[#This Row],[Athletes]],"_",Tableau1[[#This Row],[Nationality]],"_",Tableau1[[#This Row],[Competition_year]])</f>
        <v>Mario GARCÍA_ESP_2022</v>
      </c>
      <c r="B1261" t="s">
        <v>117</v>
      </c>
      <c r="C1261" t="s">
        <v>16</v>
      </c>
      <c r="D1261" t="s">
        <v>22</v>
      </c>
      <c r="E1261">
        <v>13.7</v>
      </c>
      <c r="F1261">
        <v>14.27</v>
      </c>
      <c r="G1261">
        <v>13.98</v>
      </c>
      <c r="H1261">
        <v>14.07</v>
      </c>
      <c r="I1261">
        <v>14.25</v>
      </c>
      <c r="J1261">
        <v>14.25</v>
      </c>
      <c r="K1261">
        <v>13.99</v>
      </c>
      <c r="L1261">
        <v>14.26</v>
      </c>
      <c r="M1261">
        <v>14.11</v>
      </c>
      <c r="N1261">
        <v>14.29</v>
      </c>
      <c r="O1261">
        <v>14.01</v>
      </c>
      <c r="P1261">
        <v>13.91</v>
      </c>
      <c r="Q1261">
        <v>13.82</v>
      </c>
      <c r="R1261">
        <v>13.59</v>
      </c>
      <c r="S1261">
        <f>Tableau1[[#This Row],[Final_time]]-SUM(Tableau1[[#This Row],[0_100m]:[1300_1400m]])</f>
        <v>13.699999999999989</v>
      </c>
      <c r="T1261">
        <v>210.2</v>
      </c>
      <c r="U1261">
        <f t="shared" si="38"/>
        <v>210.2</v>
      </c>
      <c r="V1261">
        <f t="shared" si="39"/>
        <v>0</v>
      </c>
      <c r="W1261" s="12"/>
      <c r="X1261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1" t="s">
        <v>136</v>
      </c>
      <c r="Z1261" s="2" t="s">
        <v>110</v>
      </c>
      <c r="AA1261" s="2" t="s">
        <v>132</v>
      </c>
      <c r="AB1261" s="2" t="s">
        <v>65</v>
      </c>
      <c r="AC1261" s="2">
        <v>44761</v>
      </c>
      <c r="AD1261" s="3">
        <v>2022</v>
      </c>
      <c r="AE1261" s="3">
        <v>30</v>
      </c>
      <c r="AF1261" s="5">
        <v>0.42</v>
      </c>
      <c r="AG1261" s="3"/>
      <c r="AH1261" t="s">
        <v>266</v>
      </c>
    </row>
    <row r="1262" spans="1:34" hidden="1" x14ac:dyDescent="0.35">
      <c r="A1262" t="str">
        <f>_xlfn.CONCAT(Tableau1[[#This Row],[Athletes]],"_",Tableau1[[#This Row],[Nationality]],"_",Tableau1[[#This Row],[Competition_year]])</f>
        <v>Jakob INGEBRIGTSEN_NOR_2022</v>
      </c>
      <c r="B1262" t="s">
        <v>151</v>
      </c>
      <c r="C1262" t="s">
        <v>16</v>
      </c>
      <c r="D1262" t="s">
        <v>30</v>
      </c>
      <c r="E1262">
        <v>14.25</v>
      </c>
      <c r="F1262">
        <v>13.84</v>
      </c>
      <c r="G1262">
        <v>13.77</v>
      </c>
      <c r="H1262">
        <v>14.04</v>
      </c>
      <c r="I1262">
        <v>14.1</v>
      </c>
      <c r="J1262">
        <v>14.17</v>
      </c>
      <c r="K1262">
        <v>13.52</v>
      </c>
      <c r="L1262">
        <v>14.35</v>
      </c>
      <c r="M1262">
        <v>14.08</v>
      </c>
      <c r="N1262">
        <v>14.16</v>
      </c>
      <c r="O1262">
        <v>13.95</v>
      </c>
      <c r="P1262">
        <v>14.05</v>
      </c>
      <c r="Q1262">
        <v>13.85</v>
      </c>
      <c r="R1262">
        <v>13.56</v>
      </c>
      <c r="S1262">
        <f>Tableau1[[#This Row],[Final_time]]-SUM(Tableau1[[#This Row],[0_100m]:[1300_1400m]])</f>
        <v>13.780000000000001</v>
      </c>
      <c r="T1262">
        <v>209.47</v>
      </c>
      <c r="U1262">
        <f t="shared" si="38"/>
        <v>209.47</v>
      </c>
      <c r="V1262">
        <f t="shared" si="39"/>
        <v>0</v>
      </c>
      <c r="W1262" s="12"/>
      <c r="X1262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2" t="s">
        <v>136</v>
      </c>
      <c r="Z1262" s="2" t="s">
        <v>110</v>
      </c>
      <c r="AA1262" s="2" t="s">
        <v>132</v>
      </c>
      <c r="AB1262" s="2" t="s">
        <v>65</v>
      </c>
      <c r="AC1262" s="2">
        <v>44761</v>
      </c>
      <c r="AD1262" s="3">
        <v>2022</v>
      </c>
      <c r="AE1262" s="3">
        <v>30</v>
      </c>
      <c r="AF1262" s="5">
        <v>0.42</v>
      </c>
      <c r="AG1262" s="3"/>
      <c r="AH1262" t="s">
        <v>266</v>
      </c>
    </row>
    <row r="1263" spans="1:34" hidden="1" x14ac:dyDescent="0.35">
      <c r="A1263" t="str">
        <f>_xlfn.CONCAT(Tableau1[[#This Row],[Athletes]],"_",Tableau1[[#This Row],[Nationality]],"_",Tableau1[[#This Row],[Competition_year]])</f>
        <v>Michał ROZMYS_POL_2022</v>
      </c>
      <c r="B1263" t="s">
        <v>236</v>
      </c>
      <c r="C1263" t="s">
        <v>16</v>
      </c>
      <c r="D1263" t="s">
        <v>83</v>
      </c>
      <c r="E1263">
        <v>13.82</v>
      </c>
      <c r="F1263">
        <v>14.18</v>
      </c>
      <c r="G1263">
        <v>14.05</v>
      </c>
      <c r="H1263">
        <v>14.28</v>
      </c>
      <c r="I1263">
        <v>14.39</v>
      </c>
      <c r="J1263">
        <v>14.27</v>
      </c>
      <c r="K1263">
        <v>14.13</v>
      </c>
      <c r="L1263">
        <v>14.19</v>
      </c>
      <c r="M1263">
        <v>14.55</v>
      </c>
      <c r="N1263">
        <v>14.44</v>
      </c>
      <c r="O1263">
        <v>14.7</v>
      </c>
      <c r="P1263">
        <v>14.98</v>
      </c>
      <c r="Q1263">
        <v>14.76</v>
      </c>
      <c r="R1263">
        <v>14.06</v>
      </c>
      <c r="S1263">
        <f>Tableau1[[#This Row],[Final_time]]-SUM(Tableau1[[#This Row],[0_100m]:[1300_1400m]])</f>
        <v>13.780000000000058</v>
      </c>
      <c r="T1263">
        <v>214.58</v>
      </c>
      <c r="U1263">
        <f t="shared" si="38"/>
        <v>214.58</v>
      </c>
      <c r="V1263">
        <f t="shared" si="39"/>
        <v>0</v>
      </c>
      <c r="W1263" s="12"/>
      <c r="X1263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3" t="s">
        <v>136</v>
      </c>
      <c r="Z1263" s="2" t="s">
        <v>110</v>
      </c>
      <c r="AA1263" s="2" t="s">
        <v>132</v>
      </c>
      <c r="AB1263" s="2" t="s">
        <v>65</v>
      </c>
      <c r="AC1263" s="2">
        <v>44761</v>
      </c>
      <c r="AD1263" s="3">
        <v>2022</v>
      </c>
      <c r="AE1263" s="3">
        <v>30</v>
      </c>
      <c r="AF1263" s="5">
        <v>0.42</v>
      </c>
      <c r="AG1263" s="3"/>
      <c r="AH1263" t="s">
        <v>266</v>
      </c>
    </row>
    <row r="1264" spans="1:34" hidden="1" x14ac:dyDescent="0.35">
      <c r="A1264" t="str">
        <f>_xlfn.CONCAT(Tableau1[[#This Row],[Athletes]],"_",Tableau1[[#This Row],[Nationality]],"_",Tableau1[[#This Row],[Competition_year]])</f>
        <v>Mohamed KATIR_ESP_2022</v>
      </c>
      <c r="B1264" t="s">
        <v>149</v>
      </c>
      <c r="C1264" t="s">
        <v>16</v>
      </c>
      <c r="D1264" t="s">
        <v>22</v>
      </c>
      <c r="E1264">
        <v>14.3</v>
      </c>
      <c r="F1264">
        <v>14.26</v>
      </c>
      <c r="G1264">
        <v>14.08</v>
      </c>
      <c r="H1264">
        <v>14.29</v>
      </c>
      <c r="I1264">
        <v>13.89</v>
      </c>
      <c r="J1264">
        <v>14.13</v>
      </c>
      <c r="K1264">
        <v>13.88</v>
      </c>
      <c r="L1264">
        <v>14.07</v>
      </c>
      <c r="M1264">
        <v>13.93</v>
      </c>
      <c r="N1264">
        <v>14</v>
      </c>
      <c r="O1264">
        <v>13.89</v>
      </c>
      <c r="P1264">
        <v>14.14</v>
      </c>
      <c r="Q1264">
        <v>13.67</v>
      </c>
      <c r="R1264">
        <v>13.54</v>
      </c>
      <c r="S1264">
        <f>Tableau1[[#This Row],[Final_time]]-SUM(Tableau1[[#This Row],[0_100m]:[1300_1400m]])</f>
        <v>13.830000000000069</v>
      </c>
      <c r="T1264">
        <v>209.9</v>
      </c>
      <c r="U1264">
        <f t="shared" si="38"/>
        <v>209.9</v>
      </c>
      <c r="V1264">
        <f t="shared" si="39"/>
        <v>0</v>
      </c>
      <c r="W1264" s="12"/>
      <c r="X1264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4" t="s">
        <v>136</v>
      </c>
      <c r="Z1264" s="2" t="s">
        <v>110</v>
      </c>
      <c r="AA1264" s="2" t="s">
        <v>132</v>
      </c>
      <c r="AB1264" s="2" t="s">
        <v>65</v>
      </c>
      <c r="AC1264" s="2">
        <v>44761</v>
      </c>
      <c r="AD1264" s="3">
        <v>2022</v>
      </c>
      <c r="AE1264" s="3">
        <v>30</v>
      </c>
      <c r="AF1264" s="5">
        <v>0.42</v>
      </c>
      <c r="AG1264" s="3"/>
      <c r="AH1264" t="s">
        <v>266</v>
      </c>
    </row>
    <row r="1265" spans="1:34" hidden="1" x14ac:dyDescent="0.35">
      <c r="A1265" t="str">
        <f>_xlfn.CONCAT(Tableau1[[#This Row],[Athletes]],"_",Tableau1[[#This Row],[Nationality]],"_",Tableau1[[#This Row],[Competition_year]])</f>
        <v>Ignacio FONTES_ESP_2022</v>
      </c>
      <c r="B1265" t="s">
        <v>251</v>
      </c>
      <c r="C1265" t="s">
        <v>16</v>
      </c>
      <c r="D1265" t="s">
        <v>22</v>
      </c>
      <c r="E1265">
        <v>13.96</v>
      </c>
      <c r="F1265">
        <v>14.49</v>
      </c>
      <c r="G1265">
        <v>14.09</v>
      </c>
      <c r="H1265">
        <v>14.19</v>
      </c>
      <c r="I1265">
        <v>14.45</v>
      </c>
      <c r="J1265">
        <v>14.5</v>
      </c>
      <c r="K1265">
        <v>13.91</v>
      </c>
      <c r="L1265">
        <v>14.28</v>
      </c>
      <c r="M1265">
        <v>14.34</v>
      </c>
      <c r="N1265">
        <v>14.43</v>
      </c>
      <c r="O1265">
        <v>14.36</v>
      </c>
      <c r="P1265">
        <v>14.72</v>
      </c>
      <c r="Q1265">
        <v>14.64</v>
      </c>
      <c r="R1265">
        <v>14.39</v>
      </c>
      <c r="S1265">
        <f>Tableau1[[#This Row],[Final_time]]-SUM(Tableau1[[#This Row],[0_100m]:[1300_1400m]])</f>
        <v>13.960000000000008</v>
      </c>
      <c r="T1265">
        <v>214.71</v>
      </c>
      <c r="U1265">
        <f t="shared" si="38"/>
        <v>214.71</v>
      </c>
      <c r="V1265">
        <f t="shared" si="39"/>
        <v>0</v>
      </c>
      <c r="W1265" s="12"/>
      <c r="X1265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5" t="s">
        <v>136</v>
      </c>
      <c r="Z1265" s="2" t="s">
        <v>110</v>
      </c>
      <c r="AA1265" s="2" t="s">
        <v>132</v>
      </c>
      <c r="AB1265" s="2" t="s">
        <v>65</v>
      </c>
      <c r="AC1265" s="2">
        <v>44761</v>
      </c>
      <c r="AD1265" s="3">
        <v>2022</v>
      </c>
      <c r="AE1265" s="3">
        <v>30</v>
      </c>
      <c r="AF1265" s="5">
        <v>0.42</v>
      </c>
      <c r="AG1265" s="3"/>
      <c r="AH1265" t="s">
        <v>266</v>
      </c>
    </row>
    <row r="1266" spans="1:34" hidden="1" x14ac:dyDescent="0.35">
      <c r="A1266" t="str">
        <f>_xlfn.CONCAT(Tableau1[[#This Row],[Athletes]],"_",Tableau1[[#This Row],[Nationality]],"_",Tableau1[[#This Row],[Competition_year]])</f>
        <v>Joshua THOMPSON_USA_2022</v>
      </c>
      <c r="B1266" t="s">
        <v>260</v>
      </c>
      <c r="C1266" t="s">
        <v>16</v>
      </c>
      <c r="D1266" t="s">
        <v>51</v>
      </c>
      <c r="E1266">
        <v>13.48</v>
      </c>
      <c r="F1266">
        <v>14.24</v>
      </c>
      <c r="G1266">
        <v>14.27</v>
      </c>
      <c r="H1266">
        <v>14.17</v>
      </c>
      <c r="I1266">
        <v>14.45</v>
      </c>
      <c r="J1266">
        <v>14.61</v>
      </c>
      <c r="K1266">
        <v>14.38</v>
      </c>
      <c r="L1266">
        <v>14.99</v>
      </c>
      <c r="M1266">
        <v>14.85</v>
      </c>
      <c r="N1266">
        <v>14.74</v>
      </c>
      <c r="O1266">
        <v>14.74</v>
      </c>
      <c r="P1266">
        <v>14.58</v>
      </c>
      <c r="Q1266">
        <v>14.19</v>
      </c>
      <c r="R1266">
        <v>13.89</v>
      </c>
      <c r="S1266">
        <f>Tableau1[[#This Row],[Final_time]]-SUM(Tableau1[[#This Row],[0_100m]:[1300_1400m]])</f>
        <v>13.989999999999952</v>
      </c>
      <c r="T1266">
        <v>215.57</v>
      </c>
      <c r="U1266">
        <f t="shared" si="38"/>
        <v>215.57</v>
      </c>
      <c r="V1266">
        <f t="shared" si="39"/>
        <v>0</v>
      </c>
      <c r="W1266" s="12"/>
      <c r="X1266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6" t="s">
        <v>136</v>
      </c>
      <c r="Z1266" s="2" t="s">
        <v>110</v>
      </c>
      <c r="AA1266" s="2" t="s">
        <v>132</v>
      </c>
      <c r="AB1266" s="2" t="s">
        <v>65</v>
      </c>
      <c r="AC1266" s="2">
        <v>44761</v>
      </c>
      <c r="AD1266" s="3">
        <v>2022</v>
      </c>
      <c r="AE1266" s="3">
        <v>30</v>
      </c>
      <c r="AF1266" s="5">
        <v>0.42</v>
      </c>
      <c r="AG1266" s="3"/>
      <c r="AH1266" t="s">
        <v>266</v>
      </c>
    </row>
    <row r="1267" spans="1:34" hidden="1" x14ac:dyDescent="0.35">
      <c r="A1267" t="str">
        <f>_xlfn.CONCAT(Tableau1[[#This Row],[Athletes]],"_",Tableau1[[#This Row],[Nationality]],"_",Tableau1[[#This Row],[Competition_year]])</f>
        <v>Josh KERR_GBR_2022</v>
      </c>
      <c r="B1267" t="s">
        <v>189</v>
      </c>
      <c r="C1267" t="s">
        <v>16</v>
      </c>
      <c r="D1267" t="s">
        <v>20</v>
      </c>
      <c r="E1267">
        <v>13.84</v>
      </c>
      <c r="F1267">
        <v>14.36</v>
      </c>
      <c r="G1267">
        <v>14.11</v>
      </c>
      <c r="H1267">
        <v>14.07</v>
      </c>
      <c r="I1267">
        <v>13.99</v>
      </c>
      <c r="J1267">
        <v>14.39</v>
      </c>
      <c r="K1267">
        <v>13.98</v>
      </c>
      <c r="L1267">
        <v>13.93</v>
      </c>
      <c r="M1267">
        <v>13.93</v>
      </c>
      <c r="N1267">
        <v>14.13</v>
      </c>
      <c r="O1267">
        <v>13.87</v>
      </c>
      <c r="P1267">
        <v>14.21</v>
      </c>
      <c r="Q1267">
        <v>13.7</v>
      </c>
      <c r="R1267">
        <v>13.84</v>
      </c>
      <c r="S1267">
        <f>Tableau1[[#This Row],[Final_time]]-SUM(Tableau1[[#This Row],[0_100m]:[1300_1400m]])</f>
        <v>14.249999999999972</v>
      </c>
      <c r="T1267">
        <v>210.6</v>
      </c>
      <c r="U1267">
        <f t="shared" si="38"/>
        <v>210.6</v>
      </c>
      <c r="V1267">
        <f t="shared" si="39"/>
        <v>0</v>
      </c>
      <c r="W1267" s="12"/>
      <c r="X1267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7" t="s">
        <v>136</v>
      </c>
      <c r="Z1267" s="2" t="s">
        <v>110</v>
      </c>
      <c r="AA1267" s="2" t="s">
        <v>132</v>
      </c>
      <c r="AB1267" s="2" t="s">
        <v>65</v>
      </c>
      <c r="AC1267" s="2">
        <v>44761</v>
      </c>
      <c r="AD1267" s="3">
        <v>2022</v>
      </c>
      <c r="AE1267" s="3">
        <v>30</v>
      </c>
      <c r="AF1267" s="5">
        <v>0.42</v>
      </c>
      <c r="AG1267" s="3"/>
      <c r="AH1267" t="s">
        <v>266</v>
      </c>
    </row>
    <row r="1268" spans="1:34" hidden="1" x14ac:dyDescent="0.35">
      <c r="A1268" t="str">
        <f>_xlfn.CONCAT(Tableau1[[#This Row],[Athletes]],"_",Tableau1[[#This Row],[Nationality]],"_",Tableau1[[#This Row],[Competition_year]])</f>
        <v>Timothy CHERUIYOT_KEN_2022</v>
      </c>
      <c r="B1268" t="s">
        <v>205</v>
      </c>
      <c r="C1268" t="s">
        <v>16</v>
      </c>
      <c r="D1268" t="s">
        <v>17</v>
      </c>
      <c r="E1268">
        <v>13.96</v>
      </c>
      <c r="F1268">
        <v>14</v>
      </c>
      <c r="G1268">
        <v>13.75</v>
      </c>
      <c r="H1268">
        <v>13.97</v>
      </c>
      <c r="I1268">
        <v>14.16</v>
      </c>
      <c r="J1268">
        <v>14.23</v>
      </c>
      <c r="K1268">
        <v>13.83</v>
      </c>
      <c r="L1268">
        <v>14.36</v>
      </c>
      <c r="M1268">
        <v>13.88</v>
      </c>
      <c r="N1268">
        <v>14.18</v>
      </c>
      <c r="O1268">
        <v>14</v>
      </c>
      <c r="P1268">
        <v>14.01</v>
      </c>
      <c r="Q1268">
        <v>14.03</v>
      </c>
      <c r="R1268">
        <v>13.72</v>
      </c>
      <c r="S1268">
        <f>Tableau1[[#This Row],[Final_time]]-SUM(Tableau1[[#This Row],[0_100m]:[1300_1400m]])</f>
        <v>14.610000000000014</v>
      </c>
      <c r="T1268">
        <v>210.69</v>
      </c>
      <c r="U1268">
        <f t="shared" si="38"/>
        <v>210.69</v>
      </c>
      <c r="V1268">
        <f t="shared" si="39"/>
        <v>0</v>
      </c>
      <c r="W1268" s="12"/>
      <c r="X1268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8" t="s">
        <v>136</v>
      </c>
      <c r="Z1268" s="2" t="s">
        <v>110</v>
      </c>
      <c r="AA1268" s="2" t="s">
        <v>132</v>
      </c>
      <c r="AB1268" s="2" t="s">
        <v>65</v>
      </c>
      <c r="AC1268" s="2">
        <v>44761</v>
      </c>
      <c r="AD1268" s="3">
        <v>2022</v>
      </c>
      <c r="AE1268" s="3">
        <v>30</v>
      </c>
      <c r="AF1268" s="5">
        <v>0.42</v>
      </c>
      <c r="AG1268" s="3"/>
      <c r="AH1268" t="s">
        <v>266</v>
      </c>
    </row>
    <row r="1269" spans="1:34" hidden="1" x14ac:dyDescent="0.35">
      <c r="A1269" t="str">
        <f>_xlfn.CONCAT(Tableau1[[#This Row],[Athletes]],"_",Tableau1[[#This Row],[Nationality]],"_",Tableau1[[#This Row],[Competition_year]])</f>
        <v>Stewart MCSWEYN_AUS_2022</v>
      </c>
      <c r="B1269" t="s">
        <v>219</v>
      </c>
      <c r="C1269" t="s">
        <v>16</v>
      </c>
      <c r="D1269" t="s">
        <v>21</v>
      </c>
      <c r="E1269">
        <v>13.95</v>
      </c>
      <c r="F1269">
        <v>13.74</v>
      </c>
      <c r="G1269">
        <v>13.8</v>
      </c>
      <c r="H1269">
        <v>14.09</v>
      </c>
      <c r="I1269">
        <v>14.29</v>
      </c>
      <c r="J1269">
        <v>14.26</v>
      </c>
      <c r="K1269">
        <v>13.97</v>
      </c>
      <c r="L1269">
        <v>14.4</v>
      </c>
      <c r="M1269">
        <v>14.02</v>
      </c>
      <c r="N1269">
        <v>14.52</v>
      </c>
      <c r="O1269">
        <v>14.17</v>
      </c>
      <c r="P1269">
        <v>14.35</v>
      </c>
      <c r="Q1269">
        <v>14.47</v>
      </c>
      <c r="R1269">
        <v>14.54</v>
      </c>
      <c r="S1269">
        <f>Tableau1[[#This Row],[Final_time]]-SUM(Tableau1[[#This Row],[0_100m]:[1300_1400m]])</f>
        <v>14.670000000000016</v>
      </c>
      <c r="T1269">
        <v>213.24</v>
      </c>
      <c r="U1269">
        <f t="shared" si="38"/>
        <v>213.24</v>
      </c>
      <c r="V1269">
        <f t="shared" si="39"/>
        <v>0</v>
      </c>
      <c r="W1269" s="12"/>
      <c r="X1269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69" t="s">
        <v>136</v>
      </c>
      <c r="Z1269" s="2" t="s">
        <v>110</v>
      </c>
      <c r="AA1269" s="2" t="s">
        <v>132</v>
      </c>
      <c r="AB1269" s="2" t="s">
        <v>65</v>
      </c>
      <c r="AC1269" s="2">
        <v>44761</v>
      </c>
      <c r="AD1269" s="3">
        <v>2022</v>
      </c>
      <c r="AE1269" s="3">
        <v>30</v>
      </c>
      <c r="AF1269" s="5">
        <v>0.42</v>
      </c>
      <c r="AG1269" s="3"/>
      <c r="AH1269" t="s">
        <v>266</v>
      </c>
    </row>
    <row r="1270" spans="1:34" hidden="1" x14ac:dyDescent="0.35">
      <c r="A1270" t="str">
        <f>_xlfn.CONCAT(Tableau1[[#This Row],[Athletes]],"_",Tableau1[[#This Row],[Nationality]],"_",Tableau1[[#This Row],[Competition_year]])</f>
        <v>Abel KIPSANG_KEN_2022</v>
      </c>
      <c r="B1270" t="s">
        <v>227</v>
      </c>
      <c r="C1270" t="s">
        <v>16</v>
      </c>
      <c r="D1270" t="s">
        <v>17</v>
      </c>
      <c r="E1270">
        <v>13.31</v>
      </c>
      <c r="F1270">
        <v>14.15</v>
      </c>
      <c r="G1270">
        <v>13.84</v>
      </c>
      <c r="H1270">
        <v>14.21</v>
      </c>
      <c r="I1270">
        <v>14.12</v>
      </c>
      <c r="J1270">
        <v>14.3</v>
      </c>
      <c r="K1270">
        <v>13.87</v>
      </c>
      <c r="L1270">
        <v>14.32</v>
      </c>
      <c r="M1270">
        <v>14.47</v>
      </c>
      <c r="N1270">
        <v>13.95</v>
      </c>
      <c r="O1270">
        <v>13.9</v>
      </c>
      <c r="P1270">
        <v>14.13</v>
      </c>
      <c r="Q1270">
        <v>13.81</v>
      </c>
      <c r="R1270">
        <v>14.03</v>
      </c>
      <c r="S1270">
        <f>Tableau1[[#This Row],[Final_time]]-SUM(Tableau1[[#This Row],[0_100m]:[1300_1400m]])</f>
        <v>14.800000000000011</v>
      </c>
      <c r="T1270">
        <v>211.21</v>
      </c>
      <c r="U1270">
        <f t="shared" si="38"/>
        <v>211.21</v>
      </c>
      <c r="V1270">
        <f t="shared" si="39"/>
        <v>0</v>
      </c>
      <c r="W1270" s="12"/>
      <c r="X1270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70" t="s">
        <v>136</v>
      </c>
      <c r="Z1270" s="2" t="s">
        <v>110</v>
      </c>
      <c r="AA1270" s="2" t="s">
        <v>132</v>
      </c>
      <c r="AB1270" s="2" t="s">
        <v>65</v>
      </c>
      <c r="AC1270" s="2">
        <v>44761</v>
      </c>
      <c r="AD1270" s="3">
        <v>2022</v>
      </c>
      <c r="AE1270" s="3">
        <v>30</v>
      </c>
      <c r="AF1270" s="5">
        <v>0.42</v>
      </c>
      <c r="AG1270" s="3"/>
      <c r="AH1270" t="s">
        <v>266</v>
      </c>
    </row>
    <row r="1271" spans="1:34" hidden="1" x14ac:dyDescent="0.35">
      <c r="A1271" t="str">
        <f>_xlfn.CONCAT(Tableau1[[#This Row],[Athletes]],"_",Tableau1[[#This Row],[Nationality]],"_",Tableau1[[#This Row],[Competition_year]])</f>
        <v>Teddese LEMI_ETH_2022</v>
      </c>
      <c r="B1271" t="s">
        <v>210</v>
      </c>
      <c r="C1271" t="s">
        <v>16</v>
      </c>
      <c r="D1271" t="s">
        <v>48</v>
      </c>
      <c r="E1271">
        <v>13.7</v>
      </c>
      <c r="F1271">
        <v>14.76</v>
      </c>
      <c r="G1271">
        <v>13.97</v>
      </c>
      <c r="H1271">
        <v>14.26</v>
      </c>
      <c r="I1271">
        <v>14.22</v>
      </c>
      <c r="J1271">
        <v>14.49</v>
      </c>
      <c r="K1271">
        <v>13.79</v>
      </c>
      <c r="L1271">
        <v>14.08</v>
      </c>
      <c r="M1271">
        <v>14.11</v>
      </c>
      <c r="N1271">
        <v>14.17</v>
      </c>
      <c r="O1271">
        <v>14.02</v>
      </c>
      <c r="P1271">
        <v>14</v>
      </c>
      <c r="Q1271">
        <v>13.91</v>
      </c>
      <c r="R1271">
        <v>14.5</v>
      </c>
      <c r="S1271">
        <f>Tableau1[[#This Row],[Final_time]]-SUM(Tableau1[[#This Row],[0_100m]:[1300_1400m]])</f>
        <v>15</v>
      </c>
      <c r="T1271">
        <v>212.98</v>
      </c>
      <c r="U1271">
        <f t="shared" si="38"/>
        <v>212.98</v>
      </c>
      <c r="V1271">
        <f t="shared" si="39"/>
        <v>0</v>
      </c>
      <c r="W1271" s="12"/>
      <c r="X1271" t="str">
        <f>_xlfn.CONCAT(Tableau1[[#This Row],[Competition]],"_",Tableau1[[#This Row],[Championship_step]],"_",Tableau1[[#This Row],[Competition_date]],"_",Tableau1[[#This Row],[Gender]])</f>
        <v>World Championships Eugene 2022_Final_44761_Male</v>
      </c>
      <c r="Y1271" t="s">
        <v>136</v>
      </c>
      <c r="Z1271" s="2" t="s">
        <v>110</v>
      </c>
      <c r="AA1271" s="2" t="s">
        <v>132</v>
      </c>
      <c r="AB1271" s="2" t="s">
        <v>65</v>
      </c>
      <c r="AC1271" s="2">
        <v>44761</v>
      </c>
      <c r="AD1271" s="3">
        <v>2022</v>
      </c>
      <c r="AE1271" s="3">
        <v>30</v>
      </c>
      <c r="AF1271" s="5">
        <v>0.42</v>
      </c>
      <c r="AG1271" s="3"/>
      <c r="AH1271" t="s">
        <v>266</v>
      </c>
    </row>
    <row r="1272" spans="1:34" hidden="1" x14ac:dyDescent="0.35">
      <c r="A1272" t="str">
        <f>_xlfn.CONCAT(Tableau1[[#This Row],[Athletes]],"_",Tableau1[[#This Row],[Nationality]],"_",Tableau1[[#This Row],[Competition_year]])</f>
        <v>Michał ROZMYS_POL_2022</v>
      </c>
      <c r="B1272" t="s">
        <v>236</v>
      </c>
      <c r="C1272" t="s">
        <v>16</v>
      </c>
      <c r="D1272" t="s">
        <v>83</v>
      </c>
      <c r="E1272">
        <v>13.58</v>
      </c>
      <c r="F1272">
        <v>14.41</v>
      </c>
      <c r="G1272">
        <v>15.06</v>
      </c>
      <c r="H1272">
        <v>15.31</v>
      </c>
      <c r="I1272">
        <v>15.4</v>
      </c>
      <c r="J1272">
        <v>15.41</v>
      </c>
      <c r="K1272">
        <v>14.86</v>
      </c>
      <c r="L1272">
        <v>15.21</v>
      </c>
      <c r="M1272">
        <v>14.77</v>
      </c>
      <c r="N1272">
        <v>14.97</v>
      </c>
      <c r="O1272">
        <v>14.07</v>
      </c>
      <c r="P1272">
        <v>14.07</v>
      </c>
      <c r="Q1272">
        <v>13.16</v>
      </c>
      <c r="R1272">
        <v>13.51</v>
      </c>
      <c r="S1272">
        <f>Tableau1[[#This Row],[Final_time]]-SUM(Tableau1[[#This Row],[0_100m]:[1300_1400m]])</f>
        <v>12.969999999999999</v>
      </c>
      <c r="T1272">
        <v>216.76</v>
      </c>
      <c r="U1272">
        <f t="shared" si="38"/>
        <v>216.76</v>
      </c>
      <c r="V1272">
        <f t="shared" si="39"/>
        <v>0</v>
      </c>
      <c r="W1272" s="12" t="s">
        <v>142</v>
      </c>
      <c r="X1272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2" t="s">
        <v>136</v>
      </c>
      <c r="Z1272" s="2" t="s">
        <v>99</v>
      </c>
      <c r="AA1272" s="2" t="s">
        <v>128</v>
      </c>
      <c r="AB1272" s="2" t="s">
        <v>65</v>
      </c>
      <c r="AC1272" s="2">
        <v>44758</v>
      </c>
      <c r="AD1272" s="3">
        <v>2022</v>
      </c>
      <c r="AE1272" s="3">
        <v>23</v>
      </c>
      <c r="AF1272" s="5">
        <v>0.66</v>
      </c>
      <c r="AG1272" s="3"/>
      <c r="AH1272" t="s">
        <v>146</v>
      </c>
    </row>
    <row r="1273" spans="1:34" hidden="1" x14ac:dyDescent="0.35">
      <c r="A1273" t="str">
        <f>_xlfn.CONCAT(Tableau1[[#This Row],[Athletes]],"_",Tableau1[[#This Row],[Nationality]],"_",Tableau1[[#This Row],[Competition_year]])</f>
        <v>Neil GOURLEY_GBR_2022</v>
      </c>
      <c r="B1273" t="s">
        <v>202</v>
      </c>
      <c r="C1273" t="s">
        <v>16</v>
      </c>
      <c r="D1273" t="s">
        <v>20</v>
      </c>
      <c r="E1273">
        <v>13.75</v>
      </c>
      <c r="F1273">
        <v>14.52</v>
      </c>
      <c r="G1273">
        <v>14.94</v>
      </c>
      <c r="H1273">
        <v>15.4</v>
      </c>
      <c r="I1273">
        <v>15.24</v>
      </c>
      <c r="J1273">
        <v>15.47</v>
      </c>
      <c r="K1273">
        <v>14.9</v>
      </c>
      <c r="L1273">
        <v>15.13</v>
      </c>
      <c r="M1273">
        <v>14.83</v>
      </c>
      <c r="N1273">
        <v>13.75</v>
      </c>
      <c r="O1273">
        <v>14.69</v>
      </c>
      <c r="P1273">
        <v>13.85</v>
      </c>
      <c r="Q1273">
        <v>13.44</v>
      </c>
      <c r="R1273">
        <v>13.52</v>
      </c>
      <c r="S1273">
        <f>Tableau1[[#This Row],[Final_time]]-SUM(Tableau1[[#This Row],[0_100m]:[1300_1400m]])</f>
        <v>13.109999999999985</v>
      </c>
      <c r="T1273">
        <v>216.54</v>
      </c>
      <c r="U1273">
        <f t="shared" si="38"/>
        <v>216.54</v>
      </c>
      <c r="V1273">
        <f t="shared" si="39"/>
        <v>0</v>
      </c>
      <c r="W1273" s="12" t="s">
        <v>109</v>
      </c>
      <c r="X1273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3" t="s">
        <v>136</v>
      </c>
      <c r="Z1273" s="2" t="s">
        <v>99</v>
      </c>
      <c r="AA1273" s="2" t="s">
        <v>128</v>
      </c>
      <c r="AB1273" s="2" t="s">
        <v>65</v>
      </c>
      <c r="AC1273" s="2">
        <v>44758</v>
      </c>
      <c r="AD1273" s="3">
        <v>2022</v>
      </c>
      <c r="AE1273" s="3">
        <v>23</v>
      </c>
      <c r="AF1273" s="5">
        <v>0.66</v>
      </c>
      <c r="AG1273" s="3"/>
      <c r="AH1273" t="s">
        <v>146</v>
      </c>
    </row>
    <row r="1274" spans="1:34" hidden="1" x14ac:dyDescent="0.35">
      <c r="A1274" t="str">
        <f>_xlfn.CONCAT(Tableau1[[#This Row],[Athletes]],"_",Tableau1[[#This Row],[Nationality]],"_",Tableau1[[#This Row],[Competition_year]])</f>
        <v>Andrew COSCORAN_IRL_2022</v>
      </c>
      <c r="B1274" t="s">
        <v>232</v>
      </c>
      <c r="C1274" t="s">
        <v>16</v>
      </c>
      <c r="D1274" t="s">
        <v>35</v>
      </c>
      <c r="E1274">
        <v>13.5</v>
      </c>
      <c r="F1274">
        <v>14.68</v>
      </c>
      <c r="G1274">
        <v>14.8</v>
      </c>
      <c r="H1274">
        <v>15.26</v>
      </c>
      <c r="I1274">
        <v>15.29</v>
      </c>
      <c r="J1274">
        <v>15.43</v>
      </c>
      <c r="K1274">
        <v>14.77</v>
      </c>
      <c r="L1274">
        <v>15.25</v>
      </c>
      <c r="M1274">
        <v>14.59</v>
      </c>
      <c r="N1274">
        <v>14.78</v>
      </c>
      <c r="O1274">
        <v>14.12</v>
      </c>
      <c r="P1274">
        <v>13.55</v>
      </c>
      <c r="Q1274">
        <v>13.61</v>
      </c>
      <c r="R1274">
        <v>13.52</v>
      </c>
      <c r="S1274">
        <f>Tableau1[[#This Row],[Final_time]]-SUM(Tableau1[[#This Row],[0_100m]:[1300_1400m]])</f>
        <v>13.210000000000008</v>
      </c>
      <c r="T1274">
        <v>216.36</v>
      </c>
      <c r="U1274">
        <f t="shared" si="38"/>
        <v>216.36</v>
      </c>
      <c r="V1274">
        <f t="shared" si="39"/>
        <v>0</v>
      </c>
      <c r="W1274" s="12" t="s">
        <v>109</v>
      </c>
      <c r="X1274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4" t="s">
        <v>136</v>
      </c>
      <c r="Z1274" s="2" t="s">
        <v>99</v>
      </c>
      <c r="AA1274" s="2" t="s">
        <v>128</v>
      </c>
      <c r="AB1274" s="2" t="s">
        <v>65</v>
      </c>
      <c r="AC1274" s="2">
        <v>44758</v>
      </c>
      <c r="AD1274" s="3">
        <v>2022</v>
      </c>
      <c r="AE1274" s="3">
        <v>23</v>
      </c>
      <c r="AF1274" s="5">
        <v>0.66</v>
      </c>
      <c r="AG1274" s="3"/>
      <c r="AH1274" t="s">
        <v>146</v>
      </c>
    </row>
    <row r="1275" spans="1:34" hidden="1" x14ac:dyDescent="0.35">
      <c r="A1275" t="str">
        <f>_xlfn.CONCAT(Tableau1[[#This Row],[Athletes]],"_",Tableau1[[#This Row],[Nationality]],"_",Tableau1[[#This Row],[Competition_year]])</f>
        <v>Cameron PROCEVIAT_CAN_2022</v>
      </c>
      <c r="B1275" t="s">
        <v>252</v>
      </c>
      <c r="C1275" t="s">
        <v>16</v>
      </c>
      <c r="D1275" t="s">
        <v>55</v>
      </c>
      <c r="E1275">
        <v>13.71</v>
      </c>
      <c r="F1275">
        <v>14.83</v>
      </c>
      <c r="G1275">
        <v>14.92</v>
      </c>
      <c r="H1275">
        <v>15.26</v>
      </c>
      <c r="I1275">
        <v>15.05</v>
      </c>
      <c r="J1275">
        <v>15.44</v>
      </c>
      <c r="K1275">
        <v>14.65</v>
      </c>
      <c r="L1275">
        <v>15.22</v>
      </c>
      <c r="M1275">
        <v>14.8</v>
      </c>
      <c r="N1275">
        <v>14.7</v>
      </c>
      <c r="O1275">
        <v>14.16</v>
      </c>
      <c r="P1275">
        <v>13.82</v>
      </c>
      <c r="Q1275">
        <v>13.57</v>
      </c>
      <c r="R1275">
        <v>13.67</v>
      </c>
      <c r="S1275">
        <f>Tableau1[[#This Row],[Final_time]]-SUM(Tableau1[[#This Row],[0_100m]:[1300_1400m]])</f>
        <v>13.630000000000052</v>
      </c>
      <c r="T1275">
        <v>217.43</v>
      </c>
      <c r="U1275">
        <f t="shared" si="38"/>
        <v>217.43</v>
      </c>
      <c r="V1275">
        <f t="shared" si="39"/>
        <v>0</v>
      </c>
      <c r="W1275" s="12" t="s">
        <v>142</v>
      </c>
      <c r="X1275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5" t="s">
        <v>136</v>
      </c>
      <c r="Z1275" s="2" t="s">
        <v>99</v>
      </c>
      <c r="AA1275" s="2" t="s">
        <v>128</v>
      </c>
      <c r="AB1275" s="2" t="s">
        <v>65</v>
      </c>
      <c r="AC1275" s="2">
        <v>44758</v>
      </c>
      <c r="AD1275" s="3">
        <v>2022</v>
      </c>
      <c r="AE1275" s="3">
        <v>23</v>
      </c>
      <c r="AF1275" s="5">
        <v>0.66</v>
      </c>
      <c r="AG1275" s="3"/>
      <c r="AH1275" t="s">
        <v>146</v>
      </c>
    </row>
    <row r="1276" spans="1:34" hidden="1" x14ac:dyDescent="0.35">
      <c r="A1276" t="str">
        <f>_xlfn.CONCAT(Tableau1[[#This Row],[Athletes]],"_",Tableau1[[#This Row],[Nationality]],"_",Tableau1[[#This Row],[Competition_year]])</f>
        <v>Oliver HOARE_AUS_2022</v>
      </c>
      <c r="B1276" t="s">
        <v>249</v>
      </c>
      <c r="C1276" t="s">
        <v>16</v>
      </c>
      <c r="D1276" t="s">
        <v>21</v>
      </c>
      <c r="E1276">
        <v>13.33</v>
      </c>
      <c r="F1276">
        <v>14.4</v>
      </c>
      <c r="G1276">
        <v>14.77</v>
      </c>
      <c r="H1276">
        <v>15.18</v>
      </c>
      <c r="I1276">
        <v>15.28</v>
      </c>
      <c r="J1276">
        <v>15.29</v>
      </c>
      <c r="K1276">
        <v>14.88</v>
      </c>
      <c r="L1276">
        <v>15.34</v>
      </c>
      <c r="M1276">
        <v>14.5</v>
      </c>
      <c r="N1276">
        <v>14.71</v>
      </c>
      <c r="O1276">
        <v>14.18</v>
      </c>
      <c r="P1276">
        <v>13.69</v>
      </c>
      <c r="Q1276">
        <v>13.62</v>
      </c>
      <c r="R1276">
        <v>13.34</v>
      </c>
      <c r="S1276">
        <f>Tableau1[[#This Row],[Final_time]]-SUM(Tableau1[[#This Row],[0_100m]:[1300_1400m]])</f>
        <v>13.659999999999968</v>
      </c>
      <c r="T1276">
        <v>216.17</v>
      </c>
      <c r="U1276">
        <f t="shared" si="38"/>
        <v>216.17</v>
      </c>
      <c r="V1276">
        <f t="shared" si="39"/>
        <v>0</v>
      </c>
      <c r="W1276" s="12" t="s">
        <v>109</v>
      </c>
      <c r="X1276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6" t="s">
        <v>136</v>
      </c>
      <c r="Z1276" s="2" t="s">
        <v>99</v>
      </c>
      <c r="AA1276" s="2" t="s">
        <v>128</v>
      </c>
      <c r="AB1276" s="2" t="s">
        <v>65</v>
      </c>
      <c r="AC1276" s="2">
        <v>44758</v>
      </c>
      <c r="AD1276" s="3">
        <v>2022</v>
      </c>
      <c r="AE1276" s="3">
        <v>23</v>
      </c>
      <c r="AF1276" s="5">
        <v>0.66</v>
      </c>
      <c r="AG1276" s="3"/>
      <c r="AH1276" t="s">
        <v>146</v>
      </c>
    </row>
    <row r="1277" spans="1:34" hidden="1" x14ac:dyDescent="0.35">
      <c r="A1277" t="str">
        <f>_xlfn.CONCAT(Tableau1[[#This Row],[Athletes]],"_",Tableau1[[#This Row],[Nationality]],"_",Tableau1[[#This Row],[Competition_year]])</f>
        <v>Timothy CHERUIYOT_KEN_2022</v>
      </c>
      <c r="B1277" t="s">
        <v>205</v>
      </c>
      <c r="C1277" t="s">
        <v>16</v>
      </c>
      <c r="D1277" t="s">
        <v>17</v>
      </c>
      <c r="E1277">
        <v>13.6</v>
      </c>
      <c r="F1277">
        <v>14.83</v>
      </c>
      <c r="G1277">
        <v>14.91</v>
      </c>
      <c r="H1277">
        <v>14.33</v>
      </c>
      <c r="I1277">
        <v>15.55</v>
      </c>
      <c r="J1277">
        <v>15.4</v>
      </c>
      <c r="K1277">
        <v>14.74</v>
      </c>
      <c r="L1277">
        <v>15.31</v>
      </c>
      <c r="M1277">
        <v>14.59</v>
      </c>
      <c r="N1277">
        <v>14.61</v>
      </c>
      <c r="O1277">
        <v>14.2</v>
      </c>
      <c r="P1277">
        <v>13.85</v>
      </c>
      <c r="Q1277">
        <v>13.44</v>
      </c>
      <c r="R1277">
        <v>13.35</v>
      </c>
      <c r="S1277">
        <f>Tableau1[[#This Row],[Final_time]]-SUM(Tableau1[[#This Row],[0_100m]:[1300_1400m]])</f>
        <v>13.700000000000017</v>
      </c>
      <c r="T1277">
        <v>216.41</v>
      </c>
      <c r="U1277">
        <f t="shared" si="38"/>
        <v>216.41</v>
      </c>
      <c r="V1277">
        <f t="shared" si="39"/>
        <v>0</v>
      </c>
      <c r="W1277" s="12" t="s">
        <v>109</v>
      </c>
      <c r="X1277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7" t="s">
        <v>136</v>
      </c>
      <c r="Z1277" s="2" t="s">
        <v>99</v>
      </c>
      <c r="AA1277" s="2" t="s">
        <v>128</v>
      </c>
      <c r="AB1277" s="2" t="s">
        <v>65</v>
      </c>
      <c r="AC1277" s="2">
        <v>44758</v>
      </c>
      <c r="AD1277" s="3">
        <v>2022</v>
      </c>
      <c r="AE1277" s="3">
        <v>23</v>
      </c>
      <c r="AF1277" s="5">
        <v>0.66</v>
      </c>
      <c r="AG1277" s="3"/>
      <c r="AH1277" t="s">
        <v>146</v>
      </c>
    </row>
    <row r="1278" spans="1:34" hidden="1" x14ac:dyDescent="0.35">
      <c r="A1278" t="str">
        <f>_xlfn.CONCAT(Tableau1[[#This Row],[Athletes]],"_",Tableau1[[#This Row],[Nationality]],"_",Tableau1[[#This Row],[Competition_year]])</f>
        <v>Samuel TEFERA_ETH_2022</v>
      </c>
      <c r="B1278" t="s">
        <v>250</v>
      </c>
      <c r="C1278" t="s">
        <v>16</v>
      </c>
      <c r="D1278" t="s">
        <v>48</v>
      </c>
      <c r="E1278">
        <v>14.13</v>
      </c>
      <c r="F1278">
        <v>13.97</v>
      </c>
      <c r="G1278">
        <v>14.69</v>
      </c>
      <c r="H1278">
        <v>15.22</v>
      </c>
      <c r="I1278">
        <v>14.87</v>
      </c>
      <c r="J1278">
        <v>15.63</v>
      </c>
      <c r="K1278">
        <v>14.78</v>
      </c>
      <c r="L1278">
        <v>15.25</v>
      </c>
      <c r="M1278">
        <v>14.39</v>
      </c>
      <c r="N1278">
        <v>14.69</v>
      </c>
      <c r="O1278">
        <v>14.03</v>
      </c>
      <c r="P1278">
        <v>13.8</v>
      </c>
      <c r="Q1278">
        <v>13.62</v>
      </c>
      <c r="R1278">
        <v>13.53</v>
      </c>
      <c r="S1278">
        <f>Tableau1[[#This Row],[Final_time]]-SUM(Tableau1[[#This Row],[0_100m]:[1300_1400m]])</f>
        <v>13.749999999999972</v>
      </c>
      <c r="T1278">
        <v>216.35</v>
      </c>
      <c r="U1278">
        <f t="shared" si="38"/>
        <v>216.35</v>
      </c>
      <c r="V1278">
        <f t="shared" si="39"/>
        <v>0</v>
      </c>
      <c r="W1278" s="12" t="s">
        <v>109</v>
      </c>
      <c r="X1278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8" t="s">
        <v>136</v>
      </c>
      <c r="Z1278" s="2" t="s">
        <v>99</v>
      </c>
      <c r="AA1278" s="2" t="s">
        <v>128</v>
      </c>
      <c r="AB1278" s="2" t="s">
        <v>65</v>
      </c>
      <c r="AC1278" s="2">
        <v>44758</v>
      </c>
      <c r="AD1278" s="3">
        <v>2022</v>
      </c>
      <c r="AE1278" s="3">
        <v>23</v>
      </c>
      <c r="AF1278" s="5">
        <v>0.66</v>
      </c>
      <c r="AG1278" s="3"/>
      <c r="AH1278" t="s">
        <v>146</v>
      </c>
    </row>
    <row r="1279" spans="1:34" hidden="1" x14ac:dyDescent="0.35">
      <c r="A1279" t="str">
        <f>_xlfn.CONCAT(Tableau1[[#This Row],[Athletes]],"_",Tableau1[[#This Row],[Nationality]],"_",Tableau1[[#This Row],[Competition_year]])</f>
        <v>Ignacio FONTES_ESP_2022</v>
      </c>
      <c r="B1279" t="s">
        <v>251</v>
      </c>
      <c r="C1279" t="s">
        <v>16</v>
      </c>
      <c r="D1279" t="s">
        <v>22</v>
      </c>
      <c r="E1279">
        <v>13.23</v>
      </c>
      <c r="F1279">
        <v>14.87</v>
      </c>
      <c r="G1279">
        <v>14.99</v>
      </c>
      <c r="H1279">
        <v>15.31</v>
      </c>
      <c r="I1279">
        <v>15.11</v>
      </c>
      <c r="J1279">
        <v>15.34</v>
      </c>
      <c r="K1279">
        <v>14.75</v>
      </c>
      <c r="L1279">
        <v>15.29</v>
      </c>
      <c r="M1279">
        <v>14.6</v>
      </c>
      <c r="N1279">
        <v>14.7</v>
      </c>
      <c r="O1279">
        <v>14.09</v>
      </c>
      <c r="P1279">
        <v>13.64</v>
      </c>
      <c r="Q1279">
        <v>13.54</v>
      </c>
      <c r="R1279">
        <v>13.4</v>
      </c>
      <c r="S1279">
        <f>Tableau1[[#This Row],[Final_time]]-SUM(Tableau1[[#This Row],[0_100m]:[1300_1400m]])</f>
        <v>13.829999999999984</v>
      </c>
      <c r="T1279">
        <v>216.69</v>
      </c>
      <c r="U1279">
        <f t="shared" si="38"/>
        <v>216.69</v>
      </c>
      <c r="V1279">
        <f t="shared" si="39"/>
        <v>0</v>
      </c>
      <c r="W1279" s="12" t="s">
        <v>142</v>
      </c>
      <c r="X1279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79" t="s">
        <v>136</v>
      </c>
      <c r="Z1279" s="2" t="s">
        <v>99</v>
      </c>
      <c r="AA1279" s="2" t="s">
        <v>128</v>
      </c>
      <c r="AB1279" s="2" t="s">
        <v>65</v>
      </c>
      <c r="AC1279" s="2">
        <v>44758</v>
      </c>
      <c r="AD1279" s="3">
        <v>2022</v>
      </c>
      <c r="AE1279" s="3">
        <v>23</v>
      </c>
      <c r="AF1279" s="5">
        <v>0.66</v>
      </c>
      <c r="AG1279" s="3"/>
      <c r="AH1279" t="s">
        <v>146</v>
      </c>
    </row>
    <row r="1280" spans="1:34" hidden="1" x14ac:dyDescent="0.35">
      <c r="A1280" t="str">
        <f>_xlfn.CONCAT(Tableau1[[#This Row],[Athletes]],"_",Tableau1[[#This Row],[Nationality]],"_",Tableau1[[#This Row],[Competition_year]])</f>
        <v>Christoph KESSLER_GER_2022</v>
      </c>
      <c r="B1280" t="s">
        <v>253</v>
      </c>
      <c r="C1280" t="s">
        <v>16</v>
      </c>
      <c r="D1280" t="s">
        <v>34</v>
      </c>
      <c r="E1280">
        <v>13.61</v>
      </c>
      <c r="F1280">
        <v>14.76</v>
      </c>
      <c r="G1280">
        <v>14.91</v>
      </c>
      <c r="H1280">
        <v>14.38</v>
      </c>
      <c r="I1280">
        <v>15.99</v>
      </c>
      <c r="J1280">
        <v>15.46</v>
      </c>
      <c r="K1280">
        <v>14.74</v>
      </c>
      <c r="L1280">
        <v>15.24</v>
      </c>
      <c r="M1280">
        <v>14.84</v>
      </c>
      <c r="N1280">
        <v>14.76</v>
      </c>
      <c r="O1280">
        <v>14.19</v>
      </c>
      <c r="P1280">
        <v>13.84</v>
      </c>
      <c r="Q1280">
        <v>13.42</v>
      </c>
      <c r="R1280">
        <v>13.6</v>
      </c>
      <c r="S1280">
        <f>Tableau1[[#This Row],[Final_time]]-SUM(Tableau1[[#This Row],[0_100m]:[1300_1400m]])</f>
        <v>13.830000000000013</v>
      </c>
      <c r="T1280">
        <v>217.57</v>
      </c>
      <c r="U1280">
        <f t="shared" si="38"/>
        <v>217.57</v>
      </c>
      <c r="V1280">
        <f t="shared" si="39"/>
        <v>0</v>
      </c>
      <c r="W1280" s="12"/>
      <c r="X1280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80" t="s">
        <v>136</v>
      </c>
      <c r="Z1280" s="2" t="s">
        <v>99</v>
      </c>
      <c r="AA1280" s="2" t="s">
        <v>128</v>
      </c>
      <c r="AB1280" s="2" t="s">
        <v>65</v>
      </c>
      <c r="AC1280" s="2">
        <v>44758</v>
      </c>
      <c r="AD1280" s="3">
        <v>2022</v>
      </c>
      <c r="AE1280" s="3">
        <v>23</v>
      </c>
      <c r="AF1280" s="5">
        <v>0.66</v>
      </c>
      <c r="AG1280" s="3"/>
      <c r="AH1280" t="s">
        <v>146</v>
      </c>
    </row>
    <row r="1281" spans="1:34" hidden="1" x14ac:dyDescent="0.35">
      <c r="A1281" t="str">
        <f>_xlfn.CONCAT(Tableau1[[#This Row],[Athletes]],"_",Tableau1[[#This Row],[Nationality]],"_",Tableau1[[#This Row],[Competition_year]])</f>
        <v>Charles GRETHEN_LUX_2022</v>
      </c>
      <c r="B1281" t="s">
        <v>230</v>
      </c>
      <c r="C1281" t="s">
        <v>16</v>
      </c>
      <c r="D1281" t="s">
        <v>76</v>
      </c>
      <c r="E1281">
        <v>13.42</v>
      </c>
      <c r="F1281">
        <v>14.46</v>
      </c>
      <c r="G1281">
        <v>15.07</v>
      </c>
      <c r="H1281">
        <v>15.17</v>
      </c>
      <c r="I1281">
        <v>15.25</v>
      </c>
      <c r="J1281">
        <v>15.38</v>
      </c>
      <c r="K1281">
        <v>14.81</v>
      </c>
      <c r="L1281">
        <v>15.27</v>
      </c>
      <c r="M1281">
        <v>14.88</v>
      </c>
      <c r="N1281">
        <v>14.57</v>
      </c>
      <c r="O1281">
        <v>13.72</v>
      </c>
      <c r="P1281">
        <v>13.74</v>
      </c>
      <c r="Q1281">
        <v>13.3</v>
      </c>
      <c r="R1281">
        <v>13.41</v>
      </c>
      <c r="S1281">
        <f>Tableau1[[#This Row],[Final_time]]-SUM(Tableau1[[#This Row],[0_100m]:[1300_1400m]])</f>
        <v>14.059999999999974</v>
      </c>
      <c r="T1281">
        <v>216.51</v>
      </c>
      <c r="U1281">
        <f t="shared" si="38"/>
        <v>216.51</v>
      </c>
      <c r="V1281">
        <f t="shared" si="39"/>
        <v>0</v>
      </c>
      <c r="W1281" s="12" t="s">
        <v>109</v>
      </c>
      <c r="X1281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81" t="s">
        <v>136</v>
      </c>
      <c r="Z1281" s="2" t="s">
        <v>99</v>
      </c>
      <c r="AA1281" s="2" t="s">
        <v>128</v>
      </c>
      <c r="AB1281" s="2" t="s">
        <v>65</v>
      </c>
      <c r="AC1281" s="2">
        <v>44758</v>
      </c>
      <c r="AD1281" s="3">
        <v>2022</v>
      </c>
      <c r="AE1281" s="3">
        <v>23</v>
      </c>
      <c r="AF1281" s="5">
        <v>0.66</v>
      </c>
      <c r="AG1281" s="3"/>
      <c r="AH1281" t="s">
        <v>146</v>
      </c>
    </row>
    <row r="1282" spans="1:34" hidden="1" x14ac:dyDescent="0.35">
      <c r="A1282" t="str">
        <f>_xlfn.CONCAT(Tableau1[[#This Row],[Athletes]],"_",Tableau1[[#This Row],[Nationality]],"_",Tableau1[[#This Row],[Competition_year]])</f>
        <v>Abdellatif SADIKI_MAR_2022</v>
      </c>
      <c r="B1282" t="s">
        <v>221</v>
      </c>
      <c r="C1282" t="s">
        <v>16</v>
      </c>
      <c r="D1282" t="s">
        <v>75</v>
      </c>
      <c r="E1282">
        <v>13.47</v>
      </c>
      <c r="F1282">
        <v>14.72</v>
      </c>
      <c r="G1282">
        <v>14.73</v>
      </c>
      <c r="H1282">
        <v>15.32</v>
      </c>
      <c r="I1282">
        <v>14.98</v>
      </c>
      <c r="J1282">
        <v>15.45</v>
      </c>
      <c r="K1282">
        <v>14.85</v>
      </c>
      <c r="L1282">
        <v>15.24</v>
      </c>
      <c r="M1282">
        <v>14.51</v>
      </c>
      <c r="N1282">
        <v>14.81</v>
      </c>
      <c r="O1282">
        <v>14.24</v>
      </c>
      <c r="P1282">
        <v>13.9</v>
      </c>
      <c r="Q1282">
        <v>13.73</v>
      </c>
      <c r="R1282">
        <v>13.69</v>
      </c>
      <c r="S1282">
        <f>Tableau1[[#This Row],[Final_time]]-SUM(Tableau1[[#This Row],[0_100m]:[1300_1400m]])</f>
        <v>14.120000000000005</v>
      </c>
      <c r="T1282">
        <v>217.76</v>
      </c>
      <c r="U1282">
        <f t="shared" ref="U1282:U1345" si="40">SUM(E1282:S1282)</f>
        <v>217.76</v>
      </c>
      <c r="V1282">
        <f t="shared" ref="V1282:V1345" si="41">ABS(U1282-T1282)</f>
        <v>0</v>
      </c>
      <c r="W1282" s="12"/>
      <c r="X1282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82" t="s">
        <v>136</v>
      </c>
      <c r="Z1282" s="2" t="s">
        <v>99</v>
      </c>
      <c r="AA1282" s="2" t="s">
        <v>128</v>
      </c>
      <c r="AB1282" s="2" t="s">
        <v>65</v>
      </c>
      <c r="AC1282" s="2">
        <v>44758</v>
      </c>
      <c r="AD1282" s="3">
        <v>2022</v>
      </c>
      <c r="AE1282" s="3">
        <v>23</v>
      </c>
      <c r="AF1282" s="5">
        <v>0.66</v>
      </c>
      <c r="AG1282" s="3"/>
      <c r="AH1282" t="s">
        <v>146</v>
      </c>
    </row>
    <row r="1283" spans="1:34" hidden="1" x14ac:dyDescent="0.35">
      <c r="A1283" t="str">
        <f>_xlfn.CONCAT(Tableau1[[#This Row],[Athletes]],"_",Tableau1[[#This Row],[Nationality]],"_",Tableau1[[#This Row],[Competition_year]])</f>
        <v>Ryan MPHAHLELE_RSA_2022</v>
      </c>
      <c r="B1283" t="s">
        <v>195</v>
      </c>
      <c r="C1283" t="s">
        <v>16</v>
      </c>
      <c r="D1283" t="s">
        <v>36</v>
      </c>
      <c r="E1283">
        <v>13.14</v>
      </c>
      <c r="F1283">
        <v>14.41</v>
      </c>
      <c r="G1283">
        <v>14.89</v>
      </c>
      <c r="H1283">
        <v>15.22</v>
      </c>
      <c r="I1283">
        <v>15.22</v>
      </c>
      <c r="J1283">
        <v>15.31</v>
      </c>
      <c r="K1283">
        <v>14.88</v>
      </c>
      <c r="L1283">
        <v>15.41</v>
      </c>
      <c r="M1283">
        <v>14.79</v>
      </c>
      <c r="N1283">
        <v>14.66</v>
      </c>
      <c r="O1283">
        <v>14.29</v>
      </c>
      <c r="P1283">
        <v>13.77</v>
      </c>
      <c r="Q1283">
        <v>13.51</v>
      </c>
      <c r="R1283">
        <v>14</v>
      </c>
      <c r="S1283">
        <f>Tableau1[[#This Row],[Final_time]]-SUM(Tableau1[[#This Row],[0_100m]:[1300_1400m]])</f>
        <v>15.670000000000016</v>
      </c>
      <c r="T1283">
        <v>219.17</v>
      </c>
      <c r="U1283">
        <f t="shared" si="40"/>
        <v>219.17</v>
      </c>
      <c r="V1283">
        <f t="shared" si="41"/>
        <v>0</v>
      </c>
      <c r="W1283" s="12"/>
      <c r="X1283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83" t="s">
        <v>136</v>
      </c>
      <c r="Z1283" s="2" t="s">
        <v>99</v>
      </c>
      <c r="AA1283" s="2" t="s">
        <v>128</v>
      </c>
      <c r="AB1283" s="2" t="s">
        <v>65</v>
      </c>
      <c r="AC1283" s="2">
        <v>44758</v>
      </c>
      <c r="AD1283" s="3">
        <v>2022</v>
      </c>
      <c r="AE1283" s="3">
        <v>23</v>
      </c>
      <c r="AF1283" s="5">
        <v>0.66</v>
      </c>
      <c r="AG1283" s="3"/>
      <c r="AH1283" t="s">
        <v>146</v>
      </c>
    </row>
    <row r="1284" spans="1:34" hidden="1" x14ac:dyDescent="0.35">
      <c r="A1284" t="str">
        <f>_xlfn.CONCAT(Tableau1[[#This Row],[Athletes]],"_",Tableau1[[#This Row],[Nationality]],"_",Tableau1[[#This Row],[Competition_year]])</f>
        <v>Abraham GUEM_SSD_2022</v>
      </c>
      <c r="B1284" t="s">
        <v>194</v>
      </c>
      <c r="C1284" t="s">
        <v>16</v>
      </c>
      <c r="D1284" t="s">
        <v>114</v>
      </c>
      <c r="E1284">
        <v>13.7</v>
      </c>
      <c r="F1284">
        <v>13.95</v>
      </c>
      <c r="G1284">
        <v>14.73</v>
      </c>
      <c r="H1284">
        <v>15.29</v>
      </c>
      <c r="I1284">
        <v>15.21</v>
      </c>
      <c r="J1284">
        <v>15.3</v>
      </c>
      <c r="K1284">
        <v>15.05</v>
      </c>
      <c r="L1284">
        <v>15.35</v>
      </c>
      <c r="M1284">
        <v>14.94</v>
      </c>
      <c r="N1284">
        <v>15.09</v>
      </c>
      <c r="O1284">
        <v>14.32</v>
      </c>
      <c r="P1284">
        <v>14.5</v>
      </c>
      <c r="Q1284">
        <v>14.87</v>
      </c>
      <c r="R1284">
        <v>15.45</v>
      </c>
      <c r="S1284">
        <f>Tableau1[[#This Row],[Final_time]]-SUM(Tableau1[[#This Row],[0_100m]:[1300_1400m]])</f>
        <v>15.720000000000027</v>
      </c>
      <c r="T1284">
        <v>223.47</v>
      </c>
      <c r="U1284">
        <f t="shared" si="40"/>
        <v>223.47</v>
      </c>
      <c r="V1284">
        <f t="shared" si="41"/>
        <v>0</v>
      </c>
      <c r="W1284" s="12"/>
      <c r="X1284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84" t="s">
        <v>136</v>
      </c>
      <c r="Z1284" s="2" t="s">
        <v>99</v>
      </c>
      <c r="AA1284" s="2" t="s">
        <v>128</v>
      </c>
      <c r="AB1284" s="2" t="s">
        <v>65</v>
      </c>
      <c r="AC1284" s="2">
        <v>44758</v>
      </c>
      <c r="AD1284" s="3">
        <v>2022</v>
      </c>
      <c r="AE1284" s="3">
        <v>23</v>
      </c>
      <c r="AF1284" s="5">
        <v>0.66</v>
      </c>
      <c r="AG1284" s="3"/>
      <c r="AH1284" t="s">
        <v>146</v>
      </c>
    </row>
    <row r="1285" spans="1:34" hidden="1" x14ac:dyDescent="0.35">
      <c r="A1285" t="str">
        <f>_xlfn.CONCAT(Tableau1[[#This Row],[Athletes]],"_",Tableau1[[#This Row],[Nationality]],"_",Tableau1[[#This Row],[Competition_year]])</f>
        <v>Cooper TEARE_USA_2022</v>
      </c>
      <c r="B1285" t="s">
        <v>254</v>
      </c>
      <c r="C1285" t="s">
        <v>16</v>
      </c>
      <c r="D1285" t="s">
        <v>51</v>
      </c>
      <c r="E1285">
        <v>13.42</v>
      </c>
      <c r="F1285">
        <v>14.57</v>
      </c>
      <c r="G1285">
        <v>14.82</v>
      </c>
      <c r="H1285">
        <v>15.25</v>
      </c>
      <c r="I1285">
        <v>15.11</v>
      </c>
      <c r="J1285">
        <v>15.4</v>
      </c>
      <c r="K1285">
        <v>14.85</v>
      </c>
      <c r="L1285">
        <v>15.32</v>
      </c>
      <c r="M1285">
        <v>14.7</v>
      </c>
      <c r="N1285">
        <v>14.82</v>
      </c>
      <c r="O1285">
        <v>14.28</v>
      </c>
      <c r="P1285">
        <v>13.84</v>
      </c>
      <c r="Q1285">
        <v>13.86</v>
      </c>
      <c r="R1285">
        <v>14.54</v>
      </c>
      <c r="S1285">
        <f>Tableau1[[#This Row],[Final_time]]-SUM(Tableau1[[#This Row],[0_100m]:[1300_1400m]])</f>
        <v>16.370000000000005</v>
      </c>
      <c r="T1285">
        <v>221.15</v>
      </c>
      <c r="U1285">
        <f t="shared" si="40"/>
        <v>221.15</v>
      </c>
      <c r="V1285">
        <f t="shared" si="41"/>
        <v>0</v>
      </c>
      <c r="W1285" s="12"/>
      <c r="X1285" t="str">
        <f>_xlfn.CONCAT(Tableau1[[#This Row],[Competition]],"_",Tableau1[[#This Row],[Championship_step]],"_",Tableau1[[#This Row],[Competition_date]],"_",Tableau1[[#This Row],[Gender]])</f>
        <v>World Championships Eugene 2022_Heat 1_44758_Male</v>
      </c>
      <c r="Y1285" t="s">
        <v>136</v>
      </c>
      <c r="Z1285" s="2" t="s">
        <v>99</v>
      </c>
      <c r="AA1285" s="2" t="s">
        <v>128</v>
      </c>
      <c r="AB1285" s="2" t="s">
        <v>65</v>
      </c>
      <c r="AC1285" s="2">
        <v>44758</v>
      </c>
      <c r="AD1285" s="3">
        <v>2022</v>
      </c>
      <c r="AE1285" s="3">
        <v>23</v>
      </c>
      <c r="AF1285" s="5">
        <v>0.66</v>
      </c>
      <c r="AG1285" s="3"/>
      <c r="AH1285" t="s">
        <v>146</v>
      </c>
    </row>
    <row r="1286" spans="1:34" hidden="1" x14ac:dyDescent="0.35">
      <c r="A1286" t="str">
        <f>_xlfn.CONCAT(Tableau1[[#This Row],[Athletes]],"_",Tableau1[[#This Row],[Nationality]],"_",Tableau1[[#This Row],[Competition_year]])</f>
        <v>Santiago CATROFE_URU_2022</v>
      </c>
      <c r="B1286" t="s">
        <v>256</v>
      </c>
      <c r="C1286" t="s">
        <v>16</v>
      </c>
      <c r="D1286" t="s">
        <v>147</v>
      </c>
      <c r="E1286">
        <v>14.45</v>
      </c>
      <c r="F1286">
        <v>15.12</v>
      </c>
      <c r="G1286">
        <v>14.81</v>
      </c>
      <c r="H1286">
        <v>15.74</v>
      </c>
      <c r="I1286">
        <v>14.41</v>
      </c>
      <c r="J1286">
        <v>14.6</v>
      </c>
      <c r="K1286">
        <v>14.42</v>
      </c>
      <c r="L1286">
        <v>14.39</v>
      </c>
      <c r="M1286">
        <v>14.1</v>
      </c>
      <c r="N1286">
        <v>14.04</v>
      </c>
      <c r="O1286">
        <v>14.2</v>
      </c>
      <c r="P1286">
        <v>14.11</v>
      </c>
      <c r="Q1286">
        <v>13.73</v>
      </c>
      <c r="R1286">
        <v>14.02</v>
      </c>
      <c r="S1286">
        <f>Tableau1[[#This Row],[Final_time]]-SUM(Tableau1[[#This Row],[0_100m]:[1300_1400m]])</f>
        <v>13.720000000000027</v>
      </c>
      <c r="T1286">
        <v>215.86</v>
      </c>
      <c r="U1286">
        <f t="shared" si="40"/>
        <v>215.86</v>
      </c>
      <c r="V1286">
        <f t="shared" si="41"/>
        <v>0</v>
      </c>
      <c r="W1286" s="12" t="s">
        <v>142</v>
      </c>
      <c r="X1286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86" t="s">
        <v>136</v>
      </c>
      <c r="Z1286" s="2" t="s">
        <v>99</v>
      </c>
      <c r="AA1286" s="2" t="s">
        <v>129</v>
      </c>
      <c r="AB1286" s="2" t="s">
        <v>65</v>
      </c>
      <c r="AC1286" s="2">
        <v>44758</v>
      </c>
      <c r="AD1286" s="3">
        <v>2022</v>
      </c>
      <c r="AE1286" s="3">
        <v>23</v>
      </c>
      <c r="AF1286" s="5">
        <v>0.66</v>
      </c>
      <c r="AG1286" s="3"/>
      <c r="AH1286" t="s">
        <v>146</v>
      </c>
    </row>
    <row r="1287" spans="1:34" hidden="1" x14ac:dyDescent="0.35">
      <c r="A1287" t="str">
        <f>_xlfn.CONCAT(Tableau1[[#This Row],[Athletes]],"_",Tableau1[[#This Row],[Nationality]],"_",Tableau1[[#This Row],[Competition_year]])</f>
        <v>John GREGOREK_USA_2022</v>
      </c>
      <c r="B1287" t="s">
        <v>255</v>
      </c>
      <c r="C1287" t="s">
        <v>16</v>
      </c>
      <c r="D1287" t="s">
        <v>51</v>
      </c>
      <c r="E1287">
        <v>14.09</v>
      </c>
      <c r="F1287">
        <v>15.19</v>
      </c>
      <c r="G1287">
        <v>15.23</v>
      </c>
      <c r="H1287">
        <v>15.31</v>
      </c>
      <c r="I1287">
        <v>14.39</v>
      </c>
      <c r="J1287">
        <v>14.62</v>
      </c>
      <c r="K1287">
        <v>14.38</v>
      </c>
      <c r="L1287">
        <v>14.45</v>
      </c>
      <c r="M1287">
        <v>14.1</v>
      </c>
      <c r="N1287">
        <v>14.12</v>
      </c>
      <c r="O1287">
        <v>13.92</v>
      </c>
      <c r="P1287">
        <v>14.09</v>
      </c>
      <c r="Q1287">
        <v>13.76</v>
      </c>
      <c r="R1287">
        <v>14.2</v>
      </c>
      <c r="S1287">
        <f>Tableau1[[#This Row],[Final_time]]-SUM(Tableau1[[#This Row],[0_100m]:[1300_1400m]])</f>
        <v>13.800000000000011</v>
      </c>
      <c r="T1287">
        <v>215.65</v>
      </c>
      <c r="U1287">
        <f t="shared" si="40"/>
        <v>215.65</v>
      </c>
      <c r="V1287">
        <f t="shared" si="41"/>
        <v>0</v>
      </c>
      <c r="W1287" s="12" t="s">
        <v>109</v>
      </c>
      <c r="X1287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87" t="s">
        <v>136</v>
      </c>
      <c r="Z1287" s="2" t="s">
        <v>99</v>
      </c>
      <c r="AA1287" s="2" t="s">
        <v>129</v>
      </c>
      <c r="AB1287" s="2" t="s">
        <v>65</v>
      </c>
      <c r="AC1287" s="2">
        <v>44758</v>
      </c>
      <c r="AD1287" s="3">
        <v>2022</v>
      </c>
      <c r="AE1287" s="3">
        <v>23</v>
      </c>
      <c r="AF1287" s="5">
        <v>0.66</v>
      </c>
      <c r="AG1287" s="3"/>
      <c r="AH1287" t="s">
        <v>146</v>
      </c>
    </row>
    <row r="1288" spans="1:34" hidden="1" x14ac:dyDescent="0.35">
      <c r="A1288" t="str">
        <f>_xlfn.CONCAT(Tableau1[[#This Row],[Athletes]],"_",Tableau1[[#This Row],[Nationality]],"_",Tableau1[[#This Row],[Competition_year]])</f>
        <v>Charles PHILIBERT-THIBOUTOT_CAN_2022</v>
      </c>
      <c r="B1288" t="s">
        <v>113</v>
      </c>
      <c r="C1288" t="s">
        <v>16</v>
      </c>
      <c r="D1288" t="s">
        <v>55</v>
      </c>
      <c r="E1288">
        <v>14.03</v>
      </c>
      <c r="F1288">
        <v>15.24</v>
      </c>
      <c r="G1288">
        <v>15.12</v>
      </c>
      <c r="H1288">
        <v>15.24</v>
      </c>
      <c r="I1288">
        <v>14.34</v>
      </c>
      <c r="J1288">
        <v>14.59</v>
      </c>
      <c r="K1288">
        <v>14.41</v>
      </c>
      <c r="L1288">
        <v>14.28</v>
      </c>
      <c r="M1288">
        <v>14.16</v>
      </c>
      <c r="N1288">
        <v>14</v>
      </c>
      <c r="O1288">
        <v>14.11</v>
      </c>
      <c r="P1288">
        <v>13.76</v>
      </c>
      <c r="Q1288">
        <v>13.85</v>
      </c>
      <c r="R1288">
        <v>13.97</v>
      </c>
      <c r="S1288">
        <f>Tableau1[[#This Row],[Final_time]]-SUM(Tableau1[[#This Row],[0_100m]:[1300_1400m]])</f>
        <v>13.920000000000044</v>
      </c>
      <c r="T1288">
        <v>215.02</v>
      </c>
      <c r="U1288">
        <f t="shared" si="40"/>
        <v>215.02</v>
      </c>
      <c r="V1288">
        <f t="shared" si="41"/>
        <v>0</v>
      </c>
      <c r="W1288" s="12" t="s">
        <v>109</v>
      </c>
      <c r="X1288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88" t="s">
        <v>136</v>
      </c>
      <c r="Z1288" s="2" t="s">
        <v>99</v>
      </c>
      <c r="AA1288" s="2" t="s">
        <v>129</v>
      </c>
      <c r="AB1288" s="2" t="s">
        <v>65</v>
      </c>
      <c r="AC1288" s="2">
        <v>44758</v>
      </c>
      <c r="AD1288" s="3">
        <v>2022</v>
      </c>
      <c r="AE1288" s="3">
        <v>23</v>
      </c>
      <c r="AF1288" s="5">
        <v>0.66</v>
      </c>
      <c r="AG1288" s="3"/>
      <c r="AH1288" t="s">
        <v>146</v>
      </c>
    </row>
    <row r="1289" spans="1:34" hidden="1" x14ac:dyDescent="0.35">
      <c r="A1289" t="str">
        <f>_xlfn.CONCAT(Tableau1[[#This Row],[Athletes]],"_",Tableau1[[#This Row],[Nationality]],"_",Tableau1[[#This Row],[Competition_year]])</f>
        <v>Stewart MCSWEYN_AUS_2022</v>
      </c>
      <c r="B1289" t="s">
        <v>219</v>
      </c>
      <c r="C1289" t="s">
        <v>16</v>
      </c>
      <c r="D1289" t="s">
        <v>21</v>
      </c>
      <c r="E1289">
        <v>14.06</v>
      </c>
      <c r="F1289">
        <v>15.21</v>
      </c>
      <c r="G1289">
        <v>14.77</v>
      </c>
      <c r="H1289">
        <v>15.11</v>
      </c>
      <c r="I1289">
        <v>14.26</v>
      </c>
      <c r="J1289">
        <v>14.35</v>
      </c>
      <c r="K1289">
        <v>14.4</v>
      </c>
      <c r="L1289">
        <v>14.11</v>
      </c>
      <c r="M1289">
        <v>13.99</v>
      </c>
      <c r="N1289">
        <v>14.06</v>
      </c>
      <c r="O1289">
        <v>14.13</v>
      </c>
      <c r="P1289">
        <v>14.02</v>
      </c>
      <c r="Q1289">
        <v>14.21</v>
      </c>
      <c r="R1289">
        <v>14.08</v>
      </c>
      <c r="S1289">
        <f>Tableau1[[#This Row],[Final_time]]-SUM(Tableau1[[#This Row],[0_100m]:[1300_1400m]])</f>
        <v>14.149999999999949</v>
      </c>
      <c r="T1289">
        <v>214.91</v>
      </c>
      <c r="U1289">
        <f t="shared" si="40"/>
        <v>214.91</v>
      </c>
      <c r="V1289">
        <f t="shared" si="41"/>
        <v>0</v>
      </c>
      <c r="W1289" s="12" t="s">
        <v>109</v>
      </c>
      <c r="X1289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89" t="s">
        <v>136</v>
      </c>
      <c r="Z1289" s="2" t="s">
        <v>99</v>
      </c>
      <c r="AA1289" s="2" t="s">
        <v>129</v>
      </c>
      <c r="AB1289" s="2" t="s">
        <v>65</v>
      </c>
      <c r="AC1289" s="2">
        <v>44758</v>
      </c>
      <c r="AD1289" s="3">
        <v>2022</v>
      </c>
      <c r="AE1289" s="3">
        <v>23</v>
      </c>
      <c r="AF1289" s="5">
        <v>0.66</v>
      </c>
      <c r="AG1289" s="3"/>
      <c r="AH1289" t="s">
        <v>146</v>
      </c>
    </row>
    <row r="1290" spans="1:34" hidden="1" x14ac:dyDescent="0.35">
      <c r="A1290" t="str">
        <f>_xlfn.CONCAT(Tableau1[[#This Row],[Athletes]],"_",Tableau1[[#This Row],[Nationality]],"_",Tableau1[[#This Row],[Competition_year]])</f>
        <v>Mario GARCÍA_ESP_2022</v>
      </c>
      <c r="B1290" t="s">
        <v>117</v>
      </c>
      <c r="C1290" t="s">
        <v>16</v>
      </c>
      <c r="D1290" t="s">
        <v>22</v>
      </c>
      <c r="E1290">
        <v>13.97</v>
      </c>
      <c r="F1290">
        <v>15.38</v>
      </c>
      <c r="G1290">
        <v>14.83</v>
      </c>
      <c r="H1290">
        <v>15.23</v>
      </c>
      <c r="I1290">
        <v>14.4</v>
      </c>
      <c r="J1290">
        <v>14.48</v>
      </c>
      <c r="K1290">
        <v>14.52</v>
      </c>
      <c r="L1290">
        <v>14.61</v>
      </c>
      <c r="M1290">
        <v>14.05</v>
      </c>
      <c r="N1290">
        <v>14.23</v>
      </c>
      <c r="O1290">
        <v>13.92</v>
      </c>
      <c r="P1290">
        <v>14.06</v>
      </c>
      <c r="Q1290">
        <v>13.77</v>
      </c>
      <c r="R1290">
        <v>13.75</v>
      </c>
      <c r="S1290">
        <f>Tableau1[[#This Row],[Final_time]]-SUM(Tableau1[[#This Row],[0_100m]:[1300_1400m]])</f>
        <v>14.230000000000018</v>
      </c>
      <c r="T1290">
        <v>215.43</v>
      </c>
      <c r="U1290">
        <f t="shared" si="40"/>
        <v>215.43</v>
      </c>
      <c r="V1290">
        <f t="shared" si="41"/>
        <v>0</v>
      </c>
      <c r="W1290" s="12" t="s">
        <v>109</v>
      </c>
      <c r="X1290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0" t="s">
        <v>136</v>
      </c>
      <c r="Z1290" s="2" t="s">
        <v>99</v>
      </c>
      <c r="AA1290" s="2" t="s">
        <v>129</v>
      </c>
      <c r="AB1290" s="2" t="s">
        <v>65</v>
      </c>
      <c r="AC1290" s="2">
        <v>44758</v>
      </c>
      <c r="AD1290" s="3">
        <v>2022</v>
      </c>
      <c r="AE1290" s="3">
        <v>23</v>
      </c>
      <c r="AF1290" s="5">
        <v>0.66</v>
      </c>
      <c r="AG1290" s="3"/>
      <c r="AH1290" t="s">
        <v>146</v>
      </c>
    </row>
    <row r="1291" spans="1:34" hidden="1" x14ac:dyDescent="0.35">
      <c r="A1291" t="str">
        <f>_xlfn.CONCAT(Tableau1[[#This Row],[Athletes]],"_",Tableau1[[#This Row],[Nationality]],"_",Tableau1[[#This Row],[Competition_year]])</f>
        <v>Jakob INGEBRIGTSEN_NOR_2022</v>
      </c>
      <c r="B1291" t="s">
        <v>151</v>
      </c>
      <c r="C1291" t="s">
        <v>16</v>
      </c>
      <c r="D1291" t="s">
        <v>30</v>
      </c>
      <c r="E1291">
        <v>14.74</v>
      </c>
      <c r="F1291">
        <v>14.54</v>
      </c>
      <c r="G1291">
        <v>14.68</v>
      </c>
      <c r="H1291">
        <v>15.22</v>
      </c>
      <c r="I1291">
        <v>14.34</v>
      </c>
      <c r="J1291">
        <v>14.51</v>
      </c>
      <c r="K1291">
        <v>14.26</v>
      </c>
      <c r="L1291">
        <v>14.49</v>
      </c>
      <c r="M1291">
        <v>14.1</v>
      </c>
      <c r="N1291">
        <v>14.06</v>
      </c>
      <c r="O1291">
        <v>14.09</v>
      </c>
      <c r="P1291">
        <v>14.04</v>
      </c>
      <c r="Q1291">
        <v>13.87</v>
      </c>
      <c r="R1291">
        <v>13.87</v>
      </c>
      <c r="S1291">
        <f>Tableau1[[#This Row],[Final_time]]-SUM(Tableau1[[#This Row],[0_100m]:[1300_1400m]])</f>
        <v>14.310000000000002</v>
      </c>
      <c r="T1291">
        <v>215.12</v>
      </c>
      <c r="U1291">
        <f t="shared" si="40"/>
        <v>215.12</v>
      </c>
      <c r="V1291">
        <f t="shared" si="41"/>
        <v>0</v>
      </c>
      <c r="W1291" s="12" t="s">
        <v>109</v>
      </c>
      <c r="X1291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1" t="s">
        <v>136</v>
      </c>
      <c r="Z1291" s="2" t="s">
        <v>99</v>
      </c>
      <c r="AA1291" s="2" t="s">
        <v>129</v>
      </c>
      <c r="AB1291" s="2" t="s">
        <v>65</v>
      </c>
      <c r="AC1291" s="2">
        <v>44758</v>
      </c>
      <c r="AD1291" s="3">
        <v>2022</v>
      </c>
      <c r="AE1291" s="3">
        <v>23</v>
      </c>
      <c r="AF1291" s="5">
        <v>0.66</v>
      </c>
      <c r="AG1291" s="3"/>
      <c r="AH1291" t="s">
        <v>146</v>
      </c>
    </row>
    <row r="1292" spans="1:34" hidden="1" x14ac:dyDescent="0.35">
      <c r="A1292" t="str">
        <f>_xlfn.CONCAT(Tableau1[[#This Row],[Athletes]],"_",Tableau1[[#This Row],[Nationality]],"_",Tableau1[[#This Row],[Competition_year]])</f>
        <v>Jake WIGHTMAN_GBR_2022</v>
      </c>
      <c r="B1292" t="s">
        <v>150</v>
      </c>
      <c r="C1292" t="s">
        <v>16</v>
      </c>
      <c r="D1292" t="s">
        <v>20</v>
      </c>
      <c r="E1292">
        <v>14.13</v>
      </c>
      <c r="F1292">
        <v>15.42</v>
      </c>
      <c r="G1292">
        <v>14.83</v>
      </c>
      <c r="H1292">
        <v>15.15</v>
      </c>
      <c r="I1292">
        <v>14.27</v>
      </c>
      <c r="J1292">
        <v>14.44</v>
      </c>
      <c r="K1292">
        <v>14.39</v>
      </c>
      <c r="L1292">
        <v>14.3</v>
      </c>
      <c r="M1292">
        <v>13.98</v>
      </c>
      <c r="N1292">
        <v>14.07</v>
      </c>
      <c r="O1292">
        <v>14.04</v>
      </c>
      <c r="P1292">
        <v>13.96</v>
      </c>
      <c r="Q1292">
        <v>14.07</v>
      </c>
      <c r="R1292">
        <v>13.93</v>
      </c>
      <c r="S1292">
        <f>Tableau1[[#This Row],[Final_time]]-SUM(Tableau1[[#This Row],[0_100m]:[1300_1400m]])</f>
        <v>14.330000000000013</v>
      </c>
      <c r="T1292">
        <v>215.31</v>
      </c>
      <c r="U1292">
        <f t="shared" si="40"/>
        <v>215.31</v>
      </c>
      <c r="V1292">
        <f t="shared" si="41"/>
        <v>0</v>
      </c>
      <c r="W1292" s="12" t="s">
        <v>109</v>
      </c>
      <c r="X1292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2" t="s">
        <v>136</v>
      </c>
      <c r="Z1292" s="2" t="s">
        <v>99</v>
      </c>
      <c r="AA1292" s="2" t="s">
        <v>129</v>
      </c>
      <c r="AB1292" s="2" t="s">
        <v>65</v>
      </c>
      <c r="AC1292" s="2">
        <v>44758</v>
      </c>
      <c r="AD1292" s="3">
        <v>2022</v>
      </c>
      <c r="AE1292" s="3">
        <v>23</v>
      </c>
      <c r="AF1292" s="5">
        <v>0.66</v>
      </c>
      <c r="AG1292" s="3"/>
      <c r="AH1292" t="s">
        <v>146</v>
      </c>
    </row>
    <row r="1293" spans="1:34" hidden="1" x14ac:dyDescent="0.35">
      <c r="A1293" t="str">
        <f>_xlfn.CONCAT(Tableau1[[#This Row],[Athletes]],"_",Tableau1[[#This Row],[Nationality]],"_",Tableau1[[#This Row],[Competition_year]])</f>
        <v>Kumari TAKI_KEN_2022</v>
      </c>
      <c r="B1293" t="s">
        <v>257</v>
      </c>
      <c r="C1293" t="s">
        <v>16</v>
      </c>
      <c r="D1293" t="s">
        <v>17</v>
      </c>
      <c r="E1293">
        <v>14.03</v>
      </c>
      <c r="F1293">
        <v>15.33</v>
      </c>
      <c r="G1293">
        <v>14.77</v>
      </c>
      <c r="H1293">
        <v>15.21</v>
      </c>
      <c r="I1293">
        <v>14.61</v>
      </c>
      <c r="J1293">
        <v>14.44</v>
      </c>
      <c r="K1293">
        <v>14.52</v>
      </c>
      <c r="L1293">
        <v>14.24</v>
      </c>
      <c r="M1293">
        <v>14.12</v>
      </c>
      <c r="N1293">
        <v>14.26</v>
      </c>
      <c r="O1293">
        <v>13.94</v>
      </c>
      <c r="P1293">
        <v>14.27</v>
      </c>
      <c r="Q1293">
        <v>13.79</v>
      </c>
      <c r="R1293">
        <v>14.59</v>
      </c>
      <c r="S1293">
        <f>Tableau1[[#This Row],[Final_time]]-SUM(Tableau1[[#This Row],[0_100m]:[1300_1400m]])</f>
        <v>14.350000000000023</v>
      </c>
      <c r="T1293">
        <v>216.47</v>
      </c>
      <c r="U1293">
        <f t="shared" si="40"/>
        <v>216.47</v>
      </c>
      <c r="V1293">
        <f t="shared" si="41"/>
        <v>0</v>
      </c>
      <c r="W1293" s="12" t="s">
        <v>142</v>
      </c>
      <c r="X1293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3" t="s">
        <v>136</v>
      </c>
      <c r="Z1293" s="2" t="s">
        <v>99</v>
      </c>
      <c r="AA1293" s="2" t="s">
        <v>129</v>
      </c>
      <c r="AB1293" s="2" t="s">
        <v>65</v>
      </c>
      <c r="AC1293" s="2">
        <v>44758</v>
      </c>
      <c r="AD1293" s="3">
        <v>2022</v>
      </c>
      <c r="AE1293" s="3">
        <v>23</v>
      </c>
      <c r="AF1293" s="5">
        <v>0.66</v>
      </c>
      <c r="AG1293" s="3"/>
      <c r="AH1293" t="s">
        <v>146</v>
      </c>
    </row>
    <row r="1294" spans="1:34" hidden="1" x14ac:dyDescent="0.35">
      <c r="A1294" t="str">
        <f>_xlfn.CONCAT(Tableau1[[#This Row],[Athletes]],"_",Tableau1[[#This Row],[Nationality]],"_",Tableau1[[#This Row],[Competition_year]])</f>
        <v>Teddese LEMI_ETH_2022</v>
      </c>
      <c r="B1294" t="s">
        <v>210</v>
      </c>
      <c r="C1294" t="s">
        <v>16</v>
      </c>
      <c r="D1294" t="s">
        <v>48</v>
      </c>
      <c r="E1294">
        <v>14.32</v>
      </c>
      <c r="F1294">
        <v>15.42</v>
      </c>
      <c r="G1294">
        <v>14.39</v>
      </c>
      <c r="H1294">
        <v>16.09</v>
      </c>
      <c r="I1294">
        <v>14.26</v>
      </c>
      <c r="J1294">
        <v>14.35</v>
      </c>
      <c r="K1294">
        <v>14.16</v>
      </c>
      <c r="L1294">
        <v>14.13</v>
      </c>
      <c r="M1294">
        <v>14.21</v>
      </c>
      <c r="N1294">
        <v>14.01</v>
      </c>
      <c r="O1294">
        <v>14.12</v>
      </c>
      <c r="P1294">
        <v>14.22</v>
      </c>
      <c r="Q1294">
        <v>13.76</v>
      </c>
      <c r="R1294">
        <v>14.36</v>
      </c>
      <c r="S1294">
        <f>Tableau1[[#This Row],[Final_time]]-SUM(Tableau1[[#This Row],[0_100m]:[1300_1400m]])</f>
        <v>14.440000000000055</v>
      </c>
      <c r="T1294">
        <v>216.24</v>
      </c>
      <c r="U1294">
        <f t="shared" si="40"/>
        <v>216.24</v>
      </c>
      <c r="V1294">
        <f t="shared" si="41"/>
        <v>0</v>
      </c>
      <c r="W1294" s="12" t="s">
        <v>142</v>
      </c>
      <c r="X1294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4" t="s">
        <v>136</v>
      </c>
      <c r="Z1294" s="2" t="s">
        <v>99</v>
      </c>
      <c r="AA1294" s="2" t="s">
        <v>129</v>
      </c>
      <c r="AB1294" s="2" t="s">
        <v>65</v>
      </c>
      <c r="AC1294" s="2">
        <v>44758</v>
      </c>
      <c r="AD1294" s="3">
        <v>2022</v>
      </c>
      <c r="AE1294" s="3">
        <v>23</v>
      </c>
      <c r="AF1294" s="5">
        <v>0.66</v>
      </c>
      <c r="AG1294" s="3"/>
      <c r="AH1294" t="s">
        <v>146</v>
      </c>
    </row>
    <row r="1295" spans="1:34" hidden="1" x14ac:dyDescent="0.35">
      <c r="A1295" t="str">
        <f>_xlfn.CONCAT(Tableau1[[#This Row],[Athletes]],"_",Tableau1[[#This Row],[Nationality]],"_",Tableau1[[#This Row],[Competition_year]])</f>
        <v>Ismael DEBJANI_BEL_2022</v>
      </c>
      <c r="B1295" t="s">
        <v>226</v>
      </c>
      <c r="C1295" t="s">
        <v>16</v>
      </c>
      <c r="D1295" t="s">
        <v>86</v>
      </c>
      <c r="E1295">
        <v>14.24</v>
      </c>
      <c r="F1295">
        <v>15.33</v>
      </c>
      <c r="G1295">
        <v>14.97</v>
      </c>
      <c r="H1295">
        <v>15.23</v>
      </c>
      <c r="I1295">
        <v>14.44</v>
      </c>
      <c r="J1295">
        <v>14.75</v>
      </c>
      <c r="K1295">
        <v>14.39</v>
      </c>
      <c r="L1295">
        <v>14.47</v>
      </c>
      <c r="M1295">
        <v>13.96</v>
      </c>
      <c r="N1295">
        <v>14.58</v>
      </c>
      <c r="O1295">
        <v>14.37</v>
      </c>
      <c r="P1295">
        <v>14.7</v>
      </c>
      <c r="Q1295">
        <v>14.84</v>
      </c>
      <c r="R1295">
        <v>14.9</v>
      </c>
      <c r="S1295">
        <f>Tableau1[[#This Row],[Final_time]]-SUM(Tableau1[[#This Row],[0_100m]:[1300_1400m]])</f>
        <v>14.789999999999992</v>
      </c>
      <c r="T1295">
        <v>219.96</v>
      </c>
      <c r="U1295">
        <f t="shared" si="40"/>
        <v>219.96</v>
      </c>
      <c r="V1295">
        <f t="shared" si="41"/>
        <v>0</v>
      </c>
      <c r="W1295" s="12"/>
      <c r="X1295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5" t="s">
        <v>136</v>
      </c>
      <c r="Z1295" s="2" t="s">
        <v>99</v>
      </c>
      <c r="AA1295" s="2" t="s">
        <v>129</v>
      </c>
      <c r="AB1295" s="2" t="s">
        <v>65</v>
      </c>
      <c r="AC1295" s="2">
        <v>44758</v>
      </c>
      <c r="AD1295" s="3">
        <v>2022</v>
      </c>
      <c r="AE1295" s="3">
        <v>23</v>
      </c>
      <c r="AF1295" s="5">
        <v>0.66</v>
      </c>
      <c r="AG1295" s="3"/>
      <c r="AH1295" t="s">
        <v>146</v>
      </c>
    </row>
    <row r="1296" spans="1:34" hidden="1" x14ac:dyDescent="0.35">
      <c r="A1296" t="str">
        <f>_xlfn.CONCAT(Tableau1[[#This Row],[Athletes]],"_",Tableau1[[#This Row],[Nationality]],"_",Tableau1[[#This Row],[Competition_year]])</f>
        <v>Charles Cheboi SIMOTWO_KEN_2022</v>
      </c>
      <c r="B1296" t="s">
        <v>258</v>
      </c>
      <c r="C1296" t="s">
        <v>16</v>
      </c>
      <c r="D1296" t="s">
        <v>17</v>
      </c>
      <c r="E1296">
        <v>14.21</v>
      </c>
      <c r="F1296">
        <v>15.34</v>
      </c>
      <c r="G1296">
        <v>15.09</v>
      </c>
      <c r="H1296">
        <v>15.29</v>
      </c>
      <c r="I1296">
        <v>14.11</v>
      </c>
      <c r="J1296">
        <v>14.68</v>
      </c>
      <c r="K1296">
        <v>14.44</v>
      </c>
      <c r="L1296">
        <v>14.34</v>
      </c>
      <c r="M1296">
        <v>14.03</v>
      </c>
      <c r="N1296">
        <v>14.51</v>
      </c>
      <c r="O1296">
        <v>14.22</v>
      </c>
      <c r="P1296">
        <v>14.14</v>
      </c>
      <c r="Q1296">
        <v>14</v>
      </c>
      <c r="R1296">
        <v>14.22</v>
      </c>
      <c r="S1296">
        <f>Tableau1[[#This Row],[Final_time]]-SUM(Tableau1[[#This Row],[0_100m]:[1300_1400m]])</f>
        <v>15.04000000000002</v>
      </c>
      <c r="T1296">
        <v>217.66</v>
      </c>
      <c r="U1296">
        <f t="shared" si="40"/>
        <v>217.66</v>
      </c>
      <c r="V1296">
        <f t="shared" si="41"/>
        <v>0</v>
      </c>
      <c r="W1296" s="12"/>
      <c r="X1296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6" t="s">
        <v>136</v>
      </c>
      <c r="Z1296" s="2" t="s">
        <v>99</v>
      </c>
      <c r="AA1296" s="2" t="s">
        <v>129</v>
      </c>
      <c r="AB1296" s="2" t="s">
        <v>65</v>
      </c>
      <c r="AC1296" s="2">
        <v>44758</v>
      </c>
      <c r="AD1296" s="3">
        <v>2022</v>
      </c>
      <c r="AE1296" s="3">
        <v>23</v>
      </c>
      <c r="AF1296" s="5">
        <v>0.66</v>
      </c>
      <c r="AG1296" s="3"/>
      <c r="AH1296" t="s">
        <v>146</v>
      </c>
    </row>
    <row r="1297" spans="1:34" hidden="1" x14ac:dyDescent="0.35">
      <c r="A1297" t="str">
        <f>_xlfn.CONCAT(Tableau1[[#This Row],[Athletes]],"_",Tableau1[[#This Row],[Nationality]],"_",Tableau1[[#This Row],[Competition_year]])</f>
        <v>Anass ESSAYI_MAR_2022</v>
      </c>
      <c r="B1297" t="s">
        <v>259</v>
      </c>
      <c r="C1297" t="s">
        <v>16</v>
      </c>
      <c r="D1297" t="s">
        <v>75</v>
      </c>
      <c r="E1297">
        <v>13.98</v>
      </c>
      <c r="F1297">
        <v>15.31</v>
      </c>
      <c r="G1297">
        <v>14.69</v>
      </c>
      <c r="H1297">
        <v>15.23</v>
      </c>
      <c r="I1297">
        <v>14.52</v>
      </c>
      <c r="J1297">
        <v>14.4</v>
      </c>
      <c r="K1297">
        <v>14.39</v>
      </c>
      <c r="L1297">
        <v>14.21</v>
      </c>
      <c r="M1297">
        <v>13.61</v>
      </c>
      <c r="N1297">
        <v>14.17</v>
      </c>
      <c r="O1297">
        <v>14.05</v>
      </c>
      <c r="P1297">
        <v>14.16</v>
      </c>
      <c r="Q1297">
        <v>14.29</v>
      </c>
      <c r="R1297">
        <v>15.27</v>
      </c>
      <c r="S1297">
        <f>Tableau1[[#This Row],[Final_time]]-SUM(Tableau1[[#This Row],[0_100m]:[1300_1400m]])</f>
        <v>16.320000000000022</v>
      </c>
      <c r="T1297">
        <v>218.6</v>
      </c>
      <c r="U1297">
        <f t="shared" si="40"/>
        <v>218.6</v>
      </c>
      <c r="V1297">
        <f t="shared" si="41"/>
        <v>0</v>
      </c>
      <c r="W1297" s="12"/>
      <c r="X1297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7" t="s">
        <v>136</v>
      </c>
      <c r="Z1297" s="2" t="s">
        <v>99</v>
      </c>
      <c r="AA1297" s="2" t="s">
        <v>129</v>
      </c>
      <c r="AB1297" s="2" t="s">
        <v>65</v>
      </c>
      <c r="AC1297" s="2">
        <v>44758</v>
      </c>
      <c r="AD1297" s="3">
        <v>2022</v>
      </c>
      <c r="AE1297" s="3">
        <v>23</v>
      </c>
      <c r="AF1297" s="5">
        <v>0.66</v>
      </c>
      <c r="AG1297" s="3"/>
      <c r="AH1297" t="s">
        <v>146</v>
      </c>
    </row>
    <row r="1298" spans="1:34" hidden="1" x14ac:dyDescent="0.35">
      <c r="A1298" t="str">
        <f>_xlfn.CONCAT(Tableau1[[#This Row],[Athletes]],"_",Tableau1[[#This Row],[Nationality]],"_",Tableau1[[#This Row],[Competition_year]])</f>
        <v>Isaac NADER_POR_2022</v>
      </c>
      <c r="B1298" t="s">
        <v>191</v>
      </c>
      <c r="C1298" t="s">
        <v>16</v>
      </c>
      <c r="D1298" t="s">
        <v>33</v>
      </c>
      <c r="E1298">
        <v>14.34</v>
      </c>
      <c r="F1298">
        <v>15.4</v>
      </c>
      <c r="G1298">
        <v>14.88</v>
      </c>
      <c r="H1298">
        <v>15.34</v>
      </c>
      <c r="I1298">
        <v>14.45</v>
      </c>
      <c r="J1298">
        <v>14.7</v>
      </c>
      <c r="K1298">
        <v>14.36</v>
      </c>
      <c r="L1298">
        <v>14.58</v>
      </c>
      <c r="M1298">
        <v>14.45</v>
      </c>
      <c r="N1298">
        <v>14.41</v>
      </c>
      <c r="O1298">
        <v>14.4</v>
      </c>
      <c r="P1298">
        <v>14.83</v>
      </c>
      <c r="Q1298">
        <v>15.09</v>
      </c>
      <c r="R1298">
        <v>15.13</v>
      </c>
      <c r="S1298">
        <f>Tableau1[[#This Row],[Final_time]]-SUM(Tableau1[[#This Row],[0_100m]:[1300_1400m]])</f>
        <v>16.449999999999989</v>
      </c>
      <c r="T1298">
        <v>222.81</v>
      </c>
      <c r="U1298">
        <f t="shared" si="40"/>
        <v>222.81</v>
      </c>
      <c r="V1298">
        <f t="shared" si="41"/>
        <v>0</v>
      </c>
      <c r="W1298" s="12"/>
      <c r="X1298" t="str">
        <f>_xlfn.CONCAT(Tableau1[[#This Row],[Competition]],"_",Tableau1[[#This Row],[Championship_step]],"_",Tableau1[[#This Row],[Competition_date]],"_",Tableau1[[#This Row],[Gender]])</f>
        <v>World Championships Eugene 2022_Heat 2_44758_Male</v>
      </c>
      <c r="Y1298" t="s">
        <v>136</v>
      </c>
      <c r="Z1298" s="2" t="s">
        <v>99</v>
      </c>
      <c r="AA1298" s="2" t="s">
        <v>129</v>
      </c>
      <c r="AB1298" s="2" t="s">
        <v>65</v>
      </c>
      <c r="AC1298" s="2">
        <v>44758</v>
      </c>
      <c r="AD1298" s="3">
        <v>2022</v>
      </c>
      <c r="AE1298" s="3">
        <v>23</v>
      </c>
      <c r="AF1298" s="5">
        <v>0.66</v>
      </c>
      <c r="AG1298" s="3"/>
      <c r="AH1298" t="s">
        <v>146</v>
      </c>
    </row>
    <row r="1299" spans="1:34" hidden="1" x14ac:dyDescent="0.35">
      <c r="A1299" t="str">
        <f>_xlfn.CONCAT(Tableau1[[#This Row],[Athletes]],"_",Tableau1[[#This Row],[Nationality]],"_",Tableau1[[#This Row],[Competition_year]])</f>
        <v>Sofia ENNAOUI_POL_2022</v>
      </c>
      <c r="B1299" t="s">
        <v>161</v>
      </c>
      <c r="C1299" t="s">
        <v>47</v>
      </c>
      <c r="D1299" t="s">
        <v>83</v>
      </c>
      <c r="E1299">
        <v>15.97</v>
      </c>
      <c r="F1299">
        <v>17.16</v>
      </c>
      <c r="G1299">
        <v>17.75</v>
      </c>
      <c r="H1299">
        <v>17.5</v>
      </c>
      <c r="I1299">
        <v>16.55</v>
      </c>
      <c r="J1299">
        <v>16.59</v>
      </c>
      <c r="K1299">
        <v>16.48</v>
      </c>
      <c r="L1299">
        <v>16.09</v>
      </c>
      <c r="M1299">
        <v>15.71</v>
      </c>
      <c r="N1299">
        <v>15.76</v>
      </c>
      <c r="O1299">
        <v>15.64</v>
      </c>
      <c r="P1299">
        <v>16.07</v>
      </c>
      <c r="Q1299">
        <v>15.64</v>
      </c>
      <c r="R1299">
        <v>15.47</v>
      </c>
      <c r="S1299">
        <f>Tableau1[[#This Row],[Final_time]]-SUM(Tableau1[[#This Row],[0_100m]:[1300_1400m]])</f>
        <v>15.140000000000043</v>
      </c>
      <c r="T1299">
        <v>243.52</v>
      </c>
      <c r="U1299">
        <f t="shared" si="40"/>
        <v>243.52</v>
      </c>
      <c r="V1299">
        <f t="shared" si="41"/>
        <v>0</v>
      </c>
      <c r="W1299" s="12" t="s">
        <v>109</v>
      </c>
      <c r="X1299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299" t="s">
        <v>136</v>
      </c>
      <c r="Z1299" s="2" t="s">
        <v>99</v>
      </c>
      <c r="AA1299" s="2" t="s">
        <v>133</v>
      </c>
      <c r="AB1299" s="2" t="s">
        <v>65</v>
      </c>
      <c r="AC1299" s="2">
        <v>44757</v>
      </c>
      <c r="AD1299" s="3">
        <v>2022</v>
      </c>
      <c r="AE1299" s="3">
        <v>28</v>
      </c>
      <c r="AF1299" s="5">
        <v>0.41</v>
      </c>
      <c r="AG1299" s="3"/>
      <c r="AH1299" t="s">
        <v>137</v>
      </c>
    </row>
    <row r="1300" spans="1:34" hidden="1" x14ac:dyDescent="0.35">
      <c r="A1300" t="str">
        <f>_xlfn.CONCAT(Tableau1[[#This Row],[Athletes]],"_",Tableau1[[#This Row],[Nationality]],"_",Tableau1[[#This Row],[Competition_year]])</f>
        <v>Winny CHEBET_KEN_2022</v>
      </c>
      <c r="B1300" t="s">
        <v>139</v>
      </c>
      <c r="C1300" t="s">
        <v>47</v>
      </c>
      <c r="D1300" t="s">
        <v>17</v>
      </c>
      <c r="E1300">
        <v>15.5</v>
      </c>
      <c r="F1300">
        <v>17.25</v>
      </c>
      <c r="G1300">
        <v>17.41</v>
      </c>
      <c r="H1300">
        <v>17.39</v>
      </c>
      <c r="I1300">
        <v>16.649999999999999</v>
      </c>
      <c r="J1300">
        <v>16.579999999999998</v>
      </c>
      <c r="K1300">
        <v>16.420000000000002</v>
      </c>
      <c r="L1300">
        <v>15.86</v>
      </c>
      <c r="M1300">
        <v>15.48</v>
      </c>
      <c r="N1300">
        <v>15.69</v>
      </c>
      <c r="O1300">
        <v>15.92</v>
      </c>
      <c r="P1300">
        <v>15.8</v>
      </c>
      <c r="Q1300">
        <v>15.25</v>
      </c>
      <c r="R1300">
        <v>16.03</v>
      </c>
      <c r="S1300">
        <f>Tableau1[[#This Row],[Final_time]]-SUM(Tableau1[[#This Row],[0_100m]:[1300_1400m]])</f>
        <v>15.890000000000015</v>
      </c>
      <c r="T1300">
        <v>243.12</v>
      </c>
      <c r="U1300">
        <f t="shared" si="40"/>
        <v>243.12</v>
      </c>
      <c r="V1300">
        <f t="shared" si="41"/>
        <v>0</v>
      </c>
      <c r="W1300" s="12" t="s">
        <v>109</v>
      </c>
      <c r="X1300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0" t="s">
        <v>136</v>
      </c>
      <c r="Z1300" s="2" t="s">
        <v>99</v>
      </c>
      <c r="AA1300" s="2" t="s">
        <v>133</v>
      </c>
      <c r="AB1300" s="2" t="s">
        <v>65</v>
      </c>
      <c r="AC1300" s="2">
        <v>44757</v>
      </c>
      <c r="AD1300" s="3">
        <v>2022</v>
      </c>
      <c r="AE1300" s="3">
        <v>28</v>
      </c>
      <c r="AF1300" s="5">
        <v>0.41</v>
      </c>
      <c r="AG1300" s="3"/>
      <c r="AH1300" t="s">
        <v>137</v>
      </c>
    </row>
    <row r="1301" spans="1:34" hidden="1" x14ac:dyDescent="0.35">
      <c r="A1301" t="str">
        <f>_xlfn.CONCAT(Tableau1[[#This Row],[Athletes]],"_",Tableau1[[#This Row],[Nationality]],"_",Tableau1[[#This Row],[Competition_year]])</f>
        <v>Melissa COURTNEY-BRYANT_GBR_2022</v>
      </c>
      <c r="B1301" t="s">
        <v>168</v>
      </c>
      <c r="C1301" t="s">
        <v>47</v>
      </c>
      <c r="D1301" t="s">
        <v>20</v>
      </c>
      <c r="E1301">
        <v>15.64</v>
      </c>
      <c r="F1301">
        <v>17.34</v>
      </c>
      <c r="G1301">
        <v>17.43</v>
      </c>
      <c r="H1301">
        <v>17.32</v>
      </c>
      <c r="I1301">
        <v>16.68</v>
      </c>
      <c r="J1301">
        <v>16.7</v>
      </c>
      <c r="K1301">
        <v>16.52</v>
      </c>
      <c r="L1301">
        <v>16.239999999999998</v>
      </c>
      <c r="M1301">
        <v>15.96</v>
      </c>
      <c r="N1301">
        <v>16.54</v>
      </c>
      <c r="O1301">
        <v>16.670000000000002</v>
      </c>
      <c r="P1301">
        <v>16.96</v>
      </c>
      <c r="Q1301">
        <v>16.600000000000001</v>
      </c>
      <c r="R1301">
        <v>16.54</v>
      </c>
      <c r="S1301">
        <f>Tableau1[[#This Row],[Final_time]]-SUM(Tableau1[[#This Row],[0_100m]:[1300_1400m]])</f>
        <v>15.929999999999978</v>
      </c>
      <c r="T1301">
        <v>249.07</v>
      </c>
      <c r="U1301">
        <f t="shared" si="40"/>
        <v>249.07</v>
      </c>
      <c r="V1301">
        <f t="shared" si="41"/>
        <v>0</v>
      </c>
      <c r="W1301" s="12"/>
      <c r="X1301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1" t="s">
        <v>136</v>
      </c>
      <c r="Z1301" s="2" t="s">
        <v>99</v>
      </c>
      <c r="AA1301" s="2" t="s">
        <v>133</v>
      </c>
      <c r="AB1301" s="2" t="s">
        <v>65</v>
      </c>
      <c r="AC1301" s="2">
        <v>44757</v>
      </c>
      <c r="AD1301" s="3">
        <v>2022</v>
      </c>
      <c r="AE1301" s="3">
        <v>28</v>
      </c>
      <c r="AF1301" s="5">
        <v>0.41</v>
      </c>
      <c r="AG1301" s="3"/>
      <c r="AH1301" t="s">
        <v>137</v>
      </c>
    </row>
    <row r="1302" spans="1:34" hidden="1" x14ac:dyDescent="0.35">
      <c r="A1302" t="str">
        <f>_xlfn.CONCAT(Tableau1[[#This Row],[Athletes]],"_",Tableau1[[#This Row],[Nationality]],"_",Tableau1[[#This Row],[Competition_year]])</f>
        <v>Gudaf TSEGAY_ETH_2022</v>
      </c>
      <c r="B1302" t="s">
        <v>138</v>
      </c>
      <c r="C1302" t="s">
        <v>47</v>
      </c>
      <c r="D1302" t="s">
        <v>48</v>
      </c>
      <c r="E1302">
        <v>16.239999999999998</v>
      </c>
      <c r="F1302">
        <v>16.72</v>
      </c>
      <c r="G1302">
        <v>17.309999999999999</v>
      </c>
      <c r="H1302">
        <v>17.600000000000001</v>
      </c>
      <c r="I1302">
        <v>16.39</v>
      </c>
      <c r="J1302">
        <v>16.760000000000002</v>
      </c>
      <c r="K1302">
        <v>15.79</v>
      </c>
      <c r="L1302">
        <v>15.9</v>
      </c>
      <c r="M1302">
        <v>15.35</v>
      </c>
      <c r="N1302">
        <v>15.65</v>
      </c>
      <c r="O1302">
        <v>15.83</v>
      </c>
      <c r="P1302">
        <v>15.77</v>
      </c>
      <c r="Q1302">
        <v>15.46</v>
      </c>
      <c r="R1302">
        <v>15.79</v>
      </c>
      <c r="S1302">
        <f>Tableau1[[#This Row],[Final_time]]-SUM(Tableau1[[#This Row],[0_100m]:[1300_1400m]])</f>
        <v>16.119999999999976</v>
      </c>
      <c r="T1302">
        <v>242.68</v>
      </c>
      <c r="U1302">
        <f t="shared" si="40"/>
        <v>242.68</v>
      </c>
      <c r="V1302">
        <f t="shared" si="41"/>
        <v>0</v>
      </c>
      <c r="W1302" s="12" t="s">
        <v>109</v>
      </c>
      <c r="X1302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2" t="s">
        <v>136</v>
      </c>
      <c r="Z1302" s="2" t="s">
        <v>99</v>
      </c>
      <c r="AA1302" s="2" t="s">
        <v>133</v>
      </c>
      <c r="AB1302" s="2" t="s">
        <v>65</v>
      </c>
      <c r="AC1302" s="2">
        <v>44757</v>
      </c>
      <c r="AD1302" s="3">
        <v>2022</v>
      </c>
      <c r="AE1302" s="3">
        <v>28</v>
      </c>
      <c r="AF1302" s="5">
        <v>0.41</v>
      </c>
      <c r="AG1302" s="3"/>
      <c r="AH1302" t="s">
        <v>137</v>
      </c>
    </row>
    <row r="1303" spans="1:34" hidden="1" x14ac:dyDescent="0.35">
      <c r="A1303" t="str">
        <f>_xlfn.CONCAT(Tableau1[[#This Row],[Athletes]],"_",Tableau1[[#This Row],[Nationality]],"_",Tableau1[[#This Row],[Competition_year]])</f>
        <v>Linden HALL_AUS_2022</v>
      </c>
      <c r="B1303" t="s">
        <v>184</v>
      </c>
      <c r="C1303" t="s">
        <v>47</v>
      </c>
      <c r="D1303" t="s">
        <v>21</v>
      </c>
      <c r="E1303">
        <v>15.54</v>
      </c>
      <c r="F1303">
        <v>17</v>
      </c>
      <c r="G1303">
        <v>17.41</v>
      </c>
      <c r="H1303">
        <v>17.38</v>
      </c>
      <c r="I1303">
        <v>16.57</v>
      </c>
      <c r="J1303">
        <v>16.760000000000002</v>
      </c>
      <c r="K1303">
        <v>16.41</v>
      </c>
      <c r="L1303">
        <v>16.260000000000002</v>
      </c>
      <c r="M1303">
        <v>15.15</v>
      </c>
      <c r="N1303">
        <v>15.55</v>
      </c>
      <c r="O1303">
        <v>15.75</v>
      </c>
      <c r="P1303">
        <v>15.87</v>
      </c>
      <c r="Q1303">
        <v>15.48</v>
      </c>
      <c r="R1303">
        <v>15.94</v>
      </c>
      <c r="S1303">
        <f>Tableau1[[#This Row],[Final_time]]-SUM(Tableau1[[#This Row],[0_100m]:[1300_1400m]])</f>
        <v>16.139999999999986</v>
      </c>
      <c r="T1303">
        <v>243.21</v>
      </c>
      <c r="U1303">
        <f t="shared" si="40"/>
        <v>243.21</v>
      </c>
      <c r="V1303">
        <f t="shared" si="41"/>
        <v>0</v>
      </c>
      <c r="W1303" s="12" t="s">
        <v>109</v>
      </c>
      <c r="X1303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3" t="s">
        <v>136</v>
      </c>
      <c r="Z1303" s="2" t="s">
        <v>99</v>
      </c>
      <c r="AA1303" s="2" t="s">
        <v>133</v>
      </c>
      <c r="AB1303" s="2" t="s">
        <v>65</v>
      </c>
      <c r="AC1303" s="2">
        <v>44757</v>
      </c>
      <c r="AD1303" s="3">
        <v>2022</v>
      </c>
      <c r="AE1303" s="3">
        <v>28</v>
      </c>
      <c r="AF1303" s="5">
        <v>0.41</v>
      </c>
      <c r="AG1303" s="3"/>
      <c r="AH1303" t="s">
        <v>137</v>
      </c>
    </row>
    <row r="1304" spans="1:34" hidden="1" x14ac:dyDescent="0.35">
      <c r="A1304" t="str">
        <f>_xlfn.CONCAT(Tableau1[[#This Row],[Athletes]],"_",Tableau1[[#This Row],[Nationality]],"_",Tableau1[[#This Row],[Competition_year]])</f>
        <v>Edinah JEBITOK_KEN_2022</v>
      </c>
      <c r="B1304" t="s">
        <v>155</v>
      </c>
      <c r="C1304" t="s">
        <v>47</v>
      </c>
      <c r="D1304" t="s">
        <v>17</v>
      </c>
      <c r="E1304">
        <v>16.37</v>
      </c>
      <c r="F1304">
        <v>16.600000000000001</v>
      </c>
      <c r="G1304">
        <v>17.54</v>
      </c>
      <c r="H1304">
        <v>17.649999999999999</v>
      </c>
      <c r="I1304">
        <v>16.41</v>
      </c>
      <c r="J1304">
        <v>16.72</v>
      </c>
      <c r="K1304">
        <v>16.29</v>
      </c>
      <c r="L1304">
        <v>16.739999999999998</v>
      </c>
      <c r="M1304">
        <v>15.9</v>
      </c>
      <c r="N1304">
        <v>16.54</v>
      </c>
      <c r="O1304">
        <v>16.21</v>
      </c>
      <c r="P1304">
        <v>16</v>
      </c>
      <c r="Q1304">
        <v>15.77</v>
      </c>
      <c r="R1304">
        <v>16.100000000000001</v>
      </c>
      <c r="S1304">
        <f>Tableau1[[#This Row],[Final_time]]-SUM(Tableau1[[#This Row],[0_100m]:[1300_1400m]])</f>
        <v>16.28</v>
      </c>
      <c r="T1304">
        <v>247.12</v>
      </c>
      <c r="U1304">
        <f t="shared" si="40"/>
        <v>247.12</v>
      </c>
      <c r="V1304">
        <f t="shared" si="41"/>
        <v>0</v>
      </c>
      <c r="W1304" s="12"/>
      <c r="X1304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4" t="s">
        <v>136</v>
      </c>
      <c r="Z1304" s="2" t="s">
        <v>99</v>
      </c>
      <c r="AA1304" s="2" t="s">
        <v>133</v>
      </c>
      <c r="AB1304" s="2" t="s">
        <v>65</v>
      </c>
      <c r="AC1304" s="2">
        <v>44757</v>
      </c>
      <c r="AD1304" s="3">
        <v>2022</v>
      </c>
      <c r="AE1304" s="3">
        <v>28</v>
      </c>
      <c r="AF1304" s="5">
        <v>0.41</v>
      </c>
      <c r="AG1304" s="3"/>
      <c r="AH1304" t="s">
        <v>137</v>
      </c>
    </row>
    <row r="1305" spans="1:34" hidden="1" x14ac:dyDescent="0.35">
      <c r="A1305" t="str">
        <f>_xlfn.CONCAT(Tableau1[[#This Row],[Athletes]],"_",Tableau1[[#This Row],[Nationality]],"_",Tableau1[[#This Row],[Competition_year]])</f>
        <v>Katharina TROST_GER_2022</v>
      </c>
      <c r="B1305" t="s">
        <v>240</v>
      </c>
      <c r="C1305" t="s">
        <v>47</v>
      </c>
      <c r="D1305" t="s">
        <v>34</v>
      </c>
      <c r="E1305">
        <v>15.75</v>
      </c>
      <c r="F1305">
        <v>17.22</v>
      </c>
      <c r="G1305">
        <v>17.399999999999999</v>
      </c>
      <c r="H1305">
        <v>17.53</v>
      </c>
      <c r="I1305">
        <v>16.600000000000001</v>
      </c>
      <c r="J1305">
        <v>16.690000000000001</v>
      </c>
      <c r="K1305">
        <v>16.53</v>
      </c>
      <c r="L1305">
        <v>16.399999999999999</v>
      </c>
      <c r="M1305">
        <v>15.76</v>
      </c>
      <c r="N1305">
        <v>15.36</v>
      </c>
      <c r="O1305">
        <v>15.25</v>
      </c>
      <c r="P1305">
        <v>15.8</v>
      </c>
      <c r="Q1305">
        <v>15.29</v>
      </c>
      <c r="R1305">
        <v>15.57</v>
      </c>
      <c r="S1305">
        <f>Tableau1[[#This Row],[Final_time]]-SUM(Tableau1[[#This Row],[0_100m]:[1300_1400m]])</f>
        <v>16.379999999999995</v>
      </c>
      <c r="T1305">
        <v>243.53</v>
      </c>
      <c r="U1305">
        <f t="shared" si="40"/>
        <v>243.53</v>
      </c>
      <c r="V1305">
        <f t="shared" si="41"/>
        <v>0</v>
      </c>
      <c r="W1305" s="12" t="s">
        <v>109</v>
      </c>
      <c r="X1305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5" t="s">
        <v>136</v>
      </c>
      <c r="Z1305" s="2" t="s">
        <v>99</v>
      </c>
      <c r="AA1305" s="2" t="s">
        <v>133</v>
      </c>
      <c r="AB1305" s="2" t="s">
        <v>65</v>
      </c>
      <c r="AC1305" s="2">
        <v>44757</v>
      </c>
      <c r="AD1305" s="3">
        <v>2022</v>
      </c>
      <c r="AE1305" s="3">
        <v>28</v>
      </c>
      <c r="AF1305" s="5">
        <v>0.41</v>
      </c>
      <c r="AG1305" s="3"/>
      <c r="AH1305" t="s">
        <v>137</v>
      </c>
    </row>
    <row r="1306" spans="1:34" hidden="1" x14ac:dyDescent="0.35">
      <c r="A1306" t="str">
        <f>_xlfn.CONCAT(Tableau1[[#This Row],[Athletes]],"_",Tableau1[[#This Row],[Nationality]],"_",Tableau1[[#This Row],[Competition_year]])</f>
        <v>Winnie NANYONDO_UGA_2022</v>
      </c>
      <c r="B1306" t="s">
        <v>241</v>
      </c>
      <c r="C1306" t="s">
        <v>47</v>
      </c>
      <c r="D1306" t="s">
        <v>52</v>
      </c>
      <c r="E1306">
        <v>15.43</v>
      </c>
      <c r="F1306">
        <v>17.03</v>
      </c>
      <c r="G1306">
        <v>17.420000000000002</v>
      </c>
      <c r="H1306">
        <v>17.440000000000001</v>
      </c>
      <c r="I1306">
        <v>16.649999999999999</v>
      </c>
      <c r="J1306">
        <v>16.760000000000002</v>
      </c>
      <c r="K1306">
        <v>16.52</v>
      </c>
      <c r="L1306">
        <v>15.96</v>
      </c>
      <c r="M1306">
        <v>15.66</v>
      </c>
      <c r="N1306">
        <v>15.77</v>
      </c>
      <c r="O1306">
        <v>15.69</v>
      </c>
      <c r="P1306">
        <v>15.89</v>
      </c>
      <c r="Q1306">
        <v>15.24</v>
      </c>
      <c r="R1306">
        <v>15.93</v>
      </c>
      <c r="S1306">
        <f>Tableau1[[#This Row],[Final_time]]-SUM(Tableau1[[#This Row],[0_100m]:[1300_1400m]])</f>
        <v>16.419999999999959</v>
      </c>
      <c r="T1306">
        <v>243.81</v>
      </c>
      <c r="U1306">
        <f t="shared" si="40"/>
        <v>243.81</v>
      </c>
      <c r="V1306">
        <f t="shared" si="41"/>
        <v>0</v>
      </c>
      <c r="W1306" s="12" t="s">
        <v>142</v>
      </c>
      <c r="X1306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6" t="s">
        <v>136</v>
      </c>
      <c r="Z1306" s="2" t="s">
        <v>99</v>
      </c>
      <c r="AA1306" s="2" t="s">
        <v>133</v>
      </c>
      <c r="AB1306" s="2" t="s">
        <v>65</v>
      </c>
      <c r="AC1306" s="2">
        <v>44757</v>
      </c>
      <c r="AD1306" s="3">
        <v>2022</v>
      </c>
      <c r="AE1306" s="3">
        <v>28</v>
      </c>
      <c r="AF1306" s="5">
        <v>0.41</v>
      </c>
      <c r="AG1306" s="3"/>
      <c r="AH1306" t="s">
        <v>137</v>
      </c>
    </row>
    <row r="1307" spans="1:34" hidden="1" x14ac:dyDescent="0.35">
      <c r="A1307" t="str">
        <f>_xlfn.CONCAT(Tableau1[[#This Row],[Athletes]],"_",Tableau1[[#This Row],[Nationality]],"_",Tableau1[[#This Row],[Competition_year]])</f>
        <v>Cory Ann MCGEE_USA_2022</v>
      </c>
      <c r="B1307" t="s">
        <v>181</v>
      </c>
      <c r="C1307" t="s">
        <v>47</v>
      </c>
      <c r="D1307" t="s">
        <v>51</v>
      </c>
      <c r="E1307">
        <v>15.52</v>
      </c>
      <c r="F1307">
        <v>17.04</v>
      </c>
      <c r="G1307">
        <v>17.420000000000002</v>
      </c>
      <c r="H1307">
        <v>17.510000000000002</v>
      </c>
      <c r="I1307">
        <v>16.7</v>
      </c>
      <c r="J1307">
        <v>16.690000000000001</v>
      </c>
      <c r="K1307">
        <v>16.02</v>
      </c>
      <c r="L1307">
        <v>15.88</v>
      </c>
      <c r="M1307">
        <v>15.51</v>
      </c>
      <c r="N1307">
        <v>15.61</v>
      </c>
      <c r="O1307">
        <v>15.7</v>
      </c>
      <c r="P1307">
        <v>15.78</v>
      </c>
      <c r="Q1307">
        <v>15.65</v>
      </c>
      <c r="R1307">
        <v>16.149999999999999</v>
      </c>
      <c r="S1307">
        <f>Tableau1[[#This Row],[Final_time]]-SUM(Tableau1[[#This Row],[0_100m]:[1300_1400m]])</f>
        <v>16.430000000000035</v>
      </c>
      <c r="T1307">
        <v>243.61</v>
      </c>
      <c r="U1307">
        <f t="shared" si="40"/>
        <v>243.61</v>
      </c>
      <c r="V1307">
        <f t="shared" si="41"/>
        <v>0</v>
      </c>
      <c r="W1307" s="12" t="s">
        <v>109</v>
      </c>
      <c r="X1307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7" t="s">
        <v>136</v>
      </c>
      <c r="Z1307" s="2" t="s">
        <v>99</v>
      </c>
      <c r="AA1307" s="2" t="s">
        <v>133</v>
      </c>
      <c r="AB1307" s="2" t="s">
        <v>65</v>
      </c>
      <c r="AC1307" s="2">
        <v>44757</v>
      </c>
      <c r="AD1307" s="3">
        <v>2022</v>
      </c>
      <c r="AE1307" s="3">
        <v>28</v>
      </c>
      <c r="AF1307" s="5">
        <v>0.41</v>
      </c>
      <c r="AG1307" s="3"/>
      <c r="AH1307" t="s">
        <v>137</v>
      </c>
    </row>
    <row r="1308" spans="1:34" hidden="1" x14ac:dyDescent="0.35">
      <c r="A1308" t="str">
        <f>_xlfn.CONCAT(Tableau1[[#This Row],[Athletes]],"_",Tableau1[[#This Row],[Nationality]],"_",Tableau1[[#This Row],[Competition_year]])</f>
        <v>Diana MEZULIÁNÍKOVÁ_CZE_2022</v>
      </c>
      <c r="B1308" t="s">
        <v>242</v>
      </c>
      <c r="C1308" t="s">
        <v>47</v>
      </c>
      <c r="D1308" t="s">
        <v>140</v>
      </c>
      <c r="E1308">
        <v>15.94</v>
      </c>
      <c r="F1308">
        <v>17.04</v>
      </c>
      <c r="G1308">
        <v>17.61</v>
      </c>
      <c r="H1308">
        <v>17.489999999999998</v>
      </c>
      <c r="I1308">
        <v>16.59</v>
      </c>
      <c r="J1308">
        <v>16.739999999999998</v>
      </c>
      <c r="K1308">
        <v>16.39</v>
      </c>
      <c r="L1308">
        <v>16.48</v>
      </c>
      <c r="M1308">
        <v>15.86</v>
      </c>
      <c r="N1308">
        <v>15.63</v>
      </c>
      <c r="O1308">
        <v>16.04</v>
      </c>
      <c r="P1308">
        <v>16.07</v>
      </c>
      <c r="Q1308">
        <v>15.81</v>
      </c>
      <c r="R1308">
        <v>16.05</v>
      </c>
      <c r="S1308">
        <f>Tableau1[[#This Row],[Final_time]]-SUM(Tableau1[[#This Row],[0_100m]:[1300_1400m]])</f>
        <v>16.810000000000031</v>
      </c>
      <c r="T1308">
        <v>246.55</v>
      </c>
      <c r="U1308">
        <f t="shared" si="40"/>
        <v>246.55</v>
      </c>
      <c r="V1308">
        <f t="shared" si="41"/>
        <v>0</v>
      </c>
      <c r="W1308" s="12" t="s">
        <v>142</v>
      </c>
      <c r="X1308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8" t="s">
        <v>136</v>
      </c>
      <c r="Z1308" s="2" t="s">
        <v>99</v>
      </c>
      <c r="AA1308" s="2" t="s">
        <v>133</v>
      </c>
      <c r="AB1308" s="2" t="s">
        <v>65</v>
      </c>
      <c r="AC1308" s="2">
        <v>44757</v>
      </c>
      <c r="AD1308" s="3">
        <v>2022</v>
      </c>
      <c r="AE1308" s="3">
        <v>28</v>
      </c>
      <c r="AF1308" s="5">
        <v>0.41</v>
      </c>
      <c r="AG1308" s="3"/>
      <c r="AH1308" t="s">
        <v>137</v>
      </c>
    </row>
    <row r="1309" spans="1:34" hidden="1" x14ac:dyDescent="0.35">
      <c r="A1309" t="str">
        <f>_xlfn.CONCAT(Tableau1[[#This Row],[Athletes]],"_",Tableau1[[#This Row],[Nationality]],"_",Tableau1[[#This Row],[Competition_year]])</f>
        <v>Nathalie BLOMQVIST_FIN_2022</v>
      </c>
      <c r="B1309" t="s">
        <v>244</v>
      </c>
      <c r="C1309" t="s">
        <v>47</v>
      </c>
      <c r="D1309" t="s">
        <v>119</v>
      </c>
      <c r="E1309">
        <v>16.059999999999999</v>
      </c>
      <c r="F1309">
        <v>16.5</v>
      </c>
      <c r="G1309">
        <v>18.16</v>
      </c>
      <c r="H1309">
        <v>17.57</v>
      </c>
      <c r="I1309">
        <v>16.59</v>
      </c>
      <c r="J1309">
        <v>16.71</v>
      </c>
      <c r="K1309">
        <v>16.39</v>
      </c>
      <c r="L1309">
        <v>16.72</v>
      </c>
      <c r="M1309">
        <v>16.14</v>
      </c>
      <c r="N1309">
        <v>16.55</v>
      </c>
      <c r="O1309">
        <v>16.82</v>
      </c>
      <c r="P1309">
        <v>16.920000000000002</v>
      </c>
      <c r="Q1309">
        <v>16.73</v>
      </c>
      <c r="R1309">
        <v>16.75</v>
      </c>
      <c r="S1309">
        <f>Tableau1[[#This Row],[Final_time]]-SUM(Tableau1[[#This Row],[0_100m]:[1300_1400m]])</f>
        <v>17.370000000000005</v>
      </c>
      <c r="T1309">
        <v>251.98</v>
      </c>
      <c r="U1309">
        <f t="shared" si="40"/>
        <v>251.98</v>
      </c>
      <c r="V1309">
        <f t="shared" si="41"/>
        <v>0</v>
      </c>
      <c r="W1309" s="12"/>
      <c r="X1309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09" t="s">
        <v>136</v>
      </c>
      <c r="Z1309" s="2" t="s">
        <v>99</v>
      </c>
      <c r="AA1309" s="2" t="s">
        <v>133</v>
      </c>
      <c r="AB1309" s="2" t="s">
        <v>65</v>
      </c>
      <c r="AC1309" s="2">
        <v>44757</v>
      </c>
      <c r="AD1309" s="3">
        <v>2022</v>
      </c>
      <c r="AE1309" s="3">
        <v>28</v>
      </c>
      <c r="AF1309" s="5">
        <v>0.41</v>
      </c>
      <c r="AG1309" s="3"/>
      <c r="AH1309" t="s">
        <v>137</v>
      </c>
    </row>
    <row r="1310" spans="1:34" hidden="1" x14ac:dyDescent="0.35">
      <c r="A1310" t="str">
        <f>_xlfn.CONCAT(Tableau1[[#This Row],[Athletes]],"_",Tableau1[[#This Row],[Nationality]],"_",Tableau1[[#This Row],[Competition_year]])</f>
        <v>Gresa BAKRAÇI_KOS_2022</v>
      </c>
      <c r="B1310" t="s">
        <v>245</v>
      </c>
      <c r="C1310" t="s">
        <v>47</v>
      </c>
      <c r="D1310" t="s">
        <v>141</v>
      </c>
      <c r="E1310">
        <v>16.59</v>
      </c>
      <c r="F1310">
        <v>17.510000000000002</v>
      </c>
      <c r="G1310">
        <v>17.760000000000002</v>
      </c>
      <c r="H1310">
        <v>18.39</v>
      </c>
      <c r="I1310">
        <v>18.010000000000002</v>
      </c>
      <c r="J1310">
        <v>17.77</v>
      </c>
      <c r="K1310">
        <v>17.96</v>
      </c>
      <c r="L1310">
        <v>17.86</v>
      </c>
      <c r="M1310">
        <v>17.22</v>
      </c>
      <c r="N1310">
        <v>17.29</v>
      </c>
      <c r="O1310">
        <v>17.37</v>
      </c>
      <c r="P1310">
        <v>17.29</v>
      </c>
      <c r="Q1310">
        <v>17.079999999999998</v>
      </c>
      <c r="R1310">
        <v>17.09</v>
      </c>
      <c r="S1310">
        <f>Tableau1[[#This Row],[Final_time]]-SUM(Tableau1[[#This Row],[0_100m]:[1300_1400m]])</f>
        <v>17.579999999999956</v>
      </c>
      <c r="T1310">
        <v>262.77</v>
      </c>
      <c r="U1310">
        <f t="shared" si="40"/>
        <v>262.77</v>
      </c>
      <c r="V1310">
        <f t="shared" si="41"/>
        <v>0</v>
      </c>
      <c r="W1310" s="12"/>
      <c r="X1310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10" t="s">
        <v>136</v>
      </c>
      <c r="Z1310" s="2" t="s">
        <v>99</v>
      </c>
      <c r="AA1310" s="2" t="s">
        <v>133</v>
      </c>
      <c r="AB1310" s="2" t="s">
        <v>65</v>
      </c>
      <c r="AC1310" s="2">
        <v>44757</v>
      </c>
      <c r="AD1310" s="3">
        <v>2022</v>
      </c>
      <c r="AE1310" s="3">
        <v>28</v>
      </c>
      <c r="AF1310" s="5">
        <v>0.41</v>
      </c>
      <c r="AG1310" s="3"/>
      <c r="AH1310" t="s">
        <v>137</v>
      </c>
    </row>
    <row r="1311" spans="1:34" hidden="1" x14ac:dyDescent="0.35">
      <c r="A1311" t="str">
        <f>_xlfn.CONCAT(Tableau1[[#This Row],[Athletes]],"_",Tableau1[[#This Row],[Nationality]],"_",Tableau1[[#This Row],[Competition_year]])</f>
        <v>Federica DEL BUONO_ITA_2022</v>
      </c>
      <c r="B1311" t="s">
        <v>243</v>
      </c>
      <c r="C1311" t="s">
        <v>47</v>
      </c>
      <c r="D1311" t="s">
        <v>19</v>
      </c>
      <c r="E1311">
        <v>15.84</v>
      </c>
      <c r="F1311">
        <v>16.96</v>
      </c>
      <c r="G1311">
        <v>17.47</v>
      </c>
      <c r="H1311">
        <v>17.43</v>
      </c>
      <c r="I1311">
        <v>16.670000000000002</v>
      </c>
      <c r="J1311">
        <v>16.600000000000001</v>
      </c>
      <c r="K1311">
        <v>16.38</v>
      </c>
      <c r="L1311">
        <v>16.11</v>
      </c>
      <c r="M1311">
        <v>15.36</v>
      </c>
      <c r="N1311">
        <v>15.66</v>
      </c>
      <c r="O1311">
        <v>15.96</v>
      </c>
      <c r="P1311">
        <v>16.77</v>
      </c>
      <c r="Q1311">
        <v>16.47</v>
      </c>
      <c r="R1311">
        <v>16.88</v>
      </c>
      <c r="S1311">
        <f>Tableau1[[#This Row],[Final_time]]-SUM(Tableau1[[#This Row],[0_100m]:[1300_1400m]])</f>
        <v>17.859999999999985</v>
      </c>
      <c r="T1311">
        <v>248.42</v>
      </c>
      <c r="U1311">
        <f t="shared" si="40"/>
        <v>248.42</v>
      </c>
      <c r="V1311">
        <f t="shared" si="41"/>
        <v>0</v>
      </c>
      <c r="W1311" s="12"/>
      <c r="X1311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11" t="s">
        <v>136</v>
      </c>
      <c r="Z1311" s="2" t="s">
        <v>99</v>
      </c>
      <c r="AA1311" s="2" t="s">
        <v>133</v>
      </c>
      <c r="AB1311" s="2" t="s">
        <v>65</v>
      </c>
      <c r="AC1311" s="2">
        <v>44757</v>
      </c>
      <c r="AD1311" s="3">
        <v>2022</v>
      </c>
      <c r="AE1311" s="3">
        <v>28</v>
      </c>
      <c r="AF1311" s="5">
        <v>0.41</v>
      </c>
      <c r="AG1311" s="3"/>
      <c r="AH1311" t="s">
        <v>137</v>
      </c>
    </row>
    <row r="1312" spans="1:34" hidden="1" x14ac:dyDescent="0.35">
      <c r="A1312" t="str">
        <f>_xlfn.CONCAT(Tableau1[[#This Row],[Athletes]],"_",Tableau1[[#This Row],[Nationality]],"_",Tableau1[[#This Row],[Competition_year]])</f>
        <v>Alma Delia CORTES_MEX_2022</v>
      </c>
      <c r="B1312" t="s">
        <v>159</v>
      </c>
      <c r="C1312" t="s">
        <v>47</v>
      </c>
      <c r="D1312" t="s">
        <v>101</v>
      </c>
      <c r="E1312">
        <v>15.71</v>
      </c>
      <c r="F1312">
        <v>16.86</v>
      </c>
      <c r="G1312">
        <v>17.48</v>
      </c>
      <c r="H1312">
        <v>17.18</v>
      </c>
      <c r="I1312">
        <v>16.63</v>
      </c>
      <c r="J1312">
        <v>16.79</v>
      </c>
      <c r="K1312">
        <v>16.82</v>
      </c>
      <c r="L1312">
        <v>16.46</v>
      </c>
      <c r="M1312">
        <v>16.14</v>
      </c>
      <c r="N1312">
        <v>16.559999999999999</v>
      </c>
      <c r="O1312">
        <v>17.07</v>
      </c>
      <c r="P1312">
        <v>17.440000000000001</v>
      </c>
      <c r="Q1312">
        <v>17.23</v>
      </c>
      <c r="R1312">
        <v>17.63</v>
      </c>
      <c r="S1312">
        <f>Tableau1[[#This Row],[Final_time]]-SUM(Tableau1[[#This Row],[0_100m]:[1300_1400m]])</f>
        <v>17.920000000000016</v>
      </c>
      <c r="T1312">
        <v>253.92</v>
      </c>
      <c r="U1312">
        <f t="shared" si="40"/>
        <v>253.92</v>
      </c>
      <c r="V1312">
        <f t="shared" si="41"/>
        <v>0</v>
      </c>
      <c r="W1312" s="12"/>
      <c r="X1312" t="str">
        <f>_xlfn.CONCAT(Tableau1[[#This Row],[Competition]],"_",Tableau1[[#This Row],[Championship_step]],"_",Tableau1[[#This Row],[Competition_date]],"_",Tableau1[[#This Row],[Gender]])</f>
        <v>World Championships Eugene 2022_Heat 3_44757_Female</v>
      </c>
      <c r="Y1312" t="s">
        <v>136</v>
      </c>
      <c r="Z1312" s="2" t="s">
        <v>99</v>
      </c>
      <c r="AA1312" s="2" t="s">
        <v>133</v>
      </c>
      <c r="AB1312" s="2" t="s">
        <v>65</v>
      </c>
      <c r="AC1312" s="2">
        <v>44757</v>
      </c>
      <c r="AD1312" s="3">
        <v>2022</v>
      </c>
      <c r="AE1312" s="3">
        <v>28</v>
      </c>
      <c r="AF1312" s="5">
        <v>0.41</v>
      </c>
      <c r="AG1312" s="3"/>
      <c r="AH1312" t="s">
        <v>137</v>
      </c>
    </row>
    <row r="1313" spans="1:34" hidden="1" x14ac:dyDescent="0.35">
      <c r="A1313" t="str">
        <f>_xlfn.CONCAT(Tableau1[[#This Row],[Athletes]],"_",Tableau1[[#This Row],[Nationality]],"_",Tableau1[[#This Row],[Competition_year]])</f>
        <v>Joshua THOMPSON_USA_2022</v>
      </c>
      <c r="B1313" t="s">
        <v>260</v>
      </c>
      <c r="C1313" t="s">
        <v>16</v>
      </c>
      <c r="D1313" t="s">
        <v>51</v>
      </c>
      <c r="E1313">
        <v>13.91</v>
      </c>
      <c r="F1313">
        <v>14.9</v>
      </c>
      <c r="G1313">
        <v>15.45</v>
      </c>
      <c r="H1313">
        <v>15.55</v>
      </c>
      <c r="I1313">
        <v>15.79</v>
      </c>
      <c r="J1313">
        <v>16.07</v>
      </c>
      <c r="K1313">
        <v>15.21</v>
      </c>
      <c r="L1313">
        <v>15.3</v>
      </c>
      <c r="M1313">
        <v>14.73</v>
      </c>
      <c r="N1313">
        <v>14.41</v>
      </c>
      <c r="O1313">
        <v>14.11</v>
      </c>
      <c r="P1313">
        <v>13.7</v>
      </c>
      <c r="Q1313">
        <v>13.35</v>
      </c>
      <c r="R1313">
        <v>13.66</v>
      </c>
      <c r="S1313">
        <f>Tableau1[[#This Row],[Final_time]]-SUM(Tableau1[[#This Row],[0_100m]:[1300_1400m]])</f>
        <v>12.960000000000008</v>
      </c>
      <c r="T1313">
        <v>219.1</v>
      </c>
      <c r="U1313">
        <f t="shared" si="40"/>
        <v>219.1</v>
      </c>
      <c r="V1313">
        <f t="shared" si="41"/>
        <v>0</v>
      </c>
      <c r="W1313" s="12" t="s">
        <v>109</v>
      </c>
      <c r="X1313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3" t="s">
        <v>136</v>
      </c>
      <c r="Z1313" s="2" t="s">
        <v>99</v>
      </c>
      <c r="AA1313" s="2" t="s">
        <v>133</v>
      </c>
      <c r="AB1313" s="2" t="s">
        <v>65</v>
      </c>
      <c r="AC1313" s="2">
        <v>44758</v>
      </c>
      <c r="AD1313" s="3">
        <v>2022</v>
      </c>
      <c r="AE1313" s="3">
        <v>23</v>
      </c>
      <c r="AF1313" s="5">
        <v>0.66</v>
      </c>
      <c r="AG1313" s="3"/>
      <c r="AH1313" t="s">
        <v>146</v>
      </c>
    </row>
    <row r="1314" spans="1:34" hidden="1" x14ac:dyDescent="0.35">
      <c r="A1314" t="str">
        <f>_xlfn.CONCAT(Tableau1[[#This Row],[Athletes]],"_",Tableau1[[#This Row],[Nationality]],"_",Tableau1[[#This Row],[Competition_year]])</f>
        <v>Ferdinand Kvan EDMAN_NOR_2022</v>
      </c>
      <c r="B1314" t="s">
        <v>263</v>
      </c>
      <c r="C1314" t="s">
        <v>16</v>
      </c>
      <c r="D1314" t="s">
        <v>30</v>
      </c>
      <c r="E1314">
        <v>13.97</v>
      </c>
      <c r="F1314">
        <v>15.31</v>
      </c>
      <c r="G1314">
        <v>15.28</v>
      </c>
      <c r="H1314">
        <v>15.67</v>
      </c>
      <c r="I1314">
        <v>15.72</v>
      </c>
      <c r="J1314">
        <v>15.94</v>
      </c>
      <c r="K1314">
        <v>15.21</v>
      </c>
      <c r="L1314">
        <v>15.44</v>
      </c>
      <c r="M1314">
        <v>14.59</v>
      </c>
      <c r="N1314">
        <v>14.36</v>
      </c>
      <c r="O1314">
        <v>14.08</v>
      </c>
      <c r="P1314">
        <v>14.06</v>
      </c>
      <c r="Q1314">
        <v>13.43</v>
      </c>
      <c r="R1314">
        <v>13.8</v>
      </c>
      <c r="S1314">
        <f>Tableau1[[#This Row],[Final_time]]-SUM(Tableau1[[#This Row],[0_100m]:[1300_1400m]])</f>
        <v>13.059999999999945</v>
      </c>
      <c r="T1314">
        <v>219.92</v>
      </c>
      <c r="U1314">
        <f t="shared" si="40"/>
        <v>219.92</v>
      </c>
      <c r="V1314">
        <f t="shared" si="41"/>
        <v>0</v>
      </c>
      <c r="W1314" s="12"/>
      <c r="X1314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4" t="s">
        <v>136</v>
      </c>
      <c r="Z1314" s="2" t="s">
        <v>99</v>
      </c>
      <c r="AA1314" s="2" t="s">
        <v>133</v>
      </c>
      <c r="AB1314" s="2" t="s">
        <v>65</v>
      </c>
      <c r="AC1314" s="2">
        <v>44758</v>
      </c>
      <c r="AD1314" s="3">
        <v>2022</v>
      </c>
      <c r="AE1314" s="3">
        <v>23</v>
      </c>
      <c r="AF1314" s="5">
        <v>0.66</v>
      </c>
      <c r="AG1314" s="3"/>
      <c r="AH1314" t="s">
        <v>146</v>
      </c>
    </row>
    <row r="1315" spans="1:34" hidden="1" x14ac:dyDescent="0.35">
      <c r="A1315" t="str">
        <f>_xlfn.CONCAT(Tableau1[[#This Row],[Athletes]],"_",Tableau1[[#This Row],[Nationality]],"_",Tableau1[[#This Row],[Competition_year]])</f>
        <v>Ruben VERHEYDEN_BEL_2022</v>
      </c>
      <c r="B1315" t="s">
        <v>204</v>
      </c>
      <c r="C1315" t="s">
        <v>16</v>
      </c>
      <c r="D1315" t="s">
        <v>86</v>
      </c>
      <c r="E1315">
        <v>14.1</v>
      </c>
      <c r="F1315">
        <v>15.52</v>
      </c>
      <c r="G1315">
        <v>15.5</v>
      </c>
      <c r="H1315">
        <v>15.67</v>
      </c>
      <c r="I1315">
        <v>15.68</v>
      </c>
      <c r="J1315">
        <v>16.010000000000002</v>
      </c>
      <c r="K1315">
        <v>15.12</v>
      </c>
      <c r="L1315">
        <v>15.52</v>
      </c>
      <c r="M1315">
        <v>14.18</v>
      </c>
      <c r="N1315">
        <v>13.92</v>
      </c>
      <c r="O1315">
        <v>13.88</v>
      </c>
      <c r="P1315">
        <v>13.85</v>
      </c>
      <c r="Q1315">
        <v>13.68</v>
      </c>
      <c r="R1315">
        <v>13.76</v>
      </c>
      <c r="S1315">
        <f>Tableau1[[#This Row],[Final_time]]-SUM(Tableau1[[#This Row],[0_100m]:[1300_1400m]])</f>
        <v>13.070000000000022</v>
      </c>
      <c r="T1315">
        <v>219.46</v>
      </c>
      <c r="U1315">
        <f t="shared" si="40"/>
        <v>219.46</v>
      </c>
      <c r="V1315">
        <f t="shared" si="41"/>
        <v>0</v>
      </c>
      <c r="W1315" s="12"/>
      <c r="X1315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5" t="s">
        <v>136</v>
      </c>
      <c r="Z1315" s="2" t="s">
        <v>99</v>
      </c>
      <c r="AA1315" s="2" t="s">
        <v>133</v>
      </c>
      <c r="AB1315" s="2" t="s">
        <v>65</v>
      </c>
      <c r="AC1315" s="2">
        <v>44758</v>
      </c>
      <c r="AD1315" s="3">
        <v>2022</v>
      </c>
      <c r="AE1315" s="3">
        <v>23</v>
      </c>
      <c r="AF1315" s="5">
        <v>0.66</v>
      </c>
      <c r="AG1315" s="3"/>
      <c r="AH1315" t="s">
        <v>146</v>
      </c>
    </row>
    <row r="1316" spans="1:34" hidden="1" x14ac:dyDescent="0.35">
      <c r="A1316" t="str">
        <f>_xlfn.CONCAT(Tableau1[[#This Row],[Athletes]],"_",Tableau1[[#This Row],[Nationality]],"_",Tableau1[[#This Row],[Competition_year]])</f>
        <v>William PAULSON_CAN_2022</v>
      </c>
      <c r="B1316" t="s">
        <v>261</v>
      </c>
      <c r="C1316" t="s">
        <v>16</v>
      </c>
      <c r="D1316" t="s">
        <v>55</v>
      </c>
      <c r="E1316">
        <v>14.1</v>
      </c>
      <c r="F1316">
        <v>15.41</v>
      </c>
      <c r="G1316">
        <v>15.4</v>
      </c>
      <c r="H1316">
        <v>15.63</v>
      </c>
      <c r="I1316">
        <v>15.64</v>
      </c>
      <c r="J1316">
        <v>16.12</v>
      </c>
      <c r="K1316">
        <v>15.06</v>
      </c>
      <c r="L1316">
        <v>14.89</v>
      </c>
      <c r="M1316">
        <v>14.93</v>
      </c>
      <c r="N1316">
        <v>13.87</v>
      </c>
      <c r="O1316">
        <v>13.91</v>
      </c>
      <c r="P1316">
        <v>13.84</v>
      </c>
      <c r="Q1316">
        <v>13.52</v>
      </c>
      <c r="R1316">
        <v>13.67</v>
      </c>
      <c r="S1316">
        <f>Tableau1[[#This Row],[Final_time]]-SUM(Tableau1[[#This Row],[0_100m]:[1300_1400m]])</f>
        <v>13.219999999999999</v>
      </c>
      <c r="T1316">
        <v>219.21</v>
      </c>
      <c r="U1316">
        <f t="shared" si="40"/>
        <v>219.21</v>
      </c>
      <c r="V1316">
        <f t="shared" si="41"/>
        <v>0</v>
      </c>
      <c r="W1316" s="12" t="s">
        <v>109</v>
      </c>
      <c r="X1316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6" t="s">
        <v>136</v>
      </c>
      <c r="Z1316" s="2" t="s">
        <v>99</v>
      </c>
      <c r="AA1316" s="2" t="s">
        <v>133</v>
      </c>
      <c r="AB1316" s="2" t="s">
        <v>65</v>
      </c>
      <c r="AC1316" s="2">
        <v>44758</v>
      </c>
      <c r="AD1316" s="3">
        <v>2022</v>
      </c>
      <c r="AE1316" s="3">
        <v>23</v>
      </c>
      <c r="AF1316" s="5">
        <v>0.66</v>
      </c>
      <c r="AG1316" s="3"/>
      <c r="AH1316" t="s">
        <v>146</v>
      </c>
    </row>
    <row r="1317" spans="1:34" hidden="1" x14ac:dyDescent="0.35">
      <c r="A1317" t="str">
        <f>_xlfn.CONCAT(Tableau1[[#This Row],[Athletes]],"_",Tableau1[[#This Row],[Nationality]],"_",Tableau1[[#This Row],[Competition_year]])</f>
        <v>Filip SASÍNEK_CZE_2022</v>
      </c>
      <c r="B1317" t="s">
        <v>262</v>
      </c>
      <c r="C1317" t="s">
        <v>16</v>
      </c>
      <c r="D1317" t="s">
        <v>140</v>
      </c>
      <c r="E1317">
        <v>14.04</v>
      </c>
      <c r="F1317">
        <v>15.4</v>
      </c>
      <c r="G1317">
        <v>15.61</v>
      </c>
      <c r="H1317">
        <v>15.63</v>
      </c>
      <c r="I1317">
        <v>15.68</v>
      </c>
      <c r="J1317">
        <v>16.02</v>
      </c>
      <c r="K1317">
        <v>14.99</v>
      </c>
      <c r="L1317">
        <v>15.46</v>
      </c>
      <c r="M1317">
        <v>14.44</v>
      </c>
      <c r="N1317">
        <v>14.32</v>
      </c>
      <c r="O1317">
        <v>13.58</v>
      </c>
      <c r="P1317">
        <v>14.01</v>
      </c>
      <c r="Q1317">
        <v>13.3</v>
      </c>
      <c r="R1317">
        <v>13.72</v>
      </c>
      <c r="S1317">
        <f>Tableau1[[#This Row],[Final_time]]-SUM(Tableau1[[#This Row],[0_100m]:[1300_1400m]])</f>
        <v>13.27000000000001</v>
      </c>
      <c r="T1317">
        <v>219.47</v>
      </c>
      <c r="U1317">
        <f t="shared" si="40"/>
        <v>219.47</v>
      </c>
      <c r="V1317">
        <f t="shared" si="41"/>
        <v>0</v>
      </c>
      <c r="W1317" s="12"/>
      <c r="X1317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7" t="s">
        <v>136</v>
      </c>
      <c r="Z1317" s="2" t="s">
        <v>99</v>
      </c>
      <c r="AA1317" s="2" t="s">
        <v>133</v>
      </c>
      <c r="AB1317" s="2" t="s">
        <v>65</v>
      </c>
      <c r="AC1317" s="2">
        <v>44758</v>
      </c>
      <c r="AD1317" s="3">
        <v>2022</v>
      </c>
      <c r="AE1317" s="3">
        <v>23</v>
      </c>
      <c r="AF1317" s="5">
        <v>0.66</v>
      </c>
      <c r="AG1317" s="3"/>
      <c r="AH1317" t="s">
        <v>146</v>
      </c>
    </row>
    <row r="1318" spans="1:34" hidden="1" x14ac:dyDescent="0.35">
      <c r="A1318" t="str">
        <f>_xlfn.CONCAT(Tableau1[[#This Row],[Athletes]],"_",Tableau1[[#This Row],[Nationality]],"_",Tableau1[[#This Row],[Competition_year]])</f>
        <v>Josh KERR_GBR_2022</v>
      </c>
      <c r="B1318" t="s">
        <v>189</v>
      </c>
      <c r="C1318" t="s">
        <v>16</v>
      </c>
      <c r="D1318" t="s">
        <v>20</v>
      </c>
      <c r="E1318">
        <v>13.91</v>
      </c>
      <c r="F1318">
        <v>15.21</v>
      </c>
      <c r="G1318">
        <v>15.23</v>
      </c>
      <c r="H1318">
        <v>15.67</v>
      </c>
      <c r="I1318">
        <v>15.71</v>
      </c>
      <c r="J1318">
        <v>15.91</v>
      </c>
      <c r="K1318">
        <v>15.01</v>
      </c>
      <c r="L1318">
        <v>15.26</v>
      </c>
      <c r="M1318">
        <v>14.45</v>
      </c>
      <c r="N1318">
        <v>13.97</v>
      </c>
      <c r="O1318">
        <v>14.09</v>
      </c>
      <c r="P1318">
        <v>13.78</v>
      </c>
      <c r="Q1318">
        <v>13.8</v>
      </c>
      <c r="R1318">
        <v>13.56</v>
      </c>
      <c r="S1318">
        <f>Tableau1[[#This Row],[Final_time]]-SUM(Tableau1[[#This Row],[0_100m]:[1300_1400m]])</f>
        <v>13.379999999999967</v>
      </c>
      <c r="T1318">
        <v>218.94</v>
      </c>
      <c r="U1318">
        <f t="shared" si="40"/>
        <v>218.94</v>
      </c>
      <c r="V1318">
        <f t="shared" si="41"/>
        <v>0</v>
      </c>
      <c r="W1318" s="12" t="s">
        <v>109</v>
      </c>
      <c r="X1318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8" t="s">
        <v>136</v>
      </c>
      <c r="Z1318" s="2" t="s">
        <v>99</v>
      </c>
      <c r="AA1318" s="2" t="s">
        <v>133</v>
      </c>
      <c r="AB1318" s="2" t="s">
        <v>65</v>
      </c>
      <c r="AC1318" s="2">
        <v>44758</v>
      </c>
      <c r="AD1318" s="3">
        <v>2022</v>
      </c>
      <c r="AE1318" s="3">
        <v>23</v>
      </c>
      <c r="AF1318" s="5">
        <v>0.66</v>
      </c>
      <c r="AG1318" s="3"/>
      <c r="AH1318" t="s">
        <v>146</v>
      </c>
    </row>
    <row r="1319" spans="1:34" hidden="1" x14ac:dyDescent="0.35">
      <c r="A1319" t="str">
        <f>_xlfn.CONCAT(Tableau1[[#This Row],[Athletes]],"_",Tableau1[[#This Row],[Nationality]],"_",Tableau1[[#This Row],[Competition_year]])</f>
        <v>Abel KIPSANG_KEN_2022</v>
      </c>
      <c r="B1319" t="s">
        <v>227</v>
      </c>
      <c r="C1319" t="s">
        <v>16</v>
      </c>
      <c r="D1319" t="s">
        <v>17</v>
      </c>
      <c r="E1319">
        <v>13.76</v>
      </c>
      <c r="F1319">
        <v>14.91</v>
      </c>
      <c r="G1319">
        <v>15.44</v>
      </c>
      <c r="H1319">
        <v>15.62</v>
      </c>
      <c r="I1319">
        <v>15.65</v>
      </c>
      <c r="J1319">
        <v>16.14</v>
      </c>
      <c r="K1319">
        <v>15.09</v>
      </c>
      <c r="L1319">
        <v>15.28</v>
      </c>
      <c r="M1319">
        <v>14.51</v>
      </c>
      <c r="N1319">
        <v>14.25</v>
      </c>
      <c r="O1319">
        <v>14.02</v>
      </c>
      <c r="P1319">
        <v>13.54</v>
      </c>
      <c r="Q1319">
        <v>13.89</v>
      </c>
      <c r="R1319">
        <v>13.61</v>
      </c>
      <c r="S1319">
        <f>Tableau1[[#This Row],[Final_time]]-SUM(Tableau1[[#This Row],[0_100m]:[1300_1400m]])</f>
        <v>13.499999999999972</v>
      </c>
      <c r="T1319">
        <v>219.21</v>
      </c>
      <c r="U1319">
        <f t="shared" si="40"/>
        <v>219.21</v>
      </c>
      <c r="V1319">
        <f t="shared" si="41"/>
        <v>0</v>
      </c>
      <c r="W1319" s="12" t="s">
        <v>109</v>
      </c>
      <c r="X1319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19" t="s">
        <v>136</v>
      </c>
      <c r="Z1319" s="2" t="s">
        <v>99</v>
      </c>
      <c r="AA1319" s="2" t="s">
        <v>133</v>
      </c>
      <c r="AB1319" s="2" t="s">
        <v>65</v>
      </c>
      <c r="AC1319" s="2">
        <v>44758</v>
      </c>
      <c r="AD1319" s="3">
        <v>2022</v>
      </c>
      <c r="AE1319" s="3">
        <v>23</v>
      </c>
      <c r="AF1319" s="5">
        <v>0.66</v>
      </c>
      <c r="AG1319" s="3"/>
      <c r="AH1319" t="s">
        <v>146</v>
      </c>
    </row>
    <row r="1320" spans="1:34" hidden="1" x14ac:dyDescent="0.35">
      <c r="A1320" t="str">
        <f>_xlfn.CONCAT(Tableau1[[#This Row],[Athletes]],"_",Tableau1[[#This Row],[Nationality]],"_",Tableau1[[#This Row],[Competition_year]])</f>
        <v>Samuel TANNER_NZL_2022</v>
      </c>
      <c r="B1320" t="s">
        <v>203</v>
      </c>
      <c r="C1320" t="s">
        <v>16</v>
      </c>
      <c r="D1320" t="s">
        <v>118</v>
      </c>
      <c r="E1320">
        <v>14.05</v>
      </c>
      <c r="F1320">
        <v>15.17</v>
      </c>
      <c r="G1320">
        <v>15.38</v>
      </c>
      <c r="H1320">
        <v>15.58</v>
      </c>
      <c r="I1320">
        <v>15.75</v>
      </c>
      <c r="J1320">
        <v>15.98</v>
      </c>
      <c r="K1320">
        <v>15.04</v>
      </c>
      <c r="L1320">
        <v>15.3</v>
      </c>
      <c r="M1320">
        <v>14.51</v>
      </c>
      <c r="N1320">
        <v>14.2</v>
      </c>
      <c r="O1320">
        <v>13.79</v>
      </c>
      <c r="P1320">
        <v>13.86</v>
      </c>
      <c r="Q1320">
        <v>13.61</v>
      </c>
      <c r="R1320">
        <v>13.6</v>
      </c>
      <c r="S1320">
        <f>Tableau1[[#This Row],[Final_time]]-SUM(Tableau1[[#This Row],[0_100m]:[1300_1400m]])</f>
        <v>13.509999999999991</v>
      </c>
      <c r="T1320">
        <v>219.33</v>
      </c>
      <c r="U1320">
        <f t="shared" si="40"/>
        <v>219.33</v>
      </c>
      <c r="V1320">
        <f t="shared" si="41"/>
        <v>0</v>
      </c>
      <c r="W1320" s="12" t="s">
        <v>109</v>
      </c>
      <c r="X1320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0" t="s">
        <v>136</v>
      </c>
      <c r="Z1320" s="2" t="s">
        <v>99</v>
      </c>
      <c r="AA1320" s="2" t="s">
        <v>133</v>
      </c>
      <c r="AB1320" s="2" t="s">
        <v>65</v>
      </c>
      <c r="AC1320" s="2">
        <v>44758</v>
      </c>
      <c r="AD1320" s="3">
        <v>2022</v>
      </c>
      <c r="AE1320" s="3">
        <v>23</v>
      </c>
      <c r="AF1320" s="5">
        <v>0.66</v>
      </c>
      <c r="AG1320" s="3"/>
      <c r="AH1320" t="s">
        <v>146</v>
      </c>
    </row>
    <row r="1321" spans="1:34" hidden="1" x14ac:dyDescent="0.35">
      <c r="A1321" t="str">
        <f>_xlfn.CONCAT(Tableau1[[#This Row],[Athletes]],"_",Tableau1[[#This Row],[Nationality]],"_",Tableau1[[#This Row],[Competition_year]])</f>
        <v>Mohamed KATIR_ESP_2022</v>
      </c>
      <c r="B1321" t="s">
        <v>149</v>
      </c>
      <c r="C1321" t="s">
        <v>16</v>
      </c>
      <c r="D1321" t="s">
        <v>22</v>
      </c>
      <c r="E1321">
        <v>14.22</v>
      </c>
      <c r="F1321">
        <v>15.58</v>
      </c>
      <c r="G1321">
        <v>14.86</v>
      </c>
      <c r="H1321">
        <v>15.68</v>
      </c>
      <c r="I1321">
        <v>15.7</v>
      </c>
      <c r="J1321">
        <v>16.04</v>
      </c>
      <c r="K1321">
        <v>14.94</v>
      </c>
      <c r="L1321">
        <v>15.36</v>
      </c>
      <c r="M1321">
        <v>14.34</v>
      </c>
      <c r="N1321">
        <v>14.17</v>
      </c>
      <c r="O1321">
        <v>13.67</v>
      </c>
      <c r="P1321" s="8">
        <v>13.95</v>
      </c>
      <c r="Q1321">
        <v>13.69</v>
      </c>
      <c r="R1321">
        <v>13.72</v>
      </c>
      <c r="S1321">
        <f>Tableau1[[#This Row],[Final_time]]-SUM(Tableau1[[#This Row],[0_100m]:[1300_1400m]])</f>
        <v>13.530000000000058</v>
      </c>
      <c r="T1321">
        <v>219.45</v>
      </c>
      <c r="U1321">
        <f t="shared" si="40"/>
        <v>219.45</v>
      </c>
      <c r="V1321">
        <f t="shared" si="41"/>
        <v>0</v>
      </c>
      <c r="W1321" s="12" t="s">
        <v>109</v>
      </c>
      <c r="X1321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1" t="s">
        <v>136</v>
      </c>
      <c r="Z1321" s="2" t="s">
        <v>99</v>
      </c>
      <c r="AA1321" s="2" t="s">
        <v>133</v>
      </c>
      <c r="AB1321" s="2" t="s">
        <v>65</v>
      </c>
      <c r="AC1321" s="2">
        <v>44758</v>
      </c>
      <c r="AD1321" s="3">
        <v>2022</v>
      </c>
      <c r="AE1321" s="3">
        <v>23</v>
      </c>
      <c r="AF1321" s="5">
        <v>0.66</v>
      </c>
      <c r="AG1321" s="3"/>
      <c r="AH1321" t="s">
        <v>146</v>
      </c>
    </row>
    <row r="1322" spans="1:34" hidden="1" x14ac:dyDescent="0.35">
      <c r="A1322" t="str">
        <f>_xlfn.CONCAT(Tableau1[[#This Row],[Athletes]],"_",Tableau1[[#This Row],[Nationality]],"_",Tableau1[[#This Row],[Competition_year]])</f>
        <v>Matthew RAMSDEN_AUS_2022</v>
      </c>
      <c r="B1322" t="s">
        <v>198</v>
      </c>
      <c r="C1322" t="s">
        <v>16</v>
      </c>
      <c r="D1322" t="s">
        <v>21</v>
      </c>
      <c r="E1322">
        <v>14.29</v>
      </c>
      <c r="F1322">
        <v>15.02</v>
      </c>
      <c r="G1322">
        <v>15.08</v>
      </c>
      <c r="H1322">
        <v>15.66</v>
      </c>
      <c r="I1322">
        <v>15.6</v>
      </c>
      <c r="J1322">
        <v>16.18</v>
      </c>
      <c r="K1322">
        <v>14.91</v>
      </c>
      <c r="L1322">
        <v>15.3</v>
      </c>
      <c r="M1322">
        <v>14.58</v>
      </c>
      <c r="N1322">
        <v>14.11</v>
      </c>
      <c r="O1322">
        <v>14.02</v>
      </c>
      <c r="P1322">
        <v>13.95</v>
      </c>
      <c r="Q1322">
        <v>13.59</v>
      </c>
      <c r="R1322">
        <v>13.79</v>
      </c>
      <c r="S1322">
        <f>Tableau1[[#This Row],[Final_time]]-SUM(Tableau1[[#This Row],[0_100m]:[1300_1400m]])</f>
        <v>13.750000000000057</v>
      </c>
      <c r="T1322">
        <v>219.83</v>
      </c>
      <c r="U1322">
        <f t="shared" si="40"/>
        <v>219.83</v>
      </c>
      <c r="V1322">
        <f t="shared" si="41"/>
        <v>0</v>
      </c>
      <c r="W1322" s="12"/>
      <c r="X1322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2" t="s">
        <v>136</v>
      </c>
      <c r="Z1322" s="2" t="s">
        <v>99</v>
      </c>
      <c r="AA1322" s="2" t="s">
        <v>133</v>
      </c>
      <c r="AB1322" s="2" t="s">
        <v>65</v>
      </c>
      <c r="AC1322" s="2">
        <v>44758</v>
      </c>
      <c r="AD1322" s="3">
        <v>2022</v>
      </c>
      <c r="AE1322" s="3">
        <v>23</v>
      </c>
      <c r="AF1322" s="5">
        <v>0.66</v>
      </c>
      <c r="AG1322" s="3"/>
      <c r="AH1322" t="s">
        <v>146</v>
      </c>
    </row>
    <row r="1323" spans="1:34" hidden="1" x14ac:dyDescent="0.35">
      <c r="A1323" t="str">
        <f>_xlfn.CONCAT(Tableau1[[#This Row],[Athletes]],"_",Tableau1[[#This Row],[Nationality]],"_",Tableau1[[#This Row],[Competition_year]])</f>
        <v>Elhassane MOUJAHID_MAR_2022</v>
      </c>
      <c r="B1323" t="s">
        <v>264</v>
      </c>
      <c r="C1323" t="s">
        <v>16</v>
      </c>
      <c r="D1323" t="s">
        <v>75</v>
      </c>
      <c r="E1323">
        <v>14.13</v>
      </c>
      <c r="F1323">
        <v>15.53</v>
      </c>
      <c r="G1323">
        <v>15.18</v>
      </c>
      <c r="H1323">
        <v>15.75</v>
      </c>
      <c r="I1323">
        <v>15.7</v>
      </c>
      <c r="J1323">
        <v>15.93</v>
      </c>
      <c r="K1323">
        <v>14.9</v>
      </c>
      <c r="L1323">
        <v>15.38</v>
      </c>
      <c r="M1323">
        <v>14.38</v>
      </c>
      <c r="N1323">
        <v>14.23</v>
      </c>
      <c r="O1323">
        <v>13.77</v>
      </c>
      <c r="P1323">
        <v>14.02</v>
      </c>
      <c r="Q1323">
        <v>13.6</v>
      </c>
      <c r="R1323">
        <v>13.71</v>
      </c>
      <c r="S1323">
        <f>Tableau1[[#This Row],[Final_time]]-SUM(Tableau1[[#This Row],[0_100m]:[1300_1400m]])</f>
        <v>13.769999999999982</v>
      </c>
      <c r="T1323">
        <v>219.98</v>
      </c>
      <c r="U1323">
        <f t="shared" si="40"/>
        <v>219.98</v>
      </c>
      <c r="V1323">
        <f t="shared" si="41"/>
        <v>0</v>
      </c>
      <c r="W1323" s="12"/>
      <c r="X1323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3" t="s">
        <v>136</v>
      </c>
      <c r="Z1323" s="2" t="s">
        <v>99</v>
      </c>
      <c r="AA1323" s="2" t="s">
        <v>133</v>
      </c>
      <c r="AB1323" s="2" t="s">
        <v>65</v>
      </c>
      <c r="AC1323" s="2">
        <v>44758</v>
      </c>
      <c r="AD1323" s="3">
        <v>2022</v>
      </c>
      <c r="AE1323" s="3">
        <v>23</v>
      </c>
      <c r="AF1323" s="5">
        <v>0.66</v>
      </c>
      <c r="AG1323" s="3"/>
      <c r="AH1323" t="s">
        <v>146</v>
      </c>
    </row>
    <row r="1324" spans="1:34" hidden="1" x14ac:dyDescent="0.35">
      <c r="A1324" t="str">
        <f>_xlfn.CONCAT(Tableau1[[#This Row],[Athletes]],"_",Tableau1[[#This Row],[Nationality]],"_",Tableau1[[#This Row],[Competition_year]])</f>
        <v>Ronald MUSAGALA_UGA_2022</v>
      </c>
      <c r="B1324" t="s">
        <v>265</v>
      </c>
      <c r="C1324" t="s">
        <v>16</v>
      </c>
      <c r="D1324" t="s">
        <v>52</v>
      </c>
      <c r="E1324">
        <v>13.97</v>
      </c>
      <c r="F1324">
        <v>15.45</v>
      </c>
      <c r="G1324">
        <v>15.35</v>
      </c>
      <c r="H1324">
        <v>15.66</v>
      </c>
      <c r="I1324">
        <v>15.65</v>
      </c>
      <c r="J1324">
        <v>16.09</v>
      </c>
      <c r="K1324">
        <v>15.08</v>
      </c>
      <c r="L1324">
        <v>15.34</v>
      </c>
      <c r="M1324">
        <v>14.41</v>
      </c>
      <c r="N1324">
        <v>14.39</v>
      </c>
      <c r="O1324">
        <v>13.91</v>
      </c>
      <c r="P1324">
        <v>14.02</v>
      </c>
      <c r="Q1324">
        <v>13.53</v>
      </c>
      <c r="R1324">
        <v>13.85</v>
      </c>
      <c r="S1324">
        <f>Tableau1[[#This Row],[Final_time]]-SUM(Tableau1[[#This Row],[0_100m]:[1300_1400m]])</f>
        <v>14.169999999999959</v>
      </c>
      <c r="T1324">
        <v>220.87</v>
      </c>
      <c r="U1324">
        <f t="shared" si="40"/>
        <v>220.87</v>
      </c>
      <c r="V1324">
        <f t="shared" si="41"/>
        <v>0</v>
      </c>
      <c r="W1324" s="12"/>
      <c r="X1324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4" t="s">
        <v>136</v>
      </c>
      <c r="Z1324" s="2" t="s">
        <v>99</v>
      </c>
      <c r="AA1324" s="2" t="s">
        <v>133</v>
      </c>
      <c r="AB1324" s="2" t="s">
        <v>65</v>
      </c>
      <c r="AC1324" s="2">
        <v>44758</v>
      </c>
      <c r="AD1324" s="3">
        <v>2022</v>
      </c>
      <c r="AE1324" s="3">
        <v>23</v>
      </c>
      <c r="AF1324" s="5">
        <v>0.66</v>
      </c>
      <c r="AG1324" s="3"/>
      <c r="AH1324" t="s">
        <v>146</v>
      </c>
    </row>
    <row r="1325" spans="1:34" hidden="1" x14ac:dyDescent="0.35">
      <c r="A1325" t="str">
        <f>_xlfn.CONCAT(Tableau1[[#This Row],[Athletes]],"_",Tableau1[[#This Row],[Nationality]],"_",Tableau1[[#This Row],[Competition_year]])</f>
        <v>Samuel ZELEKE_ETH_2022</v>
      </c>
      <c r="B1325" t="s">
        <v>193</v>
      </c>
      <c r="C1325" t="s">
        <v>16</v>
      </c>
      <c r="D1325" t="s">
        <v>48</v>
      </c>
      <c r="E1325">
        <v>13.87</v>
      </c>
      <c r="F1325">
        <v>15.1</v>
      </c>
      <c r="G1325">
        <v>15.26</v>
      </c>
      <c r="H1325">
        <v>15.71</v>
      </c>
      <c r="I1325">
        <v>15.44</v>
      </c>
      <c r="J1325">
        <v>16.16</v>
      </c>
      <c r="K1325">
        <v>15.32</v>
      </c>
      <c r="L1325">
        <v>15.24</v>
      </c>
      <c r="M1325">
        <v>14.56</v>
      </c>
      <c r="N1325">
        <v>14.19</v>
      </c>
      <c r="O1325">
        <v>13.98</v>
      </c>
      <c r="P1325">
        <v>14.24</v>
      </c>
      <c r="Q1325">
        <v>13.71</v>
      </c>
      <c r="R1325">
        <v>13.72</v>
      </c>
      <c r="S1325">
        <f>Tableau1[[#This Row],[Final_time]]-SUM(Tableau1[[#This Row],[0_100m]:[1300_1400m]])</f>
        <v>14.270000000000039</v>
      </c>
      <c r="T1325">
        <v>220.77</v>
      </c>
      <c r="U1325">
        <f t="shared" si="40"/>
        <v>220.77</v>
      </c>
      <c r="V1325">
        <f t="shared" si="41"/>
        <v>0</v>
      </c>
      <c r="W1325" s="12"/>
      <c r="X1325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5" t="s">
        <v>136</v>
      </c>
      <c r="Z1325" s="2" t="s">
        <v>99</v>
      </c>
      <c r="AA1325" s="2" t="s">
        <v>133</v>
      </c>
      <c r="AB1325" s="2" t="s">
        <v>65</v>
      </c>
      <c r="AC1325" s="2">
        <v>44758</v>
      </c>
      <c r="AD1325" s="3">
        <v>2022</v>
      </c>
      <c r="AE1325" s="3">
        <v>23</v>
      </c>
      <c r="AF1325" s="5">
        <v>0.66</v>
      </c>
      <c r="AG1325" s="3"/>
      <c r="AH1325" t="s">
        <v>146</v>
      </c>
    </row>
    <row r="1326" spans="1:34" hidden="1" x14ac:dyDescent="0.35">
      <c r="A1326" t="str">
        <f>_xlfn.CONCAT(Tableau1[[#This Row],[Athletes]],"_",Tableau1[[#This Row],[Nationality]],"_",Tableau1[[#This Row],[Competition_year]])</f>
        <v>Yervand MKRTCHYAN_ARM_2022</v>
      </c>
      <c r="B1326" t="s">
        <v>196</v>
      </c>
      <c r="C1326" t="s">
        <v>16</v>
      </c>
      <c r="D1326" t="s">
        <v>115</v>
      </c>
      <c r="E1326">
        <v>14.41</v>
      </c>
      <c r="F1326">
        <v>15.35</v>
      </c>
      <c r="G1326">
        <v>15.53</v>
      </c>
      <c r="H1326">
        <v>15.6</v>
      </c>
      <c r="I1326">
        <v>14.76</v>
      </c>
      <c r="J1326">
        <v>17</v>
      </c>
      <c r="K1326">
        <v>14.84</v>
      </c>
      <c r="L1326">
        <v>14.55</v>
      </c>
      <c r="M1326">
        <v>15.46</v>
      </c>
      <c r="N1326">
        <v>14.24</v>
      </c>
      <c r="O1326">
        <v>13.74</v>
      </c>
      <c r="P1326">
        <v>14.24</v>
      </c>
      <c r="Q1326">
        <v>13.76</v>
      </c>
      <c r="R1326">
        <v>14.33</v>
      </c>
      <c r="S1326">
        <f>Tableau1[[#This Row],[Final_time]]-SUM(Tableau1[[#This Row],[0_100m]:[1300_1400m]])</f>
        <v>14.559999999999974</v>
      </c>
      <c r="T1326">
        <v>222.37</v>
      </c>
      <c r="U1326">
        <f t="shared" si="40"/>
        <v>222.37</v>
      </c>
      <c r="V1326">
        <f t="shared" si="41"/>
        <v>0</v>
      </c>
      <c r="W1326" s="12"/>
      <c r="X1326" t="str">
        <f>_xlfn.CONCAT(Tableau1[[#This Row],[Competition]],"_",Tableau1[[#This Row],[Championship_step]],"_",Tableau1[[#This Row],[Competition_date]],"_",Tableau1[[#This Row],[Gender]])</f>
        <v>World Championships Eugene 2022_Heat 3_44758_Male</v>
      </c>
      <c r="Y1326" t="s">
        <v>136</v>
      </c>
      <c r="Z1326" s="2" t="s">
        <v>99</v>
      </c>
      <c r="AA1326" s="2" t="s">
        <v>133</v>
      </c>
      <c r="AB1326" s="2" t="s">
        <v>65</v>
      </c>
      <c r="AC1326" s="2">
        <v>44758</v>
      </c>
      <c r="AD1326" s="3">
        <v>2022</v>
      </c>
      <c r="AE1326" s="3">
        <v>23</v>
      </c>
      <c r="AF1326" s="5">
        <v>0.66</v>
      </c>
      <c r="AG1326" s="3"/>
      <c r="AH1326" t="s">
        <v>146</v>
      </c>
    </row>
    <row r="1327" spans="1:34" hidden="1" x14ac:dyDescent="0.35">
      <c r="A1327" t="str">
        <f>_xlfn.CONCAT(Tableau1[[#This Row],[Athletes]],"_",Tableau1[[#This Row],[Nationality]],"_",Tableau1[[#This Row],[Competition_year]])</f>
        <v>Hanna KLEIN_GER_2022</v>
      </c>
      <c r="B1327" t="s">
        <v>246</v>
      </c>
      <c r="C1327" t="s">
        <v>47</v>
      </c>
      <c r="D1327" t="s">
        <v>34</v>
      </c>
      <c r="E1327">
        <v>15.25</v>
      </c>
      <c r="F1327">
        <v>16.579999999999998</v>
      </c>
      <c r="G1327">
        <v>16.53</v>
      </c>
      <c r="H1327">
        <v>17.64</v>
      </c>
      <c r="I1327">
        <v>17.41</v>
      </c>
      <c r="J1327">
        <v>17.14</v>
      </c>
      <c r="K1327">
        <v>16.809999999999999</v>
      </c>
      <c r="L1327">
        <v>16.7</v>
      </c>
      <c r="M1327">
        <v>15.98</v>
      </c>
      <c r="N1327">
        <v>16.079999999999998</v>
      </c>
      <c r="O1327">
        <v>16.09</v>
      </c>
      <c r="P1327">
        <v>15.92</v>
      </c>
      <c r="Q1327">
        <v>15.69</v>
      </c>
      <c r="R1327">
        <v>15.59</v>
      </c>
      <c r="S1327">
        <f>Tableau1[[#This Row],[Final_time]]-SUM(Tableau1[[#This Row],[0_100m]:[1300_1400m]])</f>
        <v>15.210000000000008</v>
      </c>
      <c r="T1327">
        <v>244.62</v>
      </c>
      <c r="U1327">
        <f t="shared" si="40"/>
        <v>244.62</v>
      </c>
      <c r="V1327">
        <f t="shared" si="41"/>
        <v>0</v>
      </c>
      <c r="W1327" s="12"/>
      <c r="X1327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27" t="s">
        <v>136</v>
      </c>
      <c r="Z1327" s="2" t="s">
        <v>106</v>
      </c>
      <c r="AA1327" s="2" t="s">
        <v>130</v>
      </c>
      <c r="AB1327" s="2" t="s">
        <v>65</v>
      </c>
      <c r="AC1327" s="2">
        <v>44758</v>
      </c>
      <c r="AD1327" s="3">
        <v>2022</v>
      </c>
      <c r="AE1327" s="3">
        <v>23</v>
      </c>
      <c r="AF1327" s="5">
        <v>0.66</v>
      </c>
      <c r="AG1327" s="3"/>
      <c r="AH1327" t="s">
        <v>143</v>
      </c>
    </row>
    <row r="1328" spans="1:34" hidden="1" x14ac:dyDescent="0.35">
      <c r="A1328" t="str">
        <f>_xlfn.CONCAT(Tableau1[[#This Row],[Athletes]],"_",Tableau1[[#This Row],[Nationality]],"_",Tableau1[[#This Row],[Competition_year]])</f>
        <v>Gudaf TSEGAY_ETH_2022</v>
      </c>
      <c r="B1328" t="s">
        <v>138</v>
      </c>
      <c r="C1328" t="s">
        <v>47</v>
      </c>
      <c r="D1328" t="s">
        <v>48</v>
      </c>
      <c r="E1328">
        <v>14.99</v>
      </c>
      <c r="F1328">
        <v>16.3</v>
      </c>
      <c r="G1328">
        <v>16.77</v>
      </c>
      <c r="H1328">
        <v>17.62</v>
      </c>
      <c r="I1328">
        <v>17.37</v>
      </c>
      <c r="J1328">
        <v>16.940000000000001</v>
      </c>
      <c r="K1328">
        <v>16.809999999999999</v>
      </c>
      <c r="L1328">
        <v>16.600000000000001</v>
      </c>
      <c r="M1328">
        <v>15.39</v>
      </c>
      <c r="N1328">
        <v>15.56</v>
      </c>
      <c r="O1328">
        <v>15.64</v>
      </c>
      <c r="P1328">
        <v>15.43</v>
      </c>
      <c r="Q1328">
        <v>15.49</v>
      </c>
      <c r="R1328">
        <v>15.14</v>
      </c>
      <c r="S1328">
        <f>Tableau1[[#This Row],[Final_time]]-SUM(Tableau1[[#This Row],[0_100m]:[1300_1400m]])</f>
        <v>15.22999999999999</v>
      </c>
      <c r="T1328">
        <v>241.28</v>
      </c>
      <c r="U1328">
        <f t="shared" si="40"/>
        <v>241.28</v>
      </c>
      <c r="V1328">
        <f t="shared" si="41"/>
        <v>0</v>
      </c>
      <c r="W1328" s="12" t="s">
        <v>109</v>
      </c>
      <c r="X1328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28" t="s">
        <v>136</v>
      </c>
      <c r="Z1328" s="2" t="s">
        <v>106</v>
      </c>
      <c r="AA1328" s="2" t="s">
        <v>130</v>
      </c>
      <c r="AB1328" s="2" t="s">
        <v>65</v>
      </c>
      <c r="AC1328" s="2">
        <v>44758</v>
      </c>
      <c r="AD1328" s="3">
        <v>2022</v>
      </c>
      <c r="AE1328" s="3">
        <v>23</v>
      </c>
      <c r="AF1328" s="5">
        <v>0.66</v>
      </c>
      <c r="AG1328" s="3"/>
      <c r="AH1328" t="s">
        <v>143</v>
      </c>
    </row>
    <row r="1329" spans="1:34" hidden="1" x14ac:dyDescent="0.35">
      <c r="A1329" t="str">
        <f>_xlfn.CONCAT(Tableau1[[#This Row],[Athletes]],"_",Tableau1[[#This Row],[Nationality]],"_",Tableau1[[#This Row],[Competition_year]])</f>
        <v>Jessica HULL_AUS_2022</v>
      </c>
      <c r="B1329" t="s">
        <v>187</v>
      </c>
      <c r="C1329" t="s">
        <v>47</v>
      </c>
      <c r="D1329" t="s">
        <v>21</v>
      </c>
      <c r="E1329">
        <v>15.18</v>
      </c>
      <c r="F1329">
        <v>16.29</v>
      </c>
      <c r="G1329">
        <v>16.73</v>
      </c>
      <c r="H1329">
        <v>17.55</v>
      </c>
      <c r="I1329">
        <v>17.46</v>
      </c>
      <c r="J1329">
        <v>16.97</v>
      </c>
      <c r="K1329">
        <v>16.8</v>
      </c>
      <c r="L1329">
        <v>16.59</v>
      </c>
      <c r="M1329">
        <v>15.51</v>
      </c>
      <c r="N1329">
        <v>15.63</v>
      </c>
      <c r="O1329">
        <v>15.59</v>
      </c>
      <c r="P1329">
        <v>15.38</v>
      </c>
      <c r="Q1329">
        <v>15.47</v>
      </c>
      <c r="R1329">
        <v>15.24</v>
      </c>
      <c r="S1329">
        <f>Tableau1[[#This Row],[Final_time]]-SUM(Tableau1[[#This Row],[0_100m]:[1300_1400m]])</f>
        <v>15.420000000000016</v>
      </c>
      <c r="T1329">
        <v>241.81</v>
      </c>
      <c r="U1329">
        <f t="shared" si="40"/>
        <v>241.81</v>
      </c>
      <c r="V1329">
        <f t="shared" si="41"/>
        <v>0</v>
      </c>
      <c r="W1329" s="12" t="s">
        <v>109</v>
      </c>
      <c r="X1329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29" t="s">
        <v>136</v>
      </c>
      <c r="Z1329" s="2" t="s">
        <v>106</v>
      </c>
      <c r="AA1329" s="2" t="s">
        <v>130</v>
      </c>
      <c r="AB1329" s="2" t="s">
        <v>65</v>
      </c>
      <c r="AC1329" s="2">
        <v>44758</v>
      </c>
      <c r="AD1329" s="3">
        <v>2022</v>
      </c>
      <c r="AE1329" s="3">
        <v>23</v>
      </c>
      <c r="AF1329" s="5">
        <v>0.66</v>
      </c>
      <c r="AG1329" s="3"/>
      <c r="AH1329" t="s">
        <v>143</v>
      </c>
    </row>
    <row r="1330" spans="1:34" hidden="1" x14ac:dyDescent="0.35">
      <c r="A1330" t="str">
        <f>_xlfn.CONCAT(Tableau1[[#This Row],[Athletes]],"_",Tableau1[[#This Row],[Nationality]],"_",Tableau1[[#This Row],[Competition_year]])</f>
        <v>Laura MUIR_GBR_2022</v>
      </c>
      <c r="B1330" t="s">
        <v>153</v>
      </c>
      <c r="C1330" t="s">
        <v>47</v>
      </c>
      <c r="D1330" t="s">
        <v>20</v>
      </c>
      <c r="E1330">
        <v>15.82</v>
      </c>
      <c r="F1330">
        <v>16.36</v>
      </c>
      <c r="G1330">
        <v>16.829999999999998</v>
      </c>
      <c r="H1330">
        <v>16.95</v>
      </c>
      <c r="I1330">
        <v>17.77</v>
      </c>
      <c r="J1330">
        <v>16.850000000000001</v>
      </c>
      <c r="K1330">
        <v>16.32</v>
      </c>
      <c r="L1330">
        <v>16.8</v>
      </c>
      <c r="M1330">
        <v>15.28</v>
      </c>
      <c r="N1330">
        <v>15.51</v>
      </c>
      <c r="O1330">
        <v>15.53</v>
      </c>
      <c r="P1330">
        <v>15.51</v>
      </c>
      <c r="Q1330">
        <v>15.45</v>
      </c>
      <c r="R1330">
        <v>15.24</v>
      </c>
      <c r="S1330">
        <f>Tableau1[[#This Row],[Final_time]]-SUM(Tableau1[[#This Row],[0_100m]:[1300_1400m]])</f>
        <v>15.560000000000031</v>
      </c>
      <c r="T1330">
        <v>241.78</v>
      </c>
      <c r="U1330">
        <f t="shared" si="40"/>
        <v>241.78</v>
      </c>
      <c r="V1330">
        <f t="shared" si="41"/>
        <v>0</v>
      </c>
      <c r="W1330" s="12" t="s">
        <v>109</v>
      </c>
      <c r="X1330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0" t="s">
        <v>136</v>
      </c>
      <c r="Z1330" s="2" t="s">
        <v>106</v>
      </c>
      <c r="AA1330" s="2" t="s">
        <v>130</v>
      </c>
      <c r="AB1330" s="2" t="s">
        <v>65</v>
      </c>
      <c r="AC1330" s="2">
        <v>44758</v>
      </c>
      <c r="AD1330" s="3">
        <v>2022</v>
      </c>
      <c r="AE1330" s="3">
        <v>23</v>
      </c>
      <c r="AF1330" s="5">
        <v>0.66</v>
      </c>
      <c r="AG1330" s="3"/>
      <c r="AH1330" t="s">
        <v>143</v>
      </c>
    </row>
    <row r="1331" spans="1:34" hidden="1" x14ac:dyDescent="0.35">
      <c r="A1331" t="str">
        <f>_xlfn.CONCAT(Tableau1[[#This Row],[Athletes]],"_",Tableau1[[#This Row],[Nationality]],"_",Tableau1[[#This Row],[Competition_year]])</f>
        <v>Marta PÉREZ_ESP_2022</v>
      </c>
      <c r="B1331" t="s">
        <v>183</v>
      </c>
      <c r="C1331" t="s">
        <v>47</v>
      </c>
      <c r="D1331" t="s">
        <v>22</v>
      </c>
      <c r="E1331">
        <v>15.6</v>
      </c>
      <c r="F1331">
        <v>16.420000000000002</v>
      </c>
      <c r="G1331">
        <v>16.7</v>
      </c>
      <c r="H1331">
        <v>17.239999999999998</v>
      </c>
      <c r="I1331">
        <v>17.66</v>
      </c>
      <c r="J1331">
        <v>17.149999999999999</v>
      </c>
      <c r="K1331">
        <v>16.579999999999998</v>
      </c>
      <c r="L1331">
        <v>16.690000000000001</v>
      </c>
      <c r="M1331">
        <v>15.8</v>
      </c>
      <c r="N1331">
        <v>16</v>
      </c>
      <c r="O1331">
        <v>15.53</v>
      </c>
      <c r="P1331">
        <v>15.7</v>
      </c>
      <c r="Q1331">
        <v>15.75</v>
      </c>
      <c r="R1331">
        <v>15.78</v>
      </c>
      <c r="S1331">
        <f>Tableau1[[#This Row],[Final_time]]-SUM(Tableau1[[#This Row],[0_100m]:[1300_1400m]])</f>
        <v>15.640000000000015</v>
      </c>
      <c r="T1331">
        <v>244.24</v>
      </c>
      <c r="U1331">
        <f t="shared" si="40"/>
        <v>244.24</v>
      </c>
      <c r="V1331">
        <f t="shared" si="41"/>
        <v>0</v>
      </c>
      <c r="W1331" s="12" t="s">
        <v>142</v>
      </c>
      <c r="X1331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1" t="s">
        <v>136</v>
      </c>
      <c r="Z1331" s="2" t="s">
        <v>106</v>
      </c>
      <c r="AA1331" s="2" t="s">
        <v>130</v>
      </c>
      <c r="AB1331" s="2" t="s">
        <v>65</v>
      </c>
      <c r="AC1331" s="2">
        <v>44758</v>
      </c>
      <c r="AD1331" s="3">
        <v>2022</v>
      </c>
      <c r="AE1331" s="3">
        <v>23</v>
      </c>
      <c r="AF1331" s="5">
        <v>0.66</v>
      </c>
      <c r="AG1331" s="3"/>
      <c r="AH1331" t="s">
        <v>143</v>
      </c>
    </row>
    <row r="1332" spans="1:34" hidden="1" x14ac:dyDescent="0.35">
      <c r="A1332" t="str">
        <f>_xlfn.CONCAT(Tableau1[[#This Row],[Athletes]],"_",Tableau1[[#This Row],[Nationality]],"_",Tableau1[[#This Row],[Competition_year]])</f>
        <v>Freweyni HAILU_ETH_2022</v>
      </c>
      <c r="B1332" t="s">
        <v>144</v>
      </c>
      <c r="C1332" t="s">
        <v>47</v>
      </c>
      <c r="D1332" t="s">
        <v>48</v>
      </c>
      <c r="E1332">
        <v>14.95</v>
      </c>
      <c r="F1332">
        <v>16.27</v>
      </c>
      <c r="G1332">
        <v>16.690000000000001</v>
      </c>
      <c r="H1332">
        <v>17.7</v>
      </c>
      <c r="I1332">
        <v>17.52</v>
      </c>
      <c r="J1332">
        <v>17.28</v>
      </c>
      <c r="K1332">
        <v>16.75</v>
      </c>
      <c r="L1332">
        <v>16.559999999999999</v>
      </c>
      <c r="M1332">
        <v>15.6</v>
      </c>
      <c r="N1332">
        <v>16.07</v>
      </c>
      <c r="O1332">
        <v>15.26</v>
      </c>
      <c r="P1332">
        <v>15.3</v>
      </c>
      <c r="Q1332">
        <v>15.27</v>
      </c>
      <c r="R1332">
        <v>15.38</v>
      </c>
      <c r="S1332">
        <f>Tableau1[[#This Row],[Final_time]]-SUM(Tableau1[[#This Row],[0_100m]:[1300_1400m]])</f>
        <v>15.680000000000007</v>
      </c>
      <c r="T1332">
        <v>242.28</v>
      </c>
      <c r="U1332">
        <f t="shared" si="40"/>
        <v>242.28</v>
      </c>
      <c r="V1332">
        <f t="shared" si="41"/>
        <v>0</v>
      </c>
      <c r="W1332" s="12" t="s">
        <v>109</v>
      </c>
      <c r="X1332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2" t="s">
        <v>136</v>
      </c>
      <c r="Z1332" s="2" t="s">
        <v>106</v>
      </c>
      <c r="AA1332" s="2" t="s">
        <v>130</v>
      </c>
      <c r="AB1332" s="2" t="s">
        <v>65</v>
      </c>
      <c r="AC1332" s="2">
        <v>44758</v>
      </c>
      <c r="AD1332" s="3">
        <v>2022</v>
      </c>
      <c r="AE1332" s="3">
        <v>23</v>
      </c>
      <c r="AF1332" s="5">
        <v>0.66</v>
      </c>
      <c r="AG1332" s="3"/>
      <c r="AH1332" t="s">
        <v>143</v>
      </c>
    </row>
    <row r="1333" spans="1:34" hidden="1" x14ac:dyDescent="0.35">
      <c r="A1333" t="str">
        <f>_xlfn.CONCAT(Tableau1[[#This Row],[Athletes]],"_",Tableau1[[#This Row],[Nationality]],"_",Tableau1[[#This Row],[Competition_year]])</f>
        <v>Cory Ann MCGEE_USA_2022</v>
      </c>
      <c r="B1333" t="s">
        <v>181</v>
      </c>
      <c r="C1333" t="s">
        <v>47</v>
      </c>
      <c r="D1333" t="s">
        <v>51</v>
      </c>
      <c r="E1333">
        <v>15.15</v>
      </c>
      <c r="F1333">
        <v>16.239999999999998</v>
      </c>
      <c r="G1333">
        <v>16.64</v>
      </c>
      <c r="H1333">
        <v>17.670000000000002</v>
      </c>
      <c r="I1333">
        <v>17.260000000000002</v>
      </c>
      <c r="J1333">
        <v>17.12</v>
      </c>
      <c r="K1333">
        <v>16.71</v>
      </c>
      <c r="L1333">
        <v>16.66</v>
      </c>
      <c r="M1333">
        <v>15.98</v>
      </c>
      <c r="N1333">
        <v>15.73</v>
      </c>
      <c r="O1333">
        <v>15.58</v>
      </c>
      <c r="P1333">
        <v>15.57</v>
      </c>
      <c r="Q1333">
        <v>15.09</v>
      </c>
      <c r="R1333">
        <v>15.51</v>
      </c>
      <c r="S1333">
        <f>Tableau1[[#This Row],[Final_time]]-SUM(Tableau1[[#This Row],[0_100m]:[1300_1400m]])</f>
        <v>15.830000000000013</v>
      </c>
      <c r="T1333">
        <v>242.74</v>
      </c>
      <c r="U1333">
        <f t="shared" si="40"/>
        <v>242.74</v>
      </c>
      <c r="V1333">
        <f t="shared" si="41"/>
        <v>0</v>
      </c>
      <c r="W1333" s="12" t="s">
        <v>109</v>
      </c>
      <c r="X1333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3" t="s">
        <v>136</v>
      </c>
      <c r="Z1333" s="2" t="s">
        <v>106</v>
      </c>
      <c r="AA1333" s="2" t="s">
        <v>130</v>
      </c>
      <c r="AB1333" s="2" t="s">
        <v>65</v>
      </c>
      <c r="AC1333" s="2">
        <v>44758</v>
      </c>
      <c r="AD1333" s="3">
        <v>2022</v>
      </c>
      <c r="AE1333" s="3">
        <v>23</v>
      </c>
      <c r="AF1333" s="5">
        <v>0.66</v>
      </c>
      <c r="AG1333" s="3"/>
      <c r="AH1333" t="s">
        <v>143</v>
      </c>
    </row>
    <row r="1334" spans="1:34" hidden="1" x14ac:dyDescent="0.35">
      <c r="A1334" t="str">
        <f>_xlfn.CONCAT(Tableau1[[#This Row],[Athletes]],"_",Tableau1[[#This Row],[Nationality]],"_",Tableau1[[#This Row],[Competition_year]])</f>
        <v>Hanna HERMANSSON_SWE_2022</v>
      </c>
      <c r="B1334" t="s">
        <v>173</v>
      </c>
      <c r="C1334" t="s">
        <v>47</v>
      </c>
      <c r="D1334" t="s">
        <v>56</v>
      </c>
      <c r="E1334">
        <v>15.66</v>
      </c>
      <c r="F1334">
        <v>16.54</v>
      </c>
      <c r="G1334">
        <v>16.600000000000001</v>
      </c>
      <c r="H1334">
        <v>16.809999999999999</v>
      </c>
      <c r="I1334">
        <v>18.260000000000002</v>
      </c>
      <c r="J1334">
        <v>17.23</v>
      </c>
      <c r="K1334">
        <v>16.649999999999999</v>
      </c>
      <c r="L1334">
        <v>15.97</v>
      </c>
      <c r="M1334">
        <v>16.940000000000001</v>
      </c>
      <c r="N1334">
        <v>16.04</v>
      </c>
      <c r="O1334">
        <v>16.149999999999999</v>
      </c>
      <c r="P1334">
        <v>16.13</v>
      </c>
      <c r="Q1334">
        <v>12</v>
      </c>
      <c r="R1334">
        <v>19.72</v>
      </c>
      <c r="S1334">
        <f>Tableau1[[#This Row],[Final_time]]-SUM(Tableau1[[#This Row],[0_100m]:[1300_1400m]])</f>
        <v>16</v>
      </c>
      <c r="T1334">
        <v>246.7</v>
      </c>
      <c r="U1334">
        <f t="shared" si="40"/>
        <v>246.7</v>
      </c>
      <c r="V1334">
        <f t="shared" si="41"/>
        <v>0</v>
      </c>
      <c r="W1334" s="12"/>
      <c r="X1334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4" t="s">
        <v>136</v>
      </c>
      <c r="Z1334" s="2" t="s">
        <v>106</v>
      </c>
      <c r="AA1334" s="2" t="s">
        <v>130</v>
      </c>
      <c r="AB1334" s="2" t="s">
        <v>65</v>
      </c>
      <c r="AC1334" s="2">
        <v>44758</v>
      </c>
      <c r="AD1334" s="3">
        <v>2022</v>
      </c>
      <c r="AE1334" s="3">
        <v>23</v>
      </c>
      <c r="AF1334" s="5">
        <v>0.66</v>
      </c>
      <c r="AG1334" s="3"/>
      <c r="AH1334" t="s">
        <v>143</v>
      </c>
    </row>
    <row r="1335" spans="1:34" hidden="1" x14ac:dyDescent="0.35">
      <c r="A1335" t="str">
        <f>_xlfn.CONCAT(Tableau1[[#This Row],[Athletes]],"_",Tableau1[[#This Row],[Nationality]],"_",Tableau1[[#This Row],[Competition_year]])</f>
        <v>Winny CHEBET_KEN_2022</v>
      </c>
      <c r="B1335" t="s">
        <v>139</v>
      </c>
      <c r="C1335" t="s">
        <v>47</v>
      </c>
      <c r="D1335" t="s">
        <v>17</v>
      </c>
      <c r="E1335">
        <v>15.11</v>
      </c>
      <c r="F1335">
        <v>16.48</v>
      </c>
      <c r="G1335">
        <v>16.66</v>
      </c>
      <c r="H1335">
        <v>17.64</v>
      </c>
      <c r="I1335">
        <v>17.579999999999998</v>
      </c>
      <c r="J1335">
        <v>17.14</v>
      </c>
      <c r="K1335">
        <v>16.61</v>
      </c>
      <c r="L1335">
        <v>16.649999999999999</v>
      </c>
      <c r="M1335">
        <v>15.42</v>
      </c>
      <c r="N1335">
        <v>15.72</v>
      </c>
      <c r="O1335">
        <v>15.38</v>
      </c>
      <c r="P1335">
        <v>15.45</v>
      </c>
      <c r="Q1335">
        <v>15.33</v>
      </c>
      <c r="R1335">
        <v>15.58</v>
      </c>
      <c r="S1335">
        <f>Tableau1[[#This Row],[Final_time]]-SUM(Tableau1[[#This Row],[0_100m]:[1300_1400m]])</f>
        <v>16.330000000000013</v>
      </c>
      <c r="T1335">
        <v>243.08</v>
      </c>
      <c r="U1335">
        <f t="shared" si="40"/>
        <v>243.08</v>
      </c>
      <c r="V1335">
        <f t="shared" si="41"/>
        <v>0</v>
      </c>
      <c r="W1335" s="12" t="s">
        <v>142</v>
      </c>
      <c r="X1335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5" t="s">
        <v>136</v>
      </c>
      <c r="Z1335" s="2" t="s">
        <v>106</v>
      </c>
      <c r="AA1335" s="2" t="s">
        <v>130</v>
      </c>
      <c r="AB1335" s="2" t="s">
        <v>65</v>
      </c>
      <c r="AC1335" s="2">
        <v>44758</v>
      </c>
      <c r="AD1335" s="3">
        <v>2022</v>
      </c>
      <c r="AE1335" s="3">
        <v>23</v>
      </c>
      <c r="AF1335" s="5">
        <v>0.66</v>
      </c>
      <c r="AG1335" s="3"/>
      <c r="AH1335" t="s">
        <v>143</v>
      </c>
    </row>
    <row r="1336" spans="1:34" hidden="1" x14ac:dyDescent="0.35">
      <c r="A1336" t="str">
        <f>_xlfn.CONCAT(Tableau1[[#This Row],[Athletes]],"_",Tableau1[[#This Row],[Nationality]],"_",Tableau1[[#This Row],[Competition_year]])</f>
        <v>Linden HALL_AUS_2022</v>
      </c>
      <c r="B1336" t="s">
        <v>184</v>
      </c>
      <c r="C1336" t="s">
        <v>47</v>
      </c>
      <c r="D1336" t="s">
        <v>21</v>
      </c>
      <c r="E1336">
        <v>15.3</v>
      </c>
      <c r="F1336">
        <v>16.25</v>
      </c>
      <c r="G1336">
        <v>16.62</v>
      </c>
      <c r="H1336">
        <v>17.55</v>
      </c>
      <c r="I1336">
        <v>17.149999999999999</v>
      </c>
      <c r="J1336">
        <v>17.059999999999999</v>
      </c>
      <c r="K1336">
        <v>16.78</v>
      </c>
      <c r="L1336">
        <v>16.64</v>
      </c>
      <c r="M1336">
        <v>15.83</v>
      </c>
      <c r="N1336">
        <v>16.12</v>
      </c>
      <c r="O1336">
        <v>15.57</v>
      </c>
      <c r="P1336">
        <v>15.48</v>
      </c>
      <c r="Q1336">
        <v>15.68</v>
      </c>
      <c r="R1336">
        <v>15.94</v>
      </c>
      <c r="S1336">
        <f>Tableau1[[#This Row],[Final_time]]-SUM(Tableau1[[#This Row],[0_100m]:[1300_1400m]])</f>
        <v>16.679999999999978</v>
      </c>
      <c r="T1336">
        <v>244.65</v>
      </c>
      <c r="U1336">
        <f t="shared" si="40"/>
        <v>244.65</v>
      </c>
      <c r="V1336">
        <f t="shared" si="41"/>
        <v>0</v>
      </c>
      <c r="W1336" s="12"/>
      <c r="X1336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6" t="s">
        <v>136</v>
      </c>
      <c r="Z1336" s="2" t="s">
        <v>106</v>
      </c>
      <c r="AA1336" s="2" t="s">
        <v>130</v>
      </c>
      <c r="AB1336" s="2" t="s">
        <v>65</v>
      </c>
      <c r="AC1336" s="2">
        <v>44758</v>
      </c>
      <c r="AD1336" s="3">
        <v>2022</v>
      </c>
      <c r="AE1336" s="3">
        <v>23</v>
      </c>
      <c r="AF1336" s="5">
        <v>0.66</v>
      </c>
      <c r="AG1336" s="3"/>
      <c r="AH1336" t="s">
        <v>143</v>
      </c>
    </row>
    <row r="1337" spans="1:34" hidden="1" x14ac:dyDescent="0.35">
      <c r="A1337" t="str">
        <f>_xlfn.CONCAT(Tableau1[[#This Row],[Athletes]],"_",Tableau1[[#This Row],[Nationality]],"_",Tableau1[[#This Row],[Competition_year]])</f>
        <v>Elle ST. PIERRE_USA_2022</v>
      </c>
      <c r="B1337" t="s">
        <v>247</v>
      </c>
      <c r="C1337" t="s">
        <v>47</v>
      </c>
      <c r="D1337" t="s">
        <v>51</v>
      </c>
      <c r="E1337">
        <v>15.24</v>
      </c>
      <c r="F1337">
        <v>16.47</v>
      </c>
      <c r="G1337">
        <v>16.73</v>
      </c>
      <c r="H1337">
        <v>17.52</v>
      </c>
      <c r="I1337">
        <v>17.39</v>
      </c>
      <c r="J1337">
        <v>16.93</v>
      </c>
      <c r="K1337">
        <v>16.73</v>
      </c>
      <c r="L1337">
        <v>16.73</v>
      </c>
      <c r="M1337">
        <v>15.95</v>
      </c>
      <c r="N1337">
        <v>16.05</v>
      </c>
      <c r="O1337">
        <v>15.67</v>
      </c>
      <c r="P1337">
        <v>16.41</v>
      </c>
      <c r="Q1337">
        <v>16.87</v>
      </c>
      <c r="R1337">
        <v>17.27</v>
      </c>
      <c r="S1337">
        <f>Tableau1[[#This Row],[Final_time]]-SUM(Tableau1[[#This Row],[0_100m]:[1300_1400m]])</f>
        <v>17.879999999999995</v>
      </c>
      <c r="T1337">
        <v>249.84</v>
      </c>
      <c r="U1337">
        <f t="shared" si="40"/>
        <v>249.84</v>
      </c>
      <c r="V1337">
        <f t="shared" si="41"/>
        <v>0</v>
      </c>
      <c r="W1337" s="12"/>
      <c r="X1337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7" t="s">
        <v>136</v>
      </c>
      <c r="Z1337" s="2" t="s">
        <v>106</v>
      </c>
      <c r="AA1337" s="2" t="s">
        <v>130</v>
      </c>
      <c r="AB1337" s="2" t="s">
        <v>65</v>
      </c>
      <c r="AC1337" s="2">
        <v>44758</v>
      </c>
      <c r="AD1337" s="3">
        <v>2022</v>
      </c>
      <c r="AE1337" s="3">
        <v>23</v>
      </c>
      <c r="AF1337" s="5">
        <v>0.66</v>
      </c>
      <c r="AG1337" s="3"/>
      <c r="AH1337" t="s">
        <v>143</v>
      </c>
    </row>
    <row r="1338" spans="1:34" hidden="1" x14ac:dyDescent="0.35">
      <c r="A1338" t="str">
        <f>_xlfn.CONCAT(Tableau1[[#This Row],[Athletes]],"_",Tableau1[[#This Row],[Nationality]],"_",Tableau1[[#This Row],[Competition_year]])</f>
        <v>Kristiina SASÍNEK MÄKI_CZE_2022</v>
      </c>
      <c r="B1338" t="s">
        <v>1046</v>
      </c>
      <c r="C1338" t="s">
        <v>47</v>
      </c>
      <c r="D1338" t="s">
        <v>140</v>
      </c>
      <c r="E1338">
        <v>15.6</v>
      </c>
      <c r="F1338">
        <v>16.3</v>
      </c>
      <c r="G1338">
        <v>16.77</v>
      </c>
      <c r="H1338">
        <v>17.05</v>
      </c>
      <c r="I1338">
        <v>17.93</v>
      </c>
      <c r="J1338">
        <v>17.25</v>
      </c>
      <c r="K1338">
        <v>16.54</v>
      </c>
      <c r="L1338">
        <v>15.91</v>
      </c>
      <c r="M1338">
        <v>17.32</v>
      </c>
      <c r="N1338">
        <v>17.12</v>
      </c>
      <c r="O1338">
        <v>17.559999999999999</v>
      </c>
      <c r="P1338">
        <v>18.47</v>
      </c>
      <c r="Q1338">
        <v>18.04</v>
      </c>
      <c r="R1338">
        <v>19.22</v>
      </c>
      <c r="S1338">
        <f>Tableau1[[#This Row],[Final_time]]-SUM(Tableau1[[#This Row],[0_100m]:[1300_1400m]])</f>
        <v>20.590000000000032</v>
      </c>
      <c r="T1338">
        <v>261.67</v>
      </c>
      <c r="U1338">
        <f t="shared" si="40"/>
        <v>261.67</v>
      </c>
      <c r="V1338">
        <f t="shared" si="41"/>
        <v>0</v>
      </c>
      <c r="W1338" s="12"/>
      <c r="X1338" t="str">
        <f>_xlfn.CONCAT(Tableau1[[#This Row],[Competition]],"_",Tableau1[[#This Row],[Championship_step]],"_",Tableau1[[#This Row],[Competition_date]],"_",Tableau1[[#This Row],[Gender]])</f>
        <v>World Championships Eugene 2022_Semi 1_44758_Female</v>
      </c>
      <c r="Y1338" t="s">
        <v>136</v>
      </c>
      <c r="Z1338" s="2" t="s">
        <v>106</v>
      </c>
      <c r="AA1338" s="2" t="s">
        <v>130</v>
      </c>
      <c r="AB1338" s="2" t="s">
        <v>65</v>
      </c>
      <c r="AC1338" s="2">
        <v>44758</v>
      </c>
      <c r="AD1338" s="3">
        <v>2022</v>
      </c>
      <c r="AE1338" s="3">
        <v>23</v>
      </c>
      <c r="AF1338" s="5">
        <v>0.66</v>
      </c>
      <c r="AG1338" s="3"/>
      <c r="AH1338" t="s">
        <v>143</v>
      </c>
    </row>
    <row r="1339" spans="1:34" hidden="1" x14ac:dyDescent="0.35">
      <c r="A1339" t="str">
        <f>_xlfn.CONCAT(Tableau1[[#This Row],[Athletes]],"_",Tableau1[[#This Row],[Nationality]],"_",Tableau1[[#This Row],[Competition_year]])</f>
        <v>Josh KERR_GBR_2022</v>
      </c>
      <c r="B1339" t="s">
        <v>189</v>
      </c>
      <c r="C1339" t="s">
        <v>16</v>
      </c>
      <c r="D1339" t="s">
        <v>20</v>
      </c>
      <c r="E1339">
        <v>13.63</v>
      </c>
      <c r="F1339">
        <v>14.64</v>
      </c>
      <c r="G1339">
        <v>14.81</v>
      </c>
      <c r="H1339">
        <v>15.01</v>
      </c>
      <c r="I1339">
        <v>15.53</v>
      </c>
      <c r="J1339">
        <v>15.98</v>
      </c>
      <c r="K1339">
        <v>14.84</v>
      </c>
      <c r="L1339">
        <v>15</v>
      </c>
      <c r="M1339">
        <v>14.38</v>
      </c>
      <c r="N1339">
        <v>14.45</v>
      </c>
      <c r="O1339">
        <v>14.1</v>
      </c>
      <c r="P1339">
        <v>13.97</v>
      </c>
      <c r="Q1339">
        <v>13.71</v>
      </c>
      <c r="R1339">
        <v>13.78</v>
      </c>
      <c r="S1339">
        <f>Tableau1[[#This Row],[Final_time]]-SUM(Tableau1[[#This Row],[0_100m]:[1300_1400m]])</f>
        <v>13.089999999999975</v>
      </c>
      <c r="T1339">
        <v>216.92</v>
      </c>
      <c r="U1339">
        <f t="shared" si="40"/>
        <v>216.92</v>
      </c>
      <c r="V1339">
        <f t="shared" si="41"/>
        <v>0</v>
      </c>
      <c r="W1339" s="12" t="s">
        <v>109</v>
      </c>
      <c r="X1339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39" t="s">
        <v>136</v>
      </c>
      <c r="Z1339" s="2" t="s">
        <v>106</v>
      </c>
      <c r="AA1339" s="2" t="s">
        <v>130</v>
      </c>
      <c r="AB1339" s="2" t="s">
        <v>65</v>
      </c>
      <c r="AC1339" s="2">
        <v>44759</v>
      </c>
      <c r="AD1339" s="3">
        <v>2022</v>
      </c>
      <c r="AE1339" s="3">
        <v>25</v>
      </c>
      <c r="AF1339" s="5">
        <v>0.44</v>
      </c>
      <c r="AG1339" s="3"/>
      <c r="AH1339" s="4" t="s">
        <v>148</v>
      </c>
    </row>
    <row r="1340" spans="1:34" hidden="1" x14ac:dyDescent="0.35">
      <c r="A1340" t="str">
        <f>_xlfn.CONCAT(Tableau1[[#This Row],[Athletes]],"_",Tableau1[[#This Row],[Nationality]],"_",Tableau1[[#This Row],[Competition_year]])</f>
        <v>Ignacio FONTES_ESP_2022</v>
      </c>
      <c r="B1340" t="s">
        <v>251</v>
      </c>
      <c r="C1340" t="s">
        <v>16</v>
      </c>
      <c r="D1340" t="s">
        <v>22</v>
      </c>
      <c r="E1340">
        <v>13.71</v>
      </c>
      <c r="F1340">
        <v>14.6</v>
      </c>
      <c r="G1340">
        <v>14.73</v>
      </c>
      <c r="H1340">
        <v>15.16</v>
      </c>
      <c r="I1340">
        <v>15.73</v>
      </c>
      <c r="J1340">
        <v>15.86</v>
      </c>
      <c r="K1340">
        <v>14.79</v>
      </c>
      <c r="L1340">
        <v>15.07</v>
      </c>
      <c r="M1340">
        <v>14.69</v>
      </c>
      <c r="N1340">
        <v>14.61</v>
      </c>
      <c r="O1340">
        <v>14.07</v>
      </c>
      <c r="P1340">
        <v>13.91</v>
      </c>
      <c r="Q1340">
        <v>13.66</v>
      </c>
      <c r="R1340">
        <v>13.39</v>
      </c>
      <c r="S1340">
        <f>Tableau1[[#This Row],[Final_time]]-SUM(Tableau1[[#This Row],[0_100m]:[1300_1400m]])</f>
        <v>13.230000000000047</v>
      </c>
      <c r="T1340">
        <v>217.21</v>
      </c>
      <c r="U1340">
        <f t="shared" si="40"/>
        <v>217.21</v>
      </c>
      <c r="V1340">
        <f t="shared" si="41"/>
        <v>0</v>
      </c>
      <c r="W1340" s="12" t="s">
        <v>109</v>
      </c>
      <c r="X1340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0" t="s">
        <v>136</v>
      </c>
      <c r="Z1340" s="2" t="s">
        <v>106</v>
      </c>
      <c r="AA1340" s="2" t="s">
        <v>130</v>
      </c>
      <c r="AB1340" s="2" t="s">
        <v>65</v>
      </c>
      <c r="AC1340" s="2">
        <v>44759</v>
      </c>
      <c r="AD1340" s="3">
        <v>2022</v>
      </c>
      <c r="AE1340" s="3">
        <v>25</v>
      </c>
      <c r="AF1340" s="5">
        <v>0.44</v>
      </c>
      <c r="AG1340" s="3"/>
      <c r="AH1340" s="4" t="s">
        <v>148</v>
      </c>
    </row>
    <row r="1341" spans="1:34" hidden="1" x14ac:dyDescent="0.35">
      <c r="A1341" t="str">
        <f>_xlfn.CONCAT(Tableau1[[#This Row],[Athletes]],"_",Tableau1[[#This Row],[Nationality]],"_",Tableau1[[#This Row],[Competition_year]])</f>
        <v>Mario GARCÍA_ESP_2022</v>
      </c>
      <c r="B1341" t="s">
        <v>117</v>
      </c>
      <c r="C1341" t="s">
        <v>16</v>
      </c>
      <c r="D1341" t="s">
        <v>22</v>
      </c>
      <c r="E1341">
        <v>13.48</v>
      </c>
      <c r="F1341">
        <v>14.68</v>
      </c>
      <c r="G1341">
        <v>14.78</v>
      </c>
      <c r="H1341">
        <v>14.99</v>
      </c>
      <c r="I1341">
        <v>15.94</v>
      </c>
      <c r="J1341">
        <v>15.96</v>
      </c>
      <c r="K1341">
        <v>14.75</v>
      </c>
      <c r="L1341">
        <v>15.14</v>
      </c>
      <c r="M1341">
        <v>14.46</v>
      </c>
      <c r="N1341">
        <v>14.19</v>
      </c>
      <c r="O1341">
        <v>14.2</v>
      </c>
      <c r="P1341">
        <v>13.86</v>
      </c>
      <c r="Q1341">
        <v>13.58</v>
      </c>
      <c r="R1341">
        <v>13.59</v>
      </c>
      <c r="S1341">
        <f>Tableau1[[#This Row],[Final_time]]-SUM(Tableau1[[#This Row],[0_100m]:[1300_1400m]])</f>
        <v>13.409999999999968</v>
      </c>
      <c r="T1341">
        <v>217.01</v>
      </c>
      <c r="U1341">
        <f t="shared" si="40"/>
        <v>217.01</v>
      </c>
      <c r="V1341">
        <f t="shared" si="41"/>
        <v>0</v>
      </c>
      <c r="W1341" s="12" t="s">
        <v>109</v>
      </c>
      <c r="X1341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1" t="s">
        <v>136</v>
      </c>
      <c r="Z1341" s="2" t="s">
        <v>106</v>
      </c>
      <c r="AA1341" s="2" t="s">
        <v>130</v>
      </c>
      <c r="AB1341" s="2" t="s">
        <v>65</v>
      </c>
      <c r="AC1341" s="2">
        <v>44759</v>
      </c>
      <c r="AD1341" s="3">
        <v>2022</v>
      </c>
      <c r="AE1341" s="3">
        <v>25</v>
      </c>
      <c r="AF1341" s="5">
        <v>0.44</v>
      </c>
      <c r="AG1341" s="3"/>
      <c r="AH1341" s="4" t="s">
        <v>148</v>
      </c>
    </row>
    <row r="1342" spans="1:34" hidden="1" x14ac:dyDescent="0.35">
      <c r="A1342" t="str">
        <f>_xlfn.CONCAT(Tableau1[[#This Row],[Athletes]],"_",Tableau1[[#This Row],[Nationality]],"_",Tableau1[[#This Row],[Competition_year]])</f>
        <v>Charles PHILIBERT-THIBOUTOT_CAN_2022</v>
      </c>
      <c r="B1342" t="s">
        <v>113</v>
      </c>
      <c r="C1342" t="s">
        <v>16</v>
      </c>
      <c r="D1342" t="s">
        <v>55</v>
      </c>
      <c r="E1342">
        <v>13.78</v>
      </c>
      <c r="F1342">
        <v>14.62</v>
      </c>
      <c r="G1342">
        <v>14.78</v>
      </c>
      <c r="H1342">
        <v>15.12</v>
      </c>
      <c r="I1342">
        <v>15.5</v>
      </c>
      <c r="J1342">
        <v>15.95</v>
      </c>
      <c r="K1342">
        <v>14.9</v>
      </c>
      <c r="L1342">
        <v>14.99</v>
      </c>
      <c r="M1342">
        <v>14.38</v>
      </c>
      <c r="N1342">
        <v>14.43</v>
      </c>
      <c r="O1342">
        <v>14.15</v>
      </c>
      <c r="P1342">
        <v>13.94</v>
      </c>
      <c r="Q1342">
        <v>13.29</v>
      </c>
      <c r="R1342">
        <v>13.88</v>
      </c>
      <c r="S1342">
        <f>Tableau1[[#This Row],[Final_time]]-SUM(Tableau1[[#This Row],[0_100m]:[1300_1400m]])</f>
        <v>13.579999999999984</v>
      </c>
      <c r="T1342">
        <v>217.29</v>
      </c>
      <c r="U1342">
        <f t="shared" si="40"/>
        <v>217.29</v>
      </c>
      <c r="V1342">
        <f t="shared" si="41"/>
        <v>0</v>
      </c>
      <c r="W1342" s="12"/>
      <c r="X1342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2" t="s">
        <v>136</v>
      </c>
      <c r="Z1342" s="2" t="s">
        <v>106</v>
      </c>
      <c r="AA1342" s="2" t="s">
        <v>130</v>
      </c>
      <c r="AB1342" s="2" t="s">
        <v>65</v>
      </c>
      <c r="AC1342" s="2">
        <v>44759</v>
      </c>
      <c r="AD1342" s="3">
        <v>2022</v>
      </c>
      <c r="AE1342" s="3">
        <v>25</v>
      </c>
      <c r="AF1342" s="5">
        <v>0.44</v>
      </c>
      <c r="AG1342" s="3"/>
      <c r="AH1342" s="4" t="s">
        <v>148</v>
      </c>
    </row>
    <row r="1343" spans="1:34" hidden="1" x14ac:dyDescent="0.35">
      <c r="A1343" t="str">
        <f>_xlfn.CONCAT(Tableau1[[#This Row],[Athletes]],"_",Tableau1[[#This Row],[Nationality]],"_",Tableau1[[#This Row],[Competition_year]])</f>
        <v>John GREGOREK_USA_2022</v>
      </c>
      <c r="B1343" t="s">
        <v>255</v>
      </c>
      <c r="C1343" t="s">
        <v>16</v>
      </c>
      <c r="D1343" t="s">
        <v>51</v>
      </c>
      <c r="E1343">
        <v>13.93</v>
      </c>
      <c r="F1343">
        <v>14.76</v>
      </c>
      <c r="G1343">
        <v>14.62</v>
      </c>
      <c r="H1343">
        <v>15.06</v>
      </c>
      <c r="I1343">
        <v>15.67</v>
      </c>
      <c r="J1343">
        <v>15.99</v>
      </c>
      <c r="K1343">
        <v>14.75</v>
      </c>
      <c r="L1343">
        <v>15.06</v>
      </c>
      <c r="M1343">
        <v>14.62</v>
      </c>
      <c r="N1343">
        <v>14.31</v>
      </c>
      <c r="O1343">
        <v>13.92</v>
      </c>
      <c r="P1343">
        <v>14.13</v>
      </c>
      <c r="Q1343">
        <v>13.41</v>
      </c>
      <c r="R1343">
        <v>13.49</v>
      </c>
      <c r="S1343">
        <f>Tableau1[[#This Row],[Final_time]]-SUM(Tableau1[[#This Row],[0_100m]:[1300_1400m]])</f>
        <v>13.630000000000024</v>
      </c>
      <c r="T1343">
        <v>217.35</v>
      </c>
      <c r="U1343">
        <f t="shared" si="40"/>
        <v>217.35</v>
      </c>
      <c r="V1343">
        <f t="shared" si="41"/>
        <v>0</v>
      </c>
      <c r="W1343" s="12"/>
      <c r="X1343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3" t="s">
        <v>136</v>
      </c>
      <c r="Z1343" s="2" t="s">
        <v>106</v>
      </c>
      <c r="AA1343" s="2" t="s">
        <v>130</v>
      </c>
      <c r="AB1343" s="2" t="s">
        <v>65</v>
      </c>
      <c r="AC1343" s="2">
        <v>44759</v>
      </c>
      <c r="AD1343" s="3">
        <v>2022</v>
      </c>
      <c r="AE1343" s="3">
        <v>25</v>
      </c>
      <c r="AF1343" s="5">
        <v>0.44</v>
      </c>
      <c r="AG1343" s="3"/>
      <c r="AH1343" s="4" t="s">
        <v>148</v>
      </c>
    </row>
    <row r="1344" spans="1:34" hidden="1" x14ac:dyDescent="0.35">
      <c r="A1344" t="str">
        <f>_xlfn.CONCAT(Tableau1[[#This Row],[Athletes]],"_",Tableau1[[#This Row],[Nationality]],"_",Tableau1[[#This Row],[Competition_year]])</f>
        <v>Timothy CHERUIYOT_KEN_2022</v>
      </c>
      <c r="B1344" t="s">
        <v>205</v>
      </c>
      <c r="C1344" t="s">
        <v>16</v>
      </c>
      <c r="D1344" t="s">
        <v>17</v>
      </c>
      <c r="E1344">
        <v>13.33</v>
      </c>
      <c r="F1344">
        <v>14.51</v>
      </c>
      <c r="G1344">
        <v>14.74</v>
      </c>
      <c r="H1344">
        <v>15.05</v>
      </c>
      <c r="I1344">
        <v>15.99</v>
      </c>
      <c r="J1344">
        <v>15.67</v>
      </c>
      <c r="K1344">
        <v>14.97</v>
      </c>
      <c r="L1344">
        <v>15.09</v>
      </c>
      <c r="M1344">
        <v>14.61</v>
      </c>
      <c r="N1344">
        <v>14.31</v>
      </c>
      <c r="O1344">
        <v>14.09</v>
      </c>
      <c r="P1344">
        <v>13.95</v>
      </c>
      <c r="Q1344">
        <v>13.44</v>
      </c>
      <c r="R1344">
        <v>13.56</v>
      </c>
      <c r="S1344">
        <f>Tableau1[[#This Row],[Final_time]]-SUM(Tableau1[[#This Row],[0_100m]:[1300_1400m]])</f>
        <v>13.730000000000018</v>
      </c>
      <c r="T1344">
        <v>217.04</v>
      </c>
      <c r="U1344">
        <f t="shared" si="40"/>
        <v>217.04</v>
      </c>
      <c r="V1344">
        <f t="shared" si="41"/>
        <v>0</v>
      </c>
      <c r="W1344" s="12" t="s">
        <v>109</v>
      </c>
      <c r="X1344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4" t="s">
        <v>136</v>
      </c>
      <c r="Z1344" s="2" t="s">
        <v>106</v>
      </c>
      <c r="AA1344" s="2" t="s">
        <v>130</v>
      </c>
      <c r="AB1344" s="2" t="s">
        <v>65</v>
      </c>
      <c r="AC1344" s="2">
        <v>44759</v>
      </c>
      <c r="AD1344" s="3">
        <v>2022</v>
      </c>
      <c r="AE1344" s="3">
        <v>25</v>
      </c>
      <c r="AF1344" s="5">
        <v>0.44</v>
      </c>
      <c r="AG1344" s="3"/>
      <c r="AH1344" s="4" t="s">
        <v>148</v>
      </c>
    </row>
    <row r="1345" spans="1:34" hidden="1" x14ac:dyDescent="0.35">
      <c r="A1345" t="str">
        <f>_xlfn.CONCAT(Tableau1[[#This Row],[Athletes]],"_",Tableau1[[#This Row],[Nationality]],"_",Tableau1[[#This Row],[Competition_year]])</f>
        <v>Jakob INGEBRIGTSEN_NOR_2022</v>
      </c>
      <c r="B1345" t="s">
        <v>151</v>
      </c>
      <c r="C1345" t="s">
        <v>16</v>
      </c>
      <c r="D1345" t="s">
        <v>30</v>
      </c>
      <c r="E1345">
        <v>14.33</v>
      </c>
      <c r="F1345">
        <v>14.01</v>
      </c>
      <c r="G1345">
        <v>14.12</v>
      </c>
      <c r="H1345">
        <v>15.13</v>
      </c>
      <c r="I1345">
        <v>15.81</v>
      </c>
      <c r="J1345">
        <v>15.81</v>
      </c>
      <c r="K1345">
        <v>14.95</v>
      </c>
      <c r="L1345">
        <v>14.84</v>
      </c>
      <c r="M1345">
        <v>14.49</v>
      </c>
      <c r="N1345">
        <v>14.44</v>
      </c>
      <c r="O1345">
        <v>14.1</v>
      </c>
      <c r="P1345">
        <v>14.03</v>
      </c>
      <c r="Q1345">
        <v>13.73</v>
      </c>
      <c r="R1345">
        <v>13.47</v>
      </c>
      <c r="S1345">
        <f>Tableau1[[#This Row],[Final_time]]-SUM(Tableau1[[#This Row],[0_100m]:[1300_1400m]])</f>
        <v>13.760000000000019</v>
      </c>
      <c r="T1345">
        <v>217.02</v>
      </c>
      <c r="U1345">
        <f t="shared" si="40"/>
        <v>217.02</v>
      </c>
      <c r="V1345">
        <f t="shared" si="41"/>
        <v>0</v>
      </c>
      <c r="W1345" s="12" t="s">
        <v>109</v>
      </c>
      <c r="X1345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5" t="s">
        <v>136</v>
      </c>
      <c r="Z1345" s="2" t="s">
        <v>106</v>
      </c>
      <c r="AA1345" s="2" t="s">
        <v>130</v>
      </c>
      <c r="AB1345" s="2" t="s">
        <v>65</v>
      </c>
      <c r="AC1345" s="2">
        <v>44759</v>
      </c>
      <c r="AD1345" s="3">
        <v>2022</v>
      </c>
      <c r="AE1345" s="3">
        <v>25</v>
      </c>
      <c r="AF1345" s="5">
        <v>0.44</v>
      </c>
      <c r="AG1345" s="3"/>
      <c r="AH1345" s="4" t="s">
        <v>148</v>
      </c>
    </row>
    <row r="1346" spans="1:34" hidden="1" x14ac:dyDescent="0.35">
      <c r="A1346" t="str">
        <f>_xlfn.CONCAT(Tableau1[[#This Row],[Athletes]],"_",Tableau1[[#This Row],[Nationality]],"_",Tableau1[[#This Row],[Competition_year]])</f>
        <v>Neil GOURLEY_GBR_2022</v>
      </c>
      <c r="B1346" t="s">
        <v>202</v>
      </c>
      <c r="C1346" t="s">
        <v>16</v>
      </c>
      <c r="D1346" t="s">
        <v>20</v>
      </c>
      <c r="E1346">
        <v>13.34</v>
      </c>
      <c r="F1346">
        <v>14.64</v>
      </c>
      <c r="G1346">
        <v>14.77</v>
      </c>
      <c r="H1346">
        <v>15.01</v>
      </c>
      <c r="I1346">
        <v>15.95</v>
      </c>
      <c r="J1346">
        <v>15.94</v>
      </c>
      <c r="K1346">
        <v>14.62</v>
      </c>
      <c r="L1346">
        <v>15.01</v>
      </c>
      <c r="M1346">
        <v>14.33</v>
      </c>
      <c r="N1346">
        <v>14.48</v>
      </c>
      <c r="O1346">
        <v>14.13</v>
      </c>
      <c r="P1346">
        <v>14.02</v>
      </c>
      <c r="Q1346">
        <v>13.71</v>
      </c>
      <c r="R1346">
        <v>13.48</v>
      </c>
      <c r="S1346">
        <f>Tableau1[[#This Row],[Final_time]]-SUM(Tableau1[[#This Row],[0_100m]:[1300_1400m]])</f>
        <v>13.789999999999992</v>
      </c>
      <c r="T1346">
        <v>217.22</v>
      </c>
      <c r="U1346">
        <f t="shared" ref="U1346:U1409" si="42">SUM(E1346:S1346)</f>
        <v>217.22</v>
      </c>
      <c r="V1346">
        <f t="shared" ref="V1346:V1409" si="43">ABS(U1346-T1346)</f>
        <v>0</v>
      </c>
      <c r="W1346" s="12"/>
      <c r="X1346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6" t="s">
        <v>136</v>
      </c>
      <c r="Z1346" s="2" t="s">
        <v>106</v>
      </c>
      <c r="AA1346" s="2" t="s">
        <v>130</v>
      </c>
      <c r="AB1346" s="2" t="s">
        <v>65</v>
      </c>
      <c r="AC1346" s="2">
        <v>44759</v>
      </c>
      <c r="AD1346" s="3">
        <v>2022</v>
      </c>
      <c r="AE1346" s="3">
        <v>25</v>
      </c>
      <c r="AF1346" s="5">
        <v>0.44</v>
      </c>
      <c r="AG1346" s="3"/>
      <c r="AH1346" s="4" t="s">
        <v>148</v>
      </c>
    </row>
    <row r="1347" spans="1:34" hidden="1" x14ac:dyDescent="0.35">
      <c r="A1347" t="str">
        <f>_xlfn.CONCAT(Tableau1[[#This Row],[Athletes]],"_",Tableau1[[#This Row],[Nationality]],"_",Tableau1[[#This Row],[Competition_year]])</f>
        <v>Samuel TEFERA_ETH_2022</v>
      </c>
      <c r="B1347" t="s">
        <v>250</v>
      </c>
      <c r="C1347" t="s">
        <v>16</v>
      </c>
      <c r="D1347" t="s">
        <v>48</v>
      </c>
      <c r="E1347">
        <v>13.9</v>
      </c>
      <c r="F1347">
        <v>14.34</v>
      </c>
      <c r="G1347">
        <v>14.31</v>
      </c>
      <c r="H1347">
        <v>15.12</v>
      </c>
      <c r="I1347">
        <v>15.84</v>
      </c>
      <c r="J1347">
        <v>15.79</v>
      </c>
      <c r="K1347">
        <v>14.88</v>
      </c>
      <c r="L1347">
        <v>14.79</v>
      </c>
      <c r="M1347">
        <v>14.59</v>
      </c>
      <c r="N1347">
        <v>14.41</v>
      </c>
      <c r="O1347">
        <v>14.09</v>
      </c>
      <c r="P1347">
        <v>13.99</v>
      </c>
      <c r="Q1347">
        <v>13.72</v>
      </c>
      <c r="R1347">
        <v>13.74</v>
      </c>
      <c r="S1347">
        <f>Tableau1[[#This Row],[Final_time]]-SUM(Tableau1[[#This Row],[0_100m]:[1300_1400m]])</f>
        <v>14.199999999999989</v>
      </c>
      <c r="T1347">
        <v>217.71</v>
      </c>
      <c r="U1347">
        <f t="shared" si="42"/>
        <v>217.71</v>
      </c>
      <c r="V1347">
        <f t="shared" si="43"/>
        <v>0</v>
      </c>
      <c r="W1347" s="12"/>
      <c r="X1347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7" t="s">
        <v>136</v>
      </c>
      <c r="Z1347" s="2" t="s">
        <v>106</v>
      </c>
      <c r="AA1347" s="2" t="s">
        <v>130</v>
      </c>
      <c r="AB1347" s="2" t="s">
        <v>65</v>
      </c>
      <c r="AC1347" s="2">
        <v>44759</v>
      </c>
      <c r="AD1347" s="3">
        <v>2022</v>
      </c>
      <c r="AE1347" s="3">
        <v>25</v>
      </c>
      <c r="AF1347" s="5">
        <v>0.44</v>
      </c>
      <c r="AG1347" s="3"/>
      <c r="AH1347" s="4" t="s">
        <v>148</v>
      </c>
    </row>
    <row r="1348" spans="1:34" hidden="1" x14ac:dyDescent="0.35">
      <c r="A1348" t="str">
        <f>_xlfn.CONCAT(Tableau1[[#This Row],[Athletes]],"_",Tableau1[[#This Row],[Nationality]],"_",Tableau1[[#This Row],[Competition_year]])</f>
        <v>Oliver HOARE_AUS_2022</v>
      </c>
      <c r="B1348" t="s">
        <v>249</v>
      </c>
      <c r="C1348" t="s">
        <v>16</v>
      </c>
      <c r="D1348" t="s">
        <v>21</v>
      </c>
      <c r="E1348">
        <v>13.39</v>
      </c>
      <c r="F1348">
        <v>14.49</v>
      </c>
      <c r="G1348">
        <v>14.8</v>
      </c>
      <c r="H1348">
        <v>14.98</v>
      </c>
      <c r="I1348">
        <v>15.7</v>
      </c>
      <c r="J1348">
        <v>15.87</v>
      </c>
      <c r="K1348">
        <v>15.17</v>
      </c>
      <c r="L1348">
        <v>14.74</v>
      </c>
      <c r="M1348">
        <v>14.51</v>
      </c>
      <c r="N1348">
        <v>14.42</v>
      </c>
      <c r="O1348">
        <v>14.06</v>
      </c>
      <c r="P1348">
        <v>14.01</v>
      </c>
      <c r="Q1348">
        <v>13.84</v>
      </c>
      <c r="R1348">
        <v>13.57</v>
      </c>
      <c r="S1348">
        <f>Tableau1[[#This Row],[Final_time]]-SUM(Tableau1[[#This Row],[0_100m]:[1300_1400m]])</f>
        <v>14.810000000000031</v>
      </c>
      <c r="T1348">
        <v>218.36</v>
      </c>
      <c r="U1348">
        <f t="shared" si="42"/>
        <v>218.36</v>
      </c>
      <c r="V1348">
        <f t="shared" si="43"/>
        <v>0</v>
      </c>
      <c r="W1348" s="12"/>
      <c r="X1348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8" t="s">
        <v>136</v>
      </c>
      <c r="Z1348" s="2" t="s">
        <v>106</v>
      </c>
      <c r="AA1348" s="2" t="s">
        <v>130</v>
      </c>
      <c r="AB1348" s="2" t="s">
        <v>65</v>
      </c>
      <c r="AC1348" s="2">
        <v>44759</v>
      </c>
      <c r="AD1348" s="3">
        <v>2022</v>
      </c>
      <c r="AE1348" s="3">
        <v>25</v>
      </c>
      <c r="AF1348" s="5">
        <v>0.44</v>
      </c>
      <c r="AG1348" s="3"/>
      <c r="AH1348" s="4" t="s">
        <v>148</v>
      </c>
    </row>
    <row r="1349" spans="1:34" hidden="1" x14ac:dyDescent="0.35">
      <c r="A1349" t="str">
        <f>_xlfn.CONCAT(Tableau1[[#This Row],[Athletes]],"_",Tableau1[[#This Row],[Nationality]],"_",Tableau1[[#This Row],[Competition_year]])</f>
        <v>Charles GRETHEN_LUX_2022</v>
      </c>
      <c r="B1349" t="s">
        <v>230</v>
      </c>
      <c r="C1349" t="s">
        <v>16</v>
      </c>
      <c r="D1349" t="s">
        <v>76</v>
      </c>
      <c r="E1349">
        <v>13.49</v>
      </c>
      <c r="F1349">
        <v>14.58</v>
      </c>
      <c r="G1349">
        <v>14.78</v>
      </c>
      <c r="H1349">
        <v>15</v>
      </c>
      <c r="I1349">
        <v>15.65</v>
      </c>
      <c r="J1349">
        <v>16.05</v>
      </c>
      <c r="K1349">
        <v>14.68</v>
      </c>
      <c r="L1349">
        <v>14.8</v>
      </c>
      <c r="M1349">
        <v>14.64</v>
      </c>
      <c r="N1349">
        <v>14.53</v>
      </c>
      <c r="O1349">
        <v>14.24</v>
      </c>
      <c r="P1349">
        <v>14.24</v>
      </c>
      <c r="Q1349">
        <v>14.03</v>
      </c>
      <c r="R1349">
        <v>14.16</v>
      </c>
      <c r="S1349">
        <f>Tableau1[[#This Row],[Final_time]]-SUM(Tableau1[[#This Row],[0_100m]:[1300_1400m]])</f>
        <v>15.539999999999992</v>
      </c>
      <c r="T1349">
        <v>220.41</v>
      </c>
      <c r="U1349">
        <f t="shared" si="42"/>
        <v>220.41</v>
      </c>
      <c r="V1349">
        <f t="shared" si="43"/>
        <v>0</v>
      </c>
      <c r="W1349" s="12"/>
      <c r="X1349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49" t="s">
        <v>136</v>
      </c>
      <c r="Z1349" s="2" t="s">
        <v>106</v>
      </c>
      <c r="AA1349" s="2" t="s">
        <v>130</v>
      </c>
      <c r="AB1349" s="2" t="s">
        <v>65</v>
      </c>
      <c r="AC1349" s="2">
        <v>44759</v>
      </c>
      <c r="AD1349" s="3">
        <v>2022</v>
      </c>
      <c r="AE1349" s="3">
        <v>25</v>
      </c>
      <c r="AF1349" s="5">
        <v>0.44</v>
      </c>
      <c r="AG1349" s="3"/>
      <c r="AH1349" s="4" t="s">
        <v>148</v>
      </c>
    </row>
    <row r="1350" spans="1:34" hidden="1" x14ac:dyDescent="0.35">
      <c r="A1350" t="str">
        <f>_xlfn.CONCAT(Tableau1[[#This Row],[Athletes]],"_",Tableau1[[#This Row],[Nationality]],"_",Tableau1[[#This Row],[Competition_year]])</f>
        <v>Andrew COSCORAN_IRL_2022</v>
      </c>
      <c r="B1350" t="s">
        <v>232</v>
      </c>
      <c r="C1350" t="s">
        <v>16</v>
      </c>
      <c r="D1350" t="s">
        <v>35</v>
      </c>
      <c r="E1350">
        <v>13.91</v>
      </c>
      <c r="F1350">
        <v>14.61</v>
      </c>
      <c r="G1350">
        <v>14.76</v>
      </c>
      <c r="H1350">
        <v>15.26</v>
      </c>
      <c r="I1350">
        <v>15.59</v>
      </c>
      <c r="J1350">
        <v>15.36</v>
      </c>
      <c r="K1350">
        <v>14.91</v>
      </c>
      <c r="L1350">
        <v>15.17</v>
      </c>
      <c r="M1350">
        <v>14.77</v>
      </c>
      <c r="N1350">
        <v>14.43</v>
      </c>
      <c r="O1350">
        <v>14.26</v>
      </c>
      <c r="P1350">
        <v>14.59</v>
      </c>
      <c r="Q1350">
        <v>15.03</v>
      </c>
      <c r="R1350">
        <v>15.56</v>
      </c>
      <c r="S1350">
        <f>Tableau1[[#This Row],[Final_time]]-SUM(Tableau1[[#This Row],[0_100m]:[1300_1400m]])</f>
        <v>16.449999999999989</v>
      </c>
      <c r="T1350">
        <v>224.66</v>
      </c>
      <c r="U1350">
        <f t="shared" si="42"/>
        <v>224.66</v>
      </c>
      <c r="V1350">
        <f t="shared" si="43"/>
        <v>0</v>
      </c>
      <c r="W1350" s="12"/>
      <c r="X1350" t="str">
        <f>_xlfn.CONCAT(Tableau1[[#This Row],[Competition]],"_",Tableau1[[#This Row],[Championship_step]],"_",Tableau1[[#This Row],[Competition_date]],"_",Tableau1[[#This Row],[Gender]])</f>
        <v>World Championships Eugene 2022_Semi 1_44759_Male</v>
      </c>
      <c r="Y1350" t="s">
        <v>136</v>
      </c>
      <c r="Z1350" s="2" t="s">
        <v>106</v>
      </c>
      <c r="AA1350" s="2" t="s">
        <v>130</v>
      </c>
      <c r="AB1350" s="2" t="s">
        <v>65</v>
      </c>
      <c r="AC1350" s="2">
        <v>44759</v>
      </c>
      <c r="AD1350" s="3">
        <v>2022</v>
      </c>
      <c r="AE1350" s="3">
        <v>25</v>
      </c>
      <c r="AF1350" s="5">
        <v>0.44</v>
      </c>
      <c r="AG1350" s="3"/>
      <c r="AH1350" s="4" t="s">
        <v>148</v>
      </c>
    </row>
    <row r="1351" spans="1:34" hidden="1" x14ac:dyDescent="0.35">
      <c r="A1351" t="str">
        <f>_xlfn.CONCAT(Tableau1[[#This Row],[Athletes]],"_",Tableau1[[#This Row],[Nationality]],"_",Tableau1[[#This Row],[Competition_year]])</f>
        <v>Hirut MESHESHA_ETH_2022</v>
      </c>
      <c r="B1351" t="s">
        <v>135</v>
      </c>
      <c r="C1351" t="s">
        <v>47</v>
      </c>
      <c r="D1351" t="s">
        <v>48</v>
      </c>
      <c r="E1351">
        <v>14.72</v>
      </c>
      <c r="F1351">
        <v>17</v>
      </c>
      <c r="G1351">
        <v>17.059999999999999</v>
      </c>
      <c r="H1351">
        <v>17.510000000000002</v>
      </c>
      <c r="I1351">
        <v>16.53</v>
      </c>
      <c r="J1351">
        <v>17.13</v>
      </c>
      <c r="K1351">
        <v>16.5</v>
      </c>
      <c r="L1351">
        <v>16.829999999999998</v>
      </c>
      <c r="M1351">
        <v>16.71</v>
      </c>
      <c r="N1351">
        <v>16.84</v>
      </c>
      <c r="O1351">
        <v>15.91</v>
      </c>
      <c r="P1351">
        <v>15.97</v>
      </c>
      <c r="Q1351">
        <v>15.15</v>
      </c>
      <c r="R1351">
        <v>15.14</v>
      </c>
      <c r="S1351">
        <f>Tableau1[[#This Row],[Final_time]]-SUM(Tableau1[[#This Row],[0_100m]:[1300_1400m]])</f>
        <v>15.050000000000011</v>
      </c>
      <c r="T1351">
        <v>244.05</v>
      </c>
      <c r="U1351">
        <f t="shared" si="42"/>
        <v>244.05</v>
      </c>
      <c r="V1351">
        <f t="shared" si="43"/>
        <v>0</v>
      </c>
      <c r="W1351" s="12" t="s">
        <v>109</v>
      </c>
      <c r="X1351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1" t="s">
        <v>136</v>
      </c>
      <c r="Z1351" s="2" t="s">
        <v>106</v>
      </c>
      <c r="AA1351" s="2" t="s">
        <v>131</v>
      </c>
      <c r="AB1351" s="2" t="s">
        <v>65</v>
      </c>
      <c r="AC1351" s="2">
        <v>44758</v>
      </c>
      <c r="AD1351" s="3">
        <v>2022</v>
      </c>
      <c r="AE1351" s="3">
        <v>23</v>
      </c>
      <c r="AF1351" s="5">
        <v>0.66</v>
      </c>
      <c r="AG1351" s="3"/>
      <c r="AH1351" t="s">
        <v>143</v>
      </c>
    </row>
    <row r="1352" spans="1:34" hidden="1" x14ac:dyDescent="0.35">
      <c r="A1352" t="str">
        <f>_xlfn.CONCAT(Tableau1[[#This Row],[Athletes]],"_",Tableau1[[#This Row],[Nationality]],"_",Tableau1[[#This Row],[Competition_year]])</f>
        <v>Sofia ENNAOUI_POL_2022</v>
      </c>
      <c r="B1352" t="s">
        <v>161</v>
      </c>
      <c r="C1352" t="s">
        <v>47</v>
      </c>
      <c r="D1352" t="s">
        <v>83</v>
      </c>
      <c r="E1352">
        <v>15.32</v>
      </c>
      <c r="F1352">
        <v>16.97</v>
      </c>
      <c r="G1352">
        <v>17.329999999999998</v>
      </c>
      <c r="H1352">
        <v>17.57</v>
      </c>
      <c r="I1352">
        <v>16.64</v>
      </c>
      <c r="J1352">
        <v>16.84</v>
      </c>
      <c r="K1352">
        <v>16.54</v>
      </c>
      <c r="L1352">
        <v>17.010000000000002</v>
      </c>
      <c r="M1352">
        <v>16.38</v>
      </c>
      <c r="N1352">
        <v>17.100000000000001</v>
      </c>
      <c r="O1352">
        <v>15.48</v>
      </c>
      <c r="P1352">
        <v>16.36</v>
      </c>
      <c r="Q1352">
        <v>14.94</v>
      </c>
      <c r="R1352">
        <v>15.59</v>
      </c>
      <c r="S1352">
        <f>Tableau1[[#This Row],[Final_time]]-SUM(Tableau1[[#This Row],[0_100m]:[1300_1400m]])</f>
        <v>15.100000000000023</v>
      </c>
      <c r="T1352">
        <v>245.17</v>
      </c>
      <c r="U1352">
        <f t="shared" si="42"/>
        <v>245.17</v>
      </c>
      <c r="V1352">
        <f t="shared" si="43"/>
        <v>0</v>
      </c>
      <c r="W1352" s="12" t="s">
        <v>109</v>
      </c>
      <c r="X1352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2" t="s">
        <v>136</v>
      </c>
      <c r="Z1352" s="2" t="s">
        <v>106</v>
      </c>
      <c r="AA1352" s="2" t="s">
        <v>131</v>
      </c>
      <c r="AB1352" s="2" t="s">
        <v>65</v>
      </c>
      <c r="AC1352" s="2">
        <v>44758</v>
      </c>
      <c r="AD1352" s="3">
        <v>2022</v>
      </c>
      <c r="AE1352" s="3">
        <v>23</v>
      </c>
      <c r="AF1352" s="5">
        <v>0.66</v>
      </c>
      <c r="AG1352" s="3"/>
      <c r="AH1352" t="s">
        <v>143</v>
      </c>
    </row>
    <row r="1353" spans="1:34" hidden="1" x14ac:dyDescent="0.35">
      <c r="A1353" t="str">
        <f>_xlfn.CONCAT(Tableau1[[#This Row],[Athletes]],"_",Tableau1[[#This Row],[Nationality]],"_",Tableau1[[#This Row],[Competition_year]])</f>
        <v>Faith KIPYEGON_KEN_2022</v>
      </c>
      <c r="B1353" t="s">
        <v>164</v>
      </c>
      <c r="C1353" t="s">
        <v>47</v>
      </c>
      <c r="D1353" t="s">
        <v>17</v>
      </c>
      <c r="E1353">
        <v>14.87</v>
      </c>
      <c r="F1353">
        <v>16.829999999999998</v>
      </c>
      <c r="G1353">
        <v>17.190000000000001</v>
      </c>
      <c r="H1353">
        <v>17.440000000000001</v>
      </c>
      <c r="I1353">
        <v>16.5</v>
      </c>
      <c r="J1353">
        <v>16.899999999999999</v>
      </c>
      <c r="K1353">
        <v>16.66</v>
      </c>
      <c r="L1353">
        <v>16.670000000000002</v>
      </c>
      <c r="M1353">
        <v>16.62</v>
      </c>
      <c r="N1353">
        <v>16.8</v>
      </c>
      <c r="O1353">
        <v>16.190000000000001</v>
      </c>
      <c r="P1353">
        <v>15.87</v>
      </c>
      <c r="Q1353">
        <v>15.21</v>
      </c>
      <c r="R1353">
        <v>15.05</v>
      </c>
      <c r="S1353">
        <f>Tableau1[[#This Row],[Final_time]]-SUM(Tableau1[[#This Row],[0_100m]:[1300_1400m]])</f>
        <v>15.17999999999995</v>
      </c>
      <c r="T1353">
        <v>243.98</v>
      </c>
      <c r="U1353">
        <f t="shared" si="42"/>
        <v>243.98</v>
      </c>
      <c r="V1353">
        <f t="shared" si="43"/>
        <v>0</v>
      </c>
      <c r="W1353" s="12" t="s">
        <v>109</v>
      </c>
      <c r="X1353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3" t="s">
        <v>136</v>
      </c>
      <c r="Z1353" s="2" t="s">
        <v>106</v>
      </c>
      <c r="AA1353" s="2" t="s">
        <v>131</v>
      </c>
      <c r="AB1353" s="2" t="s">
        <v>65</v>
      </c>
      <c r="AC1353" s="2">
        <v>44758</v>
      </c>
      <c r="AD1353" s="3">
        <v>2022</v>
      </c>
      <c r="AE1353" s="3">
        <v>23</v>
      </c>
      <c r="AF1353" s="5">
        <v>0.66</v>
      </c>
      <c r="AG1353" s="3"/>
      <c r="AH1353" t="s">
        <v>143</v>
      </c>
    </row>
    <row r="1354" spans="1:34" hidden="1" x14ac:dyDescent="0.35">
      <c r="A1354" t="str">
        <f>_xlfn.CONCAT(Tableau1[[#This Row],[Athletes]],"_",Tableau1[[#This Row],[Nationality]],"_",Tableau1[[#This Row],[Competition_year]])</f>
        <v>Sinclaire JOHNSON_USA_2022</v>
      </c>
      <c r="B1354" t="s">
        <v>185</v>
      </c>
      <c r="C1354" t="s">
        <v>47</v>
      </c>
      <c r="D1354" t="s">
        <v>51</v>
      </c>
      <c r="E1354">
        <v>14.78</v>
      </c>
      <c r="F1354">
        <v>17.059999999999999</v>
      </c>
      <c r="G1354">
        <v>17.260000000000002</v>
      </c>
      <c r="H1354">
        <v>17.489999999999998</v>
      </c>
      <c r="I1354">
        <v>16.579999999999998</v>
      </c>
      <c r="J1354">
        <v>16.97</v>
      </c>
      <c r="K1354">
        <v>16.59</v>
      </c>
      <c r="L1354">
        <v>16.670000000000002</v>
      </c>
      <c r="M1354">
        <v>16.37</v>
      </c>
      <c r="N1354">
        <v>16.77</v>
      </c>
      <c r="O1354">
        <v>16.190000000000001</v>
      </c>
      <c r="P1354">
        <v>15.81</v>
      </c>
      <c r="Q1354">
        <v>15.41</v>
      </c>
      <c r="R1354">
        <v>15.2</v>
      </c>
      <c r="S1354">
        <f>Tableau1[[#This Row],[Final_time]]-SUM(Tableau1[[#This Row],[0_100m]:[1300_1400m]])</f>
        <v>15.360000000000014</v>
      </c>
      <c r="T1354">
        <v>244.51</v>
      </c>
      <c r="U1354">
        <f t="shared" si="42"/>
        <v>244.51</v>
      </c>
      <c r="V1354">
        <f t="shared" si="43"/>
        <v>0</v>
      </c>
      <c r="W1354" s="12" t="s">
        <v>109</v>
      </c>
      <c r="X1354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4" t="s">
        <v>136</v>
      </c>
      <c r="Z1354" s="2" t="s">
        <v>106</v>
      </c>
      <c r="AA1354" s="2" t="s">
        <v>131</v>
      </c>
      <c r="AB1354" s="2" t="s">
        <v>65</v>
      </c>
      <c r="AC1354" s="2">
        <v>44758</v>
      </c>
      <c r="AD1354" s="3">
        <v>2022</v>
      </c>
      <c r="AE1354" s="3">
        <v>23</v>
      </c>
      <c r="AF1354" s="5">
        <v>0.66</v>
      </c>
      <c r="AG1354" s="3"/>
      <c r="AH1354" t="s">
        <v>143</v>
      </c>
    </row>
    <row r="1355" spans="1:34" hidden="1" x14ac:dyDescent="0.35">
      <c r="A1355" t="str">
        <f>_xlfn.CONCAT(Tableau1[[#This Row],[Athletes]],"_",Tableau1[[#This Row],[Nationality]],"_",Tableau1[[#This Row],[Competition_year]])</f>
        <v>Katharina TROST_GER_2022</v>
      </c>
      <c r="B1355" t="s">
        <v>240</v>
      </c>
      <c r="C1355" t="s">
        <v>47</v>
      </c>
      <c r="D1355" t="s">
        <v>34</v>
      </c>
      <c r="E1355">
        <v>15.09</v>
      </c>
      <c r="F1355">
        <v>17.27</v>
      </c>
      <c r="G1355">
        <v>17.27</v>
      </c>
      <c r="H1355">
        <v>17.440000000000001</v>
      </c>
      <c r="I1355">
        <v>16.47</v>
      </c>
      <c r="J1355">
        <v>17.010000000000002</v>
      </c>
      <c r="K1355">
        <v>16.61</v>
      </c>
      <c r="L1355">
        <v>16.649999999999999</v>
      </c>
      <c r="M1355">
        <v>16.489999999999998</v>
      </c>
      <c r="N1355">
        <v>16.850000000000001</v>
      </c>
      <c r="O1355">
        <v>15.93</v>
      </c>
      <c r="P1355">
        <v>16.05</v>
      </c>
      <c r="Q1355">
        <v>15.5</v>
      </c>
      <c r="R1355">
        <v>15.44</v>
      </c>
      <c r="S1355">
        <f>Tableau1[[#This Row],[Final_time]]-SUM(Tableau1[[#This Row],[0_100m]:[1300_1400m]])</f>
        <v>15.779999999999973</v>
      </c>
      <c r="T1355">
        <v>245.85</v>
      </c>
      <c r="U1355">
        <f t="shared" si="42"/>
        <v>245.85</v>
      </c>
      <c r="V1355">
        <f t="shared" si="43"/>
        <v>0</v>
      </c>
      <c r="W1355" s="12"/>
      <c r="X1355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5" t="s">
        <v>136</v>
      </c>
      <c r="Z1355" s="2" t="s">
        <v>106</v>
      </c>
      <c r="AA1355" s="2" t="s">
        <v>131</v>
      </c>
      <c r="AB1355" s="2" t="s">
        <v>65</v>
      </c>
      <c r="AC1355" s="2">
        <v>44758</v>
      </c>
      <c r="AD1355" s="3">
        <v>2022</v>
      </c>
      <c r="AE1355" s="3">
        <v>23</v>
      </c>
      <c r="AF1355" s="5">
        <v>0.66</v>
      </c>
      <c r="AG1355" s="3"/>
      <c r="AH1355" t="s">
        <v>143</v>
      </c>
    </row>
    <row r="1356" spans="1:34" hidden="1" x14ac:dyDescent="0.35">
      <c r="A1356" t="str">
        <f>_xlfn.CONCAT(Tableau1[[#This Row],[Athletes]],"_",Tableau1[[#This Row],[Nationality]],"_",Tableau1[[#This Row],[Competition_year]])</f>
        <v>Nozomi TANAKA_JPN_2022</v>
      </c>
      <c r="B1356" t="s">
        <v>157</v>
      </c>
      <c r="C1356" t="s">
        <v>47</v>
      </c>
      <c r="D1356" t="s">
        <v>69</v>
      </c>
      <c r="E1356">
        <v>14.94</v>
      </c>
      <c r="F1356">
        <v>17.28</v>
      </c>
      <c r="G1356">
        <v>16.59</v>
      </c>
      <c r="H1356">
        <v>17.43</v>
      </c>
      <c r="I1356">
        <v>16.54</v>
      </c>
      <c r="J1356">
        <v>16.88</v>
      </c>
      <c r="K1356">
        <v>16.64</v>
      </c>
      <c r="L1356">
        <v>16.739999999999998</v>
      </c>
      <c r="M1356">
        <v>16.690000000000001</v>
      </c>
      <c r="N1356">
        <v>16.93</v>
      </c>
      <c r="O1356">
        <v>16.239999999999998</v>
      </c>
      <c r="P1356">
        <v>15.93</v>
      </c>
      <c r="Q1356">
        <v>15.4</v>
      </c>
      <c r="R1356">
        <v>15.68</v>
      </c>
      <c r="S1356">
        <f>Tableau1[[#This Row],[Final_time]]-SUM(Tableau1[[#This Row],[0_100m]:[1300_1400m]])</f>
        <v>15.879999999999967</v>
      </c>
      <c r="T1356">
        <v>245.79</v>
      </c>
      <c r="U1356">
        <f t="shared" si="42"/>
        <v>245.79</v>
      </c>
      <c r="V1356">
        <f t="shared" si="43"/>
        <v>0</v>
      </c>
      <c r="W1356" s="12"/>
      <c r="X1356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6" t="s">
        <v>136</v>
      </c>
      <c r="Z1356" s="2" t="s">
        <v>106</v>
      </c>
      <c r="AA1356" s="2" t="s">
        <v>131</v>
      </c>
      <c r="AB1356" s="2" t="s">
        <v>65</v>
      </c>
      <c r="AC1356" s="2">
        <v>44758</v>
      </c>
      <c r="AD1356" s="3">
        <v>2022</v>
      </c>
      <c r="AE1356" s="3">
        <v>23</v>
      </c>
      <c r="AF1356" s="5">
        <v>0.66</v>
      </c>
      <c r="AG1356" s="3"/>
      <c r="AH1356" t="s">
        <v>143</v>
      </c>
    </row>
    <row r="1357" spans="1:34" hidden="1" x14ac:dyDescent="0.35">
      <c r="A1357" t="str">
        <f>_xlfn.CONCAT(Tableau1[[#This Row],[Athletes]],"_",Tableau1[[#This Row],[Nationality]],"_",Tableau1[[#This Row],[Competition_year]])</f>
        <v>Georgia GRIFFITH_AUS_2022</v>
      </c>
      <c r="B1357" t="s">
        <v>248</v>
      </c>
      <c r="C1357" t="s">
        <v>47</v>
      </c>
      <c r="D1357" t="s">
        <v>21</v>
      </c>
      <c r="E1357">
        <v>14.73</v>
      </c>
      <c r="F1357">
        <v>17.239999999999998</v>
      </c>
      <c r="G1357">
        <v>17.190000000000001</v>
      </c>
      <c r="H1357">
        <v>17.54</v>
      </c>
      <c r="I1357">
        <v>16.309999999999999</v>
      </c>
      <c r="J1357">
        <v>16.899999999999999</v>
      </c>
      <c r="K1357">
        <v>16.63</v>
      </c>
      <c r="L1357">
        <v>16.670000000000002</v>
      </c>
      <c r="M1357">
        <v>16.64</v>
      </c>
      <c r="N1357">
        <v>16.96</v>
      </c>
      <c r="O1357">
        <v>16.21</v>
      </c>
      <c r="P1357">
        <v>15.84</v>
      </c>
      <c r="Q1357">
        <v>15.26</v>
      </c>
      <c r="R1357">
        <v>15.16</v>
      </c>
      <c r="S1357">
        <f>Tableau1[[#This Row],[Final_time]]-SUM(Tableau1[[#This Row],[0_100m]:[1300_1400m]])</f>
        <v>15.880000000000024</v>
      </c>
      <c r="T1357">
        <v>245.16</v>
      </c>
      <c r="U1357">
        <f t="shared" si="42"/>
        <v>245.16</v>
      </c>
      <c r="V1357">
        <f t="shared" si="43"/>
        <v>0</v>
      </c>
      <c r="W1357" s="12" t="s">
        <v>109</v>
      </c>
      <c r="X1357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7" t="s">
        <v>136</v>
      </c>
      <c r="Z1357" s="2" t="s">
        <v>106</v>
      </c>
      <c r="AA1357" s="2" t="s">
        <v>131</v>
      </c>
      <c r="AB1357" s="2" t="s">
        <v>65</v>
      </c>
      <c r="AC1357" s="2">
        <v>44758</v>
      </c>
      <c r="AD1357" s="3">
        <v>2022</v>
      </c>
      <c r="AE1357" s="3">
        <v>23</v>
      </c>
      <c r="AF1357" s="5">
        <v>0.66</v>
      </c>
      <c r="AG1357" s="3"/>
      <c r="AH1357" t="s">
        <v>143</v>
      </c>
    </row>
    <row r="1358" spans="1:34" hidden="1" x14ac:dyDescent="0.35">
      <c r="A1358" t="str">
        <f>_xlfn.CONCAT(Tableau1[[#This Row],[Athletes]],"_",Tableau1[[#This Row],[Nationality]],"_",Tableau1[[#This Row],[Competition_year]])</f>
        <v>Diana MEZULIÁNÍKOVÁ_CZE_2022</v>
      </c>
      <c r="B1358" t="s">
        <v>242</v>
      </c>
      <c r="C1358" t="s">
        <v>47</v>
      </c>
      <c r="D1358" t="s">
        <v>140</v>
      </c>
      <c r="E1358">
        <v>15.15</v>
      </c>
      <c r="F1358">
        <v>17.04</v>
      </c>
      <c r="G1358">
        <v>17.34</v>
      </c>
      <c r="H1358">
        <v>17.45</v>
      </c>
      <c r="I1358">
        <v>16.559999999999999</v>
      </c>
      <c r="J1358">
        <v>16.920000000000002</v>
      </c>
      <c r="K1358">
        <v>16.59</v>
      </c>
      <c r="L1358">
        <v>16.97</v>
      </c>
      <c r="M1358">
        <v>16.39</v>
      </c>
      <c r="N1358">
        <v>17.079999999999998</v>
      </c>
      <c r="O1358">
        <v>16.309999999999999</v>
      </c>
      <c r="P1358">
        <v>16.239999999999998</v>
      </c>
      <c r="Q1358">
        <v>15.59</v>
      </c>
      <c r="R1358">
        <v>15.9</v>
      </c>
      <c r="S1358">
        <f>Tableau1[[#This Row],[Final_time]]-SUM(Tableau1[[#This Row],[0_100m]:[1300_1400m]])</f>
        <v>16.089999999999975</v>
      </c>
      <c r="T1358">
        <v>247.62</v>
      </c>
      <c r="U1358">
        <f t="shared" si="42"/>
        <v>247.62</v>
      </c>
      <c r="V1358">
        <f t="shared" si="43"/>
        <v>0</v>
      </c>
      <c r="W1358" s="12"/>
      <c r="X1358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8" t="s">
        <v>136</v>
      </c>
      <c r="Z1358" s="2" t="s">
        <v>106</v>
      </c>
      <c r="AA1358" s="2" t="s">
        <v>131</v>
      </c>
      <c r="AB1358" s="2" t="s">
        <v>65</v>
      </c>
      <c r="AC1358" s="2">
        <v>44758</v>
      </c>
      <c r="AD1358" s="3">
        <v>2022</v>
      </c>
      <c r="AE1358" s="3">
        <v>23</v>
      </c>
      <c r="AF1358" s="5">
        <v>0.66</v>
      </c>
      <c r="AG1358" s="3"/>
      <c r="AH1358" t="s">
        <v>143</v>
      </c>
    </row>
    <row r="1359" spans="1:34" hidden="1" x14ac:dyDescent="0.35">
      <c r="A1359" t="str">
        <f>_xlfn.CONCAT(Tableau1[[#This Row],[Athletes]],"_",Tableau1[[#This Row],[Nationality]],"_",Tableau1[[#This Row],[Competition_year]])</f>
        <v>Katie SNOWDEN_GBR_2022</v>
      </c>
      <c r="B1359" t="s">
        <v>186</v>
      </c>
      <c r="C1359" t="s">
        <v>47</v>
      </c>
      <c r="D1359" t="s">
        <v>20</v>
      </c>
      <c r="E1359">
        <v>15.04</v>
      </c>
      <c r="F1359">
        <v>17.079999999999998</v>
      </c>
      <c r="G1359">
        <v>17.25</v>
      </c>
      <c r="H1359">
        <v>17.45</v>
      </c>
      <c r="I1359">
        <v>16.600000000000001</v>
      </c>
      <c r="J1359">
        <v>16.989999999999998</v>
      </c>
      <c r="K1359">
        <v>16.59</v>
      </c>
      <c r="L1359">
        <v>16.670000000000002</v>
      </c>
      <c r="M1359">
        <v>16.43</v>
      </c>
      <c r="N1359">
        <v>17.079999999999998</v>
      </c>
      <c r="O1359">
        <v>16</v>
      </c>
      <c r="P1359">
        <v>16.34</v>
      </c>
      <c r="Q1359">
        <v>15.9</v>
      </c>
      <c r="R1359">
        <v>16.149999999999999</v>
      </c>
      <c r="S1359">
        <f>Tableau1[[#This Row],[Final_time]]-SUM(Tableau1[[#This Row],[0_100m]:[1300_1400m]])</f>
        <v>16.71999999999997</v>
      </c>
      <c r="T1359">
        <v>248.29</v>
      </c>
      <c r="U1359">
        <f t="shared" si="42"/>
        <v>248.29</v>
      </c>
      <c r="V1359">
        <f t="shared" si="43"/>
        <v>0</v>
      </c>
      <c r="W1359" s="12"/>
      <c r="X1359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59" t="s">
        <v>136</v>
      </c>
      <c r="Z1359" s="2" t="s">
        <v>106</v>
      </c>
      <c r="AA1359" s="2" t="s">
        <v>131</v>
      </c>
      <c r="AB1359" s="2" t="s">
        <v>65</v>
      </c>
      <c r="AC1359" s="2">
        <v>44758</v>
      </c>
      <c r="AD1359" s="3">
        <v>2022</v>
      </c>
      <c r="AE1359" s="3">
        <v>23</v>
      </c>
      <c r="AF1359" s="5">
        <v>0.66</v>
      </c>
      <c r="AG1359" s="3"/>
      <c r="AH1359" t="s">
        <v>143</v>
      </c>
    </row>
    <row r="1360" spans="1:34" hidden="1" x14ac:dyDescent="0.35">
      <c r="A1360" t="str">
        <f>_xlfn.CONCAT(Tableau1[[#This Row],[Athletes]],"_",Tableau1[[#This Row],[Nationality]],"_",Tableau1[[#This Row],[Competition_year]])</f>
        <v>Adelle TRACEY_JAM_2022</v>
      </c>
      <c r="B1360" t="s">
        <v>188</v>
      </c>
      <c r="C1360" t="s">
        <v>47</v>
      </c>
      <c r="D1360" t="s">
        <v>108</v>
      </c>
      <c r="E1360">
        <v>14.82</v>
      </c>
      <c r="F1360">
        <v>16.940000000000001</v>
      </c>
      <c r="G1360">
        <v>17.239999999999998</v>
      </c>
      <c r="H1360">
        <v>17.48</v>
      </c>
      <c r="I1360">
        <v>16.579999999999998</v>
      </c>
      <c r="J1360">
        <v>17.03</v>
      </c>
      <c r="K1360">
        <v>16.5</v>
      </c>
      <c r="L1360">
        <v>16.75</v>
      </c>
      <c r="M1360">
        <v>16.54</v>
      </c>
      <c r="N1360">
        <v>16.77</v>
      </c>
      <c r="O1360">
        <v>16.2</v>
      </c>
      <c r="P1360">
        <v>15.83</v>
      </c>
      <c r="Q1360">
        <v>15.51</v>
      </c>
      <c r="R1360">
        <v>15.77</v>
      </c>
      <c r="S1360">
        <f>Tableau1[[#This Row],[Final_time]]-SUM(Tableau1[[#This Row],[0_100m]:[1300_1400m]])</f>
        <v>17</v>
      </c>
      <c r="T1360">
        <v>246.96</v>
      </c>
      <c r="U1360">
        <f t="shared" si="42"/>
        <v>246.96</v>
      </c>
      <c r="V1360">
        <f t="shared" si="43"/>
        <v>0</v>
      </c>
      <c r="W1360" s="12"/>
      <c r="X1360" t="str">
        <f>_xlfn.CONCAT(Tableau1[[#This Row],[Competition]],"_",Tableau1[[#This Row],[Championship_step]],"_",Tableau1[[#This Row],[Competition_date]],"_",Tableau1[[#This Row],[Gender]])</f>
        <v>World Championships Eugene 2022_Semi 2_44758_Female</v>
      </c>
      <c r="Y1360" t="s">
        <v>136</v>
      </c>
      <c r="Z1360" s="2" t="s">
        <v>106</v>
      </c>
      <c r="AA1360" s="2" t="s">
        <v>131</v>
      </c>
      <c r="AB1360" s="2" t="s">
        <v>65</v>
      </c>
      <c r="AC1360" s="2">
        <v>44758</v>
      </c>
      <c r="AD1360" s="3">
        <v>2022</v>
      </c>
      <c r="AE1360" s="3">
        <v>23</v>
      </c>
      <c r="AF1360" s="5">
        <v>0.66</v>
      </c>
      <c r="AG1360" s="3"/>
      <c r="AH1360" t="s">
        <v>143</v>
      </c>
    </row>
    <row r="1361" spans="1:34" hidden="1" x14ac:dyDescent="0.35">
      <c r="A1361" t="str">
        <f>_xlfn.CONCAT(Tableau1[[#This Row],[Athletes]],"_",Tableau1[[#This Row],[Nationality]],"_",Tableau1[[#This Row],[Competition_year]])</f>
        <v>Joshua THOMPSON_USA_2022</v>
      </c>
      <c r="B1361" t="s">
        <v>260</v>
      </c>
      <c r="C1361" t="s">
        <v>16</v>
      </c>
      <c r="D1361" t="s">
        <v>51</v>
      </c>
      <c r="E1361">
        <v>13.94</v>
      </c>
      <c r="F1361">
        <v>14.79</v>
      </c>
      <c r="G1361">
        <v>14.45</v>
      </c>
      <c r="H1361">
        <v>15.04</v>
      </c>
      <c r="I1361">
        <v>14.63</v>
      </c>
      <c r="J1361">
        <v>14.38</v>
      </c>
      <c r="K1361">
        <v>14.3</v>
      </c>
      <c r="L1361">
        <v>14.58</v>
      </c>
      <c r="M1361">
        <v>14.48</v>
      </c>
      <c r="N1361">
        <v>14.5</v>
      </c>
      <c r="O1361">
        <v>14.41</v>
      </c>
      <c r="P1361">
        <v>14.23</v>
      </c>
      <c r="Q1361">
        <v>14.17</v>
      </c>
      <c r="R1361">
        <v>13.97</v>
      </c>
      <c r="S1361">
        <f>Tableau1[[#This Row],[Final_time]]-SUM(Tableau1[[#This Row],[0_100m]:[1300_1400m]])</f>
        <v>13.680000000000064</v>
      </c>
      <c r="T1361">
        <v>215.55</v>
      </c>
      <c r="U1361">
        <f t="shared" si="42"/>
        <v>215.55</v>
      </c>
      <c r="V1361">
        <f t="shared" si="43"/>
        <v>0</v>
      </c>
      <c r="W1361" s="12" t="s">
        <v>142</v>
      </c>
      <c r="X1361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1" t="s">
        <v>136</v>
      </c>
      <c r="Z1361" s="2" t="s">
        <v>106</v>
      </c>
      <c r="AA1361" s="2" t="s">
        <v>131</v>
      </c>
      <c r="AB1361" s="2" t="s">
        <v>65</v>
      </c>
      <c r="AC1361" s="2">
        <v>44759</v>
      </c>
      <c r="AD1361" s="3">
        <v>2022</v>
      </c>
      <c r="AE1361" s="3">
        <v>25</v>
      </c>
      <c r="AF1361" s="5">
        <v>0.44</v>
      </c>
      <c r="AG1361" s="3"/>
      <c r="AH1361" s="4" t="s">
        <v>148</v>
      </c>
    </row>
    <row r="1362" spans="1:34" hidden="1" x14ac:dyDescent="0.35">
      <c r="A1362" t="str">
        <f>_xlfn.CONCAT(Tableau1[[#This Row],[Athletes]],"_",Tableau1[[#This Row],[Nationality]],"_",Tableau1[[#This Row],[Competition_year]])</f>
        <v>Teddese LEMI_ETH_2022</v>
      </c>
      <c r="B1362" t="s">
        <v>210</v>
      </c>
      <c r="C1362" t="s">
        <v>16</v>
      </c>
      <c r="D1362" t="s">
        <v>48</v>
      </c>
      <c r="E1362">
        <v>13.6</v>
      </c>
      <c r="F1362">
        <v>14.43</v>
      </c>
      <c r="G1362">
        <v>14.62</v>
      </c>
      <c r="H1362">
        <v>14.81</v>
      </c>
      <c r="I1362">
        <v>14.06</v>
      </c>
      <c r="J1362">
        <v>14.38</v>
      </c>
      <c r="K1362">
        <v>14.29</v>
      </c>
      <c r="L1362">
        <v>14.39</v>
      </c>
      <c r="M1362">
        <v>14.52</v>
      </c>
      <c r="N1362">
        <v>14.62</v>
      </c>
      <c r="O1362">
        <v>14.57</v>
      </c>
      <c r="P1362">
        <v>14.26</v>
      </c>
      <c r="Q1362">
        <v>14.25</v>
      </c>
      <c r="R1362">
        <v>14.31</v>
      </c>
      <c r="S1362">
        <f>Tableau1[[#This Row],[Final_time]]-SUM(Tableau1[[#This Row],[0_100m]:[1300_1400m]])</f>
        <v>13.930000000000007</v>
      </c>
      <c r="T1362">
        <v>215.04</v>
      </c>
      <c r="U1362">
        <f t="shared" si="42"/>
        <v>215.04</v>
      </c>
      <c r="V1362">
        <f t="shared" si="43"/>
        <v>0</v>
      </c>
      <c r="W1362" s="12" t="s">
        <v>109</v>
      </c>
      <c r="X1362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2" t="s">
        <v>136</v>
      </c>
      <c r="Z1362" s="2" t="s">
        <v>106</v>
      </c>
      <c r="AA1362" s="2" t="s">
        <v>131</v>
      </c>
      <c r="AB1362" s="2" t="s">
        <v>65</v>
      </c>
      <c r="AC1362" s="2">
        <v>44759</v>
      </c>
      <c r="AD1362" s="3">
        <v>2022</v>
      </c>
      <c r="AE1362" s="3">
        <v>25</v>
      </c>
      <c r="AF1362" s="5">
        <v>0.44</v>
      </c>
      <c r="AG1362" s="3"/>
      <c r="AH1362" s="4" t="s">
        <v>148</v>
      </c>
    </row>
    <row r="1363" spans="1:34" hidden="1" x14ac:dyDescent="0.35">
      <c r="A1363" t="str">
        <f>_xlfn.CONCAT(Tableau1[[#This Row],[Athletes]],"_",Tableau1[[#This Row],[Nationality]],"_",Tableau1[[#This Row],[Competition_year]])</f>
        <v>Abel KIPSANG_KEN_2022</v>
      </c>
      <c r="B1363" t="s">
        <v>227</v>
      </c>
      <c r="C1363" t="s">
        <v>16</v>
      </c>
      <c r="D1363" t="s">
        <v>17</v>
      </c>
      <c r="E1363">
        <v>13.28</v>
      </c>
      <c r="F1363">
        <v>14.6</v>
      </c>
      <c r="G1363">
        <v>14.47</v>
      </c>
      <c r="H1363">
        <v>14.45</v>
      </c>
      <c r="I1363">
        <v>14.12</v>
      </c>
      <c r="J1363">
        <v>14.29</v>
      </c>
      <c r="K1363">
        <v>14.23</v>
      </c>
      <c r="L1363">
        <v>14.3</v>
      </c>
      <c r="M1363">
        <v>14.5</v>
      </c>
      <c r="N1363">
        <v>14.68</v>
      </c>
      <c r="O1363">
        <v>14.54</v>
      </c>
      <c r="P1363">
        <v>14.14</v>
      </c>
      <c r="Q1363">
        <v>14.09</v>
      </c>
      <c r="R1363">
        <v>14.05</v>
      </c>
      <c r="S1363">
        <f>Tableau1[[#This Row],[Final_time]]-SUM(Tableau1[[#This Row],[0_100m]:[1300_1400m]])</f>
        <v>13.939999999999969</v>
      </c>
      <c r="T1363">
        <v>213.68</v>
      </c>
      <c r="U1363">
        <f t="shared" si="42"/>
        <v>213.68</v>
      </c>
      <c r="V1363">
        <f t="shared" si="43"/>
        <v>0</v>
      </c>
      <c r="W1363" s="12" t="s">
        <v>109</v>
      </c>
      <c r="X1363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3" t="s">
        <v>136</v>
      </c>
      <c r="Z1363" s="2" t="s">
        <v>106</v>
      </c>
      <c r="AA1363" s="2" t="s">
        <v>131</v>
      </c>
      <c r="AB1363" s="2" t="s">
        <v>65</v>
      </c>
      <c r="AC1363" s="2">
        <v>44759</v>
      </c>
      <c r="AD1363" s="3">
        <v>2022</v>
      </c>
      <c r="AE1363" s="3">
        <v>25</v>
      </c>
      <c r="AF1363" s="5">
        <v>0.44</v>
      </c>
      <c r="AG1363" s="3"/>
      <c r="AH1363" s="4" t="s">
        <v>148</v>
      </c>
    </row>
    <row r="1364" spans="1:34" hidden="1" x14ac:dyDescent="0.35">
      <c r="A1364" t="str">
        <f>_xlfn.CONCAT(Tableau1[[#This Row],[Athletes]],"_",Tableau1[[#This Row],[Nationality]],"_",Tableau1[[#This Row],[Competition_year]])</f>
        <v>Mohamed KATIR_ESP_2022</v>
      </c>
      <c r="B1364" t="s">
        <v>149</v>
      </c>
      <c r="C1364" t="s">
        <v>16</v>
      </c>
      <c r="D1364" t="s">
        <v>22</v>
      </c>
      <c r="E1364">
        <v>13.88</v>
      </c>
      <c r="F1364">
        <v>14.6</v>
      </c>
      <c r="G1364">
        <v>14.67</v>
      </c>
      <c r="H1364">
        <v>14.51</v>
      </c>
      <c r="I1364">
        <v>14.09</v>
      </c>
      <c r="J1364">
        <v>14.19</v>
      </c>
      <c r="K1364">
        <v>13.89</v>
      </c>
      <c r="L1364">
        <v>14.31</v>
      </c>
      <c r="M1364">
        <v>14.43</v>
      </c>
      <c r="N1364">
        <v>14.7</v>
      </c>
      <c r="O1364">
        <v>14.48</v>
      </c>
      <c r="P1364">
        <v>14.22</v>
      </c>
      <c r="Q1364">
        <v>13.99</v>
      </c>
      <c r="R1364">
        <v>14.09</v>
      </c>
      <c r="S1364">
        <f>Tableau1[[#This Row],[Final_time]]-SUM(Tableau1[[#This Row],[0_100m]:[1300_1400m]])</f>
        <v>14.400000000000006</v>
      </c>
      <c r="T1364">
        <v>214.45</v>
      </c>
      <c r="U1364">
        <f t="shared" si="42"/>
        <v>214.45</v>
      </c>
      <c r="V1364">
        <f t="shared" si="43"/>
        <v>0</v>
      </c>
      <c r="W1364" s="12" t="s">
        <v>109</v>
      </c>
      <c r="X1364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4" t="s">
        <v>136</v>
      </c>
      <c r="Z1364" s="2" t="s">
        <v>106</v>
      </c>
      <c r="AA1364" s="2" t="s">
        <v>131</v>
      </c>
      <c r="AB1364" s="2" t="s">
        <v>65</v>
      </c>
      <c r="AC1364" s="2">
        <v>44759</v>
      </c>
      <c r="AD1364" s="3">
        <v>2022</v>
      </c>
      <c r="AE1364" s="3">
        <v>25</v>
      </c>
      <c r="AF1364" s="5">
        <v>0.44</v>
      </c>
      <c r="AG1364" s="3"/>
      <c r="AH1364" s="4" t="s">
        <v>148</v>
      </c>
    </row>
    <row r="1365" spans="1:34" hidden="1" x14ac:dyDescent="0.35">
      <c r="A1365" t="str">
        <f>_xlfn.CONCAT(Tableau1[[#This Row],[Athletes]],"_",Tableau1[[#This Row],[Nationality]],"_",Tableau1[[#This Row],[Competition_year]])</f>
        <v>Michał ROZMYS_POL_2022</v>
      </c>
      <c r="B1365" t="s">
        <v>236</v>
      </c>
      <c r="C1365" t="s">
        <v>16</v>
      </c>
      <c r="D1365" t="s">
        <v>83</v>
      </c>
      <c r="E1365">
        <v>13.71</v>
      </c>
      <c r="F1365">
        <v>14.55</v>
      </c>
      <c r="G1365">
        <v>14.27</v>
      </c>
      <c r="H1365">
        <v>14.36</v>
      </c>
      <c r="I1365">
        <v>14.24</v>
      </c>
      <c r="J1365">
        <v>14.36</v>
      </c>
      <c r="K1365">
        <v>14.34</v>
      </c>
      <c r="L1365">
        <v>14.58</v>
      </c>
      <c r="M1365">
        <v>14.43</v>
      </c>
      <c r="N1365">
        <v>14.56</v>
      </c>
      <c r="O1365">
        <v>14.52</v>
      </c>
      <c r="P1365">
        <v>14.26</v>
      </c>
      <c r="Q1365">
        <v>14.3</v>
      </c>
      <c r="R1365">
        <v>14.35</v>
      </c>
      <c r="S1365">
        <f>Tableau1[[#This Row],[Final_time]]-SUM(Tableau1[[#This Row],[0_100m]:[1300_1400m]])</f>
        <v>14.439999999999998</v>
      </c>
      <c r="T1365">
        <v>215.27</v>
      </c>
      <c r="U1365">
        <f t="shared" si="42"/>
        <v>215.27</v>
      </c>
      <c r="V1365">
        <f t="shared" si="43"/>
        <v>0</v>
      </c>
      <c r="W1365" s="12" t="s">
        <v>142</v>
      </c>
      <c r="X1365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5" t="s">
        <v>136</v>
      </c>
      <c r="Z1365" s="2" t="s">
        <v>106</v>
      </c>
      <c r="AA1365" s="2" t="s">
        <v>131</v>
      </c>
      <c r="AB1365" s="2" t="s">
        <v>65</v>
      </c>
      <c r="AC1365" s="2">
        <v>44759</v>
      </c>
      <c r="AD1365" s="3">
        <v>2022</v>
      </c>
      <c r="AE1365" s="3">
        <v>25</v>
      </c>
      <c r="AF1365" s="5">
        <v>0.44</v>
      </c>
      <c r="AG1365" s="3"/>
      <c r="AH1365" s="4" t="s">
        <v>148</v>
      </c>
    </row>
    <row r="1366" spans="1:34" hidden="1" x14ac:dyDescent="0.35">
      <c r="A1366" t="str">
        <f>_xlfn.CONCAT(Tableau1[[#This Row],[Athletes]],"_",Tableau1[[#This Row],[Nationality]],"_",Tableau1[[#This Row],[Competition_year]])</f>
        <v>Jake WIGHTMAN_GBR_2022</v>
      </c>
      <c r="B1366" t="s">
        <v>150</v>
      </c>
      <c r="C1366" t="s">
        <v>16</v>
      </c>
      <c r="D1366" t="s">
        <v>20</v>
      </c>
      <c r="E1366">
        <v>13.64</v>
      </c>
      <c r="F1366">
        <v>14.7</v>
      </c>
      <c r="G1366">
        <v>14.51</v>
      </c>
      <c r="H1366">
        <v>14.26</v>
      </c>
      <c r="I1366">
        <v>13.88</v>
      </c>
      <c r="J1366">
        <v>14.4</v>
      </c>
      <c r="K1366">
        <v>14.14</v>
      </c>
      <c r="L1366">
        <v>14.43</v>
      </c>
      <c r="M1366">
        <v>14.37</v>
      </c>
      <c r="N1366">
        <v>14.87</v>
      </c>
      <c r="O1366">
        <v>14.4</v>
      </c>
      <c r="P1366">
        <v>14.03</v>
      </c>
      <c r="Q1366">
        <v>14.2</v>
      </c>
      <c r="R1366">
        <v>14.13</v>
      </c>
      <c r="S1366">
        <f>Tableau1[[#This Row],[Final_time]]-SUM(Tableau1[[#This Row],[0_100m]:[1300_1400m]])</f>
        <v>14.519999999999982</v>
      </c>
      <c r="T1366">
        <v>214.48</v>
      </c>
      <c r="U1366">
        <f t="shared" si="42"/>
        <v>214.48</v>
      </c>
      <c r="V1366">
        <f t="shared" si="43"/>
        <v>0</v>
      </c>
      <c r="W1366" s="12" t="s">
        <v>109</v>
      </c>
      <c r="X1366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6" t="s">
        <v>136</v>
      </c>
      <c r="Z1366" s="2" t="s">
        <v>106</v>
      </c>
      <c r="AA1366" s="2" t="s">
        <v>131</v>
      </c>
      <c r="AB1366" s="2" t="s">
        <v>65</v>
      </c>
      <c r="AC1366" s="2">
        <v>44759</v>
      </c>
      <c r="AD1366" s="3">
        <v>2022</v>
      </c>
      <c r="AE1366" s="3">
        <v>25</v>
      </c>
      <c r="AF1366" s="5">
        <v>0.44</v>
      </c>
      <c r="AG1366" s="3"/>
      <c r="AH1366" s="4" t="s">
        <v>148</v>
      </c>
    </row>
    <row r="1367" spans="1:34" hidden="1" x14ac:dyDescent="0.35">
      <c r="A1367" t="str">
        <f>_xlfn.CONCAT(Tableau1[[#This Row],[Athletes]],"_",Tableau1[[#This Row],[Nationality]],"_",Tableau1[[#This Row],[Competition_year]])</f>
        <v>Stewart MCSWEYN_AUS_2022</v>
      </c>
      <c r="B1367" t="s">
        <v>219</v>
      </c>
      <c r="C1367" t="s">
        <v>16</v>
      </c>
      <c r="D1367" t="s">
        <v>21</v>
      </c>
      <c r="E1367">
        <v>14.08</v>
      </c>
      <c r="F1367">
        <v>13.89</v>
      </c>
      <c r="G1367">
        <v>14.3</v>
      </c>
      <c r="H1367">
        <v>14.2</v>
      </c>
      <c r="I1367">
        <v>14.24</v>
      </c>
      <c r="J1367">
        <v>14.24</v>
      </c>
      <c r="K1367">
        <v>14.38</v>
      </c>
      <c r="L1367">
        <v>14.33</v>
      </c>
      <c r="M1367">
        <v>14.5</v>
      </c>
      <c r="N1367">
        <v>14.66</v>
      </c>
      <c r="O1367">
        <v>14.58</v>
      </c>
      <c r="P1367">
        <v>14.12</v>
      </c>
      <c r="Q1367">
        <v>14.47</v>
      </c>
      <c r="R1367">
        <v>14.46</v>
      </c>
      <c r="S1367">
        <f>Tableau1[[#This Row],[Final_time]]-SUM(Tableau1[[#This Row],[0_100m]:[1300_1400m]])</f>
        <v>14.620000000000005</v>
      </c>
      <c r="T1367">
        <v>215.07</v>
      </c>
      <c r="U1367">
        <f t="shared" si="42"/>
        <v>215.07</v>
      </c>
      <c r="V1367">
        <f t="shared" si="43"/>
        <v>0</v>
      </c>
      <c r="W1367" s="12" t="s">
        <v>109</v>
      </c>
      <c r="X1367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7" t="s">
        <v>136</v>
      </c>
      <c r="Z1367" s="2" t="s">
        <v>106</v>
      </c>
      <c r="AA1367" s="2" t="s">
        <v>131</v>
      </c>
      <c r="AB1367" s="2" t="s">
        <v>65</v>
      </c>
      <c r="AC1367" s="2">
        <v>44759</v>
      </c>
      <c r="AD1367" s="3">
        <v>2022</v>
      </c>
      <c r="AE1367" s="3">
        <v>25</v>
      </c>
      <c r="AF1367" s="5">
        <v>0.44</v>
      </c>
      <c r="AG1367" s="3"/>
      <c r="AH1367" s="4" t="s">
        <v>148</v>
      </c>
    </row>
    <row r="1368" spans="1:34" hidden="1" x14ac:dyDescent="0.35">
      <c r="A1368" t="str">
        <f>_xlfn.CONCAT(Tableau1[[#This Row],[Athletes]],"_",Tableau1[[#This Row],[Nationality]],"_",Tableau1[[#This Row],[Competition_year]])</f>
        <v>Samuel TANNER_NZL_2022</v>
      </c>
      <c r="B1368" t="s">
        <v>203</v>
      </c>
      <c r="C1368" t="s">
        <v>16</v>
      </c>
      <c r="D1368" t="s">
        <v>118</v>
      </c>
      <c r="E1368">
        <v>13.63</v>
      </c>
      <c r="F1368">
        <v>14.6</v>
      </c>
      <c r="G1368">
        <v>14.54</v>
      </c>
      <c r="H1368">
        <v>14.76</v>
      </c>
      <c r="I1368">
        <v>14.16</v>
      </c>
      <c r="J1368">
        <v>14.33</v>
      </c>
      <c r="K1368">
        <v>14.41</v>
      </c>
      <c r="L1368">
        <v>14.38</v>
      </c>
      <c r="M1368">
        <v>14.64</v>
      </c>
      <c r="N1368">
        <v>14.59</v>
      </c>
      <c r="O1368">
        <v>14.56</v>
      </c>
      <c r="P1368">
        <v>14.31</v>
      </c>
      <c r="Q1368">
        <v>14.33</v>
      </c>
      <c r="R1368">
        <v>14.39</v>
      </c>
      <c r="S1368">
        <f>Tableau1[[#This Row],[Final_time]]-SUM(Tableau1[[#This Row],[0_100m]:[1300_1400m]])</f>
        <v>14.689999999999998</v>
      </c>
      <c r="T1368">
        <v>216.32</v>
      </c>
      <c r="U1368">
        <f t="shared" si="42"/>
        <v>216.32</v>
      </c>
      <c r="V1368">
        <f t="shared" si="43"/>
        <v>0</v>
      </c>
      <c r="W1368" s="12"/>
      <c r="X1368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8" t="s">
        <v>136</v>
      </c>
      <c r="Z1368" s="2" t="s">
        <v>106</v>
      </c>
      <c r="AA1368" s="2" t="s">
        <v>131</v>
      </c>
      <c r="AB1368" s="2" t="s">
        <v>65</v>
      </c>
      <c r="AC1368" s="2">
        <v>44759</v>
      </c>
      <c r="AD1368" s="3">
        <v>2022</v>
      </c>
      <c r="AE1368" s="3">
        <v>25</v>
      </c>
      <c r="AF1368" s="5">
        <v>0.44</v>
      </c>
      <c r="AG1368" s="3"/>
      <c r="AH1368" s="4" t="s">
        <v>148</v>
      </c>
    </row>
    <row r="1369" spans="1:34" hidden="1" x14ac:dyDescent="0.35">
      <c r="A1369" t="str">
        <f>_xlfn.CONCAT(Tableau1[[#This Row],[Athletes]],"_",Tableau1[[#This Row],[Nationality]],"_",Tableau1[[#This Row],[Competition_year]])</f>
        <v>Cameron PROCEVIAT_CAN_2022</v>
      </c>
      <c r="B1369" t="s">
        <v>252</v>
      </c>
      <c r="C1369" t="s">
        <v>16</v>
      </c>
      <c r="D1369" t="s">
        <v>55</v>
      </c>
      <c r="E1369">
        <v>13.95</v>
      </c>
      <c r="F1369">
        <v>14.62</v>
      </c>
      <c r="G1369">
        <v>14.44</v>
      </c>
      <c r="H1369">
        <v>15.09</v>
      </c>
      <c r="I1369">
        <v>14.36</v>
      </c>
      <c r="J1369">
        <v>14.15</v>
      </c>
      <c r="K1369">
        <v>14.34</v>
      </c>
      <c r="L1369">
        <v>14.75</v>
      </c>
      <c r="M1369">
        <v>14.64</v>
      </c>
      <c r="N1369">
        <v>14.73</v>
      </c>
      <c r="O1369">
        <v>14.7</v>
      </c>
      <c r="P1369">
        <v>14.39</v>
      </c>
      <c r="Q1369">
        <v>14.65</v>
      </c>
      <c r="R1369">
        <v>14.87</v>
      </c>
      <c r="S1369">
        <f>Tableau1[[#This Row],[Final_time]]-SUM(Tableau1[[#This Row],[0_100m]:[1300_1400m]])</f>
        <v>15.150000000000034</v>
      </c>
      <c r="T1369">
        <v>218.83</v>
      </c>
      <c r="U1369">
        <f t="shared" si="42"/>
        <v>218.83</v>
      </c>
      <c r="V1369">
        <f t="shared" si="43"/>
        <v>0</v>
      </c>
      <c r="W1369" s="12"/>
      <c r="X1369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69" t="s">
        <v>136</v>
      </c>
      <c r="Z1369" s="2" t="s">
        <v>106</v>
      </c>
      <c r="AA1369" s="2" t="s">
        <v>131</v>
      </c>
      <c r="AB1369" s="2" t="s">
        <v>65</v>
      </c>
      <c r="AC1369" s="2">
        <v>44759</v>
      </c>
      <c r="AD1369" s="3">
        <v>2022</v>
      </c>
      <c r="AE1369" s="3">
        <v>25</v>
      </c>
      <c r="AF1369" s="5">
        <v>0.44</v>
      </c>
      <c r="AG1369" s="3"/>
      <c r="AH1369" s="4" t="s">
        <v>148</v>
      </c>
    </row>
    <row r="1370" spans="1:34" hidden="1" x14ac:dyDescent="0.35">
      <c r="A1370" t="str">
        <f>_xlfn.CONCAT(Tableau1[[#This Row],[Athletes]],"_",Tableau1[[#This Row],[Nationality]],"_",Tableau1[[#This Row],[Competition_year]])</f>
        <v>Santiago CATROFE_URU_2022</v>
      </c>
      <c r="B1370" t="s">
        <v>256</v>
      </c>
      <c r="C1370" t="s">
        <v>16</v>
      </c>
      <c r="D1370" t="s">
        <v>147</v>
      </c>
      <c r="E1370">
        <v>13.82</v>
      </c>
      <c r="F1370">
        <v>14.76</v>
      </c>
      <c r="G1370">
        <v>14.73</v>
      </c>
      <c r="H1370">
        <v>15.05</v>
      </c>
      <c r="I1370">
        <v>14.42</v>
      </c>
      <c r="J1370">
        <v>14.26</v>
      </c>
      <c r="K1370">
        <v>14.32</v>
      </c>
      <c r="L1370">
        <v>14.65</v>
      </c>
      <c r="M1370">
        <v>14.81</v>
      </c>
      <c r="N1370">
        <v>14.61</v>
      </c>
      <c r="O1370">
        <v>14.51</v>
      </c>
      <c r="P1370">
        <v>14.68</v>
      </c>
      <c r="Q1370">
        <v>14.6</v>
      </c>
      <c r="R1370">
        <v>15.47</v>
      </c>
      <c r="S1370">
        <f>Tableau1[[#This Row],[Final_time]]-SUM(Tableau1[[#This Row],[0_100m]:[1300_1400m]])</f>
        <v>15.469999999999999</v>
      </c>
      <c r="T1370">
        <v>220.16</v>
      </c>
      <c r="U1370">
        <f t="shared" si="42"/>
        <v>220.16</v>
      </c>
      <c r="V1370">
        <f t="shared" si="43"/>
        <v>0</v>
      </c>
      <c r="W1370" s="12"/>
      <c r="X1370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70" t="s">
        <v>136</v>
      </c>
      <c r="Z1370" s="2" t="s">
        <v>106</v>
      </c>
      <c r="AA1370" s="2" t="s">
        <v>131</v>
      </c>
      <c r="AB1370" s="2" t="s">
        <v>65</v>
      </c>
      <c r="AC1370" s="2">
        <v>44759</v>
      </c>
      <c r="AD1370" s="3">
        <v>2022</v>
      </c>
      <c r="AE1370" s="3">
        <v>25</v>
      </c>
      <c r="AF1370" s="5">
        <v>0.44</v>
      </c>
      <c r="AG1370" s="3"/>
      <c r="AH1370" s="4" t="s">
        <v>148</v>
      </c>
    </row>
    <row r="1371" spans="1:34" hidden="1" x14ac:dyDescent="0.35">
      <c r="A1371" t="str">
        <f>_xlfn.CONCAT(Tableau1[[#This Row],[Athletes]],"_",Tableau1[[#This Row],[Nationality]],"_",Tableau1[[#This Row],[Competition_year]])</f>
        <v>Kumari TAKI_KEN_2022</v>
      </c>
      <c r="B1371" t="s">
        <v>257</v>
      </c>
      <c r="C1371" t="s">
        <v>16</v>
      </c>
      <c r="D1371" t="s">
        <v>17</v>
      </c>
      <c r="E1371">
        <v>13.63</v>
      </c>
      <c r="F1371">
        <v>14.47</v>
      </c>
      <c r="G1371">
        <v>14.63</v>
      </c>
      <c r="H1371">
        <v>15.67</v>
      </c>
      <c r="I1371">
        <v>13.72</v>
      </c>
      <c r="J1371">
        <v>14.23</v>
      </c>
      <c r="K1371">
        <v>14.24</v>
      </c>
      <c r="L1371">
        <v>14.84</v>
      </c>
      <c r="M1371">
        <v>15.21</v>
      </c>
      <c r="N1371">
        <v>15.79</v>
      </c>
      <c r="O1371">
        <v>16.239999999999998</v>
      </c>
      <c r="P1371">
        <v>17.010000000000002</v>
      </c>
      <c r="Q1371">
        <v>17.579999999999998</v>
      </c>
      <c r="R1371">
        <v>17.16</v>
      </c>
      <c r="S1371">
        <f>Tableau1[[#This Row],[Final_time]]-SUM(Tableau1[[#This Row],[0_100m]:[1300_1400m]])</f>
        <v>15.730000000000018</v>
      </c>
      <c r="T1371">
        <v>230.15</v>
      </c>
      <c r="U1371">
        <f t="shared" si="42"/>
        <v>230.15</v>
      </c>
      <c r="V1371">
        <f t="shared" si="43"/>
        <v>0</v>
      </c>
      <c r="W1371" s="12"/>
      <c r="X1371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71" t="s">
        <v>136</v>
      </c>
      <c r="Z1371" s="2" t="s">
        <v>106</v>
      </c>
      <c r="AA1371" s="2" t="s">
        <v>131</v>
      </c>
      <c r="AB1371" s="2" t="s">
        <v>65</v>
      </c>
      <c r="AC1371" s="2">
        <v>44759</v>
      </c>
      <c r="AD1371" s="3">
        <v>2022</v>
      </c>
      <c r="AE1371" s="3">
        <v>25</v>
      </c>
      <c r="AF1371" s="5">
        <v>0.44</v>
      </c>
      <c r="AG1371" s="3"/>
      <c r="AH1371" s="4" t="s">
        <v>148</v>
      </c>
    </row>
    <row r="1372" spans="1:34" hidden="1" x14ac:dyDescent="0.35">
      <c r="A1372" t="str">
        <f>_xlfn.CONCAT(Tableau1[[#This Row],[Athletes]],"_",Tableau1[[#This Row],[Nationality]],"_",Tableau1[[#This Row],[Competition_year]])</f>
        <v>William PAULSON_CAN_2022</v>
      </c>
      <c r="B1372" t="s">
        <v>261</v>
      </c>
      <c r="C1372" t="s">
        <v>16</v>
      </c>
      <c r="D1372" t="s">
        <v>55</v>
      </c>
      <c r="E1372">
        <v>13.72</v>
      </c>
      <c r="F1372">
        <v>14.72</v>
      </c>
      <c r="G1372">
        <v>14.48</v>
      </c>
      <c r="H1372">
        <v>14.85</v>
      </c>
      <c r="I1372">
        <v>14.29</v>
      </c>
      <c r="J1372">
        <v>14.35</v>
      </c>
      <c r="K1372">
        <v>14.15</v>
      </c>
      <c r="L1372">
        <v>14.61</v>
      </c>
      <c r="M1372">
        <v>14.48</v>
      </c>
      <c r="N1372">
        <v>14.74</v>
      </c>
      <c r="O1372">
        <v>14.8</v>
      </c>
      <c r="P1372">
        <v>14.79</v>
      </c>
      <c r="Q1372">
        <v>15.13</v>
      </c>
      <c r="R1372">
        <v>15.45</v>
      </c>
      <c r="S1372">
        <f>Tableau1[[#This Row],[Final_time]]-SUM(Tableau1[[#This Row],[0_100m]:[1300_1400m]])</f>
        <v>15.849999999999994</v>
      </c>
      <c r="T1372">
        <v>220.41</v>
      </c>
      <c r="U1372">
        <f t="shared" si="42"/>
        <v>220.41</v>
      </c>
      <c r="V1372">
        <f t="shared" si="43"/>
        <v>0</v>
      </c>
      <c r="W1372" s="12"/>
      <c r="X1372" t="str">
        <f>_xlfn.CONCAT(Tableau1[[#This Row],[Competition]],"_",Tableau1[[#This Row],[Championship_step]],"_",Tableau1[[#This Row],[Competition_date]],"_",Tableau1[[#This Row],[Gender]])</f>
        <v>World Championships Eugene 2022_Semi 2_44759_Male</v>
      </c>
      <c r="Y1372" t="s">
        <v>136</v>
      </c>
      <c r="Z1372" s="2" t="s">
        <v>106</v>
      </c>
      <c r="AA1372" s="2" t="s">
        <v>131</v>
      </c>
      <c r="AB1372" s="2" t="s">
        <v>65</v>
      </c>
      <c r="AC1372" s="2">
        <v>44759</v>
      </c>
      <c r="AD1372" s="3">
        <v>2022</v>
      </c>
      <c r="AE1372" s="3">
        <v>25</v>
      </c>
      <c r="AF1372" s="5">
        <v>0.44</v>
      </c>
      <c r="AG1372" s="3"/>
      <c r="AH1372" s="4" t="s">
        <v>148</v>
      </c>
    </row>
    <row r="1373" spans="1:34" hidden="1" x14ac:dyDescent="0.35">
      <c r="A1373" t="str">
        <f>_xlfn.CONCAT(Tableau1[[#This Row],[Athletes]],"_",Tableau1[[#This Row],[Nationality]],"_",Tableau1[[#This Row],[Competition_year]])</f>
        <v>Faith KIPYEGON_KEN_2025</v>
      </c>
      <c r="B1373" s="7" t="s">
        <v>164</v>
      </c>
      <c r="C1373" s="7" t="s">
        <v>47</v>
      </c>
      <c r="D1373" s="7" t="s">
        <v>17</v>
      </c>
      <c r="E1373" s="7">
        <v>15.04</v>
      </c>
      <c r="F1373" s="7">
        <v>16.34</v>
      </c>
      <c r="G1373" s="7">
        <v>16.3</v>
      </c>
      <c r="H1373" s="7">
        <v>16.39</v>
      </c>
      <c r="I1373" s="7">
        <v>15.8</v>
      </c>
      <c r="J1373" s="7">
        <v>16.170000000000002</v>
      </c>
      <c r="K1373" s="7">
        <v>15.58</v>
      </c>
      <c r="L1373" s="7">
        <v>15.66</v>
      </c>
      <c r="M1373" s="7">
        <v>15.44</v>
      </c>
      <c r="N1373" s="7">
        <v>15.55</v>
      </c>
      <c r="O1373" s="7">
        <v>15.16</v>
      </c>
      <c r="P1373" s="7">
        <v>14.58</v>
      </c>
      <c r="Q1373" s="7">
        <v>14.49</v>
      </c>
      <c r="R1373" s="7">
        <v>14.67</v>
      </c>
      <c r="S1373">
        <f>Tableau1[[#This Row],[Final_time]]-SUM(Tableau1[[#This Row],[0_100m]:[1300_1400m]])</f>
        <v>14.97999999999999</v>
      </c>
      <c r="T1373" s="7">
        <v>232.15</v>
      </c>
      <c r="U1373">
        <f t="shared" si="42"/>
        <v>232.15</v>
      </c>
      <c r="V1373">
        <f t="shared" si="43"/>
        <v>0</v>
      </c>
      <c r="W1373" s="12"/>
      <c r="X1373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3" t="s">
        <v>1378</v>
      </c>
      <c r="Z1373" s="2" t="s">
        <v>110</v>
      </c>
      <c r="AA1373" s="2" t="s">
        <v>132</v>
      </c>
      <c r="AB1373" s="2" t="s">
        <v>65</v>
      </c>
      <c r="AC1373" s="2">
        <v>45916</v>
      </c>
      <c r="AD1373" s="3">
        <v>2025</v>
      </c>
      <c r="AE1373" s="3">
        <v>28</v>
      </c>
      <c r="AF1373" s="5">
        <v>0.79</v>
      </c>
      <c r="AG1373" s="3"/>
    </row>
    <row r="1374" spans="1:34" hidden="1" x14ac:dyDescent="0.35">
      <c r="A1374" t="str">
        <f>_xlfn.CONCAT(Tableau1[[#This Row],[Athletes]],"_",Tableau1[[#This Row],[Nationality]],"_",Tableau1[[#This Row],[Competition_year]])</f>
        <v>Sarah MADELEINE_FRA_2025</v>
      </c>
      <c r="B1374" s="7" t="s">
        <v>1349</v>
      </c>
      <c r="C1374" s="7" t="s">
        <v>47</v>
      </c>
      <c r="D1374" s="7" t="s">
        <v>18</v>
      </c>
      <c r="E1374" s="7">
        <v>15.5</v>
      </c>
      <c r="F1374" s="7">
        <v>16.920000000000002</v>
      </c>
      <c r="G1374" s="7">
        <v>16.12</v>
      </c>
      <c r="H1374" s="7">
        <v>16.64</v>
      </c>
      <c r="I1374" s="7">
        <v>15.92</v>
      </c>
      <c r="J1374" s="7">
        <v>16.46</v>
      </c>
      <c r="K1374" s="7">
        <v>15.36</v>
      </c>
      <c r="L1374" s="7">
        <v>15.85</v>
      </c>
      <c r="M1374" s="7">
        <v>15.45</v>
      </c>
      <c r="N1374" s="7">
        <v>15.94</v>
      </c>
      <c r="O1374" s="7">
        <v>15.47</v>
      </c>
      <c r="P1374" s="7">
        <v>16.079999999999998</v>
      </c>
      <c r="Q1374" s="7">
        <v>15.45</v>
      </c>
      <c r="R1374" s="7">
        <v>15.71</v>
      </c>
      <c r="S1374">
        <f>Tableau1[[#This Row],[Final_time]]-SUM(Tableau1[[#This Row],[0_100m]:[1300_1400m]])</f>
        <v>15.220000000000027</v>
      </c>
      <c r="T1374" s="7">
        <v>238.09</v>
      </c>
      <c r="U1374">
        <f t="shared" si="42"/>
        <v>238.09</v>
      </c>
      <c r="V1374">
        <f t="shared" si="43"/>
        <v>0</v>
      </c>
      <c r="W1374" s="12"/>
      <c r="X1374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4" t="s">
        <v>1378</v>
      </c>
      <c r="Z1374" s="2" t="s">
        <v>110</v>
      </c>
      <c r="AA1374" s="2" t="s">
        <v>132</v>
      </c>
      <c r="AB1374" s="2" t="s">
        <v>65</v>
      </c>
      <c r="AC1374" s="2">
        <v>45916</v>
      </c>
      <c r="AD1374" s="3">
        <v>2025</v>
      </c>
      <c r="AE1374" s="3">
        <v>28</v>
      </c>
      <c r="AF1374" s="5">
        <v>0.79</v>
      </c>
      <c r="AG1374" s="3"/>
    </row>
    <row r="1375" spans="1:34" hidden="1" x14ac:dyDescent="0.35">
      <c r="A1375" t="str">
        <f>_xlfn.CONCAT(Tableau1[[#This Row],[Athletes]],"_",Tableau1[[#This Row],[Nationality]],"_",Tableau1[[#This Row],[Competition_year]])</f>
        <v>Klaudia KAZIMIERSKA_POL_2025</v>
      </c>
      <c r="B1375" s="7" t="s">
        <v>1043</v>
      </c>
      <c r="C1375" s="7" t="s">
        <v>47</v>
      </c>
      <c r="D1375" s="7" t="s">
        <v>83</v>
      </c>
      <c r="E1375" s="7">
        <v>15.17</v>
      </c>
      <c r="F1375" s="7">
        <v>16.75</v>
      </c>
      <c r="G1375" s="7">
        <v>16.27</v>
      </c>
      <c r="H1375" s="7">
        <v>16.559999999999999</v>
      </c>
      <c r="I1375" s="7">
        <v>15.73</v>
      </c>
      <c r="J1375" s="7">
        <v>16.23</v>
      </c>
      <c r="K1375" s="7">
        <v>15.51</v>
      </c>
      <c r="L1375" s="7">
        <v>15.85</v>
      </c>
      <c r="M1375" s="7">
        <v>15.68</v>
      </c>
      <c r="N1375" s="7">
        <v>15.98</v>
      </c>
      <c r="O1375" s="7">
        <v>15.54</v>
      </c>
      <c r="P1375" s="7">
        <v>15.93</v>
      </c>
      <c r="Q1375" s="7">
        <v>15.3</v>
      </c>
      <c r="R1375" s="7">
        <v>15.93</v>
      </c>
      <c r="S1375">
        <f>Tableau1[[#This Row],[Final_time]]-SUM(Tableau1[[#This Row],[0_100m]:[1300_1400m]])</f>
        <v>15.519999999999953</v>
      </c>
      <c r="T1375" s="7">
        <v>237.95</v>
      </c>
      <c r="U1375">
        <f t="shared" si="42"/>
        <v>237.95</v>
      </c>
      <c r="V1375">
        <f t="shared" si="43"/>
        <v>0</v>
      </c>
      <c r="W1375" s="12"/>
      <c r="X1375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5" t="s">
        <v>1378</v>
      </c>
      <c r="Z1375" s="2" t="s">
        <v>110</v>
      </c>
      <c r="AA1375" s="2" t="s">
        <v>132</v>
      </c>
      <c r="AB1375" s="2" t="s">
        <v>65</v>
      </c>
      <c r="AC1375" s="2">
        <v>45916</v>
      </c>
      <c r="AD1375" s="3">
        <v>2025</v>
      </c>
      <c r="AE1375" s="3">
        <v>28</v>
      </c>
      <c r="AF1375" s="5">
        <v>0.79</v>
      </c>
      <c r="AG1375" s="3"/>
    </row>
    <row r="1376" spans="1:34" hidden="1" x14ac:dyDescent="0.35">
      <c r="A1376" t="str">
        <f>_xlfn.CONCAT(Tableau1[[#This Row],[Athletes]],"_",Tableau1[[#This Row],[Nationality]],"_",Tableau1[[#This Row],[Competition_year]])</f>
        <v>Dorcus EWOI_KEN_2025</v>
      </c>
      <c r="B1376" s="7" t="s">
        <v>1390</v>
      </c>
      <c r="C1376" s="7" t="s">
        <v>47</v>
      </c>
      <c r="D1376" s="7" t="s">
        <v>17</v>
      </c>
      <c r="E1376" s="7">
        <v>15.24</v>
      </c>
      <c r="F1376" s="7">
        <v>16.510000000000002</v>
      </c>
      <c r="G1376" s="7">
        <v>16.39</v>
      </c>
      <c r="H1376" s="7">
        <v>16.47</v>
      </c>
      <c r="I1376" s="7">
        <v>15.73</v>
      </c>
      <c r="J1376" s="7">
        <v>16.170000000000002</v>
      </c>
      <c r="K1376" s="7">
        <v>15.55</v>
      </c>
      <c r="L1376" s="7">
        <v>15.68</v>
      </c>
      <c r="M1376" s="7">
        <v>15.35</v>
      </c>
      <c r="N1376" s="7">
        <v>15.52</v>
      </c>
      <c r="O1376" s="7">
        <v>15.21</v>
      </c>
      <c r="P1376" s="7">
        <v>14.76</v>
      </c>
      <c r="Q1376" s="7">
        <v>15.15</v>
      </c>
      <c r="R1376" s="7">
        <v>15.55</v>
      </c>
      <c r="S1376">
        <f>Tableau1[[#This Row],[Final_time]]-SUM(Tableau1[[#This Row],[0_100m]:[1300_1400m]])</f>
        <v>15.639999999999958</v>
      </c>
      <c r="T1376" s="7">
        <v>234.92</v>
      </c>
      <c r="U1376">
        <f t="shared" si="42"/>
        <v>234.92</v>
      </c>
      <c r="V1376">
        <f t="shared" si="43"/>
        <v>0</v>
      </c>
      <c r="W1376" s="12"/>
      <c r="X1376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6" t="s">
        <v>1378</v>
      </c>
      <c r="Z1376" s="2" t="s">
        <v>110</v>
      </c>
      <c r="AA1376" s="2" t="s">
        <v>132</v>
      </c>
      <c r="AB1376" s="2" t="s">
        <v>65</v>
      </c>
      <c r="AC1376" s="2">
        <v>45916</v>
      </c>
      <c r="AD1376" s="3">
        <v>2025</v>
      </c>
      <c r="AE1376" s="3">
        <v>28</v>
      </c>
      <c r="AF1376" s="5">
        <v>0.79</v>
      </c>
      <c r="AG1376" s="3"/>
    </row>
    <row r="1377" spans="1:33" hidden="1" x14ac:dyDescent="0.35">
      <c r="A1377" t="str">
        <f>_xlfn.CONCAT(Tableau1[[#This Row],[Athletes]],"_",Tableau1[[#This Row],[Nationality]],"_",Tableau1[[#This Row],[Competition_year]])</f>
        <v>Nikki HILTZ_USA_2025</v>
      </c>
      <c r="B1377" s="7" t="s">
        <v>154</v>
      </c>
      <c r="C1377" s="7" t="s">
        <v>47</v>
      </c>
      <c r="D1377" s="7" t="s">
        <v>51</v>
      </c>
      <c r="E1377" s="7">
        <v>15.23</v>
      </c>
      <c r="F1377" s="7">
        <v>16.670000000000002</v>
      </c>
      <c r="G1377" s="7">
        <v>16.32</v>
      </c>
      <c r="H1377" s="7">
        <v>16.55</v>
      </c>
      <c r="I1377" s="7">
        <v>15.79</v>
      </c>
      <c r="J1377" s="7">
        <v>16.07</v>
      </c>
      <c r="K1377" s="7">
        <v>15.63</v>
      </c>
      <c r="L1377" s="7">
        <v>15.65</v>
      </c>
      <c r="M1377" s="7">
        <v>15.42</v>
      </c>
      <c r="N1377" s="7">
        <v>15.61</v>
      </c>
      <c r="O1377" s="7">
        <v>15.23</v>
      </c>
      <c r="P1377" s="7">
        <v>15.33</v>
      </c>
      <c r="Q1377" s="7">
        <v>15.64</v>
      </c>
      <c r="R1377" s="7">
        <v>16.2</v>
      </c>
      <c r="S1377">
        <f>Tableau1[[#This Row],[Final_time]]-SUM(Tableau1[[#This Row],[0_100m]:[1300_1400m]])</f>
        <v>15.740000000000038</v>
      </c>
      <c r="T1377" s="7">
        <v>237.08</v>
      </c>
      <c r="U1377">
        <f t="shared" si="42"/>
        <v>237.08</v>
      </c>
      <c r="V1377">
        <f t="shared" si="43"/>
        <v>0</v>
      </c>
      <c r="W1377" s="12"/>
      <c r="X1377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7" t="s">
        <v>1378</v>
      </c>
      <c r="Z1377" s="2" t="s">
        <v>110</v>
      </c>
      <c r="AA1377" s="2" t="s">
        <v>132</v>
      </c>
      <c r="AB1377" s="2" t="s">
        <v>65</v>
      </c>
      <c r="AC1377" s="2">
        <v>45916</v>
      </c>
      <c r="AD1377" s="3">
        <v>2025</v>
      </c>
      <c r="AE1377" s="3">
        <v>28</v>
      </c>
      <c r="AF1377" s="5">
        <v>0.79</v>
      </c>
      <c r="AG1377" s="3"/>
    </row>
    <row r="1378" spans="1:33" hidden="1" x14ac:dyDescent="0.35">
      <c r="A1378" t="str">
        <f>_xlfn.CONCAT(Tableau1[[#This Row],[Athletes]],"_",Tableau1[[#This Row],[Nationality]],"_",Tableau1[[#This Row],[Competition_year]])</f>
        <v>Marta PÉREZ_ESP_2025</v>
      </c>
      <c r="B1378" s="7" t="s">
        <v>183</v>
      </c>
      <c r="C1378" s="7" t="s">
        <v>47</v>
      </c>
      <c r="D1378" s="7" t="s">
        <v>22</v>
      </c>
      <c r="E1378" s="7">
        <v>15.29</v>
      </c>
      <c r="F1378" s="7">
        <v>16.59</v>
      </c>
      <c r="G1378" s="7">
        <v>16.45</v>
      </c>
      <c r="H1378" s="7">
        <v>16.57</v>
      </c>
      <c r="I1378" s="7">
        <v>15.78</v>
      </c>
      <c r="J1378" s="7">
        <v>16.239999999999998</v>
      </c>
      <c r="K1378" s="7">
        <v>15.5</v>
      </c>
      <c r="L1378" s="7">
        <v>15.88</v>
      </c>
      <c r="M1378" s="7">
        <v>15.34</v>
      </c>
      <c r="N1378" s="7">
        <v>15.85</v>
      </c>
      <c r="O1378" s="7">
        <v>15.61</v>
      </c>
      <c r="P1378" s="7">
        <v>15.92</v>
      </c>
      <c r="Q1378" s="7">
        <v>15.74</v>
      </c>
      <c r="R1378" s="7">
        <v>15.81</v>
      </c>
      <c r="S1378">
        <f>Tableau1[[#This Row],[Final_time]]-SUM(Tableau1[[#This Row],[0_100m]:[1300_1400m]])</f>
        <v>15.96999999999997</v>
      </c>
      <c r="T1378" s="7">
        <v>238.54</v>
      </c>
      <c r="U1378">
        <f t="shared" si="42"/>
        <v>238.54</v>
      </c>
      <c r="V1378">
        <f t="shared" si="43"/>
        <v>0</v>
      </c>
      <c r="W1378" s="12"/>
      <c r="X1378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8" t="s">
        <v>1378</v>
      </c>
      <c r="Z1378" s="2" t="s">
        <v>110</v>
      </c>
      <c r="AA1378" s="2" t="s">
        <v>132</v>
      </c>
      <c r="AB1378" s="2" t="s">
        <v>65</v>
      </c>
      <c r="AC1378" s="2">
        <v>45916</v>
      </c>
      <c r="AD1378" s="3">
        <v>2025</v>
      </c>
      <c r="AE1378" s="3">
        <v>28</v>
      </c>
      <c r="AF1378" s="5">
        <v>0.79</v>
      </c>
      <c r="AG1378" s="3"/>
    </row>
    <row r="1379" spans="1:33" hidden="1" x14ac:dyDescent="0.35">
      <c r="A1379" t="str">
        <f>_xlfn.CONCAT(Tableau1[[#This Row],[Athletes]],"_",Tableau1[[#This Row],[Nationality]],"_",Tableau1[[#This Row],[Competition_year]])</f>
        <v>Sarah HEALY_IRL_2025</v>
      </c>
      <c r="B1379" s="7" t="s">
        <v>166</v>
      </c>
      <c r="C1379" s="7" t="s">
        <v>47</v>
      </c>
      <c r="D1379" s="7" t="s">
        <v>35</v>
      </c>
      <c r="E1379" s="7">
        <v>15.32</v>
      </c>
      <c r="F1379" s="7">
        <v>16.78</v>
      </c>
      <c r="G1379" s="7">
        <v>16.34</v>
      </c>
      <c r="H1379" s="7">
        <v>16.48</v>
      </c>
      <c r="I1379" s="7">
        <v>15.75</v>
      </c>
      <c r="J1379" s="7">
        <v>16.29</v>
      </c>
      <c r="K1379" s="7">
        <v>15.47</v>
      </c>
      <c r="L1379" s="7">
        <v>15.7</v>
      </c>
      <c r="M1379" s="7">
        <v>15.3</v>
      </c>
      <c r="N1379" s="7">
        <v>15.82</v>
      </c>
      <c r="O1379" s="7">
        <v>15.67</v>
      </c>
      <c r="P1379" s="7">
        <v>15.89</v>
      </c>
      <c r="Q1379" s="7">
        <v>16.05</v>
      </c>
      <c r="R1379" s="7">
        <v>16.28</v>
      </c>
      <c r="S1379">
        <f>Tableau1[[#This Row],[Final_time]]-SUM(Tableau1[[#This Row],[0_100m]:[1300_1400m]])</f>
        <v>15.999999999999972</v>
      </c>
      <c r="T1379" s="7">
        <v>239.14</v>
      </c>
      <c r="U1379">
        <f t="shared" si="42"/>
        <v>239.14</v>
      </c>
      <c r="V1379">
        <f t="shared" si="43"/>
        <v>0</v>
      </c>
      <c r="W1379" s="12"/>
      <c r="X1379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79" t="s">
        <v>1378</v>
      </c>
      <c r="Z1379" s="2" t="s">
        <v>110</v>
      </c>
      <c r="AA1379" s="2" t="s">
        <v>132</v>
      </c>
      <c r="AB1379" s="2" t="s">
        <v>65</v>
      </c>
      <c r="AC1379" s="2">
        <v>45916</v>
      </c>
      <c r="AD1379" s="3">
        <v>2025</v>
      </c>
      <c r="AE1379" s="3">
        <v>28</v>
      </c>
      <c r="AF1379" s="5">
        <v>0.79</v>
      </c>
      <c r="AG1379" s="3"/>
    </row>
    <row r="1380" spans="1:33" hidden="1" x14ac:dyDescent="0.35">
      <c r="A1380" t="str">
        <f>_xlfn.CONCAT(Tableau1[[#This Row],[Athletes]],"_",Tableau1[[#This Row],[Nationality]],"_",Tableau1[[#This Row],[Competition_year]])</f>
        <v>Nelly CHEPCHIRCHIR_KEN_2025</v>
      </c>
      <c r="B1380" s="7" t="s">
        <v>178</v>
      </c>
      <c r="C1380" s="7" t="s">
        <v>47</v>
      </c>
      <c r="D1380" s="7" t="s">
        <v>17</v>
      </c>
      <c r="E1380" s="7">
        <v>15.15</v>
      </c>
      <c r="F1380" s="7">
        <v>16.55</v>
      </c>
      <c r="G1380" s="7">
        <v>16.29</v>
      </c>
      <c r="H1380" s="7">
        <v>16.41</v>
      </c>
      <c r="I1380" s="7">
        <v>15.71</v>
      </c>
      <c r="J1380" s="7">
        <v>16.2</v>
      </c>
      <c r="K1380" s="7">
        <v>15.52</v>
      </c>
      <c r="L1380" s="7">
        <v>15.67</v>
      </c>
      <c r="M1380" s="7">
        <v>15.47</v>
      </c>
      <c r="N1380" s="7">
        <v>15.58</v>
      </c>
      <c r="O1380" s="7">
        <v>14.95</v>
      </c>
      <c r="P1380" s="7">
        <v>14.94</v>
      </c>
      <c r="Q1380" s="7">
        <v>14.87</v>
      </c>
      <c r="R1380" s="7">
        <v>15.93</v>
      </c>
      <c r="S1380">
        <f>Tableau1[[#This Row],[Final_time]]-SUM(Tableau1[[#This Row],[0_100m]:[1300_1400m]])</f>
        <v>16.009999999999962</v>
      </c>
      <c r="T1380" s="7">
        <v>235.25</v>
      </c>
      <c r="U1380">
        <f t="shared" si="42"/>
        <v>235.25</v>
      </c>
      <c r="V1380">
        <f t="shared" si="43"/>
        <v>0</v>
      </c>
      <c r="W1380" s="12"/>
      <c r="X1380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0" t="s">
        <v>1378</v>
      </c>
      <c r="Z1380" s="2" t="s">
        <v>110</v>
      </c>
      <c r="AA1380" s="2" t="s">
        <v>132</v>
      </c>
      <c r="AB1380" s="2" t="s">
        <v>65</v>
      </c>
      <c r="AC1380" s="2">
        <v>45916</v>
      </c>
      <c r="AD1380" s="3">
        <v>2025</v>
      </c>
      <c r="AE1380" s="3">
        <v>28</v>
      </c>
      <c r="AF1380" s="5">
        <v>0.79</v>
      </c>
      <c r="AG1380" s="3"/>
    </row>
    <row r="1381" spans="1:33" hidden="1" x14ac:dyDescent="0.35">
      <c r="A1381" t="str">
        <f>_xlfn.CONCAT(Tableau1[[#This Row],[Athletes]],"_",Tableau1[[#This Row],[Nationality]],"_",Tableau1[[#This Row],[Competition_year]])</f>
        <v>Freweyni HAILU_ETH_2025</v>
      </c>
      <c r="B1381" s="7" t="s">
        <v>144</v>
      </c>
      <c r="C1381" s="7" t="s">
        <v>47</v>
      </c>
      <c r="D1381" s="7" t="s">
        <v>48</v>
      </c>
      <c r="E1381" s="7">
        <v>15.62</v>
      </c>
      <c r="F1381" s="7">
        <v>17.25</v>
      </c>
      <c r="G1381" s="7">
        <v>15.65</v>
      </c>
      <c r="H1381" s="7">
        <v>16.670000000000002</v>
      </c>
      <c r="I1381" s="7">
        <v>15.65</v>
      </c>
      <c r="J1381" s="7">
        <v>16.34</v>
      </c>
      <c r="K1381" s="7">
        <v>15.48</v>
      </c>
      <c r="L1381" s="7">
        <v>15.91</v>
      </c>
      <c r="M1381" s="7">
        <v>14.87</v>
      </c>
      <c r="N1381" s="7">
        <v>15.53</v>
      </c>
      <c r="O1381" s="7">
        <v>14.93</v>
      </c>
      <c r="P1381" s="7">
        <v>15.06</v>
      </c>
      <c r="Q1381" s="7">
        <v>15.67</v>
      </c>
      <c r="R1381" s="7">
        <v>16.46</v>
      </c>
      <c r="S1381">
        <f>Tableau1[[#This Row],[Final_time]]-SUM(Tableau1[[#This Row],[0_100m]:[1300_1400m]])</f>
        <v>16.239999999999981</v>
      </c>
      <c r="T1381" s="7">
        <v>237.33</v>
      </c>
      <c r="U1381">
        <f t="shared" si="42"/>
        <v>237.33</v>
      </c>
      <c r="V1381">
        <f t="shared" si="43"/>
        <v>0</v>
      </c>
      <c r="W1381" s="12"/>
      <c r="X1381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1" t="s">
        <v>1378</v>
      </c>
      <c r="Z1381" s="2" t="s">
        <v>110</v>
      </c>
      <c r="AA1381" s="2" t="s">
        <v>132</v>
      </c>
      <c r="AB1381" s="2" t="s">
        <v>65</v>
      </c>
      <c r="AC1381" s="2">
        <v>45916</v>
      </c>
      <c r="AD1381" s="3">
        <v>2025</v>
      </c>
      <c r="AE1381" s="3">
        <v>28</v>
      </c>
      <c r="AF1381" s="5">
        <v>0.79</v>
      </c>
      <c r="AG1381" s="3"/>
    </row>
    <row r="1382" spans="1:33" hidden="1" x14ac:dyDescent="0.35">
      <c r="A1382" t="str">
        <f>_xlfn.CONCAT(Tableau1[[#This Row],[Athletes]],"_",Tableau1[[#This Row],[Nationality]],"_",Tableau1[[#This Row],[Competition_year]])</f>
        <v>Jessica HULL_AUS_2025</v>
      </c>
      <c r="B1382" s="7" t="s">
        <v>187</v>
      </c>
      <c r="C1382" s="7" t="s">
        <v>47</v>
      </c>
      <c r="D1382" s="7" t="s">
        <v>21</v>
      </c>
      <c r="E1382" s="7">
        <v>15.35</v>
      </c>
      <c r="F1382" s="7">
        <v>16.16</v>
      </c>
      <c r="G1382" s="7">
        <v>16.36</v>
      </c>
      <c r="H1382" s="7">
        <v>16.38</v>
      </c>
      <c r="I1382" s="7">
        <v>15.83</v>
      </c>
      <c r="J1382" s="7">
        <v>16.11</v>
      </c>
      <c r="K1382" s="7">
        <v>15.6</v>
      </c>
      <c r="L1382" s="7">
        <v>15.66</v>
      </c>
      <c r="M1382" s="7">
        <v>15.4</v>
      </c>
      <c r="N1382" s="7">
        <v>15.58</v>
      </c>
      <c r="O1382" s="7">
        <v>15.19</v>
      </c>
      <c r="P1382" s="7">
        <v>14.59</v>
      </c>
      <c r="Q1382" s="7">
        <v>14.59</v>
      </c>
      <c r="R1382" s="7">
        <v>15.68</v>
      </c>
      <c r="S1382">
        <f>Tableau1[[#This Row],[Final_time]]-SUM(Tableau1[[#This Row],[0_100m]:[1300_1400m]])</f>
        <v>16.679999999999978</v>
      </c>
      <c r="T1382" s="7">
        <v>235.16</v>
      </c>
      <c r="U1382">
        <f t="shared" si="42"/>
        <v>235.16</v>
      </c>
      <c r="V1382">
        <f t="shared" si="43"/>
        <v>0</v>
      </c>
      <c r="W1382" s="12"/>
      <c r="X1382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2" t="s">
        <v>1378</v>
      </c>
      <c r="Z1382" s="2" t="s">
        <v>110</v>
      </c>
      <c r="AA1382" s="2" t="s">
        <v>132</v>
      </c>
      <c r="AB1382" s="2" t="s">
        <v>65</v>
      </c>
      <c r="AC1382" s="2">
        <v>45916</v>
      </c>
      <c r="AD1382" s="3">
        <v>2025</v>
      </c>
      <c r="AE1382" s="3">
        <v>28</v>
      </c>
      <c r="AF1382" s="5">
        <v>0.79</v>
      </c>
      <c r="AG1382" s="3"/>
    </row>
    <row r="1383" spans="1:33" hidden="1" x14ac:dyDescent="0.35">
      <c r="A1383" t="str">
        <f>_xlfn.CONCAT(Tableau1[[#This Row],[Athletes]],"_",Tableau1[[#This Row],[Nationality]],"_",Tableau1[[#This Row],[Competition_year]])</f>
        <v>Salomé AFONSO_POR_2025</v>
      </c>
      <c r="B1383" s="7" t="s">
        <v>174</v>
      </c>
      <c r="C1383" s="7" t="s">
        <v>47</v>
      </c>
      <c r="D1383" s="7" t="s">
        <v>33</v>
      </c>
      <c r="E1383" s="7">
        <v>15.52</v>
      </c>
      <c r="F1383" s="7">
        <v>17.079999999999998</v>
      </c>
      <c r="G1383" s="7">
        <v>16.25</v>
      </c>
      <c r="H1383" s="7">
        <v>16.55</v>
      </c>
      <c r="I1383" s="7">
        <v>15.53</v>
      </c>
      <c r="J1383" s="7">
        <v>16.350000000000001</v>
      </c>
      <c r="K1383" s="7">
        <v>15.34</v>
      </c>
      <c r="L1383" s="7">
        <v>15.87</v>
      </c>
      <c r="M1383" s="7">
        <v>15.5</v>
      </c>
      <c r="N1383" s="7">
        <v>15.92</v>
      </c>
      <c r="O1383" s="7">
        <v>15.9</v>
      </c>
      <c r="P1383" s="7">
        <v>15.69</v>
      </c>
      <c r="Q1383" s="7">
        <v>15.9</v>
      </c>
      <c r="R1383" s="7">
        <v>16.39</v>
      </c>
      <c r="S1383">
        <f>Tableau1[[#This Row],[Final_time]]-SUM(Tableau1[[#This Row],[0_100m]:[1300_1400m]])</f>
        <v>16.679999999999978</v>
      </c>
      <c r="T1383" s="7">
        <v>240.47</v>
      </c>
      <c r="U1383">
        <f t="shared" si="42"/>
        <v>240.47</v>
      </c>
      <c r="V1383">
        <f t="shared" si="43"/>
        <v>0</v>
      </c>
      <c r="W1383" s="12"/>
      <c r="X1383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3" t="s">
        <v>1378</v>
      </c>
      <c r="Z1383" s="2" t="s">
        <v>110</v>
      </c>
      <c r="AA1383" s="2" t="s">
        <v>132</v>
      </c>
      <c r="AB1383" s="2" t="s">
        <v>65</v>
      </c>
      <c r="AC1383" s="2">
        <v>45916</v>
      </c>
      <c r="AD1383" s="3">
        <v>2025</v>
      </c>
      <c r="AE1383" s="3">
        <v>28</v>
      </c>
      <c r="AF1383" s="5">
        <v>0.79</v>
      </c>
      <c r="AG1383" s="3"/>
    </row>
    <row r="1384" spans="1:33" hidden="1" x14ac:dyDescent="0.35">
      <c r="A1384" t="str">
        <f>_xlfn.CONCAT(Tableau1[[#This Row],[Athletes]],"_",Tableau1[[#This Row],[Nationality]],"_",Tableau1[[#This Row],[Competition_year]])</f>
        <v>Sinclaire JOHNSON_USA_2025</v>
      </c>
      <c r="B1384" s="7" t="s">
        <v>185</v>
      </c>
      <c r="C1384" s="7" t="s">
        <v>47</v>
      </c>
      <c r="D1384" s="7" t="s">
        <v>51</v>
      </c>
      <c r="E1384" s="7">
        <v>15.13</v>
      </c>
      <c r="F1384" s="7">
        <v>16.489999999999998</v>
      </c>
      <c r="G1384" s="7">
        <v>16.34</v>
      </c>
      <c r="H1384" s="7">
        <v>16.52</v>
      </c>
      <c r="I1384" s="7">
        <v>15.83</v>
      </c>
      <c r="J1384" s="7">
        <v>16.170000000000002</v>
      </c>
      <c r="K1384" s="7">
        <v>15.53</v>
      </c>
      <c r="L1384" s="7">
        <v>15.72</v>
      </c>
      <c r="M1384" s="7">
        <v>15.52</v>
      </c>
      <c r="N1384" s="7">
        <v>15.75</v>
      </c>
      <c r="O1384" s="7">
        <v>15.68</v>
      </c>
      <c r="P1384" s="7">
        <v>16.14</v>
      </c>
      <c r="Q1384" s="7">
        <v>16.57</v>
      </c>
      <c r="R1384" s="7">
        <v>16.8</v>
      </c>
      <c r="S1384">
        <f>Tableau1[[#This Row],[Final_time]]-SUM(Tableau1[[#This Row],[0_100m]:[1300_1400m]])</f>
        <v>16.72999999999999</v>
      </c>
      <c r="T1384" s="7">
        <v>240.92</v>
      </c>
      <c r="U1384">
        <f t="shared" si="42"/>
        <v>240.92</v>
      </c>
      <c r="V1384">
        <f t="shared" si="43"/>
        <v>0</v>
      </c>
      <c r="W1384" s="12"/>
      <c r="X1384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4" t="s">
        <v>1378</v>
      </c>
      <c r="Z1384" s="2" t="s">
        <v>110</v>
      </c>
      <c r="AA1384" s="2" t="s">
        <v>132</v>
      </c>
      <c r="AB1384" s="2" t="s">
        <v>65</v>
      </c>
      <c r="AC1384" s="2">
        <v>45916</v>
      </c>
      <c r="AD1384" s="3">
        <v>2025</v>
      </c>
      <c r="AE1384" s="3">
        <v>28</v>
      </c>
      <c r="AF1384" s="5">
        <v>0.79</v>
      </c>
      <c r="AG1384" s="3"/>
    </row>
    <row r="1385" spans="1:33" hidden="1" x14ac:dyDescent="0.35">
      <c r="A1385" t="str">
        <f>_xlfn.CONCAT(Tableau1[[#This Row],[Athletes]],"_",Tableau1[[#This Row],[Nationality]],"_",Tableau1[[#This Row],[Competition_year]])</f>
        <v>Gabriela DEBUES-STAFFORD_CAN_2025</v>
      </c>
      <c r="B1385" s="7" t="s">
        <v>298</v>
      </c>
      <c r="C1385" s="7" t="s">
        <v>47</v>
      </c>
      <c r="D1385" s="7" t="s">
        <v>55</v>
      </c>
      <c r="E1385" s="7">
        <v>15.4</v>
      </c>
      <c r="F1385" s="7">
        <v>16.97</v>
      </c>
      <c r="G1385" s="7">
        <v>16.260000000000002</v>
      </c>
      <c r="H1385" s="7">
        <v>16.93</v>
      </c>
      <c r="I1385" s="7">
        <v>15.77</v>
      </c>
      <c r="J1385" s="7">
        <v>16.440000000000001</v>
      </c>
      <c r="K1385" s="7">
        <v>15.58</v>
      </c>
      <c r="L1385" s="7">
        <v>15.59</v>
      </c>
      <c r="M1385" s="7">
        <v>15.49</v>
      </c>
      <c r="N1385" s="7">
        <v>15.92</v>
      </c>
      <c r="O1385" s="7">
        <v>15.57</v>
      </c>
      <c r="P1385" s="7">
        <v>15.56</v>
      </c>
      <c r="Q1385" s="7">
        <v>15.43</v>
      </c>
      <c r="R1385" s="7">
        <v>15.94</v>
      </c>
      <c r="S1385">
        <f>Tableau1[[#This Row],[Final_time]]-SUM(Tableau1[[#This Row],[0_100m]:[1300_1400m]])</f>
        <v>16.800000000000011</v>
      </c>
      <c r="T1385" s="7">
        <v>239.65</v>
      </c>
      <c r="U1385">
        <f t="shared" si="42"/>
        <v>239.65</v>
      </c>
      <c r="V1385">
        <f t="shared" si="43"/>
        <v>0</v>
      </c>
      <c r="W1385" s="12"/>
      <c r="X1385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5" t="s">
        <v>1378</v>
      </c>
      <c r="Z1385" s="2" t="s">
        <v>110</v>
      </c>
      <c r="AA1385" s="2" t="s">
        <v>132</v>
      </c>
      <c r="AB1385" s="2" t="s">
        <v>65</v>
      </c>
      <c r="AC1385" s="2">
        <v>45916</v>
      </c>
      <c r="AD1385" s="3">
        <v>2025</v>
      </c>
      <c r="AE1385" s="3">
        <v>28</v>
      </c>
      <c r="AF1385" s="5">
        <v>0.79</v>
      </c>
      <c r="AG1385" s="3"/>
    </row>
    <row r="1386" spans="1:33" hidden="1" x14ac:dyDescent="0.35">
      <c r="A1386" t="str">
        <f>_xlfn.CONCAT(Tableau1[[#This Row],[Athletes]],"_",Tableau1[[#This Row],[Nationality]],"_",Tableau1[[#This Row],[Competition_year]])</f>
        <v>Nele WEßEL_GER_2025</v>
      </c>
      <c r="B1386" s="7" t="s">
        <v>1406</v>
      </c>
      <c r="C1386" s="7" t="s">
        <v>47</v>
      </c>
      <c r="D1386" s="7" t="s">
        <v>34</v>
      </c>
      <c r="E1386" s="7">
        <v>15.33</v>
      </c>
      <c r="F1386" s="7">
        <v>16.86</v>
      </c>
      <c r="G1386" s="7">
        <v>16.23</v>
      </c>
      <c r="H1386" s="7">
        <v>16.559999999999999</v>
      </c>
      <c r="I1386" s="7">
        <v>15.85</v>
      </c>
      <c r="J1386" s="7">
        <v>16.239999999999998</v>
      </c>
      <c r="K1386" s="7">
        <v>15.56</v>
      </c>
      <c r="L1386" s="7">
        <v>15.81</v>
      </c>
      <c r="M1386" s="7">
        <v>16.03</v>
      </c>
      <c r="N1386" s="7">
        <v>16.45</v>
      </c>
      <c r="O1386" s="7">
        <v>16.87</v>
      </c>
      <c r="P1386" s="7">
        <v>17.350000000000001</v>
      </c>
      <c r="Q1386" s="7">
        <v>17.98</v>
      </c>
      <c r="R1386" s="7">
        <v>18.59</v>
      </c>
      <c r="S1386">
        <f>Tableau1[[#This Row],[Final_time]]-SUM(Tableau1[[#This Row],[0_100m]:[1300_1400m]])</f>
        <v>18.600000000000023</v>
      </c>
      <c r="T1386" s="7">
        <v>250.31</v>
      </c>
      <c r="U1386">
        <f t="shared" si="42"/>
        <v>250.31</v>
      </c>
      <c r="V1386">
        <f t="shared" si="43"/>
        <v>0</v>
      </c>
      <c r="W1386" s="12"/>
      <c r="X1386" t="str">
        <f>_xlfn.CONCAT(Tableau1[[#This Row],[Competition]],"_",Tableau1[[#This Row],[Championship_step]],"_",Tableau1[[#This Row],[Competition_date]],"_",Tableau1[[#This Row],[Gender]])</f>
        <v>World Championships Tokyo 2025_Final_45916_Female</v>
      </c>
      <c r="Y1386" t="s">
        <v>1378</v>
      </c>
      <c r="Z1386" s="2" t="s">
        <v>110</v>
      </c>
      <c r="AA1386" s="2" t="s">
        <v>132</v>
      </c>
      <c r="AB1386" s="2" t="s">
        <v>65</v>
      </c>
      <c r="AC1386" s="2">
        <v>45916</v>
      </c>
      <c r="AD1386" s="3">
        <v>2025</v>
      </c>
      <c r="AE1386" s="3">
        <v>28</v>
      </c>
      <c r="AF1386" s="5">
        <v>0.79</v>
      </c>
      <c r="AG1386" s="3"/>
    </row>
    <row r="1387" spans="1:33" hidden="1" x14ac:dyDescent="0.35">
      <c r="A1387" t="str">
        <f>_xlfn.CONCAT(Tableau1[[#This Row],[Athletes]],"_",Tableau1[[#This Row],[Nationality]],"_",Tableau1[[#This Row],[Competition_year]])</f>
        <v>Isaac NADER_POR_2025</v>
      </c>
      <c r="B1387" s="7" t="s">
        <v>191</v>
      </c>
      <c r="C1387" s="7" t="s">
        <v>16</v>
      </c>
      <c r="D1387" s="7" t="s">
        <v>33</v>
      </c>
      <c r="E1387" s="7">
        <v>13.42</v>
      </c>
      <c r="F1387" s="7">
        <v>15.02</v>
      </c>
      <c r="G1387" s="7">
        <v>15.54</v>
      </c>
      <c r="H1387" s="7">
        <v>15.97</v>
      </c>
      <c r="I1387" s="7">
        <v>15.43</v>
      </c>
      <c r="J1387" s="7">
        <v>15.92</v>
      </c>
      <c r="K1387" s="7">
        <v>14.94</v>
      </c>
      <c r="L1387" s="7">
        <v>14.55</v>
      </c>
      <c r="M1387" s="7">
        <v>14.03</v>
      </c>
      <c r="N1387" s="7">
        <v>14.21</v>
      </c>
      <c r="O1387" s="7">
        <v>13.79</v>
      </c>
      <c r="P1387" s="7">
        <v>13.34</v>
      </c>
      <c r="Q1387" s="7">
        <v>12.63</v>
      </c>
      <c r="R1387" s="7">
        <v>13.02</v>
      </c>
      <c r="S1387">
        <f>Tableau1[[#This Row],[Final_time]]-SUM(Tableau1[[#This Row],[0_100m]:[1300_1400m]])</f>
        <v>12.289999999999992</v>
      </c>
      <c r="T1387" s="7">
        <v>214.1</v>
      </c>
      <c r="U1387">
        <f t="shared" si="42"/>
        <v>214.1</v>
      </c>
      <c r="V1387">
        <f t="shared" si="43"/>
        <v>0</v>
      </c>
      <c r="W1387" s="12"/>
      <c r="X1387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87" t="s">
        <v>1378</v>
      </c>
      <c r="Z1387" s="2" t="s">
        <v>110</v>
      </c>
      <c r="AA1387" s="2" t="s">
        <v>132</v>
      </c>
      <c r="AB1387" s="2" t="s">
        <v>65</v>
      </c>
      <c r="AC1387" s="2">
        <v>45917</v>
      </c>
      <c r="AD1387" s="3">
        <v>2025</v>
      </c>
      <c r="AE1387" s="3">
        <v>31</v>
      </c>
      <c r="AF1387" s="5">
        <v>0.62</v>
      </c>
      <c r="AG1387" s="3"/>
    </row>
    <row r="1388" spans="1:33" hidden="1" x14ac:dyDescent="0.35">
      <c r="A1388" t="str">
        <f>_xlfn.CONCAT(Tableau1[[#This Row],[Athletes]],"_",Tableau1[[#This Row],[Nationality]],"_",Tableau1[[#This Row],[Competition_year]])</f>
        <v>Reynold CHERUIYOT_KEN_2025</v>
      </c>
      <c r="B1388" s="7" t="s">
        <v>1192</v>
      </c>
      <c r="C1388" s="7" t="s">
        <v>16</v>
      </c>
      <c r="D1388" s="7" t="s">
        <v>17</v>
      </c>
      <c r="E1388" s="7">
        <v>13.59</v>
      </c>
      <c r="F1388" s="7">
        <v>15</v>
      </c>
      <c r="G1388" s="7">
        <v>15.25</v>
      </c>
      <c r="H1388" s="7">
        <v>15.93</v>
      </c>
      <c r="I1388" s="7">
        <v>15.44</v>
      </c>
      <c r="J1388" s="7">
        <v>15.92</v>
      </c>
      <c r="K1388" s="7">
        <v>14.8</v>
      </c>
      <c r="L1388" s="7">
        <v>14.37</v>
      </c>
      <c r="M1388" s="7">
        <v>14.13</v>
      </c>
      <c r="N1388" s="7">
        <v>14.29</v>
      </c>
      <c r="O1388" s="7">
        <v>13.73</v>
      </c>
      <c r="P1388" s="7">
        <v>13.37</v>
      </c>
      <c r="Q1388" s="7">
        <v>12.82</v>
      </c>
      <c r="R1388" s="7">
        <v>12.92</v>
      </c>
      <c r="S1388">
        <f>Tableau1[[#This Row],[Final_time]]-SUM(Tableau1[[#This Row],[0_100m]:[1300_1400m]])</f>
        <v>12.690000000000026</v>
      </c>
      <c r="T1388" s="7">
        <v>214.25</v>
      </c>
      <c r="U1388">
        <f t="shared" si="42"/>
        <v>214.25</v>
      </c>
      <c r="V1388">
        <f t="shared" si="43"/>
        <v>0</v>
      </c>
      <c r="W1388" s="12"/>
      <c r="X1388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88" t="s">
        <v>1378</v>
      </c>
      <c r="Z1388" s="2" t="s">
        <v>110</v>
      </c>
      <c r="AA1388" s="2" t="s">
        <v>132</v>
      </c>
      <c r="AB1388" s="2" t="s">
        <v>65</v>
      </c>
      <c r="AC1388" s="2">
        <v>45917</v>
      </c>
      <c r="AD1388" s="3">
        <v>2025</v>
      </c>
      <c r="AE1388" s="3">
        <v>31</v>
      </c>
      <c r="AF1388" s="5">
        <v>0.62</v>
      </c>
      <c r="AG1388" s="3"/>
    </row>
    <row r="1389" spans="1:33" hidden="1" x14ac:dyDescent="0.35">
      <c r="A1389" t="str">
        <f>_xlfn.CONCAT(Tableau1[[#This Row],[Athletes]],"_",Tableau1[[#This Row],[Nationality]],"_",Tableau1[[#This Row],[Competition_year]])</f>
        <v>Robert FARKEN_GER_2025</v>
      </c>
      <c r="B1389" s="7" t="s">
        <v>342</v>
      </c>
      <c r="C1389" s="7" t="s">
        <v>16</v>
      </c>
      <c r="D1389" s="7" t="s">
        <v>34</v>
      </c>
      <c r="E1389" s="7">
        <v>13.78</v>
      </c>
      <c r="F1389" s="7">
        <v>15.05</v>
      </c>
      <c r="G1389" s="7">
        <v>15.5</v>
      </c>
      <c r="H1389" s="7">
        <v>16.11</v>
      </c>
      <c r="I1389" s="7">
        <v>15.52</v>
      </c>
      <c r="J1389" s="7">
        <v>15.82</v>
      </c>
      <c r="K1389" s="7">
        <v>14.98</v>
      </c>
      <c r="L1389" s="7">
        <v>14.51</v>
      </c>
      <c r="M1389" s="7">
        <v>13.88</v>
      </c>
      <c r="N1389" s="7">
        <v>14.27</v>
      </c>
      <c r="O1389" s="7">
        <v>13.75</v>
      </c>
      <c r="P1389" s="7">
        <v>13.32</v>
      </c>
      <c r="Q1389" s="7">
        <v>12.79</v>
      </c>
      <c r="R1389" s="7">
        <v>13.04</v>
      </c>
      <c r="S1389">
        <f>Tableau1[[#This Row],[Final_time]]-SUM(Tableau1[[#This Row],[0_100m]:[1300_1400m]])</f>
        <v>12.830000000000013</v>
      </c>
      <c r="T1389" s="7">
        <v>215.15</v>
      </c>
      <c r="U1389">
        <f t="shared" si="42"/>
        <v>215.15</v>
      </c>
      <c r="V1389">
        <f t="shared" si="43"/>
        <v>0</v>
      </c>
      <c r="W1389" s="12"/>
      <c r="X1389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89" t="s">
        <v>1378</v>
      </c>
      <c r="Z1389" s="2" t="s">
        <v>110</v>
      </c>
      <c r="AA1389" s="2" t="s">
        <v>132</v>
      </c>
      <c r="AB1389" s="2" t="s">
        <v>65</v>
      </c>
      <c r="AC1389" s="2">
        <v>45917</v>
      </c>
      <c r="AD1389" s="3">
        <v>2025</v>
      </c>
      <c r="AE1389" s="3">
        <v>31</v>
      </c>
      <c r="AF1389" s="5">
        <v>0.62</v>
      </c>
      <c r="AG1389" s="3"/>
    </row>
    <row r="1390" spans="1:33" hidden="1" x14ac:dyDescent="0.35">
      <c r="A1390" t="str">
        <f>_xlfn.CONCAT(Tableau1[[#This Row],[Athletes]],"_",Tableau1[[#This Row],[Nationality]],"_",Tableau1[[#This Row],[Competition_year]])</f>
        <v>Jake WIGHTMAN_GBR_2025</v>
      </c>
      <c r="B1390" s="7" t="s">
        <v>150</v>
      </c>
      <c r="C1390" s="7" t="s">
        <v>16</v>
      </c>
      <c r="D1390" s="7" t="s">
        <v>20</v>
      </c>
      <c r="E1390" s="7">
        <v>13.35</v>
      </c>
      <c r="F1390" s="7">
        <v>14.98</v>
      </c>
      <c r="G1390" s="7">
        <v>15.46</v>
      </c>
      <c r="H1390" s="7">
        <v>15.97</v>
      </c>
      <c r="I1390" s="7">
        <v>15.45</v>
      </c>
      <c r="J1390" s="7">
        <v>15.88</v>
      </c>
      <c r="K1390" s="7">
        <v>15.01</v>
      </c>
      <c r="L1390" s="7">
        <v>14.37</v>
      </c>
      <c r="M1390" s="7">
        <v>14.02</v>
      </c>
      <c r="N1390" s="7">
        <v>14.12</v>
      </c>
      <c r="O1390" s="7">
        <v>13.81</v>
      </c>
      <c r="P1390" s="7">
        <v>13.37</v>
      </c>
      <c r="Q1390" s="7">
        <v>12.48</v>
      </c>
      <c r="R1390" s="7">
        <v>12.98</v>
      </c>
      <c r="S1390">
        <f>Tableau1[[#This Row],[Final_time]]-SUM(Tableau1[[#This Row],[0_100m]:[1300_1400m]])</f>
        <v>12.870000000000005</v>
      </c>
      <c r="T1390" s="7">
        <v>214.12</v>
      </c>
      <c r="U1390">
        <f t="shared" si="42"/>
        <v>214.12</v>
      </c>
      <c r="V1390">
        <f t="shared" si="43"/>
        <v>0</v>
      </c>
      <c r="W1390" s="12"/>
      <c r="X1390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0" t="s">
        <v>1378</v>
      </c>
      <c r="Z1390" s="2" t="s">
        <v>110</v>
      </c>
      <c r="AA1390" s="2" t="s">
        <v>132</v>
      </c>
      <c r="AB1390" s="2" t="s">
        <v>65</v>
      </c>
      <c r="AC1390" s="2">
        <v>45917</v>
      </c>
      <c r="AD1390" s="3">
        <v>2025</v>
      </c>
      <c r="AE1390" s="3">
        <v>31</v>
      </c>
      <c r="AF1390" s="5">
        <v>0.62</v>
      </c>
      <c r="AG1390" s="3"/>
    </row>
    <row r="1391" spans="1:33" hidden="1" x14ac:dyDescent="0.35">
      <c r="A1391" t="str">
        <f>_xlfn.CONCAT(Tableau1[[#This Row],[Athletes]],"_",Tableau1[[#This Row],[Nationality]],"_",Tableau1[[#This Row],[Competition_year]])</f>
        <v>Timothy CHERUIYOT_KEN_2025</v>
      </c>
      <c r="B1391" s="7" t="s">
        <v>205</v>
      </c>
      <c r="C1391" s="7" t="s">
        <v>16</v>
      </c>
      <c r="D1391" s="7" t="s">
        <v>17</v>
      </c>
      <c r="E1391" s="7">
        <v>14.14</v>
      </c>
      <c r="F1391" s="7">
        <v>14.45</v>
      </c>
      <c r="G1391" s="7">
        <v>15.01</v>
      </c>
      <c r="H1391" s="7">
        <v>15.92</v>
      </c>
      <c r="I1391" s="7">
        <v>15.49</v>
      </c>
      <c r="J1391" s="7">
        <v>15.95</v>
      </c>
      <c r="K1391" s="7">
        <v>14.71</v>
      </c>
      <c r="L1391" s="7">
        <v>14.21</v>
      </c>
      <c r="M1391" s="7">
        <v>14.21</v>
      </c>
      <c r="N1391" s="7">
        <v>14.38</v>
      </c>
      <c r="O1391" s="7">
        <v>13.75</v>
      </c>
      <c r="P1391" s="7">
        <v>13.36</v>
      </c>
      <c r="Q1391" s="7">
        <v>12.87</v>
      </c>
      <c r="R1391" s="7">
        <v>13.09</v>
      </c>
      <c r="S1391">
        <f>Tableau1[[#This Row],[Final_time]]-SUM(Tableau1[[#This Row],[0_100m]:[1300_1400m]])</f>
        <v>12.959999999999951</v>
      </c>
      <c r="T1391" s="7">
        <v>214.5</v>
      </c>
      <c r="U1391">
        <f t="shared" si="42"/>
        <v>214.5</v>
      </c>
      <c r="V1391">
        <f t="shared" si="43"/>
        <v>0</v>
      </c>
      <c r="W1391" s="12"/>
      <c r="X1391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1" t="s">
        <v>1378</v>
      </c>
      <c r="Z1391" s="2" t="s">
        <v>110</v>
      </c>
      <c r="AA1391" s="2" t="s">
        <v>132</v>
      </c>
      <c r="AB1391" s="2" t="s">
        <v>65</v>
      </c>
      <c r="AC1391" s="2">
        <v>45917</v>
      </c>
      <c r="AD1391" s="3">
        <v>2025</v>
      </c>
      <c r="AE1391" s="3">
        <v>31</v>
      </c>
      <c r="AF1391" s="5">
        <v>0.62</v>
      </c>
      <c r="AG1391" s="3"/>
    </row>
    <row r="1392" spans="1:33" hidden="1" x14ac:dyDescent="0.35">
      <c r="A1392" t="str">
        <f>_xlfn.CONCAT(Tableau1[[#This Row],[Athletes]],"_",Tableau1[[#This Row],[Nationality]],"_",Tableau1[[#This Row],[Competition_year]])</f>
        <v>Tshepo TSHITE_RSA_2025</v>
      </c>
      <c r="B1392" s="7" t="s">
        <v>201</v>
      </c>
      <c r="C1392" s="7" t="s">
        <v>16</v>
      </c>
      <c r="D1392" s="7" t="s">
        <v>36</v>
      </c>
      <c r="E1392" s="7">
        <v>13.72</v>
      </c>
      <c r="F1392" s="7">
        <v>15.27</v>
      </c>
      <c r="G1392" s="7">
        <v>15.46</v>
      </c>
      <c r="H1392" s="7">
        <v>16</v>
      </c>
      <c r="I1392" s="7">
        <v>15.55</v>
      </c>
      <c r="J1392" s="7">
        <v>15.76</v>
      </c>
      <c r="K1392" s="7">
        <v>14.87</v>
      </c>
      <c r="L1392" s="7">
        <v>14.56</v>
      </c>
      <c r="M1392" s="7">
        <v>14.05</v>
      </c>
      <c r="N1392" s="7">
        <v>14.14</v>
      </c>
      <c r="O1392" s="7">
        <v>13.62</v>
      </c>
      <c r="P1392" s="7">
        <v>13.65</v>
      </c>
      <c r="Q1392" s="7">
        <v>12.79</v>
      </c>
      <c r="R1392" s="7">
        <v>13.08</v>
      </c>
      <c r="S1392">
        <f>Tableau1[[#This Row],[Final_time]]-SUM(Tableau1[[#This Row],[0_100m]:[1300_1400m]])</f>
        <v>12.97999999999999</v>
      </c>
      <c r="T1392" s="7">
        <v>215.5</v>
      </c>
      <c r="U1392">
        <f t="shared" si="42"/>
        <v>215.5</v>
      </c>
      <c r="V1392">
        <f t="shared" si="43"/>
        <v>0</v>
      </c>
      <c r="W1392" s="12"/>
      <c r="X1392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2" t="s">
        <v>1378</v>
      </c>
      <c r="Z1392" s="2" t="s">
        <v>110</v>
      </c>
      <c r="AA1392" s="2" t="s">
        <v>132</v>
      </c>
      <c r="AB1392" s="2" t="s">
        <v>65</v>
      </c>
      <c r="AC1392" s="2">
        <v>45917</v>
      </c>
      <c r="AD1392" s="3">
        <v>2025</v>
      </c>
      <c r="AE1392" s="3">
        <v>31</v>
      </c>
      <c r="AF1392" s="5">
        <v>0.62</v>
      </c>
      <c r="AG1392" s="3"/>
    </row>
    <row r="1393" spans="1:33" hidden="1" x14ac:dyDescent="0.35">
      <c r="A1393" t="str">
        <f>_xlfn.CONCAT(Tableau1[[#This Row],[Athletes]],"_",Tableau1[[#This Row],[Nationality]],"_",Tableau1[[#This Row],[Competition_year]])</f>
        <v>Samuel PIHLSTRÖM_SWE_2025</v>
      </c>
      <c r="B1393" s="7" t="s">
        <v>1220</v>
      </c>
      <c r="C1393" s="7" t="s">
        <v>16</v>
      </c>
      <c r="D1393" s="7" t="s">
        <v>56</v>
      </c>
      <c r="E1393" s="7">
        <v>13.89</v>
      </c>
      <c r="F1393" s="7">
        <v>14.99</v>
      </c>
      <c r="G1393" s="7">
        <v>15.09</v>
      </c>
      <c r="H1393" s="7">
        <v>16.239999999999998</v>
      </c>
      <c r="I1393" s="7">
        <v>15.39</v>
      </c>
      <c r="J1393" s="7">
        <v>15.85</v>
      </c>
      <c r="K1393" s="7">
        <v>14.61</v>
      </c>
      <c r="L1393" s="7">
        <v>14.89</v>
      </c>
      <c r="M1393" s="7">
        <v>14.03</v>
      </c>
      <c r="N1393" s="7">
        <v>14.25</v>
      </c>
      <c r="O1393" s="7">
        <v>13.74</v>
      </c>
      <c r="P1393" s="7">
        <v>13.31</v>
      </c>
      <c r="Q1393" s="7">
        <v>13.18</v>
      </c>
      <c r="R1393" s="7">
        <v>13.28</v>
      </c>
      <c r="S1393">
        <f>Tableau1[[#This Row],[Final_time]]-SUM(Tableau1[[#This Row],[0_100m]:[1300_1400m]])</f>
        <v>13</v>
      </c>
      <c r="T1393" s="7">
        <v>215.74</v>
      </c>
      <c r="U1393">
        <f t="shared" si="42"/>
        <v>215.74</v>
      </c>
      <c r="V1393">
        <f t="shared" si="43"/>
        <v>0</v>
      </c>
      <c r="W1393" s="12"/>
      <c r="X1393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3" t="s">
        <v>1378</v>
      </c>
      <c r="Z1393" s="2" t="s">
        <v>110</v>
      </c>
      <c r="AA1393" s="2" t="s">
        <v>132</v>
      </c>
      <c r="AB1393" s="2" t="s">
        <v>65</v>
      </c>
      <c r="AC1393" s="2">
        <v>45917</v>
      </c>
      <c r="AD1393" s="3">
        <v>2025</v>
      </c>
      <c r="AE1393" s="3">
        <v>31</v>
      </c>
      <c r="AF1393" s="5">
        <v>0.62</v>
      </c>
      <c r="AG1393" s="3"/>
    </row>
    <row r="1394" spans="1:33" hidden="1" x14ac:dyDescent="0.35">
      <c r="A1394" t="str">
        <f>_xlfn.CONCAT(Tableau1[[#This Row],[Athletes]],"_",Tableau1[[#This Row],[Nationality]],"_",Tableau1[[#This Row],[Competition_year]])</f>
        <v>Niels LAROS_NED_2025</v>
      </c>
      <c r="B1394" s="7" t="s">
        <v>214</v>
      </c>
      <c r="C1394" s="7" t="s">
        <v>16</v>
      </c>
      <c r="D1394" s="7" t="s">
        <v>39</v>
      </c>
      <c r="E1394" s="7">
        <v>13.24</v>
      </c>
      <c r="F1394" s="7">
        <v>15.01</v>
      </c>
      <c r="G1394" s="7">
        <v>15.31</v>
      </c>
      <c r="H1394" s="7">
        <v>15.89</v>
      </c>
      <c r="I1394" s="7">
        <v>15.53</v>
      </c>
      <c r="J1394" s="7">
        <v>15.94</v>
      </c>
      <c r="K1394" s="7">
        <v>14.96</v>
      </c>
      <c r="L1394" s="7">
        <v>14.21</v>
      </c>
      <c r="M1394" s="7">
        <v>14.13</v>
      </c>
      <c r="N1394" s="7">
        <v>14.27</v>
      </c>
      <c r="O1394" s="7">
        <v>13.8</v>
      </c>
      <c r="P1394" s="7">
        <v>13.36</v>
      </c>
      <c r="Q1394" s="7">
        <v>12.78</v>
      </c>
      <c r="R1394" s="7">
        <v>12.91</v>
      </c>
      <c r="S1394">
        <f>Tableau1[[#This Row],[Final_time]]-SUM(Tableau1[[#This Row],[0_100m]:[1300_1400m]])</f>
        <v>13.179999999999978</v>
      </c>
      <c r="T1394" s="7">
        <v>214.52</v>
      </c>
      <c r="U1394">
        <f t="shared" si="42"/>
        <v>214.52</v>
      </c>
      <c r="V1394">
        <f t="shared" si="43"/>
        <v>0</v>
      </c>
      <c r="W1394" s="12"/>
      <c r="X1394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4" t="s">
        <v>1378</v>
      </c>
      <c r="Z1394" s="2" t="s">
        <v>110</v>
      </c>
      <c r="AA1394" s="2" t="s">
        <v>132</v>
      </c>
      <c r="AB1394" s="2" t="s">
        <v>65</v>
      </c>
      <c r="AC1394" s="2">
        <v>45917</v>
      </c>
      <c r="AD1394" s="3">
        <v>2025</v>
      </c>
      <c r="AE1394" s="3">
        <v>31</v>
      </c>
      <c r="AF1394" s="5">
        <v>0.62</v>
      </c>
      <c r="AG1394" s="3"/>
    </row>
    <row r="1395" spans="1:33" hidden="1" x14ac:dyDescent="0.35">
      <c r="A1395" t="str">
        <f>_xlfn.CONCAT(Tableau1[[#This Row],[Athletes]],"_",Tableau1[[#This Row],[Nationality]],"_",Tableau1[[#This Row],[Competition_year]])</f>
        <v>Federico RIVA_ITA_2025</v>
      </c>
      <c r="B1395" s="7" t="s">
        <v>901</v>
      </c>
      <c r="C1395" s="7" t="s">
        <v>16</v>
      </c>
      <c r="D1395" s="7" t="s">
        <v>19</v>
      </c>
      <c r="E1395" s="7">
        <v>13.92</v>
      </c>
      <c r="F1395" s="7">
        <v>15.27</v>
      </c>
      <c r="G1395" s="7">
        <v>15.4</v>
      </c>
      <c r="H1395" s="7">
        <v>16.079999999999998</v>
      </c>
      <c r="I1395" s="7">
        <v>15.25</v>
      </c>
      <c r="J1395" s="7">
        <v>15.59</v>
      </c>
      <c r="K1395" s="7">
        <v>14.81</v>
      </c>
      <c r="L1395" s="7">
        <v>14.67</v>
      </c>
      <c r="M1395" s="7">
        <v>13.79</v>
      </c>
      <c r="N1395" s="7">
        <v>14.24</v>
      </c>
      <c r="O1395" s="7">
        <v>13.53</v>
      </c>
      <c r="P1395" s="7">
        <v>13.45</v>
      </c>
      <c r="Q1395" s="7">
        <v>12.69</v>
      </c>
      <c r="R1395" s="7">
        <v>13.46</v>
      </c>
      <c r="S1395">
        <f>Tableau1[[#This Row],[Final_time]]-SUM(Tableau1[[#This Row],[0_100m]:[1300_1400m]])</f>
        <v>13.180000000000007</v>
      </c>
      <c r="T1395" s="7">
        <v>215.33</v>
      </c>
      <c r="U1395">
        <f t="shared" si="42"/>
        <v>215.33</v>
      </c>
      <c r="V1395">
        <f t="shared" si="43"/>
        <v>0</v>
      </c>
      <c r="W1395" s="12"/>
      <c r="X1395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5" t="s">
        <v>1378</v>
      </c>
      <c r="Z1395" s="2" t="s">
        <v>110</v>
      </c>
      <c r="AA1395" s="2" t="s">
        <v>132</v>
      </c>
      <c r="AB1395" s="2" t="s">
        <v>65</v>
      </c>
      <c r="AC1395" s="2">
        <v>45917</v>
      </c>
      <c r="AD1395" s="3">
        <v>2025</v>
      </c>
      <c r="AE1395" s="3">
        <v>31</v>
      </c>
      <c r="AF1395" s="5">
        <v>0.62</v>
      </c>
      <c r="AG1395" s="3"/>
    </row>
    <row r="1396" spans="1:33" hidden="1" x14ac:dyDescent="0.35">
      <c r="A1396" t="str">
        <f>_xlfn.CONCAT(Tableau1[[#This Row],[Athletes]],"_",Tableau1[[#This Row],[Nationality]],"_",Tableau1[[#This Row],[Competition_year]])</f>
        <v>Adrián BEN_ESP_2025</v>
      </c>
      <c r="B1396" s="7" t="s">
        <v>433</v>
      </c>
      <c r="C1396" s="7" t="s">
        <v>16</v>
      </c>
      <c r="D1396" s="7" t="s">
        <v>22</v>
      </c>
      <c r="E1396" s="7">
        <v>13.36</v>
      </c>
      <c r="F1396" s="7">
        <v>15.11</v>
      </c>
      <c r="G1396" s="7">
        <v>15.46</v>
      </c>
      <c r="H1396" s="7">
        <v>16.02</v>
      </c>
      <c r="I1396" s="7">
        <v>15.49</v>
      </c>
      <c r="J1396" s="7">
        <v>15.85</v>
      </c>
      <c r="K1396" s="7">
        <v>14.75</v>
      </c>
      <c r="L1396" s="7">
        <v>14.41</v>
      </c>
      <c r="M1396" s="7">
        <v>14.19</v>
      </c>
      <c r="N1396" s="7">
        <v>14.31</v>
      </c>
      <c r="O1396" s="7">
        <v>13.68</v>
      </c>
      <c r="P1396" s="7">
        <v>13.34</v>
      </c>
      <c r="Q1396" s="7">
        <v>12.73</v>
      </c>
      <c r="R1396" s="7">
        <v>13.29</v>
      </c>
      <c r="S1396">
        <f>Tableau1[[#This Row],[Final_time]]-SUM(Tableau1[[#This Row],[0_100m]:[1300_1400m]])</f>
        <v>13.390000000000015</v>
      </c>
      <c r="T1396" s="7">
        <v>215.38</v>
      </c>
      <c r="U1396">
        <f t="shared" si="42"/>
        <v>215.38</v>
      </c>
      <c r="V1396">
        <f t="shared" si="43"/>
        <v>0</v>
      </c>
      <c r="W1396" s="12"/>
      <c r="X1396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6" t="s">
        <v>1378</v>
      </c>
      <c r="Z1396" s="2" t="s">
        <v>110</v>
      </c>
      <c r="AA1396" s="2" t="s">
        <v>132</v>
      </c>
      <c r="AB1396" s="2" t="s">
        <v>65</v>
      </c>
      <c r="AC1396" s="2">
        <v>45917</v>
      </c>
      <c r="AD1396" s="3">
        <v>2025</v>
      </c>
      <c r="AE1396" s="3">
        <v>31</v>
      </c>
      <c r="AF1396" s="5">
        <v>0.62</v>
      </c>
      <c r="AG1396" s="3"/>
    </row>
    <row r="1397" spans="1:33" hidden="1" x14ac:dyDescent="0.35">
      <c r="A1397" t="str">
        <f>_xlfn.CONCAT(Tableau1[[#This Row],[Athletes]],"_",Tableau1[[#This Row],[Nationality]],"_",Tableau1[[#This Row],[Competition_year]])</f>
        <v>Andrew COSCORAN_IRL_2025</v>
      </c>
      <c r="B1397" s="7" t="s">
        <v>232</v>
      </c>
      <c r="C1397" s="7" t="s">
        <v>16</v>
      </c>
      <c r="D1397" s="7" t="s">
        <v>35</v>
      </c>
      <c r="E1397" s="7">
        <v>13.6</v>
      </c>
      <c r="F1397" s="7">
        <v>15.17</v>
      </c>
      <c r="G1397" s="7">
        <v>15.43</v>
      </c>
      <c r="H1397" s="7">
        <v>16.2</v>
      </c>
      <c r="I1397" s="7">
        <v>15.46</v>
      </c>
      <c r="J1397" s="7">
        <v>15.82</v>
      </c>
      <c r="K1397" s="7">
        <v>14.77</v>
      </c>
      <c r="L1397" s="7">
        <v>14.74</v>
      </c>
      <c r="M1397" s="7">
        <v>13.84</v>
      </c>
      <c r="N1397" s="7">
        <v>14.25</v>
      </c>
      <c r="O1397" s="7">
        <v>13.56</v>
      </c>
      <c r="P1397" s="7">
        <v>13.7</v>
      </c>
      <c r="Q1397" s="7">
        <v>12.7</v>
      </c>
      <c r="R1397" s="7">
        <v>13.22</v>
      </c>
      <c r="S1397">
        <f>Tableau1[[#This Row],[Final_time]]-SUM(Tableau1[[#This Row],[0_100m]:[1300_1400m]])</f>
        <v>13.410000000000025</v>
      </c>
      <c r="T1397" s="7">
        <v>215.87</v>
      </c>
      <c r="U1397">
        <f t="shared" si="42"/>
        <v>215.87</v>
      </c>
      <c r="V1397">
        <f t="shared" si="43"/>
        <v>0</v>
      </c>
      <c r="W1397" s="12"/>
      <c r="X1397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7" t="s">
        <v>1378</v>
      </c>
      <c r="Z1397" s="2" t="s">
        <v>110</v>
      </c>
      <c r="AA1397" s="2" t="s">
        <v>132</v>
      </c>
      <c r="AB1397" s="2" t="s">
        <v>65</v>
      </c>
      <c r="AC1397" s="2">
        <v>45917</v>
      </c>
      <c r="AD1397" s="3">
        <v>2025</v>
      </c>
      <c r="AE1397" s="3">
        <v>31</v>
      </c>
      <c r="AF1397" s="5">
        <v>0.62</v>
      </c>
      <c r="AG1397" s="3"/>
    </row>
    <row r="1398" spans="1:33" hidden="1" x14ac:dyDescent="0.35">
      <c r="A1398" t="str">
        <f>_xlfn.CONCAT(Tableau1[[#This Row],[Athletes]],"_",Tableau1[[#This Row],[Nationality]],"_",Tableau1[[#This Row],[Competition_year]])</f>
        <v>Neil GOURLEY_GBR_2025</v>
      </c>
      <c r="B1398" s="7" t="s">
        <v>202</v>
      </c>
      <c r="C1398" s="7" t="s">
        <v>16</v>
      </c>
      <c r="D1398" s="7" t="s">
        <v>20</v>
      </c>
      <c r="E1398" s="7">
        <v>14.22</v>
      </c>
      <c r="F1398" s="7">
        <v>15.02</v>
      </c>
      <c r="G1398" s="7">
        <v>15.27</v>
      </c>
      <c r="H1398" s="7">
        <v>16.100000000000001</v>
      </c>
      <c r="I1398" s="7">
        <v>15.59</v>
      </c>
      <c r="J1398" s="7">
        <v>15.77</v>
      </c>
      <c r="K1398" s="7">
        <v>14.85</v>
      </c>
      <c r="L1398" s="7">
        <v>14.64</v>
      </c>
      <c r="M1398" s="7">
        <v>13.95</v>
      </c>
      <c r="N1398" s="7">
        <v>14.11</v>
      </c>
      <c r="O1398" s="7">
        <v>13.19</v>
      </c>
      <c r="P1398" s="7">
        <v>13.66</v>
      </c>
      <c r="Q1398" s="7">
        <v>12.68</v>
      </c>
      <c r="R1398" s="7">
        <v>13.05</v>
      </c>
      <c r="S1398">
        <f>Tableau1[[#This Row],[Final_time]]-SUM(Tableau1[[#This Row],[0_100m]:[1300_1400m]])</f>
        <v>13.460000000000008</v>
      </c>
      <c r="T1398" s="7">
        <v>215.56</v>
      </c>
      <c r="U1398">
        <f t="shared" si="42"/>
        <v>215.56</v>
      </c>
      <c r="V1398">
        <f t="shared" si="43"/>
        <v>0</v>
      </c>
      <c r="W1398" s="12"/>
      <c r="X1398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8" t="s">
        <v>1378</v>
      </c>
      <c r="Z1398" s="2" t="s">
        <v>110</v>
      </c>
      <c r="AA1398" s="2" t="s">
        <v>132</v>
      </c>
      <c r="AB1398" s="2" t="s">
        <v>65</v>
      </c>
      <c r="AC1398" s="2">
        <v>45917</v>
      </c>
      <c r="AD1398" s="3">
        <v>2025</v>
      </c>
      <c r="AE1398" s="3">
        <v>31</v>
      </c>
      <c r="AF1398" s="5">
        <v>0.62</v>
      </c>
      <c r="AG1398" s="3"/>
    </row>
    <row r="1399" spans="1:33" hidden="1" x14ac:dyDescent="0.35">
      <c r="A1399" t="str">
        <f>_xlfn.CONCAT(Tableau1[[#This Row],[Athletes]],"_",Tableau1[[#This Row],[Nationality]],"_",Tableau1[[#This Row],[Competition_year]])</f>
        <v>Jonah KOECH_USA_2025</v>
      </c>
      <c r="B1399" s="7" t="s">
        <v>1385</v>
      </c>
      <c r="C1399" s="7" t="s">
        <v>16</v>
      </c>
      <c r="D1399" s="7" t="s">
        <v>51</v>
      </c>
      <c r="E1399" s="7">
        <v>13.47</v>
      </c>
      <c r="F1399" s="7">
        <v>15.12</v>
      </c>
      <c r="G1399" s="7">
        <v>15.51</v>
      </c>
      <c r="H1399" s="7">
        <v>16.07</v>
      </c>
      <c r="I1399" s="7">
        <v>15.45</v>
      </c>
      <c r="J1399" s="7">
        <v>15.81</v>
      </c>
      <c r="K1399" s="7">
        <v>14.83</v>
      </c>
      <c r="L1399" s="7">
        <v>14.39</v>
      </c>
      <c r="M1399" s="7">
        <v>14.08</v>
      </c>
      <c r="N1399" s="7">
        <v>14.18</v>
      </c>
      <c r="O1399" s="7">
        <v>13.8</v>
      </c>
      <c r="P1399" s="7">
        <v>13.48</v>
      </c>
      <c r="Q1399" s="7">
        <v>12.93</v>
      </c>
      <c r="R1399" s="7">
        <v>13.22</v>
      </c>
      <c r="S1399">
        <f>Tableau1[[#This Row],[Final_time]]-SUM(Tableau1[[#This Row],[0_100m]:[1300_1400m]])</f>
        <v>14.659999999999968</v>
      </c>
      <c r="T1399" s="7">
        <v>217</v>
      </c>
      <c r="U1399">
        <f t="shared" si="42"/>
        <v>217</v>
      </c>
      <c r="V1399">
        <f t="shared" si="43"/>
        <v>0</v>
      </c>
      <c r="W1399" s="12"/>
      <c r="X1399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399" t="s">
        <v>1378</v>
      </c>
      <c r="Z1399" s="2" t="s">
        <v>110</v>
      </c>
      <c r="AA1399" s="2" t="s">
        <v>132</v>
      </c>
      <c r="AB1399" s="2" t="s">
        <v>65</v>
      </c>
      <c r="AC1399" s="2">
        <v>45917</v>
      </c>
      <c r="AD1399" s="3">
        <v>2025</v>
      </c>
      <c r="AE1399" s="3">
        <v>31</v>
      </c>
      <c r="AF1399" s="5">
        <v>0.62</v>
      </c>
      <c r="AG1399" s="3"/>
    </row>
    <row r="1400" spans="1:33" hidden="1" x14ac:dyDescent="0.35">
      <c r="A1400" t="str">
        <f>_xlfn.CONCAT(Tableau1[[#This Row],[Athletes]],"_",Tableau1[[#This Row],[Nationality]],"_",Tableau1[[#This Row],[Competition_year]])</f>
        <v>Josh KERR_GBR_2025</v>
      </c>
      <c r="B1400" s="7" t="s">
        <v>189</v>
      </c>
      <c r="C1400" s="7" t="s">
        <v>16</v>
      </c>
      <c r="D1400" s="7" t="s">
        <v>20</v>
      </c>
      <c r="E1400" s="7">
        <v>13.67</v>
      </c>
      <c r="F1400" s="7">
        <v>15.03</v>
      </c>
      <c r="G1400" s="7">
        <v>15.53</v>
      </c>
      <c r="H1400" s="7">
        <v>16.010000000000002</v>
      </c>
      <c r="I1400" s="7">
        <v>15.57</v>
      </c>
      <c r="J1400" s="7">
        <v>15.79</v>
      </c>
      <c r="K1400" s="7">
        <v>14.95</v>
      </c>
      <c r="L1400" s="7">
        <v>14.54</v>
      </c>
      <c r="M1400" s="7">
        <v>14.08</v>
      </c>
      <c r="N1400" s="7">
        <v>14.79</v>
      </c>
      <c r="O1400" s="7">
        <v>13.94</v>
      </c>
      <c r="P1400" s="7">
        <v>14.18</v>
      </c>
      <c r="Q1400" s="7">
        <v>33.93</v>
      </c>
      <c r="R1400" s="7">
        <v>20.49</v>
      </c>
      <c r="S1400">
        <f>Tableau1[[#This Row],[Final_time]]-SUM(Tableau1[[#This Row],[0_100m]:[1300_1400m]])</f>
        <v>18.729999999999961</v>
      </c>
      <c r="T1400" s="7">
        <v>251.23</v>
      </c>
      <c r="U1400">
        <f t="shared" si="42"/>
        <v>251.23</v>
      </c>
      <c r="V1400">
        <f t="shared" si="43"/>
        <v>0</v>
      </c>
      <c r="W1400" s="12"/>
      <c r="X1400" t="str">
        <f>_xlfn.CONCAT(Tableau1[[#This Row],[Competition]],"_",Tableau1[[#This Row],[Championship_step]],"_",Tableau1[[#This Row],[Competition_date]],"_",Tableau1[[#This Row],[Gender]])</f>
        <v>World Championships Tokyo 2025_Final_45917_Male</v>
      </c>
      <c r="Y1400" t="s">
        <v>1378</v>
      </c>
      <c r="Z1400" s="2" t="s">
        <v>110</v>
      </c>
      <c r="AA1400" s="2" t="s">
        <v>132</v>
      </c>
      <c r="AB1400" s="2" t="s">
        <v>65</v>
      </c>
      <c r="AC1400" s="2">
        <v>45917</v>
      </c>
      <c r="AD1400" s="3">
        <v>2025</v>
      </c>
      <c r="AE1400" s="3">
        <v>31</v>
      </c>
      <c r="AF1400" s="5">
        <v>0.62</v>
      </c>
      <c r="AG1400" s="3"/>
    </row>
    <row r="1401" spans="1:33" hidden="1" x14ac:dyDescent="0.35">
      <c r="A1401" t="str">
        <f>_xlfn.CONCAT(Tableau1[[#This Row],[Athletes]],"_",Tableau1[[#This Row],[Nationality]],"_",Tableau1[[#This Row],[Competition_year]])</f>
        <v>Jessica HULL_AUS_2025</v>
      </c>
      <c r="B1401" s="7" t="s">
        <v>187</v>
      </c>
      <c r="C1401" s="7" t="s">
        <v>47</v>
      </c>
      <c r="D1401" s="7" t="s">
        <v>21</v>
      </c>
      <c r="E1401" s="7">
        <v>15.47</v>
      </c>
      <c r="F1401" s="7">
        <v>16.7</v>
      </c>
      <c r="G1401" s="7">
        <v>17.11</v>
      </c>
      <c r="H1401" s="7">
        <v>17.489999999999998</v>
      </c>
      <c r="I1401" s="7">
        <v>17.649999999999999</v>
      </c>
      <c r="J1401" s="7">
        <v>17.79</v>
      </c>
      <c r="K1401" s="7">
        <v>17.09</v>
      </c>
      <c r="L1401" s="7">
        <v>16.760000000000002</v>
      </c>
      <c r="M1401" s="7">
        <v>16.27</v>
      </c>
      <c r="N1401" s="7">
        <v>16.5</v>
      </c>
      <c r="O1401" s="7">
        <v>15.76</v>
      </c>
      <c r="P1401" s="7">
        <v>15.63</v>
      </c>
      <c r="Q1401" s="7">
        <v>14.85</v>
      </c>
      <c r="R1401" s="7">
        <v>14.97</v>
      </c>
      <c r="S1401">
        <f>Tableau1[[#This Row],[Final_time]]-SUM(Tableau1[[#This Row],[0_100m]:[1300_1400m]])</f>
        <v>14.360000000000042</v>
      </c>
      <c r="T1401" s="7">
        <v>244.4</v>
      </c>
      <c r="U1401">
        <f t="shared" si="42"/>
        <v>244.4</v>
      </c>
      <c r="V1401">
        <f t="shared" si="43"/>
        <v>0</v>
      </c>
      <c r="W1401" s="12" t="s">
        <v>109</v>
      </c>
      <c r="X1401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1" t="s">
        <v>1378</v>
      </c>
      <c r="Z1401" s="2" t="s">
        <v>99</v>
      </c>
      <c r="AA1401" s="2" t="s">
        <v>128</v>
      </c>
      <c r="AB1401" s="2" t="s">
        <v>65</v>
      </c>
      <c r="AC1401" s="2">
        <v>45913</v>
      </c>
      <c r="AD1401" s="3">
        <v>2025</v>
      </c>
      <c r="AE1401" s="3">
        <v>29</v>
      </c>
      <c r="AF1401" s="5">
        <v>0.67</v>
      </c>
      <c r="AG1401" s="3"/>
    </row>
    <row r="1402" spans="1:33" hidden="1" x14ac:dyDescent="0.35">
      <c r="A1402" t="str">
        <f>_xlfn.CONCAT(Tableau1[[#This Row],[Athletes]],"_",Tableau1[[#This Row],[Nationality]],"_",Tableau1[[#This Row],[Competition_year]])</f>
        <v>Sinclaire JOHNSON_USA_2025</v>
      </c>
      <c r="B1402" s="7" t="s">
        <v>185</v>
      </c>
      <c r="C1402" s="7" t="s">
        <v>47</v>
      </c>
      <c r="D1402" s="7" t="s">
        <v>51</v>
      </c>
      <c r="E1402" s="7">
        <v>15.43</v>
      </c>
      <c r="F1402" s="7">
        <v>16.66</v>
      </c>
      <c r="G1402" s="7">
        <v>17.11</v>
      </c>
      <c r="H1402" s="7">
        <v>17.52</v>
      </c>
      <c r="I1402" s="7">
        <v>17.66</v>
      </c>
      <c r="J1402" s="7">
        <v>17.73</v>
      </c>
      <c r="K1402" s="7">
        <v>17.18</v>
      </c>
      <c r="L1402" s="7">
        <v>16.53</v>
      </c>
      <c r="M1402" s="7">
        <v>16.329999999999998</v>
      </c>
      <c r="N1402" s="7">
        <v>16.52</v>
      </c>
      <c r="O1402" s="7">
        <v>15.89</v>
      </c>
      <c r="P1402" s="7">
        <v>15.62</v>
      </c>
      <c r="Q1402" s="7">
        <v>14.89</v>
      </c>
      <c r="R1402" s="7">
        <v>14.94</v>
      </c>
      <c r="S1402">
        <f>Tableau1[[#This Row],[Final_time]]-SUM(Tableau1[[#This Row],[0_100m]:[1300_1400m]])</f>
        <v>14.580000000000013</v>
      </c>
      <c r="T1402" s="7">
        <v>244.59</v>
      </c>
      <c r="U1402">
        <f t="shared" si="42"/>
        <v>244.59</v>
      </c>
      <c r="V1402">
        <f t="shared" si="43"/>
        <v>0</v>
      </c>
      <c r="W1402" s="12" t="s">
        <v>109</v>
      </c>
      <c r="X1402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2" t="s">
        <v>1378</v>
      </c>
      <c r="Z1402" s="2" t="s">
        <v>99</v>
      </c>
      <c r="AA1402" s="2" t="s">
        <v>128</v>
      </c>
      <c r="AB1402" s="2" t="s">
        <v>65</v>
      </c>
      <c r="AC1402" s="2">
        <v>45913</v>
      </c>
      <c r="AD1402" s="3">
        <v>2025</v>
      </c>
      <c r="AE1402" s="3">
        <v>29</v>
      </c>
      <c r="AF1402" s="5">
        <v>0.67</v>
      </c>
      <c r="AG1402" s="3"/>
    </row>
    <row r="1403" spans="1:33" hidden="1" x14ac:dyDescent="0.35">
      <c r="A1403" t="str">
        <f>_xlfn.CONCAT(Tableau1[[#This Row],[Athletes]],"_",Tableau1[[#This Row],[Nationality]],"_",Tableau1[[#This Row],[Competition_year]])</f>
        <v>Dorcus EWOI_KEN_2025</v>
      </c>
      <c r="B1403" s="7" t="s">
        <v>1390</v>
      </c>
      <c r="C1403" s="7" t="s">
        <v>47</v>
      </c>
      <c r="D1403" s="7" t="s">
        <v>17</v>
      </c>
      <c r="E1403" s="7">
        <v>15.78</v>
      </c>
      <c r="F1403" s="7">
        <v>16.7</v>
      </c>
      <c r="G1403" s="7">
        <v>17.16</v>
      </c>
      <c r="H1403" s="7">
        <v>17.39</v>
      </c>
      <c r="I1403" s="7">
        <v>17.75</v>
      </c>
      <c r="J1403" s="7">
        <v>17.739999999999998</v>
      </c>
      <c r="K1403" s="7">
        <v>17.12</v>
      </c>
      <c r="L1403" s="7">
        <v>16.73</v>
      </c>
      <c r="M1403" s="7">
        <v>16.27</v>
      </c>
      <c r="N1403" s="7">
        <v>16.54</v>
      </c>
      <c r="O1403" s="7">
        <v>15.77</v>
      </c>
      <c r="P1403" s="7">
        <v>15.65</v>
      </c>
      <c r="Q1403" s="7">
        <v>14.81</v>
      </c>
      <c r="R1403" s="7">
        <v>14.86</v>
      </c>
      <c r="S1403">
        <f>Tableau1[[#This Row],[Final_time]]-SUM(Tableau1[[#This Row],[0_100m]:[1300_1400m]])</f>
        <v>14.71999999999997</v>
      </c>
      <c r="T1403" s="7">
        <v>244.99</v>
      </c>
      <c r="U1403">
        <f t="shared" si="42"/>
        <v>244.99</v>
      </c>
      <c r="V1403">
        <f t="shared" si="43"/>
        <v>0</v>
      </c>
      <c r="W1403" s="12" t="s">
        <v>109</v>
      </c>
      <c r="X1403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3" t="s">
        <v>1378</v>
      </c>
      <c r="Z1403" s="2" t="s">
        <v>99</v>
      </c>
      <c r="AA1403" s="2" t="s">
        <v>128</v>
      </c>
      <c r="AB1403" s="2" t="s">
        <v>65</v>
      </c>
      <c r="AC1403" s="2">
        <v>45913</v>
      </c>
      <c r="AD1403" s="3">
        <v>2025</v>
      </c>
      <c r="AE1403" s="3">
        <v>29</v>
      </c>
      <c r="AF1403" s="5">
        <v>0.67</v>
      </c>
      <c r="AG1403" s="3"/>
    </row>
    <row r="1404" spans="1:33" hidden="1" x14ac:dyDescent="0.35">
      <c r="A1404" t="str">
        <f>_xlfn.CONCAT(Tableau1[[#This Row],[Athletes]],"_",Tableau1[[#This Row],[Nationality]],"_",Tableau1[[#This Row],[Competition_year]])</f>
        <v>Marta PÉREZ_ESP_2025</v>
      </c>
      <c r="B1404" s="7" t="s">
        <v>183</v>
      </c>
      <c r="C1404" s="7" t="s">
        <v>47</v>
      </c>
      <c r="D1404" s="7" t="s">
        <v>22</v>
      </c>
      <c r="E1404" s="7">
        <v>15.57</v>
      </c>
      <c r="F1404" s="7">
        <v>16.71</v>
      </c>
      <c r="G1404" s="7">
        <v>17.25</v>
      </c>
      <c r="H1404" s="7">
        <v>17.61</v>
      </c>
      <c r="I1404" s="7">
        <v>17.86</v>
      </c>
      <c r="J1404" s="7">
        <v>17.38</v>
      </c>
      <c r="K1404" s="7">
        <v>17.100000000000001</v>
      </c>
      <c r="L1404" s="7">
        <v>16.72</v>
      </c>
      <c r="M1404" s="7">
        <v>16.36</v>
      </c>
      <c r="N1404" s="7">
        <v>16.41</v>
      </c>
      <c r="O1404" s="7">
        <v>15.83</v>
      </c>
      <c r="P1404" s="7">
        <v>15.81</v>
      </c>
      <c r="Q1404" s="7">
        <v>14.85</v>
      </c>
      <c r="R1404" s="7">
        <v>14.96</v>
      </c>
      <c r="S1404">
        <f>Tableau1[[#This Row],[Final_time]]-SUM(Tableau1[[#This Row],[0_100m]:[1300_1400m]])</f>
        <v>14.71999999999997</v>
      </c>
      <c r="T1404" s="7">
        <v>245.14</v>
      </c>
      <c r="U1404">
        <f t="shared" si="42"/>
        <v>245.14</v>
      </c>
      <c r="V1404">
        <f t="shared" si="43"/>
        <v>0</v>
      </c>
      <c r="W1404" s="12" t="s">
        <v>109</v>
      </c>
      <c r="X1404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4" t="s">
        <v>1378</v>
      </c>
      <c r="Z1404" s="2" t="s">
        <v>99</v>
      </c>
      <c r="AA1404" s="2" t="s">
        <v>128</v>
      </c>
      <c r="AB1404" s="2" t="s">
        <v>65</v>
      </c>
      <c r="AC1404" s="2">
        <v>45913</v>
      </c>
      <c r="AD1404" s="3">
        <v>2025</v>
      </c>
      <c r="AE1404" s="3">
        <v>29</v>
      </c>
      <c r="AF1404" s="5">
        <v>0.67</v>
      </c>
      <c r="AG1404" s="3"/>
    </row>
    <row r="1405" spans="1:33" hidden="1" x14ac:dyDescent="0.35">
      <c r="A1405" t="str">
        <f>_xlfn.CONCAT(Tableau1[[#This Row],[Athletes]],"_",Tableau1[[#This Row],[Nationality]],"_",Tableau1[[#This Row],[Competition_year]])</f>
        <v>Gaia SABBATINI_ITA_2025</v>
      </c>
      <c r="B1405" s="7" t="s">
        <v>167</v>
      </c>
      <c r="C1405" s="7" t="s">
        <v>47</v>
      </c>
      <c r="D1405" s="7" t="s">
        <v>19</v>
      </c>
      <c r="E1405" s="7">
        <v>15.55</v>
      </c>
      <c r="F1405" s="7">
        <v>16.87</v>
      </c>
      <c r="G1405" s="7">
        <v>17.21</v>
      </c>
      <c r="H1405" s="7">
        <v>17.54</v>
      </c>
      <c r="I1405" s="7">
        <v>17.690000000000001</v>
      </c>
      <c r="J1405" s="7">
        <v>17.489999999999998</v>
      </c>
      <c r="K1405" s="7">
        <v>17.23</v>
      </c>
      <c r="L1405" s="7">
        <v>16.54</v>
      </c>
      <c r="M1405" s="7">
        <v>16.28</v>
      </c>
      <c r="N1405" s="7">
        <v>16.55</v>
      </c>
      <c r="O1405" s="7">
        <v>15.93</v>
      </c>
      <c r="P1405" s="7">
        <v>15.62</v>
      </c>
      <c r="Q1405" s="7">
        <v>14.73</v>
      </c>
      <c r="R1405" s="7">
        <v>14.9</v>
      </c>
      <c r="S1405">
        <f>Tableau1[[#This Row],[Final_time]]-SUM(Tableau1[[#This Row],[0_100m]:[1300_1400m]])</f>
        <v>14.799999999999983</v>
      </c>
      <c r="T1405" s="7">
        <v>244.93</v>
      </c>
      <c r="U1405">
        <f t="shared" si="42"/>
        <v>244.93</v>
      </c>
      <c r="V1405">
        <f t="shared" si="43"/>
        <v>0</v>
      </c>
      <c r="W1405" s="12" t="s">
        <v>109</v>
      </c>
      <c r="X1405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5" t="s">
        <v>1378</v>
      </c>
      <c r="Z1405" s="2" t="s">
        <v>99</v>
      </c>
      <c r="AA1405" s="2" t="s">
        <v>128</v>
      </c>
      <c r="AB1405" s="2" t="s">
        <v>65</v>
      </c>
      <c r="AC1405" s="2">
        <v>45913</v>
      </c>
      <c r="AD1405" s="3">
        <v>2025</v>
      </c>
      <c r="AE1405" s="3">
        <v>29</v>
      </c>
      <c r="AF1405" s="5">
        <v>0.67</v>
      </c>
      <c r="AG1405" s="3"/>
    </row>
    <row r="1406" spans="1:33" hidden="1" x14ac:dyDescent="0.35">
      <c r="A1406" t="str">
        <f>_xlfn.CONCAT(Tableau1[[#This Row],[Athletes]],"_",Tableau1[[#This Row],[Nationality]],"_",Tableau1[[#This Row],[Competition_year]])</f>
        <v>Weronika LIZAKOWSKA_POL_2025</v>
      </c>
      <c r="B1406" s="7" t="s">
        <v>409</v>
      </c>
      <c r="C1406" s="7" t="s">
        <v>47</v>
      </c>
      <c r="D1406" s="7" t="s">
        <v>83</v>
      </c>
      <c r="E1406" s="7">
        <v>15.43</v>
      </c>
      <c r="F1406" s="7">
        <v>16.829999999999998</v>
      </c>
      <c r="G1406" s="7">
        <v>17.16</v>
      </c>
      <c r="H1406" s="7">
        <v>17.53</v>
      </c>
      <c r="I1406" s="7">
        <v>17.63</v>
      </c>
      <c r="J1406" s="7">
        <v>17.739999999999998</v>
      </c>
      <c r="K1406" s="7">
        <v>17.21</v>
      </c>
      <c r="L1406" s="7">
        <v>16.52</v>
      </c>
      <c r="M1406" s="7">
        <v>16.309999999999999</v>
      </c>
      <c r="N1406" s="7">
        <v>16.55</v>
      </c>
      <c r="O1406" s="7">
        <v>15.88</v>
      </c>
      <c r="P1406" s="7">
        <v>15.62</v>
      </c>
      <c r="Q1406" s="7">
        <v>14.9</v>
      </c>
      <c r="R1406" s="7">
        <v>14.99</v>
      </c>
      <c r="S1406">
        <f>Tableau1[[#This Row],[Final_time]]-SUM(Tableau1[[#This Row],[0_100m]:[1300_1400m]])</f>
        <v>15.049999999999955</v>
      </c>
      <c r="T1406" s="7">
        <v>245.35</v>
      </c>
      <c r="U1406">
        <f t="shared" si="42"/>
        <v>245.35</v>
      </c>
      <c r="V1406">
        <f t="shared" si="43"/>
        <v>0</v>
      </c>
      <c r="W1406" s="12" t="s">
        <v>109</v>
      </c>
      <c r="X1406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6" t="s">
        <v>1378</v>
      </c>
      <c r="Z1406" s="2" t="s">
        <v>99</v>
      </c>
      <c r="AA1406" s="2" t="s">
        <v>128</v>
      </c>
      <c r="AB1406" s="2" t="s">
        <v>65</v>
      </c>
      <c r="AC1406" s="2">
        <v>45913</v>
      </c>
      <c r="AD1406" s="3">
        <v>2025</v>
      </c>
      <c r="AE1406" s="3">
        <v>29</v>
      </c>
      <c r="AF1406" s="5">
        <v>0.67</v>
      </c>
      <c r="AG1406" s="3"/>
    </row>
    <row r="1407" spans="1:33" hidden="1" x14ac:dyDescent="0.35">
      <c r="A1407" t="str">
        <f>_xlfn.CONCAT(Tableau1[[#This Row],[Athletes]],"_",Tableau1[[#This Row],[Nationality]],"_",Tableau1[[#This Row],[Competition_year]])</f>
        <v>Erin WALLACE_GBR_2025</v>
      </c>
      <c r="B1407" s="7" t="s">
        <v>407</v>
      </c>
      <c r="C1407" s="7" t="s">
        <v>47</v>
      </c>
      <c r="D1407" s="7" t="s">
        <v>20</v>
      </c>
      <c r="E1407" s="7">
        <v>15.78</v>
      </c>
      <c r="F1407" s="7">
        <v>17.04</v>
      </c>
      <c r="G1407" s="7">
        <v>17.079999999999998</v>
      </c>
      <c r="H1407" s="7">
        <v>17.64</v>
      </c>
      <c r="I1407" s="7">
        <v>17.8</v>
      </c>
      <c r="J1407" s="7">
        <v>17.399999999999999</v>
      </c>
      <c r="K1407" s="7">
        <v>17.27</v>
      </c>
      <c r="L1407" s="7">
        <v>16.64</v>
      </c>
      <c r="M1407" s="7">
        <v>16.3</v>
      </c>
      <c r="N1407" s="7">
        <v>16.38</v>
      </c>
      <c r="O1407" s="7">
        <v>15.79</v>
      </c>
      <c r="P1407" s="7">
        <v>15.79</v>
      </c>
      <c r="Q1407" s="7">
        <v>14.75</v>
      </c>
      <c r="R1407" s="7">
        <v>15.32</v>
      </c>
      <c r="S1407">
        <f>Tableau1[[#This Row],[Final_time]]-SUM(Tableau1[[#This Row],[0_100m]:[1300_1400m]])</f>
        <v>15.090000000000032</v>
      </c>
      <c r="T1407" s="7">
        <v>246.07</v>
      </c>
      <c r="U1407">
        <f t="shared" si="42"/>
        <v>246.07</v>
      </c>
      <c r="V1407">
        <f t="shared" si="43"/>
        <v>0</v>
      </c>
      <c r="W1407" s="12"/>
      <c r="X1407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7" t="s">
        <v>1378</v>
      </c>
      <c r="Z1407" s="2" t="s">
        <v>99</v>
      </c>
      <c r="AA1407" s="2" t="s">
        <v>128</v>
      </c>
      <c r="AB1407" s="2" t="s">
        <v>65</v>
      </c>
      <c r="AC1407" s="2">
        <v>45913</v>
      </c>
      <c r="AD1407" s="3">
        <v>2025</v>
      </c>
      <c r="AE1407" s="3">
        <v>29</v>
      </c>
      <c r="AF1407" s="5">
        <v>0.67</v>
      </c>
      <c r="AG1407" s="3"/>
    </row>
    <row r="1408" spans="1:33" hidden="1" x14ac:dyDescent="0.35">
      <c r="A1408" t="str">
        <f>_xlfn.CONCAT(Tableau1[[#This Row],[Athletes]],"_",Tableau1[[#This Row],[Nationality]],"_",Tableau1[[#This Row],[Competition_year]])</f>
        <v>Vera SJÖBERG_SWE_2025</v>
      </c>
      <c r="B1408" s="7" t="s">
        <v>1391</v>
      </c>
      <c r="C1408" s="7" t="s">
        <v>47</v>
      </c>
      <c r="D1408" s="7" t="s">
        <v>56</v>
      </c>
      <c r="E1408" s="7">
        <v>15.8</v>
      </c>
      <c r="F1408" s="7">
        <v>16.89</v>
      </c>
      <c r="G1408" s="7">
        <v>17.09</v>
      </c>
      <c r="H1408" s="7">
        <v>17.559999999999999</v>
      </c>
      <c r="I1408" s="7">
        <v>17.79</v>
      </c>
      <c r="J1408" s="7">
        <v>17.55</v>
      </c>
      <c r="K1408" s="7">
        <v>17.09</v>
      </c>
      <c r="L1408" s="7">
        <v>16.64</v>
      </c>
      <c r="M1408" s="7">
        <v>16.350000000000001</v>
      </c>
      <c r="N1408" s="7">
        <v>16.47</v>
      </c>
      <c r="O1408" s="7">
        <v>15.82</v>
      </c>
      <c r="P1408" s="7">
        <v>15.76</v>
      </c>
      <c r="Q1408" s="7">
        <v>14.95</v>
      </c>
      <c r="R1408" s="7">
        <v>15.03</v>
      </c>
      <c r="S1408">
        <f>Tableau1[[#This Row],[Final_time]]-SUM(Tableau1[[#This Row],[0_100m]:[1300_1400m]])</f>
        <v>15.220000000000027</v>
      </c>
      <c r="T1408" s="7">
        <v>246.01</v>
      </c>
      <c r="U1408">
        <f t="shared" si="42"/>
        <v>246.01</v>
      </c>
      <c r="V1408">
        <f t="shared" si="43"/>
        <v>0</v>
      </c>
      <c r="W1408" s="12"/>
      <c r="X1408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8" t="s">
        <v>1378</v>
      </c>
      <c r="Z1408" s="2" t="s">
        <v>99</v>
      </c>
      <c r="AA1408" s="2" t="s">
        <v>128</v>
      </c>
      <c r="AB1408" s="2" t="s">
        <v>65</v>
      </c>
      <c r="AC1408" s="2">
        <v>45913</v>
      </c>
      <c r="AD1408" s="3">
        <v>2025</v>
      </c>
      <c r="AE1408" s="3">
        <v>29</v>
      </c>
      <c r="AF1408" s="5">
        <v>0.67</v>
      </c>
      <c r="AG1408" s="3"/>
    </row>
    <row r="1409" spans="1:33" hidden="1" x14ac:dyDescent="0.35">
      <c r="A1409" t="str">
        <f>_xlfn.CONCAT(Tableau1[[#This Row],[Athletes]],"_",Tableau1[[#This Row],[Nationality]],"_",Tableau1[[#This Row],[Competition_year]])</f>
        <v>Saron BERHE_ETH_2025</v>
      </c>
      <c r="B1409" s="7" t="s">
        <v>411</v>
      </c>
      <c r="C1409" s="7" t="s">
        <v>47</v>
      </c>
      <c r="D1409" s="7" t="s">
        <v>48</v>
      </c>
      <c r="E1409" s="7">
        <v>15.58</v>
      </c>
      <c r="F1409" s="7">
        <v>17.100000000000001</v>
      </c>
      <c r="G1409" s="7">
        <v>16.84</v>
      </c>
      <c r="H1409" s="7">
        <v>17.489999999999998</v>
      </c>
      <c r="I1409" s="7">
        <v>17.61</v>
      </c>
      <c r="J1409" s="7">
        <v>17.71</v>
      </c>
      <c r="K1409" s="7">
        <v>17.14</v>
      </c>
      <c r="L1409" s="7">
        <v>16.71</v>
      </c>
      <c r="M1409" s="7">
        <v>16.27</v>
      </c>
      <c r="N1409" s="7">
        <v>16.559999999999999</v>
      </c>
      <c r="O1409" s="7">
        <v>15.71</v>
      </c>
      <c r="P1409" s="7">
        <v>15.74</v>
      </c>
      <c r="Q1409" s="7">
        <v>14.94</v>
      </c>
      <c r="R1409" s="7">
        <v>15.84</v>
      </c>
      <c r="S1409">
        <f>Tableau1[[#This Row],[Final_time]]-SUM(Tableau1[[#This Row],[0_100m]:[1300_1400m]])</f>
        <v>15.819999999999993</v>
      </c>
      <c r="T1409" s="7">
        <v>247.06</v>
      </c>
      <c r="U1409">
        <f t="shared" si="42"/>
        <v>247.06</v>
      </c>
      <c r="V1409">
        <f t="shared" si="43"/>
        <v>0</v>
      </c>
      <c r="W1409" s="12"/>
      <c r="X1409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09" t="s">
        <v>1378</v>
      </c>
      <c r="Z1409" s="2" t="s">
        <v>99</v>
      </c>
      <c r="AA1409" s="2" t="s">
        <v>128</v>
      </c>
      <c r="AB1409" s="2" t="s">
        <v>65</v>
      </c>
      <c r="AC1409" s="2">
        <v>45913</v>
      </c>
      <c r="AD1409" s="3">
        <v>2025</v>
      </c>
      <c r="AE1409" s="3">
        <v>29</v>
      </c>
      <c r="AF1409" s="5">
        <v>0.67</v>
      </c>
      <c r="AG1409" s="3"/>
    </row>
    <row r="1410" spans="1:33" hidden="1" x14ac:dyDescent="0.35">
      <c r="A1410" t="str">
        <f>_xlfn.CONCAT(Tableau1[[#This Row],[Athletes]],"_",Tableau1[[#This Row],[Nationality]],"_",Tableau1[[#This Row],[Competition_year]])</f>
        <v>Nozomi TANAKA_JPN_2025</v>
      </c>
      <c r="B1410" s="7" t="s">
        <v>157</v>
      </c>
      <c r="C1410" s="7" t="s">
        <v>47</v>
      </c>
      <c r="D1410" s="7" t="s">
        <v>69</v>
      </c>
      <c r="E1410" s="7">
        <v>15.6</v>
      </c>
      <c r="F1410" s="7">
        <v>16.72</v>
      </c>
      <c r="G1410" s="7">
        <v>17.05</v>
      </c>
      <c r="H1410" s="7">
        <v>17.579999999999998</v>
      </c>
      <c r="I1410" s="7">
        <v>17.809999999999999</v>
      </c>
      <c r="J1410" s="7">
        <v>17.84</v>
      </c>
      <c r="K1410" s="7">
        <v>16.72</v>
      </c>
      <c r="L1410" s="7">
        <v>16.53</v>
      </c>
      <c r="M1410" s="7">
        <v>16.309999999999999</v>
      </c>
      <c r="N1410" s="7">
        <v>16.579999999999998</v>
      </c>
      <c r="O1410" s="7">
        <v>15.97</v>
      </c>
      <c r="P1410" s="7">
        <v>15.7</v>
      </c>
      <c r="Q1410" s="7">
        <v>15.23</v>
      </c>
      <c r="R1410" s="7">
        <v>15.86</v>
      </c>
      <c r="S1410">
        <f>Tableau1[[#This Row],[Final_time]]-SUM(Tableau1[[#This Row],[0_100m]:[1300_1400m]])</f>
        <v>15.840000000000003</v>
      </c>
      <c r="T1410" s="7">
        <v>247.34</v>
      </c>
      <c r="U1410">
        <f t="shared" ref="U1410:U1473" si="44">SUM(E1410:S1410)</f>
        <v>247.34</v>
      </c>
      <c r="V1410">
        <f t="shared" ref="V1410:V1473" si="45">ABS(U1410-T1410)</f>
        <v>0</v>
      </c>
      <c r="W1410" s="12"/>
      <c r="X1410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10" t="s">
        <v>1378</v>
      </c>
      <c r="Z1410" s="2" t="s">
        <v>99</v>
      </c>
      <c r="AA1410" s="2" t="s">
        <v>128</v>
      </c>
      <c r="AB1410" s="2" t="s">
        <v>65</v>
      </c>
      <c r="AC1410" s="2">
        <v>45913</v>
      </c>
      <c r="AD1410" s="3">
        <v>2025</v>
      </c>
      <c r="AE1410" s="3">
        <v>29</v>
      </c>
      <c r="AF1410" s="5">
        <v>0.67</v>
      </c>
      <c r="AG1410" s="3"/>
    </row>
    <row r="1411" spans="1:33" hidden="1" x14ac:dyDescent="0.35">
      <c r="A1411" t="str">
        <f>_xlfn.CONCAT(Tableau1[[#This Row],[Athletes]],"_",Tableau1[[#This Row],[Nationality]],"_",Tableau1[[#This Row],[Competition_year]])</f>
        <v>Amina MAATOUG_NED_2025</v>
      </c>
      <c r="B1411" s="7" t="s">
        <v>1392</v>
      </c>
      <c r="C1411" s="7" t="s">
        <v>47</v>
      </c>
      <c r="D1411" s="7" t="s">
        <v>39</v>
      </c>
      <c r="E1411" s="7">
        <v>15.91</v>
      </c>
      <c r="F1411" s="7">
        <v>17.079999999999998</v>
      </c>
      <c r="G1411" s="7">
        <v>16.7</v>
      </c>
      <c r="H1411" s="7">
        <v>17.59</v>
      </c>
      <c r="I1411" s="7">
        <v>17.84</v>
      </c>
      <c r="J1411" s="7">
        <v>17.420000000000002</v>
      </c>
      <c r="K1411" s="7">
        <v>17.2</v>
      </c>
      <c r="L1411" s="7">
        <v>16.559999999999999</v>
      </c>
      <c r="M1411" s="7">
        <v>16.3</v>
      </c>
      <c r="N1411" s="7">
        <v>16.45</v>
      </c>
      <c r="O1411" s="7">
        <v>15.98</v>
      </c>
      <c r="P1411" s="7">
        <v>15.69</v>
      </c>
      <c r="Q1411" s="7">
        <v>15.47</v>
      </c>
      <c r="R1411" s="7">
        <v>16.239999999999998</v>
      </c>
      <c r="S1411">
        <f>Tableau1[[#This Row],[Final_time]]-SUM(Tableau1[[#This Row],[0_100m]:[1300_1400m]])</f>
        <v>16.819999999999993</v>
      </c>
      <c r="T1411" s="7">
        <v>249.25</v>
      </c>
      <c r="U1411">
        <f t="shared" si="44"/>
        <v>249.25</v>
      </c>
      <c r="V1411">
        <f t="shared" si="45"/>
        <v>0</v>
      </c>
      <c r="W1411" s="12"/>
      <c r="X1411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11" t="s">
        <v>1378</v>
      </c>
      <c r="Z1411" s="2" t="s">
        <v>99</v>
      </c>
      <c r="AA1411" s="2" t="s">
        <v>128</v>
      </c>
      <c r="AB1411" s="2" t="s">
        <v>65</v>
      </c>
      <c r="AC1411" s="2">
        <v>45913</v>
      </c>
      <c r="AD1411" s="3">
        <v>2025</v>
      </c>
      <c r="AE1411" s="3">
        <v>29</v>
      </c>
      <c r="AF1411" s="5">
        <v>0.67</v>
      </c>
      <c r="AG1411" s="3"/>
    </row>
    <row r="1412" spans="1:33" hidden="1" x14ac:dyDescent="0.35">
      <c r="A1412" t="str">
        <f>_xlfn.CONCAT(Tableau1[[#This Row],[Athletes]],"_",Tableau1[[#This Row],[Nationality]],"_",Tableau1[[#This Row],[Competition_year]])</f>
        <v>Laura NICHOLSON_IRL_2025</v>
      </c>
      <c r="B1412" s="7" t="s">
        <v>1393</v>
      </c>
      <c r="C1412" s="7" t="s">
        <v>47</v>
      </c>
      <c r="D1412" s="7" t="s">
        <v>35</v>
      </c>
      <c r="E1412" s="7">
        <v>16.04</v>
      </c>
      <c r="F1412" s="7">
        <v>17.02</v>
      </c>
      <c r="G1412" s="7">
        <v>17.07</v>
      </c>
      <c r="H1412" s="7">
        <v>17.63</v>
      </c>
      <c r="I1412" s="7">
        <v>17.68</v>
      </c>
      <c r="J1412" s="7">
        <v>17.68</v>
      </c>
      <c r="K1412" s="7">
        <v>17.13</v>
      </c>
      <c r="L1412" s="7">
        <v>16.760000000000002</v>
      </c>
      <c r="M1412" s="7">
        <v>16.41</v>
      </c>
      <c r="N1412" s="7">
        <v>16.559999999999999</v>
      </c>
      <c r="O1412" s="7">
        <v>16.38</v>
      </c>
      <c r="P1412" s="7">
        <v>16.649999999999999</v>
      </c>
      <c r="Q1412" s="7">
        <v>16.79</v>
      </c>
      <c r="R1412" s="7">
        <v>17.38</v>
      </c>
      <c r="S1412">
        <f>Tableau1[[#This Row],[Final_time]]-SUM(Tableau1[[#This Row],[0_100m]:[1300_1400m]])</f>
        <v>16.940000000000026</v>
      </c>
      <c r="T1412" s="7">
        <v>254.12</v>
      </c>
      <c r="U1412">
        <f t="shared" si="44"/>
        <v>254.12</v>
      </c>
      <c r="V1412">
        <f t="shared" si="45"/>
        <v>0</v>
      </c>
      <c r="W1412" s="12"/>
      <c r="X1412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12" t="s">
        <v>1378</v>
      </c>
      <c r="Z1412" s="2" t="s">
        <v>99</v>
      </c>
      <c r="AA1412" s="2" t="s">
        <v>128</v>
      </c>
      <c r="AB1412" s="2" t="s">
        <v>65</v>
      </c>
      <c r="AC1412" s="2">
        <v>45913</v>
      </c>
      <c r="AD1412" s="3">
        <v>2025</v>
      </c>
      <c r="AE1412" s="3">
        <v>29</v>
      </c>
      <c r="AF1412" s="5">
        <v>0.67</v>
      </c>
      <c r="AG1412" s="3"/>
    </row>
    <row r="1413" spans="1:33" hidden="1" x14ac:dyDescent="0.35">
      <c r="A1413" t="str">
        <f>_xlfn.CONCAT(Tableau1[[#This Row],[Athletes]],"_",Tableau1[[#This Row],[Nationality]],"_",Tableau1[[#This Row],[Competition_year]])</f>
        <v>Lilly NÄGELI_SUI_2025</v>
      </c>
      <c r="B1413" s="7" t="s">
        <v>529</v>
      </c>
      <c r="C1413" s="7" t="s">
        <v>47</v>
      </c>
      <c r="D1413" s="7" t="s">
        <v>87</v>
      </c>
      <c r="E1413" s="7">
        <v>15.88</v>
      </c>
      <c r="F1413" s="7">
        <v>17.309999999999999</v>
      </c>
      <c r="G1413" s="7">
        <v>17.04</v>
      </c>
      <c r="H1413" s="7">
        <v>17.64</v>
      </c>
      <c r="I1413" s="7">
        <v>17.57</v>
      </c>
      <c r="J1413" s="7">
        <v>17.54</v>
      </c>
      <c r="K1413" s="7">
        <v>17.12</v>
      </c>
      <c r="L1413" s="7">
        <v>16.63</v>
      </c>
      <c r="M1413" s="7">
        <v>16.420000000000002</v>
      </c>
      <c r="N1413" s="7">
        <v>16.3</v>
      </c>
      <c r="O1413" s="7">
        <v>15.9</v>
      </c>
      <c r="P1413" s="7">
        <v>15.66</v>
      </c>
      <c r="Q1413" s="7">
        <v>15.93</v>
      </c>
      <c r="R1413" s="7">
        <v>17.3</v>
      </c>
      <c r="S1413">
        <f>Tableau1[[#This Row],[Final_time]]-SUM(Tableau1[[#This Row],[0_100m]:[1300_1400m]])</f>
        <v>18.060000000000002</v>
      </c>
      <c r="T1413" s="7">
        <v>252.3</v>
      </c>
      <c r="U1413">
        <f t="shared" si="44"/>
        <v>252.3</v>
      </c>
      <c r="V1413">
        <f t="shared" si="45"/>
        <v>0</v>
      </c>
      <c r="W1413" s="12"/>
      <c r="X1413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13" t="s">
        <v>1378</v>
      </c>
      <c r="Z1413" s="2" t="s">
        <v>99</v>
      </c>
      <c r="AA1413" s="2" t="s">
        <v>128</v>
      </c>
      <c r="AB1413" s="2" t="s">
        <v>65</v>
      </c>
      <c r="AC1413" s="2">
        <v>45913</v>
      </c>
      <c r="AD1413" s="3">
        <v>2025</v>
      </c>
      <c r="AE1413" s="3">
        <v>29</v>
      </c>
      <c r="AF1413" s="5">
        <v>0.67</v>
      </c>
      <c r="AG1413" s="3"/>
    </row>
    <row r="1414" spans="1:33" hidden="1" x14ac:dyDescent="0.35">
      <c r="A1414" t="str">
        <f>_xlfn.CONCAT(Tableau1[[#This Row],[Athletes]],"_",Tableau1[[#This Row],[Nationality]],"_",Tableau1[[#This Row],[Competition_year]])</f>
        <v>María Pía FERNÁNDEZ_URU_2025</v>
      </c>
      <c r="B1414" s="7" t="s">
        <v>1394</v>
      </c>
      <c r="C1414" s="7" t="s">
        <v>47</v>
      </c>
      <c r="D1414" s="7" t="s">
        <v>147</v>
      </c>
      <c r="E1414" s="7">
        <v>16.13</v>
      </c>
      <c r="F1414" s="7">
        <v>17.16</v>
      </c>
      <c r="G1414" s="7">
        <v>17.149999999999999</v>
      </c>
      <c r="H1414" s="7">
        <v>17.66</v>
      </c>
      <c r="I1414" s="7">
        <v>17.55</v>
      </c>
      <c r="J1414" s="7">
        <v>17.72</v>
      </c>
      <c r="K1414" s="7">
        <v>17.16</v>
      </c>
      <c r="L1414" s="7">
        <v>16.920000000000002</v>
      </c>
      <c r="M1414" s="7">
        <v>17.84</v>
      </c>
      <c r="N1414" s="7">
        <v>18.73</v>
      </c>
      <c r="O1414" s="7">
        <v>18.75</v>
      </c>
      <c r="P1414" s="7">
        <v>18.690000000000001</v>
      </c>
      <c r="Q1414" s="7">
        <v>18.78</v>
      </c>
      <c r="R1414" s="7">
        <v>19.14</v>
      </c>
      <c r="S1414">
        <f>Tableau1[[#This Row],[Final_time]]-SUM(Tableau1[[#This Row],[0_100m]:[1300_1400m]])</f>
        <v>18.720000000000027</v>
      </c>
      <c r="T1414" s="7">
        <v>268.10000000000002</v>
      </c>
      <c r="U1414">
        <f t="shared" si="44"/>
        <v>268.10000000000002</v>
      </c>
      <c r="V1414">
        <f t="shared" si="45"/>
        <v>0</v>
      </c>
      <c r="W1414" s="12"/>
      <c r="X1414" t="str">
        <f>_xlfn.CONCAT(Tableau1[[#This Row],[Competition]],"_",Tableau1[[#This Row],[Championship_step]],"_",Tableau1[[#This Row],[Competition_date]],"_",Tableau1[[#This Row],[Gender]])</f>
        <v>World Championships Tokyo 2025_Heat 1_45913_Female</v>
      </c>
      <c r="Y1414" t="s">
        <v>1378</v>
      </c>
      <c r="Z1414" s="2" t="s">
        <v>99</v>
      </c>
      <c r="AA1414" s="2" t="s">
        <v>128</v>
      </c>
      <c r="AB1414" s="2" t="s">
        <v>65</v>
      </c>
      <c r="AC1414" s="2">
        <v>45913</v>
      </c>
      <c r="AD1414" s="3">
        <v>2025</v>
      </c>
      <c r="AE1414" s="3">
        <v>29</v>
      </c>
      <c r="AF1414" s="5">
        <v>0.67</v>
      </c>
      <c r="AG1414" s="3"/>
    </row>
    <row r="1415" spans="1:33" hidden="1" x14ac:dyDescent="0.35">
      <c r="A1415" t="str">
        <f>_xlfn.CONCAT(Tableau1[[#This Row],[Athletes]],"_",Tableau1[[#This Row],[Nationality]],"_",Tableau1[[#This Row],[Competition_year]])</f>
        <v>Narve Gilje NORDÅS_NOR_2025</v>
      </c>
      <c r="B1415" s="7" t="s">
        <v>217</v>
      </c>
      <c r="C1415" s="7" t="s">
        <v>16</v>
      </c>
      <c r="D1415" s="7" t="s">
        <v>30</v>
      </c>
      <c r="E1415" s="7">
        <v>14.82</v>
      </c>
      <c r="F1415" s="7">
        <v>16.690000000000001</v>
      </c>
      <c r="G1415" s="7">
        <v>15.23</v>
      </c>
      <c r="H1415" s="7">
        <v>14.8</v>
      </c>
      <c r="I1415" s="7">
        <v>14.64</v>
      </c>
      <c r="J1415" s="7">
        <v>14.85</v>
      </c>
      <c r="K1415" s="7">
        <v>14.68</v>
      </c>
      <c r="L1415" s="7">
        <v>14.88</v>
      </c>
      <c r="M1415" s="7">
        <v>14.53</v>
      </c>
      <c r="N1415" s="7">
        <v>14.45</v>
      </c>
      <c r="O1415" s="7">
        <v>13.49</v>
      </c>
      <c r="P1415" s="7">
        <v>13.5</v>
      </c>
      <c r="Q1415" s="7">
        <v>13.06</v>
      </c>
      <c r="R1415" s="7">
        <v>13.26</v>
      </c>
      <c r="S1415">
        <f>Tableau1[[#This Row],[Final_time]]-SUM(Tableau1[[#This Row],[0_100m]:[1300_1400m]])</f>
        <v>13.02000000000001</v>
      </c>
      <c r="T1415" s="7">
        <v>215.9</v>
      </c>
      <c r="U1415">
        <f t="shared" si="44"/>
        <v>215.9</v>
      </c>
      <c r="V1415">
        <f t="shared" si="45"/>
        <v>0</v>
      </c>
      <c r="W1415" s="12" t="s">
        <v>109</v>
      </c>
      <c r="X1415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15" t="s">
        <v>1378</v>
      </c>
      <c r="Z1415" s="2" t="s">
        <v>99</v>
      </c>
      <c r="AA1415" s="2" t="s">
        <v>128</v>
      </c>
      <c r="AB1415" s="2" t="s">
        <v>65</v>
      </c>
      <c r="AC1415" s="2">
        <v>45914</v>
      </c>
      <c r="AD1415" s="3">
        <v>2025</v>
      </c>
      <c r="AE1415" s="3">
        <v>28</v>
      </c>
      <c r="AF1415" s="5">
        <v>0.68</v>
      </c>
      <c r="AG1415" s="3"/>
    </row>
    <row r="1416" spans="1:33" hidden="1" x14ac:dyDescent="0.35">
      <c r="A1416" t="str">
        <f>_xlfn.CONCAT(Tableau1[[#This Row],[Athletes]],"_",Tableau1[[#This Row],[Nationality]],"_",Tableau1[[#This Row],[Competition_year]])</f>
        <v>Josh KERR_GBR_2025</v>
      </c>
      <c r="B1416" s="7" t="s">
        <v>189</v>
      </c>
      <c r="C1416" s="7" t="s">
        <v>16</v>
      </c>
      <c r="D1416" s="7" t="s">
        <v>20</v>
      </c>
      <c r="E1416" s="7">
        <v>14.13</v>
      </c>
      <c r="F1416" s="7">
        <v>16.53</v>
      </c>
      <c r="G1416" s="7">
        <v>16.61</v>
      </c>
      <c r="H1416" s="7">
        <v>14.9</v>
      </c>
      <c r="I1416" s="7">
        <v>14.69</v>
      </c>
      <c r="J1416" s="7">
        <v>15.05</v>
      </c>
      <c r="K1416" s="7">
        <v>14.42</v>
      </c>
      <c r="L1416" s="7">
        <v>14.81</v>
      </c>
      <c r="M1416" s="7">
        <v>14.35</v>
      </c>
      <c r="N1416" s="7">
        <v>14.39</v>
      </c>
      <c r="O1416" s="7">
        <v>13.47</v>
      </c>
      <c r="P1416" s="7">
        <v>13.44</v>
      </c>
      <c r="Q1416" s="7">
        <v>13.07</v>
      </c>
      <c r="R1416" s="7">
        <v>13.26</v>
      </c>
      <c r="S1416">
        <f>Tableau1[[#This Row],[Final_time]]-SUM(Tableau1[[#This Row],[0_100m]:[1300_1400m]])</f>
        <v>12.860000000000014</v>
      </c>
      <c r="T1416" s="7">
        <v>215.98</v>
      </c>
      <c r="U1416">
        <f t="shared" si="44"/>
        <v>215.98</v>
      </c>
      <c r="V1416">
        <f t="shared" si="45"/>
        <v>0</v>
      </c>
      <c r="W1416" s="12" t="s">
        <v>109</v>
      </c>
      <c r="X1416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16" t="s">
        <v>1378</v>
      </c>
      <c r="Z1416" s="2" t="s">
        <v>99</v>
      </c>
      <c r="AA1416" s="2" t="s">
        <v>128</v>
      </c>
      <c r="AB1416" s="2" t="s">
        <v>65</v>
      </c>
      <c r="AC1416" s="2">
        <v>45914</v>
      </c>
      <c r="AD1416" s="3">
        <v>2025</v>
      </c>
      <c r="AE1416" s="3">
        <v>28</v>
      </c>
      <c r="AF1416" s="5">
        <v>0.68</v>
      </c>
      <c r="AG1416" s="3"/>
    </row>
    <row r="1417" spans="1:33" hidden="1" x14ac:dyDescent="0.35">
      <c r="A1417" t="str">
        <f>_xlfn.CONCAT(Tableau1[[#This Row],[Athletes]],"_",Tableau1[[#This Row],[Nationality]],"_",Tableau1[[#This Row],[Competition_year]])</f>
        <v>Ethan STRAND_USA_2025</v>
      </c>
      <c r="B1417" s="7" t="s">
        <v>1372</v>
      </c>
      <c r="C1417" s="7" t="s">
        <v>16</v>
      </c>
      <c r="D1417" s="7" t="s">
        <v>51</v>
      </c>
      <c r="E1417" s="7">
        <v>13.99</v>
      </c>
      <c r="F1417" s="7">
        <v>16.45</v>
      </c>
      <c r="G1417" s="7">
        <v>16.53</v>
      </c>
      <c r="H1417" s="7">
        <v>14.77</v>
      </c>
      <c r="I1417" s="7">
        <v>14.68</v>
      </c>
      <c r="J1417" s="7">
        <v>14.83</v>
      </c>
      <c r="K1417" s="7">
        <v>14.65</v>
      </c>
      <c r="L1417" s="7">
        <v>14.89</v>
      </c>
      <c r="M1417" s="7">
        <v>14.48</v>
      </c>
      <c r="N1417" s="7">
        <v>14.44</v>
      </c>
      <c r="O1417" s="7">
        <v>13.68</v>
      </c>
      <c r="P1417" s="7">
        <v>13.41</v>
      </c>
      <c r="Q1417" s="7">
        <v>13.1</v>
      </c>
      <c r="R1417" s="7">
        <v>13.28</v>
      </c>
      <c r="S1417">
        <f>Tableau1[[#This Row],[Final_time]]-SUM(Tableau1[[#This Row],[0_100m]:[1300_1400m]])</f>
        <v>13.090000000000032</v>
      </c>
      <c r="T1417" s="7">
        <v>216.27</v>
      </c>
      <c r="U1417">
        <f t="shared" si="44"/>
        <v>216.27</v>
      </c>
      <c r="V1417">
        <f t="shared" si="45"/>
        <v>0</v>
      </c>
      <c r="W1417" s="12" t="s">
        <v>109</v>
      </c>
      <c r="X1417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17" t="s">
        <v>1378</v>
      </c>
      <c r="Z1417" s="2" t="s">
        <v>99</v>
      </c>
      <c r="AA1417" s="2" t="s">
        <v>128</v>
      </c>
      <c r="AB1417" s="2" t="s">
        <v>65</v>
      </c>
      <c r="AC1417" s="2">
        <v>45914</v>
      </c>
      <c r="AD1417" s="3">
        <v>2025</v>
      </c>
      <c r="AE1417" s="3">
        <v>28</v>
      </c>
      <c r="AF1417" s="5">
        <v>0.68</v>
      </c>
      <c r="AG1417" s="3"/>
    </row>
    <row r="1418" spans="1:33" hidden="1" x14ac:dyDescent="0.35">
      <c r="A1418" t="str">
        <f>_xlfn.CONCAT(Tableau1[[#This Row],[Athletes]],"_",Tableau1[[#This Row],[Nationality]],"_",Tableau1[[#This Row],[Competition_year]])</f>
        <v>Stefan NILLESSEN_NED_2025</v>
      </c>
      <c r="B1418" s="7" t="s">
        <v>1262</v>
      </c>
      <c r="C1418" s="7" t="s">
        <v>16</v>
      </c>
      <c r="D1418" s="7" t="s">
        <v>39</v>
      </c>
      <c r="E1418" s="7">
        <v>14.54</v>
      </c>
      <c r="F1418" s="7">
        <v>16.72</v>
      </c>
      <c r="G1418" s="7">
        <v>16.940000000000001</v>
      </c>
      <c r="H1418" s="7">
        <v>15.08</v>
      </c>
      <c r="I1418" s="7">
        <v>14.62</v>
      </c>
      <c r="J1418" s="7">
        <v>14.98</v>
      </c>
      <c r="K1418" s="7">
        <v>14.21</v>
      </c>
      <c r="L1418" s="7">
        <v>15.03</v>
      </c>
      <c r="M1418" s="7">
        <v>13.74</v>
      </c>
      <c r="N1418" s="7">
        <v>14.52</v>
      </c>
      <c r="O1418" s="7">
        <v>13.16</v>
      </c>
      <c r="P1418" s="7">
        <v>13.45</v>
      </c>
      <c r="Q1418" s="7">
        <v>13.13</v>
      </c>
      <c r="R1418" s="7">
        <v>13.22</v>
      </c>
      <c r="S1418">
        <f>Tableau1[[#This Row],[Final_time]]-SUM(Tableau1[[#This Row],[0_100m]:[1300_1400m]])</f>
        <v>12.939999999999998</v>
      </c>
      <c r="T1418" s="7">
        <v>216.28</v>
      </c>
      <c r="U1418">
        <f t="shared" si="44"/>
        <v>216.28</v>
      </c>
      <c r="V1418">
        <f t="shared" si="45"/>
        <v>0</v>
      </c>
      <c r="W1418" s="12" t="s">
        <v>109</v>
      </c>
      <c r="X1418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18" t="s">
        <v>1378</v>
      </c>
      <c r="Z1418" s="2" t="s">
        <v>99</v>
      </c>
      <c r="AA1418" s="2" t="s">
        <v>128</v>
      </c>
      <c r="AB1418" s="2" t="s">
        <v>65</v>
      </c>
      <c r="AC1418" s="2">
        <v>45914</v>
      </c>
      <c r="AD1418" s="3">
        <v>2025</v>
      </c>
      <c r="AE1418" s="3">
        <v>28</v>
      </c>
      <c r="AF1418" s="5">
        <v>0.68</v>
      </c>
      <c r="AG1418" s="3"/>
    </row>
    <row r="1419" spans="1:33" hidden="1" x14ac:dyDescent="0.35">
      <c r="A1419" t="str">
        <f>_xlfn.CONCAT(Tableau1[[#This Row],[Athletes]],"_",Tableau1[[#This Row],[Nationality]],"_",Tableau1[[#This Row],[Competition_year]])</f>
        <v>Federico RIVA_ITA_2025</v>
      </c>
      <c r="B1419" s="7" t="s">
        <v>901</v>
      </c>
      <c r="C1419" s="7" t="s">
        <v>16</v>
      </c>
      <c r="D1419" s="7" t="s">
        <v>19</v>
      </c>
      <c r="E1419" s="7">
        <v>14.03</v>
      </c>
      <c r="F1419" s="7">
        <v>16.45</v>
      </c>
      <c r="G1419" s="7">
        <v>16.62</v>
      </c>
      <c r="H1419" s="7">
        <v>14.9</v>
      </c>
      <c r="I1419" s="7">
        <v>14.65</v>
      </c>
      <c r="J1419" s="7">
        <v>15</v>
      </c>
      <c r="K1419" s="7">
        <v>14.58</v>
      </c>
      <c r="L1419" s="7">
        <v>14.91</v>
      </c>
      <c r="M1419" s="7">
        <v>14.15</v>
      </c>
      <c r="N1419" s="7">
        <v>14.48</v>
      </c>
      <c r="O1419" s="7">
        <v>13.4</v>
      </c>
      <c r="P1419" s="7">
        <v>13.48</v>
      </c>
      <c r="Q1419" s="7">
        <v>13.03</v>
      </c>
      <c r="R1419" s="7">
        <v>13.28</v>
      </c>
      <c r="S1419">
        <f>Tableau1[[#This Row],[Final_time]]-SUM(Tableau1[[#This Row],[0_100m]:[1300_1400m]])</f>
        <v>13.320000000000022</v>
      </c>
      <c r="T1419" s="7">
        <v>216.28</v>
      </c>
      <c r="U1419">
        <f t="shared" si="44"/>
        <v>216.28</v>
      </c>
      <c r="V1419">
        <f t="shared" si="45"/>
        <v>0</v>
      </c>
      <c r="W1419" s="12" t="s">
        <v>109</v>
      </c>
      <c r="X1419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19" t="s">
        <v>1378</v>
      </c>
      <c r="Z1419" s="2" t="s">
        <v>99</v>
      </c>
      <c r="AA1419" s="2" t="s">
        <v>128</v>
      </c>
      <c r="AB1419" s="2" t="s">
        <v>65</v>
      </c>
      <c r="AC1419" s="2">
        <v>45914</v>
      </c>
      <c r="AD1419" s="3">
        <v>2025</v>
      </c>
      <c r="AE1419" s="3">
        <v>28</v>
      </c>
      <c r="AF1419" s="5">
        <v>0.68</v>
      </c>
      <c r="AG1419" s="3"/>
    </row>
    <row r="1420" spans="1:33" hidden="1" x14ac:dyDescent="0.35">
      <c r="A1420" t="str">
        <f>_xlfn.CONCAT(Tableau1[[#This Row],[Athletes]],"_",Tableau1[[#This Row],[Nationality]],"_",Tableau1[[#This Row],[Competition_year]])</f>
        <v>Tshepo TSHITE_RSA_2025</v>
      </c>
      <c r="B1420" s="7" t="s">
        <v>201</v>
      </c>
      <c r="C1420" s="7" t="s">
        <v>16</v>
      </c>
      <c r="D1420" s="7" t="s">
        <v>36</v>
      </c>
      <c r="E1420" s="7">
        <v>14.1</v>
      </c>
      <c r="F1420" s="7">
        <v>16.78</v>
      </c>
      <c r="G1420" s="7">
        <v>16.739999999999998</v>
      </c>
      <c r="H1420" s="7">
        <v>15.05</v>
      </c>
      <c r="I1420" s="7">
        <v>14.65</v>
      </c>
      <c r="J1420" s="7">
        <v>15.15</v>
      </c>
      <c r="K1420" s="7">
        <v>14.31</v>
      </c>
      <c r="L1420" s="7">
        <v>15.07</v>
      </c>
      <c r="M1420" s="7">
        <v>14.27</v>
      </c>
      <c r="N1420" s="7">
        <v>14.51</v>
      </c>
      <c r="O1420" s="7">
        <v>13.39</v>
      </c>
      <c r="P1420" s="7">
        <v>13.57</v>
      </c>
      <c r="Q1420" s="7">
        <v>12.94</v>
      </c>
      <c r="R1420" s="7">
        <v>13.18</v>
      </c>
      <c r="S1420">
        <f>Tableau1[[#This Row],[Final_time]]-SUM(Tableau1[[#This Row],[0_100m]:[1300_1400m]])</f>
        <v>12.649999999999977</v>
      </c>
      <c r="T1420" s="7">
        <v>216.36</v>
      </c>
      <c r="U1420">
        <f t="shared" si="44"/>
        <v>216.36</v>
      </c>
      <c r="V1420">
        <f t="shared" si="45"/>
        <v>0</v>
      </c>
      <c r="W1420" s="12" t="s">
        <v>109</v>
      </c>
      <c r="X1420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0" t="s">
        <v>1378</v>
      </c>
      <c r="Z1420" s="2" t="s">
        <v>99</v>
      </c>
      <c r="AA1420" s="2" t="s">
        <v>128</v>
      </c>
      <c r="AB1420" s="2" t="s">
        <v>65</v>
      </c>
      <c r="AC1420" s="2">
        <v>45914</v>
      </c>
      <c r="AD1420" s="3">
        <v>2025</v>
      </c>
      <c r="AE1420" s="3">
        <v>28</v>
      </c>
      <c r="AF1420" s="5">
        <v>0.68</v>
      </c>
      <c r="AG1420" s="3"/>
    </row>
    <row r="1421" spans="1:33" hidden="1" x14ac:dyDescent="0.35">
      <c r="A1421" t="str">
        <f>_xlfn.CONCAT(Tableau1[[#This Row],[Athletes]],"_",Tableau1[[#This Row],[Nationality]],"_",Tableau1[[#This Row],[Competition_year]])</f>
        <v>Azeddine HABZ_FRA_2025</v>
      </c>
      <c r="B1421" s="7" t="s">
        <v>218</v>
      </c>
      <c r="C1421" s="7" t="s">
        <v>16</v>
      </c>
      <c r="D1421" s="7" t="s">
        <v>18</v>
      </c>
      <c r="E1421" s="7">
        <v>14.5</v>
      </c>
      <c r="F1421" s="7">
        <v>16.25</v>
      </c>
      <c r="G1421" s="7">
        <v>16.399999999999999</v>
      </c>
      <c r="H1421" s="7">
        <v>14.89</v>
      </c>
      <c r="I1421" s="7">
        <v>14.44</v>
      </c>
      <c r="J1421" s="7">
        <v>14.89</v>
      </c>
      <c r="K1421" s="7">
        <v>14.65</v>
      </c>
      <c r="L1421" s="7">
        <v>14.86</v>
      </c>
      <c r="M1421" s="7">
        <v>14.61</v>
      </c>
      <c r="N1421" s="7">
        <v>14.45</v>
      </c>
      <c r="O1421" s="7">
        <v>13.46</v>
      </c>
      <c r="P1421" s="7">
        <v>13.61</v>
      </c>
      <c r="Q1421" s="7">
        <v>12.95</v>
      </c>
      <c r="R1421" s="7">
        <v>13.36</v>
      </c>
      <c r="S1421">
        <f>Tableau1[[#This Row],[Final_time]]-SUM(Tableau1[[#This Row],[0_100m]:[1300_1400m]])</f>
        <v>13.300000000000011</v>
      </c>
      <c r="T1421" s="7">
        <v>216.62</v>
      </c>
      <c r="U1421">
        <f t="shared" si="44"/>
        <v>216.62</v>
      </c>
      <c r="V1421">
        <f t="shared" si="45"/>
        <v>0</v>
      </c>
      <c r="W1421" s="12"/>
      <c r="X1421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1" t="s">
        <v>1378</v>
      </c>
      <c r="Z1421" s="2" t="s">
        <v>99</v>
      </c>
      <c r="AA1421" s="2" t="s">
        <v>128</v>
      </c>
      <c r="AB1421" s="2" t="s">
        <v>65</v>
      </c>
      <c r="AC1421" s="2">
        <v>45914</v>
      </c>
      <c r="AD1421" s="3">
        <v>2025</v>
      </c>
      <c r="AE1421" s="3">
        <v>28</v>
      </c>
      <c r="AF1421" s="5">
        <v>0.68</v>
      </c>
      <c r="AG1421" s="3"/>
    </row>
    <row r="1422" spans="1:33" hidden="1" x14ac:dyDescent="0.35">
      <c r="A1422" t="str">
        <f>_xlfn.CONCAT(Tableau1[[#This Row],[Athletes]],"_",Tableau1[[#This Row],[Nationality]],"_",Tableau1[[#This Row],[Competition_year]])</f>
        <v>Jochem VERMEULEN_BEL_2025</v>
      </c>
      <c r="B1422" s="7" t="s">
        <v>235</v>
      </c>
      <c r="C1422" s="7" t="s">
        <v>16</v>
      </c>
      <c r="D1422" s="7" t="s">
        <v>86</v>
      </c>
      <c r="E1422" s="7">
        <v>14.41</v>
      </c>
      <c r="F1422" s="7">
        <v>16.73</v>
      </c>
      <c r="G1422" s="7">
        <v>16.34</v>
      </c>
      <c r="H1422" s="7">
        <v>15</v>
      </c>
      <c r="I1422" s="7">
        <v>14.56</v>
      </c>
      <c r="J1422" s="7">
        <v>15.2</v>
      </c>
      <c r="K1422" s="7">
        <v>14.57</v>
      </c>
      <c r="L1422" s="7">
        <v>14.88</v>
      </c>
      <c r="M1422" s="7">
        <v>14.42</v>
      </c>
      <c r="N1422" s="7">
        <v>14.43</v>
      </c>
      <c r="O1422" s="7">
        <v>13.38</v>
      </c>
      <c r="P1422" s="7">
        <v>13.5</v>
      </c>
      <c r="Q1422" s="7">
        <v>13.18</v>
      </c>
      <c r="R1422" s="7">
        <v>13.43</v>
      </c>
      <c r="S1422">
        <f>Tableau1[[#This Row],[Final_time]]-SUM(Tableau1[[#This Row],[0_100m]:[1300_1400m]])</f>
        <v>13.300000000000011</v>
      </c>
      <c r="T1422" s="7">
        <v>217.33</v>
      </c>
      <c r="U1422">
        <f t="shared" si="44"/>
        <v>217.33</v>
      </c>
      <c r="V1422">
        <f t="shared" si="45"/>
        <v>0</v>
      </c>
      <c r="W1422" s="12"/>
      <c r="X1422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2" t="s">
        <v>1378</v>
      </c>
      <c r="Z1422" s="2" t="s">
        <v>99</v>
      </c>
      <c r="AA1422" s="2" t="s">
        <v>128</v>
      </c>
      <c r="AB1422" s="2" t="s">
        <v>65</v>
      </c>
      <c r="AC1422" s="2">
        <v>45914</v>
      </c>
      <c r="AD1422" s="3">
        <v>2025</v>
      </c>
      <c r="AE1422" s="3">
        <v>28</v>
      </c>
      <c r="AF1422" s="5">
        <v>0.68</v>
      </c>
      <c r="AG1422" s="3"/>
    </row>
    <row r="1423" spans="1:33" hidden="1" x14ac:dyDescent="0.35">
      <c r="A1423" t="str">
        <f>_xlfn.CONCAT(Tableau1[[#This Row],[Athletes]],"_",Tableau1[[#This Row],[Nationality]],"_",Tableau1[[#This Row],[Competition_year]])</f>
        <v>Pol ORIACH_ESP_2025</v>
      </c>
      <c r="B1423" s="7" t="s">
        <v>1373</v>
      </c>
      <c r="C1423" s="7" t="s">
        <v>16</v>
      </c>
      <c r="D1423" s="7" t="s">
        <v>22</v>
      </c>
      <c r="E1423" s="7">
        <v>14.72</v>
      </c>
      <c r="F1423" s="7">
        <v>16.600000000000001</v>
      </c>
      <c r="G1423" s="7">
        <v>15.9</v>
      </c>
      <c r="H1423" s="7">
        <v>15.02</v>
      </c>
      <c r="I1423" s="7">
        <v>14.62</v>
      </c>
      <c r="J1423" s="7">
        <v>15.25</v>
      </c>
      <c r="K1423" s="7">
        <v>14.41</v>
      </c>
      <c r="L1423" s="7">
        <v>14.78</v>
      </c>
      <c r="M1423" s="7">
        <v>14.44</v>
      </c>
      <c r="N1423" s="7">
        <v>14.43</v>
      </c>
      <c r="O1423" s="7">
        <v>13.52</v>
      </c>
      <c r="P1423" s="7">
        <v>13.51</v>
      </c>
      <c r="Q1423" s="7">
        <v>13.1</v>
      </c>
      <c r="R1423" s="7">
        <v>13.41</v>
      </c>
      <c r="S1423">
        <f>Tableau1[[#This Row],[Final_time]]-SUM(Tableau1[[#This Row],[0_100m]:[1300_1400m]])</f>
        <v>13.719999999999999</v>
      </c>
      <c r="T1423" s="7">
        <v>217.43</v>
      </c>
      <c r="U1423">
        <f t="shared" si="44"/>
        <v>217.43</v>
      </c>
      <c r="V1423">
        <f t="shared" si="45"/>
        <v>0</v>
      </c>
      <c r="W1423" s="12"/>
      <c r="X1423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3" t="s">
        <v>1378</v>
      </c>
      <c r="Z1423" s="2" t="s">
        <v>99</v>
      </c>
      <c r="AA1423" s="2" t="s">
        <v>128</v>
      </c>
      <c r="AB1423" s="2" t="s">
        <v>65</v>
      </c>
      <c r="AC1423" s="2">
        <v>45914</v>
      </c>
      <c r="AD1423" s="3">
        <v>2025</v>
      </c>
      <c r="AE1423" s="3">
        <v>28</v>
      </c>
      <c r="AF1423" s="5">
        <v>0.68</v>
      </c>
      <c r="AG1423" s="3"/>
    </row>
    <row r="1424" spans="1:33" hidden="1" x14ac:dyDescent="0.35">
      <c r="A1424" t="str">
        <f>_xlfn.CONCAT(Tableau1[[#This Row],[Athletes]],"_",Tableau1[[#This Row],[Nationality]],"_",Tableau1[[#This Row],[Competition_year]])</f>
        <v>Fouad MESSAOUDI_MAR_2025</v>
      </c>
      <c r="B1424" s="7" t="s">
        <v>1374</v>
      </c>
      <c r="C1424" s="7" t="s">
        <v>16</v>
      </c>
      <c r="D1424" s="7" t="s">
        <v>75</v>
      </c>
      <c r="E1424" s="7">
        <v>14</v>
      </c>
      <c r="F1424" s="7">
        <v>16.79</v>
      </c>
      <c r="G1424" s="7">
        <v>16.649999999999999</v>
      </c>
      <c r="H1424" s="7">
        <v>14.96</v>
      </c>
      <c r="I1424" s="7">
        <v>14.66</v>
      </c>
      <c r="J1424" s="7">
        <v>14.96</v>
      </c>
      <c r="K1424" s="7">
        <v>14.33</v>
      </c>
      <c r="L1424" s="7">
        <v>15.05</v>
      </c>
      <c r="M1424" s="7">
        <v>14.31</v>
      </c>
      <c r="N1424" s="7">
        <v>14.43</v>
      </c>
      <c r="O1424" s="7">
        <v>13.46</v>
      </c>
      <c r="P1424" s="7">
        <v>13.58</v>
      </c>
      <c r="Q1424" s="7">
        <v>13.26</v>
      </c>
      <c r="R1424" s="7">
        <v>13.54</v>
      </c>
      <c r="S1424">
        <f>Tableau1[[#This Row],[Final_time]]-SUM(Tableau1[[#This Row],[0_100m]:[1300_1400m]])</f>
        <v>13.849999999999994</v>
      </c>
      <c r="T1424" s="7">
        <v>217.83</v>
      </c>
      <c r="U1424">
        <f t="shared" si="44"/>
        <v>217.83</v>
      </c>
      <c r="V1424">
        <f t="shared" si="45"/>
        <v>0</v>
      </c>
      <c r="W1424" s="12"/>
      <c r="X1424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4" t="s">
        <v>1378</v>
      </c>
      <c r="Z1424" s="2" t="s">
        <v>99</v>
      </c>
      <c r="AA1424" s="2" t="s">
        <v>128</v>
      </c>
      <c r="AB1424" s="2" t="s">
        <v>65</v>
      </c>
      <c r="AC1424" s="2">
        <v>45914</v>
      </c>
      <c r="AD1424" s="3">
        <v>2025</v>
      </c>
      <c r="AE1424" s="3">
        <v>28</v>
      </c>
      <c r="AF1424" s="5">
        <v>0.68</v>
      </c>
      <c r="AG1424" s="3"/>
    </row>
    <row r="1425" spans="1:33" hidden="1" x14ac:dyDescent="0.35">
      <c r="A1425" t="str">
        <f>_xlfn.CONCAT(Tableau1[[#This Row],[Athletes]],"_",Tableau1[[#This Row],[Nationality]],"_",Tableau1[[#This Row],[Competition_year]])</f>
        <v>Jude THOMAS_AUS_2025</v>
      </c>
      <c r="B1425" s="7" t="s">
        <v>1363</v>
      </c>
      <c r="C1425" s="7" t="s">
        <v>16</v>
      </c>
      <c r="D1425" s="7" t="s">
        <v>21</v>
      </c>
      <c r="E1425" s="7">
        <v>14.33</v>
      </c>
      <c r="F1425" s="7">
        <v>16.739999999999998</v>
      </c>
      <c r="G1425" s="7">
        <v>16.71</v>
      </c>
      <c r="H1425" s="7">
        <v>15.14</v>
      </c>
      <c r="I1425" s="7">
        <v>14.57</v>
      </c>
      <c r="J1425" s="7">
        <v>15.15</v>
      </c>
      <c r="K1425" s="7">
        <v>13.99</v>
      </c>
      <c r="L1425" s="7">
        <v>14.91</v>
      </c>
      <c r="M1425" s="7">
        <v>14.42</v>
      </c>
      <c r="N1425" s="7">
        <v>14.4</v>
      </c>
      <c r="O1425" s="7">
        <v>13.5</v>
      </c>
      <c r="P1425" s="7">
        <v>13.52</v>
      </c>
      <c r="Q1425" s="7">
        <v>13.35</v>
      </c>
      <c r="R1425" s="7">
        <v>13.61</v>
      </c>
      <c r="S1425">
        <f>Tableau1[[#This Row],[Final_time]]-SUM(Tableau1[[#This Row],[0_100m]:[1300_1400m]])</f>
        <v>13.849999999999966</v>
      </c>
      <c r="T1425" s="7">
        <v>218.19</v>
      </c>
      <c r="U1425">
        <f t="shared" si="44"/>
        <v>218.19</v>
      </c>
      <c r="V1425">
        <f t="shared" si="45"/>
        <v>0</v>
      </c>
      <c r="W1425" s="12"/>
      <c r="X1425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5" t="s">
        <v>1378</v>
      </c>
      <c r="Z1425" s="2" t="s">
        <v>99</v>
      </c>
      <c r="AA1425" s="2" t="s">
        <v>128</v>
      </c>
      <c r="AB1425" s="2" t="s">
        <v>65</v>
      </c>
      <c r="AC1425" s="2">
        <v>45914</v>
      </c>
      <c r="AD1425" s="3">
        <v>2025</v>
      </c>
      <c r="AE1425" s="3">
        <v>28</v>
      </c>
      <c r="AF1425" s="5">
        <v>0.68</v>
      </c>
      <c r="AG1425" s="3"/>
    </row>
    <row r="1426" spans="1:33" hidden="1" x14ac:dyDescent="0.35">
      <c r="A1426" t="str">
        <f>_xlfn.CONCAT(Tableau1[[#This Row],[Athletes]],"_",Tableau1[[#This Row],[Nationality]],"_",Tableau1[[#This Row],[Competition_year]])</f>
        <v>Charles GRETHEN_LUX_2025</v>
      </c>
      <c r="B1426" s="7" t="s">
        <v>230</v>
      </c>
      <c r="C1426" s="7" t="s">
        <v>16</v>
      </c>
      <c r="D1426" s="7" t="s">
        <v>76</v>
      </c>
      <c r="E1426" s="7">
        <v>14.24</v>
      </c>
      <c r="F1426" s="7">
        <v>16.670000000000002</v>
      </c>
      <c r="G1426" s="7">
        <v>16.78</v>
      </c>
      <c r="H1426" s="7">
        <v>15.07</v>
      </c>
      <c r="I1426" s="7">
        <v>14.7</v>
      </c>
      <c r="J1426" s="7">
        <v>14.82</v>
      </c>
      <c r="K1426" s="7">
        <v>14.59</v>
      </c>
      <c r="L1426" s="7">
        <v>15.17</v>
      </c>
      <c r="M1426" s="7">
        <v>14.35</v>
      </c>
      <c r="N1426" s="7">
        <v>14.69</v>
      </c>
      <c r="O1426" s="7">
        <v>13.61</v>
      </c>
      <c r="P1426" s="7">
        <v>14.44</v>
      </c>
      <c r="Q1426" s="7">
        <v>13.91</v>
      </c>
      <c r="R1426" s="7">
        <v>13.97</v>
      </c>
      <c r="S1426">
        <f>Tableau1[[#This Row],[Final_time]]-SUM(Tableau1[[#This Row],[0_100m]:[1300_1400m]])</f>
        <v>14.170000000000016</v>
      </c>
      <c r="T1426" s="7">
        <v>221.18</v>
      </c>
      <c r="U1426">
        <f t="shared" si="44"/>
        <v>221.18</v>
      </c>
      <c r="V1426">
        <f t="shared" si="45"/>
        <v>0</v>
      </c>
      <c r="W1426" s="12"/>
      <c r="X1426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6" t="s">
        <v>1378</v>
      </c>
      <c r="Z1426" s="2" t="s">
        <v>99</v>
      </c>
      <c r="AA1426" s="2" t="s">
        <v>128</v>
      </c>
      <c r="AB1426" s="2" t="s">
        <v>65</v>
      </c>
      <c r="AC1426" s="2">
        <v>45914</v>
      </c>
      <c r="AD1426" s="3">
        <v>2025</v>
      </c>
      <c r="AE1426" s="3">
        <v>28</v>
      </c>
      <c r="AF1426" s="5">
        <v>0.68</v>
      </c>
      <c r="AG1426" s="3"/>
    </row>
    <row r="1427" spans="1:33" hidden="1" x14ac:dyDescent="0.35">
      <c r="A1427" t="str">
        <f>_xlfn.CONCAT(Tableau1[[#This Row],[Athletes]],"_",Tableau1[[#This Row],[Nationality]],"_",Tableau1[[#This Row],[Competition_year]])</f>
        <v>Kazuto IIZAWA_JPN_2025</v>
      </c>
      <c r="B1427" s="7" t="s">
        <v>1375</v>
      </c>
      <c r="C1427" s="7" t="s">
        <v>16</v>
      </c>
      <c r="D1427" s="7" t="s">
        <v>69</v>
      </c>
      <c r="E1427" s="7">
        <v>14.29</v>
      </c>
      <c r="F1427" s="7">
        <v>16.399999999999999</v>
      </c>
      <c r="G1427" s="7">
        <v>16.739999999999998</v>
      </c>
      <c r="H1427" s="7">
        <v>15.08</v>
      </c>
      <c r="I1427" s="7">
        <v>14.71</v>
      </c>
      <c r="J1427" s="7">
        <v>14.94</v>
      </c>
      <c r="K1427" s="7">
        <v>14.39</v>
      </c>
      <c r="L1427" s="7">
        <v>15.09</v>
      </c>
      <c r="M1427" s="7">
        <v>14.55</v>
      </c>
      <c r="N1427" s="7">
        <v>14.52</v>
      </c>
      <c r="O1427" s="7">
        <v>13.59</v>
      </c>
      <c r="P1427" s="7">
        <v>13.74</v>
      </c>
      <c r="Q1427" s="7">
        <v>14.22</v>
      </c>
      <c r="R1427" s="7">
        <v>14.8</v>
      </c>
      <c r="S1427">
        <f>Tableau1[[#This Row],[Final_time]]-SUM(Tableau1[[#This Row],[0_100m]:[1300_1400m]])</f>
        <v>14.69999999999996</v>
      </c>
      <c r="T1427" s="7">
        <v>221.76</v>
      </c>
      <c r="U1427">
        <f t="shared" si="44"/>
        <v>221.76</v>
      </c>
      <c r="V1427">
        <f t="shared" si="45"/>
        <v>0</v>
      </c>
      <c r="W1427" s="12"/>
      <c r="X1427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7" t="s">
        <v>1378</v>
      </c>
      <c r="Z1427" s="2" t="s">
        <v>99</v>
      </c>
      <c r="AA1427" s="2" t="s">
        <v>128</v>
      </c>
      <c r="AB1427" s="2" t="s">
        <v>65</v>
      </c>
      <c r="AC1427" s="2">
        <v>45914</v>
      </c>
      <c r="AD1427" s="3">
        <v>2025</v>
      </c>
      <c r="AE1427" s="3">
        <v>28</v>
      </c>
      <c r="AF1427" s="5">
        <v>0.68</v>
      </c>
      <c r="AG1427" s="3"/>
    </row>
    <row r="1428" spans="1:33" hidden="1" x14ac:dyDescent="0.35">
      <c r="A1428" t="str">
        <f>_xlfn.CONCAT(Tableau1[[#This Row],[Athletes]],"_",Tableau1[[#This Row],[Nationality]],"_",Tableau1[[#This Row],[Competition_year]])</f>
        <v>Kristian Uldbjerg HANSEN_DEN_2025</v>
      </c>
      <c r="B1428" s="7" t="s">
        <v>238</v>
      </c>
      <c r="C1428" s="7" t="s">
        <v>16</v>
      </c>
      <c r="D1428" s="7" t="s">
        <v>40</v>
      </c>
      <c r="E1428" s="7">
        <v>14.49</v>
      </c>
      <c r="F1428" s="7">
        <v>16.73</v>
      </c>
      <c r="G1428" s="7">
        <v>16.71</v>
      </c>
      <c r="H1428" s="7">
        <v>15.12</v>
      </c>
      <c r="I1428" s="7">
        <v>14.61</v>
      </c>
      <c r="J1428" s="7">
        <v>14.94</v>
      </c>
      <c r="K1428" s="7">
        <v>14.34</v>
      </c>
      <c r="L1428" s="7">
        <v>14.92</v>
      </c>
      <c r="M1428" s="7">
        <v>14.63</v>
      </c>
      <c r="N1428" s="7">
        <v>14.32</v>
      </c>
      <c r="O1428" s="7">
        <v>14.2</v>
      </c>
      <c r="P1428" s="7">
        <v>14.5</v>
      </c>
      <c r="Q1428" s="7">
        <v>15.06</v>
      </c>
      <c r="R1428" s="7">
        <v>16</v>
      </c>
      <c r="S1428">
        <f>Tableau1[[#This Row],[Final_time]]-SUM(Tableau1[[#This Row],[0_100m]:[1300_1400m]])</f>
        <v>17.010000000000019</v>
      </c>
      <c r="T1428" s="7">
        <v>227.58</v>
      </c>
      <c r="U1428">
        <f t="shared" si="44"/>
        <v>227.58</v>
      </c>
      <c r="V1428">
        <f t="shared" si="45"/>
        <v>0</v>
      </c>
      <c r="W1428" s="12"/>
      <c r="X1428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8" t="s">
        <v>1378</v>
      </c>
      <c r="Z1428" s="2" t="s">
        <v>99</v>
      </c>
      <c r="AA1428" s="2" t="s">
        <v>128</v>
      </c>
      <c r="AB1428" s="2" t="s">
        <v>65</v>
      </c>
      <c r="AC1428" s="2">
        <v>45914</v>
      </c>
      <c r="AD1428" s="3">
        <v>2025</v>
      </c>
      <c r="AE1428" s="3">
        <v>28</v>
      </c>
      <c r="AF1428" s="5">
        <v>0.68</v>
      </c>
      <c r="AG1428" s="3"/>
    </row>
    <row r="1429" spans="1:33" hidden="1" x14ac:dyDescent="0.35">
      <c r="A1429" t="str">
        <f>_xlfn.CONCAT(Tableau1[[#This Row],[Athletes]],"_",Tableau1[[#This Row],[Nationality]],"_",Tableau1[[#This Row],[Competition_year]])</f>
        <v>Hugh KENT_GUM_2025</v>
      </c>
      <c r="B1429" s="7" t="s">
        <v>1376</v>
      </c>
      <c r="C1429" s="7" t="s">
        <v>16</v>
      </c>
      <c r="D1429" s="7" t="s">
        <v>1377</v>
      </c>
      <c r="E1429" s="7">
        <v>15.01</v>
      </c>
      <c r="F1429" s="7">
        <v>16.72</v>
      </c>
      <c r="G1429" s="7">
        <v>16.88</v>
      </c>
      <c r="H1429" s="7">
        <v>15.26</v>
      </c>
      <c r="I1429" s="7">
        <v>15.13</v>
      </c>
      <c r="J1429" s="7">
        <v>15.33</v>
      </c>
      <c r="K1429" s="7">
        <v>15.69</v>
      </c>
      <c r="L1429" s="7">
        <v>16.100000000000001</v>
      </c>
      <c r="M1429" s="7">
        <v>16.57</v>
      </c>
      <c r="N1429" s="7">
        <v>17.02</v>
      </c>
      <c r="O1429" s="7">
        <v>17.100000000000001</v>
      </c>
      <c r="P1429" s="7">
        <v>16.760000000000002</v>
      </c>
      <c r="Q1429" s="7">
        <v>17.010000000000002</v>
      </c>
      <c r="R1429" s="7">
        <v>16.329999999999998</v>
      </c>
      <c r="S1429">
        <f>Tableau1[[#This Row],[Final_time]]-SUM(Tableau1[[#This Row],[0_100m]:[1300_1400m]])</f>
        <v>16.930000000000035</v>
      </c>
      <c r="T1429" s="7">
        <v>243.84</v>
      </c>
      <c r="U1429">
        <f t="shared" si="44"/>
        <v>243.84</v>
      </c>
      <c r="V1429">
        <f t="shared" si="45"/>
        <v>0</v>
      </c>
      <c r="W1429" s="12"/>
      <c r="X1429" t="str">
        <f>_xlfn.CONCAT(Tableau1[[#This Row],[Competition]],"_",Tableau1[[#This Row],[Championship_step]],"_",Tableau1[[#This Row],[Competition_date]],"_",Tableau1[[#This Row],[Gender]])</f>
        <v>World Championships Tokyo 2025_Heat 1_45914_Male</v>
      </c>
      <c r="Y1429" t="s">
        <v>1378</v>
      </c>
      <c r="Z1429" s="2" t="s">
        <v>99</v>
      </c>
      <c r="AA1429" s="2" t="s">
        <v>128</v>
      </c>
      <c r="AB1429" s="2" t="s">
        <v>65</v>
      </c>
      <c r="AC1429" s="2">
        <v>45914</v>
      </c>
      <c r="AD1429" s="3">
        <v>2025</v>
      </c>
      <c r="AE1429" s="3">
        <v>28</v>
      </c>
      <c r="AF1429" s="5">
        <v>0.68</v>
      </c>
      <c r="AG1429" s="3"/>
    </row>
    <row r="1430" spans="1:33" hidden="1" x14ac:dyDescent="0.35">
      <c r="A1430" t="str">
        <f>_xlfn.CONCAT(Tableau1[[#This Row],[Athletes]],"_",Tableau1[[#This Row],[Nationality]],"_",Tableau1[[#This Row],[Competition_year]])</f>
        <v>Nelly CHEPCHIRCHIR_KEN_2025</v>
      </c>
      <c r="B1430" s="7" t="s">
        <v>178</v>
      </c>
      <c r="C1430" s="7" t="s">
        <v>47</v>
      </c>
      <c r="D1430" s="7" t="s">
        <v>17</v>
      </c>
      <c r="E1430" s="7">
        <v>16.350000000000001</v>
      </c>
      <c r="F1430" s="7">
        <v>18.89</v>
      </c>
      <c r="G1430" s="7">
        <v>19.100000000000001</v>
      </c>
      <c r="H1430" s="7">
        <v>18.8</v>
      </c>
      <c r="I1430" s="7">
        <v>17.829999999999998</v>
      </c>
      <c r="J1430" s="7">
        <v>17.77</v>
      </c>
      <c r="K1430" s="7">
        <v>16.98</v>
      </c>
      <c r="L1430" s="7">
        <v>16.309999999999999</v>
      </c>
      <c r="M1430" s="7">
        <v>14.92</v>
      </c>
      <c r="N1430" s="7">
        <v>15.2</v>
      </c>
      <c r="O1430" s="7">
        <v>14.8</v>
      </c>
      <c r="P1430" s="7">
        <v>14.85</v>
      </c>
      <c r="Q1430" s="7">
        <v>14.32</v>
      </c>
      <c r="R1430" s="7">
        <v>15.46</v>
      </c>
      <c r="S1430">
        <f>Tableau1[[#This Row],[Final_time]]-SUM(Tableau1[[#This Row],[0_100m]:[1300_1400m]])</f>
        <v>15.430000000000007</v>
      </c>
      <c r="T1430" s="7">
        <v>247.01</v>
      </c>
      <c r="U1430">
        <f t="shared" si="44"/>
        <v>247.01</v>
      </c>
      <c r="V1430">
        <f t="shared" si="45"/>
        <v>0</v>
      </c>
      <c r="W1430" s="12" t="s">
        <v>109</v>
      </c>
      <c r="X1430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0" t="s">
        <v>1378</v>
      </c>
      <c r="Z1430" s="2" t="s">
        <v>99</v>
      </c>
      <c r="AA1430" s="2" t="s">
        <v>129</v>
      </c>
      <c r="AB1430" s="2" t="s">
        <v>65</v>
      </c>
      <c r="AC1430" s="2">
        <v>45913</v>
      </c>
      <c r="AD1430" s="3">
        <v>2025</v>
      </c>
      <c r="AE1430" s="3">
        <v>29</v>
      </c>
      <c r="AF1430" s="5">
        <v>0.67</v>
      </c>
      <c r="AG1430" s="3"/>
    </row>
    <row r="1431" spans="1:33" hidden="1" x14ac:dyDescent="0.35">
      <c r="A1431" t="str">
        <f>_xlfn.CONCAT(Tableau1[[#This Row],[Athletes]],"_",Tableau1[[#This Row],[Nationality]],"_",Tableau1[[#This Row],[Competition_year]])</f>
        <v>Klaudia KAZIMIERSKA_POL_2025</v>
      </c>
      <c r="B1431" s="7" t="s">
        <v>1043</v>
      </c>
      <c r="C1431" s="7" t="s">
        <v>47</v>
      </c>
      <c r="D1431" s="7" t="s">
        <v>83</v>
      </c>
      <c r="E1431" s="7">
        <v>16.309999999999999</v>
      </c>
      <c r="F1431" s="7">
        <v>18.89</v>
      </c>
      <c r="G1431" s="7">
        <v>18.79</v>
      </c>
      <c r="H1431" s="7">
        <v>18.87</v>
      </c>
      <c r="I1431" s="7">
        <v>17.920000000000002</v>
      </c>
      <c r="J1431" s="7">
        <v>17.88</v>
      </c>
      <c r="K1431" s="7">
        <v>17.079999999999998</v>
      </c>
      <c r="L1431" s="7">
        <v>16.36</v>
      </c>
      <c r="M1431" s="7">
        <v>15.19</v>
      </c>
      <c r="N1431" s="7">
        <v>15.22</v>
      </c>
      <c r="O1431" s="7">
        <v>14.84</v>
      </c>
      <c r="P1431" s="7">
        <v>14.62</v>
      </c>
      <c r="Q1431" s="7">
        <v>14.6</v>
      </c>
      <c r="R1431" s="7">
        <v>15.29</v>
      </c>
      <c r="S1431">
        <f>Tableau1[[#This Row],[Final_time]]-SUM(Tableau1[[#This Row],[0_100m]:[1300_1400m]])</f>
        <v>15.480000000000018</v>
      </c>
      <c r="T1431" s="7">
        <v>247.34</v>
      </c>
      <c r="U1431">
        <f t="shared" si="44"/>
        <v>247.34</v>
      </c>
      <c r="V1431">
        <f t="shared" si="45"/>
        <v>0</v>
      </c>
      <c r="W1431" s="12" t="s">
        <v>109</v>
      </c>
      <c r="X1431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1" t="s">
        <v>1378</v>
      </c>
      <c r="Z1431" s="2" t="s">
        <v>99</v>
      </c>
      <c r="AA1431" s="2" t="s">
        <v>129</v>
      </c>
      <c r="AB1431" s="2" t="s">
        <v>65</v>
      </c>
      <c r="AC1431" s="2">
        <v>45913</v>
      </c>
      <c r="AD1431" s="3">
        <v>2025</v>
      </c>
      <c r="AE1431" s="3">
        <v>29</v>
      </c>
      <c r="AF1431" s="5">
        <v>0.67</v>
      </c>
      <c r="AG1431" s="3"/>
    </row>
    <row r="1432" spans="1:33" hidden="1" x14ac:dyDescent="0.35">
      <c r="A1432" t="str">
        <f>_xlfn.CONCAT(Tableau1[[#This Row],[Athletes]],"_",Tableau1[[#This Row],[Nationality]],"_",Tableau1[[#This Row],[Competition_year]])</f>
        <v>Şilan AYYILDIZ_TUR_2025</v>
      </c>
      <c r="B1432" s="7" t="s">
        <v>163</v>
      </c>
      <c r="C1432" s="7" t="s">
        <v>47</v>
      </c>
      <c r="D1432" s="7" t="s">
        <v>104</v>
      </c>
      <c r="E1432" s="7">
        <v>16.3</v>
      </c>
      <c r="F1432" s="7">
        <v>18.96</v>
      </c>
      <c r="G1432" s="7">
        <v>18.920000000000002</v>
      </c>
      <c r="H1432" s="7">
        <v>18.84</v>
      </c>
      <c r="I1432" s="7">
        <v>17.79</v>
      </c>
      <c r="J1432" s="7">
        <v>17.91</v>
      </c>
      <c r="K1432" s="7">
        <v>17.05</v>
      </c>
      <c r="L1432" s="7">
        <v>16.420000000000002</v>
      </c>
      <c r="M1432" s="7">
        <v>15.18</v>
      </c>
      <c r="N1432" s="7">
        <v>15.32</v>
      </c>
      <c r="O1432" s="7">
        <v>14.93</v>
      </c>
      <c r="P1432" s="7">
        <v>15.12</v>
      </c>
      <c r="Q1432" s="7">
        <v>15.27</v>
      </c>
      <c r="R1432" s="7">
        <v>15.89</v>
      </c>
      <c r="S1432">
        <f>Tableau1[[#This Row],[Final_time]]-SUM(Tableau1[[#This Row],[0_100m]:[1300_1400m]])</f>
        <v>15.599999999999966</v>
      </c>
      <c r="T1432" s="7">
        <v>249.5</v>
      </c>
      <c r="U1432">
        <f t="shared" si="44"/>
        <v>249.5</v>
      </c>
      <c r="V1432">
        <f t="shared" si="45"/>
        <v>0</v>
      </c>
      <c r="W1432" s="12"/>
      <c r="X1432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2" t="s">
        <v>1378</v>
      </c>
      <c r="Z1432" s="2" t="s">
        <v>99</v>
      </c>
      <c r="AA1432" s="2" t="s">
        <v>129</v>
      </c>
      <c r="AB1432" s="2" t="s">
        <v>65</v>
      </c>
      <c r="AC1432" s="2">
        <v>45913</v>
      </c>
      <c r="AD1432" s="3">
        <v>2025</v>
      </c>
      <c r="AE1432" s="3">
        <v>29</v>
      </c>
      <c r="AF1432" s="5">
        <v>0.67</v>
      </c>
      <c r="AG1432" s="3"/>
    </row>
    <row r="1433" spans="1:33" hidden="1" x14ac:dyDescent="0.35">
      <c r="A1433" t="str">
        <f>_xlfn.CONCAT(Tableau1[[#This Row],[Athletes]],"_",Tableau1[[#This Row],[Nationality]],"_",Tableau1[[#This Row],[Competition_year]])</f>
        <v>Salomé AFONSO_POR_2025</v>
      </c>
      <c r="B1433" s="7" t="s">
        <v>174</v>
      </c>
      <c r="C1433" s="7" t="s">
        <v>47</v>
      </c>
      <c r="D1433" s="7" t="s">
        <v>33</v>
      </c>
      <c r="E1433" s="7">
        <v>16.13</v>
      </c>
      <c r="F1433" s="7">
        <v>18.940000000000001</v>
      </c>
      <c r="G1433" s="7">
        <v>18.8</v>
      </c>
      <c r="H1433" s="7">
        <v>18.86</v>
      </c>
      <c r="I1433" s="7">
        <v>17.86</v>
      </c>
      <c r="J1433" s="7">
        <v>18.03</v>
      </c>
      <c r="K1433" s="7">
        <v>16.899999999999999</v>
      </c>
      <c r="L1433" s="7">
        <v>16.47</v>
      </c>
      <c r="M1433" s="7">
        <v>15.13</v>
      </c>
      <c r="N1433" s="7">
        <v>15.28</v>
      </c>
      <c r="O1433" s="7">
        <v>14.77</v>
      </c>
      <c r="P1433" s="7">
        <v>14.84</v>
      </c>
      <c r="Q1433" s="7">
        <v>14.45</v>
      </c>
      <c r="R1433" s="7">
        <v>15.37</v>
      </c>
      <c r="S1433">
        <f>Tableau1[[#This Row],[Final_time]]-SUM(Tableau1[[#This Row],[0_100m]:[1300_1400m]])</f>
        <v>15.609999999999985</v>
      </c>
      <c r="T1433" s="7">
        <v>247.44</v>
      </c>
      <c r="U1433">
        <f t="shared" si="44"/>
        <v>247.44</v>
      </c>
      <c r="V1433">
        <f t="shared" si="45"/>
        <v>0</v>
      </c>
      <c r="W1433" s="12" t="s">
        <v>109</v>
      </c>
      <c r="X1433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3" t="s">
        <v>1378</v>
      </c>
      <c r="Z1433" s="2" t="s">
        <v>99</v>
      </c>
      <c r="AA1433" s="2" t="s">
        <v>129</v>
      </c>
      <c r="AB1433" s="2" t="s">
        <v>65</v>
      </c>
      <c r="AC1433" s="2">
        <v>45913</v>
      </c>
      <c r="AD1433" s="3">
        <v>2025</v>
      </c>
      <c r="AE1433" s="3">
        <v>29</v>
      </c>
      <c r="AF1433" s="5">
        <v>0.67</v>
      </c>
      <c r="AG1433" s="3"/>
    </row>
    <row r="1434" spans="1:33" hidden="1" x14ac:dyDescent="0.35">
      <c r="A1434" t="str">
        <f>_xlfn.CONCAT(Tableau1[[#This Row],[Athletes]],"_",Tableau1[[#This Row],[Nationality]],"_",Tableau1[[#This Row],[Competition_year]])</f>
        <v>Lucia STAFFORD_CAN_2025</v>
      </c>
      <c r="B1434" s="7" t="s">
        <v>158</v>
      </c>
      <c r="C1434" s="7" t="s">
        <v>47</v>
      </c>
      <c r="D1434" s="7" t="s">
        <v>55</v>
      </c>
      <c r="E1434" s="7">
        <v>16.329999999999998</v>
      </c>
      <c r="F1434" s="7">
        <v>19.04</v>
      </c>
      <c r="G1434" s="7">
        <v>18.95</v>
      </c>
      <c r="H1434" s="7">
        <v>18.88</v>
      </c>
      <c r="I1434" s="7">
        <v>17.87</v>
      </c>
      <c r="J1434" s="7">
        <v>18.02</v>
      </c>
      <c r="K1434" s="7">
        <v>16.97</v>
      </c>
      <c r="L1434" s="7">
        <v>16.329999999999998</v>
      </c>
      <c r="M1434" s="7">
        <v>15.41</v>
      </c>
      <c r="N1434" s="7">
        <v>15.07</v>
      </c>
      <c r="O1434" s="7">
        <v>15.02</v>
      </c>
      <c r="P1434" s="7">
        <v>15.08</v>
      </c>
      <c r="Q1434" s="7">
        <v>14.77</v>
      </c>
      <c r="R1434" s="7">
        <v>15.52</v>
      </c>
      <c r="S1434">
        <f>Tableau1[[#This Row],[Final_time]]-SUM(Tableau1[[#This Row],[0_100m]:[1300_1400m]])</f>
        <v>15.71999999999997</v>
      </c>
      <c r="T1434" s="7">
        <v>248.98</v>
      </c>
      <c r="U1434">
        <f t="shared" si="44"/>
        <v>248.98</v>
      </c>
      <c r="V1434">
        <f t="shared" si="45"/>
        <v>0</v>
      </c>
      <c r="W1434" s="12"/>
      <c r="X1434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4" t="s">
        <v>1378</v>
      </c>
      <c r="Z1434" s="2" t="s">
        <v>99</v>
      </c>
      <c r="AA1434" s="2" t="s">
        <v>129</v>
      </c>
      <c r="AB1434" s="2" t="s">
        <v>65</v>
      </c>
      <c r="AC1434" s="2">
        <v>45913</v>
      </c>
      <c r="AD1434" s="3">
        <v>2025</v>
      </c>
      <c r="AE1434" s="3">
        <v>29</v>
      </c>
      <c r="AF1434" s="5">
        <v>0.67</v>
      </c>
      <c r="AG1434" s="3"/>
    </row>
    <row r="1435" spans="1:33" hidden="1" x14ac:dyDescent="0.35">
      <c r="A1435" t="str">
        <f>_xlfn.CONCAT(Tableau1[[#This Row],[Athletes]],"_",Tableau1[[#This Row],[Nationality]],"_",Tableau1[[#This Row],[Competition_year]])</f>
        <v>Linden HALL_AUS_2025</v>
      </c>
      <c r="B1435" s="7" t="s">
        <v>184</v>
      </c>
      <c r="C1435" s="7" t="s">
        <v>47</v>
      </c>
      <c r="D1435" s="7" t="s">
        <v>21</v>
      </c>
      <c r="E1435" s="7">
        <v>16.149999999999999</v>
      </c>
      <c r="F1435" s="7">
        <v>18.96</v>
      </c>
      <c r="G1435" s="7">
        <v>18.89</v>
      </c>
      <c r="H1435" s="7">
        <v>18.8</v>
      </c>
      <c r="I1435" s="7">
        <v>17.82</v>
      </c>
      <c r="J1435" s="7">
        <v>18.03</v>
      </c>
      <c r="K1435" s="7">
        <v>16.96</v>
      </c>
      <c r="L1435" s="7">
        <v>16.239999999999998</v>
      </c>
      <c r="M1435" s="7">
        <v>14.99</v>
      </c>
      <c r="N1435" s="7">
        <v>15.21</v>
      </c>
      <c r="O1435" s="7">
        <v>14.8</v>
      </c>
      <c r="P1435" s="7">
        <v>14.87</v>
      </c>
      <c r="Q1435" s="7">
        <v>14.64</v>
      </c>
      <c r="R1435" s="7">
        <v>15.45</v>
      </c>
      <c r="S1435">
        <f>Tableau1[[#This Row],[Final_time]]-SUM(Tableau1[[#This Row],[0_100m]:[1300_1400m]])</f>
        <v>15.799999999999955</v>
      </c>
      <c r="T1435" s="7">
        <v>247.61</v>
      </c>
      <c r="U1435">
        <f t="shared" si="44"/>
        <v>247.61</v>
      </c>
      <c r="V1435">
        <f t="shared" si="45"/>
        <v>0</v>
      </c>
      <c r="W1435" s="12" t="s">
        <v>109</v>
      </c>
      <c r="X1435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5" t="s">
        <v>1378</v>
      </c>
      <c r="Z1435" s="2" t="s">
        <v>99</v>
      </c>
      <c r="AA1435" s="2" t="s">
        <v>129</v>
      </c>
      <c r="AB1435" s="2" t="s">
        <v>65</v>
      </c>
      <c r="AC1435" s="2">
        <v>45913</v>
      </c>
      <c r="AD1435" s="3">
        <v>2025</v>
      </c>
      <c r="AE1435" s="3">
        <v>29</v>
      </c>
      <c r="AF1435" s="5">
        <v>0.67</v>
      </c>
      <c r="AG1435" s="3"/>
    </row>
    <row r="1436" spans="1:33" hidden="1" x14ac:dyDescent="0.35">
      <c r="A1436" t="str">
        <f>_xlfn.CONCAT(Tableau1[[#This Row],[Athletes]],"_",Tableau1[[#This Row],[Nationality]],"_",Tableau1[[#This Row],[Competition_year]])</f>
        <v>Emily MACKAY_USA_2025</v>
      </c>
      <c r="B1436" s="7" t="s">
        <v>415</v>
      </c>
      <c r="C1436" s="7" t="s">
        <v>47</v>
      </c>
      <c r="D1436" s="7" t="s">
        <v>51</v>
      </c>
      <c r="E1436" s="7">
        <v>16.53</v>
      </c>
      <c r="F1436" s="7">
        <v>18.829999999999998</v>
      </c>
      <c r="G1436" s="7">
        <v>18.91</v>
      </c>
      <c r="H1436" s="7">
        <v>18.84</v>
      </c>
      <c r="I1436" s="7">
        <v>17.850000000000001</v>
      </c>
      <c r="J1436" s="7">
        <v>17.940000000000001</v>
      </c>
      <c r="K1436" s="7">
        <v>16.93</v>
      </c>
      <c r="L1436" s="7">
        <v>16.5</v>
      </c>
      <c r="M1436" s="7">
        <v>15.17</v>
      </c>
      <c r="N1436" s="7">
        <v>15.21</v>
      </c>
      <c r="O1436" s="7">
        <v>14.47</v>
      </c>
      <c r="P1436" s="7">
        <v>14.98</v>
      </c>
      <c r="Q1436" s="7">
        <v>14.51</v>
      </c>
      <c r="R1436" s="7">
        <v>15.68</v>
      </c>
      <c r="S1436">
        <f>Tableau1[[#This Row],[Final_time]]-SUM(Tableau1[[#This Row],[0_100m]:[1300_1400m]])</f>
        <v>15.840000000000003</v>
      </c>
      <c r="T1436" s="7">
        <v>248.19</v>
      </c>
      <c r="U1436">
        <f t="shared" si="44"/>
        <v>248.19</v>
      </c>
      <c r="V1436">
        <f t="shared" si="45"/>
        <v>0</v>
      </c>
      <c r="W1436" s="12" t="s">
        <v>109</v>
      </c>
      <c r="X1436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6" t="s">
        <v>1378</v>
      </c>
      <c r="Z1436" s="2" t="s">
        <v>99</v>
      </c>
      <c r="AA1436" s="2" t="s">
        <v>129</v>
      </c>
      <c r="AB1436" s="2" t="s">
        <v>65</v>
      </c>
      <c r="AC1436" s="2">
        <v>45913</v>
      </c>
      <c r="AD1436" s="3">
        <v>2025</v>
      </c>
      <c r="AE1436" s="3">
        <v>29</v>
      </c>
      <c r="AF1436" s="5">
        <v>0.67</v>
      </c>
      <c r="AG1436" s="3"/>
    </row>
    <row r="1437" spans="1:33" hidden="1" x14ac:dyDescent="0.35">
      <c r="A1437" t="str">
        <f>_xlfn.CONCAT(Tableau1[[#This Row],[Athletes]],"_",Tableau1[[#This Row],[Nationality]],"_",Tableau1[[#This Row],[Competition_year]])</f>
        <v>Revee WALCOTT-NOLAN_GBR_2025</v>
      </c>
      <c r="B1437" s="7" t="s">
        <v>635</v>
      </c>
      <c r="C1437" s="7" t="s">
        <v>47</v>
      </c>
      <c r="D1437" s="7" t="s">
        <v>20</v>
      </c>
      <c r="E1437" s="7">
        <v>16.47</v>
      </c>
      <c r="F1437" s="7">
        <v>19.09</v>
      </c>
      <c r="G1437" s="7">
        <v>18.59</v>
      </c>
      <c r="H1437" s="7">
        <v>18.88</v>
      </c>
      <c r="I1437" s="7">
        <v>17.82</v>
      </c>
      <c r="J1437" s="7">
        <v>17.98</v>
      </c>
      <c r="K1437" s="7">
        <v>17.05</v>
      </c>
      <c r="L1437" s="7">
        <v>16.350000000000001</v>
      </c>
      <c r="M1437" s="7">
        <v>14.86</v>
      </c>
      <c r="N1437" s="7">
        <v>15.43</v>
      </c>
      <c r="O1437" s="7">
        <v>14.89</v>
      </c>
      <c r="P1437" s="7">
        <v>14.91</v>
      </c>
      <c r="Q1437" s="7">
        <v>14.81</v>
      </c>
      <c r="R1437" s="7">
        <v>15.61</v>
      </c>
      <c r="S1437">
        <f>Tableau1[[#This Row],[Final_time]]-SUM(Tableau1[[#This Row],[0_100m]:[1300_1400m]])</f>
        <v>15.930000000000035</v>
      </c>
      <c r="T1437" s="7">
        <v>248.67</v>
      </c>
      <c r="U1437">
        <f t="shared" si="44"/>
        <v>248.67</v>
      </c>
      <c r="V1437">
        <f t="shared" si="45"/>
        <v>0</v>
      </c>
      <c r="W1437" s="12" t="s">
        <v>109</v>
      </c>
      <c r="X1437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7" t="s">
        <v>1378</v>
      </c>
      <c r="Z1437" s="2" t="s">
        <v>99</v>
      </c>
      <c r="AA1437" s="2" t="s">
        <v>129</v>
      </c>
      <c r="AB1437" s="2" t="s">
        <v>65</v>
      </c>
      <c r="AC1437" s="2">
        <v>45913</v>
      </c>
      <c r="AD1437" s="3">
        <v>2025</v>
      </c>
      <c r="AE1437" s="3">
        <v>29</v>
      </c>
      <c r="AF1437" s="5">
        <v>0.67</v>
      </c>
      <c r="AG1437" s="3"/>
    </row>
    <row r="1438" spans="1:33" hidden="1" x14ac:dyDescent="0.35">
      <c r="A1438" t="str">
        <f>_xlfn.CONCAT(Tableau1[[#This Row],[Athletes]],"_",Tableau1[[#This Row],[Nationality]],"_",Tableau1[[#This Row],[Competition_year]])</f>
        <v>Anne Gine LØVNES_NOR_2025</v>
      </c>
      <c r="B1438" s="7" t="s">
        <v>1395</v>
      </c>
      <c r="C1438" s="7" t="s">
        <v>47</v>
      </c>
      <c r="D1438" s="7" t="s">
        <v>30</v>
      </c>
      <c r="E1438" s="7">
        <v>16.8</v>
      </c>
      <c r="F1438" s="7">
        <v>18.850000000000001</v>
      </c>
      <c r="G1438" s="7">
        <v>18.920000000000002</v>
      </c>
      <c r="H1438" s="7">
        <v>18.87</v>
      </c>
      <c r="I1438" s="7">
        <v>17.84</v>
      </c>
      <c r="J1438" s="7">
        <v>17.97</v>
      </c>
      <c r="K1438" s="7">
        <v>16.739999999999998</v>
      </c>
      <c r="L1438" s="7">
        <v>16.46</v>
      </c>
      <c r="M1438" s="7">
        <v>15.1</v>
      </c>
      <c r="N1438" s="7">
        <v>15.69</v>
      </c>
      <c r="O1438" s="7">
        <v>14.87</v>
      </c>
      <c r="P1438" s="7">
        <v>15.16</v>
      </c>
      <c r="Q1438" s="7">
        <v>15.39</v>
      </c>
      <c r="R1438" s="7">
        <v>15.98</v>
      </c>
      <c r="S1438">
        <f>Tableau1[[#This Row],[Final_time]]-SUM(Tableau1[[#This Row],[0_100m]:[1300_1400m]])</f>
        <v>15.969999999999999</v>
      </c>
      <c r="T1438" s="7">
        <v>250.61</v>
      </c>
      <c r="U1438">
        <f t="shared" si="44"/>
        <v>250.61</v>
      </c>
      <c r="V1438">
        <f t="shared" si="45"/>
        <v>0</v>
      </c>
      <c r="W1438" s="12"/>
      <c r="X1438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8" t="s">
        <v>1378</v>
      </c>
      <c r="Z1438" s="2" t="s">
        <v>99</v>
      </c>
      <c r="AA1438" s="2" t="s">
        <v>129</v>
      </c>
      <c r="AB1438" s="2" t="s">
        <v>65</v>
      </c>
      <c r="AC1438" s="2">
        <v>45913</v>
      </c>
      <c r="AD1438" s="3">
        <v>2025</v>
      </c>
      <c r="AE1438" s="3">
        <v>29</v>
      </c>
      <c r="AF1438" s="5">
        <v>0.67</v>
      </c>
      <c r="AG1438" s="3"/>
    </row>
    <row r="1439" spans="1:33" hidden="1" x14ac:dyDescent="0.35">
      <c r="A1439" t="str">
        <f>_xlfn.CONCAT(Tableau1[[#This Row],[Athletes]],"_",Tableau1[[#This Row],[Nationality]],"_",Tableau1[[#This Row],[Competition_year]])</f>
        <v>POOJA_IND_2025</v>
      </c>
      <c r="B1439" s="7" t="s">
        <v>1397</v>
      </c>
      <c r="C1439" s="7" t="s">
        <v>47</v>
      </c>
      <c r="D1439" s="7" t="s">
        <v>122</v>
      </c>
      <c r="E1439" s="7">
        <v>16.690000000000001</v>
      </c>
      <c r="F1439" s="7">
        <v>19.14</v>
      </c>
      <c r="G1439" s="7">
        <v>18.78</v>
      </c>
      <c r="H1439" s="7">
        <v>18.88</v>
      </c>
      <c r="I1439" s="7">
        <v>18.05</v>
      </c>
      <c r="J1439" s="7">
        <v>17.91</v>
      </c>
      <c r="K1439" s="7">
        <v>16.68</v>
      </c>
      <c r="L1439" s="7">
        <v>16.48</v>
      </c>
      <c r="M1439" s="7">
        <v>15.47</v>
      </c>
      <c r="N1439" s="7">
        <v>15.58</v>
      </c>
      <c r="O1439" s="7">
        <v>15.47</v>
      </c>
      <c r="P1439" s="7">
        <v>15.68</v>
      </c>
      <c r="Q1439" s="7">
        <v>15.84</v>
      </c>
      <c r="R1439" s="7">
        <v>16.78</v>
      </c>
      <c r="S1439">
        <f>Tableau1[[#This Row],[Final_time]]-SUM(Tableau1[[#This Row],[0_100m]:[1300_1400m]])</f>
        <v>16.319999999999993</v>
      </c>
      <c r="T1439" s="7">
        <v>253.75</v>
      </c>
      <c r="U1439">
        <f t="shared" si="44"/>
        <v>253.75</v>
      </c>
      <c r="V1439">
        <f t="shared" si="45"/>
        <v>0</v>
      </c>
      <c r="W1439" s="12"/>
      <c r="X1439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39" t="s">
        <v>1378</v>
      </c>
      <c r="Z1439" s="2" t="s">
        <v>99</v>
      </c>
      <c r="AA1439" s="2" t="s">
        <v>129</v>
      </c>
      <c r="AB1439" s="2" t="s">
        <v>65</v>
      </c>
      <c r="AC1439" s="2">
        <v>45913</v>
      </c>
      <c r="AD1439" s="3">
        <v>2025</v>
      </c>
      <c r="AE1439" s="3">
        <v>29</v>
      </c>
      <c r="AF1439" s="5">
        <v>0.67</v>
      </c>
      <c r="AG1439" s="3"/>
    </row>
    <row r="1440" spans="1:33" hidden="1" x14ac:dyDescent="0.35">
      <c r="A1440" t="str">
        <f>_xlfn.CONCAT(Tableau1[[#This Row],[Athletes]],"_",Tableau1[[#This Row],[Nationality]],"_",Tableau1[[#This Row],[Competition_year]])</f>
        <v>Bahiya EL ARFAOUI_MAR_2025</v>
      </c>
      <c r="B1440" s="7" t="s">
        <v>782</v>
      </c>
      <c r="C1440" s="7" t="s">
        <v>47</v>
      </c>
      <c r="D1440" s="7" t="s">
        <v>75</v>
      </c>
      <c r="E1440" s="7">
        <v>16.75</v>
      </c>
      <c r="F1440" s="7">
        <v>19.09</v>
      </c>
      <c r="G1440" s="7">
        <v>18.87</v>
      </c>
      <c r="H1440" s="7">
        <v>18.82</v>
      </c>
      <c r="I1440" s="7">
        <v>17.77</v>
      </c>
      <c r="J1440" s="7">
        <v>17.98</v>
      </c>
      <c r="K1440" s="7">
        <v>17</v>
      </c>
      <c r="L1440" s="7">
        <v>16.489999999999998</v>
      </c>
      <c r="M1440" s="7">
        <v>15.79</v>
      </c>
      <c r="N1440" s="7">
        <v>16.309999999999999</v>
      </c>
      <c r="O1440" s="7">
        <v>15.89</v>
      </c>
      <c r="P1440" s="7">
        <v>16.32</v>
      </c>
      <c r="Q1440" s="7">
        <v>16.23</v>
      </c>
      <c r="R1440" s="7">
        <v>17.18</v>
      </c>
      <c r="S1440">
        <f>Tableau1[[#This Row],[Final_time]]-SUM(Tableau1[[#This Row],[0_100m]:[1300_1400m]])</f>
        <v>16.680000000000035</v>
      </c>
      <c r="T1440" s="7">
        <v>257.17</v>
      </c>
      <c r="U1440">
        <f t="shared" si="44"/>
        <v>257.17</v>
      </c>
      <c r="V1440">
        <f t="shared" si="45"/>
        <v>0</v>
      </c>
      <c r="W1440" s="12"/>
      <c r="X1440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40" t="s">
        <v>1378</v>
      </c>
      <c r="Z1440" s="2" t="s">
        <v>99</v>
      </c>
      <c r="AA1440" s="2" t="s">
        <v>129</v>
      </c>
      <c r="AB1440" s="2" t="s">
        <v>65</v>
      </c>
      <c r="AC1440" s="2">
        <v>45913</v>
      </c>
      <c r="AD1440" s="3">
        <v>2025</v>
      </c>
      <c r="AE1440" s="3">
        <v>29</v>
      </c>
      <c r="AF1440" s="5">
        <v>0.67</v>
      </c>
      <c r="AG1440" s="3"/>
    </row>
    <row r="1441" spans="1:33" hidden="1" x14ac:dyDescent="0.35">
      <c r="A1441" t="str">
        <f>_xlfn.CONCAT(Tableau1[[#This Row],[Athletes]],"_",Tableau1[[#This Row],[Nationality]],"_",Tableau1[[#This Row],[Competition_year]])</f>
        <v>Marissa DAMINK-VAN DER MEIJDE_NED_2025</v>
      </c>
      <c r="B1441" s="7" t="s">
        <v>1396</v>
      </c>
      <c r="C1441" s="7" t="s">
        <v>47</v>
      </c>
      <c r="D1441" s="7" t="s">
        <v>39</v>
      </c>
      <c r="E1441" s="7">
        <v>16.54</v>
      </c>
      <c r="F1441" s="7">
        <v>19.21</v>
      </c>
      <c r="G1441" s="7">
        <v>18.649999999999999</v>
      </c>
      <c r="H1441" s="7">
        <v>18.739999999999998</v>
      </c>
      <c r="I1441" s="7">
        <v>17.920000000000002</v>
      </c>
      <c r="J1441" s="7">
        <v>17.920000000000002</v>
      </c>
      <c r="K1441" s="7">
        <v>16.989999999999998</v>
      </c>
      <c r="L1441" s="7">
        <v>16.420000000000002</v>
      </c>
      <c r="M1441" s="7">
        <v>15.15</v>
      </c>
      <c r="N1441" s="7">
        <v>15.25</v>
      </c>
      <c r="O1441" s="7">
        <v>14.83</v>
      </c>
      <c r="P1441" s="7">
        <v>14.9</v>
      </c>
      <c r="Q1441" s="7">
        <v>15.05</v>
      </c>
      <c r="R1441" s="7">
        <v>16.55</v>
      </c>
      <c r="S1441">
        <f>Tableau1[[#This Row],[Final_time]]-SUM(Tableau1[[#This Row],[0_100m]:[1300_1400m]])</f>
        <v>17.059999999999974</v>
      </c>
      <c r="T1441" s="7">
        <v>251.18</v>
      </c>
      <c r="U1441">
        <f t="shared" si="44"/>
        <v>251.18</v>
      </c>
      <c r="V1441">
        <f t="shared" si="45"/>
        <v>0</v>
      </c>
      <c r="W1441" s="12"/>
      <c r="X1441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41" t="s">
        <v>1378</v>
      </c>
      <c r="Z1441" s="2" t="s">
        <v>99</v>
      </c>
      <c r="AA1441" s="2" t="s">
        <v>129</v>
      </c>
      <c r="AB1441" s="2" t="s">
        <v>65</v>
      </c>
      <c r="AC1441" s="2">
        <v>45913</v>
      </c>
      <c r="AD1441" s="3">
        <v>2025</v>
      </c>
      <c r="AE1441" s="3">
        <v>29</v>
      </c>
      <c r="AF1441" s="5">
        <v>0.67</v>
      </c>
      <c r="AG1441" s="3"/>
    </row>
    <row r="1442" spans="1:33" hidden="1" x14ac:dyDescent="0.35">
      <c r="A1442" t="str">
        <f>_xlfn.CONCAT(Tableau1[[#This Row],[Athletes]],"_",Tableau1[[#This Row],[Nationality]],"_",Tableau1[[#This Row],[Competition_year]])</f>
        <v>Wilma NIELSEN_SWE_2025</v>
      </c>
      <c r="B1442" s="7" t="s">
        <v>1306</v>
      </c>
      <c r="C1442" s="7" t="s">
        <v>47</v>
      </c>
      <c r="D1442" s="7" t="s">
        <v>56</v>
      </c>
      <c r="E1442" s="7">
        <v>16.079999999999998</v>
      </c>
      <c r="F1442" s="7">
        <v>18.84</v>
      </c>
      <c r="G1442" s="7">
        <v>18.89</v>
      </c>
      <c r="H1442" s="7">
        <v>18.84</v>
      </c>
      <c r="I1442" s="7">
        <v>17.920000000000002</v>
      </c>
      <c r="J1442" s="7">
        <v>17.95</v>
      </c>
      <c r="K1442" s="7">
        <v>17.010000000000002</v>
      </c>
      <c r="L1442" s="7">
        <v>16.309999999999999</v>
      </c>
      <c r="M1442" s="7">
        <v>15.23</v>
      </c>
      <c r="N1442" s="7">
        <v>15.18</v>
      </c>
      <c r="O1442" s="7">
        <v>15.15</v>
      </c>
      <c r="P1442" s="7">
        <v>14.95</v>
      </c>
      <c r="Q1442" s="7">
        <v>15.97</v>
      </c>
      <c r="R1442" s="7">
        <v>17.05</v>
      </c>
      <c r="S1442">
        <f>Tableau1[[#This Row],[Final_time]]-SUM(Tableau1[[#This Row],[0_100m]:[1300_1400m]])</f>
        <v>18.609999999999985</v>
      </c>
      <c r="T1442" s="7">
        <v>253.98</v>
      </c>
      <c r="U1442">
        <f t="shared" si="44"/>
        <v>253.98</v>
      </c>
      <c r="V1442">
        <f t="shared" si="45"/>
        <v>0</v>
      </c>
      <c r="W1442" s="12"/>
      <c r="X1442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42" t="s">
        <v>1378</v>
      </c>
      <c r="Z1442" s="2" t="s">
        <v>99</v>
      </c>
      <c r="AA1442" s="2" t="s">
        <v>129</v>
      </c>
      <c r="AB1442" s="2" t="s">
        <v>65</v>
      </c>
      <c r="AC1442" s="2">
        <v>45913</v>
      </c>
      <c r="AD1442" s="3">
        <v>2025</v>
      </c>
      <c r="AE1442" s="3">
        <v>29</v>
      </c>
      <c r="AF1442" s="5">
        <v>0.67</v>
      </c>
      <c r="AG1442" s="3"/>
    </row>
    <row r="1443" spans="1:33" hidden="1" x14ac:dyDescent="0.35">
      <c r="A1443" t="str">
        <f>_xlfn.CONCAT(Tableau1[[#This Row],[Athletes]],"_",Tableau1[[#This Row],[Nationality]],"_",Tableau1[[#This Row],[Competition_year]])</f>
        <v>Lodkeo INTHAKOUMMAN_LAO_2025</v>
      </c>
      <c r="B1443" s="7" t="s">
        <v>1398</v>
      </c>
      <c r="C1443" s="7" t="s">
        <v>47</v>
      </c>
      <c r="D1443" s="7" t="s">
        <v>1399</v>
      </c>
      <c r="E1443" s="7">
        <v>17.12</v>
      </c>
      <c r="F1443" s="7">
        <v>18.850000000000001</v>
      </c>
      <c r="G1443" s="7">
        <v>18.91</v>
      </c>
      <c r="H1443" s="7">
        <v>18.79</v>
      </c>
      <c r="I1443" s="7">
        <v>17.989999999999998</v>
      </c>
      <c r="J1443" s="7">
        <v>18.28</v>
      </c>
      <c r="K1443" s="7">
        <v>18.16</v>
      </c>
      <c r="L1443" s="7">
        <v>18.850000000000001</v>
      </c>
      <c r="M1443" s="7">
        <v>18.96</v>
      </c>
      <c r="N1443" s="7">
        <v>19.73</v>
      </c>
      <c r="O1443" s="7">
        <v>19.88</v>
      </c>
      <c r="P1443" s="7">
        <v>19.75</v>
      </c>
      <c r="Q1443" s="7">
        <v>19.510000000000002</v>
      </c>
      <c r="R1443" s="7">
        <v>20.239999999999998</v>
      </c>
      <c r="S1443">
        <f>Tableau1[[#This Row],[Final_time]]-SUM(Tableau1[[#This Row],[0_100m]:[1300_1400m]])</f>
        <v>20.110000000000014</v>
      </c>
      <c r="T1443" s="7">
        <v>285.13</v>
      </c>
      <c r="U1443">
        <f t="shared" si="44"/>
        <v>285.13</v>
      </c>
      <c r="V1443">
        <f t="shared" si="45"/>
        <v>0</v>
      </c>
      <c r="W1443" s="12"/>
      <c r="X1443" t="str">
        <f>_xlfn.CONCAT(Tableau1[[#This Row],[Competition]],"_",Tableau1[[#This Row],[Championship_step]],"_",Tableau1[[#This Row],[Competition_date]],"_",Tableau1[[#This Row],[Gender]])</f>
        <v>World Championships Tokyo 2025_Heat 2_45913_Female</v>
      </c>
      <c r="Y1443" t="s">
        <v>1378</v>
      </c>
      <c r="Z1443" s="2" t="s">
        <v>99</v>
      </c>
      <c r="AA1443" s="2" t="s">
        <v>129</v>
      </c>
      <c r="AB1443" s="2" t="s">
        <v>65</v>
      </c>
      <c r="AC1443" s="2">
        <v>45913</v>
      </c>
      <c r="AD1443" s="3">
        <v>2025</v>
      </c>
      <c r="AE1443" s="3">
        <v>29</v>
      </c>
      <c r="AF1443" s="5">
        <v>0.67</v>
      </c>
      <c r="AG1443" s="3"/>
    </row>
    <row r="1444" spans="1:33" hidden="1" x14ac:dyDescent="0.35">
      <c r="A1444" t="str">
        <f>_xlfn.CONCAT(Tableau1[[#This Row],[Athletes]],"_",Tableau1[[#This Row],[Nationality]],"_",Tableau1[[#This Row],[Competition_year]])</f>
        <v>Reynold CHERUIYOT_KEN_2025</v>
      </c>
      <c r="B1444" s="7" t="s">
        <v>1192</v>
      </c>
      <c r="C1444" s="7" t="s">
        <v>16</v>
      </c>
      <c r="D1444" s="7" t="s">
        <v>17</v>
      </c>
      <c r="E1444" s="7">
        <v>13.45</v>
      </c>
      <c r="F1444" s="7">
        <v>14.92</v>
      </c>
      <c r="G1444" s="7">
        <v>16.16</v>
      </c>
      <c r="H1444" s="7">
        <v>16.87</v>
      </c>
      <c r="I1444" s="7">
        <v>16.66</v>
      </c>
      <c r="J1444" s="7">
        <v>15.94</v>
      </c>
      <c r="K1444" s="7">
        <v>15.72</v>
      </c>
      <c r="L1444" s="7">
        <v>15.4</v>
      </c>
      <c r="M1444" s="7">
        <v>15.3</v>
      </c>
      <c r="N1444" s="7">
        <v>13.88</v>
      </c>
      <c r="O1444" s="7">
        <v>14.28</v>
      </c>
      <c r="P1444" s="7">
        <v>13.49</v>
      </c>
      <c r="Q1444" s="7">
        <v>13.12</v>
      </c>
      <c r="R1444" s="7">
        <v>13.18</v>
      </c>
      <c r="S1444">
        <f>Tableau1[[#This Row],[Final_time]]-SUM(Tableau1[[#This Row],[0_100m]:[1300_1400m]])</f>
        <v>12.799999999999955</v>
      </c>
      <c r="T1444" s="7">
        <v>221.17</v>
      </c>
      <c r="U1444">
        <f t="shared" si="44"/>
        <v>221.17</v>
      </c>
      <c r="V1444">
        <f t="shared" si="45"/>
        <v>0</v>
      </c>
      <c r="W1444" s="12" t="s">
        <v>109</v>
      </c>
      <c r="X1444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44" t="s">
        <v>1378</v>
      </c>
      <c r="Z1444" s="2" t="s">
        <v>99</v>
      </c>
      <c r="AA1444" s="2" t="s">
        <v>129</v>
      </c>
      <c r="AB1444" s="2" t="s">
        <v>65</v>
      </c>
      <c r="AC1444" s="2">
        <v>45914</v>
      </c>
      <c r="AD1444" s="3">
        <v>2025</v>
      </c>
      <c r="AE1444" s="3">
        <v>28</v>
      </c>
      <c r="AF1444" s="5">
        <v>0.68</v>
      </c>
      <c r="AG1444" s="3"/>
    </row>
    <row r="1445" spans="1:33" hidden="1" x14ac:dyDescent="0.35">
      <c r="A1445" t="str">
        <f>_xlfn.CONCAT(Tableau1[[#This Row],[Athletes]],"_",Tableau1[[#This Row],[Nationality]],"_",Tableau1[[#This Row],[Competition_year]])</f>
        <v>Isaac NADER_POR_2025</v>
      </c>
      <c r="B1445" s="7" t="s">
        <v>191</v>
      </c>
      <c r="C1445" s="7" t="s">
        <v>16</v>
      </c>
      <c r="D1445" s="7" t="s">
        <v>33</v>
      </c>
      <c r="E1445" s="7">
        <v>13.57</v>
      </c>
      <c r="F1445" s="7">
        <v>15.17</v>
      </c>
      <c r="G1445" s="7">
        <v>16.28</v>
      </c>
      <c r="H1445" s="7">
        <v>16.78</v>
      </c>
      <c r="I1445" s="7">
        <v>16.23</v>
      </c>
      <c r="J1445" s="7">
        <v>16.010000000000002</v>
      </c>
      <c r="K1445" s="7">
        <v>15.92</v>
      </c>
      <c r="L1445" s="7">
        <v>15.51</v>
      </c>
      <c r="M1445" s="7">
        <v>15.13</v>
      </c>
      <c r="N1445" s="7">
        <v>14.26</v>
      </c>
      <c r="O1445" s="7">
        <v>13.74</v>
      </c>
      <c r="P1445" s="7">
        <v>13.77</v>
      </c>
      <c r="Q1445" s="7">
        <v>12.7</v>
      </c>
      <c r="R1445" s="7">
        <v>12.96</v>
      </c>
      <c r="S1445">
        <f>Tableau1[[#This Row],[Final_time]]-SUM(Tableau1[[#This Row],[0_100m]:[1300_1400m]])</f>
        <v>12.879999999999967</v>
      </c>
      <c r="T1445" s="7">
        <v>220.91</v>
      </c>
      <c r="U1445">
        <f t="shared" si="44"/>
        <v>220.91</v>
      </c>
      <c r="V1445">
        <f t="shared" si="45"/>
        <v>0</v>
      </c>
      <c r="W1445" s="12" t="s">
        <v>109</v>
      </c>
      <c r="X1445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45" t="s">
        <v>1378</v>
      </c>
      <c r="Z1445" s="2" t="s">
        <v>99</v>
      </c>
      <c r="AA1445" s="2" t="s">
        <v>129</v>
      </c>
      <c r="AB1445" s="2" t="s">
        <v>65</v>
      </c>
      <c r="AC1445" s="2">
        <v>45914</v>
      </c>
      <c r="AD1445" s="3">
        <v>2025</v>
      </c>
      <c r="AE1445" s="3">
        <v>28</v>
      </c>
      <c r="AF1445" s="5">
        <v>0.68</v>
      </c>
      <c r="AG1445" s="3"/>
    </row>
    <row r="1446" spans="1:33" hidden="1" x14ac:dyDescent="0.35">
      <c r="A1446" t="str">
        <f>_xlfn.CONCAT(Tableau1[[#This Row],[Athletes]],"_",Tableau1[[#This Row],[Nationality]],"_",Tableau1[[#This Row],[Competition_year]])</f>
        <v>Foster MALLECK_CAN_2025</v>
      </c>
      <c r="B1446" s="7" t="s">
        <v>1379</v>
      </c>
      <c r="C1446" s="7" t="s">
        <v>16</v>
      </c>
      <c r="D1446" s="7" t="s">
        <v>55</v>
      </c>
      <c r="E1446" s="7">
        <v>13.56</v>
      </c>
      <c r="F1446" s="7">
        <v>15.07</v>
      </c>
      <c r="G1446" s="7">
        <v>16.18</v>
      </c>
      <c r="H1446" s="7">
        <v>16.899999999999999</v>
      </c>
      <c r="I1446" s="7">
        <v>16.75</v>
      </c>
      <c r="J1446" s="7">
        <v>16.170000000000002</v>
      </c>
      <c r="K1446" s="7">
        <v>15.51</v>
      </c>
      <c r="L1446" s="7">
        <v>15.47</v>
      </c>
      <c r="M1446" s="7">
        <v>14.94</v>
      </c>
      <c r="N1446" s="7">
        <v>14.29</v>
      </c>
      <c r="O1446" s="7">
        <v>13.96</v>
      </c>
      <c r="P1446" s="7">
        <v>13.48</v>
      </c>
      <c r="Q1446" s="7">
        <v>13.03</v>
      </c>
      <c r="R1446" s="7">
        <v>13.34</v>
      </c>
      <c r="S1446">
        <f>Tableau1[[#This Row],[Final_time]]-SUM(Tableau1[[#This Row],[0_100m]:[1300_1400m]])</f>
        <v>12.879999999999995</v>
      </c>
      <c r="T1446" s="7">
        <v>221.53</v>
      </c>
      <c r="U1446">
        <f t="shared" si="44"/>
        <v>221.53</v>
      </c>
      <c r="V1446">
        <f t="shared" si="45"/>
        <v>0</v>
      </c>
      <c r="W1446" s="12" t="s">
        <v>109</v>
      </c>
      <c r="X1446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46" t="s">
        <v>1378</v>
      </c>
      <c r="Z1446" s="2" t="s">
        <v>99</v>
      </c>
      <c r="AA1446" s="2" t="s">
        <v>129</v>
      </c>
      <c r="AB1446" s="2" t="s">
        <v>65</v>
      </c>
      <c r="AC1446" s="2">
        <v>45914</v>
      </c>
      <c r="AD1446" s="3">
        <v>2025</v>
      </c>
      <c r="AE1446" s="3">
        <v>28</v>
      </c>
      <c r="AF1446" s="5">
        <v>0.68</v>
      </c>
      <c r="AG1446" s="3"/>
    </row>
    <row r="1447" spans="1:33" hidden="1" x14ac:dyDescent="0.35">
      <c r="A1447" t="str">
        <f>_xlfn.CONCAT(Tableau1[[#This Row],[Athletes]],"_",Tableau1[[#This Row],[Nationality]],"_",Tableau1[[#This Row],[Competition_year]])</f>
        <v>Pietro ARESE_ITA_2025</v>
      </c>
      <c r="B1447" s="7" t="s">
        <v>216</v>
      </c>
      <c r="C1447" s="7" t="s">
        <v>16</v>
      </c>
      <c r="D1447" s="7" t="s">
        <v>19</v>
      </c>
      <c r="E1447" s="7">
        <v>14.3</v>
      </c>
      <c r="F1447" s="7">
        <v>15.18</v>
      </c>
      <c r="G1447" s="7">
        <v>15.86</v>
      </c>
      <c r="H1447" s="7">
        <v>17.12</v>
      </c>
      <c r="I1447" s="7">
        <v>15.84</v>
      </c>
      <c r="J1447" s="7">
        <v>16.2</v>
      </c>
      <c r="K1447" s="7">
        <v>15.31</v>
      </c>
      <c r="L1447" s="7">
        <v>15.73</v>
      </c>
      <c r="M1447" s="7">
        <v>15.17</v>
      </c>
      <c r="N1447" s="7">
        <v>14.55</v>
      </c>
      <c r="O1447" s="7">
        <v>13.27</v>
      </c>
      <c r="P1447" s="7">
        <v>13.67</v>
      </c>
      <c r="Q1447" s="7">
        <v>12.71</v>
      </c>
      <c r="R1447" s="7">
        <v>13.06</v>
      </c>
      <c r="S1447">
        <f>Tableau1[[#This Row],[Final_time]]-SUM(Tableau1[[#This Row],[0_100m]:[1300_1400m]])</f>
        <v>12.939999999999969</v>
      </c>
      <c r="T1447" s="7">
        <v>220.91</v>
      </c>
      <c r="U1447">
        <f t="shared" si="44"/>
        <v>220.91</v>
      </c>
      <c r="V1447">
        <f t="shared" si="45"/>
        <v>0</v>
      </c>
      <c r="W1447" s="12" t="s">
        <v>109</v>
      </c>
      <c r="X1447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47" t="s">
        <v>1378</v>
      </c>
      <c r="Z1447" s="2" t="s">
        <v>99</v>
      </c>
      <c r="AA1447" s="2" t="s">
        <v>129</v>
      </c>
      <c r="AB1447" s="2" t="s">
        <v>65</v>
      </c>
      <c r="AC1447" s="2">
        <v>45914</v>
      </c>
      <c r="AD1447" s="3">
        <v>2025</v>
      </c>
      <c r="AE1447" s="3">
        <v>28</v>
      </c>
      <c r="AF1447" s="5">
        <v>0.68</v>
      </c>
      <c r="AG1447" s="3"/>
    </row>
    <row r="1448" spans="1:33" hidden="1" x14ac:dyDescent="0.35">
      <c r="A1448" t="str">
        <f>_xlfn.CONCAT(Tableau1[[#This Row],[Athletes]],"_",Tableau1[[#This Row],[Nationality]],"_",Tableau1[[#This Row],[Competition_year]])</f>
        <v>Elliot GILES_GBR_2025</v>
      </c>
      <c r="B1448" s="7" t="s">
        <v>231</v>
      </c>
      <c r="C1448" s="7" t="s">
        <v>16</v>
      </c>
      <c r="D1448" s="7" t="s">
        <v>20</v>
      </c>
      <c r="E1448" s="7">
        <v>13.66</v>
      </c>
      <c r="F1448" s="7">
        <v>14.98</v>
      </c>
      <c r="G1448" s="7">
        <v>16.03</v>
      </c>
      <c r="H1448" s="7">
        <v>17.04</v>
      </c>
      <c r="I1448" s="7">
        <v>16.52</v>
      </c>
      <c r="J1448" s="7">
        <v>15.98</v>
      </c>
      <c r="K1448" s="7">
        <v>15.64</v>
      </c>
      <c r="L1448" s="7">
        <v>15.31</v>
      </c>
      <c r="M1448" s="7">
        <v>15.23</v>
      </c>
      <c r="N1448" s="7">
        <v>14.37</v>
      </c>
      <c r="O1448" s="7">
        <v>14.1</v>
      </c>
      <c r="P1448" s="7">
        <v>13.74</v>
      </c>
      <c r="Q1448" s="7">
        <v>12.89</v>
      </c>
      <c r="R1448" s="7">
        <v>13.15</v>
      </c>
      <c r="S1448">
        <f>Tableau1[[#This Row],[Final_time]]-SUM(Tableau1[[#This Row],[0_100m]:[1300_1400m]])</f>
        <v>12.95999999999998</v>
      </c>
      <c r="T1448" s="7">
        <v>221.6</v>
      </c>
      <c r="U1448">
        <f t="shared" si="44"/>
        <v>221.6</v>
      </c>
      <c r="V1448">
        <f t="shared" si="45"/>
        <v>0</v>
      </c>
      <c r="W1448" s="12"/>
      <c r="X1448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48" t="s">
        <v>1378</v>
      </c>
      <c r="Z1448" s="2" t="s">
        <v>99</v>
      </c>
      <c r="AA1448" s="2" t="s">
        <v>129</v>
      </c>
      <c r="AB1448" s="2" t="s">
        <v>65</v>
      </c>
      <c r="AC1448" s="2">
        <v>45914</v>
      </c>
      <c r="AD1448" s="3">
        <v>2025</v>
      </c>
      <c r="AE1448" s="3">
        <v>28</v>
      </c>
      <c r="AF1448" s="5">
        <v>0.68</v>
      </c>
      <c r="AG1448" s="3"/>
    </row>
    <row r="1449" spans="1:33" hidden="1" x14ac:dyDescent="0.35">
      <c r="A1449" t="str">
        <f>_xlfn.CONCAT(Tableau1[[#This Row],[Athletes]],"_",Tableau1[[#This Row],[Nationality]],"_",Tableau1[[#This Row],[Competition_year]])</f>
        <v>Paul ANSELMINI_FRA_2025</v>
      </c>
      <c r="B1449" s="7" t="s">
        <v>1358</v>
      </c>
      <c r="C1449" s="7" t="s">
        <v>16</v>
      </c>
      <c r="D1449" s="7" t="s">
        <v>18</v>
      </c>
      <c r="E1449" s="7">
        <v>13.81</v>
      </c>
      <c r="F1449" s="7">
        <v>15.22</v>
      </c>
      <c r="G1449" s="7">
        <v>16.079999999999998</v>
      </c>
      <c r="H1449" s="7">
        <v>16.920000000000002</v>
      </c>
      <c r="I1449" s="7">
        <v>15.79</v>
      </c>
      <c r="J1449" s="7">
        <v>15.65</v>
      </c>
      <c r="K1449" s="7">
        <v>16.04</v>
      </c>
      <c r="L1449" s="7">
        <v>15.39</v>
      </c>
      <c r="M1449" s="7">
        <v>15.25</v>
      </c>
      <c r="N1449" s="7">
        <v>14.46</v>
      </c>
      <c r="O1449" s="7">
        <v>14.19</v>
      </c>
      <c r="P1449" s="7">
        <v>13.78</v>
      </c>
      <c r="Q1449" s="7">
        <v>12.9</v>
      </c>
      <c r="R1449" s="7">
        <v>13.27</v>
      </c>
      <c r="S1449">
        <f>Tableau1[[#This Row],[Final_time]]-SUM(Tableau1[[#This Row],[0_100m]:[1300_1400m]])</f>
        <v>13.090000000000003</v>
      </c>
      <c r="T1449" s="7">
        <v>221.84</v>
      </c>
      <c r="U1449">
        <f t="shared" si="44"/>
        <v>221.84</v>
      </c>
      <c r="V1449">
        <f t="shared" si="45"/>
        <v>0</v>
      </c>
      <c r="W1449" s="12"/>
      <c r="X1449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49" t="s">
        <v>1378</v>
      </c>
      <c r="Z1449" s="2" t="s">
        <v>99</v>
      </c>
      <c r="AA1449" s="2" t="s">
        <v>129</v>
      </c>
      <c r="AB1449" s="2" t="s">
        <v>65</v>
      </c>
      <c r="AC1449" s="2">
        <v>45914</v>
      </c>
      <c r="AD1449" s="3">
        <v>2025</v>
      </c>
      <c r="AE1449" s="3">
        <v>28</v>
      </c>
      <c r="AF1449" s="5">
        <v>0.68</v>
      </c>
      <c r="AG1449" s="3"/>
    </row>
    <row r="1450" spans="1:33" hidden="1" x14ac:dyDescent="0.35">
      <c r="A1450" t="str">
        <f>_xlfn.CONCAT(Tableau1[[#This Row],[Athletes]],"_",Tableau1[[#This Row],[Nationality]],"_",Tableau1[[#This Row],[Competition_year]])</f>
        <v>Hafid RIZQY_MAR_2025</v>
      </c>
      <c r="B1450" s="7" t="s">
        <v>404</v>
      </c>
      <c r="C1450" s="7" t="s">
        <v>16</v>
      </c>
      <c r="D1450" s="7" t="s">
        <v>75</v>
      </c>
      <c r="E1450" s="7">
        <v>13.53</v>
      </c>
      <c r="F1450" s="7">
        <v>15.32</v>
      </c>
      <c r="G1450" s="7">
        <v>15.96</v>
      </c>
      <c r="H1450" s="7">
        <v>17.02</v>
      </c>
      <c r="I1450" s="7">
        <v>16.5</v>
      </c>
      <c r="J1450" s="7">
        <v>15.96</v>
      </c>
      <c r="K1450" s="7">
        <v>15.7</v>
      </c>
      <c r="L1450" s="7">
        <v>15.4</v>
      </c>
      <c r="M1450" s="7">
        <v>15.16</v>
      </c>
      <c r="N1450" s="7">
        <v>14.21</v>
      </c>
      <c r="O1450" s="7">
        <v>13.86</v>
      </c>
      <c r="P1450" s="7">
        <v>13.7</v>
      </c>
      <c r="Q1450" s="7">
        <v>13.01</v>
      </c>
      <c r="R1450" s="7">
        <v>13.1</v>
      </c>
      <c r="S1450">
        <f>Tableau1[[#This Row],[Final_time]]-SUM(Tableau1[[#This Row],[0_100m]:[1300_1400m]])</f>
        <v>13.120000000000033</v>
      </c>
      <c r="T1450" s="7">
        <v>221.55</v>
      </c>
      <c r="U1450">
        <f t="shared" si="44"/>
        <v>221.55</v>
      </c>
      <c r="V1450">
        <f t="shared" si="45"/>
        <v>0</v>
      </c>
      <c r="W1450" s="12"/>
      <c r="X1450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0" t="s">
        <v>1378</v>
      </c>
      <c r="Z1450" s="2" t="s">
        <v>99</v>
      </c>
      <c r="AA1450" s="2" t="s">
        <v>129</v>
      </c>
      <c r="AB1450" s="2" t="s">
        <v>65</v>
      </c>
      <c r="AC1450" s="2">
        <v>45914</v>
      </c>
      <c r="AD1450" s="3">
        <v>2025</v>
      </c>
      <c r="AE1450" s="3">
        <v>28</v>
      </c>
      <c r="AF1450" s="5">
        <v>0.68</v>
      </c>
      <c r="AG1450" s="3"/>
    </row>
    <row r="1451" spans="1:33" hidden="1" x14ac:dyDescent="0.35">
      <c r="A1451" t="str">
        <f>_xlfn.CONCAT(Tableau1[[#This Row],[Athletes]],"_",Tableau1[[#This Row],[Nationality]],"_",Tableau1[[#This Row],[Competition_year]])</f>
        <v>Ruben VERHEYDEN_BEL_2025</v>
      </c>
      <c r="B1451" s="7" t="s">
        <v>204</v>
      </c>
      <c r="C1451" s="7" t="s">
        <v>16</v>
      </c>
      <c r="D1451" s="7" t="s">
        <v>86</v>
      </c>
      <c r="E1451" s="7">
        <v>14.1</v>
      </c>
      <c r="F1451" s="7">
        <v>15.14</v>
      </c>
      <c r="G1451" s="7">
        <v>16.09</v>
      </c>
      <c r="H1451" s="7">
        <v>16.850000000000001</v>
      </c>
      <c r="I1451" s="7">
        <v>15.94</v>
      </c>
      <c r="J1451" s="7">
        <v>16.14</v>
      </c>
      <c r="K1451" s="7">
        <v>15.38</v>
      </c>
      <c r="L1451" s="7">
        <v>15.43</v>
      </c>
      <c r="M1451" s="7">
        <v>15.07</v>
      </c>
      <c r="N1451" s="7">
        <v>14.38</v>
      </c>
      <c r="O1451" s="7">
        <v>13.91</v>
      </c>
      <c r="P1451" s="7">
        <v>13.66</v>
      </c>
      <c r="Q1451" s="7">
        <v>13.03</v>
      </c>
      <c r="R1451" s="7">
        <v>13.18</v>
      </c>
      <c r="S1451">
        <f>Tableau1[[#This Row],[Final_time]]-SUM(Tableau1[[#This Row],[0_100m]:[1300_1400m]])</f>
        <v>13.150000000000006</v>
      </c>
      <c r="T1451" s="7">
        <v>221.45</v>
      </c>
      <c r="U1451">
        <f t="shared" si="44"/>
        <v>221.45</v>
      </c>
      <c r="V1451">
        <f t="shared" si="45"/>
        <v>0</v>
      </c>
      <c r="W1451" s="12" t="s">
        <v>109</v>
      </c>
      <c r="X1451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1" t="s">
        <v>1378</v>
      </c>
      <c r="Z1451" s="2" t="s">
        <v>99</v>
      </c>
      <c r="AA1451" s="2" t="s">
        <v>129</v>
      </c>
      <c r="AB1451" s="2" t="s">
        <v>65</v>
      </c>
      <c r="AC1451" s="2">
        <v>45914</v>
      </c>
      <c r="AD1451" s="3">
        <v>2025</v>
      </c>
      <c r="AE1451" s="3">
        <v>28</v>
      </c>
      <c r="AF1451" s="5">
        <v>0.68</v>
      </c>
      <c r="AG1451" s="3"/>
    </row>
    <row r="1452" spans="1:33" hidden="1" x14ac:dyDescent="0.35">
      <c r="A1452" t="str">
        <f>_xlfn.CONCAT(Tableau1[[#This Row],[Athletes]],"_",Tableau1[[#This Row],[Nationality]],"_",Tableau1[[#This Row],[Competition_year]])</f>
        <v>Niels LAROS_NED_2025</v>
      </c>
      <c r="B1452" s="7" t="s">
        <v>214</v>
      </c>
      <c r="C1452" s="7" t="s">
        <v>16</v>
      </c>
      <c r="D1452" s="7" t="s">
        <v>39</v>
      </c>
      <c r="E1452" s="7">
        <v>14.53</v>
      </c>
      <c r="F1452" s="7">
        <v>15.21</v>
      </c>
      <c r="G1452" s="7">
        <v>15.98</v>
      </c>
      <c r="H1452" s="7">
        <v>16.97</v>
      </c>
      <c r="I1452" s="7">
        <v>16.260000000000002</v>
      </c>
      <c r="J1452" s="7">
        <v>16.28</v>
      </c>
      <c r="K1452" s="7">
        <v>15.31</v>
      </c>
      <c r="L1452" s="7">
        <v>15.62</v>
      </c>
      <c r="M1452" s="7">
        <v>13.97</v>
      </c>
      <c r="N1452" s="7">
        <v>14.27</v>
      </c>
      <c r="O1452" s="7">
        <v>13.97</v>
      </c>
      <c r="P1452" s="7">
        <v>13.57</v>
      </c>
      <c r="Q1452" s="7">
        <v>12.9</v>
      </c>
      <c r="R1452" s="7">
        <v>13</v>
      </c>
      <c r="S1452">
        <f>Tableau1[[#This Row],[Final_time]]-SUM(Tableau1[[#This Row],[0_100m]:[1300_1400m]])</f>
        <v>13.159999999999968</v>
      </c>
      <c r="T1452" s="7">
        <v>221</v>
      </c>
      <c r="U1452">
        <f t="shared" si="44"/>
        <v>221</v>
      </c>
      <c r="V1452">
        <f t="shared" si="45"/>
        <v>0</v>
      </c>
      <c r="W1452" s="12" t="s">
        <v>109</v>
      </c>
      <c r="X1452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2" t="s">
        <v>1378</v>
      </c>
      <c r="Z1452" s="2" t="s">
        <v>99</v>
      </c>
      <c r="AA1452" s="2" t="s">
        <v>129</v>
      </c>
      <c r="AB1452" s="2" t="s">
        <v>65</v>
      </c>
      <c r="AC1452" s="2">
        <v>45914</v>
      </c>
      <c r="AD1452" s="3">
        <v>2025</v>
      </c>
      <c r="AE1452" s="3">
        <v>28</v>
      </c>
      <c r="AF1452" s="5">
        <v>0.68</v>
      </c>
      <c r="AG1452" s="3"/>
    </row>
    <row r="1453" spans="1:33" hidden="1" x14ac:dyDescent="0.35">
      <c r="A1453" t="str">
        <f>_xlfn.CONCAT(Tableau1[[#This Row],[Athletes]],"_",Tableau1[[#This Row],[Nationality]],"_",Tableau1[[#This Row],[Competition_year]])</f>
        <v>Håkon MOE BERG_NOR_2025</v>
      </c>
      <c r="B1453" s="7" t="s">
        <v>935</v>
      </c>
      <c r="C1453" s="7" t="s">
        <v>16</v>
      </c>
      <c r="D1453" s="7" t="s">
        <v>30</v>
      </c>
      <c r="E1453" s="7">
        <v>14.36</v>
      </c>
      <c r="F1453" s="7">
        <v>15.13</v>
      </c>
      <c r="G1453" s="7">
        <v>16</v>
      </c>
      <c r="H1453" s="7">
        <v>16.940000000000001</v>
      </c>
      <c r="I1453" s="7">
        <v>16.34</v>
      </c>
      <c r="J1453" s="7">
        <v>16.190000000000001</v>
      </c>
      <c r="K1453" s="7">
        <v>15.44</v>
      </c>
      <c r="L1453" s="7">
        <v>15.53</v>
      </c>
      <c r="M1453" s="7">
        <v>15</v>
      </c>
      <c r="N1453" s="7">
        <v>14.47</v>
      </c>
      <c r="O1453" s="7">
        <v>13.72</v>
      </c>
      <c r="P1453" s="7">
        <v>13.66</v>
      </c>
      <c r="Q1453" s="7">
        <v>12.92</v>
      </c>
      <c r="R1453" s="7">
        <v>13.1</v>
      </c>
      <c r="S1453">
        <f>Tableau1[[#This Row],[Final_time]]-SUM(Tableau1[[#This Row],[0_100m]:[1300_1400m]])</f>
        <v>13.440000000000026</v>
      </c>
      <c r="T1453" s="7">
        <v>222.24</v>
      </c>
      <c r="U1453">
        <f t="shared" si="44"/>
        <v>222.24</v>
      </c>
      <c r="V1453">
        <f t="shared" si="45"/>
        <v>0</v>
      </c>
      <c r="W1453" s="12"/>
      <c r="X1453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3" t="s">
        <v>1378</v>
      </c>
      <c r="Z1453" s="2" t="s">
        <v>99</v>
      </c>
      <c r="AA1453" s="2" t="s">
        <v>129</v>
      </c>
      <c r="AB1453" s="2" t="s">
        <v>65</v>
      </c>
      <c r="AC1453" s="2">
        <v>45914</v>
      </c>
      <c r="AD1453" s="3">
        <v>2025</v>
      </c>
      <c r="AE1453" s="3">
        <v>28</v>
      </c>
      <c r="AF1453" s="5">
        <v>0.68</v>
      </c>
      <c r="AG1453" s="3"/>
    </row>
    <row r="1454" spans="1:33" hidden="1" x14ac:dyDescent="0.35">
      <c r="A1454" t="str">
        <f>_xlfn.CONCAT(Tableau1[[#This Row],[Athletes]],"_",Tableau1[[#This Row],[Nationality]],"_",Tableau1[[#This Row],[Competition_year]])</f>
        <v>Cathal DOYLE_IRL_2025</v>
      </c>
      <c r="B1454" s="7" t="s">
        <v>1336</v>
      </c>
      <c r="C1454" s="7" t="s">
        <v>16</v>
      </c>
      <c r="D1454" s="7" t="s">
        <v>35</v>
      </c>
      <c r="E1454" s="7">
        <v>13.93</v>
      </c>
      <c r="F1454" s="7">
        <v>15.08</v>
      </c>
      <c r="G1454" s="7">
        <v>16.09</v>
      </c>
      <c r="H1454" s="7">
        <v>17.02</v>
      </c>
      <c r="I1454" s="7">
        <v>16.36</v>
      </c>
      <c r="J1454" s="7">
        <v>16.23</v>
      </c>
      <c r="K1454" s="7">
        <v>15.04</v>
      </c>
      <c r="L1454" s="7">
        <v>15.51</v>
      </c>
      <c r="M1454" s="7">
        <v>15.25</v>
      </c>
      <c r="N1454" s="7">
        <v>14.49</v>
      </c>
      <c r="O1454" s="7">
        <v>14.01</v>
      </c>
      <c r="P1454" s="7">
        <v>13.81</v>
      </c>
      <c r="Q1454" s="7">
        <v>13.06</v>
      </c>
      <c r="R1454" s="7">
        <v>13.23</v>
      </c>
      <c r="S1454">
        <f>Tableau1[[#This Row],[Final_time]]-SUM(Tableau1[[#This Row],[0_100m]:[1300_1400m]])</f>
        <v>13.490000000000009</v>
      </c>
      <c r="T1454" s="7">
        <v>222.6</v>
      </c>
      <c r="U1454">
        <f t="shared" si="44"/>
        <v>222.6</v>
      </c>
      <c r="V1454">
        <f t="shared" si="45"/>
        <v>0</v>
      </c>
      <c r="W1454" s="12"/>
      <c r="X1454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4" t="s">
        <v>1378</v>
      </c>
      <c r="Z1454" s="2" t="s">
        <v>99</v>
      </c>
      <c r="AA1454" s="2" t="s">
        <v>129</v>
      </c>
      <c r="AB1454" s="2" t="s">
        <v>65</v>
      </c>
      <c r="AC1454" s="2">
        <v>45914</v>
      </c>
      <c r="AD1454" s="3">
        <v>2025</v>
      </c>
      <c r="AE1454" s="3">
        <v>28</v>
      </c>
      <c r="AF1454" s="5">
        <v>0.68</v>
      </c>
      <c r="AG1454" s="3"/>
    </row>
    <row r="1455" spans="1:33" hidden="1" x14ac:dyDescent="0.35">
      <c r="A1455" t="str">
        <f>_xlfn.CONCAT(Tableau1[[#This Row],[Athletes]],"_",Tableau1[[#This Row],[Nationality]],"_",Tableau1[[#This Row],[Competition_year]])</f>
        <v>Adam SPENCER_AUS_2025</v>
      </c>
      <c r="B1455" s="7" t="s">
        <v>229</v>
      </c>
      <c r="C1455" s="7" t="s">
        <v>16</v>
      </c>
      <c r="D1455" s="7" t="s">
        <v>21</v>
      </c>
      <c r="E1455" s="7">
        <v>13.44</v>
      </c>
      <c r="F1455" s="7">
        <v>15.15</v>
      </c>
      <c r="G1455" s="7">
        <v>15.98</v>
      </c>
      <c r="H1455" s="7">
        <v>16.91</v>
      </c>
      <c r="I1455" s="7">
        <v>16.27</v>
      </c>
      <c r="J1455" s="7">
        <v>15.83</v>
      </c>
      <c r="K1455" s="7">
        <v>16.04</v>
      </c>
      <c r="L1455" s="7">
        <v>15.25</v>
      </c>
      <c r="M1455" s="7">
        <v>15.23</v>
      </c>
      <c r="N1455" s="7">
        <v>14.27</v>
      </c>
      <c r="O1455" s="7">
        <v>13.96</v>
      </c>
      <c r="P1455" s="7">
        <v>13.59</v>
      </c>
      <c r="Q1455" s="7">
        <v>13.14</v>
      </c>
      <c r="R1455" s="7">
        <v>13.38</v>
      </c>
      <c r="S1455">
        <f>Tableau1[[#This Row],[Final_time]]-SUM(Tableau1[[#This Row],[0_100m]:[1300_1400m]])</f>
        <v>13.72999999999999</v>
      </c>
      <c r="T1455" s="7">
        <v>222.17</v>
      </c>
      <c r="U1455">
        <f t="shared" si="44"/>
        <v>222.17</v>
      </c>
      <c r="V1455">
        <f t="shared" si="45"/>
        <v>0</v>
      </c>
      <c r="W1455" s="12"/>
      <c r="X1455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5" t="s">
        <v>1378</v>
      </c>
      <c r="Z1455" s="2" t="s">
        <v>99</v>
      </c>
      <c r="AA1455" s="2" t="s">
        <v>129</v>
      </c>
      <c r="AB1455" s="2" t="s">
        <v>65</v>
      </c>
      <c r="AC1455" s="2">
        <v>45914</v>
      </c>
      <c r="AD1455" s="3">
        <v>2025</v>
      </c>
      <c r="AE1455" s="3">
        <v>28</v>
      </c>
      <c r="AF1455" s="5">
        <v>0.68</v>
      </c>
      <c r="AG1455" s="3"/>
    </row>
    <row r="1456" spans="1:33" hidden="1" x14ac:dyDescent="0.35">
      <c r="A1456" t="str">
        <f>_xlfn.CONCAT(Tableau1[[#This Row],[Athletes]],"_",Tableau1[[#This Row],[Nationality]],"_",Tableau1[[#This Row],[Competition_year]])</f>
        <v>Heithem CHENITEF_ALG_2025</v>
      </c>
      <c r="B1456" s="7" t="s">
        <v>1380</v>
      </c>
      <c r="C1456" s="7" t="s">
        <v>16</v>
      </c>
      <c r="D1456" s="7" t="s">
        <v>124</v>
      </c>
      <c r="E1456" s="7">
        <v>13.9</v>
      </c>
      <c r="F1456" s="7">
        <v>15.34</v>
      </c>
      <c r="G1456" s="7">
        <v>16.14</v>
      </c>
      <c r="H1456" s="7">
        <v>16.8</v>
      </c>
      <c r="I1456" s="7">
        <v>16.29</v>
      </c>
      <c r="J1456" s="7">
        <v>16.399999999999999</v>
      </c>
      <c r="K1456" s="7">
        <v>15.4</v>
      </c>
      <c r="L1456" s="7">
        <v>15.65</v>
      </c>
      <c r="M1456" s="7">
        <v>14.98</v>
      </c>
      <c r="N1456" s="7">
        <v>14.55</v>
      </c>
      <c r="O1456" s="7">
        <v>13.96</v>
      </c>
      <c r="P1456" s="7">
        <v>14.01</v>
      </c>
      <c r="Q1456" s="7">
        <v>13.81</v>
      </c>
      <c r="R1456" s="7">
        <v>13.93</v>
      </c>
      <c r="S1456">
        <f>Tableau1[[#This Row],[Final_time]]-SUM(Tableau1[[#This Row],[0_100m]:[1300_1400m]])</f>
        <v>13.96999999999997</v>
      </c>
      <c r="T1456" s="7">
        <v>225.13</v>
      </c>
      <c r="U1456">
        <f t="shared" si="44"/>
        <v>225.13</v>
      </c>
      <c r="V1456">
        <f t="shared" si="45"/>
        <v>0</v>
      </c>
      <c r="W1456" s="12"/>
      <c r="X1456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6" t="s">
        <v>1378</v>
      </c>
      <c r="Z1456" s="2" t="s">
        <v>99</v>
      </c>
      <c r="AA1456" s="2" t="s">
        <v>129</v>
      </c>
      <c r="AB1456" s="2" t="s">
        <v>65</v>
      </c>
      <c r="AC1456" s="2">
        <v>45914</v>
      </c>
      <c r="AD1456" s="3">
        <v>2025</v>
      </c>
      <c r="AE1456" s="3">
        <v>28</v>
      </c>
      <c r="AF1456" s="5">
        <v>0.68</v>
      </c>
      <c r="AG1456" s="3"/>
    </row>
    <row r="1457" spans="1:33" hidden="1" x14ac:dyDescent="0.35">
      <c r="A1457" t="str">
        <f>_xlfn.CONCAT(Tableau1[[#This Row],[Athletes]],"_",Tableau1[[#This Row],[Nationality]],"_",Tableau1[[#This Row],[Competition_year]])</f>
        <v>Ermias GIRMA_ETH_2025</v>
      </c>
      <c r="B1457" s="7" t="s">
        <v>591</v>
      </c>
      <c r="C1457" s="7" t="s">
        <v>16</v>
      </c>
      <c r="D1457" s="7" t="s">
        <v>48</v>
      </c>
      <c r="E1457" s="7">
        <v>13.75</v>
      </c>
      <c r="F1457" s="7">
        <v>15.4</v>
      </c>
      <c r="G1457" s="7">
        <v>16.12</v>
      </c>
      <c r="H1457" s="7">
        <v>16.86</v>
      </c>
      <c r="I1457" s="7">
        <v>16.170000000000002</v>
      </c>
      <c r="J1457" s="7">
        <v>16.329999999999998</v>
      </c>
      <c r="K1457" s="7">
        <v>15.49</v>
      </c>
      <c r="L1457" s="7">
        <v>15.64</v>
      </c>
      <c r="M1457" s="7">
        <v>14.64</v>
      </c>
      <c r="N1457" s="7">
        <v>14.39</v>
      </c>
      <c r="O1457" s="7">
        <v>13.98</v>
      </c>
      <c r="P1457" s="7">
        <v>14.07</v>
      </c>
      <c r="Q1457" s="7">
        <v>14.12</v>
      </c>
      <c r="R1457" s="7">
        <v>14.8</v>
      </c>
      <c r="S1457">
        <f>Tableau1[[#This Row],[Final_time]]-SUM(Tableau1[[#This Row],[0_100m]:[1300_1400m]])</f>
        <v>14.860000000000042</v>
      </c>
      <c r="T1457" s="7">
        <v>226.62</v>
      </c>
      <c r="U1457">
        <f t="shared" si="44"/>
        <v>226.62</v>
      </c>
      <c r="V1457">
        <f t="shared" si="45"/>
        <v>0</v>
      </c>
      <c r="W1457" s="12"/>
      <c r="X1457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7" t="s">
        <v>1378</v>
      </c>
      <c r="Z1457" s="2" t="s">
        <v>99</v>
      </c>
      <c r="AA1457" s="2" t="s">
        <v>129</v>
      </c>
      <c r="AB1457" s="2" t="s">
        <v>65</v>
      </c>
      <c r="AC1457" s="2">
        <v>45914</v>
      </c>
      <c r="AD1457" s="3">
        <v>2025</v>
      </c>
      <c r="AE1457" s="3">
        <v>28</v>
      </c>
      <c r="AF1457" s="5">
        <v>0.68</v>
      </c>
      <c r="AG1457" s="3"/>
    </row>
    <row r="1458" spans="1:33" hidden="1" x14ac:dyDescent="0.35">
      <c r="A1458" t="str">
        <f>_xlfn.CONCAT(Tableau1[[#This Row],[Athletes]],"_",Tableau1[[#This Row],[Nationality]],"_",Tableau1[[#This Row],[Competition_year]])</f>
        <v>Yeshnil KARAN_FIJ_2025</v>
      </c>
      <c r="B1458" s="7" t="s">
        <v>1381</v>
      </c>
      <c r="C1458" s="7" t="s">
        <v>16</v>
      </c>
      <c r="D1458" s="7" t="s">
        <v>1382</v>
      </c>
      <c r="E1458" s="7">
        <v>14.77</v>
      </c>
      <c r="F1458" s="7">
        <v>15.21</v>
      </c>
      <c r="G1458" s="7">
        <v>15.92</v>
      </c>
      <c r="H1458" s="7">
        <v>16.98</v>
      </c>
      <c r="I1458" s="7">
        <v>16.32</v>
      </c>
      <c r="J1458" s="7">
        <v>16.28</v>
      </c>
      <c r="K1458" s="7">
        <v>15.29</v>
      </c>
      <c r="L1458" s="7">
        <v>15.37</v>
      </c>
      <c r="M1458" s="7">
        <v>15.07</v>
      </c>
      <c r="N1458" s="7">
        <v>14.79</v>
      </c>
      <c r="O1458" s="7">
        <v>14.79</v>
      </c>
      <c r="P1458" s="7">
        <v>15.03</v>
      </c>
      <c r="Q1458" s="7">
        <v>15.01</v>
      </c>
      <c r="R1458" s="7">
        <v>15.01</v>
      </c>
      <c r="S1458">
        <f>Tableau1[[#This Row],[Final_time]]-SUM(Tableau1[[#This Row],[0_100m]:[1300_1400m]])</f>
        <v>14.930000000000064</v>
      </c>
      <c r="T1458" s="7">
        <v>230.77</v>
      </c>
      <c r="U1458">
        <f t="shared" si="44"/>
        <v>230.77</v>
      </c>
      <c r="V1458">
        <f t="shared" si="45"/>
        <v>0</v>
      </c>
      <c r="W1458" s="12"/>
      <c r="X1458" t="str">
        <f>_xlfn.CONCAT(Tableau1[[#This Row],[Competition]],"_",Tableau1[[#This Row],[Championship_step]],"_",Tableau1[[#This Row],[Competition_date]],"_",Tableau1[[#This Row],[Gender]])</f>
        <v>World Championships Tokyo 2025_Heat 2_45914_Male</v>
      </c>
      <c r="Y1458" t="s">
        <v>1378</v>
      </c>
      <c r="Z1458" s="2" t="s">
        <v>99</v>
      </c>
      <c r="AA1458" s="2" t="s">
        <v>129</v>
      </c>
      <c r="AB1458" s="2" t="s">
        <v>65</v>
      </c>
      <c r="AC1458" s="2">
        <v>45914</v>
      </c>
      <c r="AD1458" s="3">
        <v>2025</v>
      </c>
      <c r="AE1458" s="3">
        <v>28</v>
      </c>
      <c r="AF1458" s="5">
        <v>0.68</v>
      </c>
      <c r="AG1458" s="3"/>
    </row>
    <row r="1459" spans="1:33" hidden="1" x14ac:dyDescent="0.35">
      <c r="A1459" t="str">
        <f>_xlfn.CONCAT(Tableau1[[#This Row],[Athletes]],"_",Tableau1[[#This Row],[Nationality]],"_",Tableau1[[#This Row],[Competition_year]])</f>
        <v>Sophie O'SULLIVAN_IRL_2025</v>
      </c>
      <c r="B1459" s="7" t="s">
        <v>1400</v>
      </c>
      <c r="C1459" s="7" t="s">
        <v>47</v>
      </c>
      <c r="D1459" s="7" t="s">
        <v>35</v>
      </c>
      <c r="E1459" s="7">
        <v>15.7</v>
      </c>
      <c r="F1459" s="7">
        <v>16.829999999999998</v>
      </c>
      <c r="G1459" s="7">
        <v>16.59</v>
      </c>
      <c r="H1459" s="7">
        <v>16.63</v>
      </c>
      <c r="I1459" s="7">
        <v>16.649999999999999</v>
      </c>
      <c r="J1459" s="7">
        <v>17.170000000000002</v>
      </c>
      <c r="K1459" s="7">
        <v>17.149999999999999</v>
      </c>
      <c r="L1459" s="7">
        <v>17.55</v>
      </c>
      <c r="M1459" s="7">
        <v>16.14</v>
      </c>
      <c r="N1459" s="7">
        <v>15.88</v>
      </c>
      <c r="O1459" s="7">
        <v>15.5</v>
      </c>
      <c r="P1459" s="7">
        <v>15.4</v>
      </c>
      <c r="Q1459" s="7">
        <v>14.85</v>
      </c>
      <c r="R1459" s="7">
        <v>15.38</v>
      </c>
      <c r="S1459">
        <f>Tableau1[[#This Row],[Final_time]]-SUM(Tableau1[[#This Row],[0_100m]:[1300_1400m]])</f>
        <v>14.699999999999989</v>
      </c>
      <c r="T1459" s="7">
        <v>242.12</v>
      </c>
      <c r="U1459">
        <f t="shared" si="44"/>
        <v>242.12</v>
      </c>
      <c r="V1459">
        <f t="shared" si="45"/>
        <v>0</v>
      </c>
      <c r="W1459" s="12" t="s">
        <v>109</v>
      </c>
      <c r="X1459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59" t="s">
        <v>1378</v>
      </c>
      <c r="Z1459" s="2" t="s">
        <v>99</v>
      </c>
      <c r="AA1459" s="2" t="s">
        <v>133</v>
      </c>
      <c r="AB1459" s="2" t="s">
        <v>65</v>
      </c>
      <c r="AC1459" s="2">
        <v>45913</v>
      </c>
      <c r="AD1459" s="3">
        <v>2025</v>
      </c>
      <c r="AE1459" s="3">
        <v>29</v>
      </c>
      <c r="AF1459" s="5">
        <v>0.67</v>
      </c>
      <c r="AG1459" s="3"/>
    </row>
    <row r="1460" spans="1:33" hidden="1" x14ac:dyDescent="0.35">
      <c r="A1460" t="str">
        <f>_xlfn.CONCAT(Tableau1[[#This Row],[Athletes]],"_",Tableau1[[#This Row],[Nationality]],"_",Tableau1[[#This Row],[Competition_year]])</f>
        <v>Nikki HILTZ_USA_2025</v>
      </c>
      <c r="B1460" s="7" t="s">
        <v>154</v>
      </c>
      <c r="C1460" s="7" t="s">
        <v>47</v>
      </c>
      <c r="D1460" s="7" t="s">
        <v>51</v>
      </c>
      <c r="E1460" s="7">
        <v>15.61</v>
      </c>
      <c r="F1460" s="7">
        <v>16.649999999999999</v>
      </c>
      <c r="G1460" s="7">
        <v>16.61</v>
      </c>
      <c r="H1460" s="7">
        <v>16.829999999999998</v>
      </c>
      <c r="I1460" s="7">
        <v>16.62</v>
      </c>
      <c r="J1460" s="7">
        <v>16.850000000000001</v>
      </c>
      <c r="K1460" s="7">
        <v>17.37</v>
      </c>
      <c r="L1460" s="7">
        <v>17.3</v>
      </c>
      <c r="M1460" s="7">
        <v>16.21</v>
      </c>
      <c r="N1460" s="7">
        <v>15.67</v>
      </c>
      <c r="O1460" s="7">
        <v>15.53</v>
      </c>
      <c r="P1460" s="7">
        <v>15.49</v>
      </c>
      <c r="Q1460" s="7">
        <v>15.06</v>
      </c>
      <c r="R1460" s="7">
        <v>15.19</v>
      </c>
      <c r="S1460">
        <f>Tableau1[[#This Row],[Final_time]]-SUM(Tableau1[[#This Row],[0_100m]:[1300_1400m]])</f>
        <v>14.739999999999981</v>
      </c>
      <c r="T1460" s="7">
        <v>241.73</v>
      </c>
      <c r="U1460">
        <f t="shared" si="44"/>
        <v>241.73</v>
      </c>
      <c r="V1460">
        <f t="shared" si="45"/>
        <v>0</v>
      </c>
      <c r="W1460" s="12" t="s">
        <v>109</v>
      </c>
      <c r="X1460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0" t="s">
        <v>1378</v>
      </c>
      <c r="Z1460" s="2" t="s">
        <v>99</v>
      </c>
      <c r="AA1460" s="2" t="s">
        <v>133</v>
      </c>
      <c r="AB1460" s="2" t="s">
        <v>65</v>
      </c>
      <c r="AC1460" s="2">
        <v>45913</v>
      </c>
      <c r="AD1460" s="3">
        <v>2025</v>
      </c>
      <c r="AE1460" s="3">
        <v>29</v>
      </c>
      <c r="AF1460" s="5">
        <v>0.67</v>
      </c>
      <c r="AG1460" s="3"/>
    </row>
    <row r="1461" spans="1:33" hidden="1" x14ac:dyDescent="0.35">
      <c r="A1461" t="str">
        <f>_xlfn.CONCAT(Tableau1[[#This Row],[Athletes]],"_",Tableau1[[#This Row],[Nationality]],"_",Tableau1[[#This Row],[Competition_year]])</f>
        <v>Freweyni HAILU_ETH_2025</v>
      </c>
      <c r="B1461" s="7" t="s">
        <v>144</v>
      </c>
      <c r="C1461" s="7" t="s">
        <v>47</v>
      </c>
      <c r="D1461" s="7" t="s">
        <v>48</v>
      </c>
      <c r="E1461" s="7">
        <v>16.399999999999999</v>
      </c>
      <c r="F1461" s="7">
        <v>17.02</v>
      </c>
      <c r="G1461" s="7">
        <v>16.38</v>
      </c>
      <c r="H1461" s="7">
        <v>16.89</v>
      </c>
      <c r="I1461" s="7">
        <v>16.38</v>
      </c>
      <c r="J1461" s="7">
        <v>17.36</v>
      </c>
      <c r="K1461" s="7">
        <v>16.3</v>
      </c>
      <c r="L1461" s="7">
        <v>17.18</v>
      </c>
      <c r="M1461" s="7">
        <v>15.52</v>
      </c>
      <c r="N1461" s="7">
        <v>15.74</v>
      </c>
      <c r="O1461" s="7">
        <v>15.54</v>
      </c>
      <c r="P1461" s="7">
        <v>15.52</v>
      </c>
      <c r="Q1461" s="7">
        <v>15.03</v>
      </c>
      <c r="R1461" s="7">
        <v>15.14</v>
      </c>
      <c r="S1461">
        <f>Tableau1[[#This Row],[Final_time]]-SUM(Tableau1[[#This Row],[0_100m]:[1300_1400m]])</f>
        <v>14.829999999999956</v>
      </c>
      <c r="T1461" s="7">
        <v>241.23</v>
      </c>
      <c r="U1461">
        <f t="shared" si="44"/>
        <v>241.23</v>
      </c>
      <c r="V1461">
        <f t="shared" si="45"/>
        <v>0</v>
      </c>
      <c r="W1461" s="12" t="s">
        <v>109</v>
      </c>
      <c r="X1461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1" t="s">
        <v>1378</v>
      </c>
      <c r="Z1461" s="2" t="s">
        <v>99</v>
      </c>
      <c r="AA1461" s="2" t="s">
        <v>133</v>
      </c>
      <c r="AB1461" s="2" t="s">
        <v>65</v>
      </c>
      <c r="AC1461" s="2">
        <v>45913</v>
      </c>
      <c r="AD1461" s="3">
        <v>2025</v>
      </c>
      <c r="AE1461" s="3">
        <v>29</v>
      </c>
      <c r="AF1461" s="5">
        <v>0.67</v>
      </c>
      <c r="AG1461" s="3"/>
    </row>
    <row r="1462" spans="1:33" hidden="1" x14ac:dyDescent="0.35">
      <c r="A1462" t="str">
        <f>_xlfn.CONCAT(Tableau1[[#This Row],[Athletes]],"_",Tableau1[[#This Row],[Nationality]],"_",Tableau1[[#This Row],[Competition_year]])</f>
        <v>Agathe GUILLEMOT_FRA_2025</v>
      </c>
      <c r="B1462" s="7" t="s">
        <v>171</v>
      </c>
      <c r="C1462" s="7" t="s">
        <v>47</v>
      </c>
      <c r="D1462" s="7" t="s">
        <v>18</v>
      </c>
      <c r="E1462" s="7">
        <v>15.83</v>
      </c>
      <c r="F1462" s="7">
        <v>16.760000000000002</v>
      </c>
      <c r="G1462" s="7">
        <v>16.04</v>
      </c>
      <c r="H1462" s="7">
        <v>16.73</v>
      </c>
      <c r="I1462" s="7">
        <v>16.62</v>
      </c>
      <c r="J1462" s="7">
        <v>17.02</v>
      </c>
      <c r="K1462" s="7">
        <v>17.420000000000002</v>
      </c>
      <c r="L1462" s="7">
        <v>17.420000000000002</v>
      </c>
      <c r="M1462" s="7">
        <v>16.329999999999998</v>
      </c>
      <c r="N1462" s="7">
        <v>15.72</v>
      </c>
      <c r="O1462" s="7">
        <v>15.68</v>
      </c>
      <c r="P1462" s="7">
        <v>15.45</v>
      </c>
      <c r="Q1462" s="7">
        <v>15.03</v>
      </c>
      <c r="R1462" s="7">
        <v>15.15</v>
      </c>
      <c r="S1462">
        <f>Tableau1[[#This Row],[Final_time]]-SUM(Tableau1[[#This Row],[0_100m]:[1300_1400m]])</f>
        <v>14.849999999999994</v>
      </c>
      <c r="T1462" s="7">
        <v>242.05</v>
      </c>
      <c r="U1462">
        <f t="shared" si="44"/>
        <v>242.05</v>
      </c>
      <c r="V1462">
        <f t="shared" si="45"/>
        <v>0</v>
      </c>
      <c r="W1462" s="12" t="s">
        <v>109</v>
      </c>
      <c r="X1462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2" t="s">
        <v>1378</v>
      </c>
      <c r="Z1462" s="2" t="s">
        <v>99</v>
      </c>
      <c r="AA1462" s="2" t="s">
        <v>133</v>
      </c>
      <c r="AB1462" s="2" t="s">
        <v>65</v>
      </c>
      <c r="AC1462" s="2">
        <v>45913</v>
      </c>
      <c r="AD1462" s="3">
        <v>2025</v>
      </c>
      <c r="AE1462" s="3">
        <v>29</v>
      </c>
      <c r="AF1462" s="5">
        <v>0.67</v>
      </c>
      <c r="AG1462" s="3"/>
    </row>
    <row r="1463" spans="1:33" hidden="1" x14ac:dyDescent="0.35">
      <c r="A1463" t="str">
        <f>_xlfn.CONCAT(Tableau1[[#This Row],[Athletes]],"_",Tableau1[[#This Row],[Nationality]],"_",Tableau1[[#This Row],[Competition_year]])</f>
        <v>Esther GUERRERO_ESP_2025</v>
      </c>
      <c r="B1463" s="7" t="s">
        <v>169</v>
      </c>
      <c r="C1463" s="7" t="s">
        <v>47</v>
      </c>
      <c r="D1463" s="7" t="s">
        <v>22</v>
      </c>
      <c r="E1463" s="7">
        <v>15.46</v>
      </c>
      <c r="F1463" s="7">
        <v>16.62</v>
      </c>
      <c r="G1463" s="7">
        <v>16.63</v>
      </c>
      <c r="H1463" s="7">
        <v>16.78</v>
      </c>
      <c r="I1463" s="7">
        <v>16.739999999999998</v>
      </c>
      <c r="J1463" s="7">
        <v>17.39</v>
      </c>
      <c r="K1463" s="7">
        <v>17.04</v>
      </c>
      <c r="L1463" s="7">
        <v>17.46</v>
      </c>
      <c r="M1463" s="7">
        <v>16.02</v>
      </c>
      <c r="N1463" s="7">
        <v>15.88</v>
      </c>
      <c r="O1463" s="7">
        <v>15.27</v>
      </c>
      <c r="P1463" s="7">
        <v>15.51</v>
      </c>
      <c r="Q1463" s="7">
        <v>15.13</v>
      </c>
      <c r="R1463" s="7">
        <v>15.2</v>
      </c>
      <c r="S1463">
        <f>Tableau1[[#This Row],[Final_time]]-SUM(Tableau1[[#This Row],[0_100m]:[1300_1400m]])</f>
        <v>15.069999999999993</v>
      </c>
      <c r="T1463" s="7">
        <v>242.2</v>
      </c>
      <c r="U1463">
        <f t="shared" si="44"/>
        <v>242.2</v>
      </c>
      <c r="V1463">
        <f t="shared" si="45"/>
        <v>0</v>
      </c>
      <c r="W1463" s="12"/>
      <c r="X1463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3" t="s">
        <v>1378</v>
      </c>
      <c r="Z1463" s="2" t="s">
        <v>99</v>
      </c>
      <c r="AA1463" s="2" t="s">
        <v>133</v>
      </c>
      <c r="AB1463" s="2" t="s">
        <v>65</v>
      </c>
      <c r="AC1463" s="2">
        <v>45913</v>
      </c>
      <c r="AD1463" s="3">
        <v>2025</v>
      </c>
      <c r="AE1463" s="3">
        <v>29</v>
      </c>
      <c r="AF1463" s="5">
        <v>0.67</v>
      </c>
      <c r="AG1463" s="3"/>
    </row>
    <row r="1464" spans="1:33" hidden="1" x14ac:dyDescent="0.35">
      <c r="A1464" t="str">
        <f>_xlfn.CONCAT(Tableau1[[#This Row],[Athletes]],"_",Tableau1[[#This Row],[Nationality]],"_",Tableau1[[#This Row],[Competition_year]])</f>
        <v>Susan Lokayo EJORE_KEN_2025</v>
      </c>
      <c r="B1464" s="7" t="s">
        <v>1264</v>
      </c>
      <c r="C1464" s="7" t="s">
        <v>47</v>
      </c>
      <c r="D1464" s="7" t="s">
        <v>17</v>
      </c>
      <c r="E1464" s="7">
        <v>15.93</v>
      </c>
      <c r="F1464" s="7">
        <v>16.440000000000001</v>
      </c>
      <c r="G1464" s="7">
        <v>16.79</v>
      </c>
      <c r="H1464" s="7">
        <v>16.489999999999998</v>
      </c>
      <c r="I1464" s="7">
        <v>16.420000000000002</v>
      </c>
      <c r="J1464" s="7">
        <v>17.059999999999999</v>
      </c>
      <c r="K1464" s="7">
        <v>17.27</v>
      </c>
      <c r="L1464" s="7">
        <v>17.420000000000002</v>
      </c>
      <c r="M1464" s="7">
        <v>16.09</v>
      </c>
      <c r="N1464" s="7">
        <v>15.66</v>
      </c>
      <c r="O1464" s="7">
        <v>15.52</v>
      </c>
      <c r="P1464" s="7">
        <v>15.56</v>
      </c>
      <c r="Q1464" s="7">
        <v>15.04</v>
      </c>
      <c r="R1464" s="7">
        <v>15.21</v>
      </c>
      <c r="S1464">
        <f>Tableau1[[#This Row],[Final_time]]-SUM(Tableau1[[#This Row],[0_100m]:[1300_1400m]])</f>
        <v>15.090000000000003</v>
      </c>
      <c r="T1464" s="7">
        <v>241.99</v>
      </c>
      <c r="U1464">
        <f t="shared" si="44"/>
        <v>241.99</v>
      </c>
      <c r="V1464">
        <f t="shared" si="45"/>
        <v>0</v>
      </c>
      <c r="W1464" s="12" t="s">
        <v>109</v>
      </c>
      <c r="X1464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4" t="s">
        <v>1378</v>
      </c>
      <c r="Z1464" s="2" t="s">
        <v>99</v>
      </c>
      <c r="AA1464" s="2" t="s">
        <v>133</v>
      </c>
      <c r="AB1464" s="2" t="s">
        <v>65</v>
      </c>
      <c r="AC1464" s="2">
        <v>45913</v>
      </c>
      <c r="AD1464" s="3">
        <v>2025</v>
      </c>
      <c r="AE1464" s="3">
        <v>29</v>
      </c>
      <c r="AF1464" s="5">
        <v>0.67</v>
      </c>
      <c r="AG1464" s="3"/>
    </row>
    <row r="1465" spans="1:33" hidden="1" x14ac:dyDescent="0.35">
      <c r="A1465" t="str">
        <f>_xlfn.CONCAT(Tableau1[[#This Row],[Athletes]],"_",Tableau1[[#This Row],[Nationality]],"_",Tableau1[[#This Row],[Competition_year]])</f>
        <v>Gabriela DEBUES-STAFFORD_CAN_2025</v>
      </c>
      <c r="B1465" s="7" t="s">
        <v>298</v>
      </c>
      <c r="C1465" s="7" t="s">
        <v>47</v>
      </c>
      <c r="D1465" s="7" t="s">
        <v>55</v>
      </c>
      <c r="E1465" s="7">
        <v>16.149999999999999</v>
      </c>
      <c r="F1465" s="7">
        <v>17.010000000000002</v>
      </c>
      <c r="G1465" s="7">
        <v>15.81</v>
      </c>
      <c r="H1465" s="7">
        <v>16.52</v>
      </c>
      <c r="I1465" s="7">
        <v>16.47</v>
      </c>
      <c r="J1465" s="7">
        <v>17.57</v>
      </c>
      <c r="K1465" s="7">
        <v>17.28</v>
      </c>
      <c r="L1465" s="7">
        <v>17.54</v>
      </c>
      <c r="M1465" s="7">
        <v>15.47</v>
      </c>
      <c r="N1465" s="7">
        <v>15.55</v>
      </c>
      <c r="O1465" s="7">
        <v>15.62</v>
      </c>
      <c r="P1465" s="7">
        <v>15.42</v>
      </c>
      <c r="Q1465" s="7">
        <v>15.05</v>
      </c>
      <c r="R1465" s="7">
        <v>15.21</v>
      </c>
      <c r="S1465">
        <f>Tableau1[[#This Row],[Final_time]]-SUM(Tableau1[[#This Row],[0_100m]:[1300_1400m]])</f>
        <v>15.329999999999984</v>
      </c>
      <c r="T1465" s="7">
        <v>242</v>
      </c>
      <c r="U1465">
        <f t="shared" si="44"/>
        <v>242</v>
      </c>
      <c r="V1465">
        <f t="shared" si="45"/>
        <v>0</v>
      </c>
      <c r="W1465" s="12" t="s">
        <v>109</v>
      </c>
      <c r="X1465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5" t="s">
        <v>1378</v>
      </c>
      <c r="Z1465" s="2" t="s">
        <v>99</v>
      </c>
      <c r="AA1465" s="2" t="s">
        <v>133</v>
      </c>
      <c r="AB1465" s="2" t="s">
        <v>65</v>
      </c>
      <c r="AC1465" s="2">
        <v>45913</v>
      </c>
      <c r="AD1465" s="3">
        <v>2025</v>
      </c>
      <c r="AE1465" s="3">
        <v>29</v>
      </c>
      <c r="AF1465" s="5">
        <v>0.67</v>
      </c>
      <c r="AG1465" s="3"/>
    </row>
    <row r="1466" spans="1:33" hidden="1" x14ac:dyDescent="0.35">
      <c r="A1466" t="str">
        <f>_xlfn.CONCAT(Tableau1[[#This Row],[Athletes]],"_",Tableau1[[#This Row],[Nationality]],"_",Tableau1[[#This Row],[Competition_year]])</f>
        <v>Joceline WIND_SUI_2025</v>
      </c>
      <c r="B1466" s="7" t="s">
        <v>993</v>
      </c>
      <c r="C1466" s="7" t="s">
        <v>47</v>
      </c>
      <c r="D1466" s="7" t="s">
        <v>87</v>
      </c>
      <c r="E1466" s="7">
        <v>15.61</v>
      </c>
      <c r="F1466" s="7">
        <v>16.79</v>
      </c>
      <c r="G1466" s="7">
        <v>16.75</v>
      </c>
      <c r="H1466" s="7">
        <v>16.600000000000001</v>
      </c>
      <c r="I1466" s="7">
        <v>16.739999999999998</v>
      </c>
      <c r="J1466" s="7">
        <v>17.28</v>
      </c>
      <c r="K1466" s="7">
        <v>17.12</v>
      </c>
      <c r="L1466" s="7">
        <v>17.510000000000002</v>
      </c>
      <c r="M1466" s="7">
        <v>16.059999999999999</v>
      </c>
      <c r="N1466" s="7">
        <v>15.88</v>
      </c>
      <c r="O1466" s="7">
        <v>15.55</v>
      </c>
      <c r="P1466" s="7">
        <v>15.35</v>
      </c>
      <c r="Q1466" s="7">
        <v>15.06</v>
      </c>
      <c r="R1466" s="7">
        <v>15.48</v>
      </c>
      <c r="S1466">
        <f>Tableau1[[#This Row],[Final_time]]-SUM(Tableau1[[#This Row],[0_100m]:[1300_1400m]])</f>
        <v>16.509999999999991</v>
      </c>
      <c r="T1466" s="7">
        <v>244.29</v>
      </c>
      <c r="U1466">
        <f t="shared" si="44"/>
        <v>244.29</v>
      </c>
      <c r="V1466">
        <f t="shared" si="45"/>
        <v>0</v>
      </c>
      <c r="W1466" s="12"/>
      <c r="X1466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6" t="s">
        <v>1378</v>
      </c>
      <c r="Z1466" s="2" t="s">
        <v>99</v>
      </c>
      <c r="AA1466" s="2" t="s">
        <v>133</v>
      </c>
      <c r="AB1466" s="2" t="s">
        <v>65</v>
      </c>
      <c r="AC1466" s="2">
        <v>45913</v>
      </c>
      <c r="AD1466" s="3">
        <v>2025</v>
      </c>
      <c r="AE1466" s="3">
        <v>29</v>
      </c>
      <c r="AF1466" s="5">
        <v>0.67</v>
      </c>
      <c r="AG1466" s="3"/>
    </row>
    <row r="1467" spans="1:33" hidden="1" x14ac:dyDescent="0.35">
      <c r="A1467" t="str">
        <f>_xlfn.CONCAT(Tableau1[[#This Row],[Athletes]],"_",Tableau1[[#This Row],[Nationality]],"_",Tableau1[[#This Row],[Competition_year]])</f>
        <v>Knight ACIRU_UGA_2025</v>
      </c>
      <c r="B1467" s="7" t="s">
        <v>1402</v>
      </c>
      <c r="C1467" s="7" t="s">
        <v>47</v>
      </c>
      <c r="D1467" s="7" t="s">
        <v>52</v>
      </c>
      <c r="E1467" s="7">
        <v>15.92</v>
      </c>
      <c r="F1467" s="7">
        <v>16.89</v>
      </c>
      <c r="G1467" s="7">
        <v>16.52</v>
      </c>
      <c r="H1467" s="7">
        <v>16.87</v>
      </c>
      <c r="I1467" s="7">
        <v>16.53</v>
      </c>
      <c r="J1467" s="7">
        <v>17.309999999999999</v>
      </c>
      <c r="K1467" s="7">
        <v>17.05</v>
      </c>
      <c r="L1467" s="7">
        <v>17.47</v>
      </c>
      <c r="M1467" s="7">
        <v>16.18</v>
      </c>
      <c r="N1467" s="7">
        <v>16.43</v>
      </c>
      <c r="O1467" s="7">
        <v>16.239999999999998</v>
      </c>
      <c r="P1467" s="7">
        <v>15.97</v>
      </c>
      <c r="Q1467" s="7">
        <v>16.23</v>
      </c>
      <c r="R1467" s="7">
        <v>16.87</v>
      </c>
      <c r="S1467">
        <f>Tableau1[[#This Row],[Final_time]]-SUM(Tableau1[[#This Row],[0_100m]:[1300_1400m]])</f>
        <v>17.309999999999974</v>
      </c>
      <c r="T1467" s="7">
        <v>249.79</v>
      </c>
      <c r="U1467">
        <f t="shared" si="44"/>
        <v>249.79</v>
      </c>
      <c r="V1467">
        <f t="shared" si="45"/>
        <v>0</v>
      </c>
      <c r="W1467" s="12"/>
      <c r="X1467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7" t="s">
        <v>1378</v>
      </c>
      <c r="Z1467" s="2" t="s">
        <v>99</v>
      </c>
      <c r="AA1467" s="2" t="s">
        <v>133</v>
      </c>
      <c r="AB1467" s="2" t="s">
        <v>65</v>
      </c>
      <c r="AC1467" s="2">
        <v>45913</v>
      </c>
      <c r="AD1467" s="3">
        <v>2025</v>
      </c>
      <c r="AE1467" s="3">
        <v>29</v>
      </c>
      <c r="AF1467" s="5">
        <v>0.67</v>
      </c>
      <c r="AG1467" s="3"/>
    </row>
    <row r="1468" spans="1:33" hidden="1" x14ac:dyDescent="0.35">
      <c r="A1468" t="str">
        <f>_xlfn.CONCAT(Tableau1[[#This Row],[Athletes]],"_",Tableau1[[#This Row],[Nationality]],"_",Tableau1[[#This Row],[Competition_year]])</f>
        <v>Sarah BILLINGS_AUS_2025</v>
      </c>
      <c r="B1468" s="7" t="s">
        <v>1234</v>
      </c>
      <c r="C1468" s="7" t="s">
        <v>47</v>
      </c>
      <c r="D1468" s="7" t="s">
        <v>21</v>
      </c>
      <c r="E1468" s="7">
        <v>15.78</v>
      </c>
      <c r="F1468" s="7">
        <v>16.78</v>
      </c>
      <c r="G1468" s="7">
        <v>16.97</v>
      </c>
      <c r="H1468" s="7">
        <v>16.5</v>
      </c>
      <c r="I1468" s="7">
        <v>16.579999999999998</v>
      </c>
      <c r="J1468" s="7">
        <v>17.2</v>
      </c>
      <c r="K1468" s="7">
        <v>17.29</v>
      </c>
      <c r="L1468" s="7">
        <v>17.46</v>
      </c>
      <c r="M1468" s="7">
        <v>16.16</v>
      </c>
      <c r="N1468" s="7">
        <v>15.86</v>
      </c>
      <c r="O1468" s="7">
        <v>15.63</v>
      </c>
      <c r="P1468" s="7">
        <v>15.55</v>
      </c>
      <c r="Q1468" s="7">
        <v>15.18</v>
      </c>
      <c r="R1468" s="7">
        <v>15.92</v>
      </c>
      <c r="S1468">
        <f>Tableau1[[#This Row],[Final_time]]-SUM(Tableau1[[#This Row],[0_100m]:[1300_1400m]])</f>
        <v>17.360000000000014</v>
      </c>
      <c r="T1468" s="7">
        <v>246.22</v>
      </c>
      <c r="U1468">
        <f t="shared" si="44"/>
        <v>246.22</v>
      </c>
      <c r="V1468">
        <f t="shared" si="45"/>
        <v>0</v>
      </c>
      <c r="W1468" s="12"/>
      <c r="X1468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8" t="s">
        <v>1378</v>
      </c>
      <c r="Z1468" s="2" t="s">
        <v>99</v>
      </c>
      <c r="AA1468" s="2" t="s">
        <v>133</v>
      </c>
      <c r="AB1468" s="2" t="s">
        <v>65</v>
      </c>
      <c r="AC1468" s="2">
        <v>45913</v>
      </c>
      <c r="AD1468" s="3">
        <v>2025</v>
      </c>
      <c r="AE1468" s="3">
        <v>29</v>
      </c>
      <c r="AF1468" s="5">
        <v>0.67</v>
      </c>
      <c r="AG1468" s="3"/>
    </row>
    <row r="1469" spans="1:33" hidden="1" x14ac:dyDescent="0.35">
      <c r="A1469" t="str">
        <f>_xlfn.CONCAT(Tableau1[[#This Row],[Athletes]],"_",Tableau1[[#This Row],[Nationality]],"_",Tableau1[[#This Row],[Competition_year]])</f>
        <v>Adelle TRACEY_JAM_2025</v>
      </c>
      <c r="B1469" s="7" t="s">
        <v>188</v>
      </c>
      <c r="C1469" s="7" t="s">
        <v>47</v>
      </c>
      <c r="D1469" s="7" t="s">
        <v>108</v>
      </c>
      <c r="E1469" s="7">
        <v>15.89</v>
      </c>
      <c r="F1469" s="7">
        <v>16.96</v>
      </c>
      <c r="G1469" s="7">
        <v>16.329999999999998</v>
      </c>
      <c r="H1469" s="7">
        <v>16.920000000000002</v>
      </c>
      <c r="I1469" s="7">
        <v>16.510000000000002</v>
      </c>
      <c r="J1469" s="7">
        <v>17.190000000000001</v>
      </c>
      <c r="K1469" s="7">
        <v>17.46</v>
      </c>
      <c r="L1469" s="7">
        <v>17.059999999999999</v>
      </c>
      <c r="M1469" s="7">
        <v>16.690000000000001</v>
      </c>
      <c r="N1469" s="7">
        <v>16.38</v>
      </c>
      <c r="O1469" s="7">
        <v>16.170000000000002</v>
      </c>
      <c r="P1469" s="7">
        <v>16.14</v>
      </c>
      <c r="Q1469" s="7">
        <v>16.489999999999998</v>
      </c>
      <c r="R1469" s="7">
        <v>17.57</v>
      </c>
      <c r="S1469">
        <f>Tableau1[[#This Row],[Final_time]]-SUM(Tableau1[[#This Row],[0_100m]:[1300_1400m]])</f>
        <v>18.110000000000014</v>
      </c>
      <c r="T1469" s="7">
        <v>251.87</v>
      </c>
      <c r="U1469">
        <f t="shared" si="44"/>
        <v>251.87</v>
      </c>
      <c r="V1469">
        <f t="shared" si="45"/>
        <v>0</v>
      </c>
      <c r="W1469" s="12"/>
      <c r="X1469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69" t="s">
        <v>1378</v>
      </c>
      <c r="Z1469" s="2" t="s">
        <v>99</v>
      </c>
      <c r="AA1469" s="2" t="s">
        <v>133</v>
      </c>
      <c r="AB1469" s="2" t="s">
        <v>65</v>
      </c>
      <c r="AC1469" s="2">
        <v>45913</v>
      </c>
      <c r="AD1469" s="3">
        <v>2025</v>
      </c>
      <c r="AE1469" s="3">
        <v>29</v>
      </c>
      <c r="AF1469" s="5">
        <v>0.67</v>
      </c>
      <c r="AG1469" s="3"/>
    </row>
    <row r="1470" spans="1:33" hidden="1" x14ac:dyDescent="0.35">
      <c r="A1470" t="str">
        <f>_xlfn.CONCAT(Tableau1[[#This Row],[Athletes]],"_",Tableau1[[#This Row],[Nationality]],"_",Tableau1[[#This Row],[Competition_year]])</f>
        <v>Tomoka KIMURA_JPN_2025</v>
      </c>
      <c r="B1470" s="7" t="s">
        <v>1403</v>
      </c>
      <c r="C1470" s="7" t="s">
        <v>47</v>
      </c>
      <c r="D1470" s="7" t="s">
        <v>69</v>
      </c>
      <c r="E1470" s="7">
        <v>15.33</v>
      </c>
      <c r="F1470" s="7">
        <v>16.27</v>
      </c>
      <c r="G1470" s="7">
        <v>16.7</v>
      </c>
      <c r="H1470" s="7">
        <v>16.84</v>
      </c>
      <c r="I1470" s="7">
        <v>16.62</v>
      </c>
      <c r="J1470" s="7">
        <v>17.149999999999999</v>
      </c>
      <c r="K1470" s="7">
        <v>17.53</v>
      </c>
      <c r="L1470" s="7">
        <v>17.18</v>
      </c>
      <c r="M1470" s="7">
        <v>17.37</v>
      </c>
      <c r="N1470" s="7">
        <v>17.18</v>
      </c>
      <c r="O1470" s="7">
        <v>17.510000000000002</v>
      </c>
      <c r="P1470" s="7">
        <v>17.239999999999998</v>
      </c>
      <c r="Q1470" s="7">
        <v>16.97</v>
      </c>
      <c r="R1470" s="7">
        <v>17.510000000000002</v>
      </c>
      <c r="S1470">
        <f>Tableau1[[#This Row],[Final_time]]-SUM(Tableau1[[#This Row],[0_100m]:[1300_1400m]])</f>
        <v>18.299999999999983</v>
      </c>
      <c r="T1470" s="7">
        <v>255.7</v>
      </c>
      <c r="U1470">
        <f t="shared" si="44"/>
        <v>255.7</v>
      </c>
      <c r="V1470">
        <f t="shared" si="45"/>
        <v>0</v>
      </c>
      <c r="W1470" s="12"/>
      <c r="X1470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70" t="s">
        <v>1378</v>
      </c>
      <c r="Z1470" s="2" t="s">
        <v>99</v>
      </c>
      <c r="AA1470" s="2" t="s">
        <v>133</v>
      </c>
      <c r="AB1470" s="2" t="s">
        <v>65</v>
      </c>
      <c r="AC1470" s="2">
        <v>45913</v>
      </c>
      <c r="AD1470" s="3">
        <v>2025</v>
      </c>
      <c r="AE1470" s="3">
        <v>29</v>
      </c>
      <c r="AF1470" s="5">
        <v>0.67</v>
      </c>
      <c r="AG1470" s="3"/>
    </row>
    <row r="1471" spans="1:33" hidden="1" x14ac:dyDescent="0.35">
      <c r="A1471" t="str">
        <f>_xlfn.CONCAT(Tableau1[[#This Row],[Athletes]],"_",Tableau1[[#This Row],[Nationality]],"_",Tableau1[[#This Row],[Competition_year]])</f>
        <v>Jolanda KALLABIS_GER_2025</v>
      </c>
      <c r="B1471" s="7" t="s">
        <v>1401</v>
      </c>
      <c r="C1471" s="7" t="s">
        <v>47</v>
      </c>
      <c r="D1471" s="7" t="s">
        <v>34</v>
      </c>
      <c r="E1471" s="7">
        <v>16.190000000000001</v>
      </c>
      <c r="F1471" s="7">
        <v>16.89</v>
      </c>
      <c r="G1471" s="7">
        <v>16.510000000000002</v>
      </c>
      <c r="H1471" s="7">
        <v>16.760000000000002</v>
      </c>
      <c r="I1471" s="7">
        <v>16.57</v>
      </c>
      <c r="J1471" s="7">
        <v>17.239999999999998</v>
      </c>
      <c r="K1471" s="7">
        <v>17.170000000000002</v>
      </c>
      <c r="L1471" s="7">
        <v>17.32</v>
      </c>
      <c r="M1471" s="7">
        <v>16.600000000000001</v>
      </c>
      <c r="N1471" s="7">
        <v>15.89</v>
      </c>
      <c r="O1471" s="7">
        <v>15.28</v>
      </c>
      <c r="P1471" s="7">
        <v>15.47</v>
      </c>
      <c r="Q1471" s="7">
        <v>15.48</v>
      </c>
      <c r="R1471" s="7">
        <v>16.77</v>
      </c>
      <c r="S1471">
        <f>Tableau1[[#This Row],[Final_time]]-SUM(Tableau1[[#This Row],[0_100m]:[1300_1400m]])</f>
        <v>18.570000000000022</v>
      </c>
      <c r="T1471" s="7">
        <v>248.71</v>
      </c>
      <c r="U1471">
        <f t="shared" si="44"/>
        <v>248.71</v>
      </c>
      <c r="V1471">
        <f t="shared" si="45"/>
        <v>0</v>
      </c>
      <c r="W1471" s="12"/>
      <c r="X1471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71" t="s">
        <v>1378</v>
      </c>
      <c r="Z1471" s="2" t="s">
        <v>99</v>
      </c>
      <c r="AA1471" s="2" t="s">
        <v>133</v>
      </c>
      <c r="AB1471" s="2" t="s">
        <v>65</v>
      </c>
      <c r="AC1471" s="2">
        <v>45913</v>
      </c>
      <c r="AD1471" s="3">
        <v>2025</v>
      </c>
      <c r="AE1471" s="3">
        <v>29</v>
      </c>
      <c r="AF1471" s="5">
        <v>0.67</v>
      </c>
      <c r="AG1471" s="3"/>
    </row>
    <row r="1472" spans="1:33" hidden="1" x14ac:dyDescent="0.35">
      <c r="A1472" t="str">
        <f>_xlfn.CONCAT(Tableau1[[#This Row],[Athletes]],"_",Tableau1[[#This Row],[Nationality]],"_",Tableau1[[#This Row],[Competition_year]])</f>
        <v>Ludovica CAVALLI_ITA_2025</v>
      </c>
      <c r="B1472" s="7" t="s">
        <v>182</v>
      </c>
      <c r="C1472" s="7" t="s">
        <v>47</v>
      </c>
      <c r="D1472" s="7" t="s">
        <v>19</v>
      </c>
      <c r="E1472" s="7">
        <v>15.61</v>
      </c>
      <c r="F1472" s="7">
        <v>16.579999999999998</v>
      </c>
      <c r="G1472" s="7">
        <v>16.649999999999999</v>
      </c>
      <c r="H1472" s="7">
        <v>16.73</v>
      </c>
      <c r="I1472" s="7">
        <v>16.559999999999999</v>
      </c>
      <c r="J1472" s="7">
        <v>16.96</v>
      </c>
      <c r="K1472" s="7">
        <v>17.510000000000002</v>
      </c>
      <c r="L1472" s="7">
        <v>17.32</v>
      </c>
      <c r="M1472" s="7">
        <v>16.36</v>
      </c>
      <c r="N1472" s="7">
        <v>15.87</v>
      </c>
      <c r="O1472" s="7">
        <v>16.079999999999998</v>
      </c>
      <c r="P1472" s="7">
        <v>15.36</v>
      </c>
      <c r="Q1472" s="7">
        <v>16.059999999999999</v>
      </c>
      <c r="R1472" s="7">
        <v>17.25</v>
      </c>
      <c r="S1472">
        <f>Tableau1[[#This Row],[Final_time]]-SUM(Tableau1[[#This Row],[0_100m]:[1300_1400m]])</f>
        <v>19.009999999999962</v>
      </c>
      <c r="T1472" s="7">
        <v>249.91</v>
      </c>
      <c r="U1472">
        <f t="shared" si="44"/>
        <v>249.91</v>
      </c>
      <c r="V1472">
        <f t="shared" si="45"/>
        <v>0</v>
      </c>
      <c r="W1472" s="12"/>
      <c r="X1472" t="str">
        <f>_xlfn.CONCAT(Tableau1[[#This Row],[Competition]],"_",Tableau1[[#This Row],[Championship_step]],"_",Tableau1[[#This Row],[Competition_date]],"_",Tableau1[[#This Row],[Gender]])</f>
        <v>World Championships Tokyo 2025_Heat 3_45913_Female</v>
      </c>
      <c r="Y1472" t="s">
        <v>1378</v>
      </c>
      <c r="Z1472" s="2" t="s">
        <v>99</v>
      </c>
      <c r="AA1472" s="2" t="s">
        <v>133</v>
      </c>
      <c r="AB1472" s="2" t="s">
        <v>65</v>
      </c>
      <c r="AC1472" s="2">
        <v>45913</v>
      </c>
      <c r="AD1472" s="3">
        <v>2025</v>
      </c>
      <c r="AE1472" s="3">
        <v>29</v>
      </c>
      <c r="AF1472" s="5">
        <v>0.67</v>
      </c>
      <c r="AG1472" s="3"/>
    </row>
    <row r="1473" spans="1:33" hidden="1" x14ac:dyDescent="0.35">
      <c r="A1473" t="str">
        <f>_xlfn.CONCAT(Tableau1[[#This Row],[Athletes]],"_",Tableau1[[#This Row],[Nationality]],"_",Tableau1[[#This Row],[Competition_year]])</f>
        <v>Raphael PALLITSCH_AUT_2025</v>
      </c>
      <c r="B1473" s="7" t="s">
        <v>237</v>
      </c>
      <c r="C1473" s="7" t="s">
        <v>16</v>
      </c>
      <c r="D1473" s="7" t="s">
        <v>41</v>
      </c>
      <c r="E1473" s="7">
        <v>14.5</v>
      </c>
      <c r="F1473" s="7">
        <v>16.27</v>
      </c>
      <c r="G1473" s="7">
        <v>17.18</v>
      </c>
      <c r="H1473" s="7">
        <v>17.14</v>
      </c>
      <c r="I1473" s="7">
        <v>16.27</v>
      </c>
      <c r="J1473" s="7">
        <v>16.7</v>
      </c>
      <c r="K1473" s="7">
        <v>15.79</v>
      </c>
      <c r="L1473" s="7">
        <v>14.85</v>
      </c>
      <c r="M1473" s="7">
        <v>13.89</v>
      </c>
      <c r="N1473" s="7">
        <v>13.91</v>
      </c>
      <c r="O1473" s="7">
        <v>13.35</v>
      </c>
      <c r="P1473" s="7">
        <v>13.75</v>
      </c>
      <c r="Q1473" s="7">
        <v>13.07</v>
      </c>
      <c r="R1473" s="7">
        <v>13.18</v>
      </c>
      <c r="S1473">
        <f>Tableau1[[#This Row],[Final_time]]-SUM(Tableau1[[#This Row],[0_100m]:[1300_1400m]])</f>
        <v>12.55000000000004</v>
      </c>
      <c r="T1473" s="7">
        <v>222.4</v>
      </c>
      <c r="U1473">
        <f t="shared" si="44"/>
        <v>222.4</v>
      </c>
      <c r="V1473">
        <f t="shared" si="45"/>
        <v>0</v>
      </c>
      <c r="W1473" s="12" t="s">
        <v>109</v>
      </c>
      <c r="X1473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3" t="s">
        <v>1378</v>
      </c>
      <c r="Z1473" s="2" t="s">
        <v>99</v>
      </c>
      <c r="AA1473" s="2" t="s">
        <v>133</v>
      </c>
      <c r="AB1473" s="2" t="s">
        <v>65</v>
      </c>
      <c r="AC1473" s="2">
        <v>45914</v>
      </c>
      <c r="AD1473" s="3">
        <v>2025</v>
      </c>
      <c r="AE1473" s="3">
        <v>28</v>
      </c>
      <c r="AF1473" s="5">
        <v>0.68</v>
      </c>
      <c r="AG1473" s="3"/>
    </row>
    <row r="1474" spans="1:33" hidden="1" x14ac:dyDescent="0.35">
      <c r="A1474" t="str">
        <f>_xlfn.CONCAT(Tableau1[[#This Row],[Athletes]],"_",Tableau1[[#This Row],[Nationality]],"_",Tableau1[[#This Row],[Competition_year]])</f>
        <v>Adrián BEN_ESP_2025</v>
      </c>
      <c r="B1474" s="7" t="s">
        <v>433</v>
      </c>
      <c r="C1474" s="7" t="s">
        <v>16</v>
      </c>
      <c r="D1474" s="7" t="s">
        <v>22</v>
      </c>
      <c r="E1474" s="7">
        <v>13.89</v>
      </c>
      <c r="F1474" s="7">
        <v>16.170000000000002</v>
      </c>
      <c r="G1474" s="7">
        <v>16.93</v>
      </c>
      <c r="H1474" s="7">
        <v>17.13</v>
      </c>
      <c r="I1474" s="7">
        <v>16.46</v>
      </c>
      <c r="J1474" s="7">
        <v>16.600000000000001</v>
      </c>
      <c r="K1474" s="7">
        <v>15.99</v>
      </c>
      <c r="L1474" s="7">
        <v>15.52</v>
      </c>
      <c r="M1474" s="7">
        <v>13.76</v>
      </c>
      <c r="N1474" s="7">
        <v>13.84</v>
      </c>
      <c r="O1474" s="7">
        <v>13.37</v>
      </c>
      <c r="P1474" s="7">
        <v>13.72</v>
      </c>
      <c r="Q1474" s="7">
        <v>13.05</v>
      </c>
      <c r="R1474" s="7">
        <v>13.13</v>
      </c>
      <c r="S1474">
        <f>Tableau1[[#This Row],[Final_time]]-SUM(Tableau1[[#This Row],[0_100m]:[1300_1400m]])</f>
        <v>12.710000000000008</v>
      </c>
      <c r="T1474" s="7">
        <v>222.27</v>
      </c>
      <c r="U1474">
        <f t="shared" ref="U1474:U1537" si="46">SUM(E1474:S1474)</f>
        <v>222.27</v>
      </c>
      <c r="V1474">
        <f t="shared" ref="V1474:V1537" si="47">ABS(U1474-T1474)</f>
        <v>0</v>
      </c>
      <c r="W1474" s="12" t="s">
        <v>109</v>
      </c>
      <c r="X1474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4" t="s">
        <v>1378</v>
      </c>
      <c r="Z1474" s="2" t="s">
        <v>99</v>
      </c>
      <c r="AA1474" s="2" t="s">
        <v>133</v>
      </c>
      <c r="AB1474" s="2" t="s">
        <v>65</v>
      </c>
      <c r="AC1474" s="2">
        <v>45914</v>
      </c>
      <c r="AD1474" s="3">
        <v>2025</v>
      </c>
      <c r="AE1474" s="3">
        <v>28</v>
      </c>
      <c r="AF1474" s="5">
        <v>0.68</v>
      </c>
      <c r="AG1474" s="3"/>
    </row>
    <row r="1475" spans="1:33" hidden="1" x14ac:dyDescent="0.35">
      <c r="A1475" t="str">
        <f>_xlfn.CONCAT(Tableau1[[#This Row],[Athletes]],"_",Tableau1[[#This Row],[Nationality]],"_",Tableau1[[#This Row],[Competition_year]])</f>
        <v>Filip SASÍNEK_CZE_2025</v>
      </c>
      <c r="B1475" s="7" t="s">
        <v>262</v>
      </c>
      <c r="C1475" s="7" t="s">
        <v>16</v>
      </c>
      <c r="D1475" s="7" t="s">
        <v>140</v>
      </c>
      <c r="E1475" s="7">
        <v>14.1</v>
      </c>
      <c r="F1475" s="7">
        <v>16.23</v>
      </c>
      <c r="G1475" s="7">
        <v>17.05</v>
      </c>
      <c r="H1475" s="7">
        <v>17</v>
      </c>
      <c r="I1475" s="7">
        <v>16.420000000000002</v>
      </c>
      <c r="J1475" s="7">
        <v>16.73</v>
      </c>
      <c r="K1475" s="7">
        <v>15.87</v>
      </c>
      <c r="L1475" s="7">
        <v>15.54</v>
      </c>
      <c r="M1475" s="7">
        <v>14.1</v>
      </c>
      <c r="N1475" s="7">
        <v>14.06</v>
      </c>
      <c r="O1475" s="7">
        <v>13.31</v>
      </c>
      <c r="P1475" s="7">
        <v>13.56</v>
      </c>
      <c r="Q1475" s="7">
        <v>13.04</v>
      </c>
      <c r="R1475" s="7">
        <v>13.4</v>
      </c>
      <c r="S1475">
        <f>Tableau1[[#This Row],[Final_time]]-SUM(Tableau1[[#This Row],[0_100m]:[1300_1400m]])</f>
        <v>12.759999999999991</v>
      </c>
      <c r="T1475" s="7">
        <v>223.17</v>
      </c>
      <c r="U1475">
        <f t="shared" si="46"/>
        <v>223.17</v>
      </c>
      <c r="V1475">
        <f t="shared" si="47"/>
        <v>0</v>
      </c>
      <c r="W1475" s="12"/>
      <c r="X1475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5" t="s">
        <v>1378</v>
      </c>
      <c r="Z1475" s="2" t="s">
        <v>99</v>
      </c>
      <c r="AA1475" s="2" t="s">
        <v>133</v>
      </c>
      <c r="AB1475" s="2" t="s">
        <v>65</v>
      </c>
      <c r="AC1475" s="2">
        <v>45914</v>
      </c>
      <c r="AD1475" s="3">
        <v>2025</v>
      </c>
      <c r="AE1475" s="3">
        <v>28</v>
      </c>
      <c r="AF1475" s="5">
        <v>0.68</v>
      </c>
      <c r="AG1475" s="3"/>
    </row>
    <row r="1476" spans="1:33" hidden="1" x14ac:dyDescent="0.35">
      <c r="A1476" t="str">
        <f>_xlfn.CONCAT(Tableau1[[#This Row],[Athletes]],"_",Tableau1[[#This Row],[Nationality]],"_",Tableau1[[#This Row],[Competition_year]])</f>
        <v>Nuno PEREIRA_POR_2025</v>
      </c>
      <c r="B1476" s="7" t="s">
        <v>1383</v>
      </c>
      <c r="C1476" s="7" t="s">
        <v>16</v>
      </c>
      <c r="D1476" s="7" t="s">
        <v>33</v>
      </c>
      <c r="E1476" s="7">
        <v>14.41</v>
      </c>
      <c r="F1476" s="7">
        <v>16.16</v>
      </c>
      <c r="G1476" s="7">
        <v>17.12</v>
      </c>
      <c r="H1476" s="7">
        <v>17.04</v>
      </c>
      <c r="I1476" s="7">
        <v>16.309999999999999</v>
      </c>
      <c r="J1476" s="7">
        <v>16.79</v>
      </c>
      <c r="K1476" s="7">
        <v>15.77</v>
      </c>
      <c r="L1476" s="7">
        <v>15.4</v>
      </c>
      <c r="M1476" s="7">
        <v>13.79</v>
      </c>
      <c r="N1476" s="7">
        <v>13.98</v>
      </c>
      <c r="O1476" s="7">
        <v>13.28</v>
      </c>
      <c r="P1476" s="7">
        <v>13.52</v>
      </c>
      <c r="Q1476" s="7">
        <v>13.18</v>
      </c>
      <c r="R1476" s="7">
        <v>13.12</v>
      </c>
      <c r="S1476">
        <f>Tableau1[[#This Row],[Final_time]]-SUM(Tableau1[[#This Row],[0_100m]:[1300_1400m]])</f>
        <v>12.760000000000019</v>
      </c>
      <c r="T1476" s="7">
        <v>222.63</v>
      </c>
      <c r="U1476">
        <f t="shared" si="46"/>
        <v>222.63</v>
      </c>
      <c r="V1476">
        <f t="shared" si="47"/>
        <v>0</v>
      </c>
      <c r="W1476" s="12"/>
      <c r="X1476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6" t="s">
        <v>1378</v>
      </c>
      <c r="Z1476" s="2" t="s">
        <v>99</v>
      </c>
      <c r="AA1476" s="2" t="s">
        <v>133</v>
      </c>
      <c r="AB1476" s="2" t="s">
        <v>65</v>
      </c>
      <c r="AC1476" s="2">
        <v>45914</v>
      </c>
      <c r="AD1476" s="3">
        <v>2025</v>
      </c>
      <c r="AE1476" s="3">
        <v>28</v>
      </c>
      <c r="AF1476" s="5">
        <v>0.68</v>
      </c>
      <c r="AG1476" s="3"/>
    </row>
    <row r="1477" spans="1:33" hidden="1" x14ac:dyDescent="0.35">
      <c r="A1477" t="str">
        <f>_xlfn.CONCAT(Tableau1[[#This Row],[Athletes]],"_",Tableau1[[#This Row],[Nationality]],"_",Tableau1[[#This Row],[Competition_year]])</f>
        <v>Timothy CHERUIYOT_KEN_2025</v>
      </c>
      <c r="B1477" s="7" t="s">
        <v>205</v>
      </c>
      <c r="C1477" s="7" t="s">
        <v>16</v>
      </c>
      <c r="D1477" s="7" t="s">
        <v>17</v>
      </c>
      <c r="E1477" s="7">
        <v>14.6</v>
      </c>
      <c r="F1477" s="7">
        <v>16.25</v>
      </c>
      <c r="G1477" s="7">
        <v>16.88</v>
      </c>
      <c r="H1477" s="7">
        <v>17.3</v>
      </c>
      <c r="I1477" s="7">
        <v>16.350000000000001</v>
      </c>
      <c r="J1477" s="7">
        <v>16.59</v>
      </c>
      <c r="K1477" s="7">
        <v>15.79</v>
      </c>
      <c r="L1477" s="7">
        <v>15.25</v>
      </c>
      <c r="M1477" s="7">
        <v>13.4</v>
      </c>
      <c r="N1477" s="7">
        <v>13.81</v>
      </c>
      <c r="O1477" s="7">
        <v>13.34</v>
      </c>
      <c r="P1477" s="7">
        <v>13.64</v>
      </c>
      <c r="Q1477" s="7">
        <v>13.14</v>
      </c>
      <c r="R1477" s="7">
        <v>13.07</v>
      </c>
      <c r="S1477">
        <f>Tableau1[[#This Row],[Final_time]]-SUM(Tableau1[[#This Row],[0_100m]:[1300_1400m]])</f>
        <v>12.79000000000002</v>
      </c>
      <c r="T1477" s="7">
        <v>222.2</v>
      </c>
      <c r="U1477">
        <f t="shared" si="46"/>
        <v>222.2</v>
      </c>
      <c r="V1477">
        <f t="shared" si="47"/>
        <v>0</v>
      </c>
      <c r="W1477" s="12" t="s">
        <v>109</v>
      </c>
      <c r="X1477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7" t="s">
        <v>1378</v>
      </c>
      <c r="Z1477" s="2" t="s">
        <v>99</v>
      </c>
      <c r="AA1477" s="2" t="s">
        <v>133</v>
      </c>
      <c r="AB1477" s="2" t="s">
        <v>65</v>
      </c>
      <c r="AC1477" s="2">
        <v>45914</v>
      </c>
      <c r="AD1477" s="3">
        <v>2025</v>
      </c>
      <c r="AE1477" s="3">
        <v>28</v>
      </c>
      <c r="AF1477" s="5">
        <v>0.68</v>
      </c>
      <c r="AG1477" s="3"/>
    </row>
    <row r="1478" spans="1:33" hidden="1" x14ac:dyDescent="0.35">
      <c r="A1478" t="str">
        <f>_xlfn.CONCAT(Tableau1[[#This Row],[Athletes]],"_",Tableau1[[#This Row],[Nationality]],"_",Tableau1[[#This Row],[Competition_year]])</f>
        <v>Cole HOCKER_USA_2025</v>
      </c>
      <c r="B1478" s="7" t="s">
        <v>215</v>
      </c>
      <c r="C1478" s="7" t="s">
        <v>16</v>
      </c>
      <c r="D1478" s="7" t="s">
        <v>51</v>
      </c>
      <c r="E1478" s="7">
        <v>14.49</v>
      </c>
      <c r="F1478" s="7">
        <v>16.14</v>
      </c>
      <c r="G1478" s="7">
        <v>17.11</v>
      </c>
      <c r="H1478" s="7">
        <v>17.170000000000002</v>
      </c>
      <c r="I1478" s="7">
        <v>16.3</v>
      </c>
      <c r="J1478" s="7">
        <v>16.68</v>
      </c>
      <c r="K1478" s="7">
        <v>15.75</v>
      </c>
      <c r="L1478" s="7">
        <v>15.6</v>
      </c>
      <c r="M1478" s="7">
        <v>13.03</v>
      </c>
      <c r="N1478" s="7">
        <v>13.78</v>
      </c>
      <c r="O1478" s="7">
        <v>13.13</v>
      </c>
      <c r="P1478" s="7">
        <v>13.71</v>
      </c>
      <c r="Q1478" s="7">
        <v>13.12</v>
      </c>
      <c r="R1478" s="7">
        <v>13.07</v>
      </c>
      <c r="S1478">
        <f>Tableau1[[#This Row],[Final_time]]-SUM(Tableau1[[#This Row],[0_100m]:[1300_1400m]])</f>
        <v>12.800000000000011</v>
      </c>
      <c r="T1478" s="7">
        <v>221.88</v>
      </c>
      <c r="U1478">
        <f t="shared" si="46"/>
        <v>221.88</v>
      </c>
      <c r="V1478">
        <f t="shared" si="47"/>
        <v>0</v>
      </c>
      <c r="W1478" s="12" t="s">
        <v>109</v>
      </c>
      <c r="X1478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8" t="s">
        <v>1378</v>
      </c>
      <c r="Z1478" s="2" t="s">
        <v>99</v>
      </c>
      <c r="AA1478" s="2" t="s">
        <v>133</v>
      </c>
      <c r="AB1478" s="2" t="s">
        <v>65</v>
      </c>
      <c r="AC1478" s="2">
        <v>45914</v>
      </c>
      <c r="AD1478" s="3">
        <v>2025</v>
      </c>
      <c r="AE1478" s="3">
        <v>28</v>
      </c>
      <c r="AF1478" s="5">
        <v>0.68</v>
      </c>
      <c r="AG1478" s="3"/>
    </row>
    <row r="1479" spans="1:33" hidden="1" x14ac:dyDescent="0.35">
      <c r="A1479" t="str">
        <f>_xlfn.CONCAT(Tableau1[[#This Row],[Athletes]],"_",Tableau1[[#This Row],[Nationality]],"_",Tableau1[[#This Row],[Competition_year]])</f>
        <v>Neil GOURLEY_GBR_2025</v>
      </c>
      <c r="B1479" s="7" t="s">
        <v>202</v>
      </c>
      <c r="C1479" s="7" t="s">
        <v>16</v>
      </c>
      <c r="D1479" s="7" t="s">
        <v>20</v>
      </c>
      <c r="E1479" s="7">
        <v>13.89</v>
      </c>
      <c r="F1479" s="7">
        <v>16.059999999999999</v>
      </c>
      <c r="G1479" s="7">
        <v>17.02</v>
      </c>
      <c r="H1479" s="7">
        <v>16.940000000000001</v>
      </c>
      <c r="I1479" s="7">
        <v>16.440000000000001</v>
      </c>
      <c r="J1479" s="7">
        <v>16.77</v>
      </c>
      <c r="K1479" s="7">
        <v>15.87</v>
      </c>
      <c r="L1479" s="7">
        <v>15.5</v>
      </c>
      <c r="M1479" s="7">
        <v>13.81</v>
      </c>
      <c r="N1479" s="7">
        <v>13.77</v>
      </c>
      <c r="O1479" s="7">
        <v>13.43</v>
      </c>
      <c r="P1479" s="7">
        <v>13.72</v>
      </c>
      <c r="Q1479" s="7">
        <v>13.07</v>
      </c>
      <c r="R1479" s="7">
        <v>13.03</v>
      </c>
      <c r="S1479">
        <f>Tableau1[[#This Row],[Final_time]]-SUM(Tableau1[[#This Row],[0_100m]:[1300_1400m]])</f>
        <v>12.809999999999974</v>
      </c>
      <c r="T1479" s="7">
        <v>222.13</v>
      </c>
      <c r="U1479">
        <f t="shared" si="46"/>
        <v>222.13</v>
      </c>
      <c r="V1479">
        <f t="shared" si="47"/>
        <v>0</v>
      </c>
      <c r="W1479" s="12" t="s">
        <v>109</v>
      </c>
      <c r="X1479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79" t="s">
        <v>1378</v>
      </c>
      <c r="Z1479" s="2" t="s">
        <v>99</v>
      </c>
      <c r="AA1479" s="2" t="s">
        <v>133</v>
      </c>
      <c r="AB1479" s="2" t="s">
        <v>65</v>
      </c>
      <c r="AC1479" s="2">
        <v>45914</v>
      </c>
      <c r="AD1479" s="3">
        <v>2025</v>
      </c>
      <c r="AE1479" s="3">
        <v>28</v>
      </c>
      <c r="AF1479" s="5">
        <v>0.68</v>
      </c>
      <c r="AG1479" s="3"/>
    </row>
    <row r="1480" spans="1:33" hidden="1" x14ac:dyDescent="0.35">
      <c r="A1480" t="str">
        <f>_xlfn.CONCAT(Tableau1[[#This Row],[Athletes]],"_",Tableau1[[#This Row],[Nationality]],"_",Tableau1[[#This Row],[Competition_year]])</f>
        <v>Robert FARKEN_GER_2025</v>
      </c>
      <c r="B1480" s="7" t="s">
        <v>342</v>
      </c>
      <c r="C1480" s="7" t="s">
        <v>16</v>
      </c>
      <c r="D1480" s="7" t="s">
        <v>34</v>
      </c>
      <c r="E1480" s="7">
        <v>13.98</v>
      </c>
      <c r="F1480" s="7">
        <v>16.22</v>
      </c>
      <c r="G1480" s="7">
        <v>16.829999999999998</v>
      </c>
      <c r="H1480" s="7">
        <v>16.940000000000001</v>
      </c>
      <c r="I1480" s="7">
        <v>16.41</v>
      </c>
      <c r="J1480" s="7">
        <v>16.809999999999999</v>
      </c>
      <c r="K1480" s="7">
        <v>15.84</v>
      </c>
      <c r="L1480" s="7">
        <v>15.58</v>
      </c>
      <c r="M1480" s="7">
        <v>13.8</v>
      </c>
      <c r="N1480" s="7">
        <v>13.75</v>
      </c>
      <c r="O1480" s="7">
        <v>13.12</v>
      </c>
      <c r="P1480" s="7">
        <v>13.66</v>
      </c>
      <c r="Q1480" s="7">
        <v>13.12</v>
      </c>
      <c r="R1480" s="7">
        <v>13.12</v>
      </c>
      <c r="S1480">
        <f>Tableau1[[#This Row],[Final_time]]-SUM(Tableau1[[#This Row],[0_100m]:[1300_1400m]])</f>
        <v>12.879999999999967</v>
      </c>
      <c r="T1480" s="7">
        <v>222.06</v>
      </c>
      <c r="U1480">
        <f t="shared" si="46"/>
        <v>222.06</v>
      </c>
      <c r="V1480">
        <f t="shared" si="47"/>
        <v>0</v>
      </c>
      <c r="W1480" s="12" t="s">
        <v>109</v>
      </c>
      <c r="X1480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0" t="s">
        <v>1378</v>
      </c>
      <c r="Z1480" s="2" t="s">
        <v>99</v>
      </c>
      <c r="AA1480" s="2" t="s">
        <v>133</v>
      </c>
      <c r="AB1480" s="2" t="s">
        <v>65</v>
      </c>
      <c r="AC1480" s="2">
        <v>45914</v>
      </c>
      <c r="AD1480" s="3">
        <v>2025</v>
      </c>
      <c r="AE1480" s="3">
        <v>28</v>
      </c>
      <c r="AF1480" s="5">
        <v>0.68</v>
      </c>
      <c r="AG1480" s="3"/>
    </row>
    <row r="1481" spans="1:33" hidden="1" x14ac:dyDescent="0.35">
      <c r="A1481" t="str">
        <f>_xlfn.CONCAT(Tableau1[[#This Row],[Athletes]],"_",Tableau1[[#This Row],[Nationality]],"_",Tableau1[[#This Row],[Competition_year]])</f>
        <v>Samuel TANNER_NZL_2025</v>
      </c>
      <c r="B1481" s="7" t="s">
        <v>203</v>
      </c>
      <c r="C1481" s="7" t="s">
        <v>16</v>
      </c>
      <c r="D1481" s="7" t="s">
        <v>118</v>
      </c>
      <c r="E1481" s="7">
        <v>14.06</v>
      </c>
      <c r="F1481" s="7">
        <v>16.23</v>
      </c>
      <c r="G1481" s="7">
        <v>17.18</v>
      </c>
      <c r="H1481" s="7">
        <v>17.03</v>
      </c>
      <c r="I1481" s="7">
        <v>16.48</v>
      </c>
      <c r="J1481" s="7">
        <v>16.73</v>
      </c>
      <c r="K1481" s="7">
        <v>15.7</v>
      </c>
      <c r="L1481" s="7">
        <v>15.6</v>
      </c>
      <c r="M1481" s="7">
        <v>13.91</v>
      </c>
      <c r="N1481" s="7">
        <v>13.88</v>
      </c>
      <c r="O1481" s="7">
        <v>13.25</v>
      </c>
      <c r="P1481" s="7">
        <v>13.68</v>
      </c>
      <c r="Q1481" s="7">
        <v>13.22</v>
      </c>
      <c r="R1481" s="7">
        <v>13.4</v>
      </c>
      <c r="S1481">
        <f>Tableau1[[#This Row],[Final_time]]-SUM(Tableau1[[#This Row],[0_100m]:[1300_1400m]])</f>
        <v>13.019999999999982</v>
      </c>
      <c r="T1481" s="7">
        <v>223.37</v>
      </c>
      <c r="U1481">
        <f t="shared" si="46"/>
        <v>223.37</v>
      </c>
      <c r="V1481">
        <f t="shared" si="47"/>
        <v>0</v>
      </c>
      <c r="W1481" s="12"/>
      <c r="X1481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1" t="s">
        <v>1378</v>
      </c>
      <c r="Z1481" s="2" t="s">
        <v>99</v>
      </c>
      <c r="AA1481" s="2" t="s">
        <v>133</v>
      </c>
      <c r="AB1481" s="2" t="s">
        <v>65</v>
      </c>
      <c r="AC1481" s="2">
        <v>45914</v>
      </c>
      <c r="AD1481" s="3">
        <v>2025</v>
      </c>
      <c r="AE1481" s="3">
        <v>28</v>
      </c>
      <c r="AF1481" s="5">
        <v>0.68</v>
      </c>
      <c r="AG1481" s="3"/>
    </row>
    <row r="1482" spans="1:33" hidden="1" x14ac:dyDescent="0.35">
      <c r="A1482" t="str">
        <f>_xlfn.CONCAT(Tableau1[[#This Row],[Athletes]],"_",Tableau1[[#This Row],[Nationality]],"_",Tableau1[[#This Row],[Competition_year]])</f>
        <v>Cameron MYERS_AUS_2025</v>
      </c>
      <c r="B1482" s="7" t="s">
        <v>808</v>
      </c>
      <c r="C1482" s="7" t="s">
        <v>16</v>
      </c>
      <c r="D1482" s="7" t="s">
        <v>21</v>
      </c>
      <c r="E1482" s="7">
        <v>14.14</v>
      </c>
      <c r="F1482" s="7">
        <v>16.309999999999999</v>
      </c>
      <c r="G1482" s="7">
        <v>16.84</v>
      </c>
      <c r="H1482" s="7">
        <v>17.07</v>
      </c>
      <c r="I1482" s="7">
        <v>16.43</v>
      </c>
      <c r="J1482" s="7">
        <v>16.75</v>
      </c>
      <c r="K1482" s="7">
        <v>15.59</v>
      </c>
      <c r="L1482" s="7">
        <v>15.63</v>
      </c>
      <c r="M1482" s="7">
        <v>13.94</v>
      </c>
      <c r="N1482" s="7">
        <v>14.02</v>
      </c>
      <c r="O1482" s="7">
        <v>13.11</v>
      </c>
      <c r="P1482" s="7">
        <v>13.67</v>
      </c>
      <c r="Q1482" s="7">
        <v>13.09</v>
      </c>
      <c r="R1482" s="7">
        <v>13.01</v>
      </c>
      <c r="S1482">
        <f>Tableau1[[#This Row],[Final_time]]-SUM(Tableau1[[#This Row],[0_100m]:[1300_1400m]])</f>
        <v>13.150000000000034</v>
      </c>
      <c r="T1482" s="7">
        <v>222.75</v>
      </c>
      <c r="U1482">
        <f t="shared" si="46"/>
        <v>222.75</v>
      </c>
      <c r="V1482">
        <f t="shared" si="47"/>
        <v>0</v>
      </c>
      <c r="W1482" s="12"/>
      <c r="X1482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2" t="s">
        <v>1378</v>
      </c>
      <c r="Z1482" s="2" t="s">
        <v>99</v>
      </c>
      <c r="AA1482" s="2" t="s">
        <v>133</v>
      </c>
      <c r="AB1482" s="2" t="s">
        <v>65</v>
      </c>
      <c r="AC1482" s="2">
        <v>45914</v>
      </c>
      <c r="AD1482" s="3">
        <v>2025</v>
      </c>
      <c r="AE1482" s="3">
        <v>28</v>
      </c>
      <c r="AF1482" s="5">
        <v>0.68</v>
      </c>
      <c r="AG1482" s="3"/>
    </row>
    <row r="1483" spans="1:33" hidden="1" x14ac:dyDescent="0.35">
      <c r="A1483" t="str">
        <f>_xlfn.CONCAT(Tableau1[[#This Row],[Athletes]],"_",Tableau1[[#This Row],[Nationality]],"_",Tableau1[[#This Row],[Competition_year]])</f>
        <v>Charles PHILIBERT-THIBOUTOT_CAN_2025</v>
      </c>
      <c r="B1483" s="7" t="s">
        <v>113</v>
      </c>
      <c r="C1483" s="7" t="s">
        <v>16</v>
      </c>
      <c r="D1483" s="7" t="s">
        <v>55</v>
      </c>
      <c r="E1483" s="7">
        <v>14.3</v>
      </c>
      <c r="F1483" s="7">
        <v>15.9</v>
      </c>
      <c r="G1483" s="7">
        <v>17.09</v>
      </c>
      <c r="H1483" s="7">
        <v>16.91</v>
      </c>
      <c r="I1483" s="7">
        <v>16.43</v>
      </c>
      <c r="J1483" s="7">
        <v>16.73</v>
      </c>
      <c r="K1483" s="7">
        <v>15.84</v>
      </c>
      <c r="L1483" s="7">
        <v>15.54</v>
      </c>
      <c r="M1483" s="7">
        <v>14.1</v>
      </c>
      <c r="N1483" s="7">
        <v>14.04</v>
      </c>
      <c r="O1483" s="7">
        <v>13.23</v>
      </c>
      <c r="P1483" s="7">
        <v>13.84</v>
      </c>
      <c r="Q1483" s="7">
        <v>13.42</v>
      </c>
      <c r="R1483" s="7">
        <v>13.78</v>
      </c>
      <c r="S1483">
        <f>Tableau1[[#This Row],[Final_time]]-SUM(Tableau1[[#This Row],[0_100m]:[1300_1400m]])</f>
        <v>13.670000000000016</v>
      </c>
      <c r="T1483" s="7">
        <v>224.82</v>
      </c>
      <c r="U1483">
        <f t="shared" si="46"/>
        <v>224.82</v>
      </c>
      <c r="V1483">
        <f t="shared" si="47"/>
        <v>0</v>
      </c>
      <c r="W1483" s="12"/>
      <c r="X1483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3" t="s">
        <v>1378</v>
      </c>
      <c r="Z1483" s="2" t="s">
        <v>99</v>
      </c>
      <c r="AA1483" s="2" t="s">
        <v>133</v>
      </c>
      <c r="AB1483" s="2" t="s">
        <v>65</v>
      </c>
      <c r="AC1483" s="2">
        <v>45914</v>
      </c>
      <c r="AD1483" s="3">
        <v>2025</v>
      </c>
      <c r="AE1483" s="3">
        <v>28</v>
      </c>
      <c r="AF1483" s="5">
        <v>0.68</v>
      </c>
      <c r="AG1483" s="3"/>
    </row>
    <row r="1484" spans="1:33" hidden="1" x14ac:dyDescent="0.35">
      <c r="A1484" t="str">
        <f>_xlfn.CONCAT(Tableau1[[#This Row],[Athletes]],"_",Tableau1[[#This Row],[Nationality]],"_",Tableau1[[#This Row],[Competition_year]])</f>
        <v>Pieter SISK_BEL_2025</v>
      </c>
      <c r="B1484" s="7" t="s">
        <v>535</v>
      </c>
      <c r="C1484" s="7" t="s">
        <v>16</v>
      </c>
      <c r="D1484" s="7" t="s">
        <v>86</v>
      </c>
      <c r="E1484" s="7">
        <v>13.81</v>
      </c>
      <c r="F1484" s="7">
        <v>16.2</v>
      </c>
      <c r="G1484" s="7">
        <v>17.12</v>
      </c>
      <c r="H1484" s="7">
        <v>16.96</v>
      </c>
      <c r="I1484" s="7">
        <v>16.36</v>
      </c>
      <c r="J1484" s="7">
        <v>16.79</v>
      </c>
      <c r="K1484" s="7">
        <v>15.86</v>
      </c>
      <c r="L1484" s="7">
        <v>15.26</v>
      </c>
      <c r="M1484" s="7">
        <v>13.86</v>
      </c>
      <c r="N1484" s="7">
        <v>13.69</v>
      </c>
      <c r="O1484" s="7">
        <v>13.48</v>
      </c>
      <c r="P1484" s="7">
        <v>13.65</v>
      </c>
      <c r="Q1484" s="7">
        <v>13.08</v>
      </c>
      <c r="R1484" s="7">
        <v>13.25</v>
      </c>
      <c r="S1484">
        <f>Tableau1[[#This Row],[Final_time]]-SUM(Tableau1[[#This Row],[0_100m]:[1300_1400m]])</f>
        <v>14.129999999999967</v>
      </c>
      <c r="T1484" s="7">
        <v>223.5</v>
      </c>
      <c r="U1484">
        <f t="shared" si="46"/>
        <v>223.5</v>
      </c>
      <c r="V1484">
        <f t="shared" si="47"/>
        <v>0</v>
      </c>
      <c r="W1484" s="12"/>
      <c r="X1484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4" t="s">
        <v>1378</v>
      </c>
      <c r="Z1484" s="2" t="s">
        <v>99</v>
      </c>
      <c r="AA1484" s="2" t="s">
        <v>133</v>
      </c>
      <c r="AB1484" s="2" t="s">
        <v>65</v>
      </c>
      <c r="AC1484" s="2">
        <v>45914</v>
      </c>
      <c r="AD1484" s="3">
        <v>2025</v>
      </c>
      <c r="AE1484" s="3">
        <v>28</v>
      </c>
      <c r="AF1484" s="5">
        <v>0.68</v>
      </c>
      <c r="AG1484" s="3"/>
    </row>
    <row r="1485" spans="1:33" hidden="1" x14ac:dyDescent="0.35">
      <c r="A1485" t="str">
        <f>_xlfn.CONCAT(Tableau1[[#This Row],[Athletes]],"_",Tableau1[[#This Row],[Nationality]],"_",Tableau1[[#This Row],[Competition_year]])</f>
        <v>Ryan MPHAHLELE_RSA_2025</v>
      </c>
      <c r="B1485" s="7" t="s">
        <v>195</v>
      </c>
      <c r="C1485" s="7" t="s">
        <v>16</v>
      </c>
      <c r="D1485" s="7" t="s">
        <v>36</v>
      </c>
      <c r="E1485" s="7">
        <v>14.81</v>
      </c>
      <c r="F1485" s="7">
        <v>16.21</v>
      </c>
      <c r="G1485" s="7">
        <v>17.010000000000002</v>
      </c>
      <c r="H1485" s="7">
        <v>17.22</v>
      </c>
      <c r="I1485" s="7">
        <v>16.36</v>
      </c>
      <c r="J1485" s="7">
        <v>16.61</v>
      </c>
      <c r="K1485" s="7">
        <v>15.79</v>
      </c>
      <c r="L1485" s="7">
        <v>14.72</v>
      </c>
      <c r="M1485" s="7">
        <v>13.42</v>
      </c>
      <c r="N1485" s="7">
        <v>13.69</v>
      </c>
      <c r="O1485" s="7">
        <v>13.5</v>
      </c>
      <c r="P1485" s="7">
        <v>13.74</v>
      </c>
      <c r="Q1485" s="7">
        <v>13.64</v>
      </c>
      <c r="R1485" s="7">
        <v>13.93</v>
      </c>
      <c r="S1485">
        <f>Tableau1[[#This Row],[Final_time]]-SUM(Tableau1[[#This Row],[0_100m]:[1300_1400m]])</f>
        <v>14.570000000000022</v>
      </c>
      <c r="T1485" s="7">
        <v>225.22</v>
      </c>
      <c r="U1485">
        <f t="shared" si="46"/>
        <v>225.22</v>
      </c>
      <c r="V1485">
        <f t="shared" si="47"/>
        <v>0</v>
      </c>
      <c r="W1485" s="12"/>
      <c r="X1485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5" t="s">
        <v>1378</v>
      </c>
      <c r="Z1485" s="2" t="s">
        <v>99</v>
      </c>
      <c r="AA1485" s="2" t="s">
        <v>133</v>
      </c>
      <c r="AB1485" s="2" t="s">
        <v>65</v>
      </c>
      <c r="AC1485" s="2">
        <v>45914</v>
      </c>
      <c r="AD1485" s="3">
        <v>2025</v>
      </c>
      <c r="AE1485" s="3">
        <v>28</v>
      </c>
      <c r="AF1485" s="5">
        <v>0.68</v>
      </c>
      <c r="AG1485" s="3"/>
    </row>
    <row r="1486" spans="1:33" hidden="1" x14ac:dyDescent="0.35">
      <c r="A1486" t="str">
        <f>_xlfn.CONCAT(Tableau1[[#This Row],[Athletes]],"_",Tableau1[[#This Row],[Nationality]],"_",Tableau1[[#This Row],[Competition_year]])</f>
        <v>Diego Javier LACAMOIRE_ARG_2025</v>
      </c>
      <c r="B1486" s="7" t="s">
        <v>225</v>
      </c>
      <c r="C1486" s="7" t="s">
        <v>16</v>
      </c>
      <c r="D1486" s="7" t="s">
        <v>123</v>
      </c>
      <c r="E1486" s="7">
        <v>14.27</v>
      </c>
      <c r="F1486" s="7">
        <v>16.190000000000001</v>
      </c>
      <c r="G1486" s="7">
        <v>17.05</v>
      </c>
      <c r="H1486" s="7">
        <v>17.07</v>
      </c>
      <c r="I1486" s="7">
        <v>16.47</v>
      </c>
      <c r="J1486" s="7">
        <v>16.53</v>
      </c>
      <c r="K1486" s="7">
        <v>15.84</v>
      </c>
      <c r="L1486" s="7">
        <v>15.66</v>
      </c>
      <c r="M1486" s="7">
        <v>14.07</v>
      </c>
      <c r="N1486" s="7">
        <v>14.07</v>
      </c>
      <c r="O1486" s="7">
        <v>13.7</v>
      </c>
      <c r="P1486" s="7">
        <v>13.83</v>
      </c>
      <c r="Q1486" s="7">
        <v>14.22</v>
      </c>
      <c r="R1486" s="7">
        <v>14.28</v>
      </c>
      <c r="S1486">
        <f>Tableau1[[#This Row],[Final_time]]-SUM(Tableau1[[#This Row],[0_100m]:[1300_1400m]])</f>
        <v>24.169999999999987</v>
      </c>
      <c r="T1486" s="7">
        <v>237.42</v>
      </c>
      <c r="U1486">
        <f t="shared" si="46"/>
        <v>237.42</v>
      </c>
      <c r="V1486">
        <f t="shared" si="47"/>
        <v>0</v>
      </c>
      <c r="W1486" s="12"/>
      <c r="X1486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6" t="s">
        <v>1378</v>
      </c>
      <c r="Z1486" s="2" t="s">
        <v>99</v>
      </c>
      <c r="AA1486" s="2" t="s">
        <v>133</v>
      </c>
      <c r="AB1486" s="2" t="s">
        <v>65</v>
      </c>
      <c r="AC1486" s="2">
        <v>45914</v>
      </c>
      <c r="AD1486" s="3">
        <v>2025</v>
      </c>
      <c r="AE1486" s="3">
        <v>28</v>
      </c>
      <c r="AF1486" s="5">
        <v>0.68</v>
      </c>
      <c r="AG1486" s="3"/>
    </row>
    <row r="1487" spans="1:33" hidden="1" x14ac:dyDescent="0.35">
      <c r="A1487" t="str">
        <f>_xlfn.CONCAT(Tableau1[[#This Row],[Athletes]],"_",Tableau1[[#This Row],[Nationality]],"_",Tableau1[[#This Row],[Competition_year]])</f>
        <v>Filip RAK_POL_2025</v>
      </c>
      <c r="B1487" s="7" t="s">
        <v>1337</v>
      </c>
      <c r="C1487" s="7" t="s">
        <v>16</v>
      </c>
      <c r="D1487" s="7" t="s">
        <v>83</v>
      </c>
      <c r="E1487" s="7">
        <v>14.84</v>
      </c>
      <c r="F1487" s="7">
        <v>16.09</v>
      </c>
      <c r="G1487" s="7">
        <v>16.79</v>
      </c>
      <c r="H1487" s="7">
        <v>17.36</v>
      </c>
      <c r="I1487" s="7">
        <v>16.09</v>
      </c>
      <c r="J1487" s="7">
        <v>16.55</v>
      </c>
      <c r="K1487" s="7">
        <v>15.94</v>
      </c>
      <c r="L1487" s="7">
        <v>15.66</v>
      </c>
      <c r="M1487" s="7">
        <v>13.22</v>
      </c>
      <c r="N1487" s="7">
        <v>13.94</v>
      </c>
      <c r="O1487" s="7">
        <v>13.21</v>
      </c>
      <c r="P1487" s="7">
        <v>13.67</v>
      </c>
      <c r="Q1487" s="7">
        <v>13.07</v>
      </c>
      <c r="R1487" s="7">
        <v>13.96</v>
      </c>
      <c r="S1487">
        <f>Tableau1[[#This Row],[Final_time]]-SUM(Tableau1[[#This Row],[0_100m]:[1300_1400m]])</f>
        <v>44.54000000000002</v>
      </c>
      <c r="T1487" s="7">
        <v>254.93</v>
      </c>
      <c r="U1487">
        <f t="shared" si="46"/>
        <v>254.93</v>
      </c>
      <c r="V1487">
        <f t="shared" si="47"/>
        <v>0</v>
      </c>
      <c r="W1487" s="12"/>
      <c r="X1487" t="str">
        <f>_xlfn.CONCAT(Tableau1[[#This Row],[Competition]],"_",Tableau1[[#This Row],[Championship_step]],"_",Tableau1[[#This Row],[Competition_date]],"_",Tableau1[[#This Row],[Gender]])</f>
        <v>World Championships Tokyo 2025_Heat 3_45914_Male</v>
      </c>
      <c r="Y1487" t="s">
        <v>1378</v>
      </c>
      <c r="Z1487" s="2" t="s">
        <v>99</v>
      </c>
      <c r="AA1487" s="2" t="s">
        <v>133</v>
      </c>
      <c r="AB1487" s="2" t="s">
        <v>65</v>
      </c>
      <c r="AC1487" s="2">
        <v>45914</v>
      </c>
      <c r="AD1487" s="3">
        <v>2025</v>
      </c>
      <c r="AE1487" s="3">
        <v>28</v>
      </c>
      <c r="AF1487" s="5">
        <v>0.68</v>
      </c>
      <c r="AG1487" s="3"/>
    </row>
    <row r="1488" spans="1:33" hidden="1" x14ac:dyDescent="0.35">
      <c r="A1488" t="str">
        <f>_xlfn.CONCAT(Tableau1[[#This Row],[Athletes]],"_",Tableau1[[#This Row],[Nationality]],"_",Tableau1[[#This Row],[Competition_year]])</f>
        <v>Gabija GALVYDYTĖ_LTU_2025</v>
      </c>
      <c r="B1488" s="7" t="s">
        <v>1404</v>
      </c>
      <c r="C1488" s="7" t="s">
        <v>47</v>
      </c>
      <c r="D1488" s="7" t="s">
        <v>1405</v>
      </c>
      <c r="E1488" s="7">
        <v>15.2</v>
      </c>
      <c r="F1488" s="7">
        <v>17.010000000000002</v>
      </c>
      <c r="G1488" s="7">
        <v>17.47</v>
      </c>
      <c r="H1488" s="7">
        <v>17.36</v>
      </c>
      <c r="I1488" s="7">
        <v>16.420000000000002</v>
      </c>
      <c r="J1488" s="7">
        <v>17.010000000000002</v>
      </c>
      <c r="K1488" s="7">
        <v>16.32</v>
      </c>
      <c r="L1488" s="7">
        <v>16.309999999999999</v>
      </c>
      <c r="M1488" s="7">
        <v>15.82</v>
      </c>
      <c r="N1488" s="7">
        <v>16.350000000000001</v>
      </c>
      <c r="O1488" s="7">
        <v>15.85</v>
      </c>
      <c r="P1488" s="7">
        <v>15.83</v>
      </c>
      <c r="Q1488" s="7">
        <v>15.29</v>
      </c>
      <c r="R1488" s="7">
        <v>15.67</v>
      </c>
      <c r="S1488">
        <f>Tableau1[[#This Row],[Final_time]]-SUM(Tableau1[[#This Row],[0_100m]:[1300_1400m]])</f>
        <v>14.900000000000034</v>
      </c>
      <c r="T1488" s="7">
        <v>242.81</v>
      </c>
      <c r="U1488">
        <f t="shared" si="46"/>
        <v>242.81</v>
      </c>
      <c r="V1488">
        <f t="shared" si="47"/>
        <v>0</v>
      </c>
      <c r="W1488" s="12" t="s">
        <v>109</v>
      </c>
      <c r="X1488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88" t="s">
        <v>1378</v>
      </c>
      <c r="Z1488" s="2" t="s">
        <v>99</v>
      </c>
      <c r="AA1488" s="2" t="s">
        <v>134</v>
      </c>
      <c r="AB1488" s="2" t="s">
        <v>65</v>
      </c>
      <c r="AC1488" s="2">
        <v>45913</v>
      </c>
      <c r="AD1488" s="3">
        <v>2025</v>
      </c>
      <c r="AE1488" s="3">
        <v>29</v>
      </c>
      <c r="AF1488" s="5">
        <v>0.67</v>
      </c>
      <c r="AG1488" s="3"/>
    </row>
    <row r="1489" spans="1:33" hidden="1" x14ac:dyDescent="0.35">
      <c r="A1489" t="str">
        <f>_xlfn.CONCAT(Tableau1[[#This Row],[Athletes]],"_",Tableau1[[#This Row],[Nationality]],"_",Tableau1[[#This Row],[Competition_year]])</f>
        <v>Sarah HEALY_IRL_2025</v>
      </c>
      <c r="B1489" s="7" t="s">
        <v>166</v>
      </c>
      <c r="C1489" s="7" t="s">
        <v>47</v>
      </c>
      <c r="D1489" s="7" t="s">
        <v>35</v>
      </c>
      <c r="E1489" s="7">
        <v>15.41</v>
      </c>
      <c r="F1489" s="7">
        <v>16.899999999999999</v>
      </c>
      <c r="G1489" s="7">
        <v>17.350000000000001</v>
      </c>
      <c r="H1489" s="7">
        <v>17.21</v>
      </c>
      <c r="I1489" s="7">
        <v>16.46</v>
      </c>
      <c r="J1489" s="7">
        <v>16.71</v>
      </c>
      <c r="K1489" s="7">
        <v>16.29</v>
      </c>
      <c r="L1489" s="7">
        <v>16.39</v>
      </c>
      <c r="M1489" s="7">
        <v>15.9</v>
      </c>
      <c r="N1489" s="7">
        <v>16.29</v>
      </c>
      <c r="O1489" s="7">
        <v>15.68</v>
      </c>
      <c r="P1489" s="7">
        <v>15.81</v>
      </c>
      <c r="Q1489" s="7">
        <v>15.34</v>
      </c>
      <c r="R1489" s="7">
        <v>15.87</v>
      </c>
      <c r="S1489">
        <f>Tableau1[[#This Row],[Final_time]]-SUM(Tableau1[[#This Row],[0_100m]:[1300_1400m]])</f>
        <v>15.059999999999945</v>
      </c>
      <c r="T1489" s="7">
        <v>242.67</v>
      </c>
      <c r="U1489">
        <f t="shared" si="46"/>
        <v>242.67</v>
      </c>
      <c r="V1489">
        <f t="shared" si="47"/>
        <v>0</v>
      </c>
      <c r="W1489" s="12" t="s">
        <v>109</v>
      </c>
      <c r="X1489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89" t="s">
        <v>1378</v>
      </c>
      <c r="Z1489" s="2" t="s">
        <v>99</v>
      </c>
      <c r="AA1489" s="2" t="s">
        <v>134</v>
      </c>
      <c r="AB1489" s="2" t="s">
        <v>65</v>
      </c>
      <c r="AC1489" s="2">
        <v>45913</v>
      </c>
      <c r="AD1489" s="3">
        <v>2025</v>
      </c>
      <c r="AE1489" s="3">
        <v>29</v>
      </c>
      <c r="AF1489" s="5">
        <v>0.67</v>
      </c>
      <c r="AG1489" s="3"/>
    </row>
    <row r="1490" spans="1:33" hidden="1" x14ac:dyDescent="0.35">
      <c r="A1490" t="str">
        <f>_xlfn.CONCAT(Tableau1[[#This Row],[Athletes]],"_",Tableau1[[#This Row],[Nationality]],"_",Tableau1[[#This Row],[Competition_year]])</f>
        <v>Faith KIPYEGON_KEN_2025</v>
      </c>
      <c r="B1490" s="7" t="s">
        <v>164</v>
      </c>
      <c r="C1490" s="7" t="s">
        <v>47</v>
      </c>
      <c r="D1490" s="7" t="s">
        <v>17</v>
      </c>
      <c r="E1490" s="7">
        <v>15.2</v>
      </c>
      <c r="F1490" s="7">
        <v>17.07</v>
      </c>
      <c r="G1490" s="7">
        <v>17.579999999999998</v>
      </c>
      <c r="H1490" s="7">
        <v>16.649999999999999</v>
      </c>
      <c r="I1490" s="7">
        <v>16.600000000000001</v>
      </c>
      <c r="J1490" s="7">
        <v>16.7</v>
      </c>
      <c r="K1490" s="7">
        <v>16.440000000000001</v>
      </c>
      <c r="L1490" s="7">
        <v>16.16</v>
      </c>
      <c r="M1490" s="7">
        <v>15.94</v>
      </c>
      <c r="N1490" s="7">
        <v>16.260000000000002</v>
      </c>
      <c r="O1490" s="7">
        <v>15.8</v>
      </c>
      <c r="P1490" s="7">
        <v>15.82</v>
      </c>
      <c r="Q1490" s="7">
        <v>15.29</v>
      </c>
      <c r="R1490" s="7">
        <v>15.77</v>
      </c>
      <c r="S1490">
        <f>Tableau1[[#This Row],[Final_time]]-SUM(Tableau1[[#This Row],[0_100m]:[1300_1400m]])</f>
        <v>15.27000000000001</v>
      </c>
      <c r="T1490" s="7">
        <v>242.55</v>
      </c>
      <c r="U1490">
        <f t="shared" si="46"/>
        <v>242.55</v>
      </c>
      <c r="V1490">
        <f t="shared" si="47"/>
        <v>0</v>
      </c>
      <c r="W1490" s="12" t="s">
        <v>109</v>
      </c>
      <c r="X1490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0" t="s">
        <v>1378</v>
      </c>
      <c r="Z1490" s="2" t="s">
        <v>99</v>
      </c>
      <c r="AA1490" s="2" t="s">
        <v>134</v>
      </c>
      <c r="AB1490" s="2" t="s">
        <v>65</v>
      </c>
      <c r="AC1490" s="2">
        <v>45913</v>
      </c>
      <c r="AD1490" s="3">
        <v>2025</v>
      </c>
      <c r="AE1490" s="3">
        <v>29</v>
      </c>
      <c r="AF1490" s="5">
        <v>0.67</v>
      </c>
      <c r="AG1490" s="3"/>
    </row>
    <row r="1491" spans="1:33" hidden="1" x14ac:dyDescent="0.35">
      <c r="A1491" t="str">
        <f>_xlfn.CONCAT(Tableau1[[#This Row],[Athletes]],"_",Tableau1[[#This Row],[Nationality]],"_",Tableau1[[#This Row],[Competition_year]])</f>
        <v>Sarah MADELEINE_FRA_2025</v>
      </c>
      <c r="B1491" s="7" t="s">
        <v>1349</v>
      </c>
      <c r="C1491" s="7" t="s">
        <v>47</v>
      </c>
      <c r="D1491" s="7" t="s">
        <v>18</v>
      </c>
      <c r="E1491" s="7">
        <v>15.83</v>
      </c>
      <c r="F1491" s="7">
        <v>17.059999999999999</v>
      </c>
      <c r="G1491" s="7">
        <v>17.71</v>
      </c>
      <c r="H1491" s="7">
        <v>16.78</v>
      </c>
      <c r="I1491" s="7">
        <v>16.05</v>
      </c>
      <c r="J1491" s="7">
        <v>16.84</v>
      </c>
      <c r="K1491" s="7">
        <v>16.559999999999999</v>
      </c>
      <c r="L1491" s="7">
        <v>16.190000000000001</v>
      </c>
      <c r="M1491" s="7">
        <v>15.88</v>
      </c>
      <c r="N1491" s="7">
        <v>16.22</v>
      </c>
      <c r="O1491" s="7">
        <v>15.67</v>
      </c>
      <c r="P1491" s="7">
        <v>15.81</v>
      </c>
      <c r="Q1491" s="7">
        <v>15.37</v>
      </c>
      <c r="R1491" s="7">
        <v>15.35</v>
      </c>
      <c r="S1491">
        <f>Tableau1[[#This Row],[Final_time]]-SUM(Tableau1[[#This Row],[0_100m]:[1300_1400m]])</f>
        <v>15.340000000000003</v>
      </c>
      <c r="T1491" s="7">
        <v>242.66</v>
      </c>
      <c r="U1491">
        <f t="shared" si="46"/>
        <v>242.66</v>
      </c>
      <c r="V1491">
        <f t="shared" si="47"/>
        <v>0</v>
      </c>
      <c r="W1491" s="12" t="s">
        <v>109</v>
      </c>
      <c r="X1491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1" t="s">
        <v>1378</v>
      </c>
      <c r="Z1491" s="2" t="s">
        <v>99</v>
      </c>
      <c r="AA1491" s="2" t="s">
        <v>134</v>
      </c>
      <c r="AB1491" s="2" t="s">
        <v>65</v>
      </c>
      <c r="AC1491" s="2">
        <v>45913</v>
      </c>
      <c r="AD1491" s="3">
        <v>2025</v>
      </c>
      <c r="AE1491" s="3">
        <v>29</v>
      </c>
      <c r="AF1491" s="5">
        <v>0.67</v>
      </c>
      <c r="AG1491" s="3"/>
    </row>
    <row r="1492" spans="1:33" hidden="1" x14ac:dyDescent="0.35">
      <c r="A1492" t="str">
        <f>_xlfn.CONCAT(Tableau1[[#This Row],[Athletes]],"_",Tableau1[[#This Row],[Nationality]],"_",Tableau1[[#This Row],[Competition_year]])</f>
        <v>Marta ZENONI_ITA_2025</v>
      </c>
      <c r="B1492" s="7" t="s">
        <v>1333</v>
      </c>
      <c r="C1492" s="7" t="s">
        <v>47</v>
      </c>
      <c r="D1492" s="7" t="s">
        <v>19</v>
      </c>
      <c r="E1492" s="7">
        <v>15.56</v>
      </c>
      <c r="F1492" s="7">
        <v>16.98</v>
      </c>
      <c r="G1492" s="7">
        <v>16.96</v>
      </c>
      <c r="H1492" s="7">
        <v>17.059999999999999</v>
      </c>
      <c r="I1492" s="7">
        <v>16.600000000000001</v>
      </c>
      <c r="J1492" s="7">
        <v>16.66</v>
      </c>
      <c r="K1492" s="7">
        <v>16.510000000000002</v>
      </c>
      <c r="L1492" s="7">
        <v>16.399999999999999</v>
      </c>
      <c r="M1492" s="7">
        <v>15.82</v>
      </c>
      <c r="N1492" s="7">
        <v>16.38</v>
      </c>
      <c r="O1492" s="7">
        <v>15.63</v>
      </c>
      <c r="P1492" s="7">
        <v>15.81</v>
      </c>
      <c r="Q1492" s="7">
        <v>15.36</v>
      </c>
      <c r="R1492" s="7">
        <v>15.6</v>
      </c>
      <c r="S1492">
        <f>Tableau1[[#This Row],[Final_time]]-SUM(Tableau1[[#This Row],[0_100m]:[1300_1400m]])</f>
        <v>15.440000000000055</v>
      </c>
      <c r="T1492" s="7">
        <v>242.77</v>
      </c>
      <c r="U1492">
        <f t="shared" si="46"/>
        <v>242.77</v>
      </c>
      <c r="V1492">
        <f t="shared" si="47"/>
        <v>0</v>
      </c>
      <c r="W1492" s="12" t="s">
        <v>109</v>
      </c>
      <c r="X1492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2" t="s">
        <v>1378</v>
      </c>
      <c r="Z1492" s="2" t="s">
        <v>99</v>
      </c>
      <c r="AA1492" s="2" t="s">
        <v>134</v>
      </c>
      <c r="AB1492" s="2" t="s">
        <v>65</v>
      </c>
      <c r="AC1492" s="2">
        <v>45913</v>
      </c>
      <c r="AD1492" s="3">
        <v>2025</v>
      </c>
      <c r="AE1492" s="3">
        <v>29</v>
      </c>
      <c r="AF1492" s="5">
        <v>0.67</v>
      </c>
      <c r="AG1492" s="3"/>
    </row>
    <row r="1493" spans="1:33" hidden="1" x14ac:dyDescent="0.35">
      <c r="A1493" t="str">
        <f>_xlfn.CONCAT(Tableau1[[#This Row],[Athletes]],"_",Tableau1[[#This Row],[Nationality]],"_",Tableau1[[#This Row],[Competition_year]])</f>
        <v>Nele WEßEL_GER_2025</v>
      </c>
      <c r="B1493" s="7" t="s">
        <v>1406</v>
      </c>
      <c r="C1493" s="7" t="s">
        <v>47</v>
      </c>
      <c r="D1493" s="7" t="s">
        <v>34</v>
      </c>
      <c r="E1493" s="7">
        <v>15.3</v>
      </c>
      <c r="F1493" s="7">
        <v>16.829999999999998</v>
      </c>
      <c r="G1493" s="7">
        <v>17.489999999999998</v>
      </c>
      <c r="H1493" s="7">
        <v>17.22</v>
      </c>
      <c r="I1493" s="7">
        <v>16.46</v>
      </c>
      <c r="J1493" s="7">
        <v>16.73</v>
      </c>
      <c r="K1493" s="7">
        <v>16.399999999999999</v>
      </c>
      <c r="L1493" s="7">
        <v>16.46</v>
      </c>
      <c r="M1493" s="7">
        <v>15.82</v>
      </c>
      <c r="N1493" s="7">
        <v>16.29</v>
      </c>
      <c r="O1493" s="7">
        <v>15.67</v>
      </c>
      <c r="P1493" s="7">
        <v>15.9</v>
      </c>
      <c r="Q1493" s="7">
        <v>15.37</v>
      </c>
      <c r="R1493" s="7">
        <v>15.86</v>
      </c>
      <c r="S1493">
        <f>Tableau1[[#This Row],[Final_time]]-SUM(Tableau1[[#This Row],[0_100m]:[1300_1400m]])</f>
        <v>15.770000000000039</v>
      </c>
      <c r="T1493" s="7">
        <v>243.57</v>
      </c>
      <c r="U1493">
        <f t="shared" si="46"/>
        <v>243.57</v>
      </c>
      <c r="V1493">
        <f t="shared" si="47"/>
        <v>0</v>
      </c>
      <c r="W1493" s="12" t="s">
        <v>109</v>
      </c>
      <c r="X1493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3" t="s">
        <v>1378</v>
      </c>
      <c r="Z1493" s="2" t="s">
        <v>99</v>
      </c>
      <c r="AA1493" s="2" t="s">
        <v>134</v>
      </c>
      <c r="AB1493" s="2" t="s">
        <v>65</v>
      </c>
      <c r="AC1493" s="2">
        <v>45913</v>
      </c>
      <c r="AD1493" s="3">
        <v>2025</v>
      </c>
      <c r="AE1493" s="3">
        <v>29</v>
      </c>
      <c r="AF1493" s="5">
        <v>0.67</v>
      </c>
      <c r="AG1493" s="3"/>
    </row>
    <row r="1494" spans="1:33" hidden="1" x14ac:dyDescent="0.35">
      <c r="A1494" t="str">
        <f>_xlfn.CONCAT(Tableau1[[#This Row],[Athletes]],"_",Tableau1[[#This Row],[Nationality]],"_",Tableau1[[#This Row],[Competition_year]])</f>
        <v>Águeda MARQUÉS_ESP_2025</v>
      </c>
      <c r="B1494" s="7" t="s">
        <v>724</v>
      </c>
      <c r="C1494" s="7" t="s">
        <v>47</v>
      </c>
      <c r="D1494" s="7" t="s">
        <v>22</v>
      </c>
      <c r="E1494" s="7">
        <v>15.59</v>
      </c>
      <c r="F1494" s="7">
        <v>17.100000000000001</v>
      </c>
      <c r="G1494" s="7">
        <v>17.329999999999998</v>
      </c>
      <c r="H1494" s="7">
        <v>17.04</v>
      </c>
      <c r="I1494" s="7">
        <v>16.48</v>
      </c>
      <c r="J1494" s="7">
        <v>16.75</v>
      </c>
      <c r="K1494" s="7">
        <v>16.12</v>
      </c>
      <c r="L1494" s="7">
        <v>16.52</v>
      </c>
      <c r="M1494" s="7">
        <v>15.87</v>
      </c>
      <c r="N1494" s="7">
        <v>16.260000000000002</v>
      </c>
      <c r="O1494" s="7">
        <v>15.92</v>
      </c>
      <c r="P1494" s="7">
        <v>15.79</v>
      </c>
      <c r="Q1494" s="7">
        <v>15.4</v>
      </c>
      <c r="R1494" s="7">
        <v>15.99</v>
      </c>
      <c r="S1494">
        <f>Tableau1[[#This Row],[Final_time]]-SUM(Tableau1[[#This Row],[0_100m]:[1300_1400m]])</f>
        <v>15.969999999999999</v>
      </c>
      <c r="T1494" s="7">
        <v>244.13</v>
      </c>
      <c r="U1494">
        <f t="shared" si="46"/>
        <v>244.13</v>
      </c>
      <c r="V1494">
        <f t="shared" si="47"/>
        <v>0</v>
      </c>
      <c r="W1494" s="12"/>
      <c r="X1494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4" t="s">
        <v>1378</v>
      </c>
      <c r="Z1494" s="2" t="s">
        <v>99</v>
      </c>
      <c r="AA1494" s="2" t="s">
        <v>134</v>
      </c>
      <c r="AB1494" s="2" t="s">
        <v>65</v>
      </c>
      <c r="AC1494" s="2">
        <v>45913</v>
      </c>
      <c r="AD1494" s="3">
        <v>2025</v>
      </c>
      <c r="AE1494" s="3">
        <v>29</v>
      </c>
      <c r="AF1494" s="5">
        <v>0.67</v>
      </c>
      <c r="AG1494" s="3"/>
    </row>
    <row r="1495" spans="1:33" hidden="1" x14ac:dyDescent="0.35">
      <c r="A1495" t="str">
        <f>_xlfn.CONCAT(Tableau1[[#This Row],[Athletes]],"_",Tableau1[[#This Row],[Nationality]],"_",Tableau1[[#This Row],[Competition_year]])</f>
        <v>Micaela LEVAGGI_ARG_2025</v>
      </c>
      <c r="B1495" s="7" t="s">
        <v>1408</v>
      </c>
      <c r="C1495" s="7" t="s">
        <v>47</v>
      </c>
      <c r="D1495" s="7" t="s">
        <v>123</v>
      </c>
      <c r="E1495" s="7">
        <v>16.22</v>
      </c>
      <c r="F1495" s="7">
        <v>17.05</v>
      </c>
      <c r="G1495" s="7">
        <v>17.239999999999998</v>
      </c>
      <c r="H1495" s="7">
        <v>17.04</v>
      </c>
      <c r="I1495" s="7">
        <v>16.54</v>
      </c>
      <c r="J1495" s="7">
        <v>16.899999999999999</v>
      </c>
      <c r="K1495" s="7">
        <v>16.66</v>
      </c>
      <c r="L1495" s="7">
        <v>16.52</v>
      </c>
      <c r="M1495" s="7">
        <v>16.68</v>
      </c>
      <c r="N1495" s="7">
        <v>16.84</v>
      </c>
      <c r="O1495" s="7">
        <v>17.14</v>
      </c>
      <c r="P1495" s="7">
        <v>16.010000000000002</v>
      </c>
      <c r="Q1495" s="7">
        <v>16.3</v>
      </c>
      <c r="R1495" s="7">
        <v>16.52</v>
      </c>
      <c r="S1495">
        <f>Tableau1[[#This Row],[Final_time]]-SUM(Tableau1[[#This Row],[0_100m]:[1300_1400m]])</f>
        <v>16.099999999999994</v>
      </c>
      <c r="T1495" s="7">
        <v>249.76</v>
      </c>
      <c r="U1495">
        <f t="shared" si="46"/>
        <v>249.76</v>
      </c>
      <c r="V1495">
        <f t="shared" si="47"/>
        <v>0</v>
      </c>
      <c r="W1495" s="12"/>
      <c r="X1495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5" t="s">
        <v>1378</v>
      </c>
      <c r="Z1495" s="2" t="s">
        <v>99</v>
      </c>
      <c r="AA1495" s="2" t="s">
        <v>134</v>
      </c>
      <c r="AB1495" s="2" t="s">
        <v>65</v>
      </c>
      <c r="AC1495" s="2">
        <v>45913</v>
      </c>
      <c r="AD1495" s="3">
        <v>2025</v>
      </c>
      <c r="AE1495" s="3">
        <v>29</v>
      </c>
      <c r="AF1495" s="5">
        <v>0.67</v>
      </c>
      <c r="AG1495" s="3"/>
    </row>
    <row r="1496" spans="1:33" hidden="1" x14ac:dyDescent="0.35">
      <c r="A1496" t="str">
        <f>_xlfn.CONCAT(Tableau1[[#This Row],[Athletes]],"_",Tableau1[[#This Row],[Nationality]],"_",Tableau1[[#This Row],[Competition_year]])</f>
        <v>Vera BERTEMES-HOFFMANN_LUX_2025</v>
      </c>
      <c r="B1496" s="7" t="s">
        <v>1291</v>
      </c>
      <c r="C1496" s="7" t="s">
        <v>47</v>
      </c>
      <c r="D1496" s="7" t="s">
        <v>76</v>
      </c>
      <c r="E1496" s="7">
        <v>15.78</v>
      </c>
      <c r="F1496" s="7">
        <v>17.04</v>
      </c>
      <c r="G1496" s="7">
        <v>17.059999999999999</v>
      </c>
      <c r="H1496" s="7">
        <v>17.309999999999999</v>
      </c>
      <c r="I1496" s="7">
        <v>16.510000000000002</v>
      </c>
      <c r="J1496" s="7">
        <v>17.02</v>
      </c>
      <c r="K1496" s="7">
        <v>16.11</v>
      </c>
      <c r="L1496" s="7">
        <v>16.46</v>
      </c>
      <c r="M1496" s="7">
        <v>16.03</v>
      </c>
      <c r="N1496" s="7">
        <v>16.41</v>
      </c>
      <c r="O1496" s="7">
        <v>16.09</v>
      </c>
      <c r="P1496" s="7">
        <v>15.76</v>
      </c>
      <c r="Q1496" s="7">
        <v>15.59</v>
      </c>
      <c r="R1496" s="7">
        <v>16.22</v>
      </c>
      <c r="S1496">
        <f>Tableau1[[#This Row],[Final_time]]-SUM(Tableau1[[#This Row],[0_100m]:[1300_1400m]])</f>
        <v>16.720000000000027</v>
      </c>
      <c r="T1496" s="7">
        <v>246.11</v>
      </c>
      <c r="U1496">
        <f t="shared" si="46"/>
        <v>246.11</v>
      </c>
      <c r="V1496">
        <f t="shared" si="47"/>
        <v>0</v>
      </c>
      <c r="W1496" s="12"/>
      <c r="X1496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6" t="s">
        <v>1378</v>
      </c>
      <c r="Z1496" s="2" t="s">
        <v>99</v>
      </c>
      <c r="AA1496" s="2" t="s">
        <v>134</v>
      </c>
      <c r="AB1496" s="2" t="s">
        <v>65</v>
      </c>
      <c r="AC1496" s="2">
        <v>45913</v>
      </c>
      <c r="AD1496" s="3">
        <v>2025</v>
      </c>
      <c r="AE1496" s="3">
        <v>29</v>
      </c>
      <c r="AF1496" s="5">
        <v>0.67</v>
      </c>
      <c r="AG1496" s="3"/>
    </row>
    <row r="1497" spans="1:33" hidden="1" x14ac:dyDescent="0.35">
      <c r="A1497" t="str">
        <f>_xlfn.CONCAT(Tableau1[[#This Row],[Athletes]],"_",Tableau1[[#This Row],[Nationality]],"_",Tableau1[[#This Row],[Competition_year]])</f>
        <v>Kate CURRENT_CAN_2025</v>
      </c>
      <c r="B1497" s="7" t="s">
        <v>1407</v>
      </c>
      <c r="C1497" s="7" t="s">
        <v>47</v>
      </c>
      <c r="D1497" s="7" t="s">
        <v>55</v>
      </c>
      <c r="E1497" s="7">
        <v>15.43</v>
      </c>
      <c r="F1497" s="7">
        <v>17.12</v>
      </c>
      <c r="G1497" s="7">
        <v>17.28</v>
      </c>
      <c r="H1497" s="7">
        <v>17.170000000000002</v>
      </c>
      <c r="I1497" s="7">
        <v>16.649999999999999</v>
      </c>
      <c r="J1497" s="7">
        <v>16.809999999999999</v>
      </c>
      <c r="K1497" s="7">
        <v>16.510000000000002</v>
      </c>
      <c r="L1497" s="7">
        <v>16.3</v>
      </c>
      <c r="M1497" s="7">
        <v>15.84</v>
      </c>
      <c r="N1497" s="7">
        <v>16.420000000000002</v>
      </c>
      <c r="O1497" s="7">
        <v>15.97</v>
      </c>
      <c r="P1497" s="7">
        <v>16.04</v>
      </c>
      <c r="Q1497" s="7">
        <v>16.12</v>
      </c>
      <c r="R1497" s="7">
        <v>16.739999999999998</v>
      </c>
      <c r="S1497">
        <f>Tableau1[[#This Row],[Final_time]]-SUM(Tableau1[[#This Row],[0_100m]:[1300_1400m]])</f>
        <v>17.119999999999976</v>
      </c>
      <c r="T1497" s="7">
        <v>247.52</v>
      </c>
      <c r="U1497">
        <f t="shared" si="46"/>
        <v>247.52</v>
      </c>
      <c r="V1497">
        <f t="shared" si="47"/>
        <v>0</v>
      </c>
      <c r="W1497" s="12"/>
      <c r="X1497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7" t="s">
        <v>1378</v>
      </c>
      <c r="Z1497" s="2" t="s">
        <v>99</v>
      </c>
      <c r="AA1497" s="2" t="s">
        <v>134</v>
      </c>
      <c r="AB1497" s="2" t="s">
        <v>65</v>
      </c>
      <c r="AC1497" s="2">
        <v>45913</v>
      </c>
      <c r="AD1497" s="3">
        <v>2025</v>
      </c>
      <c r="AE1497" s="3">
        <v>29</v>
      </c>
      <c r="AF1497" s="5">
        <v>0.67</v>
      </c>
      <c r="AG1497" s="3"/>
    </row>
    <row r="1498" spans="1:33" hidden="1" x14ac:dyDescent="0.35">
      <c r="A1498" t="str">
        <f>_xlfn.CONCAT(Tableau1[[#This Row],[Athletes]],"_",Tableau1[[#This Row],[Nationality]],"_",Tableau1[[#This Row],[Competition_year]])</f>
        <v>Sofia THØGERSEN_DEN_2025</v>
      </c>
      <c r="B1498" s="7" t="s">
        <v>170</v>
      </c>
      <c r="C1498" s="7" t="s">
        <v>47</v>
      </c>
      <c r="D1498" s="7" t="s">
        <v>40</v>
      </c>
      <c r="E1498" s="7">
        <v>15.96</v>
      </c>
      <c r="F1498" s="7">
        <v>17.03</v>
      </c>
      <c r="G1498" s="7">
        <v>17.09</v>
      </c>
      <c r="H1498" s="7">
        <v>17.34</v>
      </c>
      <c r="I1498" s="7">
        <v>16.489999999999998</v>
      </c>
      <c r="J1498" s="7">
        <v>16.95</v>
      </c>
      <c r="K1498" s="7">
        <v>16.34</v>
      </c>
      <c r="L1498" s="7">
        <v>16.29</v>
      </c>
      <c r="M1498" s="7">
        <v>15.99</v>
      </c>
      <c r="N1498" s="7">
        <v>16.5</v>
      </c>
      <c r="O1498" s="7">
        <v>16.059999999999999</v>
      </c>
      <c r="P1498" s="7">
        <v>15.81</v>
      </c>
      <c r="Q1498" s="7">
        <v>15.84</v>
      </c>
      <c r="R1498" s="7">
        <v>17.09</v>
      </c>
      <c r="S1498">
        <f>Tableau1[[#This Row],[Final_time]]-SUM(Tableau1[[#This Row],[0_100m]:[1300_1400m]])</f>
        <v>17.69999999999996</v>
      </c>
      <c r="T1498" s="7">
        <v>248.48</v>
      </c>
      <c r="U1498">
        <f t="shared" si="46"/>
        <v>248.48</v>
      </c>
      <c r="V1498">
        <f t="shared" si="47"/>
        <v>0</v>
      </c>
      <c r="W1498" s="12"/>
      <c r="X1498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8" t="s">
        <v>1378</v>
      </c>
      <c r="Z1498" s="2" t="s">
        <v>99</v>
      </c>
      <c r="AA1498" s="2" t="s">
        <v>134</v>
      </c>
      <c r="AB1498" s="2" t="s">
        <v>65</v>
      </c>
      <c r="AC1498" s="2">
        <v>45913</v>
      </c>
      <c r="AD1498" s="3">
        <v>2025</v>
      </c>
      <c r="AE1498" s="3">
        <v>29</v>
      </c>
      <c r="AF1498" s="5">
        <v>0.67</v>
      </c>
      <c r="AG1498" s="3"/>
    </row>
    <row r="1499" spans="1:33" hidden="1" x14ac:dyDescent="0.35">
      <c r="A1499" t="str">
        <f>_xlfn.CONCAT(Tableau1[[#This Row],[Athletes]],"_",Tableau1[[#This Row],[Nationality]],"_",Tableau1[[#This Row],[Competition_year]])</f>
        <v>Laura MUIR_GBR_2025</v>
      </c>
      <c r="B1499" s="7" t="s">
        <v>153</v>
      </c>
      <c r="C1499" s="7" t="s">
        <v>47</v>
      </c>
      <c r="D1499" s="7" t="s">
        <v>20</v>
      </c>
      <c r="E1499" s="7">
        <v>15.93</v>
      </c>
      <c r="F1499" s="7">
        <v>17.13</v>
      </c>
      <c r="G1499" s="7">
        <v>16.46</v>
      </c>
      <c r="H1499" s="7">
        <v>17.14</v>
      </c>
      <c r="I1499" s="7">
        <v>16.52</v>
      </c>
      <c r="J1499" s="7">
        <v>16.670000000000002</v>
      </c>
      <c r="K1499" s="7">
        <v>16.399999999999999</v>
      </c>
      <c r="L1499" s="7">
        <v>16.3</v>
      </c>
      <c r="M1499" s="7">
        <v>15.85</v>
      </c>
      <c r="N1499" s="7">
        <v>16.3</v>
      </c>
      <c r="O1499" s="7">
        <v>15.78</v>
      </c>
      <c r="P1499" s="7">
        <v>15.77</v>
      </c>
      <c r="Q1499" s="7">
        <v>15.32</v>
      </c>
      <c r="R1499" s="7">
        <v>16.22</v>
      </c>
      <c r="S1499">
        <f>Tableau1[[#This Row],[Final_time]]-SUM(Tableau1[[#This Row],[0_100m]:[1300_1400m]])</f>
        <v>17.799999999999983</v>
      </c>
      <c r="T1499" s="7">
        <v>245.59</v>
      </c>
      <c r="U1499">
        <f t="shared" si="46"/>
        <v>245.59</v>
      </c>
      <c r="V1499">
        <f t="shared" si="47"/>
        <v>0</v>
      </c>
      <c r="W1499" s="12"/>
      <c r="X1499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499" t="s">
        <v>1378</v>
      </c>
      <c r="Z1499" s="2" t="s">
        <v>99</v>
      </c>
      <c r="AA1499" s="2" t="s">
        <v>134</v>
      </c>
      <c r="AB1499" s="2" t="s">
        <v>65</v>
      </c>
      <c r="AC1499" s="2">
        <v>45913</v>
      </c>
      <c r="AD1499" s="3">
        <v>2025</v>
      </c>
      <c r="AE1499" s="3">
        <v>29</v>
      </c>
      <c r="AF1499" s="5">
        <v>0.67</v>
      </c>
      <c r="AG1499" s="3"/>
    </row>
    <row r="1500" spans="1:33" hidden="1" x14ac:dyDescent="0.35">
      <c r="A1500" t="str">
        <f>_xlfn.CONCAT(Tableau1[[#This Row],[Athletes]],"_",Tableau1[[#This Row],[Nationality]],"_",Tableau1[[#This Row],[Competition_year]])</f>
        <v>Gresa BAKRAÇI_KOS_2025</v>
      </c>
      <c r="B1500" s="7" t="s">
        <v>245</v>
      </c>
      <c r="C1500" s="7" t="s">
        <v>47</v>
      </c>
      <c r="D1500" s="7" t="s">
        <v>141</v>
      </c>
      <c r="E1500" s="7">
        <v>16.37</v>
      </c>
      <c r="F1500" s="7">
        <v>18.22</v>
      </c>
      <c r="G1500" s="7">
        <v>16.010000000000002</v>
      </c>
      <c r="H1500" s="7">
        <v>17.25</v>
      </c>
      <c r="I1500" s="7">
        <v>16.77</v>
      </c>
      <c r="J1500" s="7">
        <v>17.09</v>
      </c>
      <c r="K1500" s="7">
        <v>17.21</v>
      </c>
      <c r="L1500" s="7">
        <v>17.27</v>
      </c>
      <c r="M1500" s="7">
        <v>17.38</v>
      </c>
      <c r="N1500" s="7">
        <v>18.05</v>
      </c>
      <c r="O1500" s="7">
        <v>18.079999999999998</v>
      </c>
      <c r="P1500" s="7">
        <v>17.420000000000002</v>
      </c>
      <c r="Q1500" s="7">
        <v>17.68</v>
      </c>
      <c r="R1500" s="7">
        <v>18.55</v>
      </c>
      <c r="S1500">
        <f>Tableau1[[#This Row],[Final_time]]-SUM(Tableau1[[#This Row],[0_100m]:[1300_1400m]])</f>
        <v>18.709999999999923</v>
      </c>
      <c r="T1500" s="7">
        <v>262.06</v>
      </c>
      <c r="U1500">
        <f t="shared" si="46"/>
        <v>262.06</v>
      </c>
      <c r="V1500">
        <f t="shared" si="47"/>
        <v>0</v>
      </c>
      <c r="W1500" s="12"/>
      <c r="X1500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500" t="s">
        <v>1378</v>
      </c>
      <c r="Z1500" s="2" t="s">
        <v>99</v>
      </c>
      <c r="AA1500" s="2" t="s">
        <v>134</v>
      </c>
      <c r="AB1500" s="2" t="s">
        <v>65</v>
      </c>
      <c r="AC1500" s="2">
        <v>45913</v>
      </c>
      <c r="AD1500" s="3">
        <v>2025</v>
      </c>
      <c r="AE1500" s="3">
        <v>29</v>
      </c>
      <c r="AF1500" s="5">
        <v>0.67</v>
      </c>
      <c r="AG1500" s="3"/>
    </row>
    <row r="1501" spans="1:33" hidden="1" x14ac:dyDescent="0.35">
      <c r="A1501" t="str">
        <f>_xlfn.CONCAT(Tableau1[[#This Row],[Athletes]],"_",Tableau1[[#This Row],[Nationality]],"_",Tableau1[[#This Row],[Competition_year]])</f>
        <v>Mia BARNETT_SWE_2025</v>
      </c>
      <c r="B1501" s="7" t="s">
        <v>1409</v>
      </c>
      <c r="C1501" s="7" t="s">
        <v>47</v>
      </c>
      <c r="D1501" s="7" t="s">
        <v>56</v>
      </c>
      <c r="E1501" s="7">
        <v>15.28</v>
      </c>
      <c r="F1501" s="7">
        <v>17.100000000000001</v>
      </c>
      <c r="G1501" s="7">
        <v>17.62</v>
      </c>
      <c r="H1501" s="7">
        <v>17.21</v>
      </c>
      <c r="I1501" s="7">
        <v>16.63</v>
      </c>
      <c r="J1501" s="7">
        <v>16.95</v>
      </c>
      <c r="K1501" s="7">
        <v>16.54</v>
      </c>
      <c r="L1501" s="7">
        <v>16.39</v>
      </c>
      <c r="M1501" s="7">
        <v>16.36</v>
      </c>
      <c r="N1501" s="7">
        <v>16.64</v>
      </c>
      <c r="O1501" s="7">
        <v>16.97</v>
      </c>
      <c r="P1501" s="7">
        <v>17.11</v>
      </c>
      <c r="Q1501" s="7">
        <v>17.850000000000001</v>
      </c>
      <c r="R1501" s="7">
        <v>19.04</v>
      </c>
      <c r="S1501">
        <f>Tableau1[[#This Row],[Final_time]]-SUM(Tableau1[[#This Row],[0_100m]:[1300_1400m]])</f>
        <v>19.019999999999982</v>
      </c>
      <c r="T1501" s="7">
        <v>256.70999999999998</v>
      </c>
      <c r="U1501">
        <f t="shared" si="46"/>
        <v>256.70999999999998</v>
      </c>
      <c r="V1501">
        <f t="shared" si="47"/>
        <v>0</v>
      </c>
      <c r="W1501" s="12"/>
      <c r="X1501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501" t="s">
        <v>1378</v>
      </c>
      <c r="Z1501" s="2" t="s">
        <v>99</v>
      </c>
      <c r="AA1501" s="2" t="s">
        <v>134</v>
      </c>
      <c r="AB1501" s="2" t="s">
        <v>65</v>
      </c>
      <c r="AC1501" s="2">
        <v>45913</v>
      </c>
      <c r="AD1501" s="3">
        <v>2025</v>
      </c>
      <c r="AE1501" s="3">
        <v>29</v>
      </c>
      <c r="AF1501" s="5">
        <v>0.67</v>
      </c>
      <c r="AG1501" s="3"/>
    </row>
    <row r="1502" spans="1:33" hidden="1" x14ac:dyDescent="0.35">
      <c r="A1502" t="str">
        <f>_xlfn.CONCAT(Tableau1[[#This Row],[Athletes]],"_",Tableau1[[#This Row],[Nationality]],"_",Tableau1[[#This Row],[Competition_year]])</f>
        <v>Ingeborg ØSTGÅRD_NOR_2025</v>
      </c>
      <c r="B1502" s="7" t="s">
        <v>1410</v>
      </c>
      <c r="C1502" s="7" t="s">
        <v>47</v>
      </c>
      <c r="D1502" s="7" t="s">
        <v>30</v>
      </c>
      <c r="E1502" s="7">
        <v>16.04</v>
      </c>
      <c r="F1502" s="7">
        <v>17.059999999999999</v>
      </c>
      <c r="G1502" s="7">
        <v>17.239999999999998</v>
      </c>
      <c r="H1502" s="7">
        <v>17.28</v>
      </c>
      <c r="I1502" s="7">
        <v>16.559999999999999</v>
      </c>
      <c r="J1502" s="7">
        <v>17.010000000000002</v>
      </c>
      <c r="K1502" s="7">
        <v>16.55</v>
      </c>
      <c r="L1502" s="7">
        <v>16.73</v>
      </c>
      <c r="M1502" s="7">
        <v>17.079999999999998</v>
      </c>
      <c r="N1502" s="7">
        <v>18.16</v>
      </c>
      <c r="O1502" s="7">
        <v>18.72</v>
      </c>
      <c r="P1502" s="7">
        <v>19.350000000000001</v>
      </c>
      <c r="Q1502" s="7">
        <v>19.22</v>
      </c>
      <c r="R1502" s="7">
        <v>20.190000000000001</v>
      </c>
      <c r="S1502">
        <f>Tableau1[[#This Row],[Final_time]]-SUM(Tableau1[[#This Row],[0_100m]:[1300_1400m]])</f>
        <v>20.370000000000005</v>
      </c>
      <c r="T1502" s="7">
        <v>267.56</v>
      </c>
      <c r="U1502">
        <f t="shared" si="46"/>
        <v>267.56</v>
      </c>
      <c r="V1502">
        <f t="shared" si="47"/>
        <v>0</v>
      </c>
      <c r="W1502" s="12"/>
      <c r="X1502" t="str">
        <f>_xlfn.CONCAT(Tableau1[[#This Row],[Competition]],"_",Tableau1[[#This Row],[Championship_step]],"_",Tableau1[[#This Row],[Competition_date]],"_",Tableau1[[#This Row],[Gender]])</f>
        <v>World Championships Tokyo 2025_Heat 4_45913_Female</v>
      </c>
      <c r="Y1502" t="s">
        <v>1378</v>
      </c>
      <c r="Z1502" s="2" t="s">
        <v>99</v>
      </c>
      <c r="AA1502" s="2" t="s">
        <v>134</v>
      </c>
      <c r="AB1502" s="2" t="s">
        <v>65</v>
      </c>
      <c r="AC1502" s="2">
        <v>45913</v>
      </c>
      <c r="AD1502" s="3">
        <v>2025</v>
      </c>
      <c r="AE1502" s="3">
        <v>29</v>
      </c>
      <c r="AF1502" s="5">
        <v>0.67</v>
      </c>
      <c r="AG1502" s="3"/>
    </row>
    <row r="1503" spans="1:33" hidden="1" x14ac:dyDescent="0.35">
      <c r="A1503" t="str">
        <f>_xlfn.CONCAT(Tableau1[[#This Row],[Athletes]],"_",Tableau1[[#This Row],[Nationality]],"_",Tableau1[[#This Row],[Competition_year]])</f>
        <v>Romain MORNET_FRA_2025</v>
      </c>
      <c r="B1503" s="7" t="s">
        <v>1357</v>
      </c>
      <c r="C1503" s="7" t="s">
        <v>16</v>
      </c>
      <c r="D1503" s="7" t="s">
        <v>18</v>
      </c>
      <c r="E1503" s="7">
        <v>14.8</v>
      </c>
      <c r="F1503" s="7">
        <v>16.329999999999998</v>
      </c>
      <c r="G1503" s="7">
        <v>15.05</v>
      </c>
      <c r="H1503" s="7">
        <v>15.62</v>
      </c>
      <c r="I1503" s="7">
        <v>15.06</v>
      </c>
      <c r="J1503" s="7">
        <v>14.81</v>
      </c>
      <c r="K1503" s="7">
        <v>14.42</v>
      </c>
      <c r="L1503" s="7">
        <v>14.38</v>
      </c>
      <c r="M1503" s="7">
        <v>14.17</v>
      </c>
      <c r="N1503" s="7">
        <v>14.82</v>
      </c>
      <c r="O1503" s="7">
        <v>14.03</v>
      </c>
      <c r="P1503" s="7">
        <v>14.21</v>
      </c>
      <c r="Q1503" s="7">
        <v>13.47</v>
      </c>
      <c r="R1503" s="7">
        <v>13.44</v>
      </c>
      <c r="S1503">
        <f>Tableau1[[#This Row],[Final_time]]-SUM(Tableau1[[#This Row],[0_100m]:[1300_1400m]])</f>
        <v>12.580000000000013</v>
      </c>
      <c r="T1503" s="7">
        <v>217.19</v>
      </c>
      <c r="U1503">
        <f t="shared" si="46"/>
        <v>217.19</v>
      </c>
      <c r="V1503">
        <f t="shared" si="47"/>
        <v>0</v>
      </c>
      <c r="W1503" s="12"/>
      <c r="X1503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3" t="s">
        <v>1378</v>
      </c>
      <c r="Z1503" s="2" t="s">
        <v>99</v>
      </c>
      <c r="AA1503" s="2" t="s">
        <v>134</v>
      </c>
      <c r="AB1503" s="2" t="s">
        <v>65</v>
      </c>
      <c r="AC1503" s="2">
        <v>45914</v>
      </c>
      <c r="AD1503" s="3">
        <v>2025</v>
      </c>
      <c r="AE1503" s="3">
        <v>28</v>
      </c>
      <c r="AF1503" s="5">
        <v>0.68</v>
      </c>
      <c r="AG1503" s="3"/>
    </row>
    <row r="1504" spans="1:33" hidden="1" x14ac:dyDescent="0.35">
      <c r="A1504" t="str">
        <f>_xlfn.CONCAT(Tableau1[[#This Row],[Athletes]],"_",Tableau1[[#This Row],[Nationality]],"_",Tableau1[[#This Row],[Competition_year]])</f>
        <v>Andrew COSCORAN_IRL_2025</v>
      </c>
      <c r="B1504" s="7" t="s">
        <v>232</v>
      </c>
      <c r="C1504" s="7" t="s">
        <v>16</v>
      </c>
      <c r="D1504" s="7" t="s">
        <v>35</v>
      </c>
      <c r="E1504" s="7">
        <v>14.43</v>
      </c>
      <c r="F1504" s="7">
        <v>16.53</v>
      </c>
      <c r="G1504" s="7">
        <v>14.99</v>
      </c>
      <c r="H1504" s="7">
        <v>15.69</v>
      </c>
      <c r="I1504" s="7">
        <v>14.75</v>
      </c>
      <c r="J1504" s="7">
        <v>14.57</v>
      </c>
      <c r="K1504" s="7">
        <v>14.34</v>
      </c>
      <c r="L1504" s="7">
        <v>14.54</v>
      </c>
      <c r="M1504" s="7">
        <v>14.43</v>
      </c>
      <c r="N1504" s="7">
        <v>14.82</v>
      </c>
      <c r="O1504" s="7">
        <v>14.2</v>
      </c>
      <c r="P1504" s="7">
        <v>14.01</v>
      </c>
      <c r="Q1504" s="7">
        <v>13.39</v>
      </c>
      <c r="R1504" s="7">
        <v>13.66</v>
      </c>
      <c r="S1504">
        <f>Tableau1[[#This Row],[Final_time]]-SUM(Tableau1[[#This Row],[0_100m]:[1300_1400m]])</f>
        <v>12.969999999999999</v>
      </c>
      <c r="T1504" s="7">
        <v>217.32</v>
      </c>
      <c r="U1504">
        <f t="shared" si="46"/>
        <v>217.32</v>
      </c>
      <c r="V1504">
        <f t="shared" si="47"/>
        <v>0</v>
      </c>
      <c r="W1504" s="12"/>
      <c r="X1504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4" t="s">
        <v>1378</v>
      </c>
      <c r="Z1504" s="2" t="s">
        <v>99</v>
      </c>
      <c r="AA1504" s="2" t="s">
        <v>134</v>
      </c>
      <c r="AB1504" s="2" t="s">
        <v>65</v>
      </c>
      <c r="AC1504" s="2">
        <v>45914</v>
      </c>
      <c r="AD1504" s="3">
        <v>2025</v>
      </c>
      <c r="AE1504" s="3">
        <v>28</v>
      </c>
      <c r="AF1504" s="5">
        <v>0.68</v>
      </c>
      <c r="AG1504" s="3"/>
    </row>
    <row r="1505" spans="1:33" hidden="1" x14ac:dyDescent="0.35">
      <c r="A1505" t="str">
        <f>_xlfn.CONCAT(Tableau1[[#This Row],[Athletes]],"_",Tableau1[[#This Row],[Nationality]],"_",Tableau1[[#This Row],[Competition_year]])</f>
        <v>Jonah KOECH_USA_2025</v>
      </c>
      <c r="B1505" s="7" t="s">
        <v>1385</v>
      </c>
      <c r="C1505" s="7" t="s">
        <v>16</v>
      </c>
      <c r="D1505" s="7" t="s">
        <v>51</v>
      </c>
      <c r="E1505" s="7">
        <v>14.16</v>
      </c>
      <c r="F1505" s="7">
        <v>16.86</v>
      </c>
      <c r="G1505" s="7">
        <v>14.96</v>
      </c>
      <c r="H1505" s="7">
        <v>15.7</v>
      </c>
      <c r="I1505" s="7">
        <v>14.92</v>
      </c>
      <c r="J1505" s="7">
        <v>14.72</v>
      </c>
      <c r="K1505" s="7">
        <v>14.34</v>
      </c>
      <c r="L1505" s="7">
        <v>14.6</v>
      </c>
      <c r="M1505" s="7">
        <v>14.31</v>
      </c>
      <c r="N1505" s="7">
        <v>14.9</v>
      </c>
      <c r="O1505" s="7">
        <v>13.58</v>
      </c>
      <c r="P1505" s="7">
        <v>14.04</v>
      </c>
      <c r="Q1505" s="7">
        <v>13.6</v>
      </c>
      <c r="R1505" s="7">
        <v>13.4</v>
      </c>
      <c r="S1505">
        <f>Tableau1[[#This Row],[Final_time]]-SUM(Tableau1[[#This Row],[0_100m]:[1300_1400m]])</f>
        <v>13.02000000000001</v>
      </c>
      <c r="T1505" s="7">
        <v>217.11</v>
      </c>
      <c r="U1505">
        <f t="shared" si="46"/>
        <v>217.11</v>
      </c>
      <c r="V1505">
        <f t="shared" si="47"/>
        <v>0</v>
      </c>
      <c r="W1505" s="12"/>
      <c r="X1505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5" t="s">
        <v>1378</v>
      </c>
      <c r="Z1505" s="2" t="s">
        <v>99</v>
      </c>
      <c r="AA1505" s="2" t="s">
        <v>134</v>
      </c>
      <c r="AB1505" s="2" t="s">
        <v>65</v>
      </c>
      <c r="AC1505" s="2">
        <v>45914</v>
      </c>
      <c r="AD1505" s="3">
        <v>2025</v>
      </c>
      <c r="AE1505" s="3">
        <v>28</v>
      </c>
      <c r="AF1505" s="5">
        <v>0.68</v>
      </c>
      <c r="AG1505" s="3"/>
    </row>
    <row r="1506" spans="1:33" hidden="1" x14ac:dyDescent="0.35">
      <c r="A1506" t="str">
        <f>_xlfn.CONCAT(Tableau1[[#This Row],[Athletes]],"_",Tableau1[[#This Row],[Nationality]],"_",Tableau1[[#This Row],[Competition_year]])</f>
        <v>José Carlos PINTO_POR_2025</v>
      </c>
      <c r="B1506" s="7" t="s">
        <v>1384</v>
      </c>
      <c r="C1506" s="7" t="s">
        <v>16</v>
      </c>
      <c r="D1506" s="7" t="s">
        <v>33</v>
      </c>
      <c r="E1506" s="7">
        <v>15.16</v>
      </c>
      <c r="F1506" s="7">
        <v>16.28</v>
      </c>
      <c r="G1506" s="7">
        <v>15.1</v>
      </c>
      <c r="H1506" s="7">
        <v>15.48</v>
      </c>
      <c r="I1506" s="7">
        <v>14.67</v>
      </c>
      <c r="J1506" s="7">
        <v>14.37</v>
      </c>
      <c r="K1506" s="7">
        <v>14.39</v>
      </c>
      <c r="L1506" s="7">
        <v>14.65</v>
      </c>
      <c r="M1506" s="7">
        <v>14.17</v>
      </c>
      <c r="N1506" s="7">
        <v>14.84</v>
      </c>
      <c r="O1506" s="7">
        <v>13.78</v>
      </c>
      <c r="P1506" s="7">
        <v>13.93</v>
      </c>
      <c r="Q1506" s="7">
        <v>13.67</v>
      </c>
      <c r="R1506" s="7">
        <v>13.5</v>
      </c>
      <c r="S1506">
        <f>Tableau1[[#This Row],[Final_time]]-SUM(Tableau1[[#This Row],[0_100m]:[1300_1400m]])</f>
        <v>13.099999999999994</v>
      </c>
      <c r="T1506" s="7">
        <v>217.09</v>
      </c>
      <c r="U1506">
        <f t="shared" si="46"/>
        <v>217.09</v>
      </c>
      <c r="V1506">
        <f t="shared" si="47"/>
        <v>0</v>
      </c>
      <c r="W1506" s="12"/>
      <c r="X1506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6" t="s">
        <v>1378</v>
      </c>
      <c r="Z1506" s="2" t="s">
        <v>99</v>
      </c>
      <c r="AA1506" s="2" t="s">
        <v>134</v>
      </c>
      <c r="AB1506" s="2" t="s">
        <v>65</v>
      </c>
      <c r="AC1506" s="2">
        <v>45914</v>
      </c>
      <c r="AD1506" s="3">
        <v>2025</v>
      </c>
      <c r="AE1506" s="3">
        <v>28</v>
      </c>
      <c r="AF1506" s="5">
        <v>0.68</v>
      </c>
      <c r="AG1506" s="3"/>
    </row>
    <row r="1507" spans="1:33" hidden="1" x14ac:dyDescent="0.35">
      <c r="A1507" t="str">
        <f>_xlfn.CONCAT(Tableau1[[#This Row],[Athletes]],"_",Tableau1[[#This Row],[Nationality]],"_",Tableau1[[#This Row],[Competition_year]])</f>
        <v>Jake WIGHTMAN_GBR_2025</v>
      </c>
      <c r="B1507" s="7" t="s">
        <v>150</v>
      </c>
      <c r="C1507" s="7" t="s">
        <v>16</v>
      </c>
      <c r="D1507" s="7" t="s">
        <v>20</v>
      </c>
      <c r="E1507" s="7">
        <v>14.23</v>
      </c>
      <c r="F1507" s="7">
        <v>16.48</v>
      </c>
      <c r="G1507" s="7">
        <v>14.91</v>
      </c>
      <c r="H1507" s="7">
        <v>15.73</v>
      </c>
      <c r="I1507" s="7">
        <v>14.49</v>
      </c>
      <c r="J1507" s="7">
        <v>14.72</v>
      </c>
      <c r="K1507" s="7">
        <v>14.23</v>
      </c>
      <c r="L1507" s="7">
        <v>14.6</v>
      </c>
      <c r="M1507" s="7">
        <v>14.55</v>
      </c>
      <c r="N1507" s="7">
        <v>14.8</v>
      </c>
      <c r="O1507" s="7">
        <v>14.22</v>
      </c>
      <c r="P1507" s="7">
        <v>13.96</v>
      </c>
      <c r="Q1507" s="7">
        <v>13.48</v>
      </c>
      <c r="R1507" s="7">
        <v>13.35</v>
      </c>
      <c r="S1507">
        <f>Tableau1[[#This Row],[Final_time]]-SUM(Tableau1[[#This Row],[0_100m]:[1300_1400m]])</f>
        <v>13.150000000000006</v>
      </c>
      <c r="T1507" s="7">
        <v>216.9</v>
      </c>
      <c r="U1507">
        <f t="shared" si="46"/>
        <v>216.9</v>
      </c>
      <c r="V1507">
        <f t="shared" si="47"/>
        <v>0</v>
      </c>
      <c r="W1507" s="12"/>
      <c r="X1507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7" t="s">
        <v>1378</v>
      </c>
      <c r="Z1507" s="2" t="s">
        <v>99</v>
      </c>
      <c r="AA1507" s="2" t="s">
        <v>134</v>
      </c>
      <c r="AB1507" s="2" t="s">
        <v>65</v>
      </c>
      <c r="AC1507" s="2">
        <v>45914</v>
      </c>
      <c r="AD1507" s="3">
        <v>2025</v>
      </c>
      <c r="AE1507" s="3">
        <v>28</v>
      </c>
      <c r="AF1507" s="5">
        <v>0.68</v>
      </c>
      <c r="AG1507" s="3"/>
    </row>
    <row r="1508" spans="1:33" hidden="1" x14ac:dyDescent="0.35">
      <c r="A1508" t="str">
        <f>_xlfn.CONCAT(Tableau1[[#This Row],[Athletes]],"_",Tableau1[[#This Row],[Nationality]],"_",Tableau1[[#This Row],[Competition_year]])</f>
        <v>Anass ESSAYI_MAR_2025</v>
      </c>
      <c r="B1508" s="7" t="s">
        <v>259</v>
      </c>
      <c r="C1508" s="7" t="s">
        <v>16</v>
      </c>
      <c r="D1508" s="7" t="s">
        <v>75</v>
      </c>
      <c r="E1508" s="7">
        <v>14.46</v>
      </c>
      <c r="F1508" s="7">
        <v>16.89</v>
      </c>
      <c r="G1508" s="7">
        <v>15.09</v>
      </c>
      <c r="H1508" s="7">
        <v>15.53</v>
      </c>
      <c r="I1508" s="7">
        <v>15.08</v>
      </c>
      <c r="J1508" s="7">
        <v>14.77</v>
      </c>
      <c r="K1508" s="7">
        <v>14.53</v>
      </c>
      <c r="L1508" s="7">
        <v>14.54</v>
      </c>
      <c r="M1508" s="7">
        <v>14</v>
      </c>
      <c r="N1508" s="7">
        <v>14.8</v>
      </c>
      <c r="O1508" s="7">
        <v>14</v>
      </c>
      <c r="P1508" s="7">
        <v>13.83</v>
      </c>
      <c r="Q1508" s="7">
        <v>13.48</v>
      </c>
      <c r="R1508" s="7">
        <v>13.52</v>
      </c>
      <c r="S1508">
        <f>Tableau1[[#This Row],[Final_time]]-SUM(Tableau1[[#This Row],[0_100m]:[1300_1400m]])</f>
        <v>13.179999999999978</v>
      </c>
      <c r="T1508" s="7">
        <v>217.7</v>
      </c>
      <c r="U1508">
        <f t="shared" si="46"/>
        <v>217.7</v>
      </c>
      <c r="V1508">
        <f t="shared" si="47"/>
        <v>0</v>
      </c>
      <c r="W1508" s="12"/>
      <c r="X1508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8" t="s">
        <v>1378</v>
      </c>
      <c r="Z1508" s="2" t="s">
        <v>99</v>
      </c>
      <c r="AA1508" s="2" t="s">
        <v>134</v>
      </c>
      <c r="AB1508" s="2" t="s">
        <v>65</v>
      </c>
      <c r="AC1508" s="2">
        <v>45914</v>
      </c>
      <c r="AD1508" s="3">
        <v>2025</v>
      </c>
      <c r="AE1508" s="3">
        <v>28</v>
      </c>
      <c r="AF1508" s="5">
        <v>0.68</v>
      </c>
      <c r="AG1508" s="3"/>
    </row>
    <row r="1509" spans="1:33" hidden="1" x14ac:dyDescent="0.35">
      <c r="A1509" t="str">
        <f>_xlfn.CONCAT(Tableau1[[#This Row],[Athletes]],"_",Tableau1[[#This Row],[Nationality]],"_",Tableau1[[#This Row],[Competition_year]])</f>
        <v>Jakob INGEBRIGTSEN_NOR_2025</v>
      </c>
      <c r="B1509" s="7" t="s">
        <v>151</v>
      </c>
      <c r="C1509" s="7" t="s">
        <v>16</v>
      </c>
      <c r="D1509" s="7" t="s">
        <v>30</v>
      </c>
      <c r="E1509" s="7">
        <v>15.95</v>
      </c>
      <c r="F1509" s="7">
        <v>16.11</v>
      </c>
      <c r="G1509" s="7">
        <v>15.39</v>
      </c>
      <c r="H1509" s="7">
        <v>15.46</v>
      </c>
      <c r="I1509" s="7">
        <v>14.82</v>
      </c>
      <c r="J1509" s="7">
        <v>14.58</v>
      </c>
      <c r="K1509" s="7">
        <v>14.11</v>
      </c>
      <c r="L1509" s="7">
        <v>14.34</v>
      </c>
      <c r="M1509" s="7">
        <v>14.12</v>
      </c>
      <c r="N1509" s="7">
        <v>14.61</v>
      </c>
      <c r="O1509" s="7">
        <v>13.89</v>
      </c>
      <c r="P1509" s="7">
        <v>13.98</v>
      </c>
      <c r="Q1509" s="7">
        <v>13.56</v>
      </c>
      <c r="R1509" s="7">
        <v>13.58</v>
      </c>
      <c r="S1509">
        <f>Tableau1[[#This Row],[Final_time]]-SUM(Tableau1[[#This Row],[0_100m]:[1300_1400m]])</f>
        <v>13.340000000000003</v>
      </c>
      <c r="T1509" s="7">
        <v>217.84</v>
      </c>
      <c r="U1509">
        <f t="shared" si="46"/>
        <v>217.84</v>
      </c>
      <c r="V1509">
        <f t="shared" si="47"/>
        <v>0</v>
      </c>
      <c r="W1509" s="12"/>
      <c r="X1509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09" t="s">
        <v>1378</v>
      </c>
      <c r="Z1509" s="2" t="s">
        <v>99</v>
      </c>
      <c r="AA1509" s="2" t="s">
        <v>134</v>
      </c>
      <c r="AB1509" s="2" t="s">
        <v>65</v>
      </c>
      <c r="AC1509" s="2">
        <v>45914</v>
      </c>
      <c r="AD1509" s="3">
        <v>2025</v>
      </c>
      <c r="AE1509" s="3">
        <v>28</v>
      </c>
      <c r="AF1509" s="5">
        <v>0.68</v>
      </c>
      <c r="AG1509" s="3"/>
    </row>
    <row r="1510" spans="1:33" hidden="1" x14ac:dyDescent="0.35">
      <c r="A1510" t="str">
        <f>_xlfn.CONCAT(Tableau1[[#This Row],[Athletes]],"_",Tableau1[[#This Row],[Nationality]],"_",Tableau1[[#This Row],[Competition_year]])</f>
        <v>Samuel PIHLSTRÖM_SWE_2025</v>
      </c>
      <c r="B1510" s="7" t="s">
        <v>1220</v>
      </c>
      <c r="C1510" s="7" t="s">
        <v>16</v>
      </c>
      <c r="D1510" s="7" t="s">
        <v>56</v>
      </c>
      <c r="E1510" s="7">
        <v>14.91</v>
      </c>
      <c r="F1510" s="7">
        <v>16.579999999999998</v>
      </c>
      <c r="G1510" s="7">
        <v>15.24</v>
      </c>
      <c r="H1510" s="7">
        <v>15.48</v>
      </c>
      <c r="I1510" s="7">
        <v>14.99</v>
      </c>
      <c r="J1510" s="7">
        <v>14.82</v>
      </c>
      <c r="K1510" s="7">
        <v>14.17</v>
      </c>
      <c r="L1510" s="7">
        <v>14.48</v>
      </c>
      <c r="M1510" s="7">
        <v>13.84</v>
      </c>
      <c r="N1510" s="7">
        <v>14.79</v>
      </c>
      <c r="O1510" s="7">
        <v>13.78</v>
      </c>
      <c r="P1510" s="7">
        <v>14.39</v>
      </c>
      <c r="Q1510" s="7">
        <v>13.04</v>
      </c>
      <c r="R1510" s="7">
        <v>13.4</v>
      </c>
      <c r="S1510">
        <f>Tableau1[[#This Row],[Final_time]]-SUM(Tableau1[[#This Row],[0_100m]:[1300_1400m]])</f>
        <v>13.340000000000032</v>
      </c>
      <c r="T1510" s="7">
        <v>217.25</v>
      </c>
      <c r="U1510">
        <f t="shared" si="46"/>
        <v>217.25</v>
      </c>
      <c r="V1510">
        <f t="shared" si="47"/>
        <v>0</v>
      </c>
      <c r="W1510" s="12"/>
      <c r="X1510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0" t="s">
        <v>1378</v>
      </c>
      <c r="Z1510" s="2" t="s">
        <v>99</v>
      </c>
      <c r="AA1510" s="2" t="s">
        <v>134</v>
      </c>
      <c r="AB1510" s="2" t="s">
        <v>65</v>
      </c>
      <c r="AC1510" s="2">
        <v>45914</v>
      </c>
      <c r="AD1510" s="3">
        <v>2025</v>
      </c>
      <c r="AE1510" s="3">
        <v>28</v>
      </c>
      <c r="AF1510" s="5">
        <v>0.68</v>
      </c>
      <c r="AG1510" s="3"/>
    </row>
    <row r="1511" spans="1:33" hidden="1" x14ac:dyDescent="0.35">
      <c r="A1511" t="str">
        <f>_xlfn.CONCAT(Tableau1[[#This Row],[Athletes]],"_",Tableau1[[#This Row],[Nationality]],"_",Tableau1[[#This Row],[Competition_year]])</f>
        <v>Joao BUSSOTTI NEVES_ITA_2025</v>
      </c>
      <c r="B1511" s="7" t="s">
        <v>212</v>
      </c>
      <c r="C1511" s="7" t="s">
        <v>16</v>
      </c>
      <c r="D1511" s="7" t="s">
        <v>19</v>
      </c>
      <c r="E1511" s="7">
        <v>14.5</v>
      </c>
      <c r="F1511" s="7">
        <v>16.690000000000001</v>
      </c>
      <c r="G1511" s="7">
        <v>15.01</v>
      </c>
      <c r="H1511" s="7">
        <v>15.68</v>
      </c>
      <c r="I1511" s="7">
        <v>14.97</v>
      </c>
      <c r="J1511" s="7">
        <v>14.55</v>
      </c>
      <c r="K1511" s="7">
        <v>14.5</v>
      </c>
      <c r="L1511" s="7">
        <v>14.42</v>
      </c>
      <c r="M1511" s="7">
        <v>14.11</v>
      </c>
      <c r="N1511" s="7">
        <v>14.89</v>
      </c>
      <c r="O1511" s="7">
        <v>13.77</v>
      </c>
      <c r="P1511" s="7">
        <v>14.16</v>
      </c>
      <c r="Q1511" s="7">
        <v>13.62</v>
      </c>
      <c r="R1511" s="7">
        <v>13.73</v>
      </c>
      <c r="S1511">
        <f>Tableau1[[#This Row],[Final_time]]-SUM(Tableau1[[#This Row],[0_100m]:[1300_1400m]])</f>
        <v>13.780000000000001</v>
      </c>
      <c r="T1511" s="7">
        <v>218.38</v>
      </c>
      <c r="U1511">
        <f t="shared" si="46"/>
        <v>218.38</v>
      </c>
      <c r="V1511">
        <f t="shared" si="47"/>
        <v>0</v>
      </c>
      <c r="W1511" s="12"/>
      <c r="X1511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1" t="s">
        <v>1378</v>
      </c>
      <c r="Z1511" s="2" t="s">
        <v>99</v>
      </c>
      <c r="AA1511" s="2" t="s">
        <v>134</v>
      </c>
      <c r="AB1511" s="2" t="s">
        <v>65</v>
      </c>
      <c r="AC1511" s="2">
        <v>45914</v>
      </c>
      <c r="AD1511" s="3">
        <v>2025</v>
      </c>
      <c r="AE1511" s="3">
        <v>28</v>
      </c>
      <c r="AF1511" s="5">
        <v>0.68</v>
      </c>
      <c r="AG1511" s="3"/>
    </row>
    <row r="1512" spans="1:33" hidden="1" x14ac:dyDescent="0.35">
      <c r="A1512" t="str">
        <f>_xlfn.CONCAT(Tableau1[[#This Row],[Athletes]],"_",Tableau1[[#This Row],[Nationality]],"_",Tableau1[[#This Row],[Competition_year]])</f>
        <v>Carlos SAEZ_ESP_2025</v>
      </c>
      <c r="B1512" s="7" t="s">
        <v>1386</v>
      </c>
      <c r="C1512" s="7" t="s">
        <v>16</v>
      </c>
      <c r="D1512" s="7" t="s">
        <v>22</v>
      </c>
      <c r="E1512" s="7">
        <v>15</v>
      </c>
      <c r="F1512" s="7">
        <v>16.690000000000001</v>
      </c>
      <c r="G1512" s="7">
        <v>15.35</v>
      </c>
      <c r="H1512" s="7">
        <v>15.4</v>
      </c>
      <c r="I1512" s="7">
        <v>15.08</v>
      </c>
      <c r="J1512" s="7">
        <v>14.78</v>
      </c>
      <c r="K1512" s="7">
        <v>14.43</v>
      </c>
      <c r="L1512" s="7">
        <v>14.38</v>
      </c>
      <c r="M1512" s="7">
        <v>14.23</v>
      </c>
      <c r="N1512" s="7">
        <v>14.73</v>
      </c>
      <c r="O1512" s="7">
        <v>14.49</v>
      </c>
      <c r="P1512" s="7">
        <v>14.33</v>
      </c>
      <c r="Q1512" s="7">
        <v>13.67</v>
      </c>
      <c r="R1512" s="7">
        <v>13.89</v>
      </c>
      <c r="S1512">
        <f>Tableau1[[#This Row],[Final_time]]-SUM(Tableau1[[#This Row],[0_100m]:[1300_1400m]])</f>
        <v>14.160000000000025</v>
      </c>
      <c r="T1512" s="7">
        <v>220.61</v>
      </c>
      <c r="U1512">
        <f t="shared" si="46"/>
        <v>220.61</v>
      </c>
      <c r="V1512">
        <f t="shared" si="47"/>
        <v>0</v>
      </c>
      <c r="W1512" s="12"/>
      <c r="X1512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2" t="s">
        <v>1378</v>
      </c>
      <c r="Z1512" s="2" t="s">
        <v>99</v>
      </c>
      <c r="AA1512" s="2" t="s">
        <v>134</v>
      </c>
      <c r="AB1512" s="2" t="s">
        <v>65</v>
      </c>
      <c r="AC1512" s="2">
        <v>45914</v>
      </c>
      <c r="AD1512" s="3">
        <v>2025</v>
      </c>
      <c r="AE1512" s="3">
        <v>28</v>
      </c>
      <c r="AF1512" s="5">
        <v>0.68</v>
      </c>
      <c r="AG1512" s="3"/>
    </row>
    <row r="1513" spans="1:33" hidden="1" x14ac:dyDescent="0.35">
      <c r="A1513" t="str">
        <f>_xlfn.CONCAT(Tableau1[[#This Row],[Athletes]],"_",Tableau1[[#This Row],[Nationality]],"_",Tableau1[[#This Row],[Competition_year]])</f>
        <v>Melese NBERET_ETH_2025</v>
      </c>
      <c r="B1513" s="7" t="s">
        <v>501</v>
      </c>
      <c r="C1513" s="7" t="s">
        <v>16</v>
      </c>
      <c r="D1513" s="7" t="s">
        <v>48</v>
      </c>
      <c r="E1513" s="7">
        <v>15.07</v>
      </c>
      <c r="F1513" s="7">
        <v>16.510000000000002</v>
      </c>
      <c r="G1513" s="7">
        <v>14.55</v>
      </c>
      <c r="H1513" s="7">
        <v>15.05</v>
      </c>
      <c r="I1513" s="7">
        <v>14.38</v>
      </c>
      <c r="J1513" s="7">
        <v>14.75</v>
      </c>
      <c r="K1513" s="7">
        <v>14.28</v>
      </c>
      <c r="L1513" s="7">
        <v>14.61</v>
      </c>
      <c r="M1513" s="7">
        <v>14.53</v>
      </c>
      <c r="N1513" s="7">
        <v>14.86</v>
      </c>
      <c r="O1513" s="7">
        <v>14.73</v>
      </c>
      <c r="P1513" s="7">
        <v>14.59</v>
      </c>
      <c r="Q1513" s="7">
        <v>13.76</v>
      </c>
      <c r="R1513" s="7">
        <v>14.73</v>
      </c>
      <c r="S1513">
        <f>Tableau1[[#This Row],[Final_time]]-SUM(Tableau1[[#This Row],[0_100m]:[1300_1400m]])</f>
        <v>15.140000000000043</v>
      </c>
      <c r="T1513" s="7">
        <v>221.54</v>
      </c>
      <c r="U1513">
        <f t="shared" si="46"/>
        <v>221.54</v>
      </c>
      <c r="V1513">
        <f t="shared" si="47"/>
        <v>0</v>
      </c>
      <c r="W1513" s="12"/>
      <c r="X1513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3" t="s">
        <v>1378</v>
      </c>
      <c r="Z1513" s="2" t="s">
        <v>99</v>
      </c>
      <c r="AA1513" s="2" t="s">
        <v>134</v>
      </c>
      <c r="AB1513" s="2" t="s">
        <v>65</v>
      </c>
      <c r="AC1513" s="2">
        <v>45914</v>
      </c>
      <c r="AD1513" s="3">
        <v>2025</v>
      </c>
      <c r="AE1513" s="3">
        <v>28</v>
      </c>
      <c r="AF1513" s="5">
        <v>0.68</v>
      </c>
      <c r="AG1513" s="3"/>
    </row>
    <row r="1514" spans="1:33" hidden="1" x14ac:dyDescent="0.35">
      <c r="A1514" t="str">
        <f>_xlfn.CONCAT(Tableau1[[#This Row],[Athletes]],"_",Tableau1[[#This Row],[Nationality]],"_",Tableau1[[#This Row],[Competition_year]])</f>
        <v>Mukesh PAL_NEP_2025</v>
      </c>
      <c r="B1514" s="7" t="s">
        <v>1387</v>
      </c>
      <c r="C1514" s="7" t="s">
        <v>16</v>
      </c>
      <c r="D1514" s="7" t="s">
        <v>1388</v>
      </c>
      <c r="E1514" s="7">
        <v>14.74</v>
      </c>
      <c r="F1514" s="7">
        <v>15.43</v>
      </c>
      <c r="G1514" s="7">
        <v>15.21</v>
      </c>
      <c r="H1514" s="7">
        <v>15.75</v>
      </c>
      <c r="I1514" s="7">
        <v>15.49</v>
      </c>
      <c r="J1514" s="7">
        <v>15.06</v>
      </c>
      <c r="K1514" s="7">
        <v>15.28</v>
      </c>
      <c r="L1514" s="7">
        <v>15.61</v>
      </c>
      <c r="M1514" s="7">
        <v>15.84</v>
      </c>
      <c r="N1514" s="7">
        <v>16.64</v>
      </c>
      <c r="O1514" s="7">
        <v>16.21</v>
      </c>
      <c r="P1514" s="7">
        <v>15.84</v>
      </c>
      <c r="Q1514" s="7">
        <v>15.56</v>
      </c>
      <c r="R1514" s="7">
        <v>15.98</v>
      </c>
      <c r="S1514">
        <f>Tableau1[[#This Row],[Final_time]]-SUM(Tableau1[[#This Row],[0_100m]:[1300_1400m]])</f>
        <v>15.349999999999994</v>
      </c>
      <c r="T1514" s="7">
        <v>233.99</v>
      </c>
      <c r="U1514">
        <f t="shared" si="46"/>
        <v>233.99</v>
      </c>
      <c r="V1514">
        <f t="shared" si="47"/>
        <v>0</v>
      </c>
      <c r="W1514" s="12"/>
      <c r="X1514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4" t="s">
        <v>1378</v>
      </c>
      <c r="Z1514" s="2" t="s">
        <v>99</v>
      </c>
      <c r="AA1514" s="2" t="s">
        <v>134</v>
      </c>
      <c r="AB1514" s="2" t="s">
        <v>65</v>
      </c>
      <c r="AC1514" s="2">
        <v>45914</v>
      </c>
      <c r="AD1514" s="3">
        <v>2025</v>
      </c>
      <c r="AE1514" s="3">
        <v>28</v>
      </c>
      <c r="AF1514" s="5">
        <v>0.68</v>
      </c>
      <c r="AG1514" s="3"/>
    </row>
    <row r="1515" spans="1:33" hidden="1" x14ac:dyDescent="0.35">
      <c r="A1515" t="str">
        <f>_xlfn.CONCAT(Tableau1[[#This Row],[Athletes]],"_",Tableau1[[#This Row],[Nationality]],"_",Tableau1[[#This Row],[Competition_year]])</f>
        <v>Yervand MKRTCHYAN_ARM_2025</v>
      </c>
      <c r="B1515" s="7" t="s">
        <v>196</v>
      </c>
      <c r="C1515" s="7" t="s">
        <v>16</v>
      </c>
      <c r="D1515" s="7" t="s">
        <v>115</v>
      </c>
      <c r="E1515" s="7">
        <v>15.29</v>
      </c>
      <c r="F1515" s="7">
        <v>16.53</v>
      </c>
      <c r="G1515" s="7">
        <v>15.47</v>
      </c>
      <c r="H1515" s="7">
        <v>15.47</v>
      </c>
      <c r="I1515" s="7">
        <v>15.23</v>
      </c>
      <c r="J1515" s="7">
        <v>14.76</v>
      </c>
      <c r="K1515" s="7">
        <v>14.62</v>
      </c>
      <c r="L1515" s="7">
        <v>14.54</v>
      </c>
      <c r="M1515" s="7">
        <v>15.12</v>
      </c>
      <c r="N1515" s="7">
        <v>15.18</v>
      </c>
      <c r="O1515" s="7">
        <v>14.73</v>
      </c>
      <c r="P1515" s="7">
        <v>15.26</v>
      </c>
      <c r="Q1515" s="7">
        <v>14.76</v>
      </c>
      <c r="R1515" s="7">
        <v>15.68</v>
      </c>
      <c r="S1515">
        <f>Tableau1[[#This Row],[Final_time]]-SUM(Tableau1[[#This Row],[0_100m]:[1300_1400m]])</f>
        <v>15.570000000000022</v>
      </c>
      <c r="T1515" s="7">
        <v>228.21</v>
      </c>
      <c r="U1515">
        <f t="shared" si="46"/>
        <v>228.21</v>
      </c>
      <c r="V1515">
        <f t="shared" si="47"/>
        <v>0</v>
      </c>
      <c r="W1515" s="12"/>
      <c r="X1515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5" t="s">
        <v>1378</v>
      </c>
      <c r="Z1515" s="2" t="s">
        <v>99</v>
      </c>
      <c r="AA1515" s="2" t="s">
        <v>134</v>
      </c>
      <c r="AB1515" s="2" t="s">
        <v>65</v>
      </c>
      <c r="AC1515" s="2">
        <v>45914</v>
      </c>
      <c r="AD1515" s="3">
        <v>2025</v>
      </c>
      <c r="AE1515" s="3">
        <v>28</v>
      </c>
      <c r="AF1515" s="5">
        <v>0.68</v>
      </c>
      <c r="AG1515" s="3"/>
    </row>
    <row r="1516" spans="1:33" hidden="1" x14ac:dyDescent="0.35">
      <c r="A1516" t="str">
        <f>_xlfn.CONCAT(Tableau1[[#This Row],[Athletes]],"_",Tableau1[[#This Row],[Nationality]],"_",Tableau1[[#This Row],[Competition_year]])</f>
        <v>Phanuel Kipkosgei KOECH_KEN_2025</v>
      </c>
      <c r="B1516" s="7" t="s">
        <v>1353</v>
      </c>
      <c r="C1516" s="7" t="s">
        <v>16</v>
      </c>
      <c r="D1516" s="7" t="s">
        <v>17</v>
      </c>
      <c r="E1516" s="7">
        <v>14.69</v>
      </c>
      <c r="F1516" s="7">
        <v>16.57</v>
      </c>
      <c r="G1516" s="7">
        <v>15.09</v>
      </c>
      <c r="H1516" s="7">
        <v>15.5</v>
      </c>
      <c r="I1516" s="7">
        <v>14.76</v>
      </c>
      <c r="J1516" s="7">
        <v>14.63</v>
      </c>
      <c r="K1516" s="7">
        <v>14.27</v>
      </c>
      <c r="L1516" s="7">
        <v>14.39</v>
      </c>
      <c r="M1516" s="7">
        <v>14.34</v>
      </c>
      <c r="N1516" s="7">
        <v>14.93</v>
      </c>
      <c r="O1516" s="7">
        <v>13.95</v>
      </c>
      <c r="P1516" s="7">
        <v>16.37</v>
      </c>
      <c r="Q1516" s="7">
        <v>13.23</v>
      </c>
      <c r="R1516" s="7">
        <v>14.29</v>
      </c>
      <c r="S1516">
        <f>Tableau1[[#This Row],[Final_time]]-SUM(Tableau1[[#This Row],[0_100m]:[1300_1400m]])</f>
        <v>15.760000000000048</v>
      </c>
      <c r="T1516" s="7">
        <v>222.77</v>
      </c>
      <c r="U1516">
        <f t="shared" si="46"/>
        <v>222.77</v>
      </c>
      <c r="V1516">
        <f t="shared" si="47"/>
        <v>0</v>
      </c>
      <c r="W1516" s="12"/>
      <c r="X1516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6" t="s">
        <v>1378</v>
      </c>
      <c r="Z1516" s="2" t="s">
        <v>99</v>
      </c>
      <c r="AA1516" s="2" t="s">
        <v>134</v>
      </c>
      <c r="AB1516" s="2" t="s">
        <v>65</v>
      </c>
      <c r="AC1516" s="2">
        <v>45914</v>
      </c>
      <c r="AD1516" s="3">
        <v>2025</v>
      </c>
      <c r="AE1516" s="3">
        <v>28</v>
      </c>
      <c r="AF1516" s="5">
        <v>0.68</v>
      </c>
      <c r="AG1516" s="3"/>
    </row>
    <row r="1517" spans="1:33" hidden="1" x14ac:dyDescent="0.35">
      <c r="A1517" t="str">
        <f>_xlfn.CONCAT(Tableau1[[#This Row],[Athletes]],"_",Tableau1[[#This Row],[Nationality]],"_",Tableau1[[#This Row],[Competition_year]])</f>
        <v>Kieran LUMB_CAN_2025</v>
      </c>
      <c r="B1517" s="7" t="s">
        <v>220</v>
      </c>
      <c r="C1517" s="7" t="s">
        <v>16</v>
      </c>
      <c r="D1517" s="7" t="s">
        <v>55</v>
      </c>
      <c r="E1517" s="7">
        <v>14.41</v>
      </c>
      <c r="F1517" s="7">
        <v>16.329999999999998</v>
      </c>
      <c r="G1517" s="7">
        <v>15.06</v>
      </c>
      <c r="H1517" s="7">
        <v>15.6</v>
      </c>
      <c r="I1517" s="7">
        <v>14.64</v>
      </c>
      <c r="J1517" s="7">
        <v>14.74</v>
      </c>
      <c r="K1517" s="7">
        <v>14.22</v>
      </c>
      <c r="L1517" s="7">
        <v>14.63</v>
      </c>
      <c r="M1517" s="7">
        <v>14.51</v>
      </c>
      <c r="N1517" s="7">
        <v>14.88</v>
      </c>
      <c r="O1517" s="7">
        <v>14.01</v>
      </c>
      <c r="P1517" s="7">
        <v>14.1</v>
      </c>
      <c r="Q1517" s="7">
        <v>13.62</v>
      </c>
      <c r="R1517" s="7">
        <v>25.1</v>
      </c>
      <c r="S1517">
        <f>Tableau1[[#This Row],[Final_time]]-SUM(Tableau1[[#This Row],[0_100m]:[1300_1400m]])</f>
        <v>19.190000000000026</v>
      </c>
      <c r="T1517" s="7">
        <v>235.04</v>
      </c>
      <c r="U1517">
        <f t="shared" si="46"/>
        <v>235.04</v>
      </c>
      <c r="V1517">
        <f t="shared" si="47"/>
        <v>0</v>
      </c>
      <c r="W1517" s="12"/>
      <c r="X1517" t="str">
        <f>_xlfn.CONCAT(Tableau1[[#This Row],[Competition]],"_",Tableau1[[#This Row],[Championship_step]],"_",Tableau1[[#This Row],[Competition_date]],"_",Tableau1[[#This Row],[Gender]])</f>
        <v>World Championships Tokyo 2025_Heat 4_45914_Male</v>
      </c>
      <c r="Y1517" t="s">
        <v>1378</v>
      </c>
      <c r="Z1517" s="2" t="s">
        <v>99</v>
      </c>
      <c r="AA1517" s="2" t="s">
        <v>134</v>
      </c>
      <c r="AB1517" s="2" t="s">
        <v>65</v>
      </c>
      <c r="AC1517" s="2">
        <v>45914</v>
      </c>
      <c r="AD1517" s="3">
        <v>2025</v>
      </c>
      <c r="AE1517" s="3">
        <v>28</v>
      </c>
      <c r="AF1517" s="5">
        <v>0.68</v>
      </c>
      <c r="AG1517" s="3"/>
    </row>
    <row r="1518" spans="1:33" hidden="1" x14ac:dyDescent="0.35">
      <c r="A1518" t="str">
        <f>_xlfn.CONCAT(Tableau1[[#This Row],[Athletes]],"_",Tableau1[[#This Row],[Nationality]],"_",Tableau1[[#This Row],[Competition_year]])</f>
        <v>Freweyni HAILU_ETH_2025</v>
      </c>
      <c r="B1518" s="7" t="s">
        <v>144</v>
      </c>
      <c r="C1518" s="7" t="s">
        <v>47</v>
      </c>
      <c r="D1518" s="7" t="s">
        <v>48</v>
      </c>
      <c r="E1518" s="7">
        <v>14.93</v>
      </c>
      <c r="F1518" s="7">
        <v>19.23</v>
      </c>
      <c r="G1518" s="7">
        <v>16.420000000000002</v>
      </c>
      <c r="H1518" s="7">
        <v>16.84</v>
      </c>
      <c r="I1518" s="7">
        <v>16.37</v>
      </c>
      <c r="J1518" s="7">
        <v>16.739999999999998</v>
      </c>
      <c r="K1518" s="7">
        <v>16.309999999999999</v>
      </c>
      <c r="L1518" s="7">
        <v>16.260000000000002</v>
      </c>
      <c r="M1518" s="7">
        <v>15.4</v>
      </c>
      <c r="N1518" s="7">
        <v>15.41</v>
      </c>
      <c r="O1518" s="7">
        <v>15</v>
      </c>
      <c r="P1518" s="7">
        <v>15.44</v>
      </c>
      <c r="Q1518" s="7">
        <v>15.31</v>
      </c>
      <c r="R1518" s="7">
        <v>15.69</v>
      </c>
      <c r="S1518">
        <f>Tableau1[[#This Row],[Final_time]]-SUM(Tableau1[[#This Row],[0_100m]:[1300_1400m]])</f>
        <v>15.680000000000007</v>
      </c>
      <c r="T1518" s="7">
        <v>241.03</v>
      </c>
      <c r="U1518">
        <f t="shared" si="46"/>
        <v>241.03</v>
      </c>
      <c r="V1518">
        <f t="shared" si="47"/>
        <v>0</v>
      </c>
      <c r="W1518" s="12" t="s">
        <v>109</v>
      </c>
      <c r="X1518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18" t="s">
        <v>1378</v>
      </c>
      <c r="Z1518" s="2" t="s">
        <v>106</v>
      </c>
      <c r="AA1518" s="2" t="s">
        <v>130</v>
      </c>
      <c r="AB1518" s="2" t="s">
        <v>65</v>
      </c>
      <c r="AC1518" s="2">
        <v>45914</v>
      </c>
      <c r="AD1518" s="3">
        <v>2025</v>
      </c>
      <c r="AE1518" s="3">
        <v>30</v>
      </c>
      <c r="AF1518" s="5">
        <v>0.68</v>
      </c>
      <c r="AG1518" s="3"/>
    </row>
    <row r="1519" spans="1:33" hidden="1" x14ac:dyDescent="0.35">
      <c r="A1519" t="str">
        <f>_xlfn.CONCAT(Tableau1[[#This Row],[Athletes]],"_",Tableau1[[#This Row],[Nationality]],"_",Tableau1[[#This Row],[Competition_year]])</f>
        <v>Gabija GALVYDYTĖ_LTU_2025</v>
      </c>
      <c r="B1519" s="7" t="s">
        <v>1404</v>
      </c>
      <c r="C1519" s="7" t="s">
        <v>47</v>
      </c>
      <c r="D1519" s="7" t="s">
        <v>1405</v>
      </c>
      <c r="E1519" s="7">
        <v>15.04</v>
      </c>
      <c r="F1519" s="7">
        <v>17.2</v>
      </c>
      <c r="G1519" s="7">
        <v>17.829999999999998</v>
      </c>
      <c r="H1519" s="7">
        <v>16.920000000000002</v>
      </c>
      <c r="I1519" s="7">
        <v>16.43</v>
      </c>
      <c r="J1519" s="7">
        <v>16.77</v>
      </c>
      <c r="K1519" s="7">
        <v>16.39</v>
      </c>
      <c r="L1519" s="7">
        <v>16.41</v>
      </c>
      <c r="M1519" s="7">
        <v>15.89</v>
      </c>
      <c r="N1519" s="7">
        <v>15.39</v>
      </c>
      <c r="O1519" s="7">
        <v>15.24</v>
      </c>
      <c r="P1519" s="7">
        <v>15.73</v>
      </c>
      <c r="Q1519" s="7">
        <v>15.25</v>
      </c>
      <c r="R1519" s="7">
        <v>15.61</v>
      </c>
      <c r="S1519">
        <f>Tableau1[[#This Row],[Final_time]]-SUM(Tableau1[[#This Row],[0_100m]:[1300_1400m]])</f>
        <v>15.690000000000026</v>
      </c>
      <c r="T1519" s="7">
        <v>241.79</v>
      </c>
      <c r="U1519">
        <f t="shared" si="46"/>
        <v>241.79</v>
      </c>
      <c r="V1519">
        <f t="shared" si="47"/>
        <v>0</v>
      </c>
      <c r="W1519" s="12"/>
      <c r="X1519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19" t="s">
        <v>1378</v>
      </c>
      <c r="Z1519" s="2" t="s">
        <v>106</v>
      </c>
      <c r="AA1519" s="2" t="s">
        <v>130</v>
      </c>
      <c r="AB1519" s="2" t="s">
        <v>65</v>
      </c>
      <c r="AC1519" s="2">
        <v>45914</v>
      </c>
      <c r="AD1519" s="3">
        <v>2025</v>
      </c>
      <c r="AE1519" s="3">
        <v>30</v>
      </c>
      <c r="AF1519" s="5">
        <v>0.68</v>
      </c>
      <c r="AG1519" s="3"/>
    </row>
    <row r="1520" spans="1:33" hidden="1" x14ac:dyDescent="0.35">
      <c r="A1520" t="str">
        <f>_xlfn.CONCAT(Tableau1[[#This Row],[Athletes]],"_",Tableau1[[#This Row],[Nationality]],"_",Tableau1[[#This Row],[Competition_year]])</f>
        <v>Marta PÉREZ_ESP_2025</v>
      </c>
      <c r="B1520" s="7" t="s">
        <v>183</v>
      </c>
      <c r="C1520" s="7" t="s">
        <v>47</v>
      </c>
      <c r="D1520" s="7" t="s">
        <v>22</v>
      </c>
      <c r="E1520" s="7">
        <v>14.96</v>
      </c>
      <c r="F1520" s="7">
        <v>17.14</v>
      </c>
      <c r="G1520" s="7">
        <v>17.77</v>
      </c>
      <c r="H1520" s="7">
        <v>16.91</v>
      </c>
      <c r="I1520" s="7">
        <v>16.48</v>
      </c>
      <c r="J1520" s="7">
        <v>16.53</v>
      </c>
      <c r="K1520" s="7">
        <v>16.329999999999998</v>
      </c>
      <c r="L1520" s="7">
        <v>16.149999999999999</v>
      </c>
      <c r="M1520" s="7">
        <v>15.47</v>
      </c>
      <c r="N1520" s="7">
        <v>15.56</v>
      </c>
      <c r="O1520" s="7">
        <v>15.47</v>
      </c>
      <c r="P1520" s="7">
        <v>15.45</v>
      </c>
      <c r="Q1520" s="7">
        <v>15.61</v>
      </c>
      <c r="R1520" s="7">
        <v>15.65</v>
      </c>
      <c r="S1520">
        <f>Tableau1[[#This Row],[Final_time]]-SUM(Tableau1[[#This Row],[0_100m]:[1300_1400m]])</f>
        <v>15.710000000000008</v>
      </c>
      <c r="T1520" s="7">
        <v>241.19</v>
      </c>
      <c r="U1520">
        <f t="shared" si="46"/>
        <v>241.19</v>
      </c>
      <c r="V1520">
        <f t="shared" si="47"/>
        <v>0</v>
      </c>
      <c r="W1520" s="12" t="s">
        <v>109</v>
      </c>
      <c r="X1520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0" t="s">
        <v>1378</v>
      </c>
      <c r="Z1520" s="2" t="s">
        <v>106</v>
      </c>
      <c r="AA1520" s="2" t="s">
        <v>130</v>
      </c>
      <c r="AB1520" s="2" t="s">
        <v>65</v>
      </c>
      <c r="AC1520" s="2">
        <v>45914</v>
      </c>
      <c r="AD1520" s="3">
        <v>2025</v>
      </c>
      <c r="AE1520" s="3">
        <v>30</v>
      </c>
      <c r="AF1520" s="5">
        <v>0.68</v>
      </c>
      <c r="AG1520" s="3"/>
    </row>
    <row r="1521" spans="1:33" hidden="1" x14ac:dyDescent="0.35">
      <c r="A1521" t="str">
        <f>_xlfn.CONCAT(Tableau1[[#This Row],[Athletes]],"_",Tableau1[[#This Row],[Nationality]],"_",Tableau1[[#This Row],[Competition_year]])</f>
        <v>Sarah MADELEINE_FRA_2025</v>
      </c>
      <c r="B1521" s="7" t="s">
        <v>1349</v>
      </c>
      <c r="C1521" s="7" t="s">
        <v>47</v>
      </c>
      <c r="D1521" s="7" t="s">
        <v>18</v>
      </c>
      <c r="E1521" s="7">
        <v>15.58</v>
      </c>
      <c r="F1521" s="7">
        <v>17.149999999999999</v>
      </c>
      <c r="G1521" s="7">
        <v>17.25</v>
      </c>
      <c r="H1521" s="7">
        <v>16.600000000000001</v>
      </c>
      <c r="I1521" s="7">
        <v>16.670000000000002</v>
      </c>
      <c r="J1521" s="7">
        <v>16.53</v>
      </c>
      <c r="K1521" s="7">
        <v>16.45</v>
      </c>
      <c r="L1521" s="7">
        <v>16.13</v>
      </c>
      <c r="M1521" s="7">
        <v>15.53</v>
      </c>
      <c r="N1521" s="7">
        <v>15.65</v>
      </c>
      <c r="O1521" s="7">
        <v>15.54</v>
      </c>
      <c r="P1521" s="7">
        <v>15.7</v>
      </c>
      <c r="Q1521" s="7">
        <v>15.08</v>
      </c>
      <c r="R1521" s="7">
        <v>15.73</v>
      </c>
      <c r="S1521">
        <f>Tableau1[[#This Row],[Final_time]]-SUM(Tableau1[[#This Row],[0_100m]:[1300_1400m]])</f>
        <v>15.710000000000008</v>
      </c>
      <c r="T1521" s="7">
        <v>241.3</v>
      </c>
      <c r="U1521">
        <f t="shared" si="46"/>
        <v>241.3</v>
      </c>
      <c r="V1521">
        <f t="shared" si="47"/>
        <v>0</v>
      </c>
      <c r="W1521" s="12" t="s">
        <v>109</v>
      </c>
      <c r="X1521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1" t="s">
        <v>1378</v>
      </c>
      <c r="Z1521" s="2" t="s">
        <v>106</v>
      </c>
      <c r="AA1521" s="2" t="s">
        <v>130</v>
      </c>
      <c r="AB1521" s="2" t="s">
        <v>65</v>
      </c>
      <c r="AC1521" s="2">
        <v>45914</v>
      </c>
      <c r="AD1521" s="3">
        <v>2025</v>
      </c>
      <c r="AE1521" s="3">
        <v>30</v>
      </c>
      <c r="AF1521" s="5">
        <v>0.68</v>
      </c>
      <c r="AG1521" s="3"/>
    </row>
    <row r="1522" spans="1:33" hidden="1" x14ac:dyDescent="0.35">
      <c r="A1522" t="str">
        <f>_xlfn.CONCAT(Tableau1[[#This Row],[Athletes]],"_",Tableau1[[#This Row],[Nationality]],"_",Tableau1[[#This Row],[Competition_year]])</f>
        <v>Sinclaire JOHNSON_USA_2025</v>
      </c>
      <c r="B1522" s="7" t="s">
        <v>185</v>
      </c>
      <c r="C1522" s="7" t="s">
        <v>47</v>
      </c>
      <c r="D1522" s="7" t="s">
        <v>51</v>
      </c>
      <c r="E1522" s="7">
        <v>15.06</v>
      </c>
      <c r="F1522" s="7">
        <v>16.920000000000002</v>
      </c>
      <c r="G1522" s="7">
        <v>17.7</v>
      </c>
      <c r="H1522" s="7">
        <v>16.809999999999999</v>
      </c>
      <c r="I1522" s="7">
        <v>16.559999999999999</v>
      </c>
      <c r="J1522" s="7">
        <v>16.489999999999998</v>
      </c>
      <c r="K1522" s="7">
        <v>16.399999999999999</v>
      </c>
      <c r="L1522" s="7">
        <v>16.12</v>
      </c>
      <c r="M1522" s="7">
        <v>15.42</v>
      </c>
      <c r="N1522" s="7">
        <v>15.48</v>
      </c>
      <c r="O1522" s="7">
        <v>15.46</v>
      </c>
      <c r="P1522" s="7">
        <v>15.6</v>
      </c>
      <c r="Q1522" s="7">
        <v>15.59</v>
      </c>
      <c r="R1522" s="7">
        <v>15.75</v>
      </c>
      <c r="S1522">
        <f>Tableau1[[#This Row],[Final_time]]-SUM(Tableau1[[#This Row],[0_100m]:[1300_1400m]])</f>
        <v>15.720000000000027</v>
      </c>
      <c r="T1522" s="7">
        <v>241.08</v>
      </c>
      <c r="U1522">
        <f t="shared" si="46"/>
        <v>241.08</v>
      </c>
      <c r="V1522">
        <f t="shared" si="47"/>
        <v>0</v>
      </c>
      <c r="W1522" s="12" t="s">
        <v>109</v>
      </c>
      <c r="X1522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2" t="s">
        <v>1378</v>
      </c>
      <c r="Z1522" s="2" t="s">
        <v>106</v>
      </c>
      <c r="AA1522" s="2" t="s">
        <v>130</v>
      </c>
      <c r="AB1522" s="2" t="s">
        <v>65</v>
      </c>
      <c r="AC1522" s="2">
        <v>45914</v>
      </c>
      <c r="AD1522" s="3">
        <v>2025</v>
      </c>
      <c r="AE1522" s="3">
        <v>30</v>
      </c>
      <c r="AF1522" s="5">
        <v>0.68</v>
      </c>
      <c r="AG1522" s="3"/>
    </row>
    <row r="1523" spans="1:33" hidden="1" x14ac:dyDescent="0.35">
      <c r="A1523" t="str">
        <f>_xlfn.CONCAT(Tableau1[[#This Row],[Athletes]],"_",Tableau1[[#This Row],[Nationality]],"_",Tableau1[[#This Row],[Competition_year]])</f>
        <v>Faith KIPYEGON_KEN_2025</v>
      </c>
      <c r="B1523" s="7" t="s">
        <v>164</v>
      </c>
      <c r="C1523" s="7" t="s">
        <v>47</v>
      </c>
      <c r="D1523" s="7" t="s">
        <v>17</v>
      </c>
      <c r="E1523" s="7">
        <v>15.4</v>
      </c>
      <c r="F1523" s="7">
        <v>17.09</v>
      </c>
      <c r="G1523" s="7">
        <v>17.23</v>
      </c>
      <c r="H1523" s="7">
        <v>16.5</v>
      </c>
      <c r="I1523" s="7">
        <v>16.579999999999998</v>
      </c>
      <c r="J1523" s="7">
        <v>16.55</v>
      </c>
      <c r="K1523" s="7">
        <v>16.350000000000001</v>
      </c>
      <c r="L1523" s="7">
        <v>16.09</v>
      </c>
      <c r="M1523" s="7">
        <v>15.45</v>
      </c>
      <c r="N1523" s="7">
        <v>15.42</v>
      </c>
      <c r="O1523" s="7">
        <v>15.47</v>
      </c>
      <c r="P1523" s="7">
        <v>15.4</v>
      </c>
      <c r="Q1523" s="7">
        <v>15.55</v>
      </c>
      <c r="R1523" s="7">
        <v>15.38</v>
      </c>
      <c r="S1523">
        <f>Tableau1[[#This Row],[Final_time]]-SUM(Tableau1[[#This Row],[0_100m]:[1300_1400m]])</f>
        <v>15.880000000000024</v>
      </c>
      <c r="T1523" s="7">
        <v>240.34</v>
      </c>
      <c r="U1523">
        <f t="shared" si="46"/>
        <v>240.34</v>
      </c>
      <c r="V1523">
        <f t="shared" si="47"/>
        <v>0</v>
      </c>
      <c r="W1523" s="12" t="s">
        <v>109</v>
      </c>
      <c r="X1523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3" t="s">
        <v>1378</v>
      </c>
      <c r="Z1523" s="2" t="s">
        <v>106</v>
      </c>
      <c r="AA1523" s="2" t="s">
        <v>130</v>
      </c>
      <c r="AB1523" s="2" t="s">
        <v>65</v>
      </c>
      <c r="AC1523" s="2">
        <v>45914</v>
      </c>
      <c r="AD1523" s="3">
        <v>2025</v>
      </c>
      <c r="AE1523" s="3">
        <v>30</v>
      </c>
      <c r="AF1523" s="5">
        <v>0.68</v>
      </c>
      <c r="AG1523" s="3"/>
    </row>
    <row r="1524" spans="1:33" hidden="1" x14ac:dyDescent="0.35">
      <c r="A1524" t="str">
        <f>_xlfn.CONCAT(Tableau1[[#This Row],[Athletes]],"_",Tableau1[[#This Row],[Nationality]],"_",Tableau1[[#This Row],[Competition_year]])</f>
        <v>Dorcus EWOI_KEN_2025</v>
      </c>
      <c r="B1524" s="7" t="s">
        <v>1390</v>
      </c>
      <c r="C1524" s="7" t="s">
        <v>47</v>
      </c>
      <c r="D1524" s="7" t="s">
        <v>17</v>
      </c>
      <c r="E1524" s="7">
        <v>15.21</v>
      </c>
      <c r="F1524" s="7">
        <v>17.079999999999998</v>
      </c>
      <c r="G1524" s="7">
        <v>22.81</v>
      </c>
      <c r="H1524" s="7">
        <v>11.45</v>
      </c>
      <c r="I1524" s="7">
        <v>16.600000000000001</v>
      </c>
      <c r="J1524" s="7">
        <v>16.5</v>
      </c>
      <c r="K1524" s="7">
        <v>16.38</v>
      </c>
      <c r="L1524" s="7">
        <v>16.12</v>
      </c>
      <c r="M1524" s="7">
        <v>15.48</v>
      </c>
      <c r="N1524" s="7">
        <v>15.42</v>
      </c>
      <c r="O1524" s="7">
        <v>15.46</v>
      </c>
      <c r="P1524" s="7">
        <v>15.33</v>
      </c>
      <c r="Q1524" s="7">
        <v>15.48</v>
      </c>
      <c r="R1524" s="7">
        <v>15.27</v>
      </c>
      <c r="S1524">
        <f>Tableau1[[#This Row],[Final_time]]-SUM(Tableau1[[#This Row],[0_100m]:[1300_1400m]])</f>
        <v>16.060000000000002</v>
      </c>
      <c r="T1524" s="7">
        <v>240.65</v>
      </c>
      <c r="U1524">
        <f t="shared" si="46"/>
        <v>240.65</v>
      </c>
      <c r="V1524">
        <f t="shared" si="47"/>
        <v>0</v>
      </c>
      <c r="W1524" s="12" t="s">
        <v>109</v>
      </c>
      <c r="X1524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4" t="s">
        <v>1378</v>
      </c>
      <c r="Z1524" s="2" t="s">
        <v>106</v>
      </c>
      <c r="AA1524" s="2" t="s">
        <v>130</v>
      </c>
      <c r="AB1524" s="2" t="s">
        <v>65</v>
      </c>
      <c r="AC1524" s="2">
        <v>45914</v>
      </c>
      <c r="AD1524" s="3">
        <v>2025</v>
      </c>
      <c r="AE1524" s="3">
        <v>30</v>
      </c>
      <c r="AF1524" s="5">
        <v>0.68</v>
      </c>
      <c r="AG1524" s="3"/>
    </row>
    <row r="1525" spans="1:33" hidden="1" x14ac:dyDescent="0.35">
      <c r="A1525" t="str">
        <f>_xlfn.CONCAT(Tableau1[[#This Row],[Athletes]],"_",Tableau1[[#This Row],[Nationality]],"_",Tableau1[[#This Row],[Competition_year]])</f>
        <v>Weronika LIZAKOWSKA_POL_2025</v>
      </c>
      <c r="B1525" s="7" t="s">
        <v>409</v>
      </c>
      <c r="C1525" s="7" t="s">
        <v>47</v>
      </c>
      <c r="D1525" s="7" t="s">
        <v>83</v>
      </c>
      <c r="E1525" s="7">
        <v>15.12</v>
      </c>
      <c r="F1525" s="7">
        <v>17.190000000000001</v>
      </c>
      <c r="G1525" s="7">
        <v>17.8</v>
      </c>
      <c r="H1525" s="7">
        <v>16.809999999999999</v>
      </c>
      <c r="I1525" s="7">
        <v>16.57</v>
      </c>
      <c r="J1525" s="7">
        <v>16.579999999999998</v>
      </c>
      <c r="K1525" s="7">
        <v>16.25</v>
      </c>
      <c r="L1525" s="7">
        <v>16.190000000000001</v>
      </c>
      <c r="M1525" s="7">
        <v>15.54</v>
      </c>
      <c r="N1525" s="7">
        <v>15.63</v>
      </c>
      <c r="O1525" s="7">
        <v>15.65</v>
      </c>
      <c r="P1525" s="7">
        <v>15.78</v>
      </c>
      <c r="Q1525" s="7">
        <v>15.9</v>
      </c>
      <c r="R1525" s="7">
        <v>16.14</v>
      </c>
      <c r="S1525">
        <f>Tableau1[[#This Row],[Final_time]]-SUM(Tableau1[[#This Row],[0_100m]:[1300_1400m]])</f>
        <v>16.239999999999952</v>
      </c>
      <c r="T1525" s="7">
        <v>243.39</v>
      </c>
      <c r="U1525">
        <f t="shared" si="46"/>
        <v>243.39</v>
      </c>
      <c r="V1525">
        <f t="shared" si="47"/>
        <v>0</v>
      </c>
      <c r="W1525" s="12"/>
      <c r="X1525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5" t="s">
        <v>1378</v>
      </c>
      <c r="Z1525" s="2" t="s">
        <v>106</v>
      </c>
      <c r="AA1525" s="2" t="s">
        <v>130</v>
      </c>
      <c r="AB1525" s="2" t="s">
        <v>65</v>
      </c>
      <c r="AC1525" s="2">
        <v>45914</v>
      </c>
      <c r="AD1525" s="3">
        <v>2025</v>
      </c>
      <c r="AE1525" s="3">
        <v>30</v>
      </c>
      <c r="AF1525" s="5">
        <v>0.68</v>
      </c>
      <c r="AG1525" s="3"/>
    </row>
    <row r="1526" spans="1:33" hidden="1" x14ac:dyDescent="0.35">
      <c r="A1526" t="str">
        <f>_xlfn.CONCAT(Tableau1[[#This Row],[Athletes]],"_",Tableau1[[#This Row],[Nationality]],"_",Tableau1[[#This Row],[Competition_year]])</f>
        <v>Linden HALL_AUS_2025</v>
      </c>
      <c r="B1526" s="7" t="s">
        <v>184</v>
      </c>
      <c r="C1526" s="7" t="s">
        <v>47</v>
      </c>
      <c r="D1526" s="7" t="s">
        <v>21</v>
      </c>
      <c r="E1526" s="7">
        <v>15.36</v>
      </c>
      <c r="F1526" s="7">
        <v>16.760000000000002</v>
      </c>
      <c r="G1526" s="7">
        <v>17.670000000000002</v>
      </c>
      <c r="H1526" s="7">
        <v>16.579999999999998</v>
      </c>
      <c r="I1526" s="7">
        <v>16.53</v>
      </c>
      <c r="J1526" s="7">
        <v>16.54</v>
      </c>
      <c r="K1526" s="7">
        <v>16.37</v>
      </c>
      <c r="L1526" s="7">
        <v>16.05</v>
      </c>
      <c r="M1526" s="7">
        <v>15.38</v>
      </c>
      <c r="N1526" s="7">
        <v>15.5</v>
      </c>
      <c r="O1526" s="7">
        <v>15.42</v>
      </c>
      <c r="P1526" s="7">
        <v>15.51</v>
      </c>
      <c r="Q1526" s="7">
        <v>15.71</v>
      </c>
      <c r="R1526" s="7">
        <v>15.91</v>
      </c>
      <c r="S1526">
        <f>Tableau1[[#This Row],[Final_time]]-SUM(Tableau1[[#This Row],[0_100m]:[1300_1400m]])</f>
        <v>16.360000000000014</v>
      </c>
      <c r="T1526" s="7">
        <v>241.65</v>
      </c>
      <c r="U1526">
        <f t="shared" si="46"/>
        <v>241.65</v>
      </c>
      <c r="V1526">
        <f t="shared" si="47"/>
        <v>0</v>
      </c>
      <c r="W1526" s="12"/>
      <c r="X1526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6" t="s">
        <v>1378</v>
      </c>
      <c r="Z1526" s="2" t="s">
        <v>106</v>
      </c>
      <c r="AA1526" s="2" t="s">
        <v>130</v>
      </c>
      <c r="AB1526" s="2" t="s">
        <v>65</v>
      </c>
      <c r="AC1526" s="2">
        <v>45914</v>
      </c>
      <c r="AD1526" s="3">
        <v>2025</v>
      </c>
      <c r="AE1526" s="3">
        <v>30</v>
      </c>
      <c r="AF1526" s="5">
        <v>0.68</v>
      </c>
      <c r="AG1526" s="3"/>
    </row>
    <row r="1527" spans="1:33" hidden="1" x14ac:dyDescent="0.35">
      <c r="A1527" t="str">
        <f>_xlfn.CONCAT(Tableau1[[#This Row],[Athletes]],"_",Tableau1[[#This Row],[Nationality]],"_",Tableau1[[#This Row],[Competition_year]])</f>
        <v>Emily MACKAY_USA_2025</v>
      </c>
      <c r="B1527" s="7" t="s">
        <v>415</v>
      </c>
      <c r="C1527" s="7" t="s">
        <v>47</v>
      </c>
      <c r="D1527" s="7" t="s">
        <v>51</v>
      </c>
      <c r="E1527" s="7">
        <v>15.17</v>
      </c>
      <c r="F1527" s="7">
        <v>17.149999999999999</v>
      </c>
      <c r="G1527" s="7">
        <v>17.7</v>
      </c>
      <c r="H1527" s="7">
        <v>16.78</v>
      </c>
      <c r="I1527" s="7">
        <v>16.600000000000001</v>
      </c>
      <c r="J1527" s="7">
        <v>16.7</v>
      </c>
      <c r="K1527" s="7">
        <v>16.37</v>
      </c>
      <c r="L1527" s="7">
        <v>16.32</v>
      </c>
      <c r="M1527" s="7">
        <v>16.670000000000002</v>
      </c>
      <c r="N1527" s="7">
        <v>16.87</v>
      </c>
      <c r="O1527" s="7">
        <v>17</v>
      </c>
      <c r="P1527" s="7">
        <v>17.14</v>
      </c>
      <c r="Q1527" s="7">
        <v>17.440000000000001</v>
      </c>
      <c r="R1527" s="7">
        <v>17.63</v>
      </c>
      <c r="S1527">
        <f>Tableau1[[#This Row],[Final_time]]-SUM(Tableau1[[#This Row],[0_100m]:[1300_1400m]])</f>
        <v>17.259999999999991</v>
      </c>
      <c r="T1527" s="7">
        <v>252.8</v>
      </c>
      <c r="U1527">
        <f t="shared" si="46"/>
        <v>252.8</v>
      </c>
      <c r="V1527">
        <f t="shared" si="47"/>
        <v>0</v>
      </c>
      <c r="W1527" s="12"/>
      <c r="X1527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7" t="s">
        <v>1378</v>
      </c>
      <c r="Z1527" s="2" t="s">
        <v>106</v>
      </c>
      <c r="AA1527" s="2" t="s">
        <v>130</v>
      </c>
      <c r="AB1527" s="2" t="s">
        <v>65</v>
      </c>
      <c r="AC1527" s="2">
        <v>45914</v>
      </c>
      <c r="AD1527" s="3">
        <v>2025</v>
      </c>
      <c r="AE1527" s="3">
        <v>30</v>
      </c>
      <c r="AF1527" s="5">
        <v>0.68</v>
      </c>
      <c r="AG1527" s="3"/>
    </row>
    <row r="1528" spans="1:33" hidden="1" x14ac:dyDescent="0.35">
      <c r="A1528" t="str">
        <f>_xlfn.CONCAT(Tableau1[[#This Row],[Athletes]],"_",Tableau1[[#This Row],[Nationality]],"_",Tableau1[[#This Row],[Competition_year]])</f>
        <v>Sophie O'SULLIVAN_IRL_2025</v>
      </c>
      <c r="B1528" s="7" t="s">
        <v>1400</v>
      </c>
      <c r="C1528" s="7" t="s">
        <v>47</v>
      </c>
      <c r="D1528" s="7" t="s">
        <v>35</v>
      </c>
      <c r="E1528" s="7">
        <v>15.3</v>
      </c>
      <c r="F1528" s="7">
        <v>17.12</v>
      </c>
      <c r="G1528" s="7">
        <v>17.84</v>
      </c>
      <c r="H1528" s="7">
        <v>16.96</v>
      </c>
      <c r="I1528" s="7">
        <v>16.510000000000002</v>
      </c>
      <c r="J1528" s="7">
        <v>16.829999999999998</v>
      </c>
      <c r="K1528" s="7">
        <v>16.82</v>
      </c>
      <c r="L1528" s="7">
        <v>16.96</v>
      </c>
      <c r="M1528" s="7">
        <v>17.63</v>
      </c>
      <c r="N1528" s="7">
        <v>17.75</v>
      </c>
      <c r="O1528" s="7">
        <v>17.690000000000001</v>
      </c>
      <c r="P1528" s="7">
        <v>17.71</v>
      </c>
      <c r="Q1528" s="7">
        <v>17.95</v>
      </c>
      <c r="R1528" s="7">
        <v>17.77</v>
      </c>
      <c r="S1528">
        <f>Tableau1[[#This Row],[Final_time]]-SUM(Tableau1[[#This Row],[0_100m]:[1300_1400m]])</f>
        <v>17.340000000000003</v>
      </c>
      <c r="T1528" s="7">
        <v>258.18</v>
      </c>
      <c r="U1528">
        <f t="shared" si="46"/>
        <v>258.18</v>
      </c>
      <c r="V1528">
        <f t="shared" si="47"/>
        <v>0</v>
      </c>
      <c r="W1528" s="12"/>
      <c r="X1528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8" t="s">
        <v>1378</v>
      </c>
      <c r="Z1528" s="2" t="s">
        <v>106</v>
      </c>
      <c r="AA1528" s="2" t="s">
        <v>130</v>
      </c>
      <c r="AB1528" s="2" t="s">
        <v>65</v>
      </c>
      <c r="AC1528" s="2">
        <v>45914</v>
      </c>
      <c r="AD1528" s="3">
        <v>2025</v>
      </c>
      <c r="AE1528" s="3">
        <v>30</v>
      </c>
      <c r="AF1528" s="5">
        <v>0.68</v>
      </c>
      <c r="AG1528" s="3"/>
    </row>
    <row r="1529" spans="1:33" hidden="1" x14ac:dyDescent="0.35">
      <c r="A1529" t="str">
        <f>_xlfn.CONCAT(Tableau1[[#This Row],[Athletes]],"_",Tableau1[[#This Row],[Nationality]],"_",Tableau1[[#This Row],[Competition_year]])</f>
        <v>Gaia SABBATINI_ITA_2025</v>
      </c>
      <c r="B1529" s="7" t="s">
        <v>167</v>
      </c>
      <c r="C1529" s="7" t="s">
        <v>47</v>
      </c>
      <c r="D1529" s="7" t="s">
        <v>19</v>
      </c>
      <c r="E1529" s="7">
        <v>15.2</v>
      </c>
      <c r="F1529" s="7">
        <v>17.32</v>
      </c>
      <c r="G1529" s="7">
        <v>17.59</v>
      </c>
      <c r="H1529" s="7">
        <v>16.88</v>
      </c>
      <c r="I1529" s="7">
        <v>16.59</v>
      </c>
      <c r="J1529" s="7">
        <v>16.77</v>
      </c>
      <c r="K1529" s="7">
        <v>16.25</v>
      </c>
      <c r="L1529" s="7">
        <v>16.260000000000002</v>
      </c>
      <c r="M1529" s="7">
        <v>16.420000000000002</v>
      </c>
      <c r="N1529" s="7">
        <v>16.57</v>
      </c>
      <c r="O1529" s="7">
        <v>16.91</v>
      </c>
      <c r="P1529" s="7">
        <v>17.239999999999998</v>
      </c>
      <c r="Q1529" s="7">
        <v>17.649999999999999</v>
      </c>
      <c r="R1529" s="7">
        <v>17.68</v>
      </c>
      <c r="S1529">
        <f>Tableau1[[#This Row],[Final_time]]-SUM(Tableau1[[#This Row],[0_100m]:[1300_1400m]])</f>
        <v>17.600000000000023</v>
      </c>
      <c r="T1529" s="7">
        <v>252.93</v>
      </c>
      <c r="U1529">
        <f t="shared" si="46"/>
        <v>252.93</v>
      </c>
      <c r="V1529">
        <f t="shared" si="47"/>
        <v>0</v>
      </c>
      <c r="W1529" s="12"/>
      <c r="X1529" t="str">
        <f>_xlfn.CONCAT(Tableau1[[#This Row],[Competition]],"_",Tableau1[[#This Row],[Championship_step]],"_",Tableau1[[#This Row],[Competition_date]],"_",Tableau1[[#This Row],[Gender]])</f>
        <v>World Championships Tokyo 2025_Semi 1_45914_Female</v>
      </c>
      <c r="Y1529" t="s">
        <v>1378</v>
      </c>
      <c r="Z1529" s="2" t="s">
        <v>106</v>
      </c>
      <c r="AA1529" s="2" t="s">
        <v>130</v>
      </c>
      <c r="AB1529" s="2" t="s">
        <v>65</v>
      </c>
      <c r="AC1529" s="2">
        <v>45914</v>
      </c>
      <c r="AD1529" s="3">
        <v>2025</v>
      </c>
      <c r="AE1529" s="3">
        <v>30</v>
      </c>
      <c r="AF1529" s="5">
        <v>0.68</v>
      </c>
      <c r="AG1529" s="3"/>
    </row>
    <row r="1530" spans="1:33" hidden="1" x14ac:dyDescent="0.35">
      <c r="A1530" t="str">
        <f>_xlfn.CONCAT(Tableau1[[#This Row],[Athletes]],"_",Tableau1[[#This Row],[Nationality]],"_",Tableau1[[#This Row],[Competition_year]])</f>
        <v>Ethan STRAND_USA_2025</v>
      </c>
      <c r="B1530" s="7" t="s">
        <v>1372</v>
      </c>
      <c r="C1530" s="7" t="s">
        <v>16</v>
      </c>
      <c r="D1530" s="7" t="s">
        <v>51</v>
      </c>
      <c r="E1530" s="7">
        <v>14.02</v>
      </c>
      <c r="F1530" s="7">
        <v>15.86</v>
      </c>
      <c r="G1530" s="7">
        <v>15.69</v>
      </c>
      <c r="H1530" s="7">
        <v>15.57</v>
      </c>
      <c r="I1530" s="7">
        <v>15.09</v>
      </c>
      <c r="J1530" s="7">
        <v>15.24</v>
      </c>
      <c r="K1530" s="7">
        <v>14.5</v>
      </c>
      <c r="L1530" s="7">
        <v>14.6</v>
      </c>
      <c r="M1530" s="7">
        <v>14.22</v>
      </c>
      <c r="N1530" s="7">
        <v>14.43</v>
      </c>
      <c r="O1530" s="7">
        <v>13.76</v>
      </c>
      <c r="P1530" s="7">
        <v>13.85</v>
      </c>
      <c r="Q1530" s="7">
        <v>13.35</v>
      </c>
      <c r="R1530" s="7">
        <v>13.11</v>
      </c>
      <c r="S1530">
        <f>Tableau1[[#This Row],[Final_time]]-SUM(Tableau1[[#This Row],[0_100m]:[1300_1400m]])</f>
        <v>12.860000000000042</v>
      </c>
      <c r="T1530" s="7">
        <v>216.15</v>
      </c>
      <c r="U1530">
        <f t="shared" si="46"/>
        <v>216.15</v>
      </c>
      <c r="V1530">
        <f t="shared" si="47"/>
        <v>0</v>
      </c>
      <c r="W1530" s="12"/>
      <c r="X1530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0" t="s">
        <v>1378</v>
      </c>
      <c r="Z1530" s="2" t="s">
        <v>106</v>
      </c>
      <c r="AA1530" s="2" t="s">
        <v>130</v>
      </c>
      <c r="AB1530" s="2" t="s">
        <v>65</v>
      </c>
      <c r="AC1530" s="2">
        <v>45915</v>
      </c>
      <c r="AD1530" s="3">
        <v>2025</v>
      </c>
      <c r="AE1530" s="3">
        <v>28</v>
      </c>
      <c r="AF1530" s="5">
        <v>0.7</v>
      </c>
      <c r="AG1530" s="3"/>
    </row>
    <row r="1531" spans="1:33" hidden="1" x14ac:dyDescent="0.35">
      <c r="A1531" t="str">
        <f>_xlfn.CONCAT(Tableau1[[#This Row],[Athletes]],"_",Tableau1[[#This Row],[Nationality]],"_",Tableau1[[#This Row],[Competition_year]])</f>
        <v>Narve Gilje NORDÅS_NOR_2025</v>
      </c>
      <c r="B1531" s="7" t="s">
        <v>217</v>
      </c>
      <c r="C1531" s="7" t="s">
        <v>16</v>
      </c>
      <c r="D1531" s="7" t="s">
        <v>30</v>
      </c>
      <c r="E1531" s="7">
        <v>14.36</v>
      </c>
      <c r="F1531" s="7">
        <v>15.64</v>
      </c>
      <c r="G1531" s="7">
        <v>15.42</v>
      </c>
      <c r="H1531" s="7">
        <v>15.96</v>
      </c>
      <c r="I1531" s="7">
        <v>15.05</v>
      </c>
      <c r="J1531" s="7">
        <v>15.2</v>
      </c>
      <c r="K1531" s="7">
        <v>14.67</v>
      </c>
      <c r="L1531" s="7">
        <v>14.71</v>
      </c>
      <c r="M1531" s="7">
        <v>14.12</v>
      </c>
      <c r="N1531" s="7">
        <v>14.43</v>
      </c>
      <c r="O1531" s="7">
        <v>13.29</v>
      </c>
      <c r="P1531" s="7">
        <v>13.72</v>
      </c>
      <c r="Q1531" s="7">
        <v>12.81</v>
      </c>
      <c r="R1531" s="7">
        <v>13.39</v>
      </c>
      <c r="S1531">
        <f>Tableau1[[#This Row],[Final_time]]-SUM(Tableau1[[#This Row],[0_100m]:[1300_1400m]])</f>
        <v>12.94999999999996</v>
      </c>
      <c r="T1531" s="7">
        <v>215.72</v>
      </c>
      <c r="U1531">
        <f t="shared" si="46"/>
        <v>215.72</v>
      </c>
      <c r="V1531">
        <f t="shared" si="47"/>
        <v>0</v>
      </c>
      <c r="W1531" s="12"/>
      <c r="X1531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1" t="s">
        <v>1378</v>
      </c>
      <c r="Z1531" s="2" t="s">
        <v>106</v>
      </c>
      <c r="AA1531" s="2" t="s">
        <v>130</v>
      </c>
      <c r="AB1531" s="2" t="s">
        <v>65</v>
      </c>
      <c r="AC1531" s="2">
        <v>45915</v>
      </c>
      <c r="AD1531" s="3">
        <v>2025</v>
      </c>
      <c r="AE1531" s="3">
        <v>28</v>
      </c>
      <c r="AF1531" s="5">
        <v>0.7</v>
      </c>
      <c r="AG1531" s="3"/>
    </row>
    <row r="1532" spans="1:33" hidden="1" x14ac:dyDescent="0.35">
      <c r="A1532" t="str">
        <f>_xlfn.CONCAT(Tableau1[[#This Row],[Athletes]],"_",Tableau1[[#This Row],[Nationality]],"_",Tableau1[[#This Row],[Competition_year]])</f>
        <v>Andrew COSCORAN_IRL_2025</v>
      </c>
      <c r="B1532" s="7" t="s">
        <v>232</v>
      </c>
      <c r="C1532" s="7" t="s">
        <v>16</v>
      </c>
      <c r="D1532" s="7" t="s">
        <v>35</v>
      </c>
      <c r="E1532" s="7">
        <v>13.58</v>
      </c>
      <c r="F1532" s="7">
        <v>15.74</v>
      </c>
      <c r="G1532" s="7">
        <v>15.73</v>
      </c>
      <c r="H1532" s="7">
        <v>15.68</v>
      </c>
      <c r="I1532" s="7">
        <v>15.06</v>
      </c>
      <c r="J1532" s="7">
        <v>15.23</v>
      </c>
      <c r="K1532" s="7">
        <v>14.93</v>
      </c>
      <c r="L1532" s="7">
        <v>14.73</v>
      </c>
      <c r="M1532" s="7">
        <v>14.18</v>
      </c>
      <c r="N1532" s="7">
        <v>14.22</v>
      </c>
      <c r="O1532" s="7">
        <v>13.7</v>
      </c>
      <c r="P1532" s="7">
        <v>13.43</v>
      </c>
      <c r="Q1532" s="7">
        <v>13.08</v>
      </c>
      <c r="R1532" s="7">
        <v>13.35</v>
      </c>
      <c r="S1532">
        <f>Tableau1[[#This Row],[Final_time]]-SUM(Tableau1[[#This Row],[0_100m]:[1300_1400m]])</f>
        <v>13.010000000000019</v>
      </c>
      <c r="T1532" s="7">
        <v>215.65</v>
      </c>
      <c r="U1532">
        <f t="shared" si="46"/>
        <v>215.65</v>
      </c>
      <c r="V1532">
        <f t="shared" si="47"/>
        <v>0</v>
      </c>
      <c r="W1532" s="12" t="s">
        <v>109</v>
      </c>
      <c r="X1532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2" t="s">
        <v>1378</v>
      </c>
      <c r="Z1532" s="2" t="s">
        <v>106</v>
      </c>
      <c r="AA1532" s="2" t="s">
        <v>130</v>
      </c>
      <c r="AB1532" s="2" t="s">
        <v>65</v>
      </c>
      <c r="AC1532" s="2">
        <v>45915</v>
      </c>
      <c r="AD1532" s="3">
        <v>2025</v>
      </c>
      <c r="AE1532" s="3">
        <v>28</v>
      </c>
      <c r="AF1532" s="5">
        <v>0.7</v>
      </c>
      <c r="AG1532" s="3"/>
    </row>
    <row r="1533" spans="1:33" hidden="1" x14ac:dyDescent="0.35">
      <c r="A1533" t="str">
        <f>_xlfn.CONCAT(Tableau1[[#This Row],[Athletes]],"_",Tableau1[[#This Row],[Nationality]],"_",Tableau1[[#This Row],[Competition_year]])</f>
        <v>Ruben VERHEYDEN_BEL_2025</v>
      </c>
      <c r="B1533" s="7" t="s">
        <v>204</v>
      </c>
      <c r="C1533" s="7" t="s">
        <v>16</v>
      </c>
      <c r="D1533" s="7" t="s">
        <v>86</v>
      </c>
      <c r="E1533" s="7">
        <v>13.75</v>
      </c>
      <c r="F1533" s="7">
        <v>15.86</v>
      </c>
      <c r="G1533" s="7">
        <v>15.73</v>
      </c>
      <c r="H1533" s="7">
        <v>15.65</v>
      </c>
      <c r="I1533" s="7">
        <v>14.96</v>
      </c>
      <c r="J1533" s="7">
        <v>15.28</v>
      </c>
      <c r="K1533" s="7">
        <v>14.83</v>
      </c>
      <c r="L1533" s="7">
        <v>14.75</v>
      </c>
      <c r="M1533" s="7">
        <v>14.07</v>
      </c>
      <c r="N1533" s="7">
        <v>14.43</v>
      </c>
      <c r="O1533" s="7">
        <v>13.92</v>
      </c>
      <c r="P1533" s="7">
        <v>13.53</v>
      </c>
      <c r="Q1533" s="7">
        <v>13.12</v>
      </c>
      <c r="R1533" s="7">
        <v>13.41</v>
      </c>
      <c r="S1533">
        <f>Tableau1[[#This Row],[Final_time]]-SUM(Tableau1[[#This Row],[0_100m]:[1300_1400m]])</f>
        <v>13.02000000000001</v>
      </c>
      <c r="T1533" s="7">
        <v>216.31</v>
      </c>
      <c r="U1533">
        <f t="shared" si="46"/>
        <v>216.31</v>
      </c>
      <c r="V1533">
        <f t="shared" si="47"/>
        <v>0</v>
      </c>
      <c r="W1533" s="12"/>
      <c r="X1533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3" t="s">
        <v>1378</v>
      </c>
      <c r="Z1533" s="2" t="s">
        <v>106</v>
      </c>
      <c r="AA1533" s="2" t="s">
        <v>130</v>
      </c>
      <c r="AB1533" s="2" t="s">
        <v>65</v>
      </c>
      <c r="AC1533" s="2">
        <v>45915</v>
      </c>
      <c r="AD1533" s="3">
        <v>2025</v>
      </c>
      <c r="AE1533" s="3">
        <v>28</v>
      </c>
      <c r="AF1533" s="5">
        <v>0.7</v>
      </c>
      <c r="AG1533" s="3"/>
    </row>
    <row r="1534" spans="1:33" hidden="1" x14ac:dyDescent="0.35">
      <c r="A1534" t="str">
        <f>_xlfn.CONCAT(Tableau1[[#This Row],[Athletes]],"_",Tableau1[[#This Row],[Nationality]],"_",Tableau1[[#This Row],[Competition_year]])</f>
        <v>Samuel PIHLSTRÖM_SWE_2025</v>
      </c>
      <c r="B1534" s="7" t="s">
        <v>1220</v>
      </c>
      <c r="C1534" s="7" t="s">
        <v>16</v>
      </c>
      <c r="D1534" s="7" t="s">
        <v>56</v>
      </c>
      <c r="E1534" s="7">
        <v>13.84</v>
      </c>
      <c r="F1534" s="7">
        <v>15.64</v>
      </c>
      <c r="G1534" s="7">
        <v>15.33</v>
      </c>
      <c r="H1534" s="7">
        <v>15.59</v>
      </c>
      <c r="I1534" s="7">
        <v>15.06</v>
      </c>
      <c r="J1534" s="7">
        <v>15.12</v>
      </c>
      <c r="K1534" s="7">
        <v>15.05</v>
      </c>
      <c r="L1534" s="7">
        <v>14.66</v>
      </c>
      <c r="M1534" s="7">
        <v>14.19</v>
      </c>
      <c r="N1534" s="7">
        <v>14.24</v>
      </c>
      <c r="O1534" s="7">
        <v>13.76</v>
      </c>
      <c r="P1534" s="7">
        <v>13.53</v>
      </c>
      <c r="Q1534" s="7">
        <v>13.13</v>
      </c>
      <c r="R1534" s="7">
        <v>13.47</v>
      </c>
      <c r="S1534">
        <f>Tableau1[[#This Row],[Final_time]]-SUM(Tableau1[[#This Row],[0_100m]:[1300_1400m]])</f>
        <v>13.099999999999994</v>
      </c>
      <c r="T1534" s="7">
        <v>215.71</v>
      </c>
      <c r="U1534">
        <f t="shared" si="46"/>
        <v>215.71</v>
      </c>
      <c r="V1534">
        <f t="shared" si="47"/>
        <v>0</v>
      </c>
      <c r="W1534" s="12" t="s">
        <v>109</v>
      </c>
      <c r="X1534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4" t="s">
        <v>1378</v>
      </c>
      <c r="Z1534" s="2" t="s">
        <v>106</v>
      </c>
      <c r="AA1534" s="2" t="s">
        <v>130</v>
      </c>
      <c r="AB1534" s="2" t="s">
        <v>65</v>
      </c>
      <c r="AC1534" s="2">
        <v>45915</v>
      </c>
      <c r="AD1534" s="3">
        <v>2025</v>
      </c>
      <c r="AE1534" s="3">
        <v>28</v>
      </c>
      <c r="AF1534" s="5">
        <v>0.7</v>
      </c>
      <c r="AG1534" s="3"/>
    </row>
    <row r="1535" spans="1:33" hidden="1" x14ac:dyDescent="0.35">
      <c r="A1535" t="str">
        <f>_xlfn.CONCAT(Tableau1[[#This Row],[Athletes]],"_",Tableau1[[#This Row],[Nationality]],"_",Tableau1[[#This Row],[Competition_year]])</f>
        <v>Jake WIGHTMAN_GBR_2025</v>
      </c>
      <c r="B1535" s="7" t="s">
        <v>150</v>
      </c>
      <c r="C1535" s="7" t="s">
        <v>16</v>
      </c>
      <c r="D1535" s="7" t="s">
        <v>20</v>
      </c>
      <c r="E1535" s="7">
        <v>13.6</v>
      </c>
      <c r="F1535" s="7">
        <v>15.87</v>
      </c>
      <c r="G1535" s="7">
        <v>15.71</v>
      </c>
      <c r="H1535" s="7">
        <v>15.53</v>
      </c>
      <c r="I1535" s="7">
        <v>15.09</v>
      </c>
      <c r="J1535" s="7">
        <v>15.22</v>
      </c>
      <c r="K1535" s="7">
        <v>14.85</v>
      </c>
      <c r="L1535" s="7">
        <v>14.59</v>
      </c>
      <c r="M1535" s="7">
        <v>14.26</v>
      </c>
      <c r="N1535" s="7">
        <v>14.3</v>
      </c>
      <c r="O1535" s="7">
        <v>13.44</v>
      </c>
      <c r="P1535" s="7">
        <v>13.36</v>
      </c>
      <c r="Q1535" s="7">
        <v>13.14</v>
      </c>
      <c r="R1535" s="7">
        <v>13.45</v>
      </c>
      <c r="S1535">
        <f>Tableau1[[#This Row],[Final_time]]-SUM(Tableau1[[#This Row],[0_100m]:[1300_1400m]])</f>
        <v>13.150000000000034</v>
      </c>
      <c r="T1535" s="7">
        <v>215.56</v>
      </c>
      <c r="U1535">
        <f t="shared" si="46"/>
        <v>215.56</v>
      </c>
      <c r="V1535">
        <f t="shared" si="47"/>
        <v>0</v>
      </c>
      <c r="W1535" s="12" t="s">
        <v>109</v>
      </c>
      <c r="X1535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5" t="s">
        <v>1378</v>
      </c>
      <c r="Z1535" s="2" t="s">
        <v>106</v>
      </c>
      <c r="AA1535" s="2" t="s">
        <v>130</v>
      </c>
      <c r="AB1535" s="2" t="s">
        <v>65</v>
      </c>
      <c r="AC1535" s="2">
        <v>45915</v>
      </c>
      <c r="AD1535" s="3">
        <v>2025</v>
      </c>
      <c r="AE1535" s="3">
        <v>28</v>
      </c>
      <c r="AF1535" s="5">
        <v>0.7</v>
      </c>
      <c r="AG1535" s="3"/>
    </row>
    <row r="1536" spans="1:33" hidden="1" x14ac:dyDescent="0.35">
      <c r="A1536" t="str">
        <f>_xlfn.CONCAT(Tableau1[[#This Row],[Athletes]],"_",Tableau1[[#This Row],[Nationality]],"_",Tableau1[[#This Row],[Competition_year]])</f>
        <v>Niels LAROS_NED_2025</v>
      </c>
      <c r="B1536" s="7" t="s">
        <v>214</v>
      </c>
      <c r="C1536" s="7" t="s">
        <v>16</v>
      </c>
      <c r="D1536" s="7" t="s">
        <v>39</v>
      </c>
      <c r="E1536" s="7">
        <v>13.73</v>
      </c>
      <c r="F1536" s="7">
        <v>15.68</v>
      </c>
      <c r="G1536" s="7">
        <v>15.66</v>
      </c>
      <c r="H1536" s="7">
        <v>15.49</v>
      </c>
      <c r="I1536" s="7">
        <v>15.01</v>
      </c>
      <c r="J1536" s="7">
        <v>15.33</v>
      </c>
      <c r="K1536" s="7">
        <v>14.7</v>
      </c>
      <c r="L1536" s="7">
        <v>14.78</v>
      </c>
      <c r="M1536" s="7">
        <v>14.05</v>
      </c>
      <c r="N1536" s="7">
        <v>14.27</v>
      </c>
      <c r="O1536" s="7">
        <v>13.62</v>
      </c>
      <c r="P1536" s="7">
        <v>13.35</v>
      </c>
      <c r="Q1536" s="7">
        <v>13.11</v>
      </c>
      <c r="R1536" s="7">
        <v>13.54</v>
      </c>
      <c r="S1536">
        <f>Tableau1[[#This Row],[Final_time]]-SUM(Tableau1[[#This Row],[0_100m]:[1300_1400m]])</f>
        <v>13.179999999999978</v>
      </c>
      <c r="T1536" s="7">
        <v>215.5</v>
      </c>
      <c r="U1536">
        <f t="shared" si="46"/>
        <v>215.5</v>
      </c>
      <c r="V1536">
        <f t="shared" si="47"/>
        <v>0</v>
      </c>
      <c r="W1536" s="12" t="s">
        <v>109</v>
      </c>
      <c r="X1536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6" t="s">
        <v>1378</v>
      </c>
      <c r="Z1536" s="2" t="s">
        <v>106</v>
      </c>
      <c r="AA1536" s="2" t="s">
        <v>130</v>
      </c>
      <c r="AB1536" s="2" t="s">
        <v>65</v>
      </c>
      <c r="AC1536" s="2">
        <v>45915</v>
      </c>
      <c r="AD1536" s="3">
        <v>2025</v>
      </c>
      <c r="AE1536" s="3">
        <v>28</v>
      </c>
      <c r="AF1536" s="5">
        <v>0.7</v>
      </c>
      <c r="AG1536" s="3"/>
    </row>
    <row r="1537" spans="1:33" hidden="1" x14ac:dyDescent="0.35">
      <c r="A1537" t="str">
        <f>_xlfn.CONCAT(Tableau1[[#This Row],[Athletes]],"_",Tableau1[[#This Row],[Nationality]],"_",Tableau1[[#This Row],[Competition_year]])</f>
        <v>Timothy CHERUIYOT_KEN_2025</v>
      </c>
      <c r="B1537" s="7" t="s">
        <v>205</v>
      </c>
      <c r="C1537" s="7" t="s">
        <v>16</v>
      </c>
      <c r="D1537" s="7" t="s">
        <v>17</v>
      </c>
      <c r="E1537" s="7">
        <v>14.01</v>
      </c>
      <c r="F1537" s="7">
        <v>15.62</v>
      </c>
      <c r="G1537" s="7">
        <v>15.34</v>
      </c>
      <c r="H1537" s="7">
        <v>15.59</v>
      </c>
      <c r="I1537" s="7">
        <v>15.01</v>
      </c>
      <c r="J1537" s="7">
        <v>15.16</v>
      </c>
      <c r="K1537" s="7">
        <v>14.79</v>
      </c>
      <c r="L1537" s="7">
        <v>14.68</v>
      </c>
      <c r="M1537" s="7">
        <v>14.09</v>
      </c>
      <c r="N1537" s="7">
        <v>14.32</v>
      </c>
      <c r="O1537" s="7">
        <v>13.67</v>
      </c>
      <c r="P1537" s="7">
        <v>13.53</v>
      </c>
      <c r="Q1537" s="7">
        <v>13.14</v>
      </c>
      <c r="R1537" s="7">
        <v>13.41</v>
      </c>
      <c r="S1537">
        <f>Tableau1[[#This Row],[Final_time]]-SUM(Tableau1[[#This Row],[0_100m]:[1300_1400m]])</f>
        <v>13.250000000000028</v>
      </c>
      <c r="T1537" s="7">
        <v>215.61</v>
      </c>
      <c r="U1537">
        <f t="shared" si="46"/>
        <v>215.61</v>
      </c>
      <c r="V1537">
        <f t="shared" si="47"/>
        <v>0</v>
      </c>
      <c r="W1537" s="12" t="s">
        <v>109</v>
      </c>
      <c r="X1537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7" t="s">
        <v>1378</v>
      </c>
      <c r="Z1537" s="2" t="s">
        <v>106</v>
      </c>
      <c r="AA1537" s="2" t="s">
        <v>130</v>
      </c>
      <c r="AB1537" s="2" t="s">
        <v>65</v>
      </c>
      <c r="AC1537" s="2">
        <v>45915</v>
      </c>
      <c r="AD1537" s="3">
        <v>2025</v>
      </c>
      <c r="AE1537" s="3">
        <v>28</v>
      </c>
      <c r="AF1537" s="5">
        <v>0.7</v>
      </c>
      <c r="AG1537" s="3"/>
    </row>
    <row r="1538" spans="1:33" hidden="1" x14ac:dyDescent="0.35">
      <c r="A1538" t="str">
        <f>_xlfn.CONCAT(Tableau1[[#This Row],[Athletes]],"_",Tableau1[[#This Row],[Nationality]],"_",Tableau1[[#This Row],[Competition_year]])</f>
        <v>Josh KERR_GBR_2025</v>
      </c>
      <c r="B1538" s="7" t="s">
        <v>189</v>
      </c>
      <c r="C1538" s="7" t="s">
        <v>16</v>
      </c>
      <c r="D1538" s="7" t="s">
        <v>20</v>
      </c>
      <c r="E1538" s="7">
        <v>13.55</v>
      </c>
      <c r="F1538" s="7">
        <v>15.76</v>
      </c>
      <c r="G1538" s="7">
        <v>15.54</v>
      </c>
      <c r="H1538" s="7">
        <v>15.45</v>
      </c>
      <c r="I1538" s="7">
        <v>15.03</v>
      </c>
      <c r="J1538" s="7">
        <v>15.17</v>
      </c>
      <c r="K1538" s="7">
        <v>14.95</v>
      </c>
      <c r="L1538" s="7">
        <v>14.63</v>
      </c>
      <c r="M1538" s="7">
        <v>14.18</v>
      </c>
      <c r="N1538" s="7">
        <v>14.32</v>
      </c>
      <c r="O1538" s="7">
        <v>13.67</v>
      </c>
      <c r="P1538" s="7">
        <v>13.37</v>
      </c>
      <c r="Q1538" s="7">
        <v>13.13</v>
      </c>
      <c r="R1538" s="7">
        <v>13.5</v>
      </c>
      <c r="S1538">
        <f>Tableau1[[#This Row],[Final_time]]-SUM(Tableau1[[#This Row],[0_100m]:[1300_1400m]])</f>
        <v>13.28000000000003</v>
      </c>
      <c r="T1538" s="7">
        <v>215.53</v>
      </c>
      <c r="U1538">
        <f t="shared" ref="U1538:U1562" si="48">SUM(E1538:S1538)</f>
        <v>215.53</v>
      </c>
      <c r="V1538">
        <f t="shared" ref="V1538:V1562" si="49">ABS(U1538-T1538)</f>
        <v>0</v>
      </c>
      <c r="W1538" s="12" t="s">
        <v>109</v>
      </c>
      <c r="X1538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8" t="s">
        <v>1378</v>
      </c>
      <c r="Z1538" s="2" t="s">
        <v>106</v>
      </c>
      <c r="AA1538" s="2" t="s">
        <v>130</v>
      </c>
      <c r="AB1538" s="2" t="s">
        <v>65</v>
      </c>
      <c r="AC1538" s="2">
        <v>45915</v>
      </c>
      <c r="AD1538" s="3">
        <v>2025</v>
      </c>
      <c r="AE1538" s="3">
        <v>28</v>
      </c>
      <c r="AF1538" s="5">
        <v>0.7</v>
      </c>
      <c r="AG1538" s="3"/>
    </row>
    <row r="1539" spans="1:33" hidden="1" x14ac:dyDescent="0.35">
      <c r="A1539" t="str">
        <f>_xlfn.CONCAT(Tableau1[[#This Row],[Athletes]],"_",Tableau1[[#This Row],[Nationality]],"_",Tableau1[[#This Row],[Competition_year]])</f>
        <v>Romain MORNET_FRA_2025</v>
      </c>
      <c r="B1539" s="7" t="s">
        <v>1357</v>
      </c>
      <c r="C1539" s="7" t="s">
        <v>16</v>
      </c>
      <c r="D1539" s="7" t="s">
        <v>18</v>
      </c>
      <c r="E1539" s="7">
        <v>13.77</v>
      </c>
      <c r="F1539" s="7">
        <v>15.94</v>
      </c>
      <c r="G1539" s="7">
        <v>15.67</v>
      </c>
      <c r="H1539" s="7">
        <v>15.58</v>
      </c>
      <c r="I1539" s="7">
        <v>15.07</v>
      </c>
      <c r="J1539" s="7">
        <v>15.15</v>
      </c>
      <c r="K1539" s="7">
        <v>14.87</v>
      </c>
      <c r="L1539" s="7">
        <v>14.72</v>
      </c>
      <c r="M1539" s="7">
        <v>14.14</v>
      </c>
      <c r="N1539" s="7">
        <v>14.31</v>
      </c>
      <c r="O1539" s="7">
        <v>13.77</v>
      </c>
      <c r="P1539" s="7">
        <v>13.35</v>
      </c>
      <c r="Q1539" s="7">
        <v>13.31</v>
      </c>
      <c r="R1539" s="7">
        <v>13.36</v>
      </c>
      <c r="S1539">
        <f>Tableau1[[#This Row],[Final_time]]-SUM(Tableau1[[#This Row],[0_100m]:[1300_1400m]])</f>
        <v>13.339999999999947</v>
      </c>
      <c r="T1539" s="7">
        <v>216.35</v>
      </c>
      <c r="U1539">
        <f t="shared" si="48"/>
        <v>216.35</v>
      </c>
      <c r="V1539">
        <f t="shared" si="49"/>
        <v>0</v>
      </c>
      <c r="W1539" s="12"/>
      <c r="X1539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39" t="s">
        <v>1378</v>
      </c>
      <c r="Z1539" s="2" t="s">
        <v>106</v>
      </c>
      <c r="AA1539" s="2" t="s">
        <v>130</v>
      </c>
      <c r="AB1539" s="2" t="s">
        <v>65</v>
      </c>
      <c r="AC1539" s="2">
        <v>45915</v>
      </c>
      <c r="AD1539" s="3">
        <v>2025</v>
      </c>
      <c r="AE1539" s="3">
        <v>28</v>
      </c>
      <c r="AF1539" s="5">
        <v>0.7</v>
      </c>
      <c r="AG1539" s="3"/>
    </row>
    <row r="1540" spans="1:33" hidden="1" x14ac:dyDescent="0.35">
      <c r="A1540" t="str">
        <f>_xlfn.CONCAT(Tableau1[[#This Row],[Athletes]],"_",Tableau1[[#This Row],[Nationality]],"_",Tableau1[[#This Row],[Competition_year]])</f>
        <v>José Carlos PINTO_POR_2025</v>
      </c>
      <c r="B1540" s="7" t="s">
        <v>1384</v>
      </c>
      <c r="C1540" s="7" t="s">
        <v>16</v>
      </c>
      <c r="D1540" s="7" t="s">
        <v>33</v>
      </c>
      <c r="E1540" s="7">
        <v>13.82</v>
      </c>
      <c r="F1540" s="7">
        <v>15.86</v>
      </c>
      <c r="G1540" s="7">
        <v>15.54</v>
      </c>
      <c r="H1540" s="7">
        <v>15.53</v>
      </c>
      <c r="I1540" s="7">
        <v>14.99</v>
      </c>
      <c r="J1540" s="7">
        <v>15.13</v>
      </c>
      <c r="K1540" s="7">
        <v>14.98</v>
      </c>
      <c r="L1540" s="7">
        <v>14.6</v>
      </c>
      <c r="M1540" s="7">
        <v>14.06</v>
      </c>
      <c r="N1540" s="7">
        <v>14.35</v>
      </c>
      <c r="O1540" s="7">
        <v>13.76</v>
      </c>
      <c r="P1540" s="7">
        <v>13.37</v>
      </c>
      <c r="Q1540" s="7">
        <v>13.16</v>
      </c>
      <c r="R1540" s="7">
        <v>13.45</v>
      </c>
      <c r="S1540">
        <f>Tableau1[[#This Row],[Final_time]]-SUM(Tableau1[[#This Row],[0_100m]:[1300_1400m]])</f>
        <v>13.630000000000024</v>
      </c>
      <c r="T1540" s="7">
        <v>216.23</v>
      </c>
      <c r="U1540">
        <f t="shared" si="48"/>
        <v>216.23</v>
      </c>
      <c r="V1540">
        <f t="shared" si="49"/>
        <v>0</v>
      </c>
      <c r="W1540" s="12"/>
      <c r="X1540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40" t="s">
        <v>1378</v>
      </c>
      <c r="Z1540" s="2" t="s">
        <v>106</v>
      </c>
      <c r="AA1540" s="2" t="s">
        <v>130</v>
      </c>
      <c r="AB1540" s="2" t="s">
        <v>65</v>
      </c>
      <c r="AC1540" s="2">
        <v>45915</v>
      </c>
      <c r="AD1540" s="3">
        <v>2025</v>
      </c>
      <c r="AE1540" s="3">
        <v>28</v>
      </c>
      <c r="AF1540" s="5">
        <v>0.7</v>
      </c>
      <c r="AG1540" s="3"/>
    </row>
    <row r="1541" spans="1:33" hidden="1" x14ac:dyDescent="0.35">
      <c r="A1541" t="str">
        <f>_xlfn.CONCAT(Tableau1[[#This Row],[Athletes]],"_",Tableau1[[#This Row],[Nationality]],"_",Tableau1[[#This Row],[Competition_year]])</f>
        <v>Pietro ARESE_ITA_2025</v>
      </c>
      <c r="B1541" s="7" t="s">
        <v>216</v>
      </c>
      <c r="C1541" s="7" t="s">
        <v>16</v>
      </c>
      <c r="D1541" s="7" t="s">
        <v>19</v>
      </c>
      <c r="E1541" s="7">
        <v>14.14</v>
      </c>
      <c r="F1541" s="7">
        <v>15.96</v>
      </c>
      <c r="G1541" s="7">
        <v>15.51</v>
      </c>
      <c r="H1541" s="7">
        <v>15.51</v>
      </c>
      <c r="I1541" s="7">
        <v>14.76</v>
      </c>
      <c r="J1541" s="7">
        <v>15.14</v>
      </c>
      <c r="K1541" s="7">
        <v>14.6</v>
      </c>
      <c r="L1541" s="7">
        <v>14.65</v>
      </c>
      <c r="M1541" s="7">
        <v>14.23</v>
      </c>
      <c r="N1541" s="7">
        <v>14.38</v>
      </c>
      <c r="O1541" s="7">
        <v>13.87</v>
      </c>
      <c r="P1541" s="7">
        <v>13.6</v>
      </c>
      <c r="Q1541" s="7">
        <v>13.22</v>
      </c>
      <c r="R1541" s="7">
        <v>13.47</v>
      </c>
      <c r="S1541">
        <f>Tableau1[[#This Row],[Final_time]]-SUM(Tableau1[[#This Row],[0_100m]:[1300_1400m]])</f>
        <v>13.79000000000002</v>
      </c>
      <c r="T1541" s="7">
        <v>216.83</v>
      </c>
      <c r="U1541">
        <f t="shared" si="48"/>
        <v>216.83</v>
      </c>
      <c r="V1541">
        <f t="shared" si="49"/>
        <v>0</v>
      </c>
      <c r="W1541" s="12"/>
      <c r="X1541" t="str">
        <f>_xlfn.CONCAT(Tableau1[[#This Row],[Competition]],"_",Tableau1[[#This Row],[Championship_step]],"_",Tableau1[[#This Row],[Competition_date]],"_",Tableau1[[#This Row],[Gender]])</f>
        <v>World Championships Tokyo 2025_Semi 1_45915_Male</v>
      </c>
      <c r="Y1541" t="s">
        <v>1378</v>
      </c>
      <c r="Z1541" s="2" t="s">
        <v>106</v>
      </c>
      <c r="AA1541" s="2" t="s">
        <v>130</v>
      </c>
      <c r="AB1541" s="2" t="s">
        <v>65</v>
      </c>
      <c r="AC1541" s="2">
        <v>45915</v>
      </c>
      <c r="AD1541" s="3">
        <v>2025</v>
      </c>
      <c r="AE1541" s="3">
        <v>28</v>
      </c>
      <c r="AF1541" s="5">
        <v>0.7</v>
      </c>
      <c r="AG1541" s="3"/>
    </row>
    <row r="1542" spans="1:33" hidden="1" x14ac:dyDescent="0.35">
      <c r="A1542" t="str">
        <f>_xlfn.CONCAT(Tableau1[[#This Row],[Athletes]],"_",Tableau1[[#This Row],[Nationality]],"_",Tableau1[[#This Row],[Competition_year]])</f>
        <v>Jessica HULL_AUS_2025</v>
      </c>
      <c r="B1542" s="7" t="s">
        <v>187</v>
      </c>
      <c r="C1542" s="7" t="s">
        <v>47</v>
      </c>
      <c r="D1542" s="7" t="s">
        <v>21</v>
      </c>
      <c r="E1542" s="7">
        <v>15.37</v>
      </c>
      <c r="F1542" s="7">
        <v>17.22</v>
      </c>
      <c r="G1542" s="7">
        <v>18.39</v>
      </c>
      <c r="H1542" s="7">
        <v>18.559999999999999</v>
      </c>
      <c r="I1542" s="7">
        <v>18.97</v>
      </c>
      <c r="J1542" s="7">
        <v>19.059999999999999</v>
      </c>
      <c r="K1542" s="7">
        <v>18.04</v>
      </c>
      <c r="L1542" s="7">
        <v>16.54</v>
      </c>
      <c r="M1542" s="7">
        <v>15.97</v>
      </c>
      <c r="N1542" s="7">
        <v>15.79</v>
      </c>
      <c r="O1542" s="7">
        <v>14.76</v>
      </c>
      <c r="P1542" s="7">
        <v>14.51</v>
      </c>
      <c r="Q1542" s="7">
        <v>14.5</v>
      </c>
      <c r="R1542" s="7">
        <v>14.68</v>
      </c>
      <c r="S1542">
        <f>Tableau1[[#This Row],[Final_time]]-SUM(Tableau1[[#This Row],[0_100m]:[1300_1400m]])</f>
        <v>14.510000000000048</v>
      </c>
      <c r="T1542" s="7">
        <v>246.87</v>
      </c>
      <c r="U1542">
        <f t="shared" si="48"/>
        <v>246.87</v>
      </c>
      <c r="V1542">
        <f t="shared" si="49"/>
        <v>0</v>
      </c>
      <c r="W1542" s="12" t="s">
        <v>109</v>
      </c>
      <c r="X1542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2" t="s">
        <v>1378</v>
      </c>
      <c r="Z1542" s="2" t="s">
        <v>106</v>
      </c>
      <c r="AA1542" s="2" t="s">
        <v>131</v>
      </c>
      <c r="AB1542" s="2" t="s">
        <v>65</v>
      </c>
      <c r="AC1542" s="2">
        <v>45914</v>
      </c>
      <c r="AD1542" s="3">
        <v>2025</v>
      </c>
      <c r="AE1542" s="3">
        <v>30</v>
      </c>
      <c r="AF1542" s="5">
        <v>0.68</v>
      </c>
      <c r="AG1542" s="3"/>
    </row>
    <row r="1543" spans="1:33" hidden="1" x14ac:dyDescent="0.35">
      <c r="A1543" t="str">
        <f>_xlfn.CONCAT(Tableau1[[#This Row],[Athletes]],"_",Tableau1[[#This Row],[Nationality]],"_",Tableau1[[#This Row],[Competition_year]])</f>
        <v>Nikki HILTZ_USA_2025</v>
      </c>
      <c r="B1543" s="7" t="s">
        <v>154</v>
      </c>
      <c r="C1543" s="7" t="s">
        <v>47</v>
      </c>
      <c r="D1543" s="7" t="s">
        <v>51</v>
      </c>
      <c r="E1543" s="7">
        <v>15.05</v>
      </c>
      <c r="F1543" s="7">
        <v>17.55</v>
      </c>
      <c r="G1543" s="7">
        <v>18.329999999999998</v>
      </c>
      <c r="H1543" s="7">
        <v>18.62</v>
      </c>
      <c r="I1543" s="7">
        <v>18.98</v>
      </c>
      <c r="J1543" s="7">
        <v>19</v>
      </c>
      <c r="K1543" s="7">
        <v>18.010000000000002</v>
      </c>
      <c r="L1543" s="7">
        <v>16.61</v>
      </c>
      <c r="M1543" s="7">
        <v>16.010000000000002</v>
      </c>
      <c r="N1543" s="7">
        <v>15.74</v>
      </c>
      <c r="O1543" s="7">
        <v>14.8</v>
      </c>
      <c r="P1543" s="7">
        <v>14.74</v>
      </c>
      <c r="Q1543" s="7">
        <v>14.49</v>
      </c>
      <c r="R1543" s="7">
        <v>14.58</v>
      </c>
      <c r="S1543">
        <f>Tableau1[[#This Row],[Final_time]]-SUM(Tableau1[[#This Row],[0_100m]:[1300_1400m]])</f>
        <v>14.529999999999944</v>
      </c>
      <c r="T1543" s="7">
        <v>247.04</v>
      </c>
      <c r="U1543">
        <f t="shared" si="48"/>
        <v>247.04</v>
      </c>
      <c r="V1543">
        <f t="shared" si="49"/>
        <v>0</v>
      </c>
      <c r="W1543" s="12" t="s">
        <v>109</v>
      </c>
      <c r="X1543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3" t="s">
        <v>1378</v>
      </c>
      <c r="Z1543" s="2" t="s">
        <v>106</v>
      </c>
      <c r="AA1543" s="2" t="s">
        <v>131</v>
      </c>
      <c r="AB1543" s="2" t="s">
        <v>65</v>
      </c>
      <c r="AC1543" s="2">
        <v>45914</v>
      </c>
      <c r="AD1543" s="3">
        <v>2025</v>
      </c>
      <c r="AE1543" s="3">
        <v>30</v>
      </c>
      <c r="AF1543" s="5">
        <v>0.68</v>
      </c>
      <c r="AG1543" s="3"/>
    </row>
    <row r="1544" spans="1:33" hidden="1" x14ac:dyDescent="0.35">
      <c r="A1544" t="str">
        <f>_xlfn.CONCAT(Tableau1[[#This Row],[Athletes]],"_",Tableau1[[#This Row],[Nationality]],"_",Tableau1[[#This Row],[Competition_year]])</f>
        <v>Nelly CHEPCHIRCHIR_KEN_2025</v>
      </c>
      <c r="B1544" s="7" t="s">
        <v>178</v>
      </c>
      <c r="C1544" s="7" t="s">
        <v>47</v>
      </c>
      <c r="D1544" s="7" t="s">
        <v>17</v>
      </c>
      <c r="E1544" s="7">
        <v>15.35</v>
      </c>
      <c r="F1544" s="7">
        <v>17.54</v>
      </c>
      <c r="G1544" s="7">
        <v>18.13</v>
      </c>
      <c r="H1544" s="7">
        <v>18.62</v>
      </c>
      <c r="I1544" s="7">
        <v>18.88</v>
      </c>
      <c r="J1544" s="7">
        <v>19.100000000000001</v>
      </c>
      <c r="K1544" s="7">
        <v>17.920000000000002</v>
      </c>
      <c r="L1544" s="7">
        <v>16.66</v>
      </c>
      <c r="M1544" s="7">
        <v>15.91</v>
      </c>
      <c r="N1544" s="7">
        <v>15.85</v>
      </c>
      <c r="O1544" s="7">
        <v>14.55</v>
      </c>
      <c r="P1544" s="7">
        <v>14.6</v>
      </c>
      <c r="Q1544" s="7">
        <v>14.56</v>
      </c>
      <c r="R1544" s="7">
        <v>14.66</v>
      </c>
      <c r="S1544">
        <f>Tableau1[[#This Row],[Final_time]]-SUM(Tableau1[[#This Row],[0_100m]:[1300_1400m]])</f>
        <v>14.530000000000001</v>
      </c>
      <c r="T1544" s="7">
        <v>246.86</v>
      </c>
      <c r="U1544">
        <f t="shared" si="48"/>
        <v>246.86</v>
      </c>
      <c r="V1544">
        <f t="shared" si="49"/>
        <v>0</v>
      </c>
      <c r="W1544" s="12" t="s">
        <v>109</v>
      </c>
      <c r="X1544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4" t="s">
        <v>1378</v>
      </c>
      <c r="Z1544" s="2" t="s">
        <v>106</v>
      </c>
      <c r="AA1544" s="2" t="s">
        <v>131</v>
      </c>
      <c r="AB1544" s="2" t="s">
        <v>65</v>
      </c>
      <c r="AC1544" s="2">
        <v>45914</v>
      </c>
      <c r="AD1544" s="3">
        <v>2025</v>
      </c>
      <c r="AE1544" s="3">
        <v>30</v>
      </c>
      <c r="AF1544" s="5">
        <v>0.68</v>
      </c>
      <c r="AG1544" s="3"/>
    </row>
    <row r="1545" spans="1:33" hidden="1" x14ac:dyDescent="0.35">
      <c r="A1545" t="str">
        <f>_xlfn.CONCAT(Tableau1[[#This Row],[Athletes]],"_",Tableau1[[#This Row],[Nationality]],"_",Tableau1[[#This Row],[Competition_year]])</f>
        <v>Gabriela DEBUES-STAFFORD_CAN_2025</v>
      </c>
      <c r="B1545" s="7" t="s">
        <v>298</v>
      </c>
      <c r="C1545" s="7" t="s">
        <v>47</v>
      </c>
      <c r="D1545" s="7" t="s">
        <v>55</v>
      </c>
      <c r="E1545" s="7">
        <v>15.72</v>
      </c>
      <c r="F1545" s="7">
        <v>17.47</v>
      </c>
      <c r="G1545" s="7">
        <v>18.57</v>
      </c>
      <c r="H1545" s="7">
        <v>18.54</v>
      </c>
      <c r="I1545" s="7">
        <v>18.899999999999999</v>
      </c>
      <c r="J1545" s="7">
        <v>18.87</v>
      </c>
      <c r="K1545" s="7">
        <v>18.239999999999998</v>
      </c>
      <c r="L1545" s="7">
        <v>16.34</v>
      </c>
      <c r="M1545" s="7">
        <v>16.170000000000002</v>
      </c>
      <c r="N1545" s="7">
        <v>15.65</v>
      </c>
      <c r="O1545" s="7">
        <v>15.19</v>
      </c>
      <c r="P1545" s="7">
        <v>14.34</v>
      </c>
      <c r="Q1545" s="7">
        <v>14.38</v>
      </c>
      <c r="R1545" s="7">
        <v>14.94</v>
      </c>
      <c r="S1545">
        <f>Tableau1[[#This Row],[Final_time]]-SUM(Tableau1[[#This Row],[0_100m]:[1300_1400m]])</f>
        <v>14.969999999999999</v>
      </c>
      <c r="T1545" s="7">
        <v>248.29</v>
      </c>
      <c r="U1545">
        <f t="shared" si="48"/>
        <v>248.29</v>
      </c>
      <c r="V1545">
        <f t="shared" si="49"/>
        <v>0</v>
      </c>
      <c r="W1545" s="12" t="s">
        <v>109</v>
      </c>
      <c r="X1545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5" t="s">
        <v>1378</v>
      </c>
      <c r="Z1545" s="2" t="s">
        <v>106</v>
      </c>
      <c r="AA1545" s="2" t="s">
        <v>131</v>
      </c>
      <c r="AB1545" s="2" t="s">
        <v>65</v>
      </c>
      <c r="AC1545" s="2">
        <v>45914</v>
      </c>
      <c r="AD1545" s="3">
        <v>2025</v>
      </c>
      <c r="AE1545" s="3">
        <v>30</v>
      </c>
      <c r="AF1545" s="5">
        <v>0.68</v>
      </c>
      <c r="AG1545" s="3"/>
    </row>
    <row r="1546" spans="1:33" hidden="1" x14ac:dyDescent="0.35">
      <c r="A1546" t="str">
        <f>_xlfn.CONCAT(Tableau1[[#This Row],[Athletes]],"_",Tableau1[[#This Row],[Nationality]],"_",Tableau1[[#This Row],[Competition_year]])</f>
        <v>Sarah HEALY_IRL_2025</v>
      </c>
      <c r="B1546" s="7" t="s">
        <v>166</v>
      </c>
      <c r="C1546" s="7" t="s">
        <v>47</v>
      </c>
      <c r="D1546" s="7" t="s">
        <v>35</v>
      </c>
      <c r="E1546" s="7">
        <v>15.2</v>
      </c>
      <c r="F1546" s="7">
        <v>17.57</v>
      </c>
      <c r="G1546" s="7">
        <v>18.37</v>
      </c>
      <c r="H1546" s="7">
        <v>18.690000000000001</v>
      </c>
      <c r="I1546" s="7">
        <v>18.850000000000001</v>
      </c>
      <c r="J1546" s="7">
        <v>19.03</v>
      </c>
      <c r="K1546" s="7">
        <v>17.91</v>
      </c>
      <c r="L1546" s="7">
        <v>16.760000000000002</v>
      </c>
      <c r="M1546" s="7">
        <v>15.9</v>
      </c>
      <c r="N1546" s="7">
        <v>15.82</v>
      </c>
      <c r="O1546" s="7">
        <v>15.06</v>
      </c>
      <c r="P1546" s="7">
        <v>14.82</v>
      </c>
      <c r="Q1546" s="7">
        <v>14.76</v>
      </c>
      <c r="R1546" s="7">
        <v>14.88</v>
      </c>
      <c r="S1546">
        <f>Tableau1[[#This Row],[Final_time]]-SUM(Tableau1[[#This Row],[0_100m]:[1300_1400m]])</f>
        <v>15.160000000000025</v>
      </c>
      <c r="T1546" s="7">
        <v>248.78</v>
      </c>
      <c r="U1546">
        <f t="shared" si="48"/>
        <v>248.78</v>
      </c>
      <c r="V1546">
        <f t="shared" si="49"/>
        <v>0</v>
      </c>
      <c r="W1546" s="12" t="s">
        <v>109</v>
      </c>
      <c r="X1546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6" t="s">
        <v>1378</v>
      </c>
      <c r="Z1546" s="2" t="s">
        <v>106</v>
      </c>
      <c r="AA1546" s="2" t="s">
        <v>131</v>
      </c>
      <c r="AB1546" s="2" t="s">
        <v>65</v>
      </c>
      <c r="AC1546" s="2">
        <v>45914</v>
      </c>
      <c r="AD1546" s="3">
        <v>2025</v>
      </c>
      <c r="AE1546" s="3">
        <v>30</v>
      </c>
      <c r="AF1546" s="5">
        <v>0.68</v>
      </c>
      <c r="AG1546" s="3"/>
    </row>
    <row r="1547" spans="1:33" hidden="1" x14ac:dyDescent="0.35">
      <c r="A1547" t="str">
        <f>_xlfn.CONCAT(Tableau1[[#This Row],[Athletes]],"_",Tableau1[[#This Row],[Nationality]],"_",Tableau1[[#This Row],[Competition_year]])</f>
        <v>Klaudia KAZIMIERSKA_POL_2025</v>
      </c>
      <c r="B1547" s="7" t="s">
        <v>1043</v>
      </c>
      <c r="C1547" s="7" t="s">
        <v>47</v>
      </c>
      <c r="D1547" s="7" t="s">
        <v>83</v>
      </c>
      <c r="E1547" s="7">
        <v>15.1</v>
      </c>
      <c r="F1547" s="7">
        <v>17.61</v>
      </c>
      <c r="G1547" s="7">
        <v>18.46</v>
      </c>
      <c r="H1547" s="7">
        <v>18.649999999999999</v>
      </c>
      <c r="I1547" s="7">
        <v>19</v>
      </c>
      <c r="J1547" s="7">
        <v>18.82</v>
      </c>
      <c r="K1547" s="7">
        <v>18.22</v>
      </c>
      <c r="L1547" s="7">
        <v>16.559999999999999</v>
      </c>
      <c r="M1547" s="7">
        <v>16.059999999999999</v>
      </c>
      <c r="N1547" s="7">
        <v>15.67</v>
      </c>
      <c r="O1547" s="7">
        <v>15.08</v>
      </c>
      <c r="P1547" s="7">
        <v>14.6</v>
      </c>
      <c r="Q1547" s="7">
        <v>14.19</v>
      </c>
      <c r="R1547" s="7">
        <v>14.59</v>
      </c>
      <c r="S1547">
        <f>Tableau1[[#This Row],[Final_time]]-SUM(Tableau1[[#This Row],[0_100m]:[1300_1400m]])</f>
        <v>15.220000000000027</v>
      </c>
      <c r="T1547" s="7">
        <v>247.83</v>
      </c>
      <c r="U1547">
        <f t="shared" si="48"/>
        <v>247.83</v>
      </c>
      <c r="V1547">
        <f t="shared" si="49"/>
        <v>0</v>
      </c>
      <c r="W1547" s="12" t="s">
        <v>109</v>
      </c>
      <c r="X1547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7" t="s">
        <v>1378</v>
      </c>
      <c r="Z1547" s="2" t="s">
        <v>106</v>
      </c>
      <c r="AA1547" s="2" t="s">
        <v>131</v>
      </c>
      <c r="AB1547" s="2" t="s">
        <v>65</v>
      </c>
      <c r="AC1547" s="2">
        <v>45914</v>
      </c>
      <c r="AD1547" s="3">
        <v>2025</v>
      </c>
      <c r="AE1547" s="3">
        <v>30</v>
      </c>
      <c r="AF1547" s="5">
        <v>0.68</v>
      </c>
      <c r="AG1547" s="3"/>
    </row>
    <row r="1548" spans="1:33" hidden="1" x14ac:dyDescent="0.35">
      <c r="A1548" t="str">
        <f>_xlfn.CONCAT(Tableau1[[#This Row],[Athletes]],"_",Tableau1[[#This Row],[Nationality]],"_",Tableau1[[#This Row],[Competition_year]])</f>
        <v>Revee WALCOTT-NOLAN_GBR_2025</v>
      </c>
      <c r="B1548" s="7" t="s">
        <v>635</v>
      </c>
      <c r="C1548" s="7" t="s">
        <v>47</v>
      </c>
      <c r="D1548" s="7" t="s">
        <v>20</v>
      </c>
      <c r="E1548" s="7">
        <v>15.06</v>
      </c>
      <c r="F1548" s="7">
        <v>17.670000000000002</v>
      </c>
      <c r="G1548" s="7">
        <v>18.329999999999998</v>
      </c>
      <c r="H1548" s="7">
        <v>18.62</v>
      </c>
      <c r="I1548" s="7">
        <v>19</v>
      </c>
      <c r="J1548" s="7">
        <v>19.04</v>
      </c>
      <c r="K1548" s="7">
        <v>18.13</v>
      </c>
      <c r="L1548" s="7">
        <v>16.739999999999998</v>
      </c>
      <c r="M1548" s="7">
        <v>15.92</v>
      </c>
      <c r="N1548" s="7">
        <v>15.87</v>
      </c>
      <c r="O1548" s="7">
        <v>15.11</v>
      </c>
      <c r="P1548" s="7">
        <v>15.19</v>
      </c>
      <c r="Q1548" s="7">
        <v>14.9</v>
      </c>
      <c r="R1548" s="7">
        <v>15.5</v>
      </c>
      <c r="S1548">
        <f>Tableau1[[#This Row],[Final_time]]-SUM(Tableau1[[#This Row],[0_100m]:[1300_1400m]])</f>
        <v>15.989999999999981</v>
      </c>
      <c r="T1548" s="7">
        <v>251.07</v>
      </c>
      <c r="U1548">
        <f t="shared" si="48"/>
        <v>251.07</v>
      </c>
      <c r="V1548">
        <f t="shared" si="49"/>
        <v>0</v>
      </c>
      <c r="W1548" s="12"/>
      <c r="X1548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8" t="s">
        <v>1378</v>
      </c>
      <c r="Z1548" s="2" t="s">
        <v>106</v>
      </c>
      <c r="AA1548" s="2" t="s">
        <v>131</v>
      </c>
      <c r="AB1548" s="2" t="s">
        <v>65</v>
      </c>
      <c r="AC1548" s="2">
        <v>45914</v>
      </c>
      <c r="AD1548" s="3">
        <v>2025</v>
      </c>
      <c r="AE1548" s="3">
        <v>30</v>
      </c>
      <c r="AF1548" s="5">
        <v>0.68</v>
      </c>
      <c r="AG1548" s="3"/>
    </row>
    <row r="1549" spans="1:33" hidden="1" x14ac:dyDescent="0.35">
      <c r="A1549" t="str">
        <f>_xlfn.CONCAT(Tableau1[[#This Row],[Athletes]],"_",Tableau1[[#This Row],[Nationality]],"_",Tableau1[[#This Row],[Competition_year]])</f>
        <v>Susan Lokayo EJORE_KEN_2025</v>
      </c>
      <c r="B1549" s="7" t="s">
        <v>1264</v>
      </c>
      <c r="C1549" s="7" t="s">
        <v>47</v>
      </c>
      <c r="D1549" s="7" t="s">
        <v>17</v>
      </c>
      <c r="E1549" s="7">
        <v>15.36</v>
      </c>
      <c r="F1549" s="7">
        <v>17.53</v>
      </c>
      <c r="G1549" s="7">
        <v>18.34</v>
      </c>
      <c r="H1549" s="7">
        <v>18.760000000000002</v>
      </c>
      <c r="I1549" s="7">
        <v>18.88</v>
      </c>
      <c r="J1549" s="7">
        <v>18.850000000000001</v>
      </c>
      <c r="K1549" s="7">
        <v>18.350000000000001</v>
      </c>
      <c r="L1549" s="7">
        <v>16.329999999999998</v>
      </c>
      <c r="M1549" s="7">
        <v>15.97</v>
      </c>
      <c r="N1549" s="7">
        <v>15.79</v>
      </c>
      <c r="O1549" s="7">
        <v>14.85</v>
      </c>
      <c r="P1549" s="7">
        <v>14.82</v>
      </c>
      <c r="Q1549" s="7">
        <v>14.43</v>
      </c>
      <c r="R1549" s="7">
        <v>14.81</v>
      </c>
      <c r="S1549">
        <f>Tableau1[[#This Row],[Final_time]]-SUM(Tableau1[[#This Row],[0_100m]:[1300_1400m]])</f>
        <v>16.210000000000036</v>
      </c>
      <c r="T1549" s="7">
        <v>249.28</v>
      </c>
      <c r="U1549">
        <f t="shared" si="48"/>
        <v>249.28</v>
      </c>
      <c r="V1549">
        <f t="shared" si="49"/>
        <v>0</v>
      </c>
      <c r="W1549" s="12"/>
      <c r="X1549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49" t="s">
        <v>1378</v>
      </c>
      <c r="Z1549" s="2" t="s">
        <v>106</v>
      </c>
      <c r="AA1549" s="2" t="s">
        <v>131</v>
      </c>
      <c r="AB1549" s="2" t="s">
        <v>65</v>
      </c>
      <c r="AC1549" s="2">
        <v>45914</v>
      </c>
      <c r="AD1549" s="3">
        <v>2025</v>
      </c>
      <c r="AE1549" s="3">
        <v>30</v>
      </c>
      <c r="AF1549" s="5">
        <v>0.68</v>
      </c>
      <c r="AG1549" s="3"/>
    </row>
    <row r="1550" spans="1:33" hidden="1" x14ac:dyDescent="0.35">
      <c r="A1550" t="str">
        <f>_xlfn.CONCAT(Tableau1[[#This Row],[Athletes]],"_",Tableau1[[#This Row],[Nationality]],"_",Tableau1[[#This Row],[Competition_year]])</f>
        <v>Agathe GUILLEMOT_FRA_2025</v>
      </c>
      <c r="B1550" s="7" t="s">
        <v>171</v>
      </c>
      <c r="C1550" s="7" t="s">
        <v>47</v>
      </c>
      <c r="D1550" s="7" t="s">
        <v>18</v>
      </c>
      <c r="E1550" s="7">
        <v>15.55</v>
      </c>
      <c r="F1550" s="7">
        <v>17.32</v>
      </c>
      <c r="G1550" s="7">
        <v>18.54</v>
      </c>
      <c r="H1550" s="7">
        <v>18.59</v>
      </c>
      <c r="I1550" s="7">
        <v>18.97</v>
      </c>
      <c r="J1550" s="7">
        <v>18.920000000000002</v>
      </c>
      <c r="K1550" s="7">
        <v>18.13</v>
      </c>
      <c r="L1550" s="7">
        <v>16.489999999999998</v>
      </c>
      <c r="M1550" s="7">
        <v>15.99</v>
      </c>
      <c r="N1550" s="7">
        <v>15.73</v>
      </c>
      <c r="O1550" s="7">
        <v>15.15</v>
      </c>
      <c r="P1550" s="7">
        <v>14.76</v>
      </c>
      <c r="Q1550" s="7">
        <v>14.33</v>
      </c>
      <c r="R1550" s="7">
        <v>16.350000000000001</v>
      </c>
      <c r="S1550">
        <f>Tableau1[[#This Row],[Final_time]]-SUM(Tableau1[[#This Row],[0_100m]:[1300_1400m]])</f>
        <v>16.510000000000019</v>
      </c>
      <c r="T1550" s="7">
        <v>251.33</v>
      </c>
      <c r="U1550">
        <f t="shared" si="48"/>
        <v>251.33</v>
      </c>
      <c r="V1550">
        <f t="shared" si="49"/>
        <v>0</v>
      </c>
      <c r="W1550" s="12"/>
      <c r="X1550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50" t="s">
        <v>1378</v>
      </c>
      <c r="Z1550" s="2" t="s">
        <v>106</v>
      </c>
      <c r="AA1550" s="2" t="s">
        <v>131</v>
      </c>
      <c r="AB1550" s="2" t="s">
        <v>65</v>
      </c>
      <c r="AC1550" s="2">
        <v>45914</v>
      </c>
      <c r="AD1550" s="3">
        <v>2025</v>
      </c>
      <c r="AE1550" s="3">
        <v>30</v>
      </c>
      <c r="AF1550" s="5">
        <v>0.68</v>
      </c>
      <c r="AG1550" s="3"/>
    </row>
    <row r="1551" spans="1:33" hidden="1" x14ac:dyDescent="0.35">
      <c r="A1551" t="str">
        <f>_xlfn.CONCAT(Tableau1[[#This Row],[Athletes]],"_",Tableau1[[#This Row],[Nationality]],"_",Tableau1[[#This Row],[Competition_year]])</f>
        <v>Nele WEßEL_GER_2025</v>
      </c>
      <c r="B1551" s="7" t="s">
        <v>1406</v>
      </c>
      <c r="C1551" s="7" t="s">
        <v>47</v>
      </c>
      <c r="D1551" s="7" t="s">
        <v>34</v>
      </c>
      <c r="E1551" s="7">
        <v>15.02</v>
      </c>
      <c r="F1551" s="7">
        <v>17.420000000000002</v>
      </c>
      <c r="G1551" s="7">
        <v>18.55</v>
      </c>
      <c r="H1551" s="7">
        <v>18.57</v>
      </c>
      <c r="I1551" s="7">
        <v>18.98</v>
      </c>
      <c r="J1551" s="7">
        <v>18.920000000000002</v>
      </c>
      <c r="K1551" s="7">
        <v>18.28</v>
      </c>
      <c r="L1551" s="7">
        <v>17.54</v>
      </c>
      <c r="M1551" s="7">
        <v>15.76</v>
      </c>
      <c r="N1551" s="7">
        <v>15.68</v>
      </c>
      <c r="O1551" s="7">
        <v>16.059999999999999</v>
      </c>
      <c r="P1551" s="7">
        <v>16.16</v>
      </c>
      <c r="Q1551" s="7">
        <v>16.78</v>
      </c>
      <c r="R1551" s="7">
        <v>17.04</v>
      </c>
      <c r="S1551">
        <f>Tableau1[[#This Row],[Final_time]]-SUM(Tableau1[[#This Row],[0_100m]:[1300_1400m]])</f>
        <v>17.449999999999989</v>
      </c>
      <c r="T1551" s="7">
        <v>258.20999999999998</v>
      </c>
      <c r="U1551">
        <f t="shared" si="48"/>
        <v>258.20999999999998</v>
      </c>
      <c r="V1551">
        <f t="shared" si="49"/>
        <v>0</v>
      </c>
      <c r="W1551" s="12" t="s">
        <v>116</v>
      </c>
      <c r="X1551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51" t="s">
        <v>1378</v>
      </c>
      <c r="Z1551" s="2" t="s">
        <v>106</v>
      </c>
      <c r="AA1551" s="2" t="s">
        <v>131</v>
      </c>
      <c r="AB1551" s="2" t="s">
        <v>65</v>
      </c>
      <c r="AC1551" s="2">
        <v>45914</v>
      </c>
      <c r="AD1551" s="3">
        <v>2025</v>
      </c>
      <c r="AE1551" s="3">
        <v>30</v>
      </c>
      <c r="AF1551" s="5">
        <v>0.68</v>
      </c>
      <c r="AG1551" s="3"/>
    </row>
    <row r="1552" spans="1:33" hidden="1" x14ac:dyDescent="0.35">
      <c r="A1552" t="str">
        <f>_xlfn.CONCAT(Tableau1[[#This Row],[Athletes]],"_",Tableau1[[#This Row],[Nationality]],"_",Tableau1[[#This Row],[Competition_year]])</f>
        <v>Salomé AFONSO_POR_2025</v>
      </c>
      <c r="B1552" s="7" t="s">
        <v>174</v>
      </c>
      <c r="C1552" s="7" t="s">
        <v>47</v>
      </c>
      <c r="D1552" s="7" t="s">
        <v>33</v>
      </c>
      <c r="E1552" s="7">
        <v>15.35</v>
      </c>
      <c r="F1552" s="7">
        <v>17.77</v>
      </c>
      <c r="G1552" s="7">
        <v>18.29</v>
      </c>
      <c r="H1552" s="7">
        <v>18.8</v>
      </c>
      <c r="I1552" s="7">
        <v>18.760000000000002</v>
      </c>
      <c r="J1552" s="7">
        <v>18.98</v>
      </c>
      <c r="K1552" s="7">
        <v>18.14</v>
      </c>
      <c r="L1552" s="7">
        <v>16.96</v>
      </c>
      <c r="M1552" s="7">
        <v>15.22</v>
      </c>
      <c r="N1552" s="7">
        <v>16.07</v>
      </c>
      <c r="O1552" s="7">
        <v>15.14</v>
      </c>
      <c r="P1552" s="7">
        <v>15.12</v>
      </c>
      <c r="Q1552" s="7">
        <v>15.54</v>
      </c>
      <c r="R1552" s="7">
        <v>17.02</v>
      </c>
      <c r="S1552">
        <f>Tableau1[[#This Row],[Final_time]]-SUM(Tableau1[[#This Row],[0_100m]:[1300_1400m]])</f>
        <v>17.919999999999987</v>
      </c>
      <c r="T1552" s="7">
        <v>255.08</v>
      </c>
      <c r="U1552">
        <f t="shared" si="48"/>
        <v>255.08</v>
      </c>
      <c r="V1552">
        <f t="shared" si="49"/>
        <v>0</v>
      </c>
      <c r="W1552" s="12" t="s">
        <v>1389</v>
      </c>
      <c r="X1552" t="str">
        <f>_xlfn.CONCAT(Tableau1[[#This Row],[Competition]],"_",Tableau1[[#This Row],[Championship_step]],"_",Tableau1[[#This Row],[Competition_date]],"_",Tableau1[[#This Row],[Gender]])</f>
        <v>World Championships Tokyo 2025_Semi 2_45914_Female</v>
      </c>
      <c r="Y1552" t="s">
        <v>1378</v>
      </c>
      <c r="Z1552" s="2" t="s">
        <v>106</v>
      </c>
      <c r="AA1552" s="2" t="s">
        <v>131</v>
      </c>
      <c r="AB1552" s="2" t="s">
        <v>65</v>
      </c>
      <c r="AC1552" s="2">
        <v>45914</v>
      </c>
      <c r="AD1552" s="3">
        <v>2025</v>
      </c>
      <c r="AE1552" s="3">
        <v>30</v>
      </c>
      <c r="AF1552" s="5">
        <v>0.68</v>
      </c>
      <c r="AG1552" s="3"/>
    </row>
    <row r="1553" spans="1:33" hidden="1" x14ac:dyDescent="0.35">
      <c r="A1553" t="str">
        <f>_xlfn.CONCAT(Tableau1[[#This Row],[Athletes]],"_",Tableau1[[#This Row],[Nationality]],"_",Tableau1[[#This Row],[Competition_year]])</f>
        <v>Jonah KOECH_USA_2025</v>
      </c>
      <c r="B1553" s="7" t="s">
        <v>1385</v>
      </c>
      <c r="C1553" s="7" t="s">
        <v>16</v>
      </c>
      <c r="D1553" s="7" t="s">
        <v>51</v>
      </c>
      <c r="E1553" s="7">
        <v>13.63</v>
      </c>
      <c r="F1553" s="7">
        <v>15.11</v>
      </c>
      <c r="G1553" s="7">
        <v>15.57</v>
      </c>
      <c r="H1553" s="7">
        <v>14.7</v>
      </c>
      <c r="I1553" s="7">
        <v>14.81</v>
      </c>
      <c r="J1553" s="7">
        <v>14.85</v>
      </c>
      <c r="K1553" s="7">
        <v>15.07</v>
      </c>
      <c r="L1553" s="7">
        <v>15.16</v>
      </c>
      <c r="M1553" s="7">
        <v>14.7</v>
      </c>
      <c r="N1553" s="7">
        <v>14.9</v>
      </c>
      <c r="O1553" s="7">
        <v>14.33</v>
      </c>
      <c r="P1553" s="7">
        <v>14.24</v>
      </c>
      <c r="Q1553" s="7">
        <v>13.54</v>
      </c>
      <c r="R1553" s="7">
        <v>13.76</v>
      </c>
      <c r="S1553">
        <f>Tableau1[[#This Row],[Final_time]]-SUM(Tableau1[[#This Row],[0_100m]:[1300_1400m]])</f>
        <v>12.519999999999982</v>
      </c>
      <c r="T1553" s="7">
        <v>216.89</v>
      </c>
      <c r="U1553">
        <f t="shared" si="48"/>
        <v>216.89</v>
      </c>
      <c r="V1553">
        <f t="shared" si="49"/>
        <v>0</v>
      </c>
      <c r="W1553" s="12" t="s">
        <v>109</v>
      </c>
      <c r="X1553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3" t="s">
        <v>1378</v>
      </c>
      <c r="Z1553" s="2" t="s">
        <v>106</v>
      </c>
      <c r="AA1553" s="2" t="s">
        <v>131</v>
      </c>
      <c r="AB1553" s="2" t="s">
        <v>65</v>
      </c>
      <c r="AC1553" s="2">
        <v>45915</v>
      </c>
      <c r="AD1553" s="3">
        <v>2025</v>
      </c>
      <c r="AE1553" s="3">
        <v>28</v>
      </c>
      <c r="AF1553" s="5">
        <v>0.73</v>
      </c>
      <c r="AG1553" s="3"/>
    </row>
    <row r="1554" spans="1:33" hidden="1" x14ac:dyDescent="0.35">
      <c r="A1554" t="str">
        <f>_xlfn.CONCAT(Tableau1[[#This Row],[Athletes]],"_",Tableau1[[#This Row],[Nationality]],"_",Tableau1[[#This Row],[Competition_year]])</f>
        <v>Reynold CHERUIYOT_KEN_2025</v>
      </c>
      <c r="B1554" s="7" t="s">
        <v>1192</v>
      </c>
      <c r="C1554" s="7" t="s">
        <v>16</v>
      </c>
      <c r="D1554" s="7" t="s">
        <v>17</v>
      </c>
      <c r="E1554" s="7">
        <v>13.42</v>
      </c>
      <c r="F1554" s="7">
        <v>15.08</v>
      </c>
      <c r="G1554" s="7">
        <v>15.59</v>
      </c>
      <c r="H1554" s="7">
        <v>14.7</v>
      </c>
      <c r="I1554" s="7">
        <v>14.8</v>
      </c>
      <c r="J1554" s="7">
        <v>14.78</v>
      </c>
      <c r="K1554" s="7">
        <v>15.21</v>
      </c>
      <c r="L1554" s="7">
        <v>15.11</v>
      </c>
      <c r="M1554" s="7">
        <v>14.52</v>
      </c>
      <c r="N1554" s="7">
        <v>15.02</v>
      </c>
      <c r="O1554" s="7">
        <v>14.39</v>
      </c>
      <c r="P1554" s="7">
        <v>14.1</v>
      </c>
      <c r="Q1554" s="7">
        <v>13.46</v>
      </c>
      <c r="R1554" s="7">
        <v>13.83</v>
      </c>
      <c r="S1554">
        <f>Tableau1[[#This Row],[Final_time]]-SUM(Tableau1[[#This Row],[0_100m]:[1300_1400m]])</f>
        <v>12.629999999999967</v>
      </c>
      <c r="T1554" s="7">
        <v>216.64</v>
      </c>
      <c r="U1554">
        <f t="shared" si="48"/>
        <v>216.64</v>
      </c>
      <c r="V1554">
        <f t="shared" si="49"/>
        <v>0</v>
      </c>
      <c r="W1554" s="12" t="s">
        <v>109</v>
      </c>
      <c r="X1554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4" t="s">
        <v>1378</v>
      </c>
      <c r="Z1554" s="2" t="s">
        <v>106</v>
      </c>
      <c r="AA1554" s="2" t="s">
        <v>131</v>
      </c>
      <c r="AB1554" s="2" t="s">
        <v>65</v>
      </c>
      <c r="AC1554" s="2">
        <v>45915</v>
      </c>
      <c r="AD1554" s="3">
        <v>2025</v>
      </c>
      <c r="AE1554" s="3">
        <v>28</v>
      </c>
      <c r="AF1554" s="5">
        <v>0.73</v>
      </c>
      <c r="AG1554" s="3"/>
    </row>
    <row r="1555" spans="1:33" hidden="1" x14ac:dyDescent="0.35">
      <c r="A1555" t="str">
        <f>_xlfn.CONCAT(Tableau1[[#This Row],[Athletes]],"_",Tableau1[[#This Row],[Nationality]],"_",Tableau1[[#This Row],[Competition_year]])</f>
        <v>Isaac NADER_POR_2025</v>
      </c>
      <c r="B1555" s="7" t="s">
        <v>191</v>
      </c>
      <c r="C1555" s="7" t="s">
        <v>16</v>
      </c>
      <c r="D1555" s="7" t="s">
        <v>33</v>
      </c>
      <c r="E1555" s="7">
        <v>13.43</v>
      </c>
      <c r="F1555" s="7">
        <v>15.32</v>
      </c>
      <c r="G1555" s="7">
        <v>15.54</v>
      </c>
      <c r="H1555" s="7">
        <v>14.77</v>
      </c>
      <c r="I1555" s="7">
        <v>14.76</v>
      </c>
      <c r="J1555" s="7">
        <v>14.77</v>
      </c>
      <c r="K1555" s="7">
        <v>15.12</v>
      </c>
      <c r="L1555" s="7">
        <v>15.25</v>
      </c>
      <c r="M1555" s="7">
        <v>14.57</v>
      </c>
      <c r="N1555" s="7">
        <v>14.92</v>
      </c>
      <c r="O1555" s="7">
        <v>14.1</v>
      </c>
      <c r="P1555" s="7">
        <v>14.05</v>
      </c>
      <c r="Q1555" s="7">
        <v>13.76</v>
      </c>
      <c r="R1555" s="7">
        <v>13.84</v>
      </c>
      <c r="S1555">
        <f>Tableau1[[#This Row],[Final_time]]-SUM(Tableau1[[#This Row],[0_100m]:[1300_1400m]])</f>
        <v>12.660000000000025</v>
      </c>
      <c r="T1555" s="7">
        <v>216.86</v>
      </c>
      <c r="U1555">
        <f t="shared" si="48"/>
        <v>216.86</v>
      </c>
      <c r="V1555">
        <f t="shared" si="49"/>
        <v>0</v>
      </c>
      <c r="W1555" s="12" t="s">
        <v>109</v>
      </c>
      <c r="X1555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5" t="s">
        <v>1378</v>
      </c>
      <c r="Z1555" s="2" t="s">
        <v>106</v>
      </c>
      <c r="AA1555" s="2" t="s">
        <v>131</v>
      </c>
      <c r="AB1555" s="2" t="s">
        <v>65</v>
      </c>
      <c r="AC1555" s="2">
        <v>45915</v>
      </c>
      <c r="AD1555" s="3">
        <v>2025</v>
      </c>
      <c r="AE1555" s="3">
        <v>28</v>
      </c>
      <c r="AF1555" s="5">
        <v>0.73</v>
      </c>
      <c r="AG1555" s="3"/>
    </row>
    <row r="1556" spans="1:33" hidden="1" x14ac:dyDescent="0.35">
      <c r="A1556" t="str">
        <f>_xlfn.CONCAT(Tableau1[[#This Row],[Athletes]],"_",Tableau1[[#This Row],[Nationality]],"_",Tableau1[[#This Row],[Competition_year]])</f>
        <v>Neil GOURLEY_GBR_2025</v>
      </c>
      <c r="B1556" s="7" t="s">
        <v>202</v>
      </c>
      <c r="C1556" s="7" t="s">
        <v>16</v>
      </c>
      <c r="D1556" s="7" t="s">
        <v>20</v>
      </c>
      <c r="E1556" s="7">
        <v>13.34</v>
      </c>
      <c r="F1556" s="7">
        <v>15.24</v>
      </c>
      <c r="G1556" s="7">
        <v>15.26</v>
      </c>
      <c r="H1556" s="7">
        <v>14.72</v>
      </c>
      <c r="I1556" s="7">
        <v>14.72</v>
      </c>
      <c r="J1556" s="7">
        <v>14.92</v>
      </c>
      <c r="K1556" s="7">
        <v>15.01</v>
      </c>
      <c r="L1556" s="7">
        <v>15.14</v>
      </c>
      <c r="M1556" s="7">
        <v>15.01</v>
      </c>
      <c r="N1556" s="7">
        <v>14.85</v>
      </c>
      <c r="O1556" s="7">
        <v>14.43</v>
      </c>
      <c r="P1556" s="7">
        <v>14.19</v>
      </c>
      <c r="Q1556" s="7">
        <v>13.55</v>
      </c>
      <c r="R1556" s="7">
        <v>13.88</v>
      </c>
      <c r="S1556">
        <f>Tableau1[[#This Row],[Final_time]]-SUM(Tableau1[[#This Row],[0_100m]:[1300_1400m]])</f>
        <v>12.669999999999987</v>
      </c>
      <c r="T1556" s="7">
        <v>216.93</v>
      </c>
      <c r="U1556">
        <f t="shared" si="48"/>
        <v>216.93</v>
      </c>
      <c r="V1556">
        <f t="shared" si="49"/>
        <v>0</v>
      </c>
      <c r="W1556" s="12" t="s">
        <v>109</v>
      </c>
      <c r="X1556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6" t="s">
        <v>1378</v>
      </c>
      <c r="Z1556" s="2" t="s">
        <v>106</v>
      </c>
      <c r="AA1556" s="2" t="s">
        <v>131</v>
      </c>
      <c r="AB1556" s="2" t="s">
        <v>65</v>
      </c>
      <c r="AC1556" s="2">
        <v>45915</v>
      </c>
      <c r="AD1556" s="3">
        <v>2025</v>
      </c>
      <c r="AE1556" s="3">
        <v>28</v>
      </c>
      <c r="AF1556" s="5">
        <v>0.73</v>
      </c>
      <c r="AG1556" s="3"/>
    </row>
    <row r="1557" spans="1:33" hidden="1" x14ac:dyDescent="0.35">
      <c r="A1557" t="str">
        <f>_xlfn.CONCAT(Tableau1[[#This Row],[Athletes]],"_",Tableau1[[#This Row],[Nationality]],"_",Tableau1[[#This Row],[Competition_year]])</f>
        <v>Tshepo TSHITE_RSA_2025</v>
      </c>
      <c r="B1557" s="7" t="s">
        <v>201</v>
      </c>
      <c r="C1557" s="7" t="s">
        <v>16</v>
      </c>
      <c r="D1557" s="7" t="s">
        <v>36</v>
      </c>
      <c r="E1557" s="7">
        <v>13.57</v>
      </c>
      <c r="F1557" s="7">
        <v>15.33</v>
      </c>
      <c r="G1557" s="7">
        <v>15.53</v>
      </c>
      <c r="H1557" s="7">
        <v>14.81</v>
      </c>
      <c r="I1557" s="7">
        <v>14.71</v>
      </c>
      <c r="J1557" s="7">
        <v>14.82</v>
      </c>
      <c r="K1557" s="7">
        <v>15.12</v>
      </c>
      <c r="L1557" s="7">
        <v>15.14</v>
      </c>
      <c r="M1557" s="7">
        <v>14.57</v>
      </c>
      <c r="N1557" s="7">
        <v>15.01</v>
      </c>
      <c r="O1557" s="7">
        <v>14.33</v>
      </c>
      <c r="P1557" s="7">
        <v>14.12</v>
      </c>
      <c r="Q1557" s="7">
        <v>13.53</v>
      </c>
      <c r="R1557" s="7">
        <v>13.6</v>
      </c>
      <c r="S1557">
        <f>Tableau1[[#This Row],[Final_time]]-SUM(Tableau1[[#This Row],[0_100m]:[1300_1400m]])</f>
        <v>12.739999999999981</v>
      </c>
      <c r="T1557" s="7">
        <v>216.93</v>
      </c>
      <c r="U1557">
        <f t="shared" si="48"/>
        <v>216.93</v>
      </c>
      <c r="V1557">
        <f t="shared" si="49"/>
        <v>0</v>
      </c>
      <c r="W1557" s="12" t="s">
        <v>109</v>
      </c>
      <c r="X1557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7" t="s">
        <v>1378</v>
      </c>
      <c r="Z1557" s="2" t="s">
        <v>106</v>
      </c>
      <c r="AA1557" s="2" t="s">
        <v>131</v>
      </c>
      <c r="AB1557" s="2" t="s">
        <v>65</v>
      </c>
      <c r="AC1557" s="2">
        <v>45915</v>
      </c>
      <c r="AD1557" s="3">
        <v>2025</v>
      </c>
      <c r="AE1557" s="3">
        <v>28</v>
      </c>
      <c r="AF1557" s="5">
        <v>0.73</v>
      </c>
      <c r="AG1557" s="3"/>
    </row>
    <row r="1558" spans="1:33" hidden="1" x14ac:dyDescent="0.35">
      <c r="A1558" t="str">
        <f>_xlfn.CONCAT(Tableau1[[#This Row],[Athletes]],"_",Tableau1[[#This Row],[Nationality]],"_",Tableau1[[#This Row],[Competition_year]])</f>
        <v>Adrián BEN_ESP_2025</v>
      </c>
      <c r="B1558" s="7" t="s">
        <v>433</v>
      </c>
      <c r="C1558" s="7" t="s">
        <v>16</v>
      </c>
      <c r="D1558" s="7" t="s">
        <v>22</v>
      </c>
      <c r="E1558" s="7">
        <v>13.83</v>
      </c>
      <c r="F1558" s="7">
        <v>15.2</v>
      </c>
      <c r="G1558" s="7">
        <v>15.75</v>
      </c>
      <c r="H1558" s="7">
        <v>14.78</v>
      </c>
      <c r="I1558" s="7">
        <v>14.58</v>
      </c>
      <c r="J1558" s="7">
        <v>15.57</v>
      </c>
      <c r="K1558" s="7">
        <v>14.29</v>
      </c>
      <c r="L1558" s="7">
        <v>15.04</v>
      </c>
      <c r="M1558" s="7">
        <v>14.76</v>
      </c>
      <c r="N1558" s="7">
        <v>16.989999999999998</v>
      </c>
      <c r="O1558" s="7">
        <v>11.97</v>
      </c>
      <c r="P1558" s="7">
        <v>13.87</v>
      </c>
      <c r="Q1558" s="7">
        <v>13.71</v>
      </c>
      <c r="R1558" s="7">
        <v>13.6</v>
      </c>
      <c r="S1558">
        <f>Tableau1[[#This Row],[Final_time]]-SUM(Tableau1[[#This Row],[0_100m]:[1300_1400m]])</f>
        <v>12.840000000000003</v>
      </c>
      <c r="T1558" s="7">
        <v>216.78</v>
      </c>
      <c r="U1558">
        <f t="shared" si="48"/>
        <v>216.78</v>
      </c>
      <c r="V1558">
        <f t="shared" si="49"/>
        <v>0</v>
      </c>
      <c r="W1558" s="12" t="s">
        <v>109</v>
      </c>
      <c r="X1558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8" t="s">
        <v>1378</v>
      </c>
      <c r="Z1558" s="2" t="s">
        <v>106</v>
      </c>
      <c r="AA1558" s="2" t="s">
        <v>131</v>
      </c>
      <c r="AB1558" s="2" t="s">
        <v>65</v>
      </c>
      <c r="AC1558" s="2">
        <v>45915</v>
      </c>
      <c r="AD1558" s="3">
        <v>2025</v>
      </c>
      <c r="AE1558" s="3">
        <v>28</v>
      </c>
      <c r="AF1558" s="5">
        <v>0.73</v>
      </c>
      <c r="AG1558" s="3"/>
    </row>
    <row r="1559" spans="1:33" hidden="1" x14ac:dyDescent="0.35">
      <c r="A1559" t="str">
        <f>_xlfn.CONCAT(Tableau1[[#This Row],[Athletes]],"_",Tableau1[[#This Row],[Nationality]],"_",Tableau1[[#This Row],[Competition_year]])</f>
        <v>Stefan NILLESSEN_NED_2025</v>
      </c>
      <c r="B1559" s="7" t="s">
        <v>1262</v>
      </c>
      <c r="C1559" s="7" t="s">
        <v>16</v>
      </c>
      <c r="D1559" s="7" t="s">
        <v>39</v>
      </c>
      <c r="E1559" s="7">
        <v>13.64</v>
      </c>
      <c r="F1559" s="7">
        <v>15.22</v>
      </c>
      <c r="G1559" s="7">
        <v>15.66</v>
      </c>
      <c r="H1559" s="7">
        <v>14.76</v>
      </c>
      <c r="I1559" s="7">
        <v>14.06</v>
      </c>
      <c r="J1559" s="7">
        <v>14.94</v>
      </c>
      <c r="K1559" s="7">
        <v>15.07</v>
      </c>
      <c r="L1559" s="7">
        <v>15.16</v>
      </c>
      <c r="M1559" s="7">
        <v>14.61</v>
      </c>
      <c r="N1559" s="7">
        <v>14.89</v>
      </c>
      <c r="O1559" s="7">
        <v>14.22</v>
      </c>
      <c r="P1559" s="7">
        <v>14.18</v>
      </c>
      <c r="Q1559" s="7">
        <v>13.61</v>
      </c>
      <c r="R1559" s="7">
        <v>13.93</v>
      </c>
      <c r="S1559">
        <f>Tableau1[[#This Row],[Final_time]]-SUM(Tableau1[[#This Row],[0_100m]:[1300_1400m]])</f>
        <v>13.170000000000016</v>
      </c>
      <c r="T1559" s="7">
        <v>217.12</v>
      </c>
      <c r="U1559">
        <f t="shared" si="48"/>
        <v>217.12</v>
      </c>
      <c r="V1559">
        <f t="shared" si="49"/>
        <v>0</v>
      </c>
      <c r="W1559" s="12"/>
      <c r="X1559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59" t="s">
        <v>1378</v>
      </c>
      <c r="Z1559" s="2" t="s">
        <v>106</v>
      </c>
      <c r="AA1559" s="2" t="s">
        <v>131</v>
      </c>
      <c r="AB1559" s="2" t="s">
        <v>65</v>
      </c>
      <c r="AC1559" s="2">
        <v>45915</v>
      </c>
      <c r="AD1559" s="3">
        <v>2025</v>
      </c>
      <c r="AE1559" s="3">
        <v>28</v>
      </c>
      <c r="AF1559" s="5">
        <v>0.73</v>
      </c>
      <c r="AG1559" s="3"/>
    </row>
    <row r="1560" spans="1:33" hidden="1" x14ac:dyDescent="0.35">
      <c r="A1560" t="str">
        <f>_xlfn.CONCAT(Tableau1[[#This Row],[Athletes]],"_",Tableau1[[#This Row],[Nationality]],"_",Tableau1[[#This Row],[Competition_year]])</f>
        <v>Robert FARKEN_GER_2025</v>
      </c>
      <c r="B1560" s="7" t="s">
        <v>342</v>
      </c>
      <c r="C1560" s="7" t="s">
        <v>16</v>
      </c>
      <c r="D1560" s="7" t="s">
        <v>34</v>
      </c>
      <c r="E1560" s="7">
        <v>13.37</v>
      </c>
      <c r="F1560" s="7">
        <v>15.31</v>
      </c>
      <c r="G1560" s="7">
        <v>15.47</v>
      </c>
      <c r="H1560" s="7">
        <v>14.75</v>
      </c>
      <c r="I1560" s="7">
        <v>14.82</v>
      </c>
      <c r="J1560" s="7">
        <v>14.77</v>
      </c>
      <c r="K1560" s="7">
        <v>15.09</v>
      </c>
      <c r="L1560" s="7">
        <v>15.15</v>
      </c>
      <c r="M1560" s="7">
        <v>14.66</v>
      </c>
      <c r="N1560" s="7">
        <v>14.94</v>
      </c>
      <c r="O1560" s="7">
        <v>14.04</v>
      </c>
      <c r="P1560" s="7">
        <v>14.04</v>
      </c>
      <c r="Q1560" s="7">
        <v>13.66</v>
      </c>
      <c r="R1560" s="7">
        <v>13.91</v>
      </c>
      <c r="S1560">
        <f>Tableau1[[#This Row],[Final_time]]-SUM(Tableau1[[#This Row],[0_100m]:[1300_1400m]])</f>
        <v>13.54000000000002</v>
      </c>
      <c r="T1560" s="7">
        <v>217.52</v>
      </c>
      <c r="U1560">
        <f t="shared" si="48"/>
        <v>217.52</v>
      </c>
      <c r="V1560">
        <f t="shared" si="49"/>
        <v>0</v>
      </c>
      <c r="W1560" s="12" t="s">
        <v>116</v>
      </c>
      <c r="X1560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60" t="s">
        <v>1378</v>
      </c>
      <c r="Z1560" s="2" t="s">
        <v>106</v>
      </c>
      <c r="AA1560" s="2" t="s">
        <v>131</v>
      </c>
      <c r="AB1560" s="2" t="s">
        <v>65</v>
      </c>
      <c r="AC1560" s="2">
        <v>45915</v>
      </c>
      <c r="AD1560" s="3">
        <v>2025</v>
      </c>
      <c r="AE1560" s="3">
        <v>28</v>
      </c>
      <c r="AF1560" s="5">
        <v>0.73</v>
      </c>
      <c r="AG1560" s="3"/>
    </row>
    <row r="1561" spans="1:33" hidden="1" x14ac:dyDescent="0.35">
      <c r="A1561" t="str">
        <f>_xlfn.CONCAT(Tableau1[[#This Row],[Athletes]],"_",Tableau1[[#This Row],[Nationality]],"_",Tableau1[[#This Row],[Competition_year]])</f>
        <v>Foster MALLECK_CAN_2025</v>
      </c>
      <c r="B1561" s="7" t="s">
        <v>1379</v>
      </c>
      <c r="C1561" s="7" t="s">
        <v>16</v>
      </c>
      <c r="D1561" s="7" t="s">
        <v>55</v>
      </c>
      <c r="E1561" s="7">
        <v>13.95</v>
      </c>
      <c r="F1561" s="7">
        <v>15.38</v>
      </c>
      <c r="G1561" s="7">
        <v>14.65</v>
      </c>
      <c r="H1561" s="7">
        <v>14.75</v>
      </c>
      <c r="I1561" s="7">
        <v>14.75</v>
      </c>
      <c r="J1561" s="7">
        <v>26.26</v>
      </c>
      <c r="K1561" s="7">
        <v>18.63</v>
      </c>
      <c r="L1561" s="7">
        <v>15.55</v>
      </c>
      <c r="M1561" s="7">
        <v>16.32</v>
      </c>
      <c r="N1561" s="7">
        <v>16.989999999999998</v>
      </c>
      <c r="O1561" s="7">
        <v>18.02</v>
      </c>
      <c r="P1561" s="7">
        <v>17.62</v>
      </c>
      <c r="Q1561" s="7">
        <v>16.82</v>
      </c>
      <c r="R1561" s="7">
        <v>17.489999999999998</v>
      </c>
      <c r="S1561">
        <f>Tableau1[[#This Row],[Final_time]]-SUM(Tableau1[[#This Row],[0_100m]:[1300_1400m]])</f>
        <v>16.909999999999997</v>
      </c>
      <c r="T1561" s="7">
        <v>254.09</v>
      </c>
      <c r="U1561">
        <f t="shared" si="48"/>
        <v>254.09</v>
      </c>
      <c r="V1561">
        <f t="shared" si="49"/>
        <v>0</v>
      </c>
      <c r="W1561" s="12"/>
      <c r="X1561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61" t="s">
        <v>1378</v>
      </c>
      <c r="Z1561" s="2" t="s">
        <v>106</v>
      </c>
      <c r="AA1561" s="2" t="s">
        <v>131</v>
      </c>
      <c r="AB1561" s="2" t="s">
        <v>65</v>
      </c>
      <c r="AC1561" s="2">
        <v>45915</v>
      </c>
      <c r="AD1561" s="3">
        <v>2025</v>
      </c>
      <c r="AE1561" s="3">
        <v>28</v>
      </c>
      <c r="AF1561" s="5">
        <v>0.73</v>
      </c>
      <c r="AG1561" s="3"/>
    </row>
    <row r="1562" spans="1:33" hidden="1" x14ac:dyDescent="0.35">
      <c r="A1562" t="str">
        <f>_xlfn.CONCAT(Tableau1[[#This Row],[Athletes]],"_",Tableau1[[#This Row],[Nationality]],"_",Tableau1[[#This Row],[Competition_year]])</f>
        <v>Federico RIVA_ITA_2025</v>
      </c>
      <c r="B1562" s="7" t="s">
        <v>901</v>
      </c>
      <c r="C1562" s="7" t="s">
        <v>16</v>
      </c>
      <c r="D1562" s="7" t="s">
        <v>19</v>
      </c>
      <c r="E1562" s="7">
        <v>13.83</v>
      </c>
      <c r="F1562" s="7">
        <v>15.3</v>
      </c>
      <c r="G1562" s="7">
        <v>15.05</v>
      </c>
      <c r="H1562" s="7">
        <v>14.57</v>
      </c>
      <c r="I1562" s="7">
        <v>14.83</v>
      </c>
      <c r="J1562" s="7">
        <v>23.38</v>
      </c>
      <c r="K1562" s="7">
        <v>18.059999999999999</v>
      </c>
      <c r="L1562" s="7">
        <v>16.98</v>
      </c>
      <c r="M1562" s="7">
        <v>17.37</v>
      </c>
      <c r="N1562" s="7">
        <v>17.850000000000001</v>
      </c>
      <c r="O1562" s="7">
        <v>18.29</v>
      </c>
      <c r="P1562" s="7">
        <v>17.52</v>
      </c>
      <c r="Q1562" s="7">
        <v>16.87</v>
      </c>
      <c r="R1562" s="7">
        <v>17.27</v>
      </c>
      <c r="S1562">
        <f>Tableau1[[#This Row],[Final_time]]-SUM(Tableau1[[#This Row],[0_100m]:[1300_1400m]])</f>
        <v>17.139999999999986</v>
      </c>
      <c r="T1562" s="7">
        <v>254.31</v>
      </c>
      <c r="U1562">
        <f t="shared" si="48"/>
        <v>254.31</v>
      </c>
      <c r="V1562">
        <f t="shared" si="49"/>
        <v>0</v>
      </c>
      <c r="W1562" s="12" t="s">
        <v>1389</v>
      </c>
      <c r="X1562" t="str">
        <f>_xlfn.CONCAT(Tableau1[[#This Row],[Competition]],"_",Tableau1[[#This Row],[Championship_step]],"_",Tableau1[[#This Row],[Competition_date]],"_",Tableau1[[#This Row],[Gender]])</f>
        <v>World Championships Tokyo 2025_Semi 2_45915_Male</v>
      </c>
      <c r="Y1562" t="s">
        <v>1378</v>
      </c>
      <c r="Z1562" s="2" t="s">
        <v>106</v>
      </c>
      <c r="AA1562" s="2" t="s">
        <v>131</v>
      </c>
      <c r="AB1562" s="2" t="s">
        <v>65</v>
      </c>
      <c r="AC1562" s="2">
        <v>45915</v>
      </c>
      <c r="AD1562" s="3">
        <v>2025</v>
      </c>
      <c r="AE1562" s="3">
        <v>28</v>
      </c>
      <c r="AF1562" s="5">
        <v>0.73</v>
      </c>
      <c r="AG1562" s="3"/>
    </row>
    <row r="1563" spans="1:33" hidden="1" x14ac:dyDescent="0.35">
      <c r="A1563" t="str">
        <f>_xlfn.CONCAT(Tableau1[[#This Row],[Athletes]],"_",Tableau1[[#This Row],[Nationality]],"_",Tableau1[[#This Row],[Competition_year]])</f>
        <v>Birke HAYLOM_ETH_2026</v>
      </c>
      <c r="B1563" s="7" t="s">
        <v>179</v>
      </c>
      <c r="C1563" t="s">
        <v>47</v>
      </c>
      <c r="D1563" t="s">
        <v>48</v>
      </c>
      <c r="E1563">
        <v>15.7</v>
      </c>
      <c r="F1563">
        <v>16.600000000000001</v>
      </c>
      <c r="G1563">
        <v>15.4</v>
      </c>
      <c r="H1563">
        <v>15.2</v>
      </c>
      <c r="I1563">
        <v>15.6</v>
      </c>
      <c r="J1563">
        <v>15.8</v>
      </c>
      <c r="K1563">
        <v>15.8</v>
      </c>
      <c r="L1563">
        <v>15.6</v>
      </c>
      <c r="M1563">
        <v>16.100000000000001</v>
      </c>
      <c r="N1563">
        <v>15.8</v>
      </c>
      <c r="O1563">
        <v>15.7</v>
      </c>
      <c r="P1563">
        <v>16</v>
      </c>
      <c r="Q1563">
        <v>15.3</v>
      </c>
      <c r="R1563">
        <v>15.9</v>
      </c>
      <c r="S1563">
        <f>Tableau1[[#This Row],[Final_time]]-SUM(Tableau1[[#This Row],[0_100m]:[1300_1400m]])</f>
        <v>15.060000000000002</v>
      </c>
      <c r="T1563">
        <v>235.56</v>
      </c>
      <c r="U1563">
        <f t="shared" ref="U1563:U1577" si="50">SUM(E1563:S1563)</f>
        <v>235.56</v>
      </c>
      <c r="V1563">
        <f t="shared" ref="V1563:V1577" si="51">ABS(U1563-T1563)</f>
        <v>0</v>
      </c>
      <c r="X1563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3" t="s">
        <v>1877</v>
      </c>
      <c r="Z1563" s="2" t="s">
        <v>43</v>
      </c>
      <c r="AA1563" s="2"/>
      <c r="AB1563" s="2" t="s">
        <v>65</v>
      </c>
      <c r="AC1563" s="2">
        <v>46158</v>
      </c>
      <c r="AD1563" s="3">
        <v>2026</v>
      </c>
      <c r="AE1563" s="3">
        <v>22</v>
      </c>
      <c r="AF1563" s="5">
        <v>0.62</v>
      </c>
      <c r="AG1563" s="3" t="s">
        <v>64</v>
      </c>
    </row>
    <row r="1564" spans="1:33" hidden="1" x14ac:dyDescent="0.35">
      <c r="A1564" t="str">
        <f>_xlfn.CONCAT(Tableau1[[#This Row],[Athletes]],"_",Tableau1[[#This Row],[Nationality]],"_",Tableau1[[#This Row],[Competition_year]])</f>
        <v>Tsige DUGUMA_ETH_2026</v>
      </c>
      <c r="B1564" s="7" t="s">
        <v>1287</v>
      </c>
      <c r="C1564" t="s">
        <v>47</v>
      </c>
      <c r="D1564" t="s">
        <v>48</v>
      </c>
      <c r="E1564">
        <v>15</v>
      </c>
      <c r="F1564">
        <v>17.2</v>
      </c>
      <c r="G1564">
        <v>16.100000000000001</v>
      </c>
      <c r="H1564">
        <v>15.6</v>
      </c>
      <c r="I1564">
        <v>15.7</v>
      </c>
      <c r="J1564">
        <v>15.7</v>
      </c>
      <c r="K1564">
        <v>16</v>
      </c>
      <c r="L1564">
        <v>15.9</v>
      </c>
      <c r="M1564">
        <v>16.2</v>
      </c>
      <c r="N1564">
        <v>15.7</v>
      </c>
      <c r="O1564">
        <v>15.8</v>
      </c>
      <c r="P1564">
        <v>15.9</v>
      </c>
      <c r="Q1564">
        <v>15.1</v>
      </c>
      <c r="R1564">
        <v>15.2</v>
      </c>
      <c r="S1564">
        <f>Tableau1[[#This Row],[Final_time]]-SUM(Tableau1[[#This Row],[0_100m]:[1300_1400m]])</f>
        <v>14.610000000000014</v>
      </c>
      <c r="T1564">
        <v>235.71</v>
      </c>
      <c r="U1564">
        <f t="shared" si="50"/>
        <v>235.71</v>
      </c>
      <c r="V1564">
        <f t="shared" si="51"/>
        <v>0</v>
      </c>
      <c r="X1564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4" t="s">
        <v>1877</v>
      </c>
      <c r="Z1564" s="2" t="s">
        <v>43</v>
      </c>
      <c r="AA1564" s="2"/>
      <c r="AB1564" s="2" t="s">
        <v>65</v>
      </c>
      <c r="AC1564" s="2">
        <v>46158</v>
      </c>
      <c r="AD1564" s="3">
        <v>2026</v>
      </c>
      <c r="AE1564" s="3">
        <v>22</v>
      </c>
      <c r="AF1564" s="5">
        <v>0.62</v>
      </c>
      <c r="AG1564" s="3" t="s">
        <v>64</v>
      </c>
    </row>
    <row r="1565" spans="1:33" hidden="1" x14ac:dyDescent="0.35">
      <c r="A1565" t="str">
        <f>_xlfn.CONCAT(Tableau1[[#This Row],[Athletes]],"_",Tableau1[[#This Row],[Nationality]],"_",Tableau1[[#This Row],[Competition_year]])</f>
        <v>Abbey CALDWELL_AUS_2026</v>
      </c>
      <c r="B1565" s="7" t="s">
        <v>156</v>
      </c>
      <c r="C1565" t="s">
        <v>47</v>
      </c>
      <c r="D1565" t="s">
        <v>21</v>
      </c>
      <c r="E1565">
        <v>15.4</v>
      </c>
      <c r="F1565">
        <v>17.3</v>
      </c>
      <c r="G1565">
        <v>16.100000000000001</v>
      </c>
      <c r="H1565">
        <v>15.9</v>
      </c>
      <c r="I1565">
        <v>15.5</v>
      </c>
      <c r="J1565">
        <v>15.9</v>
      </c>
      <c r="K1565">
        <v>15.8</v>
      </c>
      <c r="L1565">
        <v>16</v>
      </c>
      <c r="M1565">
        <v>16</v>
      </c>
      <c r="N1565">
        <v>16</v>
      </c>
      <c r="O1565">
        <v>15.9</v>
      </c>
      <c r="P1565">
        <v>15.3</v>
      </c>
      <c r="Q1565">
        <v>15.3</v>
      </c>
      <c r="R1565">
        <v>14.8</v>
      </c>
      <c r="S1565">
        <f>Tableau1[[#This Row],[Final_time]]-SUM(Tableau1[[#This Row],[0_100m]:[1300_1400m]])</f>
        <v>14.919999999999959</v>
      </c>
      <c r="T1565">
        <v>236.12</v>
      </c>
      <c r="U1565">
        <f t="shared" si="50"/>
        <v>236.12</v>
      </c>
      <c r="V1565">
        <f t="shared" si="51"/>
        <v>0</v>
      </c>
      <c r="X1565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5" t="s">
        <v>1877</v>
      </c>
      <c r="Z1565" s="2" t="s">
        <v>43</v>
      </c>
      <c r="AA1565" s="2"/>
      <c r="AB1565" s="2" t="s">
        <v>65</v>
      </c>
      <c r="AC1565" s="2">
        <v>46158</v>
      </c>
      <c r="AD1565" s="3">
        <v>2026</v>
      </c>
      <c r="AE1565" s="3">
        <v>22</v>
      </c>
      <c r="AF1565" s="5">
        <v>0.62</v>
      </c>
      <c r="AG1565" s="3" t="s">
        <v>64</v>
      </c>
    </row>
    <row r="1566" spans="1:33" hidden="1" x14ac:dyDescent="0.35">
      <c r="A1566" t="str">
        <f>_xlfn.CONCAT(Tableau1[[#This Row],[Athletes]],"_",Tableau1[[#This Row],[Nationality]],"_",Tableau1[[#This Row],[Competition_year]])</f>
        <v>Worknesh MESELE_ETH_2026</v>
      </c>
      <c r="B1566" s="7" t="s">
        <v>294</v>
      </c>
      <c r="C1566" t="s">
        <v>47</v>
      </c>
      <c r="D1566" t="s">
        <v>48</v>
      </c>
      <c r="E1566">
        <v>15.5</v>
      </c>
      <c r="F1566">
        <v>17.3</v>
      </c>
      <c r="G1566">
        <v>16.3</v>
      </c>
      <c r="H1566">
        <v>16.399999999999999</v>
      </c>
      <c r="I1566">
        <v>16</v>
      </c>
      <c r="J1566">
        <v>16</v>
      </c>
      <c r="K1566">
        <v>16.3</v>
      </c>
      <c r="L1566">
        <v>15.6</v>
      </c>
      <c r="M1566">
        <v>15.7</v>
      </c>
      <c r="N1566">
        <v>15.5</v>
      </c>
      <c r="O1566">
        <v>15.1</v>
      </c>
      <c r="P1566">
        <v>15.2</v>
      </c>
      <c r="Q1566">
        <v>15.3</v>
      </c>
      <c r="R1566">
        <v>15.6</v>
      </c>
      <c r="S1566">
        <f>Tableau1[[#This Row],[Final_time]]-SUM(Tableau1[[#This Row],[0_100m]:[1300_1400m]])</f>
        <v>15.760000000000019</v>
      </c>
      <c r="T1566">
        <v>237.56</v>
      </c>
      <c r="U1566">
        <f t="shared" si="50"/>
        <v>237.56</v>
      </c>
      <c r="V1566">
        <f t="shared" si="51"/>
        <v>0</v>
      </c>
      <c r="X1566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6" t="s">
        <v>1877</v>
      </c>
      <c r="Z1566" s="2" t="s">
        <v>43</v>
      </c>
      <c r="AA1566" s="2"/>
      <c r="AB1566" s="2" t="s">
        <v>65</v>
      </c>
      <c r="AC1566" s="2">
        <v>46158</v>
      </c>
      <c r="AD1566" s="3">
        <v>2026</v>
      </c>
      <c r="AE1566" s="3">
        <v>22</v>
      </c>
      <c r="AF1566" s="5">
        <v>0.62</v>
      </c>
      <c r="AG1566" s="3" t="s">
        <v>64</v>
      </c>
    </row>
    <row r="1567" spans="1:33" hidden="1" x14ac:dyDescent="0.35">
      <c r="A1567" t="str">
        <f>_xlfn.CONCAT(Tableau1[[#This Row],[Athletes]],"_",Tableau1[[#This Row],[Nationality]],"_",Tableau1[[#This Row],[Competition_year]])</f>
        <v>Dorcus EWOI_KEN_2026</v>
      </c>
      <c r="B1567" s="7" t="s">
        <v>1390</v>
      </c>
      <c r="C1567" t="s">
        <v>47</v>
      </c>
      <c r="D1567" t="s">
        <v>17</v>
      </c>
      <c r="E1567">
        <v>15.1</v>
      </c>
      <c r="F1567">
        <v>16.600000000000001</v>
      </c>
      <c r="G1567">
        <v>15.7</v>
      </c>
      <c r="H1567">
        <v>15.3</v>
      </c>
      <c r="I1567">
        <v>15.6</v>
      </c>
      <c r="J1567">
        <v>15.7</v>
      </c>
      <c r="K1567">
        <v>15.9</v>
      </c>
      <c r="L1567">
        <v>15.6</v>
      </c>
      <c r="M1567">
        <v>16</v>
      </c>
      <c r="N1567">
        <v>15.9</v>
      </c>
      <c r="O1567">
        <v>15.9</v>
      </c>
      <c r="P1567">
        <v>15.8</v>
      </c>
      <c r="Q1567">
        <v>15.6</v>
      </c>
      <c r="R1567">
        <v>15.8</v>
      </c>
      <c r="S1567">
        <f>Tableau1[[#This Row],[Final_time]]-SUM(Tableau1[[#This Row],[0_100m]:[1300_1400m]])</f>
        <v>17.239999999999981</v>
      </c>
      <c r="T1567">
        <v>237.74</v>
      </c>
      <c r="U1567">
        <f t="shared" si="50"/>
        <v>237.74</v>
      </c>
      <c r="V1567">
        <f t="shared" si="51"/>
        <v>0</v>
      </c>
      <c r="X1567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7" t="s">
        <v>1877</v>
      </c>
      <c r="Z1567" s="2" t="s">
        <v>43</v>
      </c>
      <c r="AA1567" s="2"/>
      <c r="AB1567" s="2" t="s">
        <v>65</v>
      </c>
      <c r="AC1567" s="2">
        <v>46158</v>
      </c>
      <c r="AD1567" s="3">
        <v>2026</v>
      </c>
      <c r="AE1567" s="3">
        <v>22</v>
      </c>
      <c r="AF1567" s="5">
        <v>0.62</v>
      </c>
      <c r="AG1567" s="3" t="s">
        <v>64</v>
      </c>
    </row>
    <row r="1568" spans="1:33" hidden="1" x14ac:dyDescent="0.35">
      <c r="A1568" t="str">
        <f>_xlfn.CONCAT(Tableau1[[#This Row],[Athletes]],"_",Tableau1[[#This Row],[Nationality]],"_",Tableau1[[#This Row],[Competition_year]])</f>
        <v>Jessica HULL_AUS_2026</v>
      </c>
      <c r="B1568" s="7" t="s">
        <v>187</v>
      </c>
      <c r="C1568" t="s">
        <v>47</v>
      </c>
      <c r="D1568" t="s">
        <v>21</v>
      </c>
      <c r="E1568">
        <v>14.9</v>
      </c>
      <c r="F1568">
        <v>16.600000000000001</v>
      </c>
      <c r="G1568">
        <v>15.7</v>
      </c>
      <c r="H1568">
        <v>15.3</v>
      </c>
      <c r="I1568">
        <v>15.6</v>
      </c>
      <c r="J1568">
        <v>15.7</v>
      </c>
      <c r="K1568">
        <v>15.8</v>
      </c>
      <c r="L1568">
        <v>15.7</v>
      </c>
      <c r="M1568">
        <v>16</v>
      </c>
      <c r="N1568">
        <v>15.9</v>
      </c>
      <c r="O1568">
        <v>15.8</v>
      </c>
      <c r="P1568">
        <v>15.9</v>
      </c>
      <c r="Q1568">
        <v>16.100000000000001</v>
      </c>
      <c r="R1568">
        <v>15.9</v>
      </c>
      <c r="S1568">
        <f>Tableau1[[#This Row],[Final_time]]-SUM(Tableau1[[#This Row],[0_100m]:[1300_1400m]])</f>
        <v>17.009999999999962</v>
      </c>
      <c r="T1568">
        <v>237.91</v>
      </c>
      <c r="U1568">
        <f t="shared" si="50"/>
        <v>237.91</v>
      </c>
      <c r="V1568">
        <f t="shared" si="51"/>
        <v>0</v>
      </c>
      <c r="X1568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8" t="s">
        <v>1877</v>
      </c>
      <c r="Z1568" s="2" t="s">
        <v>43</v>
      </c>
      <c r="AA1568" s="2"/>
      <c r="AB1568" s="2" t="s">
        <v>65</v>
      </c>
      <c r="AC1568" s="2">
        <v>46158</v>
      </c>
      <c r="AD1568" s="3">
        <v>2026</v>
      </c>
      <c r="AE1568" s="3">
        <v>22</v>
      </c>
      <c r="AF1568" s="5">
        <v>0.62</v>
      </c>
      <c r="AG1568" s="3" t="s">
        <v>64</v>
      </c>
    </row>
    <row r="1569" spans="1:33" hidden="1" x14ac:dyDescent="0.35">
      <c r="A1569" t="str">
        <f>_xlfn.CONCAT(Tableau1[[#This Row],[Athletes]],"_",Tableau1[[#This Row],[Nationality]],"_",Tableau1[[#This Row],[Competition_year]])</f>
        <v>Emily MACKAY_USA_2026</v>
      </c>
      <c r="B1569" s="7" t="s">
        <v>415</v>
      </c>
      <c r="C1569" t="s">
        <v>47</v>
      </c>
      <c r="D1569" t="s">
        <v>51</v>
      </c>
      <c r="E1569">
        <v>15.1</v>
      </c>
      <c r="F1569">
        <v>17.3</v>
      </c>
      <c r="G1569">
        <v>16.2</v>
      </c>
      <c r="H1569">
        <v>15.9</v>
      </c>
      <c r="I1569">
        <v>15.7</v>
      </c>
      <c r="J1569">
        <v>15.8</v>
      </c>
      <c r="K1569">
        <v>15.8</v>
      </c>
      <c r="L1569">
        <v>16.100000000000001</v>
      </c>
      <c r="M1569">
        <v>16.2</v>
      </c>
      <c r="N1569">
        <v>16.2</v>
      </c>
      <c r="O1569">
        <v>16.100000000000001</v>
      </c>
      <c r="P1569">
        <v>15.5</v>
      </c>
      <c r="Q1569">
        <v>15.7</v>
      </c>
      <c r="R1569">
        <v>15.5</v>
      </c>
      <c r="S1569">
        <f>Tableau1[[#This Row],[Final_time]]-SUM(Tableau1[[#This Row],[0_100m]:[1300_1400m]])</f>
        <v>15.440000000000026</v>
      </c>
      <c r="T1569">
        <v>238.54</v>
      </c>
      <c r="U1569">
        <f t="shared" si="50"/>
        <v>238.54</v>
      </c>
      <c r="V1569">
        <f t="shared" si="51"/>
        <v>0</v>
      </c>
      <c r="X1569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69" t="s">
        <v>1877</v>
      </c>
      <c r="Z1569" s="2" t="s">
        <v>43</v>
      </c>
      <c r="AA1569" s="2"/>
      <c r="AB1569" s="2" t="s">
        <v>65</v>
      </c>
      <c r="AC1569" s="2">
        <v>46158</v>
      </c>
      <c r="AD1569" s="3">
        <v>2026</v>
      </c>
      <c r="AE1569" s="3">
        <v>22</v>
      </c>
      <c r="AF1569" s="5">
        <v>0.62</v>
      </c>
      <c r="AG1569" s="3" t="s">
        <v>64</v>
      </c>
    </row>
    <row r="1570" spans="1:33" hidden="1" x14ac:dyDescent="0.35">
      <c r="A1570" t="str">
        <f>_xlfn.CONCAT(Tableau1[[#This Row],[Athletes]],"_",Tableau1[[#This Row],[Nationality]],"_",Tableau1[[#This Row],[Competition_year]])</f>
        <v>Sarah BILLINGS_AUS_2026</v>
      </c>
      <c r="B1570" s="7" t="s">
        <v>1234</v>
      </c>
      <c r="C1570" t="s">
        <v>47</v>
      </c>
      <c r="D1570" t="s">
        <v>21</v>
      </c>
      <c r="E1570">
        <v>15.3</v>
      </c>
      <c r="F1570">
        <v>17.3</v>
      </c>
      <c r="G1570">
        <v>16.399999999999999</v>
      </c>
      <c r="H1570">
        <v>15.8</v>
      </c>
      <c r="I1570">
        <v>15.7</v>
      </c>
      <c r="J1570">
        <v>15.9</v>
      </c>
      <c r="K1570">
        <v>15.8</v>
      </c>
      <c r="L1570">
        <v>15.9</v>
      </c>
      <c r="M1570">
        <v>16</v>
      </c>
      <c r="N1570">
        <v>16.100000000000001</v>
      </c>
      <c r="O1570">
        <v>15.9</v>
      </c>
      <c r="P1570">
        <v>15.7</v>
      </c>
      <c r="Q1570">
        <v>15.5</v>
      </c>
      <c r="R1570">
        <v>15.7</v>
      </c>
      <c r="S1570">
        <f>Tableau1[[#This Row],[Final_time]]-SUM(Tableau1[[#This Row],[0_100m]:[1300_1400m]])</f>
        <v>15.810000000000031</v>
      </c>
      <c r="T1570">
        <v>238.81</v>
      </c>
      <c r="U1570">
        <f t="shared" si="50"/>
        <v>238.81</v>
      </c>
      <c r="V1570">
        <f t="shared" si="51"/>
        <v>0</v>
      </c>
      <c r="X1570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0" t="s">
        <v>1877</v>
      </c>
      <c r="Z1570" s="2" t="s">
        <v>43</v>
      </c>
      <c r="AA1570" s="2"/>
      <c r="AB1570" s="2" t="s">
        <v>65</v>
      </c>
      <c r="AC1570" s="2">
        <v>46158</v>
      </c>
      <c r="AD1570" s="3">
        <v>2026</v>
      </c>
      <c r="AE1570" s="3">
        <v>22</v>
      </c>
      <c r="AF1570" s="5">
        <v>0.62</v>
      </c>
      <c r="AG1570" s="3" t="s">
        <v>64</v>
      </c>
    </row>
    <row r="1571" spans="1:33" hidden="1" x14ac:dyDescent="0.35">
      <c r="A1571" t="str">
        <f>_xlfn.CONCAT(Tableau1[[#This Row],[Athletes]],"_",Tableau1[[#This Row],[Nationality]],"_",Tableau1[[#This Row],[Competition_year]])</f>
        <v>Claudia HOLLINGSWORTH_AUS_2026</v>
      </c>
      <c r="B1571" s="7" t="s">
        <v>609</v>
      </c>
      <c r="C1571" t="s">
        <v>47</v>
      </c>
      <c r="D1571" t="s">
        <v>21</v>
      </c>
      <c r="E1571">
        <v>15.2</v>
      </c>
      <c r="F1571">
        <v>17.2</v>
      </c>
      <c r="G1571">
        <v>16.100000000000001</v>
      </c>
      <c r="H1571">
        <v>15.9</v>
      </c>
      <c r="I1571">
        <v>15.6</v>
      </c>
      <c r="J1571">
        <v>15.8</v>
      </c>
      <c r="K1571">
        <v>15.8</v>
      </c>
      <c r="L1571">
        <v>16.100000000000001</v>
      </c>
      <c r="M1571">
        <v>15.9</v>
      </c>
      <c r="N1571">
        <v>16.100000000000001</v>
      </c>
      <c r="O1571">
        <v>16.2</v>
      </c>
      <c r="P1571">
        <v>15.6</v>
      </c>
      <c r="Q1571">
        <v>15.5</v>
      </c>
      <c r="R1571">
        <v>15.7</v>
      </c>
      <c r="S1571">
        <f>Tableau1[[#This Row],[Final_time]]-SUM(Tableau1[[#This Row],[0_100m]:[1300_1400m]])</f>
        <v>16.140000000000043</v>
      </c>
      <c r="T1571">
        <v>238.84</v>
      </c>
      <c r="U1571">
        <f t="shared" si="50"/>
        <v>238.84</v>
      </c>
      <c r="V1571">
        <f t="shared" si="51"/>
        <v>0</v>
      </c>
      <c r="X1571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1" t="s">
        <v>1877</v>
      </c>
      <c r="Z1571" s="2" t="s">
        <v>43</v>
      </c>
      <c r="AA1571" s="2"/>
      <c r="AB1571" s="2" t="s">
        <v>65</v>
      </c>
      <c r="AC1571" s="2">
        <v>46158</v>
      </c>
      <c r="AD1571" s="3">
        <v>2026</v>
      </c>
      <c r="AE1571" s="3">
        <v>22</v>
      </c>
      <c r="AF1571" s="5">
        <v>0.62</v>
      </c>
      <c r="AG1571" s="3" t="s">
        <v>64</v>
      </c>
    </row>
    <row r="1572" spans="1:33" hidden="1" x14ac:dyDescent="0.35">
      <c r="A1572" t="str">
        <f>_xlfn.CONCAT(Tableau1[[#This Row],[Athletes]],"_",Tableau1[[#This Row],[Nationality]],"_",Tableau1[[#This Row],[Competition_year]])</f>
        <v>Linden HALL_AUS_2026</v>
      </c>
      <c r="B1572" s="7" t="s">
        <v>184</v>
      </c>
      <c r="C1572" t="s">
        <v>47</v>
      </c>
      <c r="D1572" t="s">
        <v>21</v>
      </c>
      <c r="E1572">
        <v>15.4</v>
      </c>
      <c r="F1572">
        <v>16.7</v>
      </c>
      <c r="G1572">
        <v>16.2</v>
      </c>
      <c r="H1572">
        <v>15.9</v>
      </c>
      <c r="I1572">
        <v>15.5</v>
      </c>
      <c r="J1572">
        <v>15.9</v>
      </c>
      <c r="K1572">
        <v>15.8</v>
      </c>
      <c r="L1572">
        <v>16.2</v>
      </c>
      <c r="M1572">
        <v>16.100000000000001</v>
      </c>
      <c r="N1572">
        <v>16.399999999999999</v>
      </c>
      <c r="O1572">
        <v>16.399999999999999</v>
      </c>
      <c r="P1572">
        <v>15.7</v>
      </c>
      <c r="Q1572">
        <v>15.6</v>
      </c>
      <c r="R1572">
        <v>15.7</v>
      </c>
      <c r="S1572">
        <f>Tableau1[[#This Row],[Final_time]]-SUM(Tableau1[[#This Row],[0_100m]:[1300_1400m]])</f>
        <v>15.460000000000008</v>
      </c>
      <c r="T1572">
        <v>238.96</v>
      </c>
      <c r="U1572">
        <f t="shared" si="50"/>
        <v>238.96</v>
      </c>
      <c r="V1572">
        <f t="shared" si="51"/>
        <v>0</v>
      </c>
      <c r="X1572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2" t="s">
        <v>1877</v>
      </c>
      <c r="Z1572" s="2" t="s">
        <v>43</v>
      </c>
      <c r="AA1572" s="2"/>
      <c r="AB1572" s="2" t="s">
        <v>65</v>
      </c>
      <c r="AC1572" s="2">
        <v>46158</v>
      </c>
      <c r="AD1572" s="3">
        <v>2026</v>
      </c>
      <c r="AE1572" s="3">
        <v>22</v>
      </c>
      <c r="AF1572" s="5">
        <v>0.62</v>
      </c>
      <c r="AG1572" s="3" t="s">
        <v>64</v>
      </c>
    </row>
    <row r="1573" spans="1:33" hidden="1" x14ac:dyDescent="0.35">
      <c r="A1573" t="str">
        <f>_xlfn.CONCAT(Tableau1[[#This Row],[Athletes]],"_",Tableau1[[#This Row],[Nationality]],"_",Tableau1[[#This Row],[Competition_year]])</f>
        <v>Gabija GALVYDYTE_LTU_2026</v>
      </c>
      <c r="B1573" s="7" t="s">
        <v>1874</v>
      </c>
      <c r="C1573" t="s">
        <v>47</v>
      </c>
      <c r="D1573" t="s">
        <v>1405</v>
      </c>
      <c r="E1573">
        <v>15.2</v>
      </c>
      <c r="F1573">
        <v>17.3</v>
      </c>
      <c r="G1573">
        <v>16.3</v>
      </c>
      <c r="H1573">
        <v>16</v>
      </c>
      <c r="I1573">
        <v>15.6</v>
      </c>
      <c r="J1573">
        <v>15.9</v>
      </c>
      <c r="K1573">
        <v>15.8</v>
      </c>
      <c r="L1573">
        <v>16</v>
      </c>
      <c r="M1573">
        <v>16.2</v>
      </c>
      <c r="N1573">
        <v>16.2</v>
      </c>
      <c r="O1573">
        <v>16.2</v>
      </c>
      <c r="P1573">
        <v>15.9</v>
      </c>
      <c r="Q1573">
        <v>15.7</v>
      </c>
      <c r="R1573">
        <v>15.7</v>
      </c>
      <c r="S1573">
        <f>Tableau1[[#This Row],[Final_time]]-SUM(Tableau1[[#This Row],[0_100m]:[1300_1400m]])</f>
        <v>15.740000000000066</v>
      </c>
      <c r="T1573">
        <v>239.74</v>
      </c>
      <c r="U1573">
        <f t="shared" si="50"/>
        <v>239.74</v>
      </c>
      <c r="V1573">
        <f t="shared" si="51"/>
        <v>0</v>
      </c>
      <c r="X1573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3" t="s">
        <v>1877</v>
      </c>
      <c r="Z1573" s="2" t="s">
        <v>43</v>
      </c>
      <c r="AA1573" s="2"/>
      <c r="AB1573" s="2" t="s">
        <v>65</v>
      </c>
      <c r="AC1573" s="2">
        <v>46158</v>
      </c>
      <c r="AD1573" s="3">
        <v>2026</v>
      </c>
      <c r="AE1573" s="3">
        <v>22</v>
      </c>
      <c r="AF1573" s="5">
        <v>0.62</v>
      </c>
      <c r="AG1573" s="3" t="s">
        <v>64</v>
      </c>
    </row>
    <row r="1574" spans="1:33" hidden="1" x14ac:dyDescent="0.35">
      <c r="A1574" t="str">
        <f>_xlfn.CONCAT(Tableau1[[#This Row],[Athletes]],"_",Tableau1[[#This Row],[Nationality]],"_",Tableau1[[#This Row],[Competition_year]])</f>
        <v>Gracie MORRIS_USA_2026</v>
      </c>
      <c r="B1574" s="7" t="s">
        <v>1875</v>
      </c>
      <c r="C1574" t="s">
        <v>47</v>
      </c>
      <c r="D1574" t="s">
        <v>51</v>
      </c>
      <c r="E1574">
        <v>15.6</v>
      </c>
      <c r="F1574">
        <v>17.2</v>
      </c>
      <c r="G1574">
        <v>16.3</v>
      </c>
      <c r="H1574">
        <v>15.9</v>
      </c>
      <c r="I1574">
        <v>15.7</v>
      </c>
      <c r="J1574">
        <v>15.9</v>
      </c>
      <c r="K1574">
        <v>15.7</v>
      </c>
      <c r="L1574">
        <v>16.2</v>
      </c>
      <c r="M1574">
        <v>15.9</v>
      </c>
      <c r="N1574">
        <v>16</v>
      </c>
      <c r="O1574">
        <v>16.2</v>
      </c>
      <c r="P1574">
        <v>15.8</v>
      </c>
      <c r="Q1574">
        <v>15.6</v>
      </c>
      <c r="R1574">
        <v>15.8</v>
      </c>
      <c r="S1574">
        <f>Tableau1[[#This Row],[Final_time]]-SUM(Tableau1[[#This Row],[0_100m]:[1300_1400m]])</f>
        <v>16.489999999999981</v>
      </c>
      <c r="T1574">
        <v>240.29</v>
      </c>
      <c r="U1574">
        <f t="shared" si="50"/>
        <v>240.29</v>
      </c>
      <c r="V1574">
        <f t="shared" si="51"/>
        <v>0</v>
      </c>
      <c r="X1574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4" t="s">
        <v>1877</v>
      </c>
      <c r="Z1574" s="2" t="s">
        <v>43</v>
      </c>
      <c r="AA1574" s="2"/>
      <c r="AB1574" s="2" t="s">
        <v>65</v>
      </c>
      <c r="AC1574" s="2">
        <v>46158</v>
      </c>
      <c r="AD1574" s="3">
        <v>2026</v>
      </c>
      <c r="AE1574" s="3">
        <v>22</v>
      </c>
      <c r="AF1574" s="5">
        <v>0.62</v>
      </c>
      <c r="AG1574" s="3" t="s">
        <v>64</v>
      </c>
    </row>
    <row r="1575" spans="1:33" hidden="1" x14ac:dyDescent="0.35">
      <c r="A1575" t="str">
        <f>_xlfn.CONCAT(Tableau1[[#This Row],[Athletes]],"_",Tableau1[[#This Row],[Nationality]],"_",Tableau1[[#This Row],[Competition_year]])</f>
        <v>Saron BERHE_ETH_2026</v>
      </c>
      <c r="B1575" s="7" t="s">
        <v>411</v>
      </c>
      <c r="C1575" t="s">
        <v>47</v>
      </c>
      <c r="D1575" t="s">
        <v>48</v>
      </c>
      <c r="E1575">
        <v>15.2</v>
      </c>
      <c r="F1575">
        <v>16.8</v>
      </c>
      <c r="G1575">
        <v>16</v>
      </c>
      <c r="H1575">
        <v>15.4</v>
      </c>
      <c r="I1575">
        <v>15.6</v>
      </c>
      <c r="J1575">
        <v>15.9</v>
      </c>
      <c r="K1575">
        <v>16</v>
      </c>
      <c r="L1575">
        <v>16</v>
      </c>
      <c r="M1575">
        <v>16</v>
      </c>
      <c r="N1575">
        <v>16.100000000000001</v>
      </c>
      <c r="O1575">
        <v>16</v>
      </c>
      <c r="P1575">
        <v>16.2</v>
      </c>
      <c r="Q1575">
        <v>16.399999999999999</v>
      </c>
      <c r="R1575">
        <v>17</v>
      </c>
      <c r="S1575">
        <f>Tableau1[[#This Row],[Final_time]]-SUM(Tableau1[[#This Row],[0_100m]:[1300_1400m]])</f>
        <v>18.150000000000006</v>
      </c>
      <c r="T1575">
        <v>242.75</v>
      </c>
      <c r="U1575">
        <f t="shared" si="50"/>
        <v>242.75</v>
      </c>
      <c r="V1575">
        <f t="shared" si="51"/>
        <v>0</v>
      </c>
      <c r="X1575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5" t="s">
        <v>1877</v>
      </c>
      <c r="Z1575" s="2" t="s">
        <v>43</v>
      </c>
      <c r="AA1575" s="2"/>
      <c r="AB1575" s="2" t="s">
        <v>65</v>
      </c>
      <c r="AC1575" s="2">
        <v>46158</v>
      </c>
      <c r="AD1575" s="3">
        <v>2026</v>
      </c>
      <c r="AE1575" s="3">
        <v>22</v>
      </c>
      <c r="AF1575" s="5">
        <v>0.62</v>
      </c>
      <c r="AG1575" s="3" t="s">
        <v>64</v>
      </c>
    </row>
    <row r="1576" spans="1:33" hidden="1" x14ac:dyDescent="0.35">
      <c r="A1576" t="str">
        <f>_xlfn.CONCAT(Tableau1[[#This Row],[Athletes]],"_",Tableau1[[#This Row],[Nationality]],"_",Tableau1[[#This Row],[Competition_year]])</f>
        <v>Joceline WIND_SUI_2026</v>
      </c>
      <c r="B1576" s="7" t="s">
        <v>993</v>
      </c>
      <c r="C1576" t="s">
        <v>47</v>
      </c>
      <c r="D1576" t="s">
        <v>87</v>
      </c>
      <c r="E1576">
        <v>15.7</v>
      </c>
      <c r="F1576">
        <v>17.5</v>
      </c>
      <c r="G1576">
        <v>16.2</v>
      </c>
      <c r="H1576">
        <v>16.3</v>
      </c>
      <c r="I1576">
        <v>16.100000000000001</v>
      </c>
      <c r="J1576">
        <v>16</v>
      </c>
      <c r="K1576">
        <v>16.5</v>
      </c>
      <c r="L1576">
        <v>16.2</v>
      </c>
      <c r="M1576">
        <v>16.8</v>
      </c>
      <c r="N1576">
        <v>17</v>
      </c>
      <c r="O1576">
        <v>17.100000000000001</v>
      </c>
      <c r="P1576">
        <v>16.5</v>
      </c>
      <c r="Q1576">
        <v>16.7</v>
      </c>
      <c r="R1576">
        <v>16.2</v>
      </c>
      <c r="S1576">
        <f>Tableau1[[#This Row],[Final_time]]-SUM(Tableau1[[#This Row],[0_100m]:[1300_1400m]])</f>
        <v>16.27000000000001</v>
      </c>
      <c r="T1576">
        <v>247.07</v>
      </c>
      <c r="U1576">
        <f t="shared" si="50"/>
        <v>247.07</v>
      </c>
      <c r="V1576">
        <f t="shared" si="51"/>
        <v>0</v>
      </c>
      <c r="X1576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6" t="s">
        <v>1877</v>
      </c>
      <c r="Z1576" s="2" t="s">
        <v>43</v>
      </c>
      <c r="AA1576" s="2"/>
      <c r="AB1576" s="2" t="s">
        <v>65</v>
      </c>
      <c r="AC1576" s="2">
        <v>46158</v>
      </c>
      <c r="AD1576" s="3">
        <v>2026</v>
      </c>
      <c r="AE1576" s="3">
        <v>22</v>
      </c>
      <c r="AF1576" s="5">
        <v>0.62</v>
      </c>
      <c r="AG1576" s="3" t="s">
        <v>64</v>
      </c>
    </row>
    <row r="1577" spans="1:33" hidden="1" x14ac:dyDescent="0.35">
      <c r="A1577" t="str">
        <f>_xlfn.CONCAT(Tableau1[[#This Row],[Athletes]],"_",Tableau1[[#This Row],[Nationality]],"_",Tableau1[[#This Row],[Competition_year]])</f>
        <v>Chunhui LI_CHN_2026</v>
      </c>
      <c r="B1577" s="7" t="s">
        <v>1876</v>
      </c>
      <c r="C1577" t="s">
        <v>47</v>
      </c>
      <c r="D1577" t="s">
        <v>416</v>
      </c>
      <c r="E1577">
        <v>15.9</v>
      </c>
      <c r="F1577">
        <v>17.5</v>
      </c>
      <c r="G1577">
        <v>16.2</v>
      </c>
      <c r="H1577">
        <v>16.3</v>
      </c>
      <c r="I1577">
        <v>16.100000000000001</v>
      </c>
      <c r="J1577">
        <v>16</v>
      </c>
      <c r="K1577">
        <v>16.5</v>
      </c>
      <c r="L1577">
        <v>17.100000000000001</v>
      </c>
      <c r="M1577">
        <v>17.399999999999999</v>
      </c>
      <c r="N1577">
        <v>18.100000000000001</v>
      </c>
      <c r="O1577">
        <v>17.8</v>
      </c>
      <c r="P1577">
        <v>16.899999999999999</v>
      </c>
      <c r="Q1577">
        <v>17.2</v>
      </c>
      <c r="R1577">
        <v>16.600000000000001</v>
      </c>
      <c r="S1577">
        <f>Tableau1[[#This Row],[Final_time]]-SUM(Tableau1[[#This Row],[0_100m]:[1300_1400m]])</f>
        <v>16.069999999999993</v>
      </c>
      <c r="T1577">
        <v>251.67</v>
      </c>
      <c r="U1577">
        <f t="shared" si="50"/>
        <v>251.67</v>
      </c>
      <c r="V1577">
        <f t="shared" si="51"/>
        <v>0</v>
      </c>
      <c r="X1577" t="str">
        <f>_xlfn.CONCAT(Tableau1[[#This Row],[Competition]],"_",Tableau1[[#This Row],[Championship_step]],"_",Tableau1[[#This Row],[Competition_date]],"_",Tableau1[[#This Row],[Gender]])</f>
        <v>Diamond League Shanghai 2026__46158_Female</v>
      </c>
      <c r="Y1577" t="s">
        <v>1877</v>
      </c>
      <c r="Z1577" s="2" t="s">
        <v>43</v>
      </c>
      <c r="AA1577" s="2"/>
      <c r="AB1577" s="2" t="s">
        <v>65</v>
      </c>
      <c r="AC1577" s="2">
        <v>46158</v>
      </c>
      <c r="AD1577" s="3">
        <v>2026</v>
      </c>
      <c r="AE1577" s="3">
        <v>22</v>
      </c>
      <c r="AF1577" s="5">
        <v>0.62</v>
      </c>
      <c r="AG1577" s="3" t="s">
        <v>64</v>
      </c>
    </row>
    <row r="1578" spans="1:33" hidden="1" x14ac:dyDescent="0.35">
      <c r="A1578" t="str">
        <f>_xlfn.CONCAT(Tableau1[[#This Row],[Athletes]],"_",Tableau1[[#This Row],[Nationality]],"_",Tableau1[[#This Row],[Competition_year]])</f>
        <v>Abbey CALDWELL_AUS_2026</v>
      </c>
      <c r="B1578" s="7" t="s">
        <v>156</v>
      </c>
      <c r="C1578" t="s">
        <v>47</v>
      </c>
      <c r="D1578" s="7" t="s">
        <v>21</v>
      </c>
      <c r="E1578">
        <v>14.7</v>
      </c>
      <c r="F1578">
        <v>16</v>
      </c>
      <c r="G1578">
        <v>16.5</v>
      </c>
      <c r="H1578">
        <v>16</v>
      </c>
      <c r="I1578">
        <v>16.3</v>
      </c>
      <c r="J1578">
        <v>16.2</v>
      </c>
      <c r="K1578">
        <v>16.600000000000001</v>
      </c>
      <c r="L1578">
        <v>16.399999999999999</v>
      </c>
      <c r="M1578">
        <v>15.9</v>
      </c>
      <c r="N1578">
        <v>16.3</v>
      </c>
      <c r="O1578">
        <v>15.6</v>
      </c>
      <c r="P1578">
        <v>15.2</v>
      </c>
      <c r="Q1578">
        <v>15.1</v>
      </c>
      <c r="R1578">
        <v>15</v>
      </c>
      <c r="S1578">
        <f>Tableau1[[#This Row],[Final_time]]-SUM(Tableau1[[#This Row],[0_100m]:[1300_1400m]])</f>
        <v>15.45999999999998</v>
      </c>
      <c r="T1578">
        <v>237.26</v>
      </c>
      <c r="U1578">
        <f t="shared" ref="U1578:U1592" si="52">SUM(E1578:S1578)</f>
        <v>237.26</v>
      </c>
      <c r="V1578">
        <f t="shared" ref="V1578:V1592" si="53">ABS(U1578-T1578)</f>
        <v>0</v>
      </c>
      <c r="X1578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78" t="s">
        <v>1878</v>
      </c>
      <c r="Z1578" s="2" t="s">
        <v>43</v>
      </c>
      <c r="AA1578" s="2"/>
      <c r="AB1578" s="2" t="s">
        <v>65</v>
      </c>
      <c r="AC1578" s="2">
        <v>46165</v>
      </c>
      <c r="AD1578" s="3">
        <v>2026</v>
      </c>
      <c r="AE1578" s="3">
        <v>29</v>
      </c>
      <c r="AF1578" s="5">
        <v>0.81</v>
      </c>
      <c r="AG1578" s="3" t="s">
        <v>62</v>
      </c>
    </row>
    <row r="1579" spans="1:33" hidden="1" x14ac:dyDescent="0.35">
      <c r="A1579" t="str">
        <f>_xlfn.CONCAT(Tableau1[[#This Row],[Athletes]],"_",Tableau1[[#This Row],[Nationality]],"_",Tableau1[[#This Row],[Competition_year]])</f>
        <v>Birke HAYLOM_ETH_2026</v>
      </c>
      <c r="B1579" s="7" t="s">
        <v>179</v>
      </c>
      <c r="C1579" t="s">
        <v>47</v>
      </c>
      <c r="D1579" s="7" t="s">
        <v>48</v>
      </c>
      <c r="E1579">
        <v>14.3</v>
      </c>
      <c r="F1579">
        <v>15.9</v>
      </c>
      <c r="G1579">
        <v>16</v>
      </c>
      <c r="H1579">
        <v>15.8</v>
      </c>
      <c r="I1579">
        <v>16</v>
      </c>
      <c r="J1579">
        <v>15.8</v>
      </c>
      <c r="K1579">
        <v>15.5</v>
      </c>
      <c r="L1579">
        <v>15.6</v>
      </c>
      <c r="M1579">
        <v>15.9</v>
      </c>
      <c r="N1579">
        <v>16.3</v>
      </c>
      <c r="O1579">
        <v>16.600000000000001</v>
      </c>
      <c r="P1579">
        <v>16.3</v>
      </c>
      <c r="Q1579">
        <v>15.8</v>
      </c>
      <c r="R1579">
        <v>16.2</v>
      </c>
      <c r="S1579">
        <f>Tableau1[[#This Row],[Final_time]]-SUM(Tableau1[[#This Row],[0_100m]:[1300_1400m]])</f>
        <v>15.789999999999992</v>
      </c>
      <c r="T1579">
        <v>237.79</v>
      </c>
      <c r="U1579">
        <f t="shared" si="52"/>
        <v>237.79</v>
      </c>
      <c r="V1579">
        <f t="shared" si="53"/>
        <v>0</v>
      </c>
      <c r="X1579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79" t="s">
        <v>1878</v>
      </c>
      <c r="Z1579" s="2" t="s">
        <v>43</v>
      </c>
      <c r="AA1579" s="2"/>
      <c r="AB1579" s="2" t="s">
        <v>65</v>
      </c>
      <c r="AC1579" s="2">
        <v>46165</v>
      </c>
      <c r="AD1579" s="3">
        <v>2026</v>
      </c>
      <c r="AE1579" s="3">
        <v>29</v>
      </c>
      <c r="AF1579" s="5">
        <v>0.81</v>
      </c>
      <c r="AG1579" s="3" t="s">
        <v>62</v>
      </c>
    </row>
    <row r="1580" spans="1:33" hidden="1" x14ac:dyDescent="0.35">
      <c r="A1580" t="str">
        <f>_xlfn.CONCAT(Tableau1[[#This Row],[Athletes]],"_",Tableau1[[#This Row],[Nationality]],"_",Tableau1[[#This Row],[Competition_year]])</f>
        <v>Emily MACKAY_USA_2026</v>
      </c>
      <c r="B1580" s="7" t="s">
        <v>415</v>
      </c>
      <c r="C1580" t="s">
        <v>47</v>
      </c>
      <c r="D1580" s="7" t="s">
        <v>51</v>
      </c>
      <c r="E1580">
        <v>14.6</v>
      </c>
      <c r="F1580">
        <v>16</v>
      </c>
      <c r="G1580">
        <v>16.399999999999999</v>
      </c>
      <c r="H1580">
        <v>16</v>
      </c>
      <c r="I1580">
        <v>16.399999999999999</v>
      </c>
      <c r="J1580">
        <v>16.100000000000001</v>
      </c>
      <c r="K1580">
        <v>16.600000000000001</v>
      </c>
      <c r="L1580">
        <v>16.399999999999999</v>
      </c>
      <c r="M1580">
        <v>16.3</v>
      </c>
      <c r="N1580">
        <v>15.8</v>
      </c>
      <c r="O1580">
        <v>15.9</v>
      </c>
      <c r="P1580">
        <v>15.1</v>
      </c>
      <c r="Q1580">
        <v>15.2</v>
      </c>
      <c r="R1580">
        <v>15.3</v>
      </c>
      <c r="S1580">
        <f>Tableau1[[#This Row],[Final_time]]-SUM(Tableau1[[#This Row],[0_100m]:[1300_1400m]])</f>
        <v>16.029999999999973</v>
      </c>
      <c r="T1580">
        <v>238.13</v>
      </c>
      <c r="U1580">
        <f t="shared" si="52"/>
        <v>238.13</v>
      </c>
      <c r="V1580">
        <f t="shared" si="53"/>
        <v>0</v>
      </c>
      <c r="X1580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0" t="s">
        <v>1878</v>
      </c>
      <c r="Z1580" s="2" t="s">
        <v>43</v>
      </c>
      <c r="AA1580" s="2"/>
      <c r="AB1580" s="2" t="s">
        <v>65</v>
      </c>
      <c r="AC1580" s="2">
        <v>46165</v>
      </c>
      <c r="AD1580" s="3">
        <v>2026</v>
      </c>
      <c r="AE1580" s="3">
        <v>29</v>
      </c>
      <c r="AF1580" s="5">
        <v>0.81</v>
      </c>
      <c r="AG1580" s="3" t="s">
        <v>62</v>
      </c>
    </row>
    <row r="1581" spans="1:33" hidden="1" x14ac:dyDescent="0.35">
      <c r="A1581" t="str">
        <f>_xlfn.CONCAT(Tableau1[[#This Row],[Athletes]],"_",Tableau1[[#This Row],[Nationality]],"_",Tableau1[[#This Row],[Competition_year]])</f>
        <v>Dorcus EWOI_KEN_2026</v>
      </c>
      <c r="B1581" s="7" t="s">
        <v>1390</v>
      </c>
      <c r="C1581" t="s">
        <v>47</v>
      </c>
      <c r="D1581" s="7" t="s">
        <v>17</v>
      </c>
      <c r="E1581">
        <v>14.7</v>
      </c>
      <c r="F1581">
        <v>16</v>
      </c>
      <c r="G1581">
        <v>16.100000000000001</v>
      </c>
      <c r="H1581">
        <v>15.8</v>
      </c>
      <c r="I1581">
        <v>16.5</v>
      </c>
      <c r="J1581">
        <v>16.2</v>
      </c>
      <c r="K1581">
        <v>16.600000000000001</v>
      </c>
      <c r="L1581">
        <v>16.2</v>
      </c>
      <c r="M1581">
        <v>16.3</v>
      </c>
      <c r="N1581">
        <v>16.3</v>
      </c>
      <c r="O1581">
        <v>16.100000000000001</v>
      </c>
      <c r="P1581">
        <v>15.4</v>
      </c>
      <c r="Q1581">
        <v>15.2</v>
      </c>
      <c r="R1581">
        <v>15.7</v>
      </c>
      <c r="S1581">
        <f>Tableau1[[#This Row],[Final_time]]-SUM(Tableau1[[#This Row],[0_100m]:[1300_1400m]])</f>
        <v>15.810000000000002</v>
      </c>
      <c r="T1581">
        <v>238.91</v>
      </c>
      <c r="U1581">
        <f t="shared" si="52"/>
        <v>238.91</v>
      </c>
      <c r="V1581">
        <f t="shared" si="53"/>
        <v>0</v>
      </c>
      <c r="X1581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1" t="s">
        <v>1878</v>
      </c>
      <c r="Z1581" s="2" t="s">
        <v>43</v>
      </c>
      <c r="AA1581" s="2"/>
      <c r="AB1581" s="2" t="s">
        <v>65</v>
      </c>
      <c r="AC1581" s="2">
        <v>46165</v>
      </c>
      <c r="AD1581" s="3">
        <v>2026</v>
      </c>
      <c r="AE1581" s="3">
        <v>29</v>
      </c>
      <c r="AF1581" s="5">
        <v>0.81</v>
      </c>
      <c r="AG1581" s="3" t="s">
        <v>62</v>
      </c>
    </row>
    <row r="1582" spans="1:33" hidden="1" x14ac:dyDescent="0.35">
      <c r="A1582" t="str">
        <f>_xlfn.CONCAT(Tableau1[[#This Row],[Athletes]],"_",Tableau1[[#This Row],[Nationality]],"_",Tableau1[[#This Row],[Competition_year]])</f>
        <v>Jessica HULL_AUS_2026</v>
      </c>
      <c r="B1582" s="7" t="s">
        <v>187</v>
      </c>
      <c r="C1582" t="s">
        <v>47</v>
      </c>
      <c r="D1582" s="7" t="s">
        <v>21</v>
      </c>
      <c r="E1582">
        <v>15.4</v>
      </c>
      <c r="F1582">
        <v>15.7</v>
      </c>
      <c r="G1582">
        <v>15.8</v>
      </c>
      <c r="H1582">
        <v>15.9</v>
      </c>
      <c r="I1582">
        <v>16.399999999999999</v>
      </c>
      <c r="J1582">
        <v>16.2</v>
      </c>
      <c r="K1582">
        <v>16.600000000000001</v>
      </c>
      <c r="L1582">
        <v>16.3</v>
      </c>
      <c r="M1582">
        <v>16.3</v>
      </c>
      <c r="N1582">
        <v>16.2</v>
      </c>
      <c r="O1582">
        <v>15.8</v>
      </c>
      <c r="P1582">
        <v>15.3</v>
      </c>
      <c r="Q1582">
        <v>15.2</v>
      </c>
      <c r="R1582">
        <v>15.4</v>
      </c>
      <c r="S1582">
        <f>Tableau1[[#This Row],[Final_time]]-SUM(Tableau1[[#This Row],[0_100m]:[1300_1400m]])</f>
        <v>16.46999999999997</v>
      </c>
      <c r="T1582">
        <v>238.97</v>
      </c>
      <c r="U1582">
        <f t="shared" si="52"/>
        <v>238.97</v>
      </c>
      <c r="V1582">
        <f t="shared" si="53"/>
        <v>0</v>
      </c>
      <c r="X1582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2" t="s">
        <v>1878</v>
      </c>
      <c r="Z1582" s="2" t="s">
        <v>43</v>
      </c>
      <c r="AA1582" s="2"/>
      <c r="AB1582" s="2" t="s">
        <v>65</v>
      </c>
      <c r="AC1582" s="2">
        <v>46165</v>
      </c>
      <c r="AD1582" s="3">
        <v>2026</v>
      </c>
      <c r="AE1582" s="3">
        <v>29</v>
      </c>
      <c r="AF1582" s="5">
        <v>0.81</v>
      </c>
      <c r="AG1582" s="3" t="s">
        <v>62</v>
      </c>
    </row>
    <row r="1583" spans="1:33" hidden="1" x14ac:dyDescent="0.35">
      <c r="A1583" t="str">
        <f>_xlfn.CONCAT(Tableau1[[#This Row],[Athletes]],"_",Tableau1[[#This Row],[Nationality]],"_",Tableau1[[#This Row],[Competition_year]])</f>
        <v>Saron BERHE_ETH_2026</v>
      </c>
      <c r="B1583" s="7" t="s">
        <v>411</v>
      </c>
      <c r="C1583" t="s">
        <v>47</v>
      </c>
      <c r="D1583" s="7" t="s">
        <v>48</v>
      </c>
      <c r="E1583">
        <v>15.2</v>
      </c>
      <c r="F1583">
        <v>16.5</v>
      </c>
      <c r="G1583">
        <v>16.600000000000001</v>
      </c>
      <c r="H1583">
        <v>16.2</v>
      </c>
      <c r="I1583">
        <v>16</v>
      </c>
      <c r="J1583">
        <v>16.399999999999999</v>
      </c>
      <c r="K1583">
        <v>16.5</v>
      </c>
      <c r="L1583">
        <v>16.2</v>
      </c>
      <c r="M1583">
        <v>15.5</v>
      </c>
      <c r="N1583">
        <v>16.3</v>
      </c>
      <c r="O1583">
        <v>15.6</v>
      </c>
      <c r="P1583">
        <v>15.7</v>
      </c>
      <c r="Q1583">
        <v>15.2</v>
      </c>
      <c r="R1583">
        <v>16.100000000000001</v>
      </c>
      <c r="S1583">
        <f>Tableau1[[#This Row],[Final_time]]-SUM(Tableau1[[#This Row],[0_100m]:[1300_1400m]])</f>
        <v>16.320000000000022</v>
      </c>
      <c r="T1583">
        <v>240.32</v>
      </c>
      <c r="U1583">
        <f t="shared" si="52"/>
        <v>240.32</v>
      </c>
      <c r="V1583">
        <f t="shared" si="53"/>
        <v>0</v>
      </c>
      <c r="X1583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3" t="s">
        <v>1878</v>
      </c>
      <c r="Z1583" s="2" t="s">
        <v>43</v>
      </c>
      <c r="AA1583" s="2"/>
      <c r="AB1583" s="2" t="s">
        <v>65</v>
      </c>
      <c r="AC1583" s="2">
        <v>46165</v>
      </c>
      <c r="AD1583" s="3">
        <v>2026</v>
      </c>
      <c r="AE1583" s="3">
        <v>29</v>
      </c>
      <c r="AF1583" s="5">
        <v>0.81</v>
      </c>
      <c r="AG1583" s="3" t="s">
        <v>62</v>
      </c>
    </row>
    <row r="1584" spans="1:33" hidden="1" x14ac:dyDescent="0.35">
      <c r="A1584" t="str">
        <f>_xlfn.CONCAT(Tableau1[[#This Row],[Athletes]],"_",Tableau1[[#This Row],[Nationality]],"_",Tableau1[[#This Row],[Competition_year]])</f>
        <v>Gabija GALVYDYTE_LTU_2026</v>
      </c>
      <c r="B1584" s="7" t="s">
        <v>1874</v>
      </c>
      <c r="C1584" t="s">
        <v>47</v>
      </c>
      <c r="D1584" s="7" t="s">
        <v>1405</v>
      </c>
      <c r="E1584">
        <v>14.8</v>
      </c>
      <c r="F1584">
        <v>16.100000000000001</v>
      </c>
      <c r="G1584">
        <v>16.5</v>
      </c>
      <c r="H1584">
        <v>15.9</v>
      </c>
      <c r="I1584">
        <v>16.3</v>
      </c>
      <c r="J1584">
        <v>16.3</v>
      </c>
      <c r="K1584">
        <v>16.600000000000001</v>
      </c>
      <c r="L1584">
        <v>16.2</v>
      </c>
      <c r="M1584">
        <v>16.100000000000001</v>
      </c>
      <c r="N1584">
        <v>16.100000000000001</v>
      </c>
      <c r="O1584">
        <v>16.100000000000001</v>
      </c>
      <c r="P1584">
        <v>15.5</v>
      </c>
      <c r="Q1584">
        <v>15.4</v>
      </c>
      <c r="R1584">
        <v>15.9</v>
      </c>
      <c r="S1584">
        <f>Tableau1[[#This Row],[Final_time]]-SUM(Tableau1[[#This Row],[0_100m]:[1300_1400m]])</f>
        <v>16.610000000000014</v>
      </c>
      <c r="T1584">
        <v>240.41</v>
      </c>
      <c r="U1584">
        <f t="shared" si="52"/>
        <v>240.41</v>
      </c>
      <c r="V1584">
        <f t="shared" si="53"/>
        <v>0</v>
      </c>
      <c r="X1584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4" t="s">
        <v>1878</v>
      </c>
      <c r="Z1584" s="2" t="s">
        <v>43</v>
      </c>
      <c r="AA1584" s="2"/>
      <c r="AB1584" s="2" t="s">
        <v>65</v>
      </c>
      <c r="AC1584" s="2">
        <v>46165</v>
      </c>
      <c r="AD1584" s="3">
        <v>2026</v>
      </c>
      <c r="AE1584" s="3">
        <v>29</v>
      </c>
      <c r="AF1584" s="5">
        <v>0.81</v>
      </c>
      <c r="AG1584" s="3" t="s">
        <v>62</v>
      </c>
    </row>
    <row r="1585" spans="1:33" hidden="1" x14ac:dyDescent="0.35">
      <c r="A1585" t="str">
        <f>_xlfn.CONCAT(Tableau1[[#This Row],[Athletes]],"_",Tableau1[[#This Row],[Nationality]],"_",Tableau1[[#This Row],[Competition_year]])</f>
        <v>Linden HALL_AUS_2026</v>
      </c>
      <c r="B1585" s="7" t="s">
        <v>184</v>
      </c>
      <c r="C1585" t="s">
        <v>47</v>
      </c>
      <c r="D1585" s="7" t="s">
        <v>21</v>
      </c>
      <c r="E1585">
        <v>15</v>
      </c>
      <c r="F1585">
        <v>15.9</v>
      </c>
      <c r="G1585">
        <v>16.5</v>
      </c>
      <c r="H1585">
        <v>16</v>
      </c>
      <c r="I1585">
        <v>16.2</v>
      </c>
      <c r="J1585">
        <v>16.3</v>
      </c>
      <c r="K1585">
        <v>16.600000000000001</v>
      </c>
      <c r="L1585">
        <v>16.5</v>
      </c>
      <c r="M1585">
        <v>16.2</v>
      </c>
      <c r="N1585">
        <v>16.2</v>
      </c>
      <c r="O1585">
        <v>16.100000000000001</v>
      </c>
      <c r="P1585">
        <v>15.6</v>
      </c>
      <c r="Q1585">
        <v>15.7</v>
      </c>
      <c r="R1585">
        <v>15.8</v>
      </c>
      <c r="S1585">
        <f>Tableau1[[#This Row],[Final_time]]-SUM(Tableau1[[#This Row],[0_100m]:[1300_1400m]])</f>
        <v>15.950000000000045</v>
      </c>
      <c r="T1585">
        <v>240.55</v>
      </c>
      <c r="U1585">
        <f t="shared" si="52"/>
        <v>240.55</v>
      </c>
      <c r="V1585">
        <f t="shared" si="53"/>
        <v>0</v>
      </c>
      <c r="X1585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5" t="s">
        <v>1878</v>
      </c>
      <c r="Z1585" s="2" t="s">
        <v>43</v>
      </c>
      <c r="AA1585" s="2"/>
      <c r="AB1585" s="2" t="s">
        <v>65</v>
      </c>
      <c r="AC1585" s="2">
        <v>46165</v>
      </c>
      <c r="AD1585" s="3">
        <v>2026</v>
      </c>
      <c r="AE1585" s="3">
        <v>29</v>
      </c>
      <c r="AF1585" s="5">
        <v>0.81</v>
      </c>
      <c r="AG1585" s="3" t="s">
        <v>62</v>
      </c>
    </row>
    <row r="1586" spans="1:33" hidden="1" x14ac:dyDescent="0.35">
      <c r="A1586" t="str">
        <f>_xlfn.CONCAT(Tableau1[[#This Row],[Athletes]],"_",Tableau1[[#This Row],[Nationality]],"_",Tableau1[[#This Row],[Competition_year]])</f>
        <v>Revee WALCOTT-NOLAN_GBR_2026</v>
      </c>
      <c r="B1586" s="7" t="s">
        <v>635</v>
      </c>
      <c r="C1586" t="s">
        <v>47</v>
      </c>
      <c r="D1586" s="7" t="s">
        <v>20</v>
      </c>
      <c r="E1586">
        <v>14.8</v>
      </c>
      <c r="F1586">
        <v>16.100000000000001</v>
      </c>
      <c r="G1586">
        <v>16.600000000000001</v>
      </c>
      <c r="H1586">
        <v>16</v>
      </c>
      <c r="I1586">
        <v>16.2</v>
      </c>
      <c r="J1586">
        <v>16.3</v>
      </c>
      <c r="K1586">
        <v>16.7</v>
      </c>
      <c r="L1586">
        <v>16.3</v>
      </c>
      <c r="M1586">
        <v>16</v>
      </c>
      <c r="N1586">
        <v>16.100000000000001</v>
      </c>
      <c r="O1586">
        <v>16.100000000000001</v>
      </c>
      <c r="P1586">
        <v>15.7</v>
      </c>
      <c r="Q1586">
        <v>15.6</v>
      </c>
      <c r="R1586">
        <v>15.9</v>
      </c>
      <c r="S1586">
        <f>Tableau1[[#This Row],[Final_time]]-SUM(Tableau1[[#This Row],[0_100m]:[1300_1400m]])</f>
        <v>16.380000000000024</v>
      </c>
      <c r="T1586">
        <v>240.78</v>
      </c>
      <c r="U1586">
        <f t="shared" si="52"/>
        <v>240.78</v>
      </c>
      <c r="V1586">
        <f t="shared" si="53"/>
        <v>0</v>
      </c>
      <c r="X1586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6" t="s">
        <v>1878</v>
      </c>
      <c r="Z1586" s="2" t="s">
        <v>43</v>
      </c>
      <c r="AA1586" s="2"/>
      <c r="AB1586" s="2" t="s">
        <v>65</v>
      </c>
      <c r="AC1586" s="2">
        <v>46165</v>
      </c>
      <c r="AD1586" s="3">
        <v>2026</v>
      </c>
      <c r="AE1586" s="3">
        <v>29</v>
      </c>
      <c r="AF1586" s="5">
        <v>0.81</v>
      </c>
      <c r="AG1586" s="3" t="s">
        <v>62</v>
      </c>
    </row>
    <row r="1587" spans="1:33" hidden="1" x14ac:dyDescent="0.35">
      <c r="A1587" t="str">
        <f>_xlfn.CONCAT(Tableau1[[#This Row],[Athletes]],"_",Tableau1[[#This Row],[Nationality]],"_",Tableau1[[#This Row],[Competition_year]])</f>
        <v>Joceline WIND_SUI_2026</v>
      </c>
      <c r="B1587" s="7" t="s">
        <v>993</v>
      </c>
      <c r="C1587" t="s">
        <v>47</v>
      </c>
      <c r="D1587" s="7" t="s">
        <v>87</v>
      </c>
      <c r="E1587">
        <v>15.2</v>
      </c>
      <c r="F1587">
        <v>16.2</v>
      </c>
      <c r="G1587">
        <v>16.600000000000001</v>
      </c>
      <c r="H1587">
        <v>16</v>
      </c>
      <c r="I1587">
        <v>16.3</v>
      </c>
      <c r="J1587">
        <v>16.3</v>
      </c>
      <c r="K1587">
        <v>16.5</v>
      </c>
      <c r="L1587">
        <v>16.399999999999999</v>
      </c>
      <c r="M1587">
        <v>16</v>
      </c>
      <c r="N1587">
        <v>16.399999999999999</v>
      </c>
      <c r="O1587">
        <v>16.3</v>
      </c>
      <c r="P1587">
        <v>16.100000000000001</v>
      </c>
      <c r="Q1587">
        <v>15.6</v>
      </c>
      <c r="R1587">
        <v>15.7</v>
      </c>
      <c r="S1587">
        <f>Tableau1[[#This Row],[Final_time]]-SUM(Tableau1[[#This Row],[0_100m]:[1300_1400m]])</f>
        <v>15.810000000000002</v>
      </c>
      <c r="T1587">
        <v>241.41</v>
      </c>
      <c r="U1587">
        <f t="shared" si="52"/>
        <v>241.41</v>
      </c>
      <c r="V1587">
        <f t="shared" si="53"/>
        <v>0</v>
      </c>
      <c r="X1587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7" t="s">
        <v>1878</v>
      </c>
      <c r="Z1587" s="2" t="s">
        <v>43</v>
      </c>
      <c r="AA1587" s="2"/>
      <c r="AB1587" s="2" t="s">
        <v>65</v>
      </c>
      <c r="AC1587" s="2">
        <v>46165</v>
      </c>
      <c r="AD1587" s="3">
        <v>2026</v>
      </c>
      <c r="AE1587" s="3">
        <v>29</v>
      </c>
      <c r="AF1587" s="5">
        <v>0.81</v>
      </c>
      <c r="AG1587" s="3" t="s">
        <v>62</v>
      </c>
    </row>
    <row r="1588" spans="1:33" hidden="1" x14ac:dyDescent="0.35">
      <c r="A1588" t="str">
        <f>_xlfn.CONCAT(Tableau1[[#This Row],[Athletes]],"_",Tableau1[[#This Row],[Nationality]],"_",Tableau1[[#This Row],[Competition_year]])</f>
        <v>Sarah BILLINGS_AUS_2026</v>
      </c>
      <c r="B1588" s="7" t="s">
        <v>1234</v>
      </c>
      <c r="C1588" t="s">
        <v>47</v>
      </c>
      <c r="D1588" s="7" t="s">
        <v>21</v>
      </c>
      <c r="E1588">
        <v>14.4</v>
      </c>
      <c r="F1588">
        <v>16</v>
      </c>
      <c r="G1588">
        <v>16</v>
      </c>
      <c r="H1588">
        <v>15.8</v>
      </c>
      <c r="I1588">
        <v>16</v>
      </c>
      <c r="J1588">
        <v>15.8</v>
      </c>
      <c r="K1588">
        <v>15.9</v>
      </c>
      <c r="L1588">
        <v>15.7</v>
      </c>
      <c r="M1588">
        <v>16.5</v>
      </c>
      <c r="N1588">
        <v>16.7</v>
      </c>
      <c r="O1588">
        <v>16.8</v>
      </c>
      <c r="P1588">
        <v>15.9</v>
      </c>
      <c r="Q1588">
        <v>16.5</v>
      </c>
      <c r="R1588">
        <v>16.8</v>
      </c>
      <c r="S1588">
        <f>Tableau1[[#This Row],[Final_time]]-SUM(Tableau1[[#This Row],[0_100m]:[1300_1400m]])</f>
        <v>17.19999999999996</v>
      </c>
      <c r="T1588">
        <v>242</v>
      </c>
      <c r="U1588">
        <f t="shared" si="52"/>
        <v>242</v>
      </c>
      <c r="V1588">
        <f t="shared" si="53"/>
        <v>0</v>
      </c>
      <c r="X1588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8" t="s">
        <v>1878</v>
      </c>
      <c r="Z1588" s="2" t="s">
        <v>43</v>
      </c>
      <c r="AA1588" s="2"/>
      <c r="AB1588" s="2" t="s">
        <v>65</v>
      </c>
      <c r="AC1588" s="2">
        <v>46165</v>
      </c>
      <c r="AD1588" s="3">
        <v>2026</v>
      </c>
      <c r="AE1588" s="3">
        <v>29</v>
      </c>
      <c r="AF1588" s="5">
        <v>0.81</v>
      </c>
      <c r="AG1588" s="3" t="s">
        <v>62</v>
      </c>
    </row>
    <row r="1589" spans="1:33" hidden="1" x14ac:dyDescent="0.35">
      <c r="A1589" t="str">
        <f>_xlfn.CONCAT(Tableau1[[#This Row],[Athletes]],"_",Tableau1[[#This Row],[Nationality]],"_",Tableau1[[#This Row],[Competition_year]])</f>
        <v>Gracie MORRIS_USA_2026</v>
      </c>
      <c r="B1589" s="7" t="s">
        <v>1875</v>
      </c>
      <c r="C1589" t="s">
        <v>47</v>
      </c>
      <c r="D1589" s="7" t="s">
        <v>51</v>
      </c>
      <c r="E1589">
        <v>15.1</v>
      </c>
      <c r="F1589">
        <v>16.100000000000001</v>
      </c>
      <c r="G1589">
        <v>16.600000000000001</v>
      </c>
      <c r="H1589">
        <v>16</v>
      </c>
      <c r="I1589">
        <v>16.2</v>
      </c>
      <c r="J1589">
        <v>16.399999999999999</v>
      </c>
      <c r="K1589">
        <v>16.5</v>
      </c>
      <c r="L1589">
        <v>16.3</v>
      </c>
      <c r="M1589">
        <v>16.100000000000001</v>
      </c>
      <c r="N1589">
        <v>16.5</v>
      </c>
      <c r="O1589">
        <v>16.5</v>
      </c>
      <c r="P1589">
        <v>16.100000000000001</v>
      </c>
      <c r="Q1589">
        <v>16.399999999999999</v>
      </c>
      <c r="R1589">
        <v>15.6</v>
      </c>
      <c r="S1589">
        <f>Tableau1[[#This Row],[Final_time]]-SUM(Tableau1[[#This Row],[0_100m]:[1300_1400m]])</f>
        <v>15.739999999999981</v>
      </c>
      <c r="T1589">
        <v>242.14</v>
      </c>
      <c r="U1589">
        <f t="shared" si="52"/>
        <v>242.14</v>
      </c>
      <c r="V1589">
        <f t="shared" si="53"/>
        <v>0</v>
      </c>
      <c r="X1589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89" t="s">
        <v>1878</v>
      </c>
      <c r="Z1589" s="2" t="s">
        <v>43</v>
      </c>
      <c r="AA1589" s="2"/>
      <c r="AB1589" s="2" t="s">
        <v>65</v>
      </c>
      <c r="AC1589" s="2">
        <v>46165</v>
      </c>
      <c r="AD1589" s="3">
        <v>2026</v>
      </c>
      <c r="AE1589" s="3">
        <v>29</v>
      </c>
      <c r="AF1589" s="5">
        <v>0.81</v>
      </c>
      <c r="AG1589" s="3" t="s">
        <v>62</v>
      </c>
    </row>
    <row r="1590" spans="1:33" hidden="1" x14ac:dyDescent="0.35">
      <c r="A1590" t="str">
        <f>_xlfn.CONCAT(Tableau1[[#This Row],[Athletes]],"_",Tableau1[[#This Row],[Nationality]],"_",Tableau1[[#This Row],[Competition_year]])</f>
        <v>Claudia HOLLINGSWORTH_AUS_2026</v>
      </c>
      <c r="B1590" s="7" t="s">
        <v>609</v>
      </c>
      <c r="C1590" t="s">
        <v>47</v>
      </c>
      <c r="D1590" s="7" t="s">
        <v>21</v>
      </c>
      <c r="E1590">
        <v>14.4</v>
      </c>
      <c r="F1590">
        <v>16.2</v>
      </c>
      <c r="G1590">
        <v>16.3</v>
      </c>
      <c r="H1590">
        <v>16.100000000000001</v>
      </c>
      <c r="I1590">
        <v>16.3</v>
      </c>
      <c r="J1590">
        <v>16.3</v>
      </c>
      <c r="K1590">
        <v>16.600000000000001</v>
      </c>
      <c r="L1590">
        <v>16.399999999999999</v>
      </c>
      <c r="M1590">
        <v>16.2</v>
      </c>
      <c r="N1590">
        <v>16.399999999999999</v>
      </c>
      <c r="O1590">
        <v>16.600000000000001</v>
      </c>
      <c r="P1590">
        <v>16.3</v>
      </c>
      <c r="Q1590">
        <v>17</v>
      </c>
      <c r="R1590">
        <v>17.399999999999999</v>
      </c>
      <c r="S1590">
        <f>Tableau1[[#This Row],[Final_time]]-SUM(Tableau1[[#This Row],[0_100m]:[1300_1400m]])</f>
        <v>17.95999999999998</v>
      </c>
      <c r="T1590">
        <v>246.46</v>
      </c>
      <c r="U1590">
        <f t="shared" si="52"/>
        <v>246.46</v>
      </c>
      <c r="V1590">
        <f t="shared" si="53"/>
        <v>0</v>
      </c>
      <c r="X1590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90" t="s">
        <v>1878</v>
      </c>
      <c r="Z1590" s="2" t="s">
        <v>43</v>
      </c>
      <c r="AA1590" s="2"/>
      <c r="AB1590" s="2" t="s">
        <v>65</v>
      </c>
      <c r="AC1590" s="2">
        <v>46165</v>
      </c>
      <c r="AD1590" s="3">
        <v>2026</v>
      </c>
      <c r="AE1590" s="3">
        <v>29</v>
      </c>
      <c r="AF1590" s="5">
        <v>0.81</v>
      </c>
      <c r="AG1590" s="3" t="s">
        <v>62</v>
      </c>
    </row>
    <row r="1591" spans="1:33" hidden="1" x14ac:dyDescent="0.35">
      <c r="A1591" t="str">
        <f>_xlfn.CONCAT(Tableau1[[#This Row],[Athletes]],"_",Tableau1[[#This Row],[Nationality]],"_",Tableau1[[#This Row],[Competition_year]])</f>
        <v>Chunhui LI_CHN_2026</v>
      </c>
      <c r="B1591" s="7" t="s">
        <v>1876</v>
      </c>
      <c r="C1591" t="s">
        <v>47</v>
      </c>
      <c r="D1591" s="7" t="s">
        <v>416</v>
      </c>
      <c r="E1591">
        <v>15.5</v>
      </c>
      <c r="F1591">
        <v>16.399999999999999</v>
      </c>
      <c r="G1591">
        <v>16.600000000000001</v>
      </c>
      <c r="H1591">
        <v>16.3</v>
      </c>
      <c r="I1591">
        <v>16.399999999999999</v>
      </c>
      <c r="J1591">
        <v>16.600000000000001</v>
      </c>
      <c r="K1591">
        <v>16.7</v>
      </c>
      <c r="L1591">
        <v>16.3</v>
      </c>
      <c r="M1591">
        <v>16.600000000000001</v>
      </c>
      <c r="N1591">
        <v>16.8</v>
      </c>
      <c r="O1591">
        <v>17.2</v>
      </c>
      <c r="P1591">
        <v>16.5</v>
      </c>
      <c r="Q1591">
        <v>16.3</v>
      </c>
      <c r="R1591">
        <v>17</v>
      </c>
      <c r="S1591">
        <f>Tableau1[[#This Row],[Final_time]]-SUM(Tableau1[[#This Row],[0_100m]:[1300_1400m]])</f>
        <v>16.230000000000018</v>
      </c>
      <c r="T1591">
        <v>247.43</v>
      </c>
      <c r="U1591">
        <f t="shared" si="52"/>
        <v>247.43</v>
      </c>
      <c r="V1591">
        <f t="shared" si="53"/>
        <v>0</v>
      </c>
      <c r="X1591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91" t="s">
        <v>1878</v>
      </c>
      <c r="Z1591" s="2" t="s">
        <v>43</v>
      </c>
      <c r="AA1591" s="2"/>
      <c r="AB1591" s="2" t="s">
        <v>65</v>
      </c>
      <c r="AC1591" s="2">
        <v>46165</v>
      </c>
      <c r="AD1591" s="3">
        <v>2026</v>
      </c>
      <c r="AE1591" s="3">
        <v>29</v>
      </c>
      <c r="AF1591" s="5">
        <v>0.81</v>
      </c>
      <c r="AG1591" s="3" t="s">
        <v>62</v>
      </c>
    </row>
    <row r="1592" spans="1:33" hidden="1" x14ac:dyDescent="0.35">
      <c r="A1592" t="str">
        <f>_xlfn.CONCAT(Tableau1[[#This Row],[Athletes]],"_",Tableau1[[#This Row],[Nationality]],"_",Tableau1[[#This Row],[Competition_year]])</f>
        <v>Worknesh MESELE_ETH_2026</v>
      </c>
      <c r="B1592" s="7" t="s">
        <v>294</v>
      </c>
      <c r="C1592" t="s">
        <v>47</v>
      </c>
      <c r="D1592" s="7" t="s">
        <v>48</v>
      </c>
      <c r="E1592">
        <v>15</v>
      </c>
      <c r="F1592">
        <v>16.5</v>
      </c>
      <c r="G1592">
        <v>16.5</v>
      </c>
      <c r="H1592">
        <v>16.399999999999999</v>
      </c>
      <c r="I1592">
        <v>16.600000000000001</v>
      </c>
      <c r="J1592">
        <v>16.600000000000001</v>
      </c>
      <c r="K1592">
        <v>16.7</v>
      </c>
      <c r="L1592">
        <v>16.3</v>
      </c>
      <c r="M1592">
        <v>16.7</v>
      </c>
      <c r="N1592">
        <v>16.7</v>
      </c>
      <c r="O1592">
        <v>17.2</v>
      </c>
      <c r="P1592">
        <v>16.5</v>
      </c>
      <c r="Q1592">
        <v>17</v>
      </c>
      <c r="R1592">
        <v>16.7</v>
      </c>
      <c r="S1592">
        <f>Tableau1[[#This Row],[Final_time]]-SUM(Tableau1[[#This Row],[0_100m]:[1300_1400m]])</f>
        <v>16.130000000000052</v>
      </c>
      <c r="T1592">
        <v>247.53</v>
      </c>
      <c r="U1592">
        <f t="shared" si="52"/>
        <v>247.53</v>
      </c>
      <c r="V1592">
        <f t="shared" si="53"/>
        <v>0</v>
      </c>
      <c r="X1592" t="str">
        <f>_xlfn.CONCAT(Tableau1[[#This Row],[Competition]],"_",Tableau1[[#This Row],[Championship_step]],"_",Tableau1[[#This Row],[Competition_date]],"_",Tableau1[[#This Row],[Gender]])</f>
        <v>Diamond League Xiamen 2026__46165_Female</v>
      </c>
      <c r="Y1592" t="s">
        <v>1878</v>
      </c>
      <c r="Z1592" s="2" t="s">
        <v>43</v>
      </c>
      <c r="AA1592" s="2"/>
      <c r="AB1592" s="2" t="s">
        <v>65</v>
      </c>
      <c r="AC1592" s="2">
        <v>46165</v>
      </c>
      <c r="AD1592" s="3">
        <v>2026</v>
      </c>
      <c r="AE1592" s="3">
        <v>29</v>
      </c>
      <c r="AF1592" s="5">
        <v>0.81</v>
      </c>
      <c r="AG1592" s="3" t="s">
        <v>62</v>
      </c>
    </row>
    <row r="1593" spans="1:33" hidden="1" x14ac:dyDescent="0.35">
      <c r="A1593" t="str">
        <f>_xlfn.CONCAT(Tableau1[[#This Row],[Athletes]],"_",Tableau1[[#This Row],[Nationality]],"_",Tableau1[[#This Row],[Competition_year]])</f>
        <v>Freweyni HAILU_ETH_2026</v>
      </c>
      <c r="B1593" s="7" t="s">
        <v>144</v>
      </c>
      <c r="C1593" t="s">
        <v>47</v>
      </c>
      <c r="D1593" s="7" t="s">
        <v>48</v>
      </c>
      <c r="E1593">
        <v>15.8</v>
      </c>
      <c r="F1593">
        <v>15.7</v>
      </c>
      <c r="G1593">
        <v>16.3</v>
      </c>
      <c r="H1593">
        <v>16</v>
      </c>
      <c r="I1593">
        <v>16.2</v>
      </c>
      <c r="J1593">
        <v>16.100000000000001</v>
      </c>
      <c r="K1593">
        <v>16.100000000000001</v>
      </c>
      <c r="L1593">
        <v>16.100000000000001</v>
      </c>
      <c r="M1593">
        <v>16.600000000000001</v>
      </c>
      <c r="N1593">
        <v>16.3</v>
      </c>
      <c r="O1593">
        <v>16</v>
      </c>
      <c r="P1593">
        <v>15.6</v>
      </c>
      <c r="Q1593">
        <v>15.4</v>
      </c>
      <c r="R1593">
        <v>15</v>
      </c>
      <c r="S1593">
        <f>Tableau1[[#This Row],[Final_time]]-SUM(Tableau1[[#This Row],[0_100m]:[1300_1400m]])</f>
        <v>15.050000000000011</v>
      </c>
      <c r="T1593">
        <v>238.25</v>
      </c>
      <c r="U1593">
        <f t="shared" ref="U1593:U1608" si="54">SUM(E1593:S1593)</f>
        <v>238.25</v>
      </c>
      <c r="V1593">
        <f t="shared" ref="V1593:V1608" si="55">ABS(U1593-T1593)</f>
        <v>0</v>
      </c>
      <c r="X1593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3" t="s">
        <v>1887</v>
      </c>
      <c r="Z1593" s="2" t="s">
        <v>43</v>
      </c>
      <c r="AA1593" s="2"/>
      <c r="AB1593" s="2" t="s">
        <v>65</v>
      </c>
      <c r="AC1593" s="2">
        <v>46173</v>
      </c>
      <c r="AD1593" s="3">
        <v>2026</v>
      </c>
      <c r="AE1593" s="3">
        <v>23</v>
      </c>
      <c r="AF1593" s="5">
        <v>0.77</v>
      </c>
      <c r="AG1593" s="3" t="s">
        <v>71</v>
      </c>
    </row>
    <row r="1594" spans="1:33" hidden="1" x14ac:dyDescent="0.35">
      <c r="A1594" t="str">
        <f>_xlfn.CONCAT(Tableau1[[#This Row],[Athletes]],"_",Tableau1[[#This Row],[Nationality]],"_",Tableau1[[#This Row],[Competition_year]])</f>
        <v>Haregeweyni KALAYU_ETH_2026</v>
      </c>
      <c r="B1594" s="7" t="s">
        <v>1879</v>
      </c>
      <c r="C1594" t="s">
        <v>47</v>
      </c>
      <c r="D1594" s="7" t="s">
        <v>48</v>
      </c>
      <c r="E1594">
        <v>16.399999999999999</v>
      </c>
      <c r="F1594">
        <v>15.8</v>
      </c>
      <c r="G1594">
        <v>16.7</v>
      </c>
      <c r="H1594">
        <v>16.600000000000001</v>
      </c>
      <c r="I1594">
        <v>15.9</v>
      </c>
      <c r="J1594">
        <v>16</v>
      </c>
      <c r="K1594">
        <v>16.2</v>
      </c>
      <c r="L1594">
        <v>16</v>
      </c>
      <c r="M1594">
        <v>15.9</v>
      </c>
      <c r="N1594">
        <v>16.399999999999999</v>
      </c>
      <c r="O1594">
        <v>15.8</v>
      </c>
      <c r="P1594">
        <v>15.7</v>
      </c>
      <c r="Q1594">
        <v>15.6</v>
      </c>
      <c r="R1594">
        <v>15.4</v>
      </c>
      <c r="S1594">
        <f>Tableau1[[#This Row],[Final_time]]-SUM(Tableau1[[#This Row],[0_100m]:[1300_1400m]])</f>
        <v>14.879999999999967</v>
      </c>
      <c r="T1594">
        <v>239.28</v>
      </c>
      <c r="U1594">
        <f t="shared" si="54"/>
        <v>239.28</v>
      </c>
      <c r="V1594">
        <f t="shared" si="55"/>
        <v>0</v>
      </c>
      <c r="X1594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4" t="s">
        <v>1887</v>
      </c>
      <c r="Z1594" s="2" t="s">
        <v>43</v>
      </c>
      <c r="AA1594" s="2"/>
      <c r="AB1594" s="2" t="s">
        <v>65</v>
      </c>
      <c r="AC1594" s="2">
        <v>46173</v>
      </c>
      <c r="AD1594" s="3">
        <v>2026</v>
      </c>
      <c r="AE1594" s="3">
        <v>23</v>
      </c>
      <c r="AF1594" s="5">
        <v>0.77</v>
      </c>
      <c r="AG1594" s="3" t="s">
        <v>71</v>
      </c>
    </row>
    <row r="1595" spans="1:33" hidden="1" x14ac:dyDescent="0.35">
      <c r="A1595" t="str">
        <f>_xlfn.CONCAT(Tableau1[[#This Row],[Athletes]],"_",Tableau1[[#This Row],[Nationality]],"_",Tableau1[[#This Row],[Competition_year]])</f>
        <v>Agathe GUILLEMOT_FRA_2026</v>
      </c>
      <c r="B1595" s="7" t="s">
        <v>171</v>
      </c>
      <c r="C1595" t="s">
        <v>47</v>
      </c>
      <c r="D1595" s="7" t="s">
        <v>18</v>
      </c>
      <c r="E1595">
        <v>16</v>
      </c>
      <c r="F1595">
        <v>15.7</v>
      </c>
      <c r="G1595">
        <v>16.3</v>
      </c>
      <c r="H1595">
        <v>16.100000000000001</v>
      </c>
      <c r="I1595">
        <v>16.2</v>
      </c>
      <c r="J1595">
        <v>16</v>
      </c>
      <c r="K1595">
        <v>16.2</v>
      </c>
      <c r="L1595">
        <v>16</v>
      </c>
      <c r="M1595">
        <v>16.600000000000001</v>
      </c>
      <c r="N1595">
        <v>16.399999999999999</v>
      </c>
      <c r="O1595">
        <v>16</v>
      </c>
      <c r="P1595">
        <v>15.7</v>
      </c>
      <c r="Q1595">
        <v>15.9</v>
      </c>
      <c r="R1595">
        <v>15.4</v>
      </c>
      <c r="S1595">
        <f>Tableau1[[#This Row],[Final_time]]-SUM(Tableau1[[#This Row],[0_100m]:[1300_1400m]])</f>
        <v>15.099999999999994</v>
      </c>
      <c r="T1595">
        <v>239.6</v>
      </c>
      <c r="U1595">
        <f t="shared" si="54"/>
        <v>239.6</v>
      </c>
      <c r="V1595">
        <f t="shared" si="55"/>
        <v>0</v>
      </c>
      <c r="X1595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5" t="s">
        <v>1887</v>
      </c>
      <c r="Z1595" s="2" t="s">
        <v>43</v>
      </c>
      <c r="AA1595" s="2"/>
      <c r="AB1595" s="2" t="s">
        <v>65</v>
      </c>
      <c r="AC1595" s="2">
        <v>46173</v>
      </c>
      <c r="AD1595" s="3">
        <v>2026</v>
      </c>
      <c r="AE1595" s="3">
        <v>23</v>
      </c>
      <c r="AF1595" s="5">
        <v>0.77</v>
      </c>
      <c r="AG1595" s="3" t="s">
        <v>71</v>
      </c>
    </row>
    <row r="1596" spans="1:33" hidden="1" x14ac:dyDescent="0.35">
      <c r="A1596" t="str">
        <f>_xlfn.CONCAT(Tableau1[[#This Row],[Athletes]],"_",Tableau1[[#This Row],[Nationality]],"_",Tableau1[[#This Row],[Competition_year]])</f>
        <v>Patricia SILVA_POR_2026</v>
      </c>
      <c r="B1596" s="7" t="s">
        <v>1880</v>
      </c>
      <c r="C1596" t="s">
        <v>47</v>
      </c>
      <c r="D1596" s="7" t="s">
        <v>33</v>
      </c>
      <c r="E1596">
        <v>16.600000000000001</v>
      </c>
      <c r="F1596">
        <v>15.9</v>
      </c>
      <c r="G1596">
        <v>16.7</v>
      </c>
      <c r="H1596">
        <v>17.2</v>
      </c>
      <c r="I1596">
        <v>16.2</v>
      </c>
      <c r="J1596">
        <v>16.100000000000001</v>
      </c>
      <c r="K1596">
        <v>15.5</v>
      </c>
      <c r="L1596">
        <v>16.399999999999999</v>
      </c>
      <c r="M1596">
        <v>16.2</v>
      </c>
      <c r="N1596">
        <v>15.7</v>
      </c>
      <c r="O1596">
        <v>15.8</v>
      </c>
      <c r="P1596">
        <v>15.9</v>
      </c>
      <c r="Q1596">
        <v>15.6</v>
      </c>
      <c r="R1596">
        <v>15.5</v>
      </c>
      <c r="S1596">
        <f>Tableau1[[#This Row],[Final_time]]-SUM(Tableau1[[#This Row],[0_100m]:[1300_1400m]])</f>
        <v>15.099999999999994</v>
      </c>
      <c r="T1596">
        <v>240.4</v>
      </c>
      <c r="U1596">
        <f t="shared" si="54"/>
        <v>240.4</v>
      </c>
      <c r="V1596">
        <f t="shared" si="55"/>
        <v>0</v>
      </c>
      <c r="X1596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6" t="s">
        <v>1887</v>
      </c>
      <c r="Z1596" s="2" t="s">
        <v>43</v>
      </c>
      <c r="AA1596" s="2"/>
      <c r="AB1596" s="2" t="s">
        <v>65</v>
      </c>
      <c r="AC1596" s="2">
        <v>46173</v>
      </c>
      <c r="AD1596" s="3">
        <v>2026</v>
      </c>
      <c r="AE1596" s="3">
        <v>23</v>
      </c>
      <c r="AF1596" s="5">
        <v>0.77</v>
      </c>
      <c r="AG1596" s="3" t="s">
        <v>71</v>
      </c>
    </row>
    <row r="1597" spans="1:33" hidden="1" x14ac:dyDescent="0.35">
      <c r="A1597" t="str">
        <f>_xlfn.CONCAT(Tableau1[[#This Row],[Athletes]],"_",Tableau1[[#This Row],[Nationality]],"_",Tableau1[[#This Row],[Competition_year]])</f>
        <v>Laura MUIR_GBR_2026</v>
      </c>
      <c r="B1597" s="7" t="s">
        <v>153</v>
      </c>
      <c r="C1597" t="s">
        <v>47</v>
      </c>
      <c r="D1597" s="7" t="s">
        <v>20</v>
      </c>
      <c r="E1597">
        <v>16.2</v>
      </c>
      <c r="F1597">
        <v>15.7</v>
      </c>
      <c r="G1597">
        <v>16.2</v>
      </c>
      <c r="H1597">
        <v>16.2</v>
      </c>
      <c r="I1597">
        <v>16.2</v>
      </c>
      <c r="J1597">
        <v>16</v>
      </c>
      <c r="K1597">
        <v>16.2</v>
      </c>
      <c r="L1597">
        <v>16</v>
      </c>
      <c r="M1597">
        <v>16.600000000000001</v>
      </c>
      <c r="N1597">
        <v>16.399999999999999</v>
      </c>
      <c r="O1597">
        <v>16.100000000000001</v>
      </c>
      <c r="P1597">
        <v>15.9</v>
      </c>
      <c r="Q1597">
        <v>15.8</v>
      </c>
      <c r="R1597">
        <v>15.7</v>
      </c>
      <c r="S1597">
        <f>Tableau1[[#This Row],[Final_time]]-SUM(Tableau1[[#This Row],[0_100m]:[1300_1400m]])</f>
        <v>15.570000000000022</v>
      </c>
      <c r="T1597">
        <v>240.77</v>
      </c>
      <c r="U1597">
        <f t="shared" si="54"/>
        <v>240.77</v>
      </c>
      <c r="V1597">
        <f t="shared" si="55"/>
        <v>0</v>
      </c>
      <c r="X1597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7" t="s">
        <v>1887</v>
      </c>
      <c r="Z1597" s="2" t="s">
        <v>43</v>
      </c>
      <c r="AA1597" s="2"/>
      <c r="AB1597" s="2" t="s">
        <v>65</v>
      </c>
      <c r="AC1597" s="2">
        <v>46173</v>
      </c>
      <c r="AD1597" s="3">
        <v>2026</v>
      </c>
      <c r="AE1597" s="3">
        <v>23</v>
      </c>
      <c r="AF1597" s="5">
        <v>0.77</v>
      </c>
      <c r="AG1597" s="3" t="s">
        <v>71</v>
      </c>
    </row>
    <row r="1598" spans="1:33" hidden="1" x14ac:dyDescent="0.35">
      <c r="A1598" t="str">
        <f>_xlfn.CONCAT(Tableau1[[#This Row],[Athletes]],"_",Tableau1[[#This Row],[Nationality]],"_",Tableau1[[#This Row],[Competition_year]])</f>
        <v>Lucia STAFFORD_CAN_2026</v>
      </c>
      <c r="B1598" s="7" t="s">
        <v>158</v>
      </c>
      <c r="C1598" t="s">
        <v>47</v>
      </c>
      <c r="D1598" s="7" t="s">
        <v>55</v>
      </c>
      <c r="E1598">
        <v>16.399999999999999</v>
      </c>
      <c r="F1598">
        <v>16.100000000000001</v>
      </c>
      <c r="G1598">
        <v>15.9</v>
      </c>
      <c r="H1598">
        <v>16.399999999999999</v>
      </c>
      <c r="I1598">
        <v>16.2</v>
      </c>
      <c r="J1598">
        <v>16</v>
      </c>
      <c r="K1598">
        <v>16.2</v>
      </c>
      <c r="L1598">
        <v>16</v>
      </c>
      <c r="M1598">
        <v>16.5</v>
      </c>
      <c r="N1598">
        <v>16.399999999999999</v>
      </c>
      <c r="O1598">
        <v>16</v>
      </c>
      <c r="P1598">
        <v>15.9</v>
      </c>
      <c r="Q1598">
        <v>15.4</v>
      </c>
      <c r="R1598">
        <v>15.7</v>
      </c>
      <c r="S1598">
        <f>Tableau1[[#This Row],[Final_time]]-SUM(Tableau1[[#This Row],[0_100m]:[1300_1400m]])</f>
        <v>15.730000000000018</v>
      </c>
      <c r="T1598">
        <v>240.83</v>
      </c>
      <c r="U1598">
        <f t="shared" si="54"/>
        <v>240.83</v>
      </c>
      <c r="V1598">
        <f t="shared" si="55"/>
        <v>0</v>
      </c>
      <c r="X1598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8" t="s">
        <v>1887</v>
      </c>
      <c r="Z1598" s="2" t="s">
        <v>43</v>
      </c>
      <c r="AA1598" s="2"/>
      <c r="AB1598" s="2" t="s">
        <v>65</v>
      </c>
      <c r="AC1598" s="2">
        <v>46173</v>
      </c>
      <c r="AD1598" s="3">
        <v>2026</v>
      </c>
      <c r="AE1598" s="3">
        <v>23</v>
      </c>
      <c r="AF1598" s="5">
        <v>0.77</v>
      </c>
      <c r="AG1598" s="3" t="s">
        <v>71</v>
      </c>
    </row>
    <row r="1599" spans="1:33" hidden="1" x14ac:dyDescent="0.35">
      <c r="A1599" t="str">
        <f>_xlfn.CONCAT(Tableau1[[#This Row],[Athletes]],"_",Tableau1[[#This Row],[Nationality]],"_",Tableau1[[#This Row],[Competition_year]])</f>
        <v>Likina AMEBAW_ETH_2026</v>
      </c>
      <c r="B1599" s="7" t="s">
        <v>1881</v>
      </c>
      <c r="C1599" t="s">
        <v>47</v>
      </c>
      <c r="D1599" s="7" t="s">
        <v>48</v>
      </c>
      <c r="E1599">
        <v>16.399999999999999</v>
      </c>
      <c r="F1599">
        <v>15.7</v>
      </c>
      <c r="G1599">
        <v>16.3</v>
      </c>
      <c r="H1599">
        <v>16.2</v>
      </c>
      <c r="I1599">
        <v>16.2</v>
      </c>
      <c r="J1599">
        <v>16</v>
      </c>
      <c r="K1599">
        <v>16.2</v>
      </c>
      <c r="L1599">
        <v>16</v>
      </c>
      <c r="M1599">
        <v>16.5</v>
      </c>
      <c r="N1599">
        <v>16.399999999999999</v>
      </c>
      <c r="O1599">
        <v>16.2</v>
      </c>
      <c r="P1599">
        <v>15.9</v>
      </c>
      <c r="Q1599">
        <v>15.9</v>
      </c>
      <c r="R1599">
        <v>15.9</v>
      </c>
      <c r="S1599">
        <f>Tableau1[[#This Row],[Final_time]]-SUM(Tableau1[[#This Row],[0_100m]:[1300_1400m]])</f>
        <v>15.759999999999991</v>
      </c>
      <c r="T1599">
        <v>241.56</v>
      </c>
      <c r="U1599">
        <f t="shared" si="54"/>
        <v>241.56</v>
      </c>
      <c r="V1599">
        <f t="shared" si="55"/>
        <v>0</v>
      </c>
      <c r="X1599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599" t="s">
        <v>1887</v>
      </c>
      <c r="Z1599" s="2" t="s">
        <v>43</v>
      </c>
      <c r="AA1599" s="2"/>
      <c r="AB1599" s="2" t="s">
        <v>65</v>
      </c>
      <c r="AC1599" s="2">
        <v>46173</v>
      </c>
      <c r="AD1599" s="3">
        <v>2026</v>
      </c>
      <c r="AE1599" s="3">
        <v>23</v>
      </c>
      <c r="AF1599" s="5">
        <v>0.77</v>
      </c>
      <c r="AG1599" s="3" t="s">
        <v>71</v>
      </c>
    </row>
    <row r="1600" spans="1:33" hidden="1" x14ac:dyDescent="0.35">
      <c r="A1600" t="str">
        <f>_xlfn.CONCAT(Tableau1[[#This Row],[Athletes]],"_",Tableau1[[#This Row],[Nationality]],"_",Tableau1[[#This Row],[Competition_year]])</f>
        <v>Aster ARERI_ETH_2026</v>
      </c>
      <c r="B1600" s="7" t="s">
        <v>1882</v>
      </c>
      <c r="C1600" t="s">
        <v>47</v>
      </c>
      <c r="D1600" s="7" t="s">
        <v>48</v>
      </c>
      <c r="E1600">
        <v>16.7</v>
      </c>
      <c r="F1600">
        <v>15.9</v>
      </c>
      <c r="G1600">
        <v>15.8</v>
      </c>
      <c r="H1600">
        <v>16.8</v>
      </c>
      <c r="I1600">
        <v>16.2</v>
      </c>
      <c r="J1600">
        <v>16.3</v>
      </c>
      <c r="K1600">
        <v>16.100000000000001</v>
      </c>
      <c r="L1600">
        <v>16.3</v>
      </c>
      <c r="M1600">
        <v>16.100000000000001</v>
      </c>
      <c r="N1600">
        <v>16.399999999999999</v>
      </c>
      <c r="O1600">
        <v>16</v>
      </c>
      <c r="P1600">
        <v>15.8</v>
      </c>
      <c r="Q1600">
        <v>15.7</v>
      </c>
      <c r="R1600">
        <v>15.7</v>
      </c>
      <c r="S1600">
        <f>Tableau1[[#This Row],[Final_time]]-SUM(Tableau1[[#This Row],[0_100m]:[1300_1400m]])</f>
        <v>15.899999999999977</v>
      </c>
      <c r="T1600">
        <v>241.7</v>
      </c>
      <c r="U1600">
        <f t="shared" si="54"/>
        <v>241.7</v>
      </c>
      <c r="V1600">
        <f t="shared" si="55"/>
        <v>0</v>
      </c>
      <c r="X1600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0" t="s">
        <v>1887</v>
      </c>
      <c r="Z1600" s="2" t="s">
        <v>43</v>
      </c>
      <c r="AA1600" s="2"/>
      <c r="AB1600" s="2" t="s">
        <v>65</v>
      </c>
      <c r="AC1600" s="2">
        <v>46173</v>
      </c>
      <c r="AD1600" s="3">
        <v>2026</v>
      </c>
      <c r="AE1600" s="3">
        <v>23</v>
      </c>
      <c r="AF1600" s="5">
        <v>0.77</v>
      </c>
      <c r="AG1600" s="3" t="s">
        <v>71</v>
      </c>
    </row>
    <row r="1601" spans="1:33" hidden="1" x14ac:dyDescent="0.35">
      <c r="A1601" t="str">
        <f>_xlfn.CONCAT(Tableau1[[#This Row],[Athletes]],"_",Tableau1[[#This Row],[Nationality]],"_",Tableau1[[#This Row],[Competition_year]])</f>
        <v>Salomé AFONSO_POR_2026</v>
      </c>
      <c r="B1601" s="7" t="s">
        <v>174</v>
      </c>
      <c r="C1601" t="s">
        <v>47</v>
      </c>
      <c r="D1601" s="7" t="s">
        <v>33</v>
      </c>
      <c r="E1601">
        <v>16.2</v>
      </c>
      <c r="F1601">
        <v>16.2</v>
      </c>
      <c r="G1601">
        <v>16.7</v>
      </c>
      <c r="H1601">
        <v>16.7</v>
      </c>
      <c r="I1601">
        <v>16.399999999999999</v>
      </c>
      <c r="J1601">
        <v>16</v>
      </c>
      <c r="K1601">
        <v>15.8</v>
      </c>
      <c r="L1601">
        <v>15.8</v>
      </c>
      <c r="M1601">
        <v>16.100000000000001</v>
      </c>
      <c r="N1601">
        <v>16.2</v>
      </c>
      <c r="O1601">
        <v>15.8</v>
      </c>
      <c r="P1601">
        <v>15.7</v>
      </c>
      <c r="Q1601">
        <v>15.7</v>
      </c>
      <c r="R1601">
        <v>15.7</v>
      </c>
      <c r="S1601">
        <f>Tableau1[[#This Row],[Final_time]]-SUM(Tableau1[[#This Row],[0_100m]:[1300_1400m]])</f>
        <v>16.84000000000006</v>
      </c>
      <c r="T1601">
        <v>241.84</v>
      </c>
      <c r="U1601">
        <f t="shared" si="54"/>
        <v>241.84</v>
      </c>
      <c r="V1601">
        <f t="shared" si="55"/>
        <v>0</v>
      </c>
      <c r="X1601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1" t="s">
        <v>1887</v>
      </c>
      <c r="Z1601" s="2" t="s">
        <v>43</v>
      </c>
      <c r="AA1601" s="2"/>
      <c r="AB1601" s="2" t="s">
        <v>65</v>
      </c>
      <c r="AC1601" s="2">
        <v>46173</v>
      </c>
      <c r="AD1601" s="3">
        <v>2026</v>
      </c>
      <c r="AE1601" s="3">
        <v>23</v>
      </c>
      <c r="AF1601" s="5">
        <v>0.77</v>
      </c>
      <c r="AG1601" s="3" t="s">
        <v>71</v>
      </c>
    </row>
    <row r="1602" spans="1:33" hidden="1" x14ac:dyDescent="0.35">
      <c r="A1602" t="str">
        <f>_xlfn.CONCAT(Tableau1[[#This Row],[Athletes]],"_",Tableau1[[#This Row],[Nationality]],"_",Tableau1[[#This Row],[Competition_year]])</f>
        <v>Nancy JEPNGETICH_KEN_2026</v>
      </c>
      <c r="B1602" s="7" t="s">
        <v>1883</v>
      </c>
      <c r="C1602" t="s">
        <v>47</v>
      </c>
      <c r="D1602" s="7" t="s">
        <v>17</v>
      </c>
      <c r="E1602">
        <v>17</v>
      </c>
      <c r="F1602">
        <v>15.8</v>
      </c>
      <c r="G1602">
        <v>16.3</v>
      </c>
      <c r="H1602">
        <v>16.899999999999999</v>
      </c>
      <c r="I1602">
        <v>16.2</v>
      </c>
      <c r="J1602">
        <v>16.3</v>
      </c>
      <c r="K1602">
        <v>15.9</v>
      </c>
      <c r="L1602">
        <v>16.399999999999999</v>
      </c>
      <c r="M1602">
        <v>16.399999999999999</v>
      </c>
      <c r="N1602">
        <v>16.5</v>
      </c>
      <c r="O1602">
        <v>16.2</v>
      </c>
      <c r="P1602">
        <v>16.600000000000001</v>
      </c>
      <c r="Q1602">
        <v>16.2</v>
      </c>
      <c r="R1602">
        <v>16.100000000000001</v>
      </c>
      <c r="S1602">
        <f>Tableau1[[#This Row],[Final_time]]-SUM(Tableau1[[#This Row],[0_100m]:[1300_1400m]])</f>
        <v>15.100000000000023</v>
      </c>
      <c r="T1602">
        <v>243.9</v>
      </c>
      <c r="U1602">
        <f t="shared" si="54"/>
        <v>243.9</v>
      </c>
      <c r="V1602">
        <f t="shared" si="55"/>
        <v>0</v>
      </c>
      <c r="X1602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2" t="s">
        <v>1887</v>
      </c>
      <c r="Z1602" s="2" t="s">
        <v>43</v>
      </c>
      <c r="AA1602" s="2"/>
      <c r="AB1602" s="2" t="s">
        <v>65</v>
      </c>
      <c r="AC1602" s="2">
        <v>46173</v>
      </c>
      <c r="AD1602" s="3">
        <v>2026</v>
      </c>
      <c r="AE1602" s="3">
        <v>23</v>
      </c>
      <c r="AF1602" s="5">
        <v>0.77</v>
      </c>
      <c r="AG1602" s="3" t="s">
        <v>71</v>
      </c>
    </row>
    <row r="1603" spans="1:33" hidden="1" x14ac:dyDescent="0.35">
      <c r="A1603" t="str">
        <f>_xlfn.CONCAT(Tableau1[[#This Row],[Athletes]],"_",Tableau1[[#This Row],[Nationality]],"_",Tableau1[[#This Row],[Competition_year]])</f>
        <v>Caren CHEPCHIRCHIR_KEN_2026</v>
      </c>
      <c r="B1603" s="7" t="s">
        <v>1884</v>
      </c>
      <c r="C1603" t="s">
        <v>47</v>
      </c>
      <c r="D1603" s="7" t="s">
        <v>17</v>
      </c>
      <c r="E1603">
        <v>17.2</v>
      </c>
      <c r="F1603">
        <v>15.8</v>
      </c>
      <c r="G1603">
        <v>16.399999999999999</v>
      </c>
      <c r="H1603">
        <v>16.8</v>
      </c>
      <c r="I1603">
        <v>16.2</v>
      </c>
      <c r="J1603">
        <v>16.100000000000001</v>
      </c>
      <c r="K1603">
        <v>16.100000000000001</v>
      </c>
      <c r="L1603">
        <v>16.5</v>
      </c>
      <c r="M1603">
        <v>16.5</v>
      </c>
      <c r="N1603">
        <v>16.5</v>
      </c>
      <c r="O1603">
        <v>16.600000000000001</v>
      </c>
      <c r="P1603">
        <v>16.399999999999999</v>
      </c>
      <c r="Q1603">
        <v>16.100000000000001</v>
      </c>
      <c r="R1603">
        <v>15.6</v>
      </c>
      <c r="S1603">
        <f>Tableau1[[#This Row],[Final_time]]-SUM(Tableau1[[#This Row],[0_100m]:[1300_1400m]])</f>
        <v>15.110000000000014</v>
      </c>
      <c r="T1603">
        <v>243.91</v>
      </c>
      <c r="U1603">
        <f t="shared" si="54"/>
        <v>243.91</v>
      </c>
      <c r="V1603">
        <f t="shared" si="55"/>
        <v>0</v>
      </c>
      <c r="X1603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3" t="s">
        <v>1887</v>
      </c>
      <c r="Z1603" s="2" t="s">
        <v>43</v>
      </c>
      <c r="AA1603" s="2"/>
      <c r="AB1603" s="2" t="s">
        <v>65</v>
      </c>
      <c r="AC1603" s="2">
        <v>46173</v>
      </c>
      <c r="AD1603" s="3">
        <v>2026</v>
      </c>
      <c r="AE1603" s="3">
        <v>23</v>
      </c>
      <c r="AF1603" s="5">
        <v>0.77</v>
      </c>
      <c r="AG1603" s="3" t="s">
        <v>71</v>
      </c>
    </row>
    <row r="1604" spans="1:33" hidden="1" x14ac:dyDescent="0.35">
      <c r="A1604" t="str">
        <f>_xlfn.CONCAT(Tableau1[[#This Row],[Athletes]],"_",Tableau1[[#This Row],[Nationality]],"_",Tableau1[[#This Row],[Competition_year]])</f>
        <v>Yordanos TSEGAB_ETH_2026</v>
      </c>
      <c r="B1604" s="7" t="s">
        <v>1885</v>
      </c>
      <c r="C1604" t="s">
        <v>47</v>
      </c>
      <c r="D1604" s="7" t="s">
        <v>48</v>
      </c>
      <c r="E1604">
        <v>16.899999999999999</v>
      </c>
      <c r="F1604">
        <v>15.4</v>
      </c>
      <c r="G1604">
        <v>16.399999999999999</v>
      </c>
      <c r="H1604">
        <v>16.3</v>
      </c>
      <c r="I1604">
        <v>16.2</v>
      </c>
      <c r="J1604">
        <v>16</v>
      </c>
      <c r="K1604">
        <v>16.2</v>
      </c>
      <c r="L1604">
        <v>16</v>
      </c>
      <c r="M1604">
        <v>16.399999999999999</v>
      </c>
      <c r="N1604">
        <v>16.3</v>
      </c>
      <c r="O1604">
        <v>16</v>
      </c>
      <c r="P1604">
        <v>15.8</v>
      </c>
      <c r="Q1604">
        <v>16</v>
      </c>
      <c r="R1604">
        <v>16.8</v>
      </c>
      <c r="S1604">
        <f>Tableau1[[#This Row],[Final_time]]-SUM(Tableau1[[#This Row],[0_100m]:[1300_1400m]])</f>
        <v>17.289999999999964</v>
      </c>
      <c r="T1604">
        <v>243.99</v>
      </c>
      <c r="U1604">
        <f t="shared" si="54"/>
        <v>243.99</v>
      </c>
      <c r="V1604">
        <f t="shared" si="55"/>
        <v>0</v>
      </c>
      <c r="X1604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4" t="s">
        <v>1887</v>
      </c>
      <c r="Z1604" s="2" t="s">
        <v>43</v>
      </c>
      <c r="AA1604" s="2"/>
      <c r="AB1604" s="2" t="s">
        <v>65</v>
      </c>
      <c r="AC1604" s="2">
        <v>46173</v>
      </c>
      <c r="AD1604" s="3">
        <v>2026</v>
      </c>
      <c r="AE1604" s="3">
        <v>23</v>
      </c>
      <c r="AF1604" s="5">
        <v>0.77</v>
      </c>
      <c r="AG1604" s="3" t="s">
        <v>71</v>
      </c>
    </row>
    <row r="1605" spans="1:33" hidden="1" x14ac:dyDescent="0.35">
      <c r="A1605" t="str">
        <f>_xlfn.CONCAT(Tableau1[[#This Row],[Athletes]],"_",Tableau1[[#This Row],[Nationality]],"_",Tableau1[[#This Row],[Competition_year]])</f>
        <v>Nelly JEPKOSGEI_BRN_2026</v>
      </c>
      <c r="B1605" s="7" t="s">
        <v>1483</v>
      </c>
      <c r="C1605" t="s">
        <v>47</v>
      </c>
      <c r="D1605" s="7" t="s">
        <v>1484</v>
      </c>
      <c r="E1605">
        <v>16.600000000000001</v>
      </c>
      <c r="F1605">
        <v>15.7</v>
      </c>
      <c r="G1605">
        <v>16.399999999999999</v>
      </c>
      <c r="H1605">
        <v>16.600000000000001</v>
      </c>
      <c r="I1605">
        <v>16.3</v>
      </c>
      <c r="J1605">
        <v>16.399999999999999</v>
      </c>
      <c r="K1605">
        <v>16.100000000000001</v>
      </c>
      <c r="L1605">
        <v>16.2</v>
      </c>
      <c r="M1605">
        <v>16.2</v>
      </c>
      <c r="N1605">
        <v>16.5</v>
      </c>
      <c r="O1605">
        <v>16.3</v>
      </c>
      <c r="P1605">
        <v>16.399999999999999</v>
      </c>
      <c r="Q1605">
        <v>16.600000000000001</v>
      </c>
      <c r="R1605">
        <v>16.399999999999999</v>
      </c>
      <c r="S1605">
        <f>Tableau1[[#This Row],[Final_time]]-SUM(Tableau1[[#This Row],[0_100m]:[1300_1400m]])</f>
        <v>15.870000000000005</v>
      </c>
      <c r="T1605">
        <v>244.57</v>
      </c>
      <c r="U1605">
        <f t="shared" si="54"/>
        <v>244.57</v>
      </c>
      <c r="V1605">
        <f t="shared" si="55"/>
        <v>0</v>
      </c>
      <c r="X1605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5" t="s">
        <v>1887</v>
      </c>
      <c r="Z1605" s="2" t="s">
        <v>43</v>
      </c>
      <c r="AA1605" s="2"/>
      <c r="AB1605" s="2" t="s">
        <v>65</v>
      </c>
      <c r="AC1605" s="2">
        <v>46173</v>
      </c>
      <c r="AD1605" s="3">
        <v>2026</v>
      </c>
      <c r="AE1605" s="3">
        <v>23</v>
      </c>
      <c r="AF1605" s="5">
        <v>0.77</v>
      </c>
      <c r="AG1605" s="3" t="s">
        <v>71</v>
      </c>
    </row>
    <row r="1606" spans="1:33" hidden="1" x14ac:dyDescent="0.35">
      <c r="A1606" t="str">
        <f>_xlfn.CONCAT(Tableau1[[#This Row],[Athletes]],"_",Tableau1[[#This Row],[Nationality]],"_",Tableau1[[#This Row],[Competition_year]])</f>
        <v>Bérénice CLEYET-MERLE_FRA_2026</v>
      </c>
      <c r="B1606" s="7" t="s">
        <v>1886</v>
      </c>
      <c r="C1606" t="s">
        <v>47</v>
      </c>
      <c r="D1606" s="7" t="s">
        <v>18</v>
      </c>
      <c r="E1606">
        <v>16.8</v>
      </c>
      <c r="F1606">
        <v>16.100000000000001</v>
      </c>
      <c r="G1606">
        <v>16.5</v>
      </c>
      <c r="H1606">
        <v>17.2</v>
      </c>
      <c r="I1606">
        <v>16.100000000000001</v>
      </c>
      <c r="J1606">
        <v>16.2</v>
      </c>
      <c r="K1606">
        <v>15.9</v>
      </c>
      <c r="L1606">
        <v>16.5</v>
      </c>
      <c r="M1606">
        <v>16.3</v>
      </c>
      <c r="N1606">
        <v>16.2</v>
      </c>
      <c r="O1606">
        <v>16.3</v>
      </c>
      <c r="P1606">
        <v>16.2</v>
      </c>
      <c r="Q1606">
        <v>16.3</v>
      </c>
      <c r="R1606">
        <v>16.100000000000001</v>
      </c>
      <c r="S1606">
        <f>Tableau1[[#This Row],[Final_time]]-SUM(Tableau1[[#This Row],[0_100m]:[1300_1400m]])</f>
        <v>16.059999999999974</v>
      </c>
      <c r="T1606">
        <v>244.76</v>
      </c>
      <c r="U1606">
        <f t="shared" si="54"/>
        <v>244.76</v>
      </c>
      <c r="V1606">
        <f t="shared" si="55"/>
        <v>0</v>
      </c>
      <c r="X1606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6" t="s">
        <v>1887</v>
      </c>
      <c r="Z1606" s="2" t="s">
        <v>43</v>
      </c>
      <c r="AA1606" s="2"/>
      <c r="AB1606" s="2" t="s">
        <v>65</v>
      </c>
      <c r="AC1606" s="2">
        <v>46173</v>
      </c>
      <c r="AD1606" s="3">
        <v>2026</v>
      </c>
      <c r="AE1606" s="3">
        <v>23</v>
      </c>
      <c r="AF1606" s="5">
        <v>0.77</v>
      </c>
      <c r="AG1606" s="3" t="s">
        <v>71</v>
      </c>
    </row>
    <row r="1607" spans="1:33" hidden="1" x14ac:dyDescent="0.35">
      <c r="A1607" t="str">
        <f>_xlfn.CONCAT(Tableau1[[#This Row],[Athletes]],"_",Tableau1[[#This Row],[Nationality]],"_",Tableau1[[#This Row],[Competition_year]])</f>
        <v>Soukaina HAJJI_MAR_2026</v>
      </c>
      <c r="B1607" s="7" t="s">
        <v>567</v>
      </c>
      <c r="C1607" t="s">
        <v>47</v>
      </c>
      <c r="D1607" s="7" t="s">
        <v>75</v>
      </c>
      <c r="E1607">
        <v>16.600000000000001</v>
      </c>
      <c r="F1607">
        <v>15.9</v>
      </c>
      <c r="G1607">
        <v>16.399999999999999</v>
      </c>
      <c r="H1607">
        <v>16.7</v>
      </c>
      <c r="I1607">
        <v>16.2</v>
      </c>
      <c r="J1607">
        <v>16.399999999999999</v>
      </c>
      <c r="K1607">
        <v>16.100000000000001</v>
      </c>
      <c r="L1607">
        <v>16.5</v>
      </c>
      <c r="M1607">
        <v>16.7</v>
      </c>
      <c r="N1607">
        <v>16.7</v>
      </c>
      <c r="O1607">
        <v>16.7</v>
      </c>
      <c r="P1607">
        <v>16.7</v>
      </c>
      <c r="Q1607">
        <v>16.100000000000001</v>
      </c>
      <c r="R1607">
        <v>15.7</v>
      </c>
      <c r="S1607">
        <f>Tableau1[[#This Row],[Final_time]]-SUM(Tableau1[[#This Row],[0_100m]:[1300_1400m]])</f>
        <v>15.390000000000072</v>
      </c>
      <c r="T1607">
        <v>244.79</v>
      </c>
      <c r="U1607">
        <f t="shared" si="54"/>
        <v>244.79</v>
      </c>
      <c r="V1607">
        <f t="shared" si="55"/>
        <v>0</v>
      </c>
      <c r="X1607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7" t="s">
        <v>1887</v>
      </c>
      <c r="Z1607" s="2" t="s">
        <v>43</v>
      </c>
      <c r="AA1607" s="2"/>
      <c r="AB1607" s="2" t="s">
        <v>65</v>
      </c>
      <c r="AC1607" s="2">
        <v>46173</v>
      </c>
      <c r="AD1607" s="3">
        <v>2026</v>
      </c>
      <c r="AE1607" s="3">
        <v>23</v>
      </c>
      <c r="AF1607" s="5">
        <v>0.77</v>
      </c>
      <c r="AG1607" s="3" t="s">
        <v>71</v>
      </c>
    </row>
    <row r="1608" spans="1:33" hidden="1" x14ac:dyDescent="0.35">
      <c r="A1608" t="str">
        <f>_xlfn.CONCAT(Tableau1[[#This Row],[Athletes]],"_",Tableau1[[#This Row],[Nationality]],"_",Tableau1[[#This Row],[Competition_year]])</f>
        <v>Samrawit MULUGETA_ETH_2026</v>
      </c>
      <c r="B1608" s="7" t="s">
        <v>1329</v>
      </c>
      <c r="C1608" t="s">
        <v>47</v>
      </c>
      <c r="D1608" s="7" t="s">
        <v>48</v>
      </c>
      <c r="E1608">
        <v>17.100000000000001</v>
      </c>
      <c r="F1608">
        <v>16</v>
      </c>
      <c r="G1608">
        <v>15.8</v>
      </c>
      <c r="H1608">
        <v>16.899999999999999</v>
      </c>
      <c r="I1608">
        <v>16.2</v>
      </c>
      <c r="J1608">
        <v>16.399999999999999</v>
      </c>
      <c r="K1608">
        <v>16.2</v>
      </c>
      <c r="L1608">
        <v>16.5</v>
      </c>
      <c r="M1608">
        <v>16.3</v>
      </c>
      <c r="N1608">
        <v>16.2</v>
      </c>
      <c r="O1608">
        <v>16.600000000000001</v>
      </c>
      <c r="P1608">
        <v>16.8</v>
      </c>
      <c r="Q1608">
        <v>16.600000000000001</v>
      </c>
      <c r="R1608">
        <v>17.5</v>
      </c>
      <c r="S1608">
        <f>Tableau1[[#This Row],[Final_time]]-SUM(Tableau1[[#This Row],[0_100m]:[1300_1400m]])</f>
        <v>17.70999999999998</v>
      </c>
      <c r="T1608">
        <v>248.81</v>
      </c>
      <c r="U1608">
        <f t="shared" si="54"/>
        <v>248.81</v>
      </c>
      <c r="V1608">
        <f t="shared" si="55"/>
        <v>0</v>
      </c>
      <c r="X1608" t="str">
        <f>_xlfn.CONCAT(Tableau1[[#This Row],[Competition]],"_",Tableau1[[#This Row],[Championship_step]],"_",Tableau1[[#This Row],[Competition_date]],"_",Tableau1[[#This Row],[Gender]])</f>
        <v>Diamond League Rabat 2026__46173_Female</v>
      </c>
      <c r="Y1608" t="s">
        <v>1887</v>
      </c>
      <c r="Z1608" s="2" t="s">
        <v>43</v>
      </c>
      <c r="AA1608" s="2"/>
      <c r="AB1608" s="2" t="s">
        <v>65</v>
      </c>
      <c r="AC1608" s="2">
        <v>46173</v>
      </c>
      <c r="AD1608" s="3">
        <v>2026</v>
      </c>
      <c r="AE1608" s="3">
        <v>23</v>
      </c>
      <c r="AF1608" s="5">
        <v>0.77</v>
      </c>
      <c r="AG1608" s="3" t="s">
        <v>71</v>
      </c>
    </row>
    <row r="1609" spans="1:33" hidden="1" x14ac:dyDescent="0.35">
      <c r="A1609" t="str">
        <f>_xlfn.CONCAT(Tableau1[[#This Row],[Athletes]],"_",Tableau1[[#This Row],[Nationality]],"_",Tableau1[[#This Row],[Competition_year]])</f>
        <v>Yared NUGUSE_USA_2026</v>
      </c>
      <c r="B1609" s="7" t="s">
        <v>228</v>
      </c>
      <c r="C1609" t="s">
        <v>16</v>
      </c>
      <c r="D1609" s="7" t="s">
        <v>51</v>
      </c>
      <c r="E1609">
        <v>14</v>
      </c>
      <c r="F1609">
        <v>14.5</v>
      </c>
      <c r="G1609">
        <v>13.8</v>
      </c>
      <c r="H1609">
        <v>14</v>
      </c>
      <c r="I1609">
        <v>14.2</v>
      </c>
      <c r="J1609">
        <v>14.3</v>
      </c>
      <c r="K1609">
        <v>14.6</v>
      </c>
      <c r="L1609">
        <v>14.8</v>
      </c>
      <c r="M1609">
        <v>14.6</v>
      </c>
      <c r="N1609">
        <v>14.3</v>
      </c>
      <c r="O1609">
        <v>13.9</v>
      </c>
      <c r="P1609">
        <v>13.6</v>
      </c>
      <c r="Q1609">
        <v>13.2</v>
      </c>
      <c r="R1609">
        <v>13.2</v>
      </c>
      <c r="S1609">
        <f>Tableau1[[#This Row],[Final_time]]-SUM(Tableau1[[#This Row],[0_100m]:[1300_1400m]])</f>
        <v>13.350000000000023</v>
      </c>
      <c r="T1609">
        <v>210.35</v>
      </c>
      <c r="U1609">
        <f t="shared" ref="U1609:U1623" si="56">SUM(E1609:S1609)</f>
        <v>210.35</v>
      </c>
      <c r="V1609">
        <f t="shared" ref="V1609:V1623" si="57">ABS(U1609-T1609)</f>
        <v>0</v>
      </c>
      <c r="X1609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09" t="s">
        <v>1887</v>
      </c>
      <c r="Z1609" s="2" t="s">
        <v>43</v>
      </c>
      <c r="AA1609" s="2"/>
      <c r="AB1609" s="2" t="s">
        <v>65</v>
      </c>
      <c r="AC1609" s="2">
        <v>46173</v>
      </c>
      <c r="AD1609" s="3">
        <v>2026</v>
      </c>
      <c r="AE1609" s="3">
        <v>23</v>
      </c>
      <c r="AF1609" s="5">
        <v>0.77</v>
      </c>
      <c r="AG1609" s="3" t="s">
        <v>71</v>
      </c>
    </row>
    <row r="1610" spans="1:33" hidden="1" x14ac:dyDescent="0.35">
      <c r="A1610" t="str">
        <f>_xlfn.CONCAT(Tableau1[[#This Row],[Athletes]],"_",Tableau1[[#This Row],[Nationality]],"_",Tableau1[[#This Row],[Competition_year]])</f>
        <v>Isaac NADER_POR_2026</v>
      </c>
      <c r="B1610" s="7" t="s">
        <v>191</v>
      </c>
      <c r="C1610" t="s">
        <v>16</v>
      </c>
      <c r="D1610" s="7" t="s">
        <v>33</v>
      </c>
      <c r="E1610">
        <v>13.6</v>
      </c>
      <c r="F1610">
        <v>14.3</v>
      </c>
      <c r="G1610">
        <v>14.3</v>
      </c>
      <c r="H1610">
        <v>13.9</v>
      </c>
      <c r="I1610">
        <v>14.2</v>
      </c>
      <c r="J1610">
        <v>14.4</v>
      </c>
      <c r="K1610">
        <v>14.6</v>
      </c>
      <c r="L1610">
        <v>14.8</v>
      </c>
      <c r="M1610">
        <v>14.8</v>
      </c>
      <c r="N1610">
        <v>14.6</v>
      </c>
      <c r="O1610">
        <v>13.9</v>
      </c>
      <c r="P1610">
        <v>13.5</v>
      </c>
      <c r="Q1610">
        <v>13.3</v>
      </c>
      <c r="R1610">
        <v>13</v>
      </c>
      <c r="S1610">
        <f>Tableau1[[#This Row],[Final_time]]-SUM(Tableau1[[#This Row],[0_100m]:[1300_1400m]])</f>
        <v>13.22999999999999</v>
      </c>
      <c r="T1610">
        <v>210.43</v>
      </c>
      <c r="U1610">
        <f t="shared" si="56"/>
        <v>210.43</v>
      </c>
      <c r="V1610">
        <f t="shared" si="57"/>
        <v>0</v>
      </c>
      <c r="X1610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0" t="s">
        <v>1887</v>
      </c>
      <c r="Z1610" s="2" t="s">
        <v>43</v>
      </c>
      <c r="AA1610" s="2"/>
      <c r="AB1610" s="2" t="s">
        <v>65</v>
      </c>
      <c r="AC1610" s="2">
        <v>46173</v>
      </c>
      <c r="AD1610" s="3">
        <v>2026</v>
      </c>
      <c r="AE1610" s="3">
        <v>23</v>
      </c>
      <c r="AF1610" s="5">
        <v>0.77</v>
      </c>
      <c r="AG1610" s="3" t="s">
        <v>71</v>
      </c>
    </row>
    <row r="1611" spans="1:33" hidden="1" x14ac:dyDescent="0.35">
      <c r="A1611" t="str">
        <f>_xlfn.CONCAT(Tableau1[[#This Row],[Athletes]],"_",Tableau1[[#This Row],[Nationality]],"_",Tableau1[[#This Row],[Competition_year]])</f>
        <v>Azeddine HABZ_FRA_2026</v>
      </c>
      <c r="B1611" s="7" t="s">
        <v>218</v>
      </c>
      <c r="C1611" t="s">
        <v>16</v>
      </c>
      <c r="D1611" s="7" t="s">
        <v>18</v>
      </c>
      <c r="E1611">
        <v>13.9</v>
      </c>
      <c r="F1611">
        <v>14.8</v>
      </c>
      <c r="G1611">
        <v>13.8</v>
      </c>
      <c r="H1611">
        <v>14.1</v>
      </c>
      <c r="I1611">
        <v>14.1</v>
      </c>
      <c r="J1611">
        <v>14.3</v>
      </c>
      <c r="K1611">
        <v>14.6</v>
      </c>
      <c r="L1611">
        <v>14.8</v>
      </c>
      <c r="M1611">
        <v>14.7</v>
      </c>
      <c r="N1611">
        <v>14.3</v>
      </c>
      <c r="O1611">
        <v>13.9</v>
      </c>
      <c r="P1611">
        <v>13.5</v>
      </c>
      <c r="Q1611">
        <v>13.3</v>
      </c>
      <c r="R1611">
        <v>13.1</v>
      </c>
      <c r="S1611">
        <f>Tableau1[[#This Row],[Final_time]]-SUM(Tableau1[[#This Row],[0_100m]:[1300_1400m]])</f>
        <v>13.47999999999999</v>
      </c>
      <c r="T1611">
        <v>210.68</v>
      </c>
      <c r="U1611">
        <f t="shared" si="56"/>
        <v>210.68</v>
      </c>
      <c r="V1611">
        <f t="shared" si="57"/>
        <v>0</v>
      </c>
      <c r="X1611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1" t="s">
        <v>1887</v>
      </c>
      <c r="Z1611" s="2" t="s">
        <v>43</v>
      </c>
      <c r="AA1611" s="2"/>
      <c r="AB1611" s="2" t="s">
        <v>65</v>
      </c>
      <c r="AC1611" s="2">
        <v>46173</v>
      </c>
      <c r="AD1611" s="3">
        <v>2026</v>
      </c>
      <c r="AE1611" s="3">
        <v>23</v>
      </c>
      <c r="AF1611" s="5">
        <v>0.77</v>
      </c>
      <c r="AG1611" s="3" t="s">
        <v>71</v>
      </c>
    </row>
    <row r="1612" spans="1:33" hidden="1" x14ac:dyDescent="0.35">
      <c r="A1612" t="str">
        <f>_xlfn.CONCAT(Tableau1[[#This Row],[Athletes]],"_",Tableau1[[#This Row],[Nationality]],"_",Tableau1[[#This Row],[Competition_year]])</f>
        <v>Vincent CIATTEI_USA_2026</v>
      </c>
      <c r="B1612" s="7" t="s">
        <v>363</v>
      </c>
      <c r="C1612" t="s">
        <v>16</v>
      </c>
      <c r="D1612" s="7" t="s">
        <v>51</v>
      </c>
      <c r="E1612">
        <v>13.7</v>
      </c>
      <c r="F1612">
        <v>14.3</v>
      </c>
      <c r="G1612">
        <v>14.3</v>
      </c>
      <c r="H1612">
        <v>14</v>
      </c>
      <c r="I1612">
        <v>14.2</v>
      </c>
      <c r="J1612">
        <v>14.4</v>
      </c>
      <c r="K1612">
        <v>14.5</v>
      </c>
      <c r="L1612">
        <v>14.8</v>
      </c>
      <c r="M1612">
        <v>14.9</v>
      </c>
      <c r="N1612">
        <v>14.6</v>
      </c>
      <c r="O1612">
        <v>13.9</v>
      </c>
      <c r="P1612">
        <v>13.6</v>
      </c>
      <c r="Q1612">
        <v>13.2</v>
      </c>
      <c r="R1612">
        <v>13</v>
      </c>
      <c r="S1612">
        <f>Tableau1[[#This Row],[Final_time]]-SUM(Tableau1[[#This Row],[0_100m]:[1300_1400m]])</f>
        <v>13.500000000000028</v>
      </c>
      <c r="T1612">
        <v>210.9</v>
      </c>
      <c r="U1612">
        <f t="shared" si="56"/>
        <v>210.9</v>
      </c>
      <c r="V1612">
        <f t="shared" si="57"/>
        <v>0</v>
      </c>
      <c r="X1612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2" t="s">
        <v>1887</v>
      </c>
      <c r="Z1612" s="2" t="s">
        <v>43</v>
      </c>
      <c r="AA1612" s="2"/>
      <c r="AB1612" s="2" t="s">
        <v>65</v>
      </c>
      <c r="AC1612" s="2">
        <v>46173</v>
      </c>
      <c r="AD1612" s="3">
        <v>2026</v>
      </c>
      <c r="AE1612" s="3">
        <v>23</v>
      </c>
      <c r="AF1612" s="5">
        <v>0.77</v>
      </c>
      <c r="AG1612" s="3" t="s">
        <v>71</v>
      </c>
    </row>
    <row r="1613" spans="1:33" hidden="1" x14ac:dyDescent="0.35">
      <c r="A1613" t="str">
        <f>_xlfn.CONCAT(Tableau1[[#This Row],[Athletes]],"_",Tableau1[[#This Row],[Nationality]],"_",Tableau1[[#This Row],[Competition_year]])</f>
        <v>Tshepo TSHITE_RSA_2026</v>
      </c>
      <c r="B1613" s="7" t="s">
        <v>201</v>
      </c>
      <c r="C1613" t="s">
        <v>16</v>
      </c>
      <c r="D1613" s="7" t="s">
        <v>36</v>
      </c>
      <c r="E1613">
        <v>13.7</v>
      </c>
      <c r="F1613">
        <v>14.4</v>
      </c>
      <c r="G1613">
        <v>14.4</v>
      </c>
      <c r="H1613">
        <v>14.3</v>
      </c>
      <c r="I1613">
        <v>14.1</v>
      </c>
      <c r="J1613">
        <v>14.1</v>
      </c>
      <c r="K1613">
        <v>14.8</v>
      </c>
      <c r="L1613">
        <v>14.7</v>
      </c>
      <c r="M1613">
        <v>14.8</v>
      </c>
      <c r="N1613">
        <v>14.6</v>
      </c>
      <c r="O1613">
        <v>13.9</v>
      </c>
      <c r="P1613">
        <v>13.5</v>
      </c>
      <c r="Q1613">
        <v>13.3</v>
      </c>
      <c r="R1613">
        <v>12.9</v>
      </c>
      <c r="S1613">
        <f>Tableau1[[#This Row],[Final_time]]-SUM(Tableau1[[#This Row],[0_100m]:[1300_1400m]])</f>
        <v>14.030000000000001</v>
      </c>
      <c r="T1613">
        <v>211.53</v>
      </c>
      <c r="U1613">
        <f t="shared" si="56"/>
        <v>211.53</v>
      </c>
      <c r="V1613">
        <f t="shared" si="57"/>
        <v>0</v>
      </c>
      <c r="X1613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3" t="s">
        <v>1887</v>
      </c>
      <c r="Z1613" s="2" t="s">
        <v>43</v>
      </c>
      <c r="AA1613" s="2"/>
      <c r="AB1613" s="2" t="s">
        <v>65</v>
      </c>
      <c r="AC1613" s="2">
        <v>46173</v>
      </c>
      <c r="AD1613" s="3">
        <v>2026</v>
      </c>
      <c r="AE1613" s="3">
        <v>23</v>
      </c>
      <c r="AF1613" s="5">
        <v>0.77</v>
      </c>
      <c r="AG1613" s="3" t="s">
        <v>71</v>
      </c>
    </row>
    <row r="1614" spans="1:33" hidden="1" x14ac:dyDescent="0.35">
      <c r="A1614" t="str">
        <f>_xlfn.CONCAT(Tableau1[[#This Row],[Athletes]],"_",Tableau1[[#This Row],[Nationality]],"_",Tableau1[[#This Row],[Competition_year]])</f>
        <v>Andrew COSCORAN_IRL_2026</v>
      </c>
      <c r="B1614" s="7" t="s">
        <v>232</v>
      </c>
      <c r="C1614" t="s">
        <v>16</v>
      </c>
      <c r="D1614" s="7" t="s">
        <v>35</v>
      </c>
      <c r="E1614">
        <v>13.7</v>
      </c>
      <c r="F1614">
        <v>14.3</v>
      </c>
      <c r="G1614">
        <v>14.5</v>
      </c>
      <c r="H1614">
        <v>14.3</v>
      </c>
      <c r="I1614">
        <v>14.2</v>
      </c>
      <c r="J1614">
        <v>14.3</v>
      </c>
      <c r="K1614">
        <v>14.6</v>
      </c>
      <c r="L1614">
        <v>14.8</v>
      </c>
      <c r="M1614">
        <v>14.7</v>
      </c>
      <c r="N1614">
        <v>14.6</v>
      </c>
      <c r="O1614">
        <v>14</v>
      </c>
      <c r="P1614">
        <v>14.1</v>
      </c>
      <c r="Q1614">
        <v>13.8</v>
      </c>
      <c r="R1614">
        <v>13.1</v>
      </c>
      <c r="S1614">
        <f>Tableau1[[#This Row],[Final_time]]-SUM(Tableau1[[#This Row],[0_100m]:[1300_1400m]])</f>
        <v>12.650000000000034</v>
      </c>
      <c r="T1614">
        <v>211.65</v>
      </c>
      <c r="U1614">
        <f t="shared" si="56"/>
        <v>211.65</v>
      </c>
      <c r="V1614">
        <f t="shared" si="57"/>
        <v>0</v>
      </c>
      <c r="X1614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4" t="s">
        <v>1887</v>
      </c>
      <c r="Z1614" s="2" t="s">
        <v>43</v>
      </c>
      <c r="AA1614" s="2"/>
      <c r="AB1614" s="2" t="s">
        <v>65</v>
      </c>
      <c r="AC1614" s="2">
        <v>46173</v>
      </c>
      <c r="AD1614" s="3">
        <v>2026</v>
      </c>
      <c r="AE1614" s="3">
        <v>23</v>
      </c>
      <c r="AF1614" s="5">
        <v>0.77</v>
      </c>
      <c r="AG1614" s="3" t="s">
        <v>71</v>
      </c>
    </row>
    <row r="1615" spans="1:33" hidden="1" x14ac:dyDescent="0.35">
      <c r="A1615" t="str">
        <f>_xlfn.CONCAT(Tableau1[[#This Row],[Athletes]],"_",Tableau1[[#This Row],[Nationality]],"_",Tableau1[[#This Row],[Competition_year]])</f>
        <v>Reynold CHERUIYOT_KEN_2026</v>
      </c>
      <c r="B1615" s="7" t="s">
        <v>1192</v>
      </c>
      <c r="C1615" t="s">
        <v>16</v>
      </c>
      <c r="D1615" s="7" t="s">
        <v>17</v>
      </c>
      <c r="E1615">
        <v>13.8</v>
      </c>
      <c r="F1615">
        <v>14.6</v>
      </c>
      <c r="G1615">
        <v>14.5</v>
      </c>
      <c r="H1615">
        <v>14.2</v>
      </c>
      <c r="I1615">
        <v>14.2</v>
      </c>
      <c r="J1615">
        <v>14</v>
      </c>
      <c r="K1615">
        <v>14.6</v>
      </c>
      <c r="L1615">
        <v>14.7</v>
      </c>
      <c r="M1615">
        <v>14.8</v>
      </c>
      <c r="N1615">
        <v>14.9</v>
      </c>
      <c r="O1615">
        <v>14.3</v>
      </c>
      <c r="P1615">
        <v>13.9</v>
      </c>
      <c r="Q1615">
        <v>13.2</v>
      </c>
      <c r="R1615">
        <v>13.2</v>
      </c>
      <c r="S1615">
        <f>Tableau1[[#This Row],[Final_time]]-SUM(Tableau1[[#This Row],[0_100m]:[1300_1400m]])</f>
        <v>13.099999999999994</v>
      </c>
      <c r="T1615">
        <v>212</v>
      </c>
      <c r="U1615">
        <f t="shared" si="56"/>
        <v>212</v>
      </c>
      <c r="V1615">
        <f t="shared" si="57"/>
        <v>0</v>
      </c>
      <c r="X1615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5" t="s">
        <v>1887</v>
      </c>
      <c r="Z1615" s="2" t="s">
        <v>43</v>
      </c>
      <c r="AA1615" s="2"/>
      <c r="AB1615" s="2" t="s">
        <v>65</v>
      </c>
      <c r="AC1615" s="2">
        <v>46173</v>
      </c>
      <c r="AD1615" s="3">
        <v>2026</v>
      </c>
      <c r="AE1615" s="3">
        <v>23</v>
      </c>
      <c r="AF1615" s="5">
        <v>0.77</v>
      </c>
      <c r="AG1615" s="3" t="s">
        <v>71</v>
      </c>
    </row>
    <row r="1616" spans="1:33" hidden="1" x14ac:dyDescent="0.35">
      <c r="A1616" t="str">
        <f>_xlfn.CONCAT(Tableau1[[#This Row],[Athletes]],"_",Tableau1[[#This Row],[Nationality]],"_",Tableau1[[#This Row],[Competition_year]])</f>
        <v>Fouad MESSAOUDI_MAR_2026</v>
      </c>
      <c r="B1616" s="7" t="s">
        <v>1374</v>
      </c>
      <c r="C1616" t="s">
        <v>16</v>
      </c>
      <c r="D1616" s="7" t="s">
        <v>75</v>
      </c>
      <c r="E1616">
        <v>13.9</v>
      </c>
      <c r="F1616">
        <v>14.3</v>
      </c>
      <c r="G1616">
        <v>14.5</v>
      </c>
      <c r="H1616">
        <v>14.3</v>
      </c>
      <c r="I1616">
        <v>14.2</v>
      </c>
      <c r="J1616">
        <v>14.3</v>
      </c>
      <c r="K1616">
        <v>14.5</v>
      </c>
      <c r="L1616">
        <v>14.8</v>
      </c>
      <c r="M1616">
        <v>14.8</v>
      </c>
      <c r="N1616">
        <v>14.8</v>
      </c>
      <c r="O1616">
        <v>13.9</v>
      </c>
      <c r="P1616">
        <v>14</v>
      </c>
      <c r="Q1616">
        <v>13.2</v>
      </c>
      <c r="R1616">
        <v>13.2</v>
      </c>
      <c r="S1616">
        <f>Tableau1[[#This Row],[Final_time]]-SUM(Tableau1[[#This Row],[0_100m]:[1300_1400m]])</f>
        <v>13.410000000000025</v>
      </c>
      <c r="T1616">
        <v>212.11</v>
      </c>
      <c r="U1616">
        <f t="shared" si="56"/>
        <v>212.11</v>
      </c>
      <c r="V1616">
        <f t="shared" si="57"/>
        <v>0</v>
      </c>
      <c r="X1616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6" t="s">
        <v>1887</v>
      </c>
      <c r="Z1616" s="2" t="s">
        <v>43</v>
      </c>
      <c r="AA1616" s="2"/>
      <c r="AB1616" s="2" t="s">
        <v>65</v>
      </c>
      <c r="AC1616" s="2">
        <v>46173</v>
      </c>
      <c r="AD1616" s="3">
        <v>2026</v>
      </c>
      <c r="AE1616" s="3">
        <v>23</v>
      </c>
      <c r="AF1616" s="5">
        <v>0.77</v>
      </c>
      <c r="AG1616" s="3" t="s">
        <v>71</v>
      </c>
    </row>
    <row r="1617" spans="1:33" hidden="1" x14ac:dyDescent="0.35">
      <c r="A1617" t="str">
        <f>_xlfn.CONCAT(Tableau1[[#This Row],[Athletes]],"_",Tableau1[[#This Row],[Nationality]],"_",Tableau1[[#This Row],[Competition_year]])</f>
        <v>Anass ESSAYI_MAR_2026</v>
      </c>
      <c r="B1617" s="7" t="s">
        <v>259</v>
      </c>
      <c r="C1617" t="s">
        <v>16</v>
      </c>
      <c r="D1617" s="7" t="s">
        <v>75</v>
      </c>
      <c r="E1617">
        <v>13.9</v>
      </c>
      <c r="F1617">
        <v>14.5</v>
      </c>
      <c r="G1617">
        <v>14.6</v>
      </c>
      <c r="H1617">
        <v>14.5</v>
      </c>
      <c r="I1617">
        <v>14.2</v>
      </c>
      <c r="J1617">
        <v>14.1</v>
      </c>
      <c r="K1617">
        <v>14.2</v>
      </c>
      <c r="L1617">
        <v>14.8</v>
      </c>
      <c r="M1617">
        <v>14.8</v>
      </c>
      <c r="N1617">
        <v>14.6</v>
      </c>
      <c r="O1617">
        <v>14</v>
      </c>
      <c r="P1617">
        <v>13.6</v>
      </c>
      <c r="Q1617">
        <v>13.1</v>
      </c>
      <c r="R1617">
        <v>13.3</v>
      </c>
      <c r="S1617">
        <f>Tableau1[[#This Row],[Final_time]]-SUM(Tableau1[[#This Row],[0_100m]:[1300_1400m]])</f>
        <v>14.030000000000001</v>
      </c>
      <c r="T1617">
        <v>212.23</v>
      </c>
      <c r="U1617">
        <f t="shared" si="56"/>
        <v>212.23</v>
      </c>
      <c r="V1617">
        <f t="shared" si="57"/>
        <v>0</v>
      </c>
      <c r="X1617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7" t="s">
        <v>1887</v>
      </c>
      <c r="Z1617" s="2" t="s">
        <v>43</v>
      </c>
      <c r="AA1617" s="2"/>
      <c r="AB1617" s="2" t="s">
        <v>65</v>
      </c>
      <c r="AC1617" s="2">
        <v>46173</v>
      </c>
      <c r="AD1617" s="3">
        <v>2026</v>
      </c>
      <c r="AE1617" s="3">
        <v>23</v>
      </c>
      <c r="AF1617" s="5">
        <v>0.77</v>
      </c>
      <c r="AG1617" s="3" t="s">
        <v>71</v>
      </c>
    </row>
    <row r="1618" spans="1:33" hidden="1" x14ac:dyDescent="0.35">
      <c r="A1618" t="str">
        <f>_xlfn.CONCAT(Tableau1[[#This Row],[Athletes]],"_",Tableau1[[#This Row],[Nationality]],"_",Tableau1[[#This Row],[Competition_year]])</f>
        <v>Flavien SZOT_FRA_2026</v>
      </c>
      <c r="B1618" s="7" t="s">
        <v>1355</v>
      </c>
      <c r="C1618" t="s">
        <v>16</v>
      </c>
      <c r="D1618" s="7" t="s">
        <v>18</v>
      </c>
      <c r="E1618">
        <v>13.9</v>
      </c>
      <c r="F1618">
        <v>14.6</v>
      </c>
      <c r="G1618">
        <v>14.5</v>
      </c>
      <c r="H1618">
        <v>14.5</v>
      </c>
      <c r="I1618">
        <v>14.1</v>
      </c>
      <c r="J1618">
        <v>14.1</v>
      </c>
      <c r="K1618">
        <v>14.7</v>
      </c>
      <c r="L1618">
        <v>14.7</v>
      </c>
      <c r="M1618">
        <v>14.2</v>
      </c>
      <c r="N1618">
        <v>14.8</v>
      </c>
      <c r="O1618">
        <v>13.8</v>
      </c>
      <c r="P1618">
        <v>13.7</v>
      </c>
      <c r="Q1618">
        <v>13.5</v>
      </c>
      <c r="R1618">
        <v>13.6</v>
      </c>
      <c r="S1618">
        <f>Tableau1[[#This Row],[Final_time]]-SUM(Tableau1[[#This Row],[0_100m]:[1300_1400m]])</f>
        <v>13.54000000000002</v>
      </c>
      <c r="T1618">
        <v>212.24</v>
      </c>
      <c r="U1618">
        <f t="shared" si="56"/>
        <v>212.24</v>
      </c>
      <c r="V1618">
        <f t="shared" si="57"/>
        <v>0</v>
      </c>
      <c r="X1618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8" t="s">
        <v>1887</v>
      </c>
      <c r="Z1618" s="2" t="s">
        <v>43</v>
      </c>
      <c r="AA1618" s="2"/>
      <c r="AB1618" s="2" t="s">
        <v>65</v>
      </c>
      <c r="AC1618" s="2">
        <v>46173</v>
      </c>
      <c r="AD1618" s="3">
        <v>2026</v>
      </c>
      <c r="AE1618" s="3">
        <v>23</v>
      </c>
      <c r="AF1618" s="5">
        <v>0.77</v>
      </c>
      <c r="AG1618" s="3" t="s">
        <v>71</v>
      </c>
    </row>
    <row r="1619" spans="1:33" hidden="1" x14ac:dyDescent="0.35">
      <c r="A1619" t="str">
        <f>_xlfn.CONCAT(Tableau1[[#This Row],[Athletes]],"_",Tableau1[[#This Row],[Nationality]],"_",Tableau1[[#This Row],[Competition_year]])</f>
        <v>Ruben VERHEYDEN_BEL_2026</v>
      </c>
      <c r="B1619" s="7" t="s">
        <v>204</v>
      </c>
      <c r="C1619" t="s">
        <v>16</v>
      </c>
      <c r="D1619" s="7" t="s">
        <v>86</v>
      </c>
      <c r="E1619">
        <v>13.8</v>
      </c>
      <c r="F1619">
        <v>14.6</v>
      </c>
      <c r="G1619">
        <v>14.5</v>
      </c>
      <c r="H1619">
        <v>14.4</v>
      </c>
      <c r="I1619">
        <v>14.1</v>
      </c>
      <c r="J1619">
        <v>14.4</v>
      </c>
      <c r="K1619">
        <v>14.4</v>
      </c>
      <c r="L1619">
        <v>14.8</v>
      </c>
      <c r="M1619">
        <v>14.7</v>
      </c>
      <c r="N1619">
        <v>14.8</v>
      </c>
      <c r="O1619">
        <v>13.8</v>
      </c>
      <c r="P1619">
        <v>13.7</v>
      </c>
      <c r="Q1619">
        <v>13.1</v>
      </c>
      <c r="R1619">
        <v>13.3</v>
      </c>
      <c r="S1619">
        <f>Tableau1[[#This Row],[Final_time]]-SUM(Tableau1[[#This Row],[0_100m]:[1300_1400m]])</f>
        <v>13.97999999999999</v>
      </c>
      <c r="T1619">
        <v>212.38</v>
      </c>
      <c r="U1619">
        <f t="shared" si="56"/>
        <v>212.38</v>
      </c>
      <c r="V1619">
        <f t="shared" si="57"/>
        <v>0</v>
      </c>
      <c r="X1619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19" t="s">
        <v>1887</v>
      </c>
      <c r="Z1619" s="2" t="s">
        <v>43</v>
      </c>
      <c r="AA1619" s="2"/>
      <c r="AB1619" s="2" t="s">
        <v>65</v>
      </c>
      <c r="AC1619" s="2">
        <v>46173</v>
      </c>
      <c r="AD1619" s="3">
        <v>2026</v>
      </c>
      <c r="AE1619" s="3">
        <v>23</v>
      </c>
      <c r="AF1619" s="5">
        <v>0.77</v>
      </c>
      <c r="AG1619" s="3" t="s">
        <v>71</v>
      </c>
    </row>
    <row r="1620" spans="1:33" hidden="1" x14ac:dyDescent="0.35">
      <c r="A1620" t="str">
        <f>_xlfn.CONCAT(Tableau1[[#This Row],[Athletes]],"_",Tableau1[[#This Row],[Nationality]],"_",Tableau1[[#This Row],[Competition_year]])</f>
        <v>Narve Gilje NORDÅS_NOR_2026</v>
      </c>
      <c r="B1620" s="7" t="s">
        <v>217</v>
      </c>
      <c r="C1620" t="s">
        <v>16</v>
      </c>
      <c r="D1620" s="7" t="s">
        <v>30</v>
      </c>
      <c r="E1620">
        <v>14.1</v>
      </c>
      <c r="F1620">
        <v>14.7</v>
      </c>
      <c r="G1620">
        <v>13.9</v>
      </c>
      <c r="H1620">
        <v>14.9</v>
      </c>
      <c r="I1620">
        <v>14.3</v>
      </c>
      <c r="J1620">
        <v>14.2</v>
      </c>
      <c r="K1620">
        <v>14.4</v>
      </c>
      <c r="L1620">
        <v>14.7</v>
      </c>
      <c r="M1620">
        <v>14.7</v>
      </c>
      <c r="N1620">
        <v>14.8</v>
      </c>
      <c r="O1620">
        <v>14.1</v>
      </c>
      <c r="P1620">
        <v>14</v>
      </c>
      <c r="Q1620">
        <v>13.6</v>
      </c>
      <c r="R1620">
        <v>13.6</v>
      </c>
      <c r="S1620">
        <f>Tableau1[[#This Row],[Final_time]]-SUM(Tableau1[[#This Row],[0_100m]:[1300_1400m]])</f>
        <v>13.449999999999989</v>
      </c>
      <c r="T1620">
        <v>213.45</v>
      </c>
      <c r="U1620">
        <f t="shared" si="56"/>
        <v>213.45</v>
      </c>
      <c r="V1620">
        <f t="shared" si="57"/>
        <v>0</v>
      </c>
      <c r="X1620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20" t="s">
        <v>1887</v>
      </c>
      <c r="Z1620" s="2" t="s">
        <v>43</v>
      </c>
      <c r="AA1620" s="2"/>
      <c r="AB1620" s="2" t="s">
        <v>65</v>
      </c>
      <c r="AC1620" s="2">
        <v>46173</v>
      </c>
      <c r="AD1620" s="3">
        <v>2026</v>
      </c>
      <c r="AE1620" s="3">
        <v>23</v>
      </c>
      <c r="AF1620" s="5">
        <v>0.77</v>
      </c>
      <c r="AG1620" s="3" t="s">
        <v>71</v>
      </c>
    </row>
    <row r="1621" spans="1:33" hidden="1" x14ac:dyDescent="0.35">
      <c r="A1621" t="str">
        <f>_xlfn.CONCAT(Tableau1[[#This Row],[Athletes]],"_",Tableau1[[#This Row],[Nationality]],"_",Tableau1[[#This Row],[Competition_year]])</f>
        <v>Festus LAGAT_KEN_2026</v>
      </c>
      <c r="B1621" s="7" t="s">
        <v>1354</v>
      </c>
      <c r="C1621" t="s">
        <v>16</v>
      </c>
      <c r="D1621" s="7" t="s">
        <v>17</v>
      </c>
      <c r="E1621">
        <v>13.7</v>
      </c>
      <c r="F1621">
        <v>14.5</v>
      </c>
      <c r="G1621">
        <v>14.5</v>
      </c>
      <c r="H1621">
        <v>14.2</v>
      </c>
      <c r="I1621">
        <v>14.1</v>
      </c>
      <c r="J1621">
        <v>14.3</v>
      </c>
      <c r="K1621">
        <v>14.4</v>
      </c>
      <c r="L1621">
        <v>14.8</v>
      </c>
      <c r="M1621">
        <v>14.9</v>
      </c>
      <c r="N1621">
        <v>14.8</v>
      </c>
      <c r="O1621">
        <v>14.3</v>
      </c>
      <c r="P1621">
        <v>14.1</v>
      </c>
      <c r="Q1621">
        <v>13.6</v>
      </c>
      <c r="R1621">
        <v>13.6</v>
      </c>
      <c r="S1621">
        <f>Tableau1[[#This Row],[Final_time]]-SUM(Tableau1[[#This Row],[0_100m]:[1300_1400m]])</f>
        <v>13.859999999999985</v>
      </c>
      <c r="T1621">
        <v>213.66</v>
      </c>
      <c r="U1621">
        <f t="shared" si="56"/>
        <v>213.66</v>
      </c>
      <c r="V1621">
        <f t="shared" si="57"/>
        <v>0</v>
      </c>
      <c r="X1621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21" t="s">
        <v>1887</v>
      </c>
      <c r="Z1621" s="2" t="s">
        <v>43</v>
      </c>
      <c r="AA1621" s="2"/>
      <c r="AB1621" s="2" t="s">
        <v>65</v>
      </c>
      <c r="AC1621" s="2">
        <v>46173</v>
      </c>
      <c r="AD1621" s="3">
        <v>2026</v>
      </c>
      <c r="AE1621" s="3">
        <v>23</v>
      </c>
      <c r="AF1621" s="5">
        <v>0.77</v>
      </c>
      <c r="AG1621" s="3" t="s">
        <v>71</v>
      </c>
    </row>
    <row r="1622" spans="1:33" hidden="1" x14ac:dyDescent="0.35">
      <c r="A1622" t="str">
        <f>_xlfn.CONCAT(Tableau1[[#This Row],[Athletes]],"_",Tableau1[[#This Row],[Nationality]],"_",Tableau1[[#This Row],[Competition_year]])</f>
        <v>José Carlos PINTO_POR_2026</v>
      </c>
      <c r="B1622" s="7" t="s">
        <v>1384</v>
      </c>
      <c r="C1622" t="s">
        <v>16</v>
      </c>
      <c r="D1622" s="7" t="s">
        <v>33</v>
      </c>
      <c r="E1622">
        <v>13.9</v>
      </c>
      <c r="F1622">
        <v>14.7</v>
      </c>
      <c r="G1622">
        <v>14.3</v>
      </c>
      <c r="H1622">
        <v>14.4</v>
      </c>
      <c r="I1622">
        <v>14.2</v>
      </c>
      <c r="J1622">
        <v>13.9</v>
      </c>
      <c r="K1622">
        <v>14.8</v>
      </c>
      <c r="L1622">
        <v>14.7</v>
      </c>
      <c r="M1622">
        <v>14.3</v>
      </c>
      <c r="N1622">
        <v>14.7</v>
      </c>
      <c r="O1622">
        <v>14.3</v>
      </c>
      <c r="P1622">
        <v>14.1</v>
      </c>
      <c r="Q1622">
        <v>13.7</v>
      </c>
      <c r="R1622">
        <v>13.6</v>
      </c>
      <c r="S1622">
        <f>Tableau1[[#This Row],[Final_time]]-SUM(Tableau1[[#This Row],[0_100m]:[1300_1400m]])</f>
        <v>14.340000000000003</v>
      </c>
      <c r="T1622">
        <v>213.94</v>
      </c>
      <c r="U1622">
        <f t="shared" si="56"/>
        <v>213.94</v>
      </c>
      <c r="V1622">
        <f t="shared" si="57"/>
        <v>0</v>
      </c>
      <c r="X1622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22" t="s">
        <v>1887</v>
      </c>
      <c r="Z1622" s="2" t="s">
        <v>43</v>
      </c>
      <c r="AA1622" s="2"/>
      <c r="AB1622" s="2" t="s">
        <v>65</v>
      </c>
      <c r="AC1622" s="2">
        <v>46173</v>
      </c>
      <c r="AD1622" s="3">
        <v>2026</v>
      </c>
      <c r="AE1622" s="3">
        <v>23</v>
      </c>
      <c r="AF1622" s="5">
        <v>0.77</v>
      </c>
      <c r="AG1622" s="3" t="s">
        <v>71</v>
      </c>
    </row>
    <row r="1623" spans="1:33" hidden="1" x14ac:dyDescent="0.35">
      <c r="A1623" t="str">
        <f>_xlfn.CONCAT(Tableau1[[#This Row],[Athletes]],"_",Tableau1[[#This Row],[Nationality]],"_",Tableau1[[#This Row],[Competition_year]])</f>
        <v>Elliot GILES_GBR_2026</v>
      </c>
      <c r="B1623" s="7" t="s">
        <v>231</v>
      </c>
      <c r="C1623" t="s">
        <v>16</v>
      </c>
      <c r="D1623" s="7" t="s">
        <v>20</v>
      </c>
      <c r="E1623">
        <v>13.5</v>
      </c>
      <c r="F1623">
        <v>14.2</v>
      </c>
      <c r="G1623">
        <v>14.3</v>
      </c>
      <c r="H1623">
        <v>14</v>
      </c>
      <c r="I1623">
        <v>14.2</v>
      </c>
      <c r="J1623">
        <v>14.3</v>
      </c>
      <c r="K1623">
        <v>14.6</v>
      </c>
      <c r="L1623">
        <v>14.9</v>
      </c>
      <c r="M1623">
        <v>14.9</v>
      </c>
      <c r="N1623">
        <v>14.8</v>
      </c>
      <c r="O1623">
        <v>14.1</v>
      </c>
      <c r="P1623">
        <v>14.3</v>
      </c>
      <c r="Q1623">
        <v>15.1</v>
      </c>
      <c r="R1623">
        <v>16.3</v>
      </c>
      <c r="S1623">
        <f>Tableau1[[#This Row],[Final_time]]-SUM(Tableau1[[#This Row],[0_100m]:[1300_1400m]])</f>
        <v>18.909999999999968</v>
      </c>
      <c r="T1623">
        <v>222.41</v>
      </c>
      <c r="U1623">
        <f t="shared" si="56"/>
        <v>222.41</v>
      </c>
      <c r="V1623">
        <f t="shared" si="57"/>
        <v>0</v>
      </c>
      <c r="X1623" t="str">
        <f>_xlfn.CONCAT(Tableau1[[#This Row],[Competition]],"_",Tableau1[[#This Row],[Championship_step]],"_",Tableau1[[#This Row],[Competition_date]],"_",Tableau1[[#This Row],[Gender]])</f>
        <v>Diamond League Rabat 2026__46173_Male</v>
      </c>
      <c r="Y1623" t="s">
        <v>1887</v>
      </c>
      <c r="Z1623" s="2" t="s">
        <v>43</v>
      </c>
      <c r="AA1623" s="2"/>
      <c r="AB1623" s="2" t="s">
        <v>65</v>
      </c>
      <c r="AC1623" s="2">
        <v>46173</v>
      </c>
      <c r="AD1623" s="3">
        <v>2026</v>
      </c>
      <c r="AE1623" s="3">
        <v>23</v>
      </c>
      <c r="AF1623" s="5">
        <v>0.77</v>
      </c>
      <c r="AG1623" s="3" t="s">
        <v>71</v>
      </c>
    </row>
    <row r="1624" spans="1:33" hidden="1" x14ac:dyDescent="0.35">
      <c r="A1624" t="str">
        <f>_xlfn.CONCAT(Tableau1[[#This Row],[Athletes]],"_",Tableau1[[#This Row],[Nationality]],"_",Tableau1[[#This Row],[Competition_year]])</f>
        <v>Birke HAYLOM_ETH_2026</v>
      </c>
      <c r="B1624" s="7" t="s">
        <v>179</v>
      </c>
      <c r="C1624" t="s">
        <v>47</v>
      </c>
      <c r="D1624" s="7" t="s">
        <v>48</v>
      </c>
      <c r="E1624">
        <v>15.5</v>
      </c>
      <c r="F1624">
        <v>15</v>
      </c>
      <c r="G1624">
        <v>15.1</v>
      </c>
      <c r="H1624">
        <v>15.6</v>
      </c>
      <c r="I1624">
        <v>15.6</v>
      </c>
      <c r="J1624">
        <v>15.8</v>
      </c>
      <c r="K1624">
        <v>15.9</v>
      </c>
      <c r="L1624">
        <v>16.3</v>
      </c>
      <c r="M1624">
        <v>16.899999999999999</v>
      </c>
      <c r="N1624">
        <v>16.7</v>
      </c>
      <c r="O1624">
        <v>16.2</v>
      </c>
      <c r="P1624">
        <v>16.600000000000001</v>
      </c>
      <c r="Q1624">
        <v>17.100000000000001</v>
      </c>
      <c r="R1624">
        <v>16.3</v>
      </c>
      <c r="S1624">
        <f>Tableau1[[#This Row],[Final_time]]-SUM(Tableau1[[#This Row],[0_100m]:[1300_1400m]])</f>
        <v>16.080000000000041</v>
      </c>
      <c r="T1624">
        <v>240.68</v>
      </c>
      <c r="U1624">
        <f t="shared" ref="U1624:U1640" si="58">SUM(E1624:S1624)</f>
        <v>240.68</v>
      </c>
      <c r="V1624">
        <f t="shared" ref="V1624:V1640" si="59">ABS(U1624-T1624)</f>
        <v>0</v>
      </c>
      <c r="X1624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24" t="s">
        <v>1891</v>
      </c>
      <c r="Z1624" s="2" t="s">
        <v>43</v>
      </c>
      <c r="AA1624" s="2"/>
      <c r="AB1624" s="2" t="s">
        <v>65</v>
      </c>
      <c r="AC1624" s="2">
        <v>46180</v>
      </c>
      <c r="AD1624" s="3">
        <v>2026</v>
      </c>
      <c r="AE1624" s="3">
        <v>21</v>
      </c>
      <c r="AF1624" s="5">
        <v>0.45</v>
      </c>
      <c r="AG1624" s="3" t="s">
        <v>94</v>
      </c>
    </row>
    <row r="1625" spans="1:33" hidden="1" x14ac:dyDescent="0.35">
      <c r="A1625" t="str">
        <f>_xlfn.CONCAT(Tableau1[[#This Row],[Athletes]],"_",Tableau1[[#This Row],[Nationality]],"_",Tableau1[[#This Row],[Competition_year]])</f>
        <v>Lucia STAFFORD_CAN_2026</v>
      </c>
      <c r="B1625" s="7" t="s">
        <v>158</v>
      </c>
      <c r="C1625" t="s">
        <v>47</v>
      </c>
      <c r="D1625" s="7" t="s">
        <v>55</v>
      </c>
      <c r="E1625">
        <v>15.6</v>
      </c>
      <c r="F1625">
        <v>15.8</v>
      </c>
      <c r="G1625">
        <v>15.8</v>
      </c>
      <c r="H1625">
        <v>16</v>
      </c>
      <c r="I1625">
        <v>16.2</v>
      </c>
      <c r="J1625">
        <v>16.399999999999999</v>
      </c>
      <c r="K1625">
        <v>16.399999999999999</v>
      </c>
      <c r="L1625">
        <v>16.3</v>
      </c>
      <c r="M1625">
        <v>16.2</v>
      </c>
      <c r="N1625">
        <v>16</v>
      </c>
      <c r="O1625">
        <v>15.9</v>
      </c>
      <c r="P1625">
        <v>15.9</v>
      </c>
      <c r="Q1625">
        <v>16.100000000000001</v>
      </c>
      <c r="R1625">
        <v>16.399999999999999</v>
      </c>
      <c r="S1625">
        <f>Tableau1[[#This Row],[Final_time]]-SUM(Tableau1[[#This Row],[0_100m]:[1300_1400m]])</f>
        <v>16.929999999999978</v>
      </c>
      <c r="T1625">
        <v>241.93</v>
      </c>
      <c r="U1625">
        <f t="shared" si="58"/>
        <v>241.93</v>
      </c>
      <c r="V1625">
        <f t="shared" si="59"/>
        <v>0</v>
      </c>
      <c r="X1625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25" t="s">
        <v>1891</v>
      </c>
      <c r="Z1625" s="2" t="s">
        <v>43</v>
      </c>
      <c r="AA1625" s="2"/>
      <c r="AB1625" s="2" t="s">
        <v>65</v>
      </c>
      <c r="AC1625" s="2">
        <v>46180</v>
      </c>
      <c r="AD1625" s="3">
        <v>2026</v>
      </c>
      <c r="AE1625" s="3">
        <v>21</v>
      </c>
      <c r="AF1625" s="5">
        <v>0.45</v>
      </c>
      <c r="AG1625" s="3" t="s">
        <v>94</v>
      </c>
    </row>
    <row r="1626" spans="1:33" hidden="1" x14ac:dyDescent="0.35">
      <c r="A1626" t="str">
        <f>_xlfn.CONCAT(Tableau1[[#This Row],[Athletes]],"_",Tableau1[[#This Row],[Nationality]],"_",Tableau1[[#This Row],[Competition_year]])</f>
        <v>Erin WALLACE_GBR_2026</v>
      </c>
      <c r="B1626" s="7" t="s">
        <v>407</v>
      </c>
      <c r="C1626" t="s">
        <v>47</v>
      </c>
      <c r="D1626" s="7" t="s">
        <v>20</v>
      </c>
      <c r="E1626">
        <v>15.7</v>
      </c>
      <c r="F1626">
        <v>16</v>
      </c>
      <c r="G1626">
        <v>15.9</v>
      </c>
      <c r="H1626">
        <v>16.2</v>
      </c>
      <c r="I1626">
        <v>16.399999999999999</v>
      </c>
      <c r="J1626">
        <v>16.600000000000001</v>
      </c>
      <c r="K1626">
        <v>16.399999999999999</v>
      </c>
      <c r="L1626">
        <v>16.399999999999999</v>
      </c>
      <c r="M1626">
        <v>15.9</v>
      </c>
      <c r="N1626">
        <v>16.100000000000001</v>
      </c>
      <c r="O1626">
        <v>16</v>
      </c>
      <c r="P1626">
        <v>15.8</v>
      </c>
      <c r="Q1626">
        <v>16</v>
      </c>
      <c r="R1626">
        <v>16.5</v>
      </c>
      <c r="S1626">
        <f>Tableau1[[#This Row],[Final_time]]-SUM(Tableau1[[#This Row],[0_100m]:[1300_1400m]])</f>
        <v>16.97</v>
      </c>
      <c r="T1626">
        <v>242.87</v>
      </c>
      <c r="U1626">
        <f t="shared" si="58"/>
        <v>242.87</v>
      </c>
      <c r="V1626">
        <f t="shared" si="59"/>
        <v>0</v>
      </c>
      <c r="X162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26" t="s">
        <v>1891</v>
      </c>
      <c r="Z1626" s="2" t="s">
        <v>43</v>
      </c>
      <c r="AA1626" s="2"/>
      <c r="AB1626" s="2" t="s">
        <v>65</v>
      </c>
      <c r="AC1626" s="2">
        <v>46180</v>
      </c>
      <c r="AD1626" s="3">
        <v>2026</v>
      </c>
      <c r="AE1626" s="3">
        <v>21</v>
      </c>
      <c r="AF1626" s="5">
        <v>0.45</v>
      </c>
      <c r="AG1626" s="3" t="s">
        <v>94</v>
      </c>
    </row>
    <row r="1627" spans="1:33" hidden="1" x14ac:dyDescent="0.35">
      <c r="A1627" t="str">
        <f>_xlfn.CONCAT(Tableau1[[#This Row],[Athletes]],"_",Tableau1[[#This Row],[Nationality]],"_",Tableau1[[#This Row],[Competition_year]])</f>
        <v>Haregeweyni KALAYU_ETH_2026</v>
      </c>
      <c r="B1627" s="7" t="s">
        <v>1879</v>
      </c>
      <c r="C1627" t="s">
        <v>47</v>
      </c>
      <c r="D1627" s="7" t="s">
        <v>48</v>
      </c>
      <c r="E1627">
        <v>16</v>
      </c>
      <c r="F1627">
        <v>15.4</v>
      </c>
      <c r="G1627">
        <v>15.4</v>
      </c>
      <c r="H1627">
        <v>15.9</v>
      </c>
      <c r="I1627">
        <v>16.399999999999999</v>
      </c>
      <c r="J1627">
        <v>16.8</v>
      </c>
      <c r="K1627">
        <v>16.600000000000001</v>
      </c>
      <c r="L1627">
        <v>17.2</v>
      </c>
      <c r="M1627">
        <v>17.100000000000001</v>
      </c>
      <c r="N1627">
        <v>16.600000000000001</v>
      </c>
      <c r="O1627">
        <v>16.100000000000001</v>
      </c>
      <c r="P1627">
        <v>16.100000000000001</v>
      </c>
      <c r="Q1627">
        <v>16.2</v>
      </c>
      <c r="R1627">
        <v>16.100000000000001</v>
      </c>
      <c r="S1627">
        <f>Tableau1[[#This Row],[Final_time]]-SUM(Tableau1[[#This Row],[0_100m]:[1300_1400m]])</f>
        <v>15.960000000000065</v>
      </c>
      <c r="T1627">
        <v>243.86</v>
      </c>
      <c r="U1627">
        <f t="shared" si="58"/>
        <v>243.86</v>
      </c>
      <c r="V1627">
        <f t="shared" si="59"/>
        <v>0</v>
      </c>
      <c r="X1627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27" t="s">
        <v>1891</v>
      </c>
      <c r="Z1627" s="2" t="s">
        <v>43</v>
      </c>
      <c r="AA1627" s="2"/>
      <c r="AB1627" s="2" t="s">
        <v>65</v>
      </c>
      <c r="AC1627" s="2">
        <v>46180</v>
      </c>
      <c r="AD1627" s="3">
        <v>2026</v>
      </c>
      <c r="AE1627" s="3">
        <v>21</v>
      </c>
      <c r="AF1627" s="5">
        <v>0.45</v>
      </c>
      <c r="AG1627" s="3" t="s">
        <v>94</v>
      </c>
    </row>
    <row r="1628" spans="1:33" hidden="1" x14ac:dyDescent="0.35">
      <c r="A1628" t="str">
        <f>_xlfn.CONCAT(Tableau1[[#This Row],[Athletes]],"_",Tableau1[[#This Row],[Nationality]],"_",Tableau1[[#This Row],[Competition_year]])</f>
        <v>Joceline WIND_SUI_2026</v>
      </c>
      <c r="B1628" s="7" t="s">
        <v>993</v>
      </c>
      <c r="C1628" t="s">
        <v>47</v>
      </c>
      <c r="D1628" s="7" t="s">
        <v>87</v>
      </c>
      <c r="E1628">
        <v>15.8</v>
      </c>
      <c r="F1628">
        <v>15.9</v>
      </c>
      <c r="G1628">
        <v>15.7</v>
      </c>
      <c r="H1628">
        <v>16.2</v>
      </c>
      <c r="I1628">
        <v>16.399999999999999</v>
      </c>
      <c r="J1628">
        <v>16.600000000000001</v>
      </c>
      <c r="K1628">
        <v>16.5</v>
      </c>
      <c r="L1628">
        <v>16.899999999999999</v>
      </c>
      <c r="M1628">
        <v>16.7</v>
      </c>
      <c r="N1628">
        <v>16.600000000000001</v>
      </c>
      <c r="O1628">
        <v>16.5</v>
      </c>
      <c r="P1628">
        <v>16.5</v>
      </c>
      <c r="Q1628">
        <v>16.5</v>
      </c>
      <c r="R1628">
        <v>16.3</v>
      </c>
      <c r="S1628">
        <f>Tableau1[[#This Row],[Final_time]]-SUM(Tableau1[[#This Row],[0_100m]:[1300_1400m]])</f>
        <v>15.560000000000002</v>
      </c>
      <c r="T1628">
        <v>244.66</v>
      </c>
      <c r="U1628">
        <f t="shared" si="58"/>
        <v>244.66</v>
      </c>
      <c r="V1628">
        <f t="shared" si="59"/>
        <v>0</v>
      </c>
      <c r="X1628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28" t="s">
        <v>1891</v>
      </c>
      <c r="Z1628" s="2" t="s">
        <v>43</v>
      </c>
      <c r="AA1628" s="2"/>
      <c r="AB1628" s="2" t="s">
        <v>65</v>
      </c>
      <c r="AC1628" s="2">
        <v>46180</v>
      </c>
      <c r="AD1628" s="3">
        <v>2026</v>
      </c>
      <c r="AE1628" s="3">
        <v>21</v>
      </c>
      <c r="AF1628" s="5">
        <v>0.45</v>
      </c>
      <c r="AG1628" s="3" t="s">
        <v>94</v>
      </c>
    </row>
    <row r="1629" spans="1:33" hidden="1" x14ac:dyDescent="0.35">
      <c r="A1629" t="str">
        <f>_xlfn.CONCAT(Tableau1[[#This Row],[Athletes]],"_",Tableau1[[#This Row],[Nationality]],"_",Tableau1[[#This Row],[Competition_year]])</f>
        <v>Margot APPLETON_USA_2026</v>
      </c>
      <c r="B1629" s="7" t="s">
        <v>1888</v>
      </c>
      <c r="C1629" t="s">
        <v>47</v>
      </c>
      <c r="D1629" s="7" t="s">
        <v>51</v>
      </c>
      <c r="E1629">
        <v>16.5</v>
      </c>
      <c r="F1629">
        <v>16</v>
      </c>
      <c r="G1629">
        <v>16</v>
      </c>
      <c r="H1629">
        <v>16.100000000000001</v>
      </c>
      <c r="I1629">
        <v>16.399999999999999</v>
      </c>
      <c r="J1629">
        <v>16.600000000000001</v>
      </c>
      <c r="K1629">
        <v>16.100000000000001</v>
      </c>
      <c r="L1629">
        <v>16.8</v>
      </c>
      <c r="M1629">
        <v>16.7</v>
      </c>
      <c r="N1629">
        <v>16.7</v>
      </c>
      <c r="O1629">
        <v>16.5</v>
      </c>
      <c r="P1629">
        <v>16.5</v>
      </c>
      <c r="Q1629">
        <v>16.399999999999999</v>
      </c>
      <c r="R1629">
        <v>15.9</v>
      </c>
      <c r="S1629">
        <f>Tableau1[[#This Row],[Final_time]]-SUM(Tableau1[[#This Row],[0_100m]:[1300_1400m]])</f>
        <v>15.719999999999999</v>
      </c>
      <c r="T1629">
        <v>244.92</v>
      </c>
      <c r="U1629">
        <f t="shared" si="58"/>
        <v>244.92</v>
      </c>
      <c r="V1629">
        <f t="shared" si="59"/>
        <v>0</v>
      </c>
      <c r="X1629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29" t="s">
        <v>1891</v>
      </c>
      <c r="Z1629" s="2" t="s">
        <v>43</v>
      </c>
      <c r="AA1629" s="2"/>
      <c r="AB1629" s="2" t="s">
        <v>65</v>
      </c>
      <c r="AC1629" s="2">
        <v>46180</v>
      </c>
      <c r="AD1629" s="3">
        <v>2026</v>
      </c>
      <c r="AE1629" s="3">
        <v>21</v>
      </c>
      <c r="AF1629" s="5">
        <v>0.45</v>
      </c>
      <c r="AG1629" s="3" t="s">
        <v>94</v>
      </c>
    </row>
    <row r="1630" spans="1:33" hidden="1" x14ac:dyDescent="0.35">
      <c r="A1630" t="str">
        <f>_xlfn.CONCAT(Tableau1[[#This Row],[Athletes]],"_",Tableau1[[#This Row],[Nationality]],"_",Tableau1[[#This Row],[Competition_year]])</f>
        <v>Adèle GAY_FRA_2026</v>
      </c>
      <c r="B1630" s="7" t="s">
        <v>1889</v>
      </c>
      <c r="C1630" t="s">
        <v>47</v>
      </c>
      <c r="D1630" s="7" t="s">
        <v>18</v>
      </c>
      <c r="E1630">
        <v>16</v>
      </c>
      <c r="F1630">
        <v>16</v>
      </c>
      <c r="G1630">
        <v>16</v>
      </c>
      <c r="H1630">
        <v>16</v>
      </c>
      <c r="I1630">
        <v>16.600000000000001</v>
      </c>
      <c r="J1630">
        <v>16.600000000000001</v>
      </c>
      <c r="K1630">
        <v>16.399999999999999</v>
      </c>
      <c r="L1630">
        <v>16.8</v>
      </c>
      <c r="M1630">
        <v>16.5</v>
      </c>
      <c r="N1630">
        <v>16.600000000000001</v>
      </c>
      <c r="O1630">
        <v>16.7</v>
      </c>
      <c r="P1630">
        <v>16.5</v>
      </c>
      <c r="Q1630">
        <v>16.5</v>
      </c>
      <c r="R1630">
        <v>16.5</v>
      </c>
      <c r="S1630">
        <f>Tableau1[[#This Row],[Final_time]]-SUM(Tableau1[[#This Row],[0_100m]:[1300_1400m]])</f>
        <v>15.410000000000025</v>
      </c>
      <c r="T1630">
        <v>245.11</v>
      </c>
      <c r="U1630">
        <f t="shared" si="58"/>
        <v>245.11</v>
      </c>
      <c r="V1630">
        <f t="shared" si="59"/>
        <v>0</v>
      </c>
      <c r="X1630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0" t="s">
        <v>1891</v>
      </c>
      <c r="Z1630" s="2" t="s">
        <v>43</v>
      </c>
      <c r="AA1630" s="2"/>
      <c r="AB1630" s="2" t="s">
        <v>65</v>
      </c>
      <c r="AC1630" s="2">
        <v>46180</v>
      </c>
      <c r="AD1630" s="3">
        <v>2026</v>
      </c>
      <c r="AE1630" s="3">
        <v>21</v>
      </c>
      <c r="AF1630" s="5">
        <v>0.45</v>
      </c>
      <c r="AG1630" s="3" t="s">
        <v>94</v>
      </c>
    </row>
    <row r="1631" spans="1:33" hidden="1" x14ac:dyDescent="0.35">
      <c r="A1631" t="str">
        <f>_xlfn.CONCAT(Tableau1[[#This Row],[Athletes]],"_",Tableau1[[#This Row],[Nationality]],"_",Tableau1[[#This Row],[Competition_year]])</f>
        <v>Ludovica CAVALLI_ITA_2026</v>
      </c>
      <c r="B1631" s="7" t="s">
        <v>182</v>
      </c>
      <c r="C1631" t="s">
        <v>47</v>
      </c>
      <c r="D1631" s="7" t="s">
        <v>19</v>
      </c>
      <c r="E1631">
        <v>15.9</v>
      </c>
      <c r="F1631">
        <v>16.100000000000001</v>
      </c>
      <c r="G1631">
        <v>15.9</v>
      </c>
      <c r="H1631">
        <v>16.100000000000001</v>
      </c>
      <c r="I1631">
        <v>16.5</v>
      </c>
      <c r="J1631">
        <v>16.399999999999999</v>
      </c>
      <c r="K1631">
        <v>16.5</v>
      </c>
      <c r="L1631">
        <v>16.600000000000001</v>
      </c>
      <c r="M1631">
        <v>16.600000000000001</v>
      </c>
      <c r="N1631">
        <v>16.5</v>
      </c>
      <c r="O1631">
        <v>16.899999999999999</v>
      </c>
      <c r="P1631">
        <v>16.100000000000001</v>
      </c>
      <c r="Q1631">
        <v>16.399999999999999</v>
      </c>
      <c r="R1631">
        <v>16.600000000000001</v>
      </c>
      <c r="S1631">
        <f>Tableau1[[#This Row],[Final_time]]-SUM(Tableau1[[#This Row],[0_100m]:[1300_1400m]])</f>
        <v>16.050000000000011</v>
      </c>
      <c r="T1631">
        <v>245.15</v>
      </c>
      <c r="U1631">
        <f t="shared" si="58"/>
        <v>245.15</v>
      </c>
      <c r="V1631">
        <f t="shared" si="59"/>
        <v>0</v>
      </c>
      <c r="X1631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1" t="s">
        <v>1891</v>
      </c>
      <c r="Z1631" s="2" t="s">
        <v>43</v>
      </c>
      <c r="AA1631" s="2"/>
      <c r="AB1631" s="2" t="s">
        <v>65</v>
      </c>
      <c r="AC1631" s="2">
        <v>46180</v>
      </c>
      <c r="AD1631" s="3">
        <v>2026</v>
      </c>
      <c r="AE1631" s="3">
        <v>21</v>
      </c>
      <c r="AF1631" s="5">
        <v>0.45</v>
      </c>
      <c r="AG1631" s="3" t="s">
        <v>94</v>
      </c>
    </row>
    <row r="1632" spans="1:33" hidden="1" x14ac:dyDescent="0.35">
      <c r="A1632" t="str">
        <f>_xlfn.CONCAT(Tableau1[[#This Row],[Athletes]],"_",Tableau1[[#This Row],[Nationality]],"_",Tableau1[[#This Row],[Competition_year]])</f>
        <v>Gaia SABBATINI_ITA_2026</v>
      </c>
      <c r="B1632" s="7" t="s">
        <v>167</v>
      </c>
      <c r="C1632" t="s">
        <v>47</v>
      </c>
      <c r="D1632" s="7" t="s">
        <v>19</v>
      </c>
      <c r="E1632">
        <v>16.100000000000001</v>
      </c>
      <c r="F1632">
        <v>16.2</v>
      </c>
      <c r="G1632">
        <v>16</v>
      </c>
      <c r="H1632">
        <v>16.100000000000001</v>
      </c>
      <c r="I1632">
        <v>16.399999999999999</v>
      </c>
      <c r="J1632">
        <v>16.600000000000001</v>
      </c>
      <c r="K1632">
        <v>16.5</v>
      </c>
      <c r="L1632">
        <v>16.8</v>
      </c>
      <c r="M1632">
        <v>16.8</v>
      </c>
      <c r="N1632">
        <v>16.600000000000001</v>
      </c>
      <c r="O1632">
        <v>16.399999999999999</v>
      </c>
      <c r="P1632">
        <v>16.5</v>
      </c>
      <c r="Q1632">
        <v>16.399999999999999</v>
      </c>
      <c r="R1632">
        <v>16.5</v>
      </c>
      <c r="S1632">
        <f>Tableau1[[#This Row],[Final_time]]-SUM(Tableau1[[#This Row],[0_100m]:[1300_1400m]])</f>
        <v>15.649999999999977</v>
      </c>
      <c r="T1632">
        <v>245.55</v>
      </c>
      <c r="U1632">
        <f t="shared" si="58"/>
        <v>245.55</v>
      </c>
      <c r="V1632">
        <f t="shared" si="59"/>
        <v>0</v>
      </c>
      <c r="X1632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2" t="s">
        <v>1891</v>
      </c>
      <c r="Z1632" s="2" t="s">
        <v>43</v>
      </c>
      <c r="AA1632" s="2"/>
      <c r="AB1632" s="2" t="s">
        <v>65</v>
      </c>
      <c r="AC1632" s="2">
        <v>46180</v>
      </c>
      <c r="AD1632" s="3">
        <v>2026</v>
      </c>
      <c r="AE1632" s="3">
        <v>21</v>
      </c>
      <c r="AF1632" s="5">
        <v>0.45</v>
      </c>
      <c r="AG1632" s="3" t="s">
        <v>94</v>
      </c>
    </row>
    <row r="1633" spans="1:33" hidden="1" x14ac:dyDescent="0.35">
      <c r="A1633" t="str">
        <f>_xlfn.CONCAT(Tableau1[[#This Row],[Athletes]],"_",Tableau1[[#This Row],[Nationality]],"_",Tableau1[[#This Row],[Competition_year]])</f>
        <v>Mia BARNETT_SWE_2026</v>
      </c>
      <c r="B1633" s="7" t="s">
        <v>1409</v>
      </c>
      <c r="C1633" t="s">
        <v>47</v>
      </c>
      <c r="D1633" s="7" t="s">
        <v>56</v>
      </c>
      <c r="E1633">
        <v>16.3</v>
      </c>
      <c r="F1633">
        <v>16.5</v>
      </c>
      <c r="G1633">
        <v>15.9</v>
      </c>
      <c r="H1633">
        <v>16.3</v>
      </c>
      <c r="I1633">
        <v>16.2</v>
      </c>
      <c r="J1633">
        <v>16.8</v>
      </c>
      <c r="K1633">
        <v>16.3</v>
      </c>
      <c r="L1633">
        <v>16.7</v>
      </c>
      <c r="M1633">
        <v>16.8</v>
      </c>
      <c r="N1633">
        <v>16.899999999999999</v>
      </c>
      <c r="O1633">
        <v>16</v>
      </c>
      <c r="P1633">
        <v>16.399999999999999</v>
      </c>
      <c r="Q1633">
        <v>16.399999999999999</v>
      </c>
      <c r="R1633">
        <v>16.399999999999999</v>
      </c>
      <c r="S1633">
        <f>Tableau1[[#This Row],[Final_time]]-SUM(Tableau1[[#This Row],[0_100m]:[1300_1400m]])</f>
        <v>16.099999999999966</v>
      </c>
      <c r="T1633">
        <v>246</v>
      </c>
      <c r="U1633">
        <f t="shared" si="58"/>
        <v>246</v>
      </c>
      <c r="V1633">
        <f t="shared" si="59"/>
        <v>0</v>
      </c>
      <c r="X1633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3" t="s">
        <v>1891</v>
      </c>
      <c r="Z1633" s="2" t="s">
        <v>43</v>
      </c>
      <c r="AA1633" s="2"/>
      <c r="AB1633" s="2" t="s">
        <v>65</v>
      </c>
      <c r="AC1633" s="2">
        <v>46180</v>
      </c>
      <c r="AD1633" s="3">
        <v>2026</v>
      </c>
      <c r="AE1633" s="3">
        <v>21</v>
      </c>
      <c r="AF1633" s="5">
        <v>0.45</v>
      </c>
      <c r="AG1633" s="3" t="s">
        <v>94</v>
      </c>
    </row>
    <row r="1634" spans="1:33" hidden="1" x14ac:dyDescent="0.35">
      <c r="A1634" t="str">
        <f>_xlfn.CONCAT(Tableau1[[#This Row],[Athletes]],"_",Tableau1[[#This Row],[Nationality]],"_",Tableau1[[#This Row],[Competition_year]])</f>
        <v>Anne Gine LØVNES_NOR_2026</v>
      </c>
      <c r="B1634" s="7" t="s">
        <v>1395</v>
      </c>
      <c r="C1634" t="s">
        <v>47</v>
      </c>
      <c r="D1634" s="7" t="s">
        <v>30</v>
      </c>
      <c r="E1634">
        <v>16.3</v>
      </c>
      <c r="F1634">
        <v>16.2</v>
      </c>
      <c r="G1634">
        <v>15.9</v>
      </c>
      <c r="H1634">
        <v>16.100000000000001</v>
      </c>
      <c r="I1634">
        <v>16.399999999999999</v>
      </c>
      <c r="J1634">
        <v>16.600000000000001</v>
      </c>
      <c r="K1634">
        <v>16.2</v>
      </c>
      <c r="L1634">
        <v>16.7</v>
      </c>
      <c r="M1634">
        <v>17</v>
      </c>
      <c r="N1634">
        <v>16.7</v>
      </c>
      <c r="O1634">
        <v>16.3</v>
      </c>
      <c r="P1634">
        <v>16.3</v>
      </c>
      <c r="Q1634">
        <v>16.399999999999999</v>
      </c>
      <c r="R1634">
        <v>16.399999999999999</v>
      </c>
      <c r="S1634">
        <f>Tableau1[[#This Row],[Final_time]]-SUM(Tableau1[[#This Row],[0_100m]:[1300_1400m]])</f>
        <v>16.799999999999983</v>
      </c>
      <c r="T1634">
        <v>246.3</v>
      </c>
      <c r="U1634">
        <f t="shared" si="58"/>
        <v>246.3</v>
      </c>
      <c r="V1634">
        <f t="shared" si="59"/>
        <v>0</v>
      </c>
      <c r="X1634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4" t="s">
        <v>1891</v>
      </c>
      <c r="Z1634" s="2" t="s">
        <v>43</v>
      </c>
      <c r="AA1634" s="2"/>
      <c r="AB1634" s="2" t="s">
        <v>65</v>
      </c>
      <c r="AC1634" s="2">
        <v>46180</v>
      </c>
      <c r="AD1634" s="3">
        <v>2026</v>
      </c>
      <c r="AE1634" s="3">
        <v>21</v>
      </c>
      <c r="AF1634" s="5">
        <v>0.45</v>
      </c>
      <c r="AG1634" s="3" t="s">
        <v>94</v>
      </c>
    </row>
    <row r="1635" spans="1:33" hidden="1" x14ac:dyDescent="0.35">
      <c r="A1635" t="str">
        <f>_xlfn.CONCAT(Tableau1[[#This Row],[Athletes]],"_",Tableau1[[#This Row],[Nationality]],"_",Tableau1[[#This Row],[Competition_year]])</f>
        <v>Worknesh MESELE_ETH_2026</v>
      </c>
      <c r="B1635" s="7" t="s">
        <v>294</v>
      </c>
      <c r="C1635" t="s">
        <v>47</v>
      </c>
      <c r="D1635" s="7" t="s">
        <v>48</v>
      </c>
      <c r="E1635">
        <v>15.8</v>
      </c>
      <c r="F1635">
        <v>15.4</v>
      </c>
      <c r="G1635">
        <v>15.4</v>
      </c>
      <c r="H1635">
        <v>15.8</v>
      </c>
      <c r="I1635">
        <v>16.5</v>
      </c>
      <c r="J1635">
        <v>16.7</v>
      </c>
      <c r="K1635">
        <v>17.3</v>
      </c>
      <c r="L1635">
        <v>17</v>
      </c>
      <c r="M1635">
        <v>17.3</v>
      </c>
      <c r="N1635">
        <v>17.3</v>
      </c>
      <c r="O1635">
        <v>16.7</v>
      </c>
      <c r="P1635">
        <v>16.899999999999999</v>
      </c>
      <c r="Q1635">
        <v>16.399999999999999</v>
      </c>
      <c r="R1635">
        <v>16.600000000000001</v>
      </c>
      <c r="S1635">
        <f>Tableau1[[#This Row],[Final_time]]-SUM(Tableau1[[#This Row],[0_100m]:[1300_1400m]])</f>
        <v>15.409999999999968</v>
      </c>
      <c r="T1635">
        <v>246.51</v>
      </c>
      <c r="U1635">
        <f t="shared" si="58"/>
        <v>246.51</v>
      </c>
      <c r="V1635">
        <f t="shared" si="59"/>
        <v>0</v>
      </c>
      <c r="X1635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5" t="s">
        <v>1891</v>
      </c>
      <c r="Z1635" s="2" t="s">
        <v>43</v>
      </c>
      <c r="AA1635" s="2"/>
      <c r="AB1635" s="2" t="s">
        <v>65</v>
      </c>
      <c r="AC1635" s="2">
        <v>46180</v>
      </c>
      <c r="AD1635" s="3">
        <v>2026</v>
      </c>
      <c r="AE1635" s="3">
        <v>21</v>
      </c>
      <c r="AF1635" s="5">
        <v>0.45</v>
      </c>
      <c r="AG1635" s="3" t="s">
        <v>94</v>
      </c>
    </row>
    <row r="1636" spans="1:33" hidden="1" x14ac:dyDescent="0.35">
      <c r="A1636" t="str">
        <f>_xlfn.CONCAT(Tableau1[[#This Row],[Athletes]],"_",Tableau1[[#This Row],[Nationality]],"_",Tableau1[[#This Row],[Competition_year]])</f>
        <v>Saron BERHE_ETH_2026</v>
      </c>
      <c r="B1636" s="7" t="s">
        <v>411</v>
      </c>
      <c r="C1636" t="s">
        <v>47</v>
      </c>
      <c r="D1636" s="7" t="s">
        <v>48</v>
      </c>
      <c r="E1636">
        <v>15.7</v>
      </c>
      <c r="F1636">
        <v>15.2</v>
      </c>
      <c r="G1636">
        <v>15</v>
      </c>
      <c r="H1636">
        <v>15.6</v>
      </c>
      <c r="I1636">
        <v>15.7</v>
      </c>
      <c r="J1636">
        <v>15.8</v>
      </c>
      <c r="K1636">
        <v>16.2</v>
      </c>
      <c r="L1636">
        <v>17</v>
      </c>
      <c r="M1636">
        <v>17.8</v>
      </c>
      <c r="N1636">
        <v>17.3</v>
      </c>
      <c r="O1636">
        <v>17</v>
      </c>
      <c r="P1636">
        <v>17</v>
      </c>
      <c r="Q1636">
        <v>16.8</v>
      </c>
      <c r="R1636">
        <v>17.5</v>
      </c>
      <c r="S1636">
        <f>Tableau1[[#This Row],[Final_time]]-SUM(Tableau1[[#This Row],[0_100m]:[1300_1400m]])</f>
        <v>17.039999999999964</v>
      </c>
      <c r="T1636">
        <v>246.64</v>
      </c>
      <c r="U1636">
        <f t="shared" si="58"/>
        <v>246.64</v>
      </c>
      <c r="V1636">
        <f t="shared" si="59"/>
        <v>0</v>
      </c>
      <c r="X1636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6" t="s">
        <v>1891</v>
      </c>
      <c r="Z1636" s="2" t="s">
        <v>43</v>
      </c>
      <c r="AA1636" s="2"/>
      <c r="AB1636" s="2" t="s">
        <v>65</v>
      </c>
      <c r="AC1636" s="2">
        <v>46180</v>
      </c>
      <c r="AD1636" s="3">
        <v>2026</v>
      </c>
      <c r="AE1636" s="3">
        <v>21</v>
      </c>
      <c r="AF1636" s="5">
        <v>0.45</v>
      </c>
      <c r="AG1636" s="3" t="s">
        <v>94</v>
      </c>
    </row>
    <row r="1637" spans="1:33" hidden="1" x14ac:dyDescent="0.35">
      <c r="A1637" t="str">
        <f>_xlfn.CONCAT(Tableau1[[#This Row],[Athletes]],"_",Tableau1[[#This Row],[Nationality]],"_",Tableau1[[#This Row],[Competition_year]])</f>
        <v>Souad ELHADDAD_MAR_2026</v>
      </c>
      <c r="B1637" s="7" t="s">
        <v>1256</v>
      </c>
      <c r="C1637" t="s">
        <v>47</v>
      </c>
      <c r="D1637" s="7" t="s">
        <v>75</v>
      </c>
      <c r="E1637">
        <v>16.600000000000001</v>
      </c>
      <c r="F1637">
        <v>16.2</v>
      </c>
      <c r="G1637">
        <v>16.100000000000001</v>
      </c>
      <c r="H1637">
        <v>16.3</v>
      </c>
      <c r="I1637">
        <v>16.2</v>
      </c>
      <c r="J1637">
        <v>16.7</v>
      </c>
      <c r="K1637">
        <v>15.9</v>
      </c>
      <c r="L1637">
        <v>16.8</v>
      </c>
      <c r="M1637">
        <v>16.3</v>
      </c>
      <c r="N1637">
        <v>16.7</v>
      </c>
      <c r="O1637">
        <v>16.3</v>
      </c>
      <c r="P1637">
        <v>16.3</v>
      </c>
      <c r="Q1637">
        <v>16.600000000000001</v>
      </c>
      <c r="R1637">
        <v>17</v>
      </c>
      <c r="S1637">
        <f>Tableau1[[#This Row],[Final_time]]-SUM(Tableau1[[#This Row],[0_100m]:[1300_1400m]])</f>
        <v>17.19999999999996</v>
      </c>
      <c r="T1637">
        <v>247.2</v>
      </c>
      <c r="U1637">
        <f t="shared" si="58"/>
        <v>247.2</v>
      </c>
      <c r="V1637">
        <f t="shared" si="59"/>
        <v>0</v>
      </c>
      <c r="X1637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7" t="s">
        <v>1891</v>
      </c>
      <c r="Z1637" s="2" t="s">
        <v>43</v>
      </c>
      <c r="AA1637" s="2"/>
      <c r="AB1637" s="2" t="s">
        <v>65</v>
      </c>
      <c r="AC1637" s="2">
        <v>46180</v>
      </c>
      <c r="AD1637" s="3">
        <v>2026</v>
      </c>
      <c r="AE1637" s="3">
        <v>21</v>
      </c>
      <c r="AF1637" s="5">
        <v>0.45</v>
      </c>
      <c r="AG1637" s="3" t="s">
        <v>94</v>
      </c>
    </row>
    <row r="1638" spans="1:33" hidden="1" x14ac:dyDescent="0.35">
      <c r="A1638" t="str">
        <f>_xlfn.CONCAT(Tableau1[[#This Row],[Athletes]],"_",Tableau1[[#This Row],[Nationality]],"_",Tableau1[[#This Row],[Competition_year]])</f>
        <v>Saga PROVCI_SWE_2026</v>
      </c>
      <c r="B1638" s="7" t="s">
        <v>589</v>
      </c>
      <c r="C1638" t="s">
        <v>47</v>
      </c>
      <c r="D1638" s="7" t="s">
        <v>56</v>
      </c>
      <c r="E1638">
        <v>16.7</v>
      </c>
      <c r="F1638">
        <v>16.5</v>
      </c>
      <c r="G1638">
        <v>15.8</v>
      </c>
      <c r="H1638">
        <v>16.2</v>
      </c>
      <c r="I1638">
        <v>16.3</v>
      </c>
      <c r="J1638">
        <v>16.899999999999999</v>
      </c>
      <c r="K1638">
        <v>16.100000000000001</v>
      </c>
      <c r="L1638">
        <v>16.7</v>
      </c>
      <c r="M1638">
        <v>16.8</v>
      </c>
      <c r="N1638">
        <v>16.8</v>
      </c>
      <c r="O1638">
        <v>16.600000000000001</v>
      </c>
      <c r="P1638">
        <v>17.2</v>
      </c>
      <c r="Q1638">
        <v>17</v>
      </c>
      <c r="R1638">
        <v>17.2</v>
      </c>
      <c r="S1638">
        <f>Tableau1[[#This Row],[Final_time]]-SUM(Tableau1[[#This Row],[0_100m]:[1300_1400m]])</f>
        <v>17.150000000000006</v>
      </c>
      <c r="T1638">
        <v>249.95</v>
      </c>
      <c r="U1638">
        <f t="shared" si="58"/>
        <v>249.95</v>
      </c>
      <c r="V1638">
        <f t="shared" si="59"/>
        <v>0</v>
      </c>
      <c r="X1638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8" t="s">
        <v>1891</v>
      </c>
      <c r="Z1638" s="2" t="s">
        <v>43</v>
      </c>
      <c r="AA1638" s="2"/>
      <c r="AB1638" s="2" t="s">
        <v>65</v>
      </c>
      <c r="AC1638" s="2">
        <v>46180</v>
      </c>
      <c r="AD1638" s="3">
        <v>2026</v>
      </c>
      <c r="AE1638" s="3">
        <v>21</v>
      </c>
      <c r="AF1638" s="5">
        <v>0.45</v>
      </c>
      <c r="AG1638" s="3" t="s">
        <v>94</v>
      </c>
    </row>
    <row r="1639" spans="1:33" hidden="1" x14ac:dyDescent="0.35">
      <c r="A1639" t="str">
        <f>_xlfn.CONCAT(Tableau1[[#This Row],[Athletes]],"_",Tableau1[[#This Row],[Nationality]],"_",Tableau1[[#This Row],[Competition_year]])</f>
        <v>Julia NIELSEN_SWE_2026</v>
      </c>
      <c r="B1639" s="7" t="s">
        <v>638</v>
      </c>
      <c r="C1639" t="s">
        <v>47</v>
      </c>
      <c r="D1639" s="7" t="s">
        <v>56</v>
      </c>
      <c r="E1639">
        <v>16.5</v>
      </c>
      <c r="F1639">
        <v>16.2</v>
      </c>
      <c r="G1639">
        <v>16</v>
      </c>
      <c r="H1639">
        <v>16.3</v>
      </c>
      <c r="I1639">
        <v>16.2</v>
      </c>
      <c r="J1639">
        <v>16.7</v>
      </c>
      <c r="K1639">
        <v>16.3</v>
      </c>
      <c r="L1639">
        <v>16.8</v>
      </c>
      <c r="M1639">
        <v>16.600000000000001</v>
      </c>
      <c r="N1639">
        <v>16.899999999999999</v>
      </c>
      <c r="O1639">
        <v>16.399999999999999</v>
      </c>
      <c r="P1639">
        <v>17.100000000000001</v>
      </c>
      <c r="Q1639">
        <v>16.899999999999999</v>
      </c>
      <c r="R1639">
        <v>17.5</v>
      </c>
      <c r="S1639">
        <f>Tableau1[[#This Row],[Final_time]]-SUM(Tableau1[[#This Row],[0_100m]:[1300_1400m]])</f>
        <v>17.72999999999999</v>
      </c>
      <c r="T1639">
        <v>250.13</v>
      </c>
      <c r="U1639">
        <f t="shared" si="58"/>
        <v>250.13</v>
      </c>
      <c r="V1639">
        <f t="shared" si="59"/>
        <v>0</v>
      </c>
      <c r="X1639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39" t="s">
        <v>1891</v>
      </c>
      <c r="Z1639" s="2" t="s">
        <v>43</v>
      </c>
      <c r="AA1639" s="2"/>
      <c r="AB1639" s="2" t="s">
        <v>65</v>
      </c>
      <c r="AC1639" s="2">
        <v>46180</v>
      </c>
      <c r="AD1639" s="3">
        <v>2026</v>
      </c>
      <c r="AE1639" s="3">
        <v>21</v>
      </c>
      <c r="AF1639" s="5">
        <v>0.45</v>
      </c>
      <c r="AG1639" s="3" t="s">
        <v>94</v>
      </c>
    </row>
    <row r="1640" spans="1:33" hidden="1" x14ac:dyDescent="0.35">
      <c r="A1640" t="str">
        <f>_xlfn.CONCAT(Tableau1[[#This Row],[Athletes]],"_",Tableau1[[#This Row],[Nationality]],"_",Tableau1[[#This Row],[Competition_year]])</f>
        <v>Diane van ES_NED_2026</v>
      </c>
      <c r="B1640" s="7" t="s">
        <v>1890</v>
      </c>
      <c r="C1640" t="s">
        <v>47</v>
      </c>
      <c r="D1640" s="7" t="s">
        <v>39</v>
      </c>
      <c r="E1640">
        <v>16.100000000000001</v>
      </c>
      <c r="F1640">
        <v>16</v>
      </c>
      <c r="G1640">
        <v>16</v>
      </c>
      <c r="H1640">
        <v>16.100000000000001</v>
      </c>
      <c r="I1640">
        <v>16.2</v>
      </c>
      <c r="J1640">
        <v>16.399999999999999</v>
      </c>
      <c r="K1640">
        <v>16.5</v>
      </c>
      <c r="L1640">
        <v>16.899999999999999</v>
      </c>
      <c r="M1640">
        <v>16.899999999999999</v>
      </c>
      <c r="N1640">
        <v>16.7</v>
      </c>
      <c r="O1640">
        <v>16.399999999999999</v>
      </c>
      <c r="P1640">
        <v>17.600000000000001</v>
      </c>
      <c r="Q1640">
        <v>18.100000000000001</v>
      </c>
      <c r="R1640">
        <v>18.5</v>
      </c>
      <c r="S1640">
        <f>Tableau1[[#This Row],[Final_time]]-SUM(Tableau1[[#This Row],[0_100m]:[1300_1400m]])</f>
        <v>18.239999999999981</v>
      </c>
      <c r="T1640">
        <v>252.64</v>
      </c>
      <c r="U1640">
        <f t="shared" si="58"/>
        <v>252.64</v>
      </c>
      <c r="V1640">
        <f t="shared" si="59"/>
        <v>0</v>
      </c>
      <c r="X1640" t="str">
        <f>_xlfn.CONCAT(Tableau1[[#This Row],[Competition]],"_",Tableau1[[#This Row],[Championship_step]],"_",Tableau1[[#This Row],[Competition_date]],"_",Tableau1[[#This Row],[Gender]])</f>
        <v>Diamond League Stockholm 2026__46180_Female</v>
      </c>
      <c r="Y1640" t="s">
        <v>1891</v>
      </c>
      <c r="Z1640" s="2" t="s">
        <v>43</v>
      </c>
      <c r="AA1640" s="2"/>
      <c r="AB1640" s="2" t="s">
        <v>65</v>
      </c>
      <c r="AC1640" s="2">
        <v>46180</v>
      </c>
      <c r="AD1640" s="3">
        <v>2026</v>
      </c>
      <c r="AE1640" s="3">
        <v>21</v>
      </c>
      <c r="AF1640" s="5">
        <v>0.45</v>
      </c>
      <c r="AG1640" s="3" t="s">
        <v>94</v>
      </c>
    </row>
    <row r="1641" spans="1:33" hidden="1" x14ac:dyDescent="0.35">
      <c r="A1641" t="str">
        <f>_xlfn.CONCAT(Tableau1[[#This Row],[Athletes]],"_",Tableau1[[#This Row],[Nationality]],"_",Tableau1[[#This Row],[Competition_year]])</f>
        <v>Georgia HUNTER BELL_GBR_2026</v>
      </c>
      <c r="B1641" s="7" t="s">
        <v>1348</v>
      </c>
      <c r="C1641" t="s">
        <v>47</v>
      </c>
      <c r="D1641" s="7" t="s">
        <v>20</v>
      </c>
      <c r="E1641">
        <v>15.5</v>
      </c>
      <c r="F1641">
        <v>16.399999999999999</v>
      </c>
      <c r="G1641">
        <v>15.9</v>
      </c>
      <c r="H1641">
        <v>16.100000000000001</v>
      </c>
      <c r="I1641">
        <v>16.399999999999999</v>
      </c>
      <c r="J1641">
        <v>16.7</v>
      </c>
      <c r="K1641">
        <v>16.399999999999999</v>
      </c>
      <c r="L1641">
        <v>16.7</v>
      </c>
      <c r="M1641">
        <v>16.899999999999999</v>
      </c>
      <c r="N1641">
        <v>16.899999999999999</v>
      </c>
      <c r="O1641">
        <v>16.5</v>
      </c>
      <c r="P1641">
        <v>14.8</v>
      </c>
      <c r="Q1641">
        <v>14.5</v>
      </c>
      <c r="R1641">
        <v>14.6</v>
      </c>
      <c r="S1641">
        <f>Tableau1[[#This Row],[Final_time]]-SUM(Tableau1[[#This Row],[0_100m]:[1300_1400m]])</f>
        <v>14.329999999999984</v>
      </c>
      <c r="T1641">
        <v>238.63</v>
      </c>
      <c r="U1641">
        <f t="shared" ref="U1641:U1654" si="60">SUM(E1641:S1641)</f>
        <v>238.63</v>
      </c>
      <c r="V1641">
        <f t="shared" ref="V1641:V1654" si="61">ABS(U1641-T1641)</f>
        <v>0</v>
      </c>
      <c r="X1641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1" t="s">
        <v>1892</v>
      </c>
      <c r="Z1641" s="2" t="s">
        <v>43</v>
      </c>
      <c r="AA1641" s="2"/>
      <c r="AB1641" s="2" t="s">
        <v>65</v>
      </c>
      <c r="AC1641" s="2">
        <v>46177</v>
      </c>
      <c r="AD1641" s="3">
        <v>2026</v>
      </c>
      <c r="AE1641" s="3">
        <v>21</v>
      </c>
      <c r="AF1641" s="5">
        <v>0.74</v>
      </c>
      <c r="AG1641" s="3" t="s">
        <v>62</v>
      </c>
    </row>
    <row r="1642" spans="1:33" hidden="1" x14ac:dyDescent="0.35">
      <c r="A1642" t="str">
        <f>_xlfn.CONCAT(Tableau1[[#This Row],[Athletes]],"_",Tableau1[[#This Row],[Nationality]],"_",Tableau1[[#This Row],[Competition_year]])</f>
        <v>Klaudia KAZIMIERSKA_POL_2026</v>
      </c>
      <c r="B1642" s="7" t="s">
        <v>1043</v>
      </c>
      <c r="C1642" t="s">
        <v>47</v>
      </c>
      <c r="D1642" s="7" t="s">
        <v>83</v>
      </c>
      <c r="E1642">
        <v>15.4</v>
      </c>
      <c r="F1642">
        <v>16.600000000000001</v>
      </c>
      <c r="G1642">
        <v>15.9</v>
      </c>
      <c r="H1642">
        <v>16.100000000000001</v>
      </c>
      <c r="I1642">
        <v>16.399999999999999</v>
      </c>
      <c r="J1642">
        <v>16.7</v>
      </c>
      <c r="K1642">
        <v>16.7</v>
      </c>
      <c r="L1642">
        <v>16.8</v>
      </c>
      <c r="M1642">
        <v>16.8</v>
      </c>
      <c r="N1642">
        <v>16.899999999999999</v>
      </c>
      <c r="O1642">
        <v>16.399999999999999</v>
      </c>
      <c r="P1642">
        <v>15.3</v>
      </c>
      <c r="Q1642">
        <v>14.5</v>
      </c>
      <c r="R1642">
        <v>14.5</v>
      </c>
      <c r="S1642">
        <f>Tableau1[[#This Row],[Final_time]]-SUM(Tableau1[[#This Row],[0_100m]:[1300_1400m]])</f>
        <v>14.239999999999952</v>
      </c>
      <c r="T1642">
        <v>239.24</v>
      </c>
      <c r="U1642">
        <f t="shared" si="60"/>
        <v>239.24</v>
      </c>
      <c r="V1642">
        <f t="shared" si="61"/>
        <v>0</v>
      </c>
      <c r="X1642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2" t="s">
        <v>1892</v>
      </c>
      <c r="Z1642" s="2" t="s">
        <v>43</v>
      </c>
      <c r="AA1642" s="2"/>
      <c r="AB1642" s="2" t="s">
        <v>65</v>
      </c>
      <c r="AC1642" s="2">
        <v>46177</v>
      </c>
      <c r="AD1642" s="3">
        <v>2026</v>
      </c>
      <c r="AE1642" s="3">
        <v>21</v>
      </c>
      <c r="AF1642" s="5">
        <v>0.74</v>
      </c>
      <c r="AG1642" s="3" t="s">
        <v>62</v>
      </c>
    </row>
    <row r="1643" spans="1:33" hidden="1" x14ac:dyDescent="0.35">
      <c r="A1643" t="str">
        <f>_xlfn.CONCAT(Tableau1[[#This Row],[Athletes]],"_",Tableau1[[#This Row],[Nationality]],"_",Tableau1[[#This Row],[Competition_year]])</f>
        <v>Nikki HILTZ_USA_2026</v>
      </c>
      <c r="B1643" s="7" t="s">
        <v>154</v>
      </c>
      <c r="C1643" t="s">
        <v>47</v>
      </c>
      <c r="D1643" s="7" t="s">
        <v>51</v>
      </c>
      <c r="E1643">
        <v>15.5</v>
      </c>
      <c r="F1643">
        <v>16.3</v>
      </c>
      <c r="G1643">
        <v>15.9</v>
      </c>
      <c r="H1643">
        <v>16.100000000000001</v>
      </c>
      <c r="I1643">
        <v>16.399999999999999</v>
      </c>
      <c r="J1643">
        <v>16.7</v>
      </c>
      <c r="K1643">
        <v>16.8</v>
      </c>
      <c r="L1643">
        <v>16.7</v>
      </c>
      <c r="M1643">
        <v>16.899999999999999</v>
      </c>
      <c r="N1643">
        <v>16.600000000000001</v>
      </c>
      <c r="O1643">
        <v>16.100000000000001</v>
      </c>
      <c r="P1643">
        <v>14.9</v>
      </c>
      <c r="Q1643">
        <v>14.7</v>
      </c>
      <c r="R1643">
        <v>15.1</v>
      </c>
      <c r="S1643">
        <f>Tableau1[[#This Row],[Final_time]]-SUM(Tableau1[[#This Row],[0_100m]:[1300_1400m]])</f>
        <v>14.560000000000002</v>
      </c>
      <c r="T1643">
        <v>239.26</v>
      </c>
      <c r="U1643">
        <f t="shared" si="60"/>
        <v>239.26</v>
      </c>
      <c r="V1643">
        <f t="shared" si="61"/>
        <v>0</v>
      </c>
      <c r="X1643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3" t="s">
        <v>1892</v>
      </c>
      <c r="Z1643" s="2" t="s">
        <v>43</v>
      </c>
      <c r="AA1643" s="2"/>
      <c r="AB1643" s="2" t="s">
        <v>65</v>
      </c>
      <c r="AC1643" s="2">
        <v>46177</v>
      </c>
      <c r="AD1643" s="3">
        <v>2026</v>
      </c>
      <c r="AE1643" s="3">
        <v>21</v>
      </c>
      <c r="AF1643" s="5">
        <v>0.74</v>
      </c>
      <c r="AG1643" s="3" t="s">
        <v>62</v>
      </c>
    </row>
    <row r="1644" spans="1:33" hidden="1" x14ac:dyDescent="0.35">
      <c r="A1644" t="str">
        <f>_xlfn.CONCAT(Tableau1[[#This Row],[Athletes]],"_",Tableau1[[#This Row],[Nationality]],"_",Tableau1[[#This Row],[Competition_year]])</f>
        <v>Agathe GUILLEMOT_FRA_2026</v>
      </c>
      <c r="B1644" s="7" t="s">
        <v>171</v>
      </c>
      <c r="C1644" t="s">
        <v>47</v>
      </c>
      <c r="D1644" s="7" t="s">
        <v>18</v>
      </c>
      <c r="E1644">
        <v>15.4</v>
      </c>
      <c r="F1644">
        <v>16.2</v>
      </c>
      <c r="G1644">
        <v>15.9</v>
      </c>
      <c r="H1644">
        <v>16</v>
      </c>
      <c r="I1644">
        <v>16.5</v>
      </c>
      <c r="J1644">
        <v>16.7</v>
      </c>
      <c r="K1644">
        <v>16.899999999999999</v>
      </c>
      <c r="L1644">
        <v>16.600000000000001</v>
      </c>
      <c r="M1644">
        <v>16.899999999999999</v>
      </c>
      <c r="N1644">
        <v>16.899999999999999</v>
      </c>
      <c r="O1644">
        <v>16.5</v>
      </c>
      <c r="P1644">
        <v>15.4</v>
      </c>
      <c r="Q1644">
        <v>15.1</v>
      </c>
      <c r="R1644">
        <v>14.8</v>
      </c>
      <c r="S1644">
        <f>Tableau1[[#This Row],[Final_time]]-SUM(Tableau1[[#This Row],[0_100m]:[1300_1400m]])</f>
        <v>14.659999999999997</v>
      </c>
      <c r="T1644">
        <v>240.46</v>
      </c>
      <c r="U1644">
        <f t="shared" si="60"/>
        <v>240.46</v>
      </c>
      <c r="V1644">
        <f t="shared" si="61"/>
        <v>0</v>
      </c>
      <c r="X1644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4" t="s">
        <v>1892</v>
      </c>
      <c r="Z1644" s="2" t="s">
        <v>43</v>
      </c>
      <c r="AA1644" s="2"/>
      <c r="AB1644" s="2" t="s">
        <v>65</v>
      </c>
      <c r="AC1644" s="2">
        <v>46177</v>
      </c>
      <c r="AD1644" s="3">
        <v>2026</v>
      </c>
      <c r="AE1644" s="3">
        <v>21</v>
      </c>
      <c r="AF1644" s="5">
        <v>0.74</v>
      </c>
      <c r="AG1644" s="3" t="s">
        <v>62</v>
      </c>
    </row>
    <row r="1645" spans="1:33" hidden="1" x14ac:dyDescent="0.35">
      <c r="A1645" t="str">
        <f>_xlfn.CONCAT(Tableau1[[#This Row],[Athletes]],"_",Tableau1[[#This Row],[Nationality]],"_",Tableau1[[#This Row],[Competition_year]])</f>
        <v>Patricia SILVA_POR_2026</v>
      </c>
      <c r="B1645" s="7" t="s">
        <v>1880</v>
      </c>
      <c r="C1645" t="s">
        <v>47</v>
      </c>
      <c r="D1645" s="7" t="s">
        <v>33</v>
      </c>
      <c r="E1645">
        <v>15.8</v>
      </c>
      <c r="F1645">
        <v>16.600000000000001</v>
      </c>
      <c r="G1645">
        <v>16.100000000000001</v>
      </c>
      <c r="H1645">
        <v>16.100000000000001</v>
      </c>
      <c r="I1645">
        <v>16.3</v>
      </c>
      <c r="J1645">
        <v>16.7</v>
      </c>
      <c r="K1645">
        <v>16.5</v>
      </c>
      <c r="L1645">
        <v>16.2</v>
      </c>
      <c r="M1645">
        <v>17</v>
      </c>
      <c r="N1645">
        <v>17</v>
      </c>
      <c r="O1645">
        <v>16.5</v>
      </c>
      <c r="P1645">
        <v>15.3</v>
      </c>
      <c r="Q1645">
        <v>14.4</v>
      </c>
      <c r="R1645">
        <v>14.8</v>
      </c>
      <c r="S1645">
        <f>Tableau1[[#This Row],[Final_time]]-SUM(Tableau1[[#This Row],[0_100m]:[1300_1400m]])</f>
        <v>15.559999999999974</v>
      </c>
      <c r="T1645">
        <v>240.86</v>
      </c>
      <c r="U1645">
        <f t="shared" si="60"/>
        <v>240.86</v>
      </c>
      <c r="V1645">
        <f t="shared" si="61"/>
        <v>0</v>
      </c>
      <c r="X1645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5" t="s">
        <v>1892</v>
      </c>
      <c r="Z1645" s="2" t="s">
        <v>43</v>
      </c>
      <c r="AA1645" s="2"/>
      <c r="AB1645" s="2" t="s">
        <v>65</v>
      </c>
      <c r="AC1645" s="2">
        <v>46177</v>
      </c>
      <c r="AD1645" s="3">
        <v>2026</v>
      </c>
      <c r="AE1645" s="3">
        <v>21</v>
      </c>
      <c r="AF1645" s="5">
        <v>0.74</v>
      </c>
      <c r="AG1645" s="3" t="s">
        <v>62</v>
      </c>
    </row>
    <row r="1646" spans="1:33" hidden="1" x14ac:dyDescent="0.35">
      <c r="A1646" t="str">
        <f>_xlfn.CONCAT(Tableau1[[#This Row],[Athletes]],"_",Tableau1[[#This Row],[Nationality]],"_",Tableau1[[#This Row],[Competition_year]])</f>
        <v>Ludovica CAVALLI_ITA_2026</v>
      </c>
      <c r="B1646" s="7" t="s">
        <v>182</v>
      </c>
      <c r="C1646" t="s">
        <v>47</v>
      </c>
      <c r="D1646" s="7" t="s">
        <v>19</v>
      </c>
      <c r="E1646">
        <v>15.7</v>
      </c>
      <c r="F1646">
        <v>16.5</v>
      </c>
      <c r="G1646">
        <v>16.100000000000001</v>
      </c>
      <c r="H1646">
        <v>16.100000000000001</v>
      </c>
      <c r="I1646">
        <v>16.5</v>
      </c>
      <c r="J1646">
        <v>16.600000000000001</v>
      </c>
      <c r="K1646">
        <v>16.399999999999999</v>
      </c>
      <c r="L1646">
        <v>16.899999999999999</v>
      </c>
      <c r="M1646">
        <v>16.8</v>
      </c>
      <c r="N1646">
        <v>16.7</v>
      </c>
      <c r="O1646">
        <v>16.5</v>
      </c>
      <c r="P1646">
        <v>15.6</v>
      </c>
      <c r="Q1646">
        <v>15</v>
      </c>
      <c r="R1646">
        <v>15.2</v>
      </c>
      <c r="S1646">
        <f>Tableau1[[#This Row],[Final_time]]-SUM(Tableau1[[#This Row],[0_100m]:[1300_1400m]])</f>
        <v>15.039999999999992</v>
      </c>
      <c r="T1646">
        <v>241.64</v>
      </c>
      <c r="U1646">
        <f t="shared" si="60"/>
        <v>241.64</v>
      </c>
      <c r="V1646">
        <f t="shared" si="61"/>
        <v>0</v>
      </c>
      <c r="X1646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6" t="s">
        <v>1892</v>
      </c>
      <c r="Z1646" s="2" t="s">
        <v>43</v>
      </c>
      <c r="AA1646" s="2"/>
      <c r="AB1646" s="2" t="s">
        <v>65</v>
      </c>
      <c r="AC1646" s="2">
        <v>46177</v>
      </c>
      <c r="AD1646" s="3">
        <v>2026</v>
      </c>
      <c r="AE1646" s="3">
        <v>21</v>
      </c>
      <c r="AF1646" s="5">
        <v>0.74</v>
      </c>
      <c r="AG1646" s="3" t="s">
        <v>62</v>
      </c>
    </row>
    <row r="1647" spans="1:33" hidden="1" x14ac:dyDescent="0.35">
      <c r="A1647" t="str">
        <f>_xlfn.CONCAT(Tableau1[[#This Row],[Athletes]],"_",Tableau1[[#This Row],[Nationality]],"_",Tableau1[[#This Row],[Competition_year]])</f>
        <v>Abbey CALDWELL_AUS_2026</v>
      </c>
      <c r="B1647" s="7" t="s">
        <v>156</v>
      </c>
      <c r="C1647" t="s">
        <v>47</v>
      </c>
      <c r="D1647" s="7" t="s">
        <v>21</v>
      </c>
      <c r="E1647">
        <v>15.3</v>
      </c>
      <c r="F1647">
        <v>16</v>
      </c>
      <c r="G1647">
        <v>16</v>
      </c>
      <c r="H1647">
        <v>16</v>
      </c>
      <c r="I1647">
        <v>16.5</v>
      </c>
      <c r="J1647">
        <v>16.7</v>
      </c>
      <c r="K1647">
        <v>16.8</v>
      </c>
      <c r="L1647">
        <v>16.7</v>
      </c>
      <c r="M1647">
        <v>16.899999999999999</v>
      </c>
      <c r="N1647">
        <v>16.899999999999999</v>
      </c>
      <c r="O1647">
        <v>16.5</v>
      </c>
      <c r="P1647">
        <v>15.4</v>
      </c>
      <c r="Q1647">
        <v>15.3</v>
      </c>
      <c r="R1647">
        <v>15.5</v>
      </c>
      <c r="S1647">
        <f>Tableau1[[#This Row],[Final_time]]-SUM(Tableau1[[#This Row],[0_100m]:[1300_1400m]])</f>
        <v>15.649999999999977</v>
      </c>
      <c r="T1647">
        <v>242.15</v>
      </c>
      <c r="U1647">
        <f t="shared" si="60"/>
        <v>242.15</v>
      </c>
      <c r="V1647">
        <f t="shared" si="61"/>
        <v>0</v>
      </c>
      <c r="X1647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7" t="s">
        <v>1892</v>
      </c>
      <c r="Z1647" s="2" t="s">
        <v>43</v>
      </c>
      <c r="AA1647" s="2"/>
      <c r="AB1647" s="2" t="s">
        <v>65</v>
      </c>
      <c r="AC1647" s="2">
        <v>46177</v>
      </c>
      <c r="AD1647" s="3">
        <v>2026</v>
      </c>
      <c r="AE1647" s="3">
        <v>21</v>
      </c>
      <c r="AF1647" s="5">
        <v>0.74</v>
      </c>
      <c r="AG1647" s="3" t="s">
        <v>62</v>
      </c>
    </row>
    <row r="1648" spans="1:33" hidden="1" x14ac:dyDescent="0.35">
      <c r="A1648" t="str">
        <f>_xlfn.CONCAT(Tableau1[[#This Row],[Athletes]],"_",Tableau1[[#This Row],[Nationality]],"_",Tableau1[[#This Row],[Competition_year]])</f>
        <v>Salomé AFONSO_POR_2026</v>
      </c>
      <c r="B1648" s="7" t="s">
        <v>174</v>
      </c>
      <c r="C1648" t="s">
        <v>47</v>
      </c>
      <c r="D1648" s="7" t="s">
        <v>33</v>
      </c>
      <c r="E1648">
        <v>15.7</v>
      </c>
      <c r="F1648">
        <v>16.5</v>
      </c>
      <c r="G1648">
        <v>16.2</v>
      </c>
      <c r="H1648">
        <v>16.3</v>
      </c>
      <c r="I1648">
        <v>16.399999999999999</v>
      </c>
      <c r="J1648">
        <v>16.7</v>
      </c>
      <c r="K1648">
        <v>16.5</v>
      </c>
      <c r="L1648">
        <v>16.5</v>
      </c>
      <c r="M1648">
        <v>16.899999999999999</v>
      </c>
      <c r="N1648">
        <v>16.8</v>
      </c>
      <c r="O1648">
        <v>16.100000000000001</v>
      </c>
      <c r="P1648">
        <v>15.3</v>
      </c>
      <c r="Q1648">
        <v>14.9</v>
      </c>
      <c r="R1648">
        <v>15.4</v>
      </c>
      <c r="S1648">
        <f>Tableau1[[#This Row],[Final_time]]-SUM(Tableau1[[#This Row],[0_100m]:[1300_1400m]])</f>
        <v>16.799999999999955</v>
      </c>
      <c r="T1648">
        <v>243</v>
      </c>
      <c r="U1648">
        <f t="shared" si="60"/>
        <v>243</v>
      </c>
      <c r="V1648">
        <f t="shared" si="61"/>
        <v>0</v>
      </c>
      <c r="X1648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8" t="s">
        <v>1892</v>
      </c>
      <c r="Z1648" s="2" t="s">
        <v>43</v>
      </c>
      <c r="AA1648" s="2"/>
      <c r="AB1648" s="2" t="s">
        <v>65</v>
      </c>
      <c r="AC1648" s="2">
        <v>46177</v>
      </c>
      <c r="AD1648" s="3">
        <v>2026</v>
      </c>
      <c r="AE1648" s="3">
        <v>21</v>
      </c>
      <c r="AF1648" s="5">
        <v>0.74</v>
      </c>
      <c r="AG1648" s="3" t="s">
        <v>62</v>
      </c>
    </row>
    <row r="1649" spans="1:33" hidden="1" x14ac:dyDescent="0.35">
      <c r="A1649" t="str">
        <f>_xlfn.CONCAT(Tableau1[[#This Row],[Athletes]],"_",Tableau1[[#This Row],[Nationality]],"_",Tableau1[[#This Row],[Competition_year]])</f>
        <v>Haregeweyni KALAYU_ETH_2026</v>
      </c>
      <c r="B1649" s="7" t="s">
        <v>1879</v>
      </c>
      <c r="C1649" t="s">
        <v>47</v>
      </c>
      <c r="D1649" s="7" t="s">
        <v>48</v>
      </c>
      <c r="E1649">
        <v>15.9</v>
      </c>
      <c r="F1649">
        <v>16.3</v>
      </c>
      <c r="G1649">
        <v>15.8</v>
      </c>
      <c r="H1649">
        <v>16.100000000000001</v>
      </c>
      <c r="I1649">
        <v>16.399999999999999</v>
      </c>
      <c r="J1649">
        <v>16.7</v>
      </c>
      <c r="K1649">
        <v>16.600000000000001</v>
      </c>
      <c r="L1649">
        <v>16.8</v>
      </c>
      <c r="M1649">
        <v>16.899999999999999</v>
      </c>
      <c r="N1649">
        <v>16.899999999999999</v>
      </c>
      <c r="O1649">
        <v>16.2</v>
      </c>
      <c r="P1649">
        <v>15.6</v>
      </c>
      <c r="Q1649">
        <v>15.4</v>
      </c>
      <c r="R1649">
        <v>15.9</v>
      </c>
      <c r="S1649">
        <f>Tableau1[[#This Row],[Final_time]]-SUM(Tableau1[[#This Row],[0_100m]:[1300_1400m]])</f>
        <v>15.929999999999978</v>
      </c>
      <c r="T1649">
        <v>243.43</v>
      </c>
      <c r="U1649">
        <f t="shared" si="60"/>
        <v>243.43</v>
      </c>
      <c r="V1649">
        <f t="shared" si="61"/>
        <v>0</v>
      </c>
      <c r="X1649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49" t="s">
        <v>1892</v>
      </c>
      <c r="Z1649" s="2" t="s">
        <v>43</v>
      </c>
      <c r="AA1649" s="2"/>
      <c r="AB1649" s="2" t="s">
        <v>65</v>
      </c>
      <c r="AC1649" s="2">
        <v>46177</v>
      </c>
      <c r="AD1649" s="3">
        <v>2026</v>
      </c>
      <c r="AE1649" s="3">
        <v>21</v>
      </c>
      <c r="AF1649" s="5">
        <v>0.74</v>
      </c>
      <c r="AG1649" s="3" t="s">
        <v>62</v>
      </c>
    </row>
    <row r="1650" spans="1:33" hidden="1" x14ac:dyDescent="0.35">
      <c r="A1650" t="str">
        <f>_xlfn.CONCAT(Tableau1[[#This Row],[Athletes]],"_",Tableau1[[#This Row],[Nationality]],"_",Tableau1[[#This Row],[Competition_year]])</f>
        <v>Águeda MARQUÉS_ESP_2026</v>
      </c>
      <c r="B1650" s="7" t="s">
        <v>724</v>
      </c>
      <c r="C1650" t="s">
        <v>47</v>
      </c>
      <c r="D1650" s="7" t="s">
        <v>22</v>
      </c>
      <c r="E1650">
        <v>16.2</v>
      </c>
      <c r="F1650">
        <v>16.399999999999999</v>
      </c>
      <c r="G1650">
        <v>16.100000000000001</v>
      </c>
      <c r="H1650">
        <v>16.3</v>
      </c>
      <c r="I1650">
        <v>16.3</v>
      </c>
      <c r="J1650">
        <v>16.600000000000001</v>
      </c>
      <c r="K1650">
        <v>16.8</v>
      </c>
      <c r="L1650">
        <v>16.600000000000001</v>
      </c>
      <c r="M1650">
        <v>16.7</v>
      </c>
      <c r="N1650">
        <v>17.2</v>
      </c>
      <c r="O1650">
        <v>15.9</v>
      </c>
      <c r="P1650">
        <v>15.6</v>
      </c>
      <c r="Q1650">
        <v>15.1</v>
      </c>
      <c r="R1650">
        <v>15.9</v>
      </c>
      <c r="S1650">
        <f>Tableau1[[#This Row],[Final_time]]-SUM(Tableau1[[#This Row],[0_100m]:[1300_1400m]])</f>
        <v>15.920000000000016</v>
      </c>
      <c r="T1650">
        <v>243.62</v>
      </c>
      <c r="U1650">
        <f t="shared" si="60"/>
        <v>243.62</v>
      </c>
      <c r="V1650">
        <f t="shared" si="61"/>
        <v>0</v>
      </c>
      <c r="X1650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50" t="s">
        <v>1892</v>
      </c>
      <c r="Z1650" s="2" t="s">
        <v>43</v>
      </c>
      <c r="AA1650" s="2"/>
      <c r="AB1650" s="2" t="s">
        <v>65</v>
      </c>
      <c r="AC1650" s="2">
        <v>46177</v>
      </c>
      <c r="AD1650" s="3">
        <v>2026</v>
      </c>
      <c r="AE1650" s="3">
        <v>21</v>
      </c>
      <c r="AF1650" s="5">
        <v>0.74</v>
      </c>
      <c r="AG1650" s="3" t="s">
        <v>62</v>
      </c>
    </row>
    <row r="1651" spans="1:33" hidden="1" x14ac:dyDescent="0.35">
      <c r="A1651" t="str">
        <f>_xlfn.CONCAT(Tableau1[[#This Row],[Athletes]],"_",Tableau1[[#This Row],[Nationality]],"_",Tableau1[[#This Row],[Competition_year]])</f>
        <v>Jemma REEKIE_GBR_2026</v>
      </c>
      <c r="B1651" s="7" t="s">
        <v>374</v>
      </c>
      <c r="C1651" t="s">
        <v>47</v>
      </c>
      <c r="D1651" s="7" t="s">
        <v>20</v>
      </c>
      <c r="E1651">
        <v>16</v>
      </c>
      <c r="F1651">
        <v>16.100000000000001</v>
      </c>
      <c r="G1651">
        <v>16.100000000000001</v>
      </c>
      <c r="H1651">
        <v>16.100000000000001</v>
      </c>
      <c r="I1651">
        <v>16.2</v>
      </c>
      <c r="J1651">
        <v>16.7</v>
      </c>
      <c r="K1651">
        <v>16.3</v>
      </c>
      <c r="L1651">
        <v>16.8</v>
      </c>
      <c r="M1651">
        <v>16.8</v>
      </c>
      <c r="N1651">
        <v>17</v>
      </c>
      <c r="O1651">
        <v>16.100000000000001</v>
      </c>
      <c r="P1651">
        <v>15.2</v>
      </c>
      <c r="Q1651">
        <v>15.5</v>
      </c>
      <c r="R1651">
        <v>16.5</v>
      </c>
      <c r="S1651">
        <f>Tableau1[[#This Row],[Final_time]]-SUM(Tableau1[[#This Row],[0_100m]:[1300_1400m]])</f>
        <v>17.989999999999981</v>
      </c>
      <c r="T1651">
        <v>245.39</v>
      </c>
      <c r="U1651">
        <f t="shared" si="60"/>
        <v>245.39</v>
      </c>
      <c r="V1651">
        <f t="shared" si="61"/>
        <v>0</v>
      </c>
      <c r="X1651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51" t="s">
        <v>1892</v>
      </c>
      <c r="Z1651" s="2" t="s">
        <v>43</v>
      </c>
      <c r="AA1651" s="2"/>
      <c r="AB1651" s="2" t="s">
        <v>65</v>
      </c>
      <c r="AC1651" s="2">
        <v>46177</v>
      </c>
      <c r="AD1651" s="3">
        <v>2026</v>
      </c>
      <c r="AE1651" s="3">
        <v>21</v>
      </c>
      <c r="AF1651" s="5">
        <v>0.74</v>
      </c>
      <c r="AG1651" s="3" t="s">
        <v>62</v>
      </c>
    </row>
    <row r="1652" spans="1:33" hidden="1" x14ac:dyDescent="0.35">
      <c r="A1652" t="str">
        <f>_xlfn.CONCAT(Tableau1[[#This Row],[Athletes]],"_",Tableau1[[#This Row],[Nationality]],"_",Tableau1[[#This Row],[Competition_year]])</f>
        <v>Heather MACLEAN_USA_2026</v>
      </c>
      <c r="B1652" s="7" t="s">
        <v>355</v>
      </c>
      <c r="C1652" t="s">
        <v>47</v>
      </c>
      <c r="D1652" s="7" t="s">
        <v>51</v>
      </c>
      <c r="E1652">
        <v>15.6</v>
      </c>
      <c r="F1652">
        <v>16.399999999999999</v>
      </c>
      <c r="G1652">
        <v>16.100000000000001</v>
      </c>
      <c r="H1652">
        <v>16.2</v>
      </c>
      <c r="I1652">
        <v>16.399999999999999</v>
      </c>
      <c r="J1652">
        <v>16.600000000000001</v>
      </c>
      <c r="K1652">
        <v>16.7</v>
      </c>
      <c r="L1652">
        <v>17</v>
      </c>
      <c r="M1652">
        <v>16.8</v>
      </c>
      <c r="N1652">
        <v>16.899999999999999</v>
      </c>
      <c r="O1652">
        <v>16.8</v>
      </c>
      <c r="P1652">
        <v>16.3</v>
      </c>
      <c r="Q1652">
        <v>16.5</v>
      </c>
      <c r="R1652">
        <v>16.2</v>
      </c>
      <c r="S1652">
        <f>Tableau1[[#This Row],[Final_time]]-SUM(Tableau1[[#This Row],[0_100m]:[1300_1400m]])</f>
        <v>16.239999999999981</v>
      </c>
      <c r="T1652">
        <v>246.74</v>
      </c>
      <c r="U1652">
        <f t="shared" si="60"/>
        <v>246.74</v>
      </c>
      <c r="V1652">
        <f t="shared" si="61"/>
        <v>0</v>
      </c>
      <c r="X1652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52" t="s">
        <v>1892</v>
      </c>
      <c r="Z1652" s="2" t="s">
        <v>43</v>
      </c>
      <c r="AA1652" s="2"/>
      <c r="AB1652" s="2" t="s">
        <v>65</v>
      </c>
      <c r="AC1652" s="2">
        <v>46177</v>
      </c>
      <c r="AD1652" s="3">
        <v>2026</v>
      </c>
      <c r="AE1652" s="3">
        <v>21</v>
      </c>
      <c r="AF1652" s="5">
        <v>0.74</v>
      </c>
      <c r="AG1652" s="3" t="s">
        <v>62</v>
      </c>
    </row>
    <row r="1653" spans="1:33" hidden="1" x14ac:dyDescent="0.35">
      <c r="A1653" t="str">
        <f>_xlfn.CONCAT(Tableau1[[#This Row],[Athletes]],"_",Tableau1[[#This Row],[Nationality]],"_",Tableau1[[#This Row],[Competition_year]])</f>
        <v>Gaia SABBATINI_ITA_2026</v>
      </c>
      <c r="B1653" s="7" t="s">
        <v>167</v>
      </c>
      <c r="C1653" t="s">
        <v>47</v>
      </c>
      <c r="D1653" s="7" t="s">
        <v>19</v>
      </c>
      <c r="E1653">
        <v>16</v>
      </c>
      <c r="F1653">
        <v>16.5</v>
      </c>
      <c r="G1653">
        <v>16.100000000000001</v>
      </c>
      <c r="H1653">
        <v>16.2</v>
      </c>
      <c r="I1653">
        <v>16.3</v>
      </c>
      <c r="J1653">
        <v>16.600000000000001</v>
      </c>
      <c r="K1653">
        <v>16.8</v>
      </c>
      <c r="L1653">
        <v>16.7</v>
      </c>
      <c r="M1653">
        <v>16.8</v>
      </c>
      <c r="N1653">
        <v>17.100000000000001</v>
      </c>
      <c r="O1653">
        <v>16.600000000000001</v>
      </c>
      <c r="P1653">
        <v>16.399999999999999</v>
      </c>
      <c r="Q1653">
        <v>16.5</v>
      </c>
      <c r="R1653">
        <v>16.100000000000001</v>
      </c>
      <c r="S1653">
        <f>Tableau1[[#This Row],[Final_time]]-SUM(Tableau1[[#This Row],[0_100m]:[1300_1400m]])</f>
        <v>16.340000000000003</v>
      </c>
      <c r="T1653">
        <v>247.04</v>
      </c>
      <c r="U1653">
        <f t="shared" si="60"/>
        <v>247.04</v>
      </c>
      <c r="V1653">
        <f t="shared" si="61"/>
        <v>0</v>
      </c>
      <c r="X1653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53" t="s">
        <v>1892</v>
      </c>
      <c r="Z1653" s="2" t="s">
        <v>43</v>
      </c>
      <c r="AA1653" s="2"/>
      <c r="AB1653" s="2" t="s">
        <v>65</v>
      </c>
      <c r="AC1653" s="2">
        <v>46177</v>
      </c>
      <c r="AD1653" s="3">
        <v>2026</v>
      </c>
      <c r="AE1653" s="3">
        <v>21</v>
      </c>
      <c r="AF1653" s="5">
        <v>0.74</v>
      </c>
      <c r="AG1653" s="3" t="s">
        <v>62</v>
      </c>
    </row>
    <row r="1654" spans="1:33" hidden="1" x14ac:dyDescent="0.35">
      <c r="A1654" t="str">
        <f>_xlfn.CONCAT(Tableau1[[#This Row],[Athletes]],"_",Tableau1[[#This Row],[Nationality]],"_",Tableau1[[#This Row],[Competition_year]])</f>
        <v>Laura MUIR_GBR_2026</v>
      </c>
      <c r="B1654" s="7" t="s">
        <v>153</v>
      </c>
      <c r="C1654" t="s">
        <v>47</v>
      </c>
      <c r="D1654" s="7" t="s">
        <v>20</v>
      </c>
      <c r="E1654">
        <v>15.7</v>
      </c>
      <c r="F1654">
        <v>16.7</v>
      </c>
      <c r="G1654">
        <v>15.9</v>
      </c>
      <c r="H1654">
        <v>16.2</v>
      </c>
      <c r="I1654">
        <v>16.2</v>
      </c>
      <c r="J1654">
        <v>16.7</v>
      </c>
      <c r="K1654">
        <v>16.2</v>
      </c>
      <c r="L1654">
        <v>16.899999999999999</v>
      </c>
      <c r="M1654">
        <v>17</v>
      </c>
      <c r="N1654">
        <v>17.399999999999999</v>
      </c>
      <c r="O1654">
        <v>17.100000000000001</v>
      </c>
      <c r="P1654">
        <v>16.8</v>
      </c>
      <c r="Q1654">
        <v>17.2</v>
      </c>
      <c r="R1654">
        <v>17</v>
      </c>
      <c r="S1654">
        <f>Tableau1[[#This Row],[Final_time]]-SUM(Tableau1[[#This Row],[0_100m]:[1300_1400m]])</f>
        <v>17.539999999999992</v>
      </c>
      <c r="T1654">
        <v>250.54</v>
      </c>
      <c r="U1654">
        <f t="shared" si="60"/>
        <v>250.54</v>
      </c>
      <c r="V1654">
        <f t="shared" si="61"/>
        <v>0</v>
      </c>
      <c r="X1654" t="str">
        <f>_xlfn.CONCAT(Tableau1[[#This Row],[Competition]],"_",Tableau1[[#This Row],[Championship_step]],"_",Tableau1[[#This Row],[Competition_date]],"_",Tableau1[[#This Row],[Gender]])</f>
        <v>Diamond League Rome 2026__46177_Female</v>
      </c>
      <c r="Y1654" t="s">
        <v>1892</v>
      </c>
      <c r="Z1654" s="2" t="s">
        <v>43</v>
      </c>
      <c r="AA1654" s="2"/>
      <c r="AB1654" s="2" t="s">
        <v>65</v>
      </c>
      <c r="AC1654" s="2">
        <v>46177</v>
      </c>
      <c r="AD1654" s="3">
        <v>2026</v>
      </c>
      <c r="AE1654" s="3">
        <v>21</v>
      </c>
      <c r="AF1654" s="5">
        <v>0.74</v>
      </c>
      <c r="AG1654" s="3" t="s">
        <v>62</v>
      </c>
    </row>
    <row r="1655" spans="1:33" hidden="1" x14ac:dyDescent="0.35">
      <c r="A1655" t="str">
        <f>_xlfn.CONCAT(Tableau1[[#This Row],[Athletes]],"_",Tableau1[[#This Row],[Nationality]],"_",Tableau1[[#This Row],[Competition_year]])</f>
        <v>Patricia SILVA_POR_2026</v>
      </c>
      <c r="B1655" s="7" t="s">
        <v>1880</v>
      </c>
      <c r="C1655" t="s">
        <v>47</v>
      </c>
      <c r="D1655" s="7" t="s">
        <v>33</v>
      </c>
      <c r="E1655">
        <v>15.7</v>
      </c>
      <c r="F1655">
        <v>16.3</v>
      </c>
      <c r="G1655">
        <v>16.3</v>
      </c>
      <c r="H1655">
        <v>16.2</v>
      </c>
      <c r="I1655">
        <v>16.2</v>
      </c>
      <c r="J1655">
        <v>16.2</v>
      </c>
      <c r="K1655">
        <v>16.3</v>
      </c>
      <c r="L1655">
        <v>16.600000000000001</v>
      </c>
      <c r="M1655">
        <v>17.2</v>
      </c>
      <c r="N1655">
        <v>17.3</v>
      </c>
      <c r="O1655">
        <v>16.5</v>
      </c>
      <c r="P1655">
        <v>16.2</v>
      </c>
      <c r="Q1655">
        <v>17.2</v>
      </c>
      <c r="R1655">
        <v>17.2</v>
      </c>
      <c r="S1655">
        <f>Tableau1[[#This Row],[Final_time]]-SUM(Tableau1[[#This Row],[0_100m]:[1300_1400m]])</f>
        <v>17.120000000000033</v>
      </c>
      <c r="T1655">
        <v>248.52</v>
      </c>
      <c r="U1655">
        <f t="shared" ref="U1655:U1668" si="62">SUM(E1655:S1655)</f>
        <v>248.52</v>
      </c>
      <c r="V1655">
        <f t="shared" ref="V1655:V1668" si="63">ABS(U1655-T1655)</f>
        <v>0</v>
      </c>
      <c r="X1655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55" t="s">
        <v>1904</v>
      </c>
      <c r="Z1655" s="2" t="s">
        <v>43</v>
      </c>
      <c r="AA1655" s="2"/>
      <c r="AB1655" s="2" t="s">
        <v>44</v>
      </c>
      <c r="AC1655" s="2">
        <v>46183</v>
      </c>
      <c r="AD1655" s="3">
        <v>2026</v>
      </c>
      <c r="AE1655" s="3">
        <v>15</v>
      </c>
      <c r="AF1655" s="5">
        <v>0.63</v>
      </c>
      <c r="AG1655" s="3" t="s">
        <v>62</v>
      </c>
    </row>
    <row r="1656" spans="1:33" hidden="1" x14ac:dyDescent="0.35">
      <c r="A1656" t="str">
        <f>_xlfn.CONCAT(Tableau1[[#This Row],[Athletes]],"_",Tableau1[[#This Row],[Nationality]],"_",Tableau1[[#This Row],[Competition_year]])</f>
        <v>Eimear MAHER_IRL_2026</v>
      </c>
      <c r="B1656" s="7" t="s">
        <v>1893</v>
      </c>
      <c r="C1656" t="s">
        <v>47</v>
      </c>
      <c r="D1656" s="7" t="s">
        <v>35</v>
      </c>
      <c r="E1656">
        <v>16.2</v>
      </c>
      <c r="F1656">
        <v>16.600000000000001</v>
      </c>
      <c r="G1656">
        <v>16.3</v>
      </c>
      <c r="H1656">
        <v>16.7</v>
      </c>
      <c r="I1656">
        <v>16.8</v>
      </c>
      <c r="J1656">
        <v>16.3</v>
      </c>
      <c r="K1656">
        <v>16.399999999999999</v>
      </c>
      <c r="L1656">
        <v>16.899999999999999</v>
      </c>
      <c r="M1656">
        <v>17.100000000000001</v>
      </c>
      <c r="N1656">
        <v>17.3</v>
      </c>
      <c r="O1656">
        <v>17</v>
      </c>
      <c r="P1656">
        <v>16.3</v>
      </c>
      <c r="Q1656">
        <v>16.5</v>
      </c>
      <c r="R1656">
        <v>17</v>
      </c>
      <c r="S1656">
        <f>Tableau1[[#This Row],[Final_time]]-SUM(Tableau1[[#This Row],[0_100m]:[1300_1400m]])</f>
        <v>16.53</v>
      </c>
      <c r="T1656">
        <v>249.93</v>
      </c>
      <c r="U1656">
        <f t="shared" si="62"/>
        <v>249.93</v>
      </c>
      <c r="V1656">
        <f t="shared" si="63"/>
        <v>0</v>
      </c>
      <c r="X1656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56" t="s">
        <v>1904</v>
      </c>
      <c r="Z1656" s="2" t="s">
        <v>43</v>
      </c>
      <c r="AA1656" s="2"/>
      <c r="AB1656" s="2" t="s">
        <v>44</v>
      </c>
      <c r="AC1656" s="2">
        <v>46183</v>
      </c>
      <c r="AD1656" s="3">
        <v>2026</v>
      </c>
      <c r="AE1656" s="3">
        <v>15</v>
      </c>
      <c r="AF1656" s="5">
        <v>0.63</v>
      </c>
      <c r="AG1656" s="3" t="s">
        <v>62</v>
      </c>
    </row>
    <row r="1657" spans="1:33" hidden="1" x14ac:dyDescent="0.35">
      <c r="A1657" t="str">
        <f>_xlfn.CONCAT(Tableau1[[#This Row],[Athletes]],"_",Tableau1[[#This Row],[Nationality]],"_",Tableau1[[#This Row],[Competition_year]])</f>
        <v>Anne Gine LØVNES_NOR_2026</v>
      </c>
      <c r="B1657" s="7" t="s">
        <v>1395</v>
      </c>
      <c r="C1657" t="s">
        <v>47</v>
      </c>
      <c r="D1657" s="7" t="s">
        <v>30</v>
      </c>
      <c r="E1657">
        <v>16</v>
      </c>
      <c r="F1657">
        <v>16.399999999999999</v>
      </c>
      <c r="G1657">
        <v>16.3</v>
      </c>
      <c r="H1657">
        <v>16.600000000000001</v>
      </c>
      <c r="I1657">
        <v>16.5</v>
      </c>
      <c r="J1657">
        <v>16.2</v>
      </c>
      <c r="K1657">
        <v>16.399999999999999</v>
      </c>
      <c r="L1657">
        <v>16.899999999999999</v>
      </c>
      <c r="M1657">
        <v>17</v>
      </c>
      <c r="N1657">
        <v>17.2</v>
      </c>
      <c r="O1657">
        <v>17</v>
      </c>
      <c r="P1657">
        <v>16.600000000000001</v>
      </c>
      <c r="Q1657">
        <v>17.2</v>
      </c>
      <c r="R1657">
        <v>17</v>
      </c>
      <c r="S1657">
        <f>Tableau1[[#This Row],[Final_time]]-SUM(Tableau1[[#This Row],[0_100m]:[1300_1400m]])</f>
        <v>16.900000000000006</v>
      </c>
      <c r="T1657">
        <v>250.2</v>
      </c>
      <c r="U1657">
        <f t="shared" si="62"/>
        <v>250.2</v>
      </c>
      <c r="V1657">
        <f t="shared" si="63"/>
        <v>0</v>
      </c>
      <c r="X1657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57" t="s">
        <v>1904</v>
      </c>
      <c r="Z1657" s="2" t="s">
        <v>43</v>
      </c>
      <c r="AA1657" s="2"/>
      <c r="AB1657" s="2" t="s">
        <v>44</v>
      </c>
      <c r="AC1657" s="2">
        <v>46183</v>
      </c>
      <c r="AD1657" s="3">
        <v>2026</v>
      </c>
      <c r="AE1657" s="3">
        <v>15</v>
      </c>
      <c r="AF1657" s="5">
        <v>0.63</v>
      </c>
      <c r="AG1657" s="3" t="s">
        <v>62</v>
      </c>
    </row>
    <row r="1658" spans="1:33" hidden="1" x14ac:dyDescent="0.35">
      <c r="A1658" t="str">
        <f>_xlfn.CONCAT(Tableau1[[#This Row],[Athletes]],"_",Tableau1[[#This Row],[Nationality]],"_",Tableau1[[#This Row],[Competition_year]])</f>
        <v>Ingeborg ØSTGÅRD_NOR_2026</v>
      </c>
      <c r="B1658" s="7" t="s">
        <v>1410</v>
      </c>
      <c r="C1658" t="s">
        <v>47</v>
      </c>
      <c r="D1658" s="7" t="s">
        <v>30</v>
      </c>
      <c r="E1658">
        <v>16.2</v>
      </c>
      <c r="F1658">
        <v>16.399999999999999</v>
      </c>
      <c r="G1658">
        <v>16.3</v>
      </c>
      <c r="H1658">
        <v>16.7</v>
      </c>
      <c r="I1658">
        <v>16.399999999999999</v>
      </c>
      <c r="J1658">
        <v>16.3</v>
      </c>
      <c r="K1658">
        <v>16.3</v>
      </c>
      <c r="L1658">
        <v>16.899999999999999</v>
      </c>
      <c r="M1658">
        <v>17</v>
      </c>
      <c r="N1658">
        <v>17.2</v>
      </c>
      <c r="O1658">
        <v>17</v>
      </c>
      <c r="P1658">
        <v>16.600000000000001</v>
      </c>
      <c r="Q1658">
        <v>17.3</v>
      </c>
      <c r="R1658">
        <v>17.100000000000001</v>
      </c>
      <c r="S1658">
        <f>Tableau1[[#This Row],[Final_time]]-SUM(Tableau1[[#This Row],[0_100m]:[1300_1400m]])</f>
        <v>16.850000000000023</v>
      </c>
      <c r="T1658">
        <v>250.55</v>
      </c>
      <c r="U1658">
        <f t="shared" si="62"/>
        <v>250.55</v>
      </c>
      <c r="V1658">
        <f t="shared" si="63"/>
        <v>0</v>
      </c>
      <c r="X1658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58" t="s">
        <v>1904</v>
      </c>
      <c r="Z1658" s="2" t="s">
        <v>43</v>
      </c>
      <c r="AA1658" s="2"/>
      <c r="AB1658" s="2" t="s">
        <v>44</v>
      </c>
      <c r="AC1658" s="2">
        <v>46183</v>
      </c>
      <c r="AD1658" s="3">
        <v>2026</v>
      </c>
      <c r="AE1658" s="3">
        <v>15</v>
      </c>
      <c r="AF1658" s="5">
        <v>0.63</v>
      </c>
      <c r="AG1658" s="3" t="s">
        <v>62</v>
      </c>
    </row>
    <row r="1659" spans="1:33" hidden="1" x14ac:dyDescent="0.35">
      <c r="A1659" t="str">
        <f>_xlfn.CONCAT(Tableau1[[#This Row],[Athletes]],"_",Tableau1[[#This Row],[Nationality]],"_",Tableau1[[#This Row],[Competition_year]])</f>
        <v>Marte HOVLAND_NOR_2026</v>
      </c>
      <c r="B1659" s="7" t="s">
        <v>1894</v>
      </c>
      <c r="C1659" t="s">
        <v>47</v>
      </c>
      <c r="D1659" s="7" t="s">
        <v>30</v>
      </c>
      <c r="E1659">
        <v>16.399999999999999</v>
      </c>
      <c r="F1659">
        <v>16.399999999999999</v>
      </c>
      <c r="G1659">
        <v>16.399999999999999</v>
      </c>
      <c r="H1659">
        <v>16.600000000000001</v>
      </c>
      <c r="I1659">
        <v>16.600000000000001</v>
      </c>
      <c r="J1659">
        <v>16.2</v>
      </c>
      <c r="K1659">
        <v>16.399999999999999</v>
      </c>
      <c r="L1659">
        <v>16.7</v>
      </c>
      <c r="M1659">
        <v>17</v>
      </c>
      <c r="N1659">
        <v>17.3</v>
      </c>
      <c r="O1659">
        <v>16.899999999999999</v>
      </c>
      <c r="P1659">
        <v>16.7</v>
      </c>
      <c r="Q1659">
        <v>17.2</v>
      </c>
      <c r="R1659">
        <v>17.2</v>
      </c>
      <c r="S1659">
        <f>Tableau1[[#This Row],[Final_time]]-SUM(Tableau1[[#This Row],[0_100m]:[1300_1400m]])</f>
        <v>16.840000000000032</v>
      </c>
      <c r="T1659">
        <v>250.84</v>
      </c>
      <c r="U1659">
        <f t="shared" si="62"/>
        <v>250.84</v>
      </c>
      <c r="V1659">
        <f t="shared" si="63"/>
        <v>0</v>
      </c>
      <c r="X1659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59" t="s">
        <v>1904</v>
      </c>
      <c r="Z1659" s="2" t="s">
        <v>43</v>
      </c>
      <c r="AA1659" s="2"/>
      <c r="AB1659" s="2" t="s">
        <v>44</v>
      </c>
      <c r="AC1659" s="2">
        <v>46183</v>
      </c>
      <c r="AD1659" s="3">
        <v>2026</v>
      </c>
      <c r="AE1659" s="3">
        <v>15</v>
      </c>
      <c r="AF1659" s="5">
        <v>0.63</v>
      </c>
      <c r="AG1659" s="3" t="s">
        <v>62</v>
      </c>
    </row>
    <row r="1660" spans="1:33" hidden="1" x14ac:dyDescent="0.35">
      <c r="A1660" t="str">
        <f>_xlfn.CONCAT(Tableau1[[#This Row],[Athletes]],"_",Tableau1[[#This Row],[Nationality]],"_",Tableau1[[#This Row],[Competition_year]])</f>
        <v>Molly HUDSON_GBR_2026</v>
      </c>
      <c r="B1660" s="7" t="s">
        <v>1895</v>
      </c>
      <c r="C1660" t="s">
        <v>47</v>
      </c>
      <c r="D1660" s="7" t="s">
        <v>20</v>
      </c>
      <c r="E1660">
        <v>15.9</v>
      </c>
      <c r="F1660">
        <v>16.3</v>
      </c>
      <c r="G1660">
        <v>16.3</v>
      </c>
      <c r="H1660">
        <v>16.600000000000001</v>
      </c>
      <c r="I1660">
        <v>16.399999999999999</v>
      </c>
      <c r="J1660">
        <v>16.3</v>
      </c>
      <c r="K1660">
        <v>16.399999999999999</v>
      </c>
      <c r="L1660">
        <v>16.8</v>
      </c>
      <c r="M1660">
        <v>17</v>
      </c>
      <c r="N1660">
        <v>17.3</v>
      </c>
      <c r="O1660">
        <v>17</v>
      </c>
      <c r="P1660">
        <v>16.600000000000001</v>
      </c>
      <c r="Q1660">
        <v>17.5</v>
      </c>
      <c r="R1660">
        <v>18.2</v>
      </c>
      <c r="S1660">
        <f>Tableau1[[#This Row],[Final_time]]-SUM(Tableau1[[#This Row],[0_100m]:[1300_1400m]])</f>
        <v>18.360000000000014</v>
      </c>
      <c r="T1660">
        <v>252.96</v>
      </c>
      <c r="U1660">
        <f t="shared" si="62"/>
        <v>252.96</v>
      </c>
      <c r="V1660">
        <f t="shared" si="63"/>
        <v>0</v>
      </c>
      <c r="X1660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0" t="s">
        <v>1904</v>
      </c>
      <c r="Z1660" s="2" t="s">
        <v>43</v>
      </c>
      <c r="AA1660" s="2"/>
      <c r="AB1660" s="2" t="s">
        <v>44</v>
      </c>
      <c r="AC1660" s="2">
        <v>46183</v>
      </c>
      <c r="AD1660" s="3">
        <v>2026</v>
      </c>
      <c r="AE1660" s="3">
        <v>15</v>
      </c>
      <c r="AF1660" s="5">
        <v>0.63</v>
      </c>
      <c r="AG1660" s="3" t="s">
        <v>62</v>
      </c>
    </row>
    <row r="1661" spans="1:33" hidden="1" x14ac:dyDescent="0.35">
      <c r="A1661" t="str">
        <f>_xlfn.CONCAT(Tableau1[[#This Row],[Athletes]],"_",Tableau1[[#This Row],[Nationality]],"_",Tableau1[[#This Row],[Competition_year]])</f>
        <v>Selma ENGDAHL_NOR_2026</v>
      </c>
      <c r="B1661" s="7" t="s">
        <v>1896</v>
      </c>
      <c r="C1661" t="s">
        <v>47</v>
      </c>
      <c r="D1661" s="7" t="s">
        <v>30</v>
      </c>
      <c r="E1661">
        <v>16.5</v>
      </c>
      <c r="F1661">
        <v>16.5</v>
      </c>
      <c r="G1661">
        <v>16.399999999999999</v>
      </c>
      <c r="H1661">
        <v>16.7</v>
      </c>
      <c r="I1661">
        <v>16.8</v>
      </c>
      <c r="J1661">
        <v>16.3</v>
      </c>
      <c r="K1661">
        <v>16.600000000000001</v>
      </c>
      <c r="L1661">
        <v>16.899999999999999</v>
      </c>
      <c r="M1661">
        <v>17.2</v>
      </c>
      <c r="N1661">
        <v>17.399999999999999</v>
      </c>
      <c r="O1661">
        <v>17.2</v>
      </c>
      <c r="P1661">
        <v>17</v>
      </c>
      <c r="Q1661">
        <v>17.5</v>
      </c>
      <c r="R1661">
        <v>17</v>
      </c>
      <c r="S1661">
        <f>Tableau1[[#This Row],[Final_time]]-SUM(Tableau1[[#This Row],[0_100m]:[1300_1400m]])</f>
        <v>17.310000000000031</v>
      </c>
      <c r="T1661">
        <v>253.31</v>
      </c>
      <c r="U1661">
        <f t="shared" si="62"/>
        <v>253.31</v>
      </c>
      <c r="V1661">
        <f t="shared" si="63"/>
        <v>0</v>
      </c>
      <c r="X1661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1" t="s">
        <v>1904</v>
      </c>
      <c r="Z1661" s="2" t="s">
        <v>43</v>
      </c>
      <c r="AA1661" s="2"/>
      <c r="AB1661" s="2" t="s">
        <v>44</v>
      </c>
      <c r="AC1661" s="2">
        <v>46183</v>
      </c>
      <c r="AD1661" s="3">
        <v>2026</v>
      </c>
      <c r="AE1661" s="3">
        <v>15</v>
      </c>
      <c r="AF1661" s="5">
        <v>0.63</v>
      </c>
      <c r="AG1661" s="3" t="s">
        <v>62</v>
      </c>
    </row>
    <row r="1662" spans="1:33" hidden="1" x14ac:dyDescent="0.35">
      <c r="A1662" t="str">
        <f>_xlfn.CONCAT(Tableau1[[#This Row],[Athletes]],"_",Tableau1[[#This Row],[Nationality]],"_",Tableau1[[#This Row],[Competition_year]])</f>
        <v>Andrea NYGÅRD VIE_NOR_2026</v>
      </c>
      <c r="B1662" s="7" t="s">
        <v>1897</v>
      </c>
      <c r="C1662" t="s">
        <v>47</v>
      </c>
      <c r="D1662" s="7" t="s">
        <v>30</v>
      </c>
      <c r="E1662">
        <v>16.600000000000001</v>
      </c>
      <c r="F1662">
        <v>16.7</v>
      </c>
      <c r="G1662">
        <v>16.3</v>
      </c>
      <c r="H1662">
        <v>16.7</v>
      </c>
      <c r="I1662">
        <v>16.8</v>
      </c>
      <c r="J1662">
        <v>16.399999999999999</v>
      </c>
      <c r="K1662">
        <v>16.600000000000001</v>
      </c>
      <c r="L1662">
        <v>17.100000000000001</v>
      </c>
      <c r="M1662">
        <v>17.2</v>
      </c>
      <c r="N1662">
        <v>17.399999999999999</v>
      </c>
      <c r="O1662">
        <v>17.2</v>
      </c>
      <c r="P1662">
        <v>17</v>
      </c>
      <c r="Q1662">
        <v>16.8</v>
      </c>
      <c r="R1662">
        <v>17.399999999999999</v>
      </c>
      <c r="S1662">
        <f>Tableau1[[#This Row],[Final_time]]-SUM(Tableau1[[#This Row],[0_100m]:[1300_1400m]])</f>
        <v>17.490000000000009</v>
      </c>
      <c r="T1662">
        <v>253.69</v>
      </c>
      <c r="U1662">
        <f t="shared" si="62"/>
        <v>253.69</v>
      </c>
      <c r="V1662">
        <f t="shared" si="63"/>
        <v>0</v>
      </c>
      <c r="X1662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2" t="s">
        <v>1904</v>
      </c>
      <c r="Z1662" s="2" t="s">
        <v>43</v>
      </c>
      <c r="AA1662" s="2"/>
      <c r="AB1662" s="2" t="s">
        <v>44</v>
      </c>
      <c r="AC1662" s="2">
        <v>46183</v>
      </c>
      <c r="AD1662" s="3">
        <v>2026</v>
      </c>
      <c r="AE1662" s="3">
        <v>15</v>
      </c>
      <c r="AF1662" s="5">
        <v>0.63</v>
      </c>
      <c r="AG1662" s="3" t="s">
        <v>62</v>
      </c>
    </row>
    <row r="1663" spans="1:33" hidden="1" x14ac:dyDescent="0.35">
      <c r="A1663" t="str">
        <f>_xlfn.CONCAT(Tableau1[[#This Row],[Athletes]],"_",Tableau1[[#This Row],[Nationality]],"_",Tableau1[[#This Row],[Competition_year]])</f>
        <v>Sigrid Bjørnsdatter WAHLBERG_NOR_2026</v>
      </c>
      <c r="B1663" s="7" t="s">
        <v>1898</v>
      </c>
      <c r="C1663" t="s">
        <v>47</v>
      </c>
      <c r="D1663" s="7" t="s">
        <v>30</v>
      </c>
      <c r="E1663">
        <v>16.5</v>
      </c>
      <c r="F1663">
        <v>16.899999999999999</v>
      </c>
      <c r="G1663">
        <v>16.399999999999999</v>
      </c>
      <c r="H1663">
        <v>16.7</v>
      </c>
      <c r="I1663">
        <v>16.8</v>
      </c>
      <c r="J1663">
        <v>16.399999999999999</v>
      </c>
      <c r="K1663">
        <v>16.3</v>
      </c>
      <c r="L1663">
        <v>16.899999999999999</v>
      </c>
      <c r="M1663">
        <v>17.2</v>
      </c>
      <c r="N1663">
        <v>17.399999999999999</v>
      </c>
      <c r="O1663">
        <v>17.2</v>
      </c>
      <c r="P1663">
        <v>17</v>
      </c>
      <c r="Q1663">
        <v>17.600000000000001</v>
      </c>
      <c r="R1663">
        <v>18.3</v>
      </c>
      <c r="S1663">
        <f>Tableau1[[#This Row],[Final_time]]-SUM(Tableau1[[#This Row],[0_100m]:[1300_1400m]])</f>
        <v>18.320000000000022</v>
      </c>
      <c r="T1663">
        <v>255.92</v>
      </c>
      <c r="U1663">
        <f t="shared" si="62"/>
        <v>255.92</v>
      </c>
      <c r="V1663">
        <f t="shared" si="63"/>
        <v>0</v>
      </c>
      <c r="X1663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3" t="s">
        <v>1904</v>
      </c>
      <c r="Z1663" s="2" t="s">
        <v>43</v>
      </c>
      <c r="AA1663" s="2"/>
      <c r="AB1663" s="2" t="s">
        <v>44</v>
      </c>
      <c r="AC1663" s="2">
        <v>46183</v>
      </c>
      <c r="AD1663" s="3">
        <v>2026</v>
      </c>
      <c r="AE1663" s="3">
        <v>15</v>
      </c>
      <c r="AF1663" s="5">
        <v>0.63</v>
      </c>
      <c r="AG1663" s="3" t="s">
        <v>62</v>
      </c>
    </row>
    <row r="1664" spans="1:33" hidden="1" x14ac:dyDescent="0.35">
      <c r="A1664" t="str">
        <f>_xlfn.CONCAT(Tableau1[[#This Row],[Athletes]],"_",Tableau1[[#This Row],[Nationality]],"_",Tableau1[[#This Row],[Competition_year]])</f>
        <v>Anna Marie Nordengen SIREVÅG_NOR_2026</v>
      </c>
      <c r="B1664" s="7" t="s">
        <v>1899</v>
      </c>
      <c r="C1664" t="s">
        <v>47</v>
      </c>
      <c r="D1664" s="7" t="s">
        <v>30</v>
      </c>
      <c r="E1664">
        <v>17.5</v>
      </c>
      <c r="F1664">
        <v>16.899999999999999</v>
      </c>
      <c r="G1664">
        <v>16.899999999999999</v>
      </c>
      <c r="H1664">
        <v>17.2</v>
      </c>
      <c r="I1664">
        <v>17.2</v>
      </c>
      <c r="J1664">
        <v>17.100000000000001</v>
      </c>
      <c r="K1664">
        <v>17.399999999999999</v>
      </c>
      <c r="L1664">
        <v>17</v>
      </c>
      <c r="M1664">
        <v>18.3</v>
      </c>
      <c r="N1664">
        <v>17.399999999999999</v>
      </c>
      <c r="O1664">
        <v>17.2</v>
      </c>
      <c r="P1664">
        <v>17.2</v>
      </c>
      <c r="Q1664">
        <v>16.8</v>
      </c>
      <c r="R1664">
        <v>16.600000000000001</v>
      </c>
      <c r="S1664">
        <f>Tableau1[[#This Row],[Final_time]]-SUM(Tableau1[[#This Row],[0_100m]:[1300_1400m]])</f>
        <v>16.059999999999974</v>
      </c>
      <c r="T1664">
        <v>256.76</v>
      </c>
      <c r="U1664">
        <f t="shared" si="62"/>
        <v>256.76</v>
      </c>
      <c r="V1664">
        <f t="shared" si="63"/>
        <v>0</v>
      </c>
      <c r="X1664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4" t="s">
        <v>1904</v>
      </c>
      <c r="Z1664" s="2" t="s">
        <v>43</v>
      </c>
      <c r="AA1664" s="2"/>
      <c r="AB1664" s="2" t="s">
        <v>44</v>
      </c>
      <c r="AC1664" s="2">
        <v>46183</v>
      </c>
      <c r="AD1664" s="3">
        <v>2026</v>
      </c>
      <c r="AE1664" s="3">
        <v>15</v>
      </c>
      <c r="AF1664" s="5">
        <v>0.63</v>
      </c>
      <c r="AG1664" s="3" t="s">
        <v>62</v>
      </c>
    </row>
    <row r="1665" spans="1:33" hidden="1" x14ac:dyDescent="0.35">
      <c r="A1665" t="str">
        <f>_xlfn.CONCAT(Tableau1[[#This Row],[Athletes]],"_",Tableau1[[#This Row],[Nationality]],"_",Tableau1[[#This Row],[Competition_year]])</f>
        <v>Vilde Våge HENRIKSEN_NOR_2026</v>
      </c>
      <c r="B1665" s="7" t="s">
        <v>1900</v>
      </c>
      <c r="C1665" t="s">
        <v>47</v>
      </c>
      <c r="D1665" s="7" t="s">
        <v>30</v>
      </c>
      <c r="E1665">
        <v>17.100000000000001</v>
      </c>
      <c r="F1665">
        <v>16.899999999999999</v>
      </c>
      <c r="G1665">
        <v>16.8</v>
      </c>
      <c r="H1665">
        <v>17.3</v>
      </c>
      <c r="I1665">
        <v>17.2</v>
      </c>
      <c r="J1665">
        <v>17.3</v>
      </c>
      <c r="K1665">
        <v>17.399999999999999</v>
      </c>
      <c r="L1665">
        <v>17</v>
      </c>
      <c r="M1665">
        <v>18.399999999999999</v>
      </c>
      <c r="N1665">
        <v>17.2</v>
      </c>
      <c r="O1665">
        <v>16.899999999999999</v>
      </c>
      <c r="P1665">
        <v>16.399999999999999</v>
      </c>
      <c r="Q1665">
        <v>16.899999999999999</v>
      </c>
      <c r="R1665">
        <v>17.100000000000001</v>
      </c>
      <c r="S1665">
        <f>Tableau1[[#This Row],[Final_time]]-SUM(Tableau1[[#This Row],[0_100m]:[1300_1400m]])</f>
        <v>17.28</v>
      </c>
      <c r="T1665">
        <v>257.18</v>
      </c>
      <c r="U1665">
        <f t="shared" si="62"/>
        <v>257.18</v>
      </c>
      <c r="V1665">
        <f t="shared" si="63"/>
        <v>0</v>
      </c>
      <c r="X1665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5" t="s">
        <v>1904</v>
      </c>
      <c r="Z1665" s="2" t="s">
        <v>43</v>
      </c>
      <c r="AA1665" s="2"/>
      <c r="AB1665" s="2" t="s">
        <v>44</v>
      </c>
      <c r="AC1665" s="2">
        <v>46183</v>
      </c>
      <c r="AD1665" s="3">
        <v>2026</v>
      </c>
      <c r="AE1665" s="3">
        <v>15</v>
      </c>
      <c r="AF1665" s="5">
        <v>0.63</v>
      </c>
      <c r="AG1665" s="3" t="s">
        <v>62</v>
      </c>
    </row>
    <row r="1666" spans="1:33" hidden="1" x14ac:dyDescent="0.35">
      <c r="A1666" t="str">
        <f>_xlfn.CONCAT(Tableau1[[#This Row],[Athletes]],"_",Tableau1[[#This Row],[Nationality]],"_",Tableau1[[#This Row],[Competition_year]])</f>
        <v>Maiken Homlung PRØITZ_NOR_2026</v>
      </c>
      <c r="B1666" s="7" t="s">
        <v>1901</v>
      </c>
      <c r="C1666" t="s">
        <v>47</v>
      </c>
      <c r="D1666" s="7" t="s">
        <v>30</v>
      </c>
      <c r="E1666">
        <v>17.3</v>
      </c>
      <c r="F1666">
        <v>16.899999999999999</v>
      </c>
      <c r="G1666">
        <v>16.8</v>
      </c>
      <c r="H1666">
        <v>17.2</v>
      </c>
      <c r="I1666">
        <v>17.100000000000001</v>
      </c>
      <c r="J1666">
        <v>17.100000000000001</v>
      </c>
      <c r="K1666">
        <v>17.399999999999999</v>
      </c>
      <c r="L1666">
        <v>17</v>
      </c>
      <c r="M1666">
        <v>18.399999999999999</v>
      </c>
      <c r="N1666">
        <v>17.399999999999999</v>
      </c>
      <c r="O1666">
        <v>17.399999999999999</v>
      </c>
      <c r="P1666">
        <v>17.2</v>
      </c>
      <c r="Q1666">
        <v>18.3</v>
      </c>
      <c r="R1666">
        <v>18</v>
      </c>
      <c r="S1666">
        <f>Tableau1[[#This Row],[Final_time]]-SUM(Tableau1[[#This Row],[0_100m]:[1300_1400m]])</f>
        <v>18.269999999999953</v>
      </c>
      <c r="T1666">
        <v>261.77</v>
      </c>
      <c r="U1666">
        <f t="shared" si="62"/>
        <v>261.77</v>
      </c>
      <c r="V1666">
        <f t="shared" si="63"/>
        <v>0</v>
      </c>
      <c r="X1666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6" t="s">
        <v>1904</v>
      </c>
      <c r="Z1666" s="2" t="s">
        <v>43</v>
      </c>
      <c r="AA1666" s="2"/>
      <c r="AB1666" s="2" t="s">
        <v>44</v>
      </c>
      <c r="AC1666" s="2">
        <v>46183</v>
      </c>
      <c r="AD1666" s="3">
        <v>2026</v>
      </c>
      <c r="AE1666" s="3">
        <v>15</v>
      </c>
      <c r="AF1666" s="5">
        <v>0.63</v>
      </c>
      <c r="AG1666" s="3" t="s">
        <v>62</v>
      </c>
    </row>
    <row r="1667" spans="1:33" hidden="1" x14ac:dyDescent="0.35">
      <c r="A1667" t="str">
        <f>_xlfn.CONCAT(Tableau1[[#This Row],[Athletes]],"_",Tableau1[[#This Row],[Nationality]],"_",Tableau1[[#This Row],[Competition_year]])</f>
        <v>Liv DINIS_SWE_2026</v>
      </c>
      <c r="B1667" s="7" t="s">
        <v>1902</v>
      </c>
      <c r="C1667" t="s">
        <v>47</v>
      </c>
      <c r="D1667" s="7" t="s">
        <v>56</v>
      </c>
      <c r="E1667">
        <v>16.899999999999999</v>
      </c>
      <c r="F1667">
        <v>16.8</v>
      </c>
      <c r="G1667">
        <v>16.399999999999999</v>
      </c>
      <c r="H1667">
        <v>16.7</v>
      </c>
      <c r="I1667">
        <v>17.100000000000001</v>
      </c>
      <c r="J1667">
        <v>16.899999999999999</v>
      </c>
      <c r="K1667">
        <v>17.100000000000001</v>
      </c>
      <c r="L1667">
        <v>17.5</v>
      </c>
      <c r="M1667">
        <v>18.399999999999999</v>
      </c>
      <c r="N1667">
        <v>18.100000000000001</v>
      </c>
      <c r="O1667">
        <v>17.8</v>
      </c>
      <c r="P1667">
        <v>17.2</v>
      </c>
      <c r="Q1667">
        <v>18.399999999999999</v>
      </c>
      <c r="R1667">
        <v>18.2</v>
      </c>
      <c r="S1667">
        <f>Tableau1[[#This Row],[Final_time]]-SUM(Tableau1[[#This Row],[0_100m]:[1300_1400m]])</f>
        <v>18.720000000000027</v>
      </c>
      <c r="T1667">
        <v>262.22000000000003</v>
      </c>
      <c r="U1667">
        <f t="shared" si="62"/>
        <v>262.22000000000003</v>
      </c>
      <c r="V1667">
        <f t="shared" si="63"/>
        <v>0</v>
      </c>
      <c r="X1667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7" t="s">
        <v>1904</v>
      </c>
      <c r="Z1667" s="2" t="s">
        <v>43</v>
      </c>
      <c r="AA1667" s="2"/>
      <c r="AB1667" s="2" t="s">
        <v>44</v>
      </c>
      <c r="AC1667" s="2">
        <v>46183</v>
      </c>
      <c r="AD1667" s="3">
        <v>2026</v>
      </c>
      <c r="AE1667" s="3">
        <v>15</v>
      </c>
      <c r="AF1667" s="5">
        <v>0.63</v>
      </c>
      <c r="AG1667" s="3" t="s">
        <v>62</v>
      </c>
    </row>
    <row r="1668" spans="1:33" hidden="1" x14ac:dyDescent="0.35">
      <c r="A1668" t="str">
        <f>_xlfn.CONCAT(Tableau1[[#This Row],[Athletes]],"_",Tableau1[[#This Row],[Nationality]],"_",Tableau1[[#This Row],[Competition_year]])</f>
        <v>Ebba-Stina BJUVE_SWE_2026</v>
      </c>
      <c r="B1668" s="7" t="s">
        <v>1903</v>
      </c>
      <c r="C1668" t="s">
        <v>47</v>
      </c>
      <c r="D1668" s="7" t="s">
        <v>56</v>
      </c>
      <c r="E1668">
        <v>17.600000000000001</v>
      </c>
      <c r="F1668">
        <v>16.899999999999999</v>
      </c>
      <c r="G1668">
        <v>16.899999999999999</v>
      </c>
      <c r="H1668">
        <v>17.2</v>
      </c>
      <c r="I1668">
        <v>17.2</v>
      </c>
      <c r="J1668">
        <v>17.2</v>
      </c>
      <c r="K1668">
        <v>17.5</v>
      </c>
      <c r="L1668">
        <v>17.3</v>
      </c>
      <c r="M1668">
        <v>18.5</v>
      </c>
      <c r="N1668">
        <v>18.399999999999999</v>
      </c>
      <c r="O1668">
        <v>19</v>
      </c>
      <c r="P1668">
        <v>18.8</v>
      </c>
      <c r="Q1668">
        <v>19.399999999999999</v>
      </c>
      <c r="R1668">
        <v>18.8</v>
      </c>
      <c r="S1668">
        <f>Tableau1[[#This Row],[Final_time]]-SUM(Tableau1[[#This Row],[0_100m]:[1300_1400m]])</f>
        <v>18.339999999999975</v>
      </c>
      <c r="T1668">
        <v>269.04000000000002</v>
      </c>
      <c r="U1668">
        <f t="shared" si="62"/>
        <v>269.04000000000002</v>
      </c>
      <c r="V1668">
        <f t="shared" si="63"/>
        <v>0</v>
      </c>
      <c r="X1668" t="str">
        <f>_xlfn.CONCAT(Tableau1[[#This Row],[Competition]],"_",Tableau1[[#This Row],[Championship_step]],"_",Tableau1[[#This Row],[Competition_date]],"_",Tableau1[[#This Row],[Gender]])</f>
        <v>Diamond League Oslo 2026__46183_Female</v>
      </c>
      <c r="Y1668" t="s">
        <v>1904</v>
      </c>
      <c r="Z1668" s="2" t="s">
        <v>43</v>
      </c>
      <c r="AA1668" s="2"/>
      <c r="AB1668" s="2" t="s">
        <v>44</v>
      </c>
      <c r="AC1668" s="2">
        <v>46183</v>
      </c>
      <c r="AD1668" s="3">
        <v>2026</v>
      </c>
      <c r="AE1668" s="3">
        <v>15</v>
      </c>
      <c r="AF1668" s="5">
        <v>0.63</v>
      </c>
      <c r="AG1668" s="3" t="s">
        <v>62</v>
      </c>
    </row>
    <row r="1669" spans="1:33" hidden="1" x14ac:dyDescent="0.35">
      <c r="A1669" t="str">
        <f>_xlfn.CONCAT(Tableau1[[#This Row],[Athletes]],"_",Tableau1[[#This Row],[Nationality]],"_",Tableau1[[#This Row],[Competition_year]])</f>
        <v>Georgia HUNTER BELL_GBR_2026</v>
      </c>
      <c r="B1669" s="7" t="s">
        <v>1348</v>
      </c>
      <c r="C1669" t="s">
        <v>47</v>
      </c>
      <c r="D1669" s="7" t="s">
        <v>20</v>
      </c>
      <c r="E1669">
        <v>15.2</v>
      </c>
      <c r="F1669">
        <v>16.100000000000001</v>
      </c>
      <c r="G1669">
        <v>15.7</v>
      </c>
      <c r="H1669">
        <v>15.7</v>
      </c>
      <c r="I1669">
        <v>15.6</v>
      </c>
      <c r="J1669">
        <v>15.9</v>
      </c>
      <c r="K1669">
        <v>15.8</v>
      </c>
      <c r="L1669">
        <v>16.2</v>
      </c>
      <c r="M1669">
        <v>16.3</v>
      </c>
      <c r="N1669">
        <v>15.9</v>
      </c>
      <c r="O1669">
        <v>16.100000000000001</v>
      </c>
      <c r="P1669">
        <v>15.7</v>
      </c>
      <c r="Q1669">
        <v>15.2</v>
      </c>
      <c r="R1669">
        <v>15.1</v>
      </c>
      <c r="S1669">
        <f>Tableau1[[#This Row],[Final_time]]-SUM(Tableau1[[#This Row],[0_100m]:[1300_1400m]])</f>
        <v>15.130000000000024</v>
      </c>
      <c r="T1669">
        <v>235.63</v>
      </c>
      <c r="U1669">
        <f t="shared" ref="U1669:U1684" si="64">SUM(E1669:S1669)</f>
        <v>235.63</v>
      </c>
      <c r="V1669">
        <f t="shared" ref="V1669:V1684" si="65">ABS(U1669-T1669)</f>
        <v>0</v>
      </c>
      <c r="X1669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69" t="s">
        <v>1905</v>
      </c>
      <c r="Z1669" s="2" t="s">
        <v>43</v>
      </c>
      <c r="AA1669" s="2"/>
      <c r="AB1669" s="2" t="s">
        <v>65</v>
      </c>
      <c r="AC1669" s="2">
        <v>46201</v>
      </c>
      <c r="AD1669" s="3">
        <v>2026</v>
      </c>
      <c r="AE1669" s="3">
        <v>28</v>
      </c>
      <c r="AF1669" s="5">
        <v>0.45</v>
      </c>
      <c r="AG1669" s="3" t="s">
        <v>62</v>
      </c>
    </row>
    <row r="1670" spans="1:33" hidden="1" x14ac:dyDescent="0.35">
      <c r="A1670" t="str">
        <f>_xlfn.CONCAT(Tableau1[[#This Row],[Athletes]],"_",Tableau1[[#This Row],[Nationality]],"_",Tableau1[[#This Row],[Competition_year]])</f>
        <v>Freweyni HAILU_ETH_2026</v>
      </c>
      <c r="B1670" s="7" t="s">
        <v>144</v>
      </c>
      <c r="C1670" t="s">
        <v>47</v>
      </c>
      <c r="D1670" s="7" t="s">
        <v>48</v>
      </c>
      <c r="E1670">
        <v>15</v>
      </c>
      <c r="F1670">
        <v>16</v>
      </c>
      <c r="G1670">
        <v>15.7</v>
      </c>
      <c r="H1670">
        <v>15.8</v>
      </c>
      <c r="I1670">
        <v>15.6</v>
      </c>
      <c r="J1670">
        <v>15.9</v>
      </c>
      <c r="K1670">
        <v>15.7</v>
      </c>
      <c r="L1670">
        <v>16.399999999999999</v>
      </c>
      <c r="M1670">
        <v>16.100000000000001</v>
      </c>
      <c r="N1670">
        <v>16</v>
      </c>
      <c r="O1670">
        <v>16.100000000000001</v>
      </c>
      <c r="P1670">
        <v>15.7</v>
      </c>
      <c r="Q1670">
        <v>15.2</v>
      </c>
      <c r="R1670">
        <v>15.5</v>
      </c>
      <c r="S1670">
        <f>Tableau1[[#This Row],[Final_time]]-SUM(Tableau1[[#This Row],[0_100m]:[1300_1400m]])</f>
        <v>15.220000000000027</v>
      </c>
      <c r="T1670">
        <v>235.92</v>
      </c>
      <c r="U1670">
        <f t="shared" si="64"/>
        <v>235.92</v>
      </c>
      <c r="V1670">
        <f t="shared" si="65"/>
        <v>0</v>
      </c>
      <c r="X1670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0" t="s">
        <v>1905</v>
      </c>
      <c r="Z1670" s="2" t="s">
        <v>43</v>
      </c>
      <c r="AA1670" s="2"/>
      <c r="AB1670" s="2" t="s">
        <v>65</v>
      </c>
      <c r="AC1670" s="2">
        <v>46201</v>
      </c>
      <c r="AD1670" s="3">
        <v>2026</v>
      </c>
      <c r="AE1670" s="3">
        <v>28</v>
      </c>
      <c r="AF1670" s="5">
        <v>0.45</v>
      </c>
      <c r="AG1670" s="3" t="s">
        <v>62</v>
      </c>
    </row>
    <row r="1671" spans="1:33" hidden="1" x14ac:dyDescent="0.35">
      <c r="A1671" t="str">
        <f>_xlfn.CONCAT(Tableau1[[#This Row],[Athletes]],"_",Tableau1[[#This Row],[Nationality]],"_",Tableau1[[#This Row],[Competition_year]])</f>
        <v>Agathe GUILLEMOT_FRA_2026</v>
      </c>
      <c r="B1671" s="7" t="s">
        <v>171</v>
      </c>
      <c r="C1671" t="s">
        <v>47</v>
      </c>
      <c r="D1671" s="7" t="s">
        <v>18</v>
      </c>
      <c r="E1671">
        <v>15.1</v>
      </c>
      <c r="F1671">
        <v>16.3</v>
      </c>
      <c r="G1671">
        <v>15.8</v>
      </c>
      <c r="H1671">
        <v>15.7</v>
      </c>
      <c r="I1671">
        <v>15.7</v>
      </c>
      <c r="J1671">
        <v>15.8</v>
      </c>
      <c r="K1671">
        <v>15.9</v>
      </c>
      <c r="L1671">
        <v>16.100000000000001</v>
      </c>
      <c r="M1671">
        <v>16.3</v>
      </c>
      <c r="N1671">
        <v>15.9</v>
      </c>
      <c r="O1671">
        <v>16.100000000000001</v>
      </c>
      <c r="P1671">
        <v>15.7</v>
      </c>
      <c r="Q1671">
        <v>15.5</v>
      </c>
      <c r="R1671">
        <v>15.3</v>
      </c>
      <c r="S1671">
        <f>Tableau1[[#This Row],[Final_time]]-SUM(Tableau1[[#This Row],[0_100m]:[1300_1400m]])</f>
        <v>15.039999999999992</v>
      </c>
      <c r="T1671">
        <v>236.24</v>
      </c>
      <c r="U1671">
        <f t="shared" si="64"/>
        <v>236.24</v>
      </c>
      <c r="V1671">
        <f t="shared" si="65"/>
        <v>0</v>
      </c>
      <c r="X1671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1" t="s">
        <v>1905</v>
      </c>
      <c r="Z1671" s="2" t="s">
        <v>43</v>
      </c>
      <c r="AA1671" s="2"/>
      <c r="AB1671" s="2" t="s">
        <v>65</v>
      </c>
      <c r="AC1671" s="2">
        <v>46201</v>
      </c>
      <c r="AD1671" s="3">
        <v>2026</v>
      </c>
      <c r="AE1671" s="3">
        <v>28</v>
      </c>
      <c r="AF1671" s="5">
        <v>0.45</v>
      </c>
      <c r="AG1671" s="3" t="s">
        <v>62</v>
      </c>
    </row>
    <row r="1672" spans="1:33" hidden="1" x14ac:dyDescent="0.35">
      <c r="A1672" t="str">
        <f>_xlfn.CONCAT(Tableau1[[#This Row],[Athletes]],"_",Tableau1[[#This Row],[Nationality]],"_",Tableau1[[#This Row],[Competition_year]])</f>
        <v>Jessica HULL_AUS_2026</v>
      </c>
      <c r="B1672" s="7" t="s">
        <v>187</v>
      </c>
      <c r="C1672" t="s">
        <v>47</v>
      </c>
      <c r="D1672" s="7" t="s">
        <v>21</v>
      </c>
      <c r="E1672">
        <v>14.9</v>
      </c>
      <c r="F1672">
        <v>15.9</v>
      </c>
      <c r="G1672">
        <v>15.7</v>
      </c>
      <c r="H1672">
        <v>15.7</v>
      </c>
      <c r="I1672">
        <v>15.7</v>
      </c>
      <c r="J1672">
        <v>15.8</v>
      </c>
      <c r="K1672">
        <v>15.8</v>
      </c>
      <c r="L1672">
        <v>16.100000000000001</v>
      </c>
      <c r="M1672">
        <v>16.100000000000001</v>
      </c>
      <c r="N1672">
        <v>16.2</v>
      </c>
      <c r="O1672">
        <v>16.2</v>
      </c>
      <c r="P1672">
        <v>15.7</v>
      </c>
      <c r="Q1672">
        <v>15.8</v>
      </c>
      <c r="R1672">
        <v>15.4</v>
      </c>
      <c r="S1672">
        <f>Tableau1[[#This Row],[Final_time]]-SUM(Tableau1[[#This Row],[0_100m]:[1300_1400m]])</f>
        <v>16.220000000000027</v>
      </c>
      <c r="T1672">
        <v>237.22</v>
      </c>
      <c r="U1672">
        <f t="shared" si="64"/>
        <v>237.22</v>
      </c>
      <c r="V1672">
        <f t="shared" si="65"/>
        <v>0</v>
      </c>
      <c r="X1672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2" t="s">
        <v>1905</v>
      </c>
      <c r="Z1672" s="2" t="s">
        <v>43</v>
      </c>
      <c r="AA1672" s="2"/>
      <c r="AB1672" s="2" t="s">
        <v>65</v>
      </c>
      <c r="AC1672" s="2">
        <v>46201</v>
      </c>
      <c r="AD1672" s="3">
        <v>2026</v>
      </c>
      <c r="AE1672" s="3">
        <v>28</v>
      </c>
      <c r="AF1672" s="5">
        <v>0.45</v>
      </c>
      <c r="AG1672" s="3" t="s">
        <v>62</v>
      </c>
    </row>
    <row r="1673" spans="1:33" hidden="1" x14ac:dyDescent="0.35">
      <c r="A1673" t="str">
        <f>_xlfn.CONCAT(Tableau1[[#This Row],[Athletes]],"_",Tableau1[[#This Row],[Nationality]],"_",Tableau1[[#This Row],[Competition_year]])</f>
        <v>Abbey CALDWELL_AUS_2026</v>
      </c>
      <c r="B1673" s="7" t="s">
        <v>156</v>
      </c>
      <c r="C1673" t="s">
        <v>47</v>
      </c>
      <c r="D1673" s="7" t="s">
        <v>21</v>
      </c>
      <c r="E1673">
        <v>15.2</v>
      </c>
      <c r="F1673">
        <v>16.3</v>
      </c>
      <c r="G1673">
        <v>15.9</v>
      </c>
      <c r="H1673">
        <v>15.8</v>
      </c>
      <c r="I1673">
        <v>16</v>
      </c>
      <c r="J1673">
        <v>16.2</v>
      </c>
      <c r="K1673">
        <v>16.3</v>
      </c>
      <c r="L1673">
        <v>16.3</v>
      </c>
      <c r="M1673">
        <v>16.3</v>
      </c>
      <c r="N1673">
        <v>16</v>
      </c>
      <c r="O1673">
        <v>16.100000000000001</v>
      </c>
      <c r="P1673">
        <v>15.4</v>
      </c>
      <c r="Q1673">
        <v>15.5</v>
      </c>
      <c r="R1673">
        <v>15.3</v>
      </c>
      <c r="S1673">
        <f>Tableau1[[#This Row],[Final_time]]-SUM(Tableau1[[#This Row],[0_100m]:[1300_1400m]])</f>
        <v>14.989999999999981</v>
      </c>
      <c r="T1673">
        <v>237.59</v>
      </c>
      <c r="U1673">
        <f t="shared" si="64"/>
        <v>237.59</v>
      </c>
      <c r="V1673">
        <f t="shared" si="65"/>
        <v>0</v>
      </c>
      <c r="X1673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3" t="s">
        <v>1905</v>
      </c>
      <c r="Z1673" s="2" t="s">
        <v>43</v>
      </c>
      <c r="AA1673" s="2"/>
      <c r="AB1673" s="2" t="s">
        <v>65</v>
      </c>
      <c r="AC1673" s="2">
        <v>46201</v>
      </c>
      <c r="AD1673" s="3">
        <v>2026</v>
      </c>
      <c r="AE1673" s="3">
        <v>28</v>
      </c>
      <c r="AF1673" s="5">
        <v>0.45</v>
      </c>
      <c r="AG1673" s="3" t="s">
        <v>62</v>
      </c>
    </row>
    <row r="1674" spans="1:33" hidden="1" x14ac:dyDescent="0.35">
      <c r="A1674" t="str">
        <f>_xlfn.CONCAT(Tableau1[[#This Row],[Athletes]],"_",Tableau1[[#This Row],[Nationality]],"_",Tableau1[[#This Row],[Competition_year]])</f>
        <v>Nelly JEPKOSGEI_BRN_2026</v>
      </c>
      <c r="B1674" s="7" t="s">
        <v>1483</v>
      </c>
      <c r="C1674" t="s">
        <v>47</v>
      </c>
      <c r="D1674" s="7" t="s">
        <v>1484</v>
      </c>
      <c r="E1674">
        <v>15.5</v>
      </c>
      <c r="F1674">
        <v>16.899999999999999</v>
      </c>
      <c r="G1674">
        <v>15.5</v>
      </c>
      <c r="H1674">
        <v>15.8</v>
      </c>
      <c r="I1674">
        <v>16</v>
      </c>
      <c r="J1674">
        <v>16.2</v>
      </c>
      <c r="K1674">
        <v>15.8</v>
      </c>
      <c r="L1674">
        <v>16.399999999999999</v>
      </c>
      <c r="M1674">
        <v>16</v>
      </c>
      <c r="N1674">
        <v>16.2</v>
      </c>
      <c r="O1674">
        <v>15.9</v>
      </c>
      <c r="P1674">
        <v>15.5</v>
      </c>
      <c r="Q1674">
        <v>15.3</v>
      </c>
      <c r="R1674">
        <v>15.4</v>
      </c>
      <c r="S1674">
        <f>Tableau1[[#This Row],[Final_time]]-SUM(Tableau1[[#This Row],[0_100m]:[1300_1400m]])</f>
        <v>15.210000000000008</v>
      </c>
      <c r="T1674">
        <v>237.61</v>
      </c>
      <c r="U1674">
        <f t="shared" si="64"/>
        <v>237.61</v>
      </c>
      <c r="V1674">
        <f t="shared" si="65"/>
        <v>0</v>
      </c>
      <c r="X1674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4" t="s">
        <v>1905</v>
      </c>
      <c r="Z1674" s="2" t="s">
        <v>43</v>
      </c>
      <c r="AA1674" s="2"/>
      <c r="AB1674" s="2" t="s">
        <v>65</v>
      </c>
      <c r="AC1674" s="2">
        <v>46201</v>
      </c>
      <c r="AD1674" s="3">
        <v>2026</v>
      </c>
      <c r="AE1674" s="3">
        <v>28</v>
      </c>
      <c r="AF1674" s="5">
        <v>0.45</v>
      </c>
      <c r="AG1674" s="3" t="s">
        <v>62</v>
      </c>
    </row>
    <row r="1675" spans="1:33" hidden="1" x14ac:dyDescent="0.35">
      <c r="A1675" t="str">
        <f>_xlfn.CONCAT(Tableau1[[#This Row],[Athletes]],"_",Tableau1[[#This Row],[Nationality]],"_",Tableau1[[#This Row],[Competition_year]])</f>
        <v>Patricia SILVA_POR_2026</v>
      </c>
      <c r="B1675" s="7" t="s">
        <v>1880</v>
      </c>
      <c r="C1675" t="s">
        <v>47</v>
      </c>
      <c r="D1675" s="7" t="s">
        <v>33</v>
      </c>
      <c r="E1675">
        <v>15.3</v>
      </c>
      <c r="F1675">
        <v>16.399999999999999</v>
      </c>
      <c r="G1675">
        <v>16</v>
      </c>
      <c r="H1675">
        <v>15.9</v>
      </c>
      <c r="I1675">
        <v>16</v>
      </c>
      <c r="J1675">
        <v>16.2</v>
      </c>
      <c r="K1675">
        <v>16.100000000000001</v>
      </c>
      <c r="L1675">
        <v>16.3</v>
      </c>
      <c r="M1675">
        <v>16.3</v>
      </c>
      <c r="N1675">
        <v>16.2</v>
      </c>
      <c r="O1675">
        <v>15.9</v>
      </c>
      <c r="P1675">
        <v>15.5</v>
      </c>
      <c r="Q1675">
        <v>15.5</v>
      </c>
      <c r="R1675">
        <v>15.5</v>
      </c>
      <c r="S1675">
        <f>Tableau1[[#This Row],[Final_time]]-SUM(Tableau1[[#This Row],[0_100m]:[1300_1400m]])</f>
        <v>15.639999999999986</v>
      </c>
      <c r="T1675">
        <v>238.74</v>
      </c>
      <c r="U1675">
        <f t="shared" si="64"/>
        <v>238.74</v>
      </c>
      <c r="V1675">
        <f t="shared" si="65"/>
        <v>0</v>
      </c>
      <c r="X1675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5" t="s">
        <v>1905</v>
      </c>
      <c r="Z1675" s="2" t="s">
        <v>43</v>
      </c>
      <c r="AA1675" s="2"/>
      <c r="AB1675" s="2" t="s">
        <v>65</v>
      </c>
      <c r="AC1675" s="2">
        <v>46201</v>
      </c>
      <c r="AD1675" s="3">
        <v>2026</v>
      </c>
      <c r="AE1675" s="3">
        <v>28</v>
      </c>
      <c r="AF1675" s="5">
        <v>0.45</v>
      </c>
      <c r="AG1675" s="3" t="s">
        <v>62</v>
      </c>
    </row>
    <row r="1676" spans="1:33" hidden="1" x14ac:dyDescent="0.35">
      <c r="A1676" t="str">
        <f>_xlfn.CONCAT(Tableau1[[#This Row],[Athletes]],"_",Tableau1[[#This Row],[Nationality]],"_",Tableau1[[#This Row],[Competition_year]])</f>
        <v>Linden HALL_AUS_2026</v>
      </c>
      <c r="B1676" s="7" t="s">
        <v>184</v>
      </c>
      <c r="C1676" t="s">
        <v>47</v>
      </c>
      <c r="D1676" s="7" t="s">
        <v>21</v>
      </c>
      <c r="E1676">
        <v>15.6</v>
      </c>
      <c r="F1676">
        <v>16.600000000000001</v>
      </c>
      <c r="G1676">
        <v>16.3</v>
      </c>
      <c r="H1676">
        <v>15.9</v>
      </c>
      <c r="I1676">
        <v>15.4</v>
      </c>
      <c r="J1676">
        <v>15.7</v>
      </c>
      <c r="K1676">
        <v>16</v>
      </c>
      <c r="L1676">
        <v>16.2</v>
      </c>
      <c r="M1676">
        <v>16.2</v>
      </c>
      <c r="N1676">
        <v>16.100000000000001</v>
      </c>
      <c r="O1676">
        <v>16.399999999999999</v>
      </c>
      <c r="P1676">
        <v>16</v>
      </c>
      <c r="Q1676">
        <v>15.9</v>
      </c>
      <c r="R1676">
        <v>15.9</v>
      </c>
      <c r="S1676">
        <f>Tableau1[[#This Row],[Final_time]]-SUM(Tableau1[[#This Row],[0_100m]:[1300_1400m]])</f>
        <v>15.799999999999983</v>
      </c>
      <c r="T1676">
        <v>240</v>
      </c>
      <c r="U1676">
        <f t="shared" si="64"/>
        <v>240</v>
      </c>
      <c r="V1676">
        <f t="shared" si="65"/>
        <v>0</v>
      </c>
      <c r="X1676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6" t="s">
        <v>1905</v>
      </c>
      <c r="Z1676" s="2" t="s">
        <v>43</v>
      </c>
      <c r="AA1676" s="2"/>
      <c r="AB1676" s="2" t="s">
        <v>65</v>
      </c>
      <c r="AC1676" s="2">
        <v>46201</v>
      </c>
      <c r="AD1676" s="3">
        <v>2026</v>
      </c>
      <c r="AE1676" s="3">
        <v>28</v>
      </c>
      <c r="AF1676" s="5">
        <v>0.45</v>
      </c>
      <c r="AG1676" s="3" t="s">
        <v>62</v>
      </c>
    </row>
    <row r="1677" spans="1:33" hidden="1" x14ac:dyDescent="0.35">
      <c r="A1677" t="str">
        <f>_xlfn.CONCAT(Tableau1[[#This Row],[Athletes]],"_",Tableau1[[#This Row],[Nationality]],"_",Tableau1[[#This Row],[Competition_year]])</f>
        <v>Soukaina HAJJI_MAR_2026</v>
      </c>
      <c r="B1677" s="7" t="s">
        <v>567</v>
      </c>
      <c r="C1677" t="s">
        <v>47</v>
      </c>
      <c r="D1677" s="7" t="s">
        <v>75</v>
      </c>
      <c r="E1677">
        <v>15.5</v>
      </c>
      <c r="F1677">
        <v>16.399999999999999</v>
      </c>
      <c r="G1677">
        <v>16.3</v>
      </c>
      <c r="H1677">
        <v>16.100000000000001</v>
      </c>
      <c r="I1677">
        <v>16</v>
      </c>
      <c r="J1677">
        <v>16.399999999999999</v>
      </c>
      <c r="K1677">
        <v>15.7</v>
      </c>
      <c r="L1677">
        <v>16.2</v>
      </c>
      <c r="M1677">
        <v>16.2</v>
      </c>
      <c r="N1677">
        <v>16.600000000000001</v>
      </c>
      <c r="O1677">
        <v>16.2</v>
      </c>
      <c r="P1677">
        <v>15.6</v>
      </c>
      <c r="Q1677">
        <v>15.5</v>
      </c>
      <c r="R1677">
        <v>16</v>
      </c>
      <c r="S1677">
        <f>Tableau1[[#This Row],[Final_time]]-SUM(Tableau1[[#This Row],[0_100m]:[1300_1400m]])</f>
        <v>15.920000000000016</v>
      </c>
      <c r="T1677">
        <v>240.62</v>
      </c>
      <c r="U1677">
        <f t="shared" si="64"/>
        <v>240.62</v>
      </c>
      <c r="V1677">
        <f t="shared" si="65"/>
        <v>0</v>
      </c>
      <c r="X1677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7" t="s">
        <v>1905</v>
      </c>
      <c r="Z1677" s="2" t="s">
        <v>43</v>
      </c>
      <c r="AA1677" s="2"/>
      <c r="AB1677" s="2" t="s">
        <v>65</v>
      </c>
      <c r="AC1677" s="2">
        <v>46201</v>
      </c>
      <c r="AD1677" s="3">
        <v>2026</v>
      </c>
      <c r="AE1677" s="3">
        <v>28</v>
      </c>
      <c r="AF1677" s="5">
        <v>0.45</v>
      </c>
      <c r="AG1677" s="3" t="s">
        <v>62</v>
      </c>
    </row>
    <row r="1678" spans="1:33" hidden="1" x14ac:dyDescent="0.35">
      <c r="A1678" t="str">
        <f>_xlfn.CONCAT(Tableau1[[#This Row],[Athletes]],"_",Tableau1[[#This Row],[Nationality]],"_",Tableau1[[#This Row],[Competition_year]])</f>
        <v>Katie SNOWDEN_GBR_2026</v>
      </c>
      <c r="B1678" s="7" t="s">
        <v>186</v>
      </c>
      <c r="C1678" t="s">
        <v>47</v>
      </c>
      <c r="D1678" s="7" t="s">
        <v>20</v>
      </c>
      <c r="E1678">
        <v>15.4</v>
      </c>
      <c r="F1678">
        <v>16.5</v>
      </c>
      <c r="G1678">
        <v>16.100000000000001</v>
      </c>
      <c r="H1678">
        <v>16.2</v>
      </c>
      <c r="I1678">
        <v>15.9</v>
      </c>
      <c r="J1678">
        <v>16.2</v>
      </c>
      <c r="K1678">
        <v>15.9</v>
      </c>
      <c r="L1678">
        <v>16.2</v>
      </c>
      <c r="M1678">
        <v>16.3</v>
      </c>
      <c r="N1678">
        <v>16.3</v>
      </c>
      <c r="O1678">
        <v>16.100000000000001</v>
      </c>
      <c r="P1678">
        <v>15.9</v>
      </c>
      <c r="Q1678">
        <v>15.9</v>
      </c>
      <c r="R1678">
        <v>15.9</v>
      </c>
      <c r="S1678">
        <f>Tableau1[[#This Row],[Final_time]]-SUM(Tableau1[[#This Row],[0_100m]:[1300_1400m]])</f>
        <v>16.109999999999957</v>
      </c>
      <c r="T1678">
        <v>240.91</v>
      </c>
      <c r="U1678">
        <f t="shared" si="64"/>
        <v>240.91</v>
      </c>
      <c r="V1678">
        <f t="shared" si="65"/>
        <v>0</v>
      </c>
      <c r="X1678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8" t="s">
        <v>1905</v>
      </c>
      <c r="Z1678" s="2" t="s">
        <v>43</v>
      </c>
      <c r="AA1678" s="2"/>
      <c r="AB1678" s="2" t="s">
        <v>65</v>
      </c>
      <c r="AC1678" s="2">
        <v>46201</v>
      </c>
      <c r="AD1678" s="3">
        <v>2026</v>
      </c>
      <c r="AE1678" s="3">
        <v>28</v>
      </c>
      <c r="AF1678" s="5">
        <v>0.45</v>
      </c>
      <c r="AG1678" s="3" t="s">
        <v>62</v>
      </c>
    </row>
    <row r="1679" spans="1:33" hidden="1" x14ac:dyDescent="0.35">
      <c r="A1679" t="str">
        <f>_xlfn.CONCAT(Tableau1[[#This Row],[Athletes]],"_",Tableau1[[#This Row],[Nationality]],"_",Tableau1[[#This Row],[Competition_year]])</f>
        <v>Sarah HEALY_IRL_2026</v>
      </c>
      <c r="B1679" s="7" t="s">
        <v>166</v>
      </c>
      <c r="C1679" t="s">
        <v>47</v>
      </c>
      <c r="D1679" s="7" t="s">
        <v>35</v>
      </c>
      <c r="E1679">
        <v>15.6</v>
      </c>
      <c r="F1679">
        <v>16.399999999999999</v>
      </c>
      <c r="G1679">
        <v>16.100000000000001</v>
      </c>
      <c r="H1679">
        <v>15.9</v>
      </c>
      <c r="I1679">
        <v>15.9</v>
      </c>
      <c r="J1679">
        <v>16.100000000000001</v>
      </c>
      <c r="K1679">
        <v>15.9</v>
      </c>
      <c r="L1679">
        <v>16.3</v>
      </c>
      <c r="M1679">
        <v>16.2</v>
      </c>
      <c r="N1679">
        <v>16.3</v>
      </c>
      <c r="O1679">
        <v>16.100000000000001</v>
      </c>
      <c r="P1679">
        <v>16.100000000000001</v>
      </c>
      <c r="Q1679">
        <v>16.3</v>
      </c>
      <c r="R1679">
        <v>16.100000000000001</v>
      </c>
      <c r="S1679">
        <f>Tableau1[[#This Row],[Final_time]]-SUM(Tableau1[[#This Row],[0_100m]:[1300_1400m]])</f>
        <v>16.199999999999989</v>
      </c>
      <c r="T1679">
        <v>241.5</v>
      </c>
      <c r="U1679">
        <f t="shared" si="64"/>
        <v>241.5</v>
      </c>
      <c r="V1679">
        <f t="shared" si="65"/>
        <v>0</v>
      </c>
      <c r="X1679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79" t="s">
        <v>1905</v>
      </c>
      <c r="Z1679" s="2" t="s">
        <v>43</v>
      </c>
      <c r="AA1679" s="2"/>
      <c r="AB1679" s="2" t="s">
        <v>65</v>
      </c>
      <c r="AC1679" s="2">
        <v>46201</v>
      </c>
      <c r="AD1679" s="3">
        <v>2026</v>
      </c>
      <c r="AE1679" s="3">
        <v>28</v>
      </c>
      <c r="AF1679" s="5">
        <v>0.45</v>
      </c>
      <c r="AG1679" s="3" t="s">
        <v>62</v>
      </c>
    </row>
    <row r="1680" spans="1:33" hidden="1" x14ac:dyDescent="0.35">
      <c r="A1680" t="str">
        <f>_xlfn.CONCAT(Tableau1[[#This Row],[Athletes]],"_",Tableau1[[#This Row],[Nationality]],"_",Tableau1[[#This Row],[Competition_year]])</f>
        <v>Haregeweyni KALAYU_ETH_2026</v>
      </c>
      <c r="B1680" s="7" t="s">
        <v>1879</v>
      </c>
      <c r="C1680" t="s">
        <v>47</v>
      </c>
      <c r="D1680" s="7" t="s">
        <v>48</v>
      </c>
      <c r="E1680">
        <v>15.4</v>
      </c>
      <c r="F1680">
        <v>16.3</v>
      </c>
      <c r="G1680">
        <v>15.9</v>
      </c>
      <c r="H1680">
        <v>15.8</v>
      </c>
      <c r="I1680">
        <v>16</v>
      </c>
      <c r="J1680">
        <v>16.2</v>
      </c>
      <c r="K1680">
        <v>16.100000000000001</v>
      </c>
      <c r="L1680">
        <v>16.2</v>
      </c>
      <c r="M1680">
        <v>16.3</v>
      </c>
      <c r="N1680">
        <v>16.899999999999999</v>
      </c>
      <c r="O1680">
        <v>17</v>
      </c>
      <c r="P1680">
        <v>16.8</v>
      </c>
      <c r="Q1680">
        <v>16.2</v>
      </c>
      <c r="R1680">
        <v>16</v>
      </c>
      <c r="S1680">
        <f>Tableau1[[#This Row],[Final_time]]-SUM(Tableau1[[#This Row],[0_100m]:[1300_1400m]])</f>
        <v>15.599999999999966</v>
      </c>
      <c r="T1680">
        <v>242.7</v>
      </c>
      <c r="U1680">
        <f t="shared" si="64"/>
        <v>242.7</v>
      </c>
      <c r="V1680">
        <f t="shared" si="65"/>
        <v>0</v>
      </c>
      <c r="X1680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80" t="s">
        <v>1905</v>
      </c>
      <c r="Z1680" s="2" t="s">
        <v>43</v>
      </c>
      <c r="AA1680" s="2"/>
      <c r="AB1680" s="2" t="s">
        <v>65</v>
      </c>
      <c r="AC1680" s="2">
        <v>46201</v>
      </c>
      <c r="AD1680" s="3">
        <v>2026</v>
      </c>
      <c r="AE1680" s="3">
        <v>28</v>
      </c>
      <c r="AF1680" s="5">
        <v>0.45</v>
      </c>
      <c r="AG1680" s="3" t="s">
        <v>62</v>
      </c>
    </row>
    <row r="1681" spans="1:33" hidden="1" x14ac:dyDescent="0.35">
      <c r="A1681" t="str">
        <f>_xlfn.CONCAT(Tableau1[[#This Row],[Athletes]],"_",Tableau1[[#This Row],[Nationality]],"_",Tableau1[[#This Row],[Competition_year]])</f>
        <v>Aster ARERI_ETH_2026</v>
      </c>
      <c r="B1681" s="7" t="s">
        <v>1882</v>
      </c>
      <c r="C1681" t="s">
        <v>47</v>
      </c>
      <c r="D1681" s="7" t="s">
        <v>48</v>
      </c>
      <c r="E1681">
        <v>15.6</v>
      </c>
      <c r="F1681">
        <v>16.5</v>
      </c>
      <c r="G1681">
        <v>15.8</v>
      </c>
      <c r="H1681">
        <v>16.100000000000001</v>
      </c>
      <c r="I1681">
        <v>16.100000000000001</v>
      </c>
      <c r="J1681">
        <v>16.399999999999999</v>
      </c>
      <c r="K1681">
        <v>16.2</v>
      </c>
      <c r="L1681">
        <v>16.600000000000001</v>
      </c>
      <c r="M1681">
        <v>16.3</v>
      </c>
      <c r="N1681">
        <v>16.7</v>
      </c>
      <c r="O1681">
        <v>16.5</v>
      </c>
      <c r="P1681">
        <v>16.100000000000001</v>
      </c>
      <c r="Q1681">
        <v>16.399999999999999</v>
      </c>
      <c r="R1681">
        <v>16.100000000000001</v>
      </c>
      <c r="S1681">
        <f>Tableau1[[#This Row],[Final_time]]-SUM(Tableau1[[#This Row],[0_100m]:[1300_1400m]])</f>
        <v>15.299999999999983</v>
      </c>
      <c r="T1681">
        <v>242.7</v>
      </c>
      <c r="U1681">
        <f t="shared" si="64"/>
        <v>242.7</v>
      </c>
      <c r="V1681">
        <f t="shared" si="65"/>
        <v>0</v>
      </c>
      <c r="X1681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81" t="s">
        <v>1905</v>
      </c>
      <c r="Z1681" s="2" t="s">
        <v>43</v>
      </c>
      <c r="AA1681" s="2"/>
      <c r="AB1681" s="2" t="s">
        <v>65</v>
      </c>
      <c r="AC1681" s="2">
        <v>46201</v>
      </c>
      <c r="AD1681" s="3">
        <v>2026</v>
      </c>
      <c r="AE1681" s="3">
        <v>28</v>
      </c>
      <c r="AF1681" s="5">
        <v>0.45</v>
      </c>
      <c r="AG1681" s="3" t="s">
        <v>62</v>
      </c>
    </row>
    <row r="1682" spans="1:33" hidden="1" x14ac:dyDescent="0.35">
      <c r="A1682" t="str">
        <f>_xlfn.CONCAT(Tableau1[[#This Row],[Athletes]],"_",Tableau1[[#This Row],[Nationality]],"_",Tableau1[[#This Row],[Competition_year]])</f>
        <v>Adèle GAY_FRA_2026</v>
      </c>
      <c r="B1682" s="7" t="s">
        <v>1889</v>
      </c>
      <c r="C1682" t="s">
        <v>47</v>
      </c>
      <c r="D1682" s="7" t="s">
        <v>18</v>
      </c>
      <c r="E1682">
        <v>15.8</v>
      </c>
      <c r="F1682">
        <v>16.100000000000001</v>
      </c>
      <c r="G1682">
        <v>16.399999999999999</v>
      </c>
      <c r="H1682">
        <v>15.9</v>
      </c>
      <c r="I1682">
        <v>15.7</v>
      </c>
      <c r="J1682">
        <v>16.2</v>
      </c>
      <c r="K1682">
        <v>16.100000000000001</v>
      </c>
      <c r="L1682">
        <v>16.3</v>
      </c>
      <c r="M1682">
        <v>16.3</v>
      </c>
      <c r="N1682">
        <v>16.399999999999999</v>
      </c>
      <c r="O1682">
        <v>16.3</v>
      </c>
      <c r="P1682">
        <v>16.100000000000001</v>
      </c>
      <c r="Q1682">
        <v>16.3</v>
      </c>
      <c r="R1682">
        <v>16.3</v>
      </c>
      <c r="S1682">
        <f>Tableau1[[#This Row],[Final_time]]-SUM(Tableau1[[#This Row],[0_100m]:[1300_1400m]])</f>
        <v>16.929999999999922</v>
      </c>
      <c r="T1682">
        <v>243.13</v>
      </c>
      <c r="U1682">
        <f t="shared" si="64"/>
        <v>243.13</v>
      </c>
      <c r="V1682">
        <f t="shared" si="65"/>
        <v>0</v>
      </c>
      <c r="X1682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82" t="s">
        <v>1905</v>
      </c>
      <c r="Z1682" s="2" t="s">
        <v>43</v>
      </c>
      <c r="AA1682" s="2"/>
      <c r="AB1682" s="2" t="s">
        <v>65</v>
      </c>
      <c r="AC1682" s="2">
        <v>46201</v>
      </c>
      <c r="AD1682" s="3">
        <v>2026</v>
      </c>
      <c r="AE1682" s="3">
        <v>28</v>
      </c>
      <c r="AF1682" s="5">
        <v>0.45</v>
      </c>
      <c r="AG1682" s="3" t="s">
        <v>62</v>
      </c>
    </row>
    <row r="1683" spans="1:33" hidden="1" x14ac:dyDescent="0.35">
      <c r="A1683" t="str">
        <f>_xlfn.CONCAT(Tableau1[[#This Row],[Athletes]],"_",Tableau1[[#This Row],[Nationality]],"_",Tableau1[[#This Row],[Competition_year]])</f>
        <v>Bérénice CLEYET-MERLE_FRA_2026</v>
      </c>
      <c r="B1683" s="7" t="s">
        <v>1886</v>
      </c>
      <c r="C1683" t="s">
        <v>47</v>
      </c>
      <c r="D1683" s="7" t="s">
        <v>18</v>
      </c>
      <c r="E1683">
        <v>15.7</v>
      </c>
      <c r="F1683">
        <v>17</v>
      </c>
      <c r="G1683">
        <v>16.2</v>
      </c>
      <c r="H1683">
        <v>15.9</v>
      </c>
      <c r="I1683">
        <v>15.9</v>
      </c>
      <c r="J1683">
        <v>16.3</v>
      </c>
      <c r="K1683">
        <v>16</v>
      </c>
      <c r="L1683">
        <v>16.2</v>
      </c>
      <c r="M1683">
        <v>16.2</v>
      </c>
      <c r="N1683">
        <v>16.3</v>
      </c>
      <c r="O1683">
        <v>16.600000000000001</v>
      </c>
      <c r="P1683">
        <v>16</v>
      </c>
      <c r="Q1683">
        <v>16.100000000000001</v>
      </c>
      <c r="R1683">
        <v>16.100000000000001</v>
      </c>
      <c r="S1683">
        <f>Tableau1[[#This Row],[Final_time]]-SUM(Tableau1[[#This Row],[0_100m]:[1300_1400m]])</f>
        <v>17.080000000000013</v>
      </c>
      <c r="T1683">
        <v>243.58</v>
      </c>
      <c r="U1683">
        <f t="shared" si="64"/>
        <v>243.58</v>
      </c>
      <c r="V1683">
        <f t="shared" si="65"/>
        <v>0</v>
      </c>
      <c r="X1683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83" t="s">
        <v>1905</v>
      </c>
      <c r="Z1683" s="2" t="s">
        <v>43</v>
      </c>
      <c r="AA1683" s="2"/>
      <c r="AB1683" s="2" t="s">
        <v>65</v>
      </c>
      <c r="AC1683" s="2">
        <v>46201</v>
      </c>
      <c r="AD1683" s="3">
        <v>2026</v>
      </c>
      <c r="AE1683" s="3">
        <v>28</v>
      </c>
      <c r="AF1683" s="5">
        <v>0.45</v>
      </c>
      <c r="AG1683" s="3" t="s">
        <v>62</v>
      </c>
    </row>
    <row r="1684" spans="1:33" hidden="1" x14ac:dyDescent="0.35">
      <c r="A1684" t="str">
        <f>_xlfn.CONCAT(Tableau1[[#This Row],[Athletes]],"_",Tableau1[[#This Row],[Nationality]],"_",Tableau1[[#This Row],[Competition_year]])</f>
        <v>Salomé AFONSO_POR_2026</v>
      </c>
      <c r="B1684" s="7" t="s">
        <v>174</v>
      </c>
      <c r="C1684" t="s">
        <v>47</v>
      </c>
      <c r="D1684" s="7" t="s">
        <v>33</v>
      </c>
      <c r="E1684">
        <v>15.9</v>
      </c>
      <c r="F1684">
        <v>16.399999999999999</v>
      </c>
      <c r="G1684">
        <v>16.399999999999999</v>
      </c>
      <c r="H1684">
        <v>15.9</v>
      </c>
      <c r="I1684">
        <v>15.9</v>
      </c>
      <c r="J1684">
        <v>16.399999999999999</v>
      </c>
      <c r="K1684">
        <v>16</v>
      </c>
      <c r="L1684">
        <v>16.2</v>
      </c>
      <c r="M1684">
        <v>16.2</v>
      </c>
      <c r="N1684">
        <v>16.3</v>
      </c>
      <c r="O1684">
        <v>16.5</v>
      </c>
      <c r="P1684">
        <v>16.2</v>
      </c>
      <c r="Q1684">
        <v>16.600000000000001</v>
      </c>
      <c r="R1684">
        <v>17.399999999999999</v>
      </c>
      <c r="S1684">
        <f>Tableau1[[#This Row],[Final_time]]-SUM(Tableau1[[#This Row],[0_100m]:[1300_1400m]])</f>
        <v>18.060000000000031</v>
      </c>
      <c r="T1684">
        <v>246.36</v>
      </c>
      <c r="U1684">
        <f t="shared" si="64"/>
        <v>246.36</v>
      </c>
      <c r="V1684">
        <f t="shared" si="65"/>
        <v>0</v>
      </c>
      <c r="X1684" t="str">
        <f>_xlfn.CONCAT(Tableau1[[#This Row],[Competition]],"_",Tableau1[[#This Row],[Championship_step]],"_",Tableau1[[#This Row],[Competition_date]],"_",Tableau1[[#This Row],[Gender]])</f>
        <v>Diamond League Paris 2026__46201_Female</v>
      </c>
      <c r="Y1684" t="s">
        <v>1905</v>
      </c>
      <c r="Z1684" s="2" t="s">
        <v>43</v>
      </c>
      <c r="AA1684" s="2"/>
      <c r="AB1684" s="2" t="s">
        <v>65</v>
      </c>
      <c r="AC1684" s="2">
        <v>46201</v>
      </c>
      <c r="AD1684" s="3">
        <v>2026</v>
      </c>
      <c r="AE1684" s="3">
        <v>28</v>
      </c>
      <c r="AF1684" s="5">
        <v>0.45</v>
      </c>
      <c r="AG1684" s="3" t="s">
        <v>62</v>
      </c>
    </row>
    <row r="1685" spans="1:33" hidden="1" x14ac:dyDescent="0.35">
      <c r="A1685" t="str">
        <f>_xlfn.CONCAT(Tableau1[[#This Row],[Athletes]],"_",Tableau1[[#This Row],[Nationality]],"_",Tableau1[[#This Row],[Competition_year]])</f>
        <v>Cameron MYERS_AUS_2026</v>
      </c>
      <c r="B1685" s="7" t="s">
        <v>808</v>
      </c>
      <c r="C1685" t="s">
        <v>16</v>
      </c>
      <c r="D1685" s="7" t="s">
        <v>21</v>
      </c>
      <c r="E1685">
        <v>13.8</v>
      </c>
      <c r="F1685">
        <v>13.5</v>
      </c>
      <c r="G1685">
        <v>14</v>
      </c>
      <c r="H1685">
        <v>14.3</v>
      </c>
      <c r="I1685">
        <v>14.5</v>
      </c>
      <c r="J1685">
        <v>14.5</v>
      </c>
      <c r="K1685">
        <v>13.9</v>
      </c>
      <c r="L1685">
        <v>14</v>
      </c>
      <c r="M1685">
        <v>13.7</v>
      </c>
      <c r="N1685">
        <v>13.8</v>
      </c>
      <c r="O1685">
        <v>13.8</v>
      </c>
      <c r="P1685">
        <v>13.6</v>
      </c>
      <c r="Q1685">
        <v>13.4</v>
      </c>
      <c r="R1685">
        <v>13.6</v>
      </c>
      <c r="S1685">
        <f>Tableau1[[#This Row],[Final_time]]-SUM(Tableau1[[#This Row],[0_100m]:[1300_1400m]])</f>
        <v>13.599999999999994</v>
      </c>
      <c r="T1685">
        <v>208</v>
      </c>
      <c r="U1685">
        <f t="shared" ref="U1685:U1698" si="66">SUM(E1685:S1685)</f>
        <v>208</v>
      </c>
      <c r="V1685">
        <f t="shared" ref="V1685:V1698" si="67">ABS(U1685-T1685)</f>
        <v>0</v>
      </c>
      <c r="X1685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85" t="s">
        <v>1905</v>
      </c>
      <c r="Z1685" s="2" t="s">
        <v>43</v>
      </c>
      <c r="AA1685" s="2"/>
      <c r="AB1685" s="2" t="s">
        <v>65</v>
      </c>
      <c r="AC1685" s="2">
        <v>46201</v>
      </c>
      <c r="AD1685" s="3">
        <v>2026</v>
      </c>
      <c r="AE1685" s="3">
        <v>30</v>
      </c>
      <c r="AF1685" s="5">
        <v>0.39</v>
      </c>
      <c r="AG1685" s="3" t="s">
        <v>62</v>
      </c>
    </row>
    <row r="1686" spans="1:33" hidden="1" x14ac:dyDescent="0.35">
      <c r="A1686" t="str">
        <f>_xlfn.CONCAT(Tableau1[[#This Row],[Athletes]],"_",Tableau1[[#This Row],[Nationality]],"_",Tableau1[[#This Row],[Competition_year]])</f>
        <v>Azeddine HABZ_FRA_2026</v>
      </c>
      <c r="B1686" s="7" t="s">
        <v>218</v>
      </c>
      <c r="C1686" t="s">
        <v>16</v>
      </c>
      <c r="D1686" s="7" t="s">
        <v>18</v>
      </c>
      <c r="E1686">
        <v>13.8</v>
      </c>
      <c r="F1686">
        <v>13.7</v>
      </c>
      <c r="G1686">
        <v>14</v>
      </c>
      <c r="H1686">
        <v>14.3</v>
      </c>
      <c r="I1686">
        <v>14.5</v>
      </c>
      <c r="J1686">
        <v>14.5</v>
      </c>
      <c r="K1686">
        <v>13.9</v>
      </c>
      <c r="L1686">
        <v>14</v>
      </c>
      <c r="M1686">
        <v>13.7</v>
      </c>
      <c r="N1686">
        <v>13.8</v>
      </c>
      <c r="O1686">
        <v>13.8</v>
      </c>
      <c r="P1686">
        <v>13.6</v>
      </c>
      <c r="Q1686">
        <v>13.8</v>
      </c>
      <c r="R1686">
        <v>14.1</v>
      </c>
      <c r="S1686">
        <f>Tableau1[[#This Row],[Final_time]]-SUM(Tableau1[[#This Row],[0_100m]:[1300_1400m]])</f>
        <v>14.299999999999983</v>
      </c>
      <c r="T1686">
        <v>209.8</v>
      </c>
      <c r="U1686">
        <f t="shared" si="66"/>
        <v>209.8</v>
      </c>
      <c r="V1686">
        <f t="shared" si="67"/>
        <v>0</v>
      </c>
      <c r="X1686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86" t="s">
        <v>1905</v>
      </c>
      <c r="Z1686" s="2" t="s">
        <v>43</v>
      </c>
      <c r="AA1686" s="2"/>
      <c r="AB1686" s="2" t="s">
        <v>65</v>
      </c>
      <c r="AC1686" s="2">
        <v>46201</v>
      </c>
      <c r="AD1686" s="3">
        <v>2026</v>
      </c>
      <c r="AE1686" s="3">
        <v>30</v>
      </c>
      <c r="AF1686" s="5">
        <v>0.39</v>
      </c>
      <c r="AG1686" s="3" t="s">
        <v>62</v>
      </c>
    </row>
    <row r="1687" spans="1:33" hidden="1" x14ac:dyDescent="0.35">
      <c r="A1687" t="str">
        <f>_xlfn.CONCAT(Tableau1[[#This Row],[Athletes]],"_",Tableau1[[#This Row],[Nationality]],"_",Tableau1[[#This Row],[Competition_year]])</f>
        <v>Jake WIGHTMAN_GBR_2026</v>
      </c>
      <c r="B1687" s="7" t="s">
        <v>150</v>
      </c>
      <c r="C1687" t="s">
        <v>16</v>
      </c>
      <c r="D1687" s="7" t="s">
        <v>20</v>
      </c>
      <c r="E1687">
        <v>13.8</v>
      </c>
      <c r="F1687">
        <v>14.1</v>
      </c>
      <c r="G1687">
        <v>14</v>
      </c>
      <c r="H1687">
        <v>14.3</v>
      </c>
      <c r="I1687">
        <v>14.5</v>
      </c>
      <c r="J1687">
        <v>14.6</v>
      </c>
      <c r="K1687">
        <v>14</v>
      </c>
      <c r="L1687">
        <v>13.8</v>
      </c>
      <c r="M1687">
        <v>14</v>
      </c>
      <c r="N1687">
        <v>13.8</v>
      </c>
      <c r="O1687">
        <v>14.1</v>
      </c>
      <c r="P1687">
        <v>14</v>
      </c>
      <c r="Q1687">
        <v>13.8</v>
      </c>
      <c r="R1687">
        <v>14.1</v>
      </c>
      <c r="S1687">
        <f>Tableau1[[#This Row],[Final_time]]-SUM(Tableau1[[#This Row],[0_100m]:[1300_1400m]])</f>
        <v>13.049999999999983</v>
      </c>
      <c r="T1687">
        <v>209.95</v>
      </c>
      <c r="U1687">
        <f t="shared" si="66"/>
        <v>209.95</v>
      </c>
      <c r="V1687">
        <f t="shared" si="67"/>
        <v>0</v>
      </c>
      <c r="X1687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87" t="s">
        <v>1905</v>
      </c>
      <c r="Z1687" s="2" t="s">
        <v>43</v>
      </c>
      <c r="AA1687" s="2"/>
      <c r="AB1687" s="2" t="s">
        <v>65</v>
      </c>
      <c r="AC1687" s="2">
        <v>46201</v>
      </c>
      <c r="AD1687" s="3">
        <v>2026</v>
      </c>
      <c r="AE1687" s="3">
        <v>30</v>
      </c>
      <c r="AF1687" s="5">
        <v>0.39</v>
      </c>
      <c r="AG1687" s="3" t="s">
        <v>62</v>
      </c>
    </row>
    <row r="1688" spans="1:33" hidden="1" x14ac:dyDescent="0.35">
      <c r="A1688" t="str">
        <f>_xlfn.CONCAT(Tableau1[[#This Row],[Athletes]],"_",Tableau1[[#This Row],[Nationality]],"_",Tableau1[[#This Row],[Competition_year]])</f>
        <v>Anass ESSAYI_MAR_2026</v>
      </c>
      <c r="B1688" s="7" t="s">
        <v>259</v>
      </c>
      <c r="C1688" t="s">
        <v>16</v>
      </c>
      <c r="D1688" s="7" t="s">
        <v>75</v>
      </c>
      <c r="E1688">
        <v>14.3</v>
      </c>
      <c r="F1688">
        <v>14.3</v>
      </c>
      <c r="G1688">
        <v>14.3</v>
      </c>
      <c r="H1688">
        <v>14.4</v>
      </c>
      <c r="I1688">
        <v>14.5</v>
      </c>
      <c r="J1688">
        <v>14.8</v>
      </c>
      <c r="K1688">
        <v>14.1</v>
      </c>
      <c r="L1688">
        <v>14.2</v>
      </c>
      <c r="M1688">
        <v>13.5</v>
      </c>
      <c r="N1688">
        <v>13.7</v>
      </c>
      <c r="O1688">
        <v>13.7</v>
      </c>
      <c r="P1688">
        <v>13.5</v>
      </c>
      <c r="Q1688">
        <v>13.5</v>
      </c>
      <c r="R1688">
        <v>13.7</v>
      </c>
      <c r="S1688">
        <f>Tableau1[[#This Row],[Final_time]]-SUM(Tableau1[[#This Row],[0_100m]:[1300_1400m]])</f>
        <v>13.670000000000016</v>
      </c>
      <c r="T1688">
        <v>210.17</v>
      </c>
      <c r="U1688">
        <f t="shared" si="66"/>
        <v>210.17</v>
      </c>
      <c r="V1688">
        <f t="shared" si="67"/>
        <v>0</v>
      </c>
      <c r="X1688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88" t="s">
        <v>1905</v>
      </c>
      <c r="Z1688" s="2" t="s">
        <v>43</v>
      </c>
      <c r="AA1688" s="2"/>
      <c r="AB1688" s="2" t="s">
        <v>65</v>
      </c>
      <c r="AC1688" s="2">
        <v>46201</v>
      </c>
      <c r="AD1688" s="3">
        <v>2026</v>
      </c>
      <c r="AE1688" s="3">
        <v>30</v>
      </c>
      <c r="AF1688" s="5">
        <v>0.39</v>
      </c>
      <c r="AG1688" s="3" t="s">
        <v>62</v>
      </c>
    </row>
    <row r="1689" spans="1:33" hidden="1" x14ac:dyDescent="0.35">
      <c r="A1689" t="str">
        <f>_xlfn.CONCAT(Tableau1[[#This Row],[Athletes]],"_",Tableau1[[#This Row],[Nationality]],"_",Tableau1[[#This Row],[Competition_year]])</f>
        <v>Reynold CHERUIYOT_KEN_2026</v>
      </c>
      <c r="B1689" s="7" t="s">
        <v>1192</v>
      </c>
      <c r="C1689" t="s">
        <v>16</v>
      </c>
      <c r="D1689" s="7" t="s">
        <v>17</v>
      </c>
      <c r="E1689">
        <v>13.9</v>
      </c>
      <c r="F1689">
        <v>14.2</v>
      </c>
      <c r="G1689">
        <v>14</v>
      </c>
      <c r="H1689">
        <v>14.3</v>
      </c>
      <c r="I1689">
        <v>14.6</v>
      </c>
      <c r="J1689">
        <v>14.6</v>
      </c>
      <c r="K1689">
        <v>14</v>
      </c>
      <c r="L1689">
        <v>13.8</v>
      </c>
      <c r="M1689">
        <v>13.9</v>
      </c>
      <c r="N1689">
        <v>14</v>
      </c>
      <c r="O1689">
        <v>14</v>
      </c>
      <c r="P1689">
        <v>13.8</v>
      </c>
      <c r="Q1689">
        <v>13.6</v>
      </c>
      <c r="R1689">
        <v>13.9</v>
      </c>
      <c r="S1689">
        <f>Tableau1[[#This Row],[Final_time]]-SUM(Tableau1[[#This Row],[0_100m]:[1300_1400m]])</f>
        <v>13.679999999999978</v>
      </c>
      <c r="T1689">
        <v>210.28</v>
      </c>
      <c r="U1689">
        <f t="shared" si="66"/>
        <v>210.28</v>
      </c>
      <c r="V1689">
        <f t="shared" si="67"/>
        <v>0</v>
      </c>
      <c r="X1689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89" t="s">
        <v>1905</v>
      </c>
      <c r="Z1689" s="2" t="s">
        <v>43</v>
      </c>
      <c r="AA1689" s="2"/>
      <c r="AB1689" s="2" t="s">
        <v>65</v>
      </c>
      <c r="AC1689" s="2">
        <v>46201</v>
      </c>
      <c r="AD1689" s="3">
        <v>2026</v>
      </c>
      <c r="AE1689" s="3">
        <v>30</v>
      </c>
      <c r="AF1689" s="5">
        <v>0.39</v>
      </c>
      <c r="AG1689" s="3" t="s">
        <v>62</v>
      </c>
    </row>
    <row r="1690" spans="1:33" hidden="1" x14ac:dyDescent="0.35">
      <c r="A1690" t="str">
        <f>_xlfn.CONCAT(Tableau1[[#This Row],[Athletes]],"_",Tableau1[[#This Row],[Nationality]],"_",Tableau1[[#This Row],[Competition_year]])</f>
        <v>Anas LAGTIY CHAOUDAR_FRA_2026</v>
      </c>
      <c r="B1690" s="7" t="s">
        <v>1335</v>
      </c>
      <c r="C1690" t="s">
        <v>16</v>
      </c>
      <c r="D1690" s="7" t="s">
        <v>18</v>
      </c>
      <c r="E1690">
        <v>14</v>
      </c>
      <c r="F1690">
        <v>14.3</v>
      </c>
      <c r="G1690">
        <v>14.3</v>
      </c>
      <c r="H1690">
        <v>14.4</v>
      </c>
      <c r="I1690">
        <v>14.7</v>
      </c>
      <c r="J1690">
        <v>14.6</v>
      </c>
      <c r="K1690">
        <v>14.3</v>
      </c>
      <c r="L1690">
        <v>14.5</v>
      </c>
      <c r="M1690">
        <v>13.8</v>
      </c>
      <c r="N1690">
        <v>13.8</v>
      </c>
      <c r="O1690">
        <v>13.9</v>
      </c>
      <c r="P1690">
        <v>13.6</v>
      </c>
      <c r="Q1690">
        <v>13.4</v>
      </c>
      <c r="R1690">
        <v>13.3</v>
      </c>
      <c r="S1690">
        <f>Tableau1[[#This Row],[Final_time]]-SUM(Tableau1[[#This Row],[0_100m]:[1300_1400m]])</f>
        <v>13.409999999999968</v>
      </c>
      <c r="T1690">
        <v>210.31</v>
      </c>
      <c r="U1690">
        <f t="shared" si="66"/>
        <v>210.31</v>
      </c>
      <c r="V1690">
        <f t="shared" si="67"/>
        <v>0</v>
      </c>
      <c r="X1690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0" t="s">
        <v>1905</v>
      </c>
      <c r="Z1690" s="2" t="s">
        <v>43</v>
      </c>
      <c r="AA1690" s="2"/>
      <c r="AB1690" s="2" t="s">
        <v>65</v>
      </c>
      <c r="AC1690" s="2">
        <v>46201</v>
      </c>
      <c r="AD1690" s="3">
        <v>2026</v>
      </c>
      <c r="AE1690" s="3">
        <v>30</v>
      </c>
      <c r="AF1690" s="5">
        <v>0.39</v>
      </c>
      <c r="AG1690" s="3" t="s">
        <v>62</v>
      </c>
    </row>
    <row r="1691" spans="1:33" hidden="1" x14ac:dyDescent="0.35">
      <c r="A1691" t="str">
        <f>_xlfn.CONCAT(Tableau1[[#This Row],[Athletes]],"_",Tableau1[[#This Row],[Nationality]],"_",Tableau1[[#This Row],[Competition_year]])</f>
        <v>Paul ANSELMINI_FRA_2026</v>
      </c>
      <c r="B1691" s="7" t="s">
        <v>1358</v>
      </c>
      <c r="C1691" t="s">
        <v>16</v>
      </c>
      <c r="D1691" s="7" t="s">
        <v>18</v>
      </c>
      <c r="E1691">
        <v>14.3</v>
      </c>
      <c r="F1691">
        <v>14.6</v>
      </c>
      <c r="G1691">
        <v>14.2</v>
      </c>
      <c r="H1691">
        <v>14.4</v>
      </c>
      <c r="I1691">
        <v>14.2</v>
      </c>
      <c r="J1691">
        <v>14.7</v>
      </c>
      <c r="K1691">
        <v>14.1</v>
      </c>
      <c r="L1691">
        <v>14.2</v>
      </c>
      <c r="M1691">
        <v>13.9</v>
      </c>
      <c r="N1691">
        <v>13.9</v>
      </c>
      <c r="O1691">
        <v>14.3</v>
      </c>
      <c r="P1691">
        <v>13.8</v>
      </c>
      <c r="Q1691">
        <v>13.6</v>
      </c>
      <c r="R1691">
        <v>13.6</v>
      </c>
      <c r="S1691">
        <f>Tableau1[[#This Row],[Final_time]]-SUM(Tableau1[[#This Row],[0_100m]:[1300_1400m]])</f>
        <v>13.560000000000002</v>
      </c>
      <c r="T1691">
        <v>211.36</v>
      </c>
      <c r="U1691">
        <f t="shared" si="66"/>
        <v>211.36</v>
      </c>
      <c r="V1691">
        <f t="shared" si="67"/>
        <v>0</v>
      </c>
      <c r="X1691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1" t="s">
        <v>1905</v>
      </c>
      <c r="Z1691" s="2" t="s">
        <v>43</v>
      </c>
      <c r="AA1691" s="2"/>
      <c r="AB1691" s="2" t="s">
        <v>65</v>
      </c>
      <c r="AC1691" s="2">
        <v>46201</v>
      </c>
      <c r="AD1691" s="3">
        <v>2026</v>
      </c>
      <c r="AE1691" s="3">
        <v>30</v>
      </c>
      <c r="AF1691" s="5">
        <v>0.39</v>
      </c>
      <c r="AG1691" s="3" t="s">
        <v>62</v>
      </c>
    </row>
    <row r="1692" spans="1:33" hidden="1" x14ac:dyDescent="0.35">
      <c r="A1692" t="str">
        <f>_xlfn.CONCAT(Tableau1[[#This Row],[Athletes]],"_",Tableau1[[#This Row],[Nationality]],"_",Tableau1[[#This Row],[Competition_year]])</f>
        <v>Titouan le GRIX_FRA_2026</v>
      </c>
      <c r="B1692" s="7" t="s">
        <v>1906</v>
      </c>
      <c r="C1692" t="s">
        <v>16</v>
      </c>
      <c r="D1692" s="7" t="s">
        <v>18</v>
      </c>
      <c r="E1692">
        <v>13.9</v>
      </c>
      <c r="F1692">
        <v>14.1</v>
      </c>
      <c r="G1692">
        <v>14.4</v>
      </c>
      <c r="H1692">
        <v>14.4</v>
      </c>
      <c r="I1692">
        <v>14.6</v>
      </c>
      <c r="J1692">
        <v>14.6</v>
      </c>
      <c r="K1692">
        <v>14.4</v>
      </c>
      <c r="L1692">
        <v>14</v>
      </c>
      <c r="M1692">
        <v>13.9</v>
      </c>
      <c r="N1692">
        <v>14</v>
      </c>
      <c r="O1692">
        <v>13.9</v>
      </c>
      <c r="P1692">
        <v>13.7</v>
      </c>
      <c r="Q1692">
        <v>13.8</v>
      </c>
      <c r="R1692">
        <v>13.8</v>
      </c>
      <c r="S1692">
        <f>Tableau1[[#This Row],[Final_time]]-SUM(Tableau1[[#This Row],[0_100m]:[1300_1400m]])</f>
        <v>13.960000000000008</v>
      </c>
      <c r="T1692">
        <v>211.46</v>
      </c>
      <c r="U1692">
        <f t="shared" si="66"/>
        <v>211.46</v>
      </c>
      <c r="V1692">
        <f t="shared" si="67"/>
        <v>0</v>
      </c>
      <c r="X1692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2" t="s">
        <v>1905</v>
      </c>
      <c r="Z1692" s="2" t="s">
        <v>43</v>
      </c>
      <c r="AA1692" s="2"/>
      <c r="AB1692" s="2" t="s">
        <v>65</v>
      </c>
      <c r="AC1692" s="2">
        <v>46201</v>
      </c>
      <c r="AD1692" s="3">
        <v>2026</v>
      </c>
      <c r="AE1692" s="3">
        <v>30</v>
      </c>
      <c r="AF1692" s="5">
        <v>0.39</v>
      </c>
      <c r="AG1692" s="3" t="s">
        <v>62</v>
      </c>
    </row>
    <row r="1693" spans="1:33" hidden="1" x14ac:dyDescent="0.35">
      <c r="A1693" t="str">
        <f>_xlfn.CONCAT(Tableau1[[#This Row],[Athletes]],"_",Tableau1[[#This Row],[Nationality]],"_",Tableau1[[#This Row],[Competition_year]])</f>
        <v>Narve Gilje NORDÅS_NOR_2026</v>
      </c>
      <c r="B1693" s="7" t="s">
        <v>217</v>
      </c>
      <c r="C1693" t="s">
        <v>16</v>
      </c>
      <c r="D1693" s="7" t="s">
        <v>30</v>
      </c>
      <c r="E1693">
        <v>14.5</v>
      </c>
      <c r="F1693">
        <v>14.6</v>
      </c>
      <c r="G1693">
        <v>14.2</v>
      </c>
      <c r="H1693">
        <v>14.5</v>
      </c>
      <c r="I1693">
        <v>14.4</v>
      </c>
      <c r="J1693">
        <v>14.8</v>
      </c>
      <c r="K1693">
        <v>14.1</v>
      </c>
      <c r="L1693">
        <v>14.4</v>
      </c>
      <c r="M1693">
        <v>13.8</v>
      </c>
      <c r="N1693">
        <v>13.7</v>
      </c>
      <c r="O1693">
        <v>13.9</v>
      </c>
      <c r="P1693">
        <v>13.9</v>
      </c>
      <c r="Q1693">
        <v>13.8</v>
      </c>
      <c r="R1693">
        <v>14</v>
      </c>
      <c r="S1693">
        <f>Tableau1[[#This Row],[Final_time]]-SUM(Tableau1[[#This Row],[0_100m]:[1300_1400m]])</f>
        <v>13.449999999999989</v>
      </c>
      <c r="T1693">
        <v>212.05</v>
      </c>
      <c r="U1693">
        <f t="shared" si="66"/>
        <v>212.05</v>
      </c>
      <c r="V1693">
        <f t="shared" si="67"/>
        <v>0</v>
      </c>
      <c r="X1693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3" t="s">
        <v>1905</v>
      </c>
      <c r="Z1693" s="2" t="s">
        <v>43</v>
      </c>
      <c r="AA1693" s="2"/>
      <c r="AB1693" s="2" t="s">
        <v>65</v>
      </c>
      <c r="AC1693" s="2">
        <v>46201</v>
      </c>
      <c r="AD1693" s="3">
        <v>2026</v>
      </c>
      <c r="AE1693" s="3">
        <v>30</v>
      </c>
      <c r="AF1693" s="5">
        <v>0.39</v>
      </c>
      <c r="AG1693" s="3" t="s">
        <v>62</v>
      </c>
    </row>
    <row r="1694" spans="1:33" hidden="1" x14ac:dyDescent="0.35">
      <c r="A1694" t="str">
        <f>_xlfn.CONCAT(Tableau1[[#This Row],[Athletes]],"_",Tableau1[[#This Row],[Nationality]],"_",Tableau1[[#This Row],[Competition_year]])</f>
        <v>Fouad MESSAOUDI_MAR_2026</v>
      </c>
      <c r="B1694" s="7" t="s">
        <v>1374</v>
      </c>
      <c r="C1694" t="s">
        <v>16</v>
      </c>
      <c r="D1694" s="7" t="s">
        <v>75</v>
      </c>
      <c r="E1694">
        <v>14.1</v>
      </c>
      <c r="F1694">
        <v>14.4</v>
      </c>
      <c r="G1694">
        <v>14.4</v>
      </c>
      <c r="H1694">
        <v>14.3</v>
      </c>
      <c r="I1694">
        <v>14.4</v>
      </c>
      <c r="J1694">
        <v>14.5</v>
      </c>
      <c r="K1694">
        <v>14.4</v>
      </c>
      <c r="L1694">
        <v>14.3</v>
      </c>
      <c r="M1694">
        <v>13.8</v>
      </c>
      <c r="N1694">
        <v>13.8</v>
      </c>
      <c r="O1694">
        <v>14</v>
      </c>
      <c r="P1694">
        <v>13.9</v>
      </c>
      <c r="Q1694">
        <v>14.1</v>
      </c>
      <c r="R1694">
        <v>14</v>
      </c>
      <c r="S1694">
        <f>Tableau1[[#This Row],[Final_time]]-SUM(Tableau1[[#This Row],[0_100m]:[1300_1400m]])</f>
        <v>13.999999999999972</v>
      </c>
      <c r="T1694">
        <v>212.4</v>
      </c>
      <c r="U1694">
        <f t="shared" si="66"/>
        <v>212.4</v>
      </c>
      <c r="V1694">
        <f t="shared" si="67"/>
        <v>0</v>
      </c>
      <c r="X1694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4" t="s">
        <v>1905</v>
      </c>
      <c r="Z1694" s="2" t="s">
        <v>43</v>
      </c>
      <c r="AA1694" s="2"/>
      <c r="AB1694" s="2" t="s">
        <v>65</v>
      </c>
      <c r="AC1694" s="2">
        <v>46201</v>
      </c>
      <c r="AD1694" s="3">
        <v>2026</v>
      </c>
      <c r="AE1694" s="3">
        <v>30</v>
      </c>
      <c r="AF1694" s="5">
        <v>0.39</v>
      </c>
      <c r="AG1694" s="3" t="s">
        <v>62</v>
      </c>
    </row>
    <row r="1695" spans="1:33" hidden="1" x14ac:dyDescent="0.35">
      <c r="A1695" t="str">
        <f>_xlfn.CONCAT(Tableau1[[#This Row],[Athletes]],"_",Tableau1[[#This Row],[Nationality]],"_",Tableau1[[#This Row],[Competition_year]])</f>
        <v>Stefan NILLESSEN_NED_2026</v>
      </c>
      <c r="B1695" s="7" t="s">
        <v>1262</v>
      </c>
      <c r="C1695" t="s">
        <v>16</v>
      </c>
      <c r="D1695" s="7" t="s">
        <v>39</v>
      </c>
      <c r="E1695">
        <v>14.1</v>
      </c>
      <c r="F1695">
        <v>14.7</v>
      </c>
      <c r="G1695">
        <v>14.3</v>
      </c>
      <c r="H1695">
        <v>14.5</v>
      </c>
      <c r="I1695">
        <v>14.4</v>
      </c>
      <c r="J1695">
        <v>14.8</v>
      </c>
      <c r="K1695">
        <v>14.1</v>
      </c>
      <c r="L1695">
        <v>14.4</v>
      </c>
      <c r="M1695">
        <v>13.7</v>
      </c>
      <c r="N1695">
        <v>13.8</v>
      </c>
      <c r="O1695">
        <v>13.8</v>
      </c>
      <c r="P1695">
        <v>14</v>
      </c>
      <c r="Q1695">
        <v>14.3</v>
      </c>
      <c r="R1695">
        <v>13.8</v>
      </c>
      <c r="S1695">
        <f>Tableau1[[#This Row],[Final_time]]-SUM(Tableau1[[#This Row],[0_100m]:[1300_1400m]])</f>
        <v>13.749999999999943</v>
      </c>
      <c r="T1695">
        <v>212.45</v>
      </c>
      <c r="U1695">
        <f t="shared" si="66"/>
        <v>212.45</v>
      </c>
      <c r="V1695">
        <f t="shared" si="67"/>
        <v>0</v>
      </c>
      <c r="X1695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5" t="s">
        <v>1905</v>
      </c>
      <c r="Z1695" s="2" t="s">
        <v>43</v>
      </c>
      <c r="AA1695" s="2"/>
      <c r="AB1695" s="2" t="s">
        <v>65</v>
      </c>
      <c r="AC1695" s="2">
        <v>46201</v>
      </c>
      <c r="AD1695" s="3">
        <v>2026</v>
      </c>
      <c r="AE1695" s="3">
        <v>30</v>
      </c>
      <c r="AF1695" s="5">
        <v>0.39</v>
      </c>
      <c r="AG1695" s="3" t="s">
        <v>62</v>
      </c>
    </row>
    <row r="1696" spans="1:33" hidden="1" x14ac:dyDescent="0.35">
      <c r="A1696" t="str">
        <f>_xlfn.CONCAT(Tableau1[[#This Row],[Athletes]],"_",Tableau1[[#This Row],[Nationality]],"_",Tableau1[[#This Row],[Competition_year]])</f>
        <v>Abel KIPSANG_KEN_2026</v>
      </c>
      <c r="B1696" s="7" t="s">
        <v>227</v>
      </c>
      <c r="C1696" t="s">
        <v>16</v>
      </c>
      <c r="D1696" s="7" t="s">
        <v>17</v>
      </c>
      <c r="E1696">
        <v>13.9</v>
      </c>
      <c r="F1696">
        <v>14.4</v>
      </c>
      <c r="G1696">
        <v>14.2</v>
      </c>
      <c r="H1696">
        <v>14.2</v>
      </c>
      <c r="I1696">
        <v>14.6</v>
      </c>
      <c r="J1696">
        <v>14.7</v>
      </c>
      <c r="K1696">
        <v>14.2</v>
      </c>
      <c r="L1696">
        <v>13.9</v>
      </c>
      <c r="M1696">
        <v>13.9</v>
      </c>
      <c r="N1696">
        <v>14.2</v>
      </c>
      <c r="O1696">
        <v>14.4</v>
      </c>
      <c r="P1696">
        <v>14.4</v>
      </c>
      <c r="Q1696">
        <v>14.1</v>
      </c>
      <c r="R1696">
        <v>14.2</v>
      </c>
      <c r="S1696">
        <f>Tableau1[[#This Row],[Final_time]]-SUM(Tableau1[[#This Row],[0_100m]:[1300_1400m]])</f>
        <v>14.220000000000027</v>
      </c>
      <c r="T1696">
        <v>213.52</v>
      </c>
      <c r="U1696">
        <f t="shared" si="66"/>
        <v>213.52</v>
      </c>
      <c r="V1696">
        <f t="shared" si="67"/>
        <v>0</v>
      </c>
      <c r="X1696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6" t="s">
        <v>1905</v>
      </c>
      <c r="Z1696" s="2" t="s">
        <v>43</v>
      </c>
      <c r="AA1696" s="2"/>
      <c r="AB1696" s="2" t="s">
        <v>65</v>
      </c>
      <c r="AC1696" s="2">
        <v>46201</v>
      </c>
      <c r="AD1696" s="3">
        <v>2026</v>
      </c>
      <c r="AE1696" s="3">
        <v>30</v>
      </c>
      <c r="AF1696" s="5">
        <v>0.39</v>
      </c>
      <c r="AG1696" s="3" t="s">
        <v>62</v>
      </c>
    </row>
    <row r="1697" spans="1:33" hidden="1" x14ac:dyDescent="0.35">
      <c r="A1697" t="str">
        <f>_xlfn.CONCAT(Tableau1[[#This Row],[Athletes]],"_",Tableau1[[#This Row],[Nationality]],"_",Tableau1[[#This Row],[Competition_year]])</f>
        <v>Vincent CIATTEI_USA_2026</v>
      </c>
      <c r="B1697" s="7" t="s">
        <v>363</v>
      </c>
      <c r="C1697" t="s">
        <v>16</v>
      </c>
      <c r="D1697" s="7" t="s">
        <v>51</v>
      </c>
      <c r="E1697">
        <v>14.1</v>
      </c>
      <c r="F1697">
        <v>13.6</v>
      </c>
      <c r="G1697">
        <v>14</v>
      </c>
      <c r="H1697">
        <v>14.3</v>
      </c>
      <c r="I1697">
        <v>14.5</v>
      </c>
      <c r="J1697">
        <v>14.6</v>
      </c>
      <c r="K1697">
        <v>13.9</v>
      </c>
      <c r="L1697">
        <v>14</v>
      </c>
      <c r="M1697">
        <v>13.7</v>
      </c>
      <c r="N1697">
        <v>13.9</v>
      </c>
      <c r="O1697">
        <v>14</v>
      </c>
      <c r="P1697">
        <v>14.1</v>
      </c>
      <c r="Q1697">
        <v>14.6</v>
      </c>
      <c r="R1697">
        <v>15.7</v>
      </c>
      <c r="S1697">
        <f>Tableau1[[#This Row],[Final_time]]-SUM(Tableau1[[#This Row],[0_100m]:[1300_1400m]])</f>
        <v>17.470000000000027</v>
      </c>
      <c r="T1697">
        <v>216.47</v>
      </c>
      <c r="U1697">
        <f t="shared" si="66"/>
        <v>216.47</v>
      </c>
      <c r="V1697">
        <f t="shared" si="67"/>
        <v>0</v>
      </c>
      <c r="X1697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7" t="s">
        <v>1905</v>
      </c>
      <c r="Z1697" s="2" t="s">
        <v>43</v>
      </c>
      <c r="AA1697" s="2"/>
      <c r="AB1697" s="2" t="s">
        <v>65</v>
      </c>
      <c r="AC1697" s="2">
        <v>46201</v>
      </c>
      <c r="AD1697" s="3">
        <v>2026</v>
      </c>
      <c r="AE1697" s="3">
        <v>30</v>
      </c>
      <c r="AF1697" s="5">
        <v>0.39</v>
      </c>
      <c r="AG1697" s="3" t="s">
        <v>62</v>
      </c>
    </row>
    <row r="1698" spans="1:33" hidden="1" x14ac:dyDescent="0.35">
      <c r="A1698" t="str">
        <f>_xlfn.CONCAT(Tableau1[[#This Row],[Athletes]],"_",Tableau1[[#This Row],[Nationality]],"_",Tableau1[[#This Row],[Competition_year]])</f>
        <v>Andrew COSCORAN_IRL_2026</v>
      </c>
      <c r="B1698" s="7" t="s">
        <v>232</v>
      </c>
      <c r="C1698" t="s">
        <v>16</v>
      </c>
      <c r="D1698" s="7" t="s">
        <v>35</v>
      </c>
      <c r="E1698">
        <v>13.8</v>
      </c>
      <c r="F1698">
        <v>14</v>
      </c>
      <c r="G1698">
        <v>14.4</v>
      </c>
      <c r="H1698">
        <v>14.4</v>
      </c>
      <c r="I1698">
        <v>14.6</v>
      </c>
      <c r="J1698">
        <v>14.7</v>
      </c>
      <c r="K1698">
        <v>14.2</v>
      </c>
      <c r="L1698">
        <v>14.3</v>
      </c>
      <c r="M1698">
        <v>14.4</v>
      </c>
      <c r="N1698">
        <v>14.7</v>
      </c>
      <c r="O1698">
        <v>15.3</v>
      </c>
      <c r="P1698">
        <v>15.5</v>
      </c>
      <c r="Q1698">
        <v>17</v>
      </c>
      <c r="R1698">
        <v>17.399999999999999</v>
      </c>
      <c r="S1698">
        <f>Tableau1[[#This Row],[Final_time]]-SUM(Tableau1[[#This Row],[0_100m]:[1300_1400m]])</f>
        <v>18.20999999999998</v>
      </c>
      <c r="T1698">
        <v>226.91</v>
      </c>
      <c r="U1698">
        <f t="shared" si="66"/>
        <v>226.91</v>
      </c>
      <c r="V1698">
        <f t="shared" si="67"/>
        <v>0</v>
      </c>
      <c r="X1698" t="str">
        <f>_xlfn.CONCAT(Tableau1[[#This Row],[Competition]],"_",Tableau1[[#This Row],[Championship_step]],"_",Tableau1[[#This Row],[Competition_date]],"_",Tableau1[[#This Row],[Gender]])</f>
        <v>Diamond League Paris 2026__46201_Male</v>
      </c>
      <c r="Y1698" t="s">
        <v>1905</v>
      </c>
      <c r="Z1698" s="2" t="s">
        <v>43</v>
      </c>
      <c r="AA1698" s="2"/>
      <c r="AB1698" s="2" t="s">
        <v>65</v>
      </c>
      <c r="AC1698" s="2">
        <v>46201</v>
      </c>
      <c r="AD1698" s="3">
        <v>2026</v>
      </c>
      <c r="AE1698" s="3">
        <v>30</v>
      </c>
      <c r="AF1698" s="5">
        <v>0.39</v>
      </c>
      <c r="AG1698" s="3" t="s">
        <v>62</v>
      </c>
    </row>
    <row r="1699" spans="1:33" hidden="1" x14ac:dyDescent="0.35">
      <c r="A1699" t="str">
        <f>_xlfn.CONCAT(Tableau1[[#This Row],[Athletes]],"_",Tableau1[[#This Row],[Nationality]],"_",Tableau1[[#This Row],[Competition_year]])</f>
        <v>Wilma NIELSEN_SWE_2026</v>
      </c>
      <c r="B1699" s="7" t="s">
        <v>1306</v>
      </c>
      <c r="C1699" t="s">
        <v>47</v>
      </c>
      <c r="D1699" s="7" t="s">
        <v>56</v>
      </c>
      <c r="E1699">
        <v>15.4</v>
      </c>
      <c r="F1699">
        <v>16.2</v>
      </c>
      <c r="G1699">
        <v>16.899999999999999</v>
      </c>
      <c r="H1699">
        <v>16.600000000000001</v>
      </c>
      <c r="I1699">
        <v>16.399999999999999</v>
      </c>
      <c r="J1699">
        <v>16.399999999999999</v>
      </c>
      <c r="K1699">
        <v>16.600000000000001</v>
      </c>
      <c r="L1699">
        <v>16.8</v>
      </c>
      <c r="M1699">
        <v>16.600000000000001</v>
      </c>
      <c r="N1699">
        <v>16.399999999999999</v>
      </c>
      <c r="O1699">
        <v>16.5</v>
      </c>
      <c r="P1699">
        <v>17</v>
      </c>
      <c r="Q1699">
        <v>16.399999999999999</v>
      </c>
      <c r="R1699">
        <v>15.6</v>
      </c>
      <c r="S1699">
        <f>Tableau1[[#This Row],[Final_time]]-SUM(Tableau1[[#This Row],[0_100m]:[1300_1400m]])</f>
        <v>15.799999999999983</v>
      </c>
      <c r="T1699">
        <v>245.6</v>
      </c>
      <c r="U1699">
        <f t="shared" ref="U1699:U1713" si="68">SUM(E1699:S1699)</f>
        <v>245.6</v>
      </c>
      <c r="V1699">
        <f t="shared" ref="V1699:V1713" si="69">ABS(U1699-T1699)</f>
        <v>0</v>
      </c>
      <c r="X1699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699" t="s">
        <v>1915</v>
      </c>
      <c r="Z1699" s="2" t="s">
        <v>43</v>
      </c>
      <c r="AA1699" s="2"/>
      <c r="AB1699" s="2" t="s">
        <v>65</v>
      </c>
      <c r="AC1699" s="2">
        <v>46206</v>
      </c>
      <c r="AD1699" s="3">
        <v>2026</v>
      </c>
      <c r="AE1699" s="3">
        <v>25</v>
      </c>
      <c r="AF1699" s="5">
        <v>0.54</v>
      </c>
      <c r="AG1699" s="3" t="s">
        <v>71</v>
      </c>
    </row>
    <row r="1700" spans="1:33" hidden="1" x14ac:dyDescent="0.35">
      <c r="A1700" t="str">
        <f>_xlfn.CONCAT(Tableau1[[#This Row],[Athletes]],"_",Tableau1[[#This Row],[Nationality]],"_",Tableau1[[#This Row],[Competition_year]])</f>
        <v>Juliette WHITTAKER_USA_2026</v>
      </c>
      <c r="B1700" s="7" t="s">
        <v>1907</v>
      </c>
      <c r="C1700" t="s">
        <v>47</v>
      </c>
      <c r="D1700" s="7" t="s">
        <v>51</v>
      </c>
      <c r="E1700">
        <v>16.100000000000001</v>
      </c>
      <c r="F1700">
        <v>16.7</v>
      </c>
      <c r="G1700">
        <v>16.8</v>
      </c>
      <c r="H1700">
        <v>16.8</v>
      </c>
      <c r="I1700">
        <v>16.2</v>
      </c>
      <c r="J1700">
        <v>16.2</v>
      </c>
      <c r="K1700">
        <v>16.5</v>
      </c>
      <c r="L1700">
        <v>16.7</v>
      </c>
      <c r="M1700">
        <v>16.600000000000001</v>
      </c>
      <c r="N1700">
        <v>16.600000000000001</v>
      </c>
      <c r="O1700">
        <v>16.2</v>
      </c>
      <c r="P1700">
        <v>16.8</v>
      </c>
      <c r="Q1700">
        <v>16</v>
      </c>
      <c r="R1700">
        <v>15.4</v>
      </c>
      <c r="S1700">
        <f>Tableau1[[#This Row],[Final_time]]-SUM(Tableau1[[#This Row],[0_100m]:[1300_1400m]])</f>
        <v>16.180000000000007</v>
      </c>
      <c r="T1700">
        <v>245.78</v>
      </c>
      <c r="U1700">
        <f t="shared" si="68"/>
        <v>245.78</v>
      </c>
      <c r="V1700">
        <f t="shared" si="69"/>
        <v>0</v>
      </c>
      <c r="X1700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0" t="s">
        <v>1915</v>
      </c>
      <c r="Z1700" s="2" t="s">
        <v>43</v>
      </c>
      <c r="AA1700" s="2"/>
      <c r="AB1700" s="2" t="s">
        <v>65</v>
      </c>
      <c r="AC1700" s="2">
        <v>46206</v>
      </c>
      <c r="AD1700" s="3">
        <v>2026</v>
      </c>
      <c r="AE1700" s="3">
        <v>25</v>
      </c>
      <c r="AF1700" s="5">
        <v>0.54</v>
      </c>
      <c r="AG1700" s="3" t="s">
        <v>71</v>
      </c>
    </row>
    <row r="1701" spans="1:33" hidden="1" x14ac:dyDescent="0.35">
      <c r="A1701" t="str">
        <f>_xlfn.CONCAT(Tableau1[[#This Row],[Athletes]],"_",Tableau1[[#This Row],[Nationality]],"_",Tableau1[[#This Row],[Competition_year]])</f>
        <v>Lindsey BUTLER_USA_2026</v>
      </c>
      <c r="B1701" s="7" t="s">
        <v>1908</v>
      </c>
      <c r="C1701" t="s">
        <v>47</v>
      </c>
      <c r="D1701" s="7" t="s">
        <v>51</v>
      </c>
      <c r="E1701">
        <v>15.7</v>
      </c>
      <c r="F1701">
        <v>16.399999999999999</v>
      </c>
      <c r="G1701">
        <v>16.899999999999999</v>
      </c>
      <c r="H1701">
        <v>16.7</v>
      </c>
      <c r="I1701">
        <v>16.2</v>
      </c>
      <c r="J1701">
        <v>16.3</v>
      </c>
      <c r="K1701">
        <v>16.399999999999999</v>
      </c>
      <c r="L1701">
        <v>16.8</v>
      </c>
      <c r="M1701">
        <v>16.3</v>
      </c>
      <c r="N1701">
        <v>16.100000000000001</v>
      </c>
      <c r="O1701">
        <v>16.7</v>
      </c>
      <c r="P1701">
        <v>17.5</v>
      </c>
      <c r="Q1701">
        <v>16.899999999999999</v>
      </c>
      <c r="R1701">
        <v>15.7</v>
      </c>
      <c r="S1701">
        <f>Tableau1[[#This Row],[Final_time]]-SUM(Tableau1[[#This Row],[0_100m]:[1300_1400m]])</f>
        <v>15.860000000000014</v>
      </c>
      <c r="T1701">
        <v>246.46</v>
      </c>
      <c r="U1701">
        <f t="shared" si="68"/>
        <v>246.46</v>
      </c>
      <c r="V1701">
        <f t="shared" si="69"/>
        <v>0</v>
      </c>
      <c r="X1701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1" t="s">
        <v>1915</v>
      </c>
      <c r="Z1701" s="2" t="s">
        <v>43</v>
      </c>
      <c r="AA1701" s="2"/>
      <c r="AB1701" s="2" t="s">
        <v>65</v>
      </c>
      <c r="AC1701" s="2">
        <v>46206</v>
      </c>
      <c r="AD1701" s="3">
        <v>2026</v>
      </c>
      <c r="AE1701" s="3">
        <v>25</v>
      </c>
      <c r="AF1701" s="5">
        <v>0.54</v>
      </c>
      <c r="AG1701" s="3" t="s">
        <v>71</v>
      </c>
    </row>
    <row r="1702" spans="1:33" hidden="1" x14ac:dyDescent="0.35">
      <c r="A1702" t="str">
        <f>_xlfn.CONCAT(Tableau1[[#This Row],[Athletes]],"_",Tableau1[[#This Row],[Nationality]],"_",Tableau1[[#This Row],[Competition_year]])</f>
        <v>Gaia SABBATINI_ITA_2026</v>
      </c>
      <c r="B1702" s="7" t="s">
        <v>167</v>
      </c>
      <c r="C1702" t="s">
        <v>47</v>
      </c>
      <c r="D1702" s="7" t="s">
        <v>19</v>
      </c>
      <c r="E1702">
        <v>16</v>
      </c>
      <c r="F1702">
        <v>16.5</v>
      </c>
      <c r="G1702">
        <v>16.899999999999999</v>
      </c>
      <c r="H1702">
        <v>17.100000000000001</v>
      </c>
      <c r="I1702">
        <v>16.5</v>
      </c>
      <c r="J1702">
        <v>16.3</v>
      </c>
      <c r="K1702">
        <v>16.5</v>
      </c>
      <c r="L1702">
        <v>16.899999999999999</v>
      </c>
      <c r="M1702">
        <v>16.600000000000001</v>
      </c>
      <c r="N1702">
        <v>16.8</v>
      </c>
      <c r="O1702">
        <v>16.3</v>
      </c>
      <c r="P1702">
        <v>16.3</v>
      </c>
      <c r="Q1702">
        <v>16.399999999999999</v>
      </c>
      <c r="R1702">
        <v>16.100000000000001</v>
      </c>
      <c r="S1702">
        <f>Tableau1[[#This Row],[Final_time]]-SUM(Tableau1[[#This Row],[0_100m]:[1300_1400m]])</f>
        <v>15.349999999999994</v>
      </c>
      <c r="T1702">
        <v>246.55</v>
      </c>
      <c r="U1702">
        <f t="shared" si="68"/>
        <v>246.55</v>
      </c>
      <c r="V1702">
        <f t="shared" si="69"/>
        <v>0</v>
      </c>
      <c r="X1702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2" t="s">
        <v>1915</v>
      </c>
      <c r="Z1702" s="2" t="s">
        <v>43</v>
      </c>
      <c r="AA1702" s="2"/>
      <c r="AB1702" s="2" t="s">
        <v>65</v>
      </c>
      <c r="AC1702" s="2">
        <v>46206</v>
      </c>
      <c r="AD1702" s="3">
        <v>2026</v>
      </c>
      <c r="AE1702" s="3">
        <v>25</v>
      </c>
      <c r="AF1702" s="5">
        <v>0.54</v>
      </c>
      <c r="AG1702" s="3" t="s">
        <v>71</v>
      </c>
    </row>
    <row r="1703" spans="1:33" hidden="1" x14ac:dyDescent="0.35">
      <c r="A1703" t="str">
        <f>_xlfn.CONCAT(Tableau1[[#This Row],[Athletes]],"_",Tableau1[[#This Row],[Nationality]],"_",Tableau1[[#This Row],[Competition_year]])</f>
        <v>Marta ZENONI_ITA_2026</v>
      </c>
      <c r="B1703" s="7" t="s">
        <v>1333</v>
      </c>
      <c r="C1703" t="s">
        <v>47</v>
      </c>
      <c r="D1703" s="7" t="s">
        <v>19</v>
      </c>
      <c r="E1703">
        <v>15.6</v>
      </c>
      <c r="F1703">
        <v>15.9</v>
      </c>
      <c r="G1703">
        <v>16.899999999999999</v>
      </c>
      <c r="H1703">
        <v>16.5</v>
      </c>
      <c r="I1703">
        <v>16.399999999999999</v>
      </c>
      <c r="J1703">
        <v>16.399999999999999</v>
      </c>
      <c r="K1703">
        <v>16.600000000000001</v>
      </c>
      <c r="L1703">
        <v>16.899999999999999</v>
      </c>
      <c r="M1703">
        <v>16.7</v>
      </c>
      <c r="N1703">
        <v>16.3</v>
      </c>
      <c r="O1703">
        <v>16.5</v>
      </c>
      <c r="P1703">
        <v>17.3</v>
      </c>
      <c r="Q1703">
        <v>16.7</v>
      </c>
      <c r="R1703">
        <v>16.100000000000001</v>
      </c>
      <c r="S1703">
        <f>Tableau1[[#This Row],[Final_time]]-SUM(Tableau1[[#This Row],[0_100m]:[1300_1400m]])</f>
        <v>15.949999999999989</v>
      </c>
      <c r="T1703">
        <v>246.75</v>
      </c>
      <c r="U1703">
        <f t="shared" si="68"/>
        <v>246.75</v>
      </c>
      <c r="V1703">
        <f t="shared" si="69"/>
        <v>0</v>
      </c>
      <c r="X1703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3" t="s">
        <v>1915</v>
      </c>
      <c r="Z1703" s="2" t="s">
        <v>43</v>
      </c>
      <c r="AA1703" s="2"/>
      <c r="AB1703" s="2" t="s">
        <v>65</v>
      </c>
      <c r="AC1703" s="2">
        <v>46206</v>
      </c>
      <c r="AD1703" s="3">
        <v>2026</v>
      </c>
      <c r="AE1703" s="3">
        <v>25</v>
      </c>
      <c r="AF1703" s="5">
        <v>0.54</v>
      </c>
      <c r="AG1703" s="3" t="s">
        <v>71</v>
      </c>
    </row>
    <row r="1704" spans="1:33" hidden="1" x14ac:dyDescent="0.35">
      <c r="A1704" t="str">
        <f>_xlfn.CONCAT(Tableau1[[#This Row],[Athletes]],"_",Tableau1[[#This Row],[Nationality]],"_",Tableau1[[#This Row],[Competition_year]])</f>
        <v>Annika REISS_USA_2026</v>
      </c>
      <c r="B1704" s="7" t="s">
        <v>1909</v>
      </c>
      <c r="C1704" t="s">
        <v>47</v>
      </c>
      <c r="D1704" s="7" t="s">
        <v>51</v>
      </c>
      <c r="E1704">
        <v>16.100000000000001</v>
      </c>
      <c r="F1704">
        <v>16.7</v>
      </c>
      <c r="G1704">
        <v>16.5</v>
      </c>
      <c r="H1704">
        <v>17</v>
      </c>
      <c r="I1704">
        <v>16.600000000000001</v>
      </c>
      <c r="J1704">
        <v>16.2</v>
      </c>
      <c r="K1704">
        <v>16.3</v>
      </c>
      <c r="L1704">
        <v>16.8</v>
      </c>
      <c r="M1704">
        <v>16.399999999999999</v>
      </c>
      <c r="N1704">
        <v>16.5</v>
      </c>
      <c r="O1704">
        <v>16.3</v>
      </c>
      <c r="P1704">
        <v>17</v>
      </c>
      <c r="Q1704">
        <v>16.8</v>
      </c>
      <c r="R1704">
        <v>16.3</v>
      </c>
      <c r="S1704">
        <f>Tableau1[[#This Row],[Final_time]]-SUM(Tableau1[[#This Row],[0_100m]:[1300_1400m]])</f>
        <v>15.38999999999993</v>
      </c>
      <c r="T1704">
        <v>246.89</v>
      </c>
      <c r="U1704">
        <f t="shared" si="68"/>
        <v>246.89</v>
      </c>
      <c r="V1704">
        <f t="shared" si="69"/>
        <v>0</v>
      </c>
      <c r="X1704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4" t="s">
        <v>1915</v>
      </c>
      <c r="Z1704" s="2" t="s">
        <v>43</v>
      </c>
      <c r="AA1704" s="2"/>
      <c r="AB1704" s="2" t="s">
        <v>65</v>
      </c>
      <c r="AC1704" s="2">
        <v>46206</v>
      </c>
      <c r="AD1704" s="3">
        <v>2026</v>
      </c>
      <c r="AE1704" s="3">
        <v>25</v>
      </c>
      <c r="AF1704" s="5">
        <v>0.54</v>
      </c>
      <c r="AG1704" s="3" t="s">
        <v>71</v>
      </c>
    </row>
    <row r="1705" spans="1:33" hidden="1" x14ac:dyDescent="0.35">
      <c r="A1705" t="str">
        <f>_xlfn.CONCAT(Tableau1[[#This Row],[Athletes]],"_",Tableau1[[#This Row],[Nationality]],"_",Tableau1[[#This Row],[Competition_year]])</f>
        <v>Salma ELBADRA_MAR_2026</v>
      </c>
      <c r="B1705" s="7" t="s">
        <v>1217</v>
      </c>
      <c r="C1705" t="s">
        <v>47</v>
      </c>
      <c r="D1705" s="7" t="s">
        <v>75</v>
      </c>
      <c r="E1705">
        <v>15.6</v>
      </c>
      <c r="F1705">
        <v>16.100000000000001</v>
      </c>
      <c r="G1705">
        <v>17</v>
      </c>
      <c r="H1705">
        <v>16.600000000000001</v>
      </c>
      <c r="I1705">
        <v>16.399999999999999</v>
      </c>
      <c r="J1705">
        <v>16.399999999999999</v>
      </c>
      <c r="K1705">
        <v>16.7</v>
      </c>
      <c r="L1705">
        <v>16.7</v>
      </c>
      <c r="M1705">
        <v>16.600000000000001</v>
      </c>
      <c r="N1705">
        <v>16.3</v>
      </c>
      <c r="O1705">
        <v>16.5</v>
      </c>
      <c r="P1705">
        <v>17.100000000000001</v>
      </c>
      <c r="Q1705">
        <v>16.399999999999999</v>
      </c>
      <c r="R1705">
        <v>15.7</v>
      </c>
      <c r="S1705">
        <f>Tableau1[[#This Row],[Final_time]]-SUM(Tableau1[[#This Row],[0_100m]:[1300_1400m]])</f>
        <v>16.869999999999976</v>
      </c>
      <c r="T1705">
        <v>246.97</v>
      </c>
      <c r="U1705">
        <f t="shared" si="68"/>
        <v>246.97</v>
      </c>
      <c r="V1705">
        <f t="shared" si="69"/>
        <v>0</v>
      </c>
      <c r="X1705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5" t="s">
        <v>1915</v>
      </c>
      <c r="Z1705" s="2" t="s">
        <v>43</v>
      </c>
      <c r="AA1705" s="2"/>
      <c r="AB1705" s="2" t="s">
        <v>65</v>
      </c>
      <c r="AC1705" s="2">
        <v>46206</v>
      </c>
      <c r="AD1705" s="3">
        <v>2026</v>
      </c>
      <c r="AE1705" s="3">
        <v>25</v>
      </c>
      <c r="AF1705" s="5">
        <v>0.54</v>
      </c>
      <c r="AG1705" s="3" t="s">
        <v>71</v>
      </c>
    </row>
    <row r="1706" spans="1:33" hidden="1" x14ac:dyDescent="0.35">
      <c r="A1706" t="str">
        <f>_xlfn.CONCAT(Tableau1[[#This Row],[Athletes]],"_",Tableau1[[#This Row],[Nationality]],"_",Tableau1[[#This Row],[Competition_year]])</f>
        <v>Ellery LINCOLN_USA_2026</v>
      </c>
      <c r="B1706" s="7" t="s">
        <v>1910</v>
      </c>
      <c r="C1706" t="s">
        <v>47</v>
      </c>
      <c r="D1706" s="7" t="s">
        <v>51</v>
      </c>
      <c r="E1706">
        <v>16</v>
      </c>
      <c r="F1706">
        <v>16.8</v>
      </c>
      <c r="G1706">
        <v>16.899999999999999</v>
      </c>
      <c r="H1706">
        <v>16.8</v>
      </c>
      <c r="I1706">
        <v>16.2</v>
      </c>
      <c r="J1706">
        <v>16.3</v>
      </c>
      <c r="K1706">
        <v>16.600000000000001</v>
      </c>
      <c r="L1706">
        <v>16.8</v>
      </c>
      <c r="M1706">
        <v>16.7</v>
      </c>
      <c r="N1706">
        <v>17</v>
      </c>
      <c r="O1706">
        <v>16.600000000000001</v>
      </c>
      <c r="P1706">
        <v>16.5</v>
      </c>
      <c r="Q1706">
        <v>16.2</v>
      </c>
      <c r="R1706">
        <v>16.399999999999999</v>
      </c>
      <c r="S1706">
        <f>Tableau1[[#This Row],[Final_time]]-SUM(Tableau1[[#This Row],[0_100m]:[1300_1400m]])</f>
        <v>15.260000000000019</v>
      </c>
      <c r="T1706">
        <v>247.06</v>
      </c>
      <c r="U1706">
        <f t="shared" si="68"/>
        <v>247.06</v>
      </c>
      <c r="V1706">
        <f t="shared" si="69"/>
        <v>0</v>
      </c>
      <c r="X1706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6" t="s">
        <v>1915</v>
      </c>
      <c r="Z1706" s="2" t="s">
        <v>43</v>
      </c>
      <c r="AA1706" s="2"/>
      <c r="AB1706" s="2" t="s">
        <v>65</v>
      </c>
      <c r="AC1706" s="2">
        <v>46206</v>
      </c>
      <c r="AD1706" s="3">
        <v>2026</v>
      </c>
      <c r="AE1706" s="3">
        <v>25</v>
      </c>
      <c r="AF1706" s="5">
        <v>0.54</v>
      </c>
      <c r="AG1706" s="3" t="s">
        <v>71</v>
      </c>
    </row>
    <row r="1707" spans="1:33" hidden="1" x14ac:dyDescent="0.35">
      <c r="A1707" t="str">
        <f>_xlfn.CONCAT(Tableau1[[#This Row],[Athletes]],"_",Tableau1[[#This Row],[Nationality]],"_",Tableau1[[#This Row],[Competition_year]])</f>
        <v>Lucia STAFFORD_CAN_2026</v>
      </c>
      <c r="B1707" s="7" t="s">
        <v>158</v>
      </c>
      <c r="C1707" t="s">
        <v>47</v>
      </c>
      <c r="D1707" s="7" t="s">
        <v>55</v>
      </c>
      <c r="E1707">
        <v>15.2</v>
      </c>
      <c r="F1707">
        <v>15.9</v>
      </c>
      <c r="G1707">
        <v>16.8</v>
      </c>
      <c r="H1707">
        <v>16.3</v>
      </c>
      <c r="I1707">
        <v>16.100000000000001</v>
      </c>
      <c r="J1707">
        <v>16</v>
      </c>
      <c r="K1707">
        <v>16.2</v>
      </c>
      <c r="L1707">
        <v>16.2</v>
      </c>
      <c r="M1707">
        <v>16.3</v>
      </c>
      <c r="N1707">
        <v>16.5</v>
      </c>
      <c r="O1707">
        <v>16.399999999999999</v>
      </c>
      <c r="P1707">
        <v>16.5</v>
      </c>
      <c r="Q1707">
        <v>17</v>
      </c>
      <c r="R1707">
        <v>17</v>
      </c>
      <c r="S1707">
        <f>Tableau1[[#This Row],[Final_time]]-SUM(Tableau1[[#This Row],[0_100m]:[1300_1400m]])</f>
        <v>18.739999999999952</v>
      </c>
      <c r="T1707">
        <v>247.14</v>
      </c>
      <c r="U1707">
        <f t="shared" si="68"/>
        <v>247.14</v>
      </c>
      <c r="V1707">
        <f t="shared" si="69"/>
        <v>0</v>
      </c>
      <c r="X1707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7" t="s">
        <v>1915</v>
      </c>
      <c r="Z1707" s="2" t="s">
        <v>43</v>
      </c>
      <c r="AA1707" s="2"/>
      <c r="AB1707" s="2" t="s">
        <v>65</v>
      </c>
      <c r="AC1707" s="2">
        <v>46206</v>
      </c>
      <c r="AD1707" s="3">
        <v>2026</v>
      </c>
      <c r="AE1707" s="3">
        <v>25</v>
      </c>
      <c r="AF1707" s="5">
        <v>0.54</v>
      </c>
      <c r="AG1707" s="3" t="s">
        <v>71</v>
      </c>
    </row>
    <row r="1708" spans="1:33" hidden="1" x14ac:dyDescent="0.35">
      <c r="A1708" t="str">
        <f>_xlfn.CONCAT(Tableau1[[#This Row],[Athletes]],"_",Tableau1[[#This Row],[Nationality]],"_",Tableau1[[#This Row],[Competition_year]])</f>
        <v>Mia BARNETT_SWE_2026</v>
      </c>
      <c r="B1708" s="7" t="s">
        <v>1409</v>
      </c>
      <c r="C1708" t="s">
        <v>47</v>
      </c>
      <c r="D1708" s="7" t="s">
        <v>56</v>
      </c>
      <c r="E1708">
        <v>15.8</v>
      </c>
      <c r="F1708">
        <v>16.8</v>
      </c>
      <c r="G1708">
        <v>16.8</v>
      </c>
      <c r="H1708">
        <v>16.8</v>
      </c>
      <c r="I1708">
        <v>16.100000000000001</v>
      </c>
      <c r="J1708">
        <v>16.2</v>
      </c>
      <c r="K1708">
        <v>16.399999999999999</v>
      </c>
      <c r="L1708">
        <v>16.7</v>
      </c>
      <c r="M1708">
        <v>16.7</v>
      </c>
      <c r="N1708">
        <v>16.399999999999999</v>
      </c>
      <c r="O1708">
        <v>16.2</v>
      </c>
      <c r="P1708">
        <v>17.3</v>
      </c>
      <c r="Q1708">
        <v>16.8</v>
      </c>
      <c r="R1708">
        <v>16.100000000000001</v>
      </c>
      <c r="S1708">
        <f>Tableau1[[#This Row],[Final_time]]-SUM(Tableau1[[#This Row],[0_100m]:[1300_1400m]])</f>
        <v>16.159999999999997</v>
      </c>
      <c r="T1708">
        <v>247.26</v>
      </c>
      <c r="U1708">
        <f t="shared" si="68"/>
        <v>247.26</v>
      </c>
      <c r="V1708">
        <f t="shared" si="69"/>
        <v>0</v>
      </c>
      <c r="X1708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8" t="s">
        <v>1915</v>
      </c>
      <c r="Z1708" s="2" t="s">
        <v>43</v>
      </c>
      <c r="AA1708" s="2"/>
      <c r="AB1708" s="2" t="s">
        <v>65</v>
      </c>
      <c r="AC1708" s="2">
        <v>46206</v>
      </c>
      <c r="AD1708" s="3">
        <v>2026</v>
      </c>
      <c r="AE1708" s="3">
        <v>25</v>
      </c>
      <c r="AF1708" s="5">
        <v>0.54</v>
      </c>
      <c r="AG1708" s="3" t="s">
        <v>71</v>
      </c>
    </row>
    <row r="1709" spans="1:33" hidden="1" x14ac:dyDescent="0.35">
      <c r="A1709" t="str">
        <f>_xlfn.CONCAT(Tableau1[[#This Row],[Athletes]],"_",Tableau1[[#This Row],[Nationality]],"_",Tableau1[[#This Row],[Competition_year]])</f>
        <v>Carlee HANSEN_USA_2026</v>
      </c>
      <c r="B1709" s="7" t="s">
        <v>1911</v>
      </c>
      <c r="C1709" t="s">
        <v>47</v>
      </c>
      <c r="D1709" s="7" t="s">
        <v>51</v>
      </c>
      <c r="E1709">
        <v>15.9</v>
      </c>
      <c r="F1709">
        <v>16.399999999999999</v>
      </c>
      <c r="G1709">
        <v>17</v>
      </c>
      <c r="H1709">
        <v>16.600000000000001</v>
      </c>
      <c r="I1709">
        <v>16.5</v>
      </c>
      <c r="J1709">
        <v>16.2</v>
      </c>
      <c r="K1709">
        <v>16.5</v>
      </c>
      <c r="L1709">
        <v>16.600000000000001</v>
      </c>
      <c r="M1709">
        <v>16.7</v>
      </c>
      <c r="N1709">
        <v>16.399999999999999</v>
      </c>
      <c r="O1709">
        <v>16.3</v>
      </c>
      <c r="P1709">
        <v>16.8</v>
      </c>
      <c r="Q1709">
        <v>16.7</v>
      </c>
      <c r="R1709">
        <v>16.3</v>
      </c>
      <c r="S1709">
        <f>Tableau1[[#This Row],[Final_time]]-SUM(Tableau1[[#This Row],[0_100m]:[1300_1400m]])</f>
        <v>17.189999999999969</v>
      </c>
      <c r="T1709">
        <v>248.09</v>
      </c>
      <c r="U1709">
        <f t="shared" si="68"/>
        <v>248.09</v>
      </c>
      <c r="V1709">
        <f t="shared" si="69"/>
        <v>0</v>
      </c>
      <c r="X1709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09" t="s">
        <v>1915</v>
      </c>
      <c r="Z1709" s="2" t="s">
        <v>43</v>
      </c>
      <c r="AA1709" s="2"/>
      <c r="AB1709" s="2" t="s">
        <v>65</v>
      </c>
      <c r="AC1709" s="2">
        <v>46206</v>
      </c>
      <c r="AD1709" s="3">
        <v>2026</v>
      </c>
      <c r="AE1709" s="3">
        <v>25</v>
      </c>
      <c r="AF1709" s="5">
        <v>0.54</v>
      </c>
      <c r="AG1709" s="3" t="s">
        <v>71</v>
      </c>
    </row>
    <row r="1710" spans="1:33" hidden="1" x14ac:dyDescent="0.35">
      <c r="A1710" t="str">
        <f>_xlfn.CONCAT(Tableau1[[#This Row],[Athletes]],"_",Tableau1[[#This Row],[Nationality]],"_",Tableau1[[#This Row],[Competition_year]])</f>
        <v>Sadie ENGELHARDT_USA_2026</v>
      </c>
      <c r="B1710" s="7" t="s">
        <v>1912</v>
      </c>
      <c r="C1710" t="s">
        <v>47</v>
      </c>
      <c r="D1710" s="7" t="s">
        <v>51</v>
      </c>
      <c r="E1710">
        <v>15.7</v>
      </c>
      <c r="F1710">
        <v>16.2</v>
      </c>
      <c r="G1710">
        <v>17</v>
      </c>
      <c r="H1710">
        <v>16.7</v>
      </c>
      <c r="I1710">
        <v>16.5</v>
      </c>
      <c r="J1710">
        <v>16.3</v>
      </c>
      <c r="K1710">
        <v>16.600000000000001</v>
      </c>
      <c r="L1710">
        <v>16.7</v>
      </c>
      <c r="M1710">
        <v>16.5</v>
      </c>
      <c r="N1710">
        <v>16.600000000000001</v>
      </c>
      <c r="O1710">
        <v>16.399999999999999</v>
      </c>
      <c r="P1710">
        <v>17</v>
      </c>
      <c r="Q1710">
        <v>16.7</v>
      </c>
      <c r="R1710">
        <v>16.8</v>
      </c>
      <c r="S1710">
        <f>Tableau1[[#This Row],[Final_time]]-SUM(Tableau1[[#This Row],[0_100m]:[1300_1400m]])</f>
        <v>16.400000000000006</v>
      </c>
      <c r="T1710">
        <v>248.1</v>
      </c>
      <c r="U1710">
        <f t="shared" si="68"/>
        <v>248.1</v>
      </c>
      <c r="V1710">
        <f t="shared" si="69"/>
        <v>0</v>
      </c>
      <c r="X1710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10" t="s">
        <v>1915</v>
      </c>
      <c r="Z1710" s="2" t="s">
        <v>43</v>
      </c>
      <c r="AA1710" s="2"/>
      <c r="AB1710" s="2" t="s">
        <v>65</v>
      </c>
      <c r="AC1710" s="2">
        <v>46206</v>
      </c>
      <c r="AD1710" s="3">
        <v>2026</v>
      </c>
      <c r="AE1710" s="3">
        <v>25</v>
      </c>
      <c r="AF1710" s="5">
        <v>0.54</v>
      </c>
      <c r="AG1710" s="3" t="s">
        <v>71</v>
      </c>
    </row>
    <row r="1711" spans="1:33" hidden="1" x14ac:dyDescent="0.35">
      <c r="A1711" t="str">
        <f>_xlfn.CONCAT(Tableau1[[#This Row],[Athletes]],"_",Tableau1[[#This Row],[Nationality]],"_",Tableau1[[#This Row],[Competition_year]])</f>
        <v>Gracie MORRIS_USA_2026</v>
      </c>
      <c r="B1711" s="7" t="s">
        <v>1875</v>
      </c>
      <c r="C1711" t="s">
        <v>47</v>
      </c>
      <c r="D1711" s="7" t="s">
        <v>51</v>
      </c>
      <c r="E1711">
        <v>15.4</v>
      </c>
      <c r="F1711">
        <v>16</v>
      </c>
      <c r="G1711">
        <v>16.8</v>
      </c>
      <c r="H1711">
        <v>16.399999999999999</v>
      </c>
      <c r="I1711">
        <v>16.399999999999999</v>
      </c>
      <c r="J1711">
        <v>16.399999999999999</v>
      </c>
      <c r="K1711">
        <v>16.7</v>
      </c>
      <c r="L1711">
        <v>16.8</v>
      </c>
      <c r="M1711">
        <v>16.7</v>
      </c>
      <c r="N1711">
        <v>16.3</v>
      </c>
      <c r="O1711">
        <v>16.7</v>
      </c>
      <c r="P1711">
        <v>17.100000000000001</v>
      </c>
      <c r="Q1711">
        <v>17</v>
      </c>
      <c r="R1711">
        <v>16.899999999999999</v>
      </c>
      <c r="S1711">
        <f>Tableau1[[#This Row],[Final_time]]-SUM(Tableau1[[#This Row],[0_100m]:[1300_1400m]])</f>
        <v>16.900000000000006</v>
      </c>
      <c r="T1711">
        <v>248.5</v>
      </c>
      <c r="U1711">
        <f t="shared" si="68"/>
        <v>248.5</v>
      </c>
      <c r="V1711">
        <f t="shared" si="69"/>
        <v>0</v>
      </c>
      <c r="X1711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11" t="s">
        <v>1915</v>
      </c>
      <c r="Z1711" s="2" t="s">
        <v>43</v>
      </c>
      <c r="AA1711" s="2"/>
      <c r="AB1711" s="2" t="s">
        <v>65</v>
      </c>
      <c r="AC1711" s="2">
        <v>46206</v>
      </c>
      <c r="AD1711" s="3">
        <v>2026</v>
      </c>
      <c r="AE1711" s="3">
        <v>25</v>
      </c>
      <c r="AF1711" s="5">
        <v>0.54</v>
      </c>
      <c r="AG1711" s="3" t="s">
        <v>71</v>
      </c>
    </row>
    <row r="1712" spans="1:33" hidden="1" x14ac:dyDescent="0.35">
      <c r="A1712" t="str">
        <f>_xlfn.CONCAT(Tableau1[[#This Row],[Athletes]],"_",Tableau1[[#This Row],[Nationality]],"_",Tableau1[[#This Row],[Competition_year]])</f>
        <v>Sadie SARGENT_USA_2026</v>
      </c>
      <c r="B1712" s="7" t="s">
        <v>1913</v>
      </c>
      <c r="C1712" t="s">
        <v>47</v>
      </c>
      <c r="D1712" s="7" t="s">
        <v>51</v>
      </c>
      <c r="E1712">
        <v>16.2</v>
      </c>
      <c r="F1712">
        <v>16.7</v>
      </c>
      <c r="G1712">
        <v>16.8</v>
      </c>
      <c r="H1712">
        <v>17</v>
      </c>
      <c r="I1712">
        <v>16.5</v>
      </c>
      <c r="J1712">
        <v>16.5</v>
      </c>
      <c r="K1712">
        <v>16.399999999999999</v>
      </c>
      <c r="L1712">
        <v>16.8</v>
      </c>
      <c r="M1712">
        <v>16.5</v>
      </c>
      <c r="N1712">
        <v>16.5</v>
      </c>
      <c r="O1712">
        <v>16.8</v>
      </c>
      <c r="P1712">
        <v>16.899999999999999</v>
      </c>
      <c r="Q1712">
        <v>16.600000000000001</v>
      </c>
      <c r="R1712">
        <v>16.5</v>
      </c>
      <c r="S1712">
        <f>Tableau1[[#This Row],[Final_time]]-SUM(Tableau1[[#This Row],[0_100m]:[1300_1400m]])</f>
        <v>16.879999999999995</v>
      </c>
      <c r="T1712">
        <v>249.58</v>
      </c>
      <c r="U1712">
        <f t="shared" si="68"/>
        <v>249.58</v>
      </c>
      <c r="V1712">
        <f t="shared" si="69"/>
        <v>0</v>
      </c>
      <c r="X1712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12" t="s">
        <v>1915</v>
      </c>
      <c r="Z1712" s="2" t="s">
        <v>43</v>
      </c>
      <c r="AA1712" s="2"/>
      <c r="AB1712" s="2" t="s">
        <v>65</v>
      </c>
      <c r="AC1712" s="2">
        <v>46206</v>
      </c>
      <c r="AD1712" s="3">
        <v>2026</v>
      </c>
      <c r="AE1712" s="3">
        <v>25</v>
      </c>
      <c r="AF1712" s="5">
        <v>0.54</v>
      </c>
      <c r="AG1712" s="3" t="s">
        <v>71</v>
      </c>
    </row>
    <row r="1713" spans="1:33" hidden="1" x14ac:dyDescent="0.35">
      <c r="A1713" t="str">
        <f>_xlfn.CONCAT(Tableau1[[#This Row],[Athletes]],"_",Tableau1[[#This Row],[Nationality]],"_",Tableau1[[#This Row],[Competition_year]])</f>
        <v>Christina ARAGON_USA_2026</v>
      </c>
      <c r="B1713" s="7" t="s">
        <v>1914</v>
      </c>
      <c r="C1713" t="s">
        <v>47</v>
      </c>
      <c r="D1713" s="7" t="s">
        <v>51</v>
      </c>
      <c r="E1713">
        <v>15.9</v>
      </c>
      <c r="F1713">
        <v>16.399999999999999</v>
      </c>
      <c r="G1713">
        <v>16.899999999999999</v>
      </c>
      <c r="H1713">
        <v>16.899999999999999</v>
      </c>
      <c r="I1713">
        <v>16.899999999999999</v>
      </c>
      <c r="J1713">
        <v>16.899999999999999</v>
      </c>
      <c r="K1713">
        <v>16.3</v>
      </c>
      <c r="L1713">
        <v>16.899999999999999</v>
      </c>
      <c r="M1713">
        <v>15.8</v>
      </c>
      <c r="N1713">
        <v>16.600000000000001</v>
      </c>
      <c r="O1713">
        <v>16.2</v>
      </c>
      <c r="P1713">
        <v>16.7</v>
      </c>
      <c r="Q1713">
        <v>17.2</v>
      </c>
      <c r="R1713">
        <v>17.5</v>
      </c>
      <c r="S1713">
        <f>Tableau1[[#This Row],[Final_time]]-SUM(Tableau1[[#This Row],[0_100m]:[1300_1400m]])</f>
        <v>18.28000000000003</v>
      </c>
      <c r="T1713">
        <v>251.38</v>
      </c>
      <c r="U1713">
        <f t="shared" si="68"/>
        <v>251.38</v>
      </c>
      <c r="V1713">
        <f t="shared" si="69"/>
        <v>0</v>
      </c>
      <c r="X1713" t="str">
        <f>_xlfn.CONCAT(Tableau1[[#This Row],[Competition]],"_",Tableau1[[#This Row],[Championship_step]],"_",Tableau1[[#This Row],[Competition_date]],"_",Tableau1[[#This Row],[Gender]])</f>
        <v>Diamond League Eugene 2026__46206_Female</v>
      </c>
      <c r="Y1713" t="s">
        <v>1915</v>
      </c>
      <c r="Z1713" s="2" t="s">
        <v>43</v>
      </c>
      <c r="AA1713" s="2"/>
      <c r="AB1713" s="2" t="s">
        <v>65</v>
      </c>
      <c r="AC1713" s="2">
        <v>46206</v>
      </c>
      <c r="AD1713" s="3">
        <v>2026</v>
      </c>
      <c r="AE1713" s="3">
        <v>25</v>
      </c>
      <c r="AF1713" s="5">
        <v>0.54</v>
      </c>
      <c r="AG1713" s="3" t="s">
        <v>71</v>
      </c>
    </row>
  </sheetData>
  <phoneticPr fontId="2" type="noConversion"/>
  <conditionalFormatting sqref="V2:V1048576">
    <cfRule type="cellIs" dxfId="4" priority="1" operator="greaterThanOrEqual">
      <formula>0.1</formula>
    </cfRule>
  </conditionalFormatting>
  <conditionalFormatting sqref="AD2:AD1713">
    <cfRule type="cellIs" dxfId="3" priority="6" operator="notBetween">
      <formula>2021</formula>
      <formula>2025</formula>
    </cfRule>
  </conditionalFormatting>
  <conditionalFormatting sqref="AE2:AE1713">
    <cfRule type="cellIs" dxfId="2" priority="3" operator="lessThan">
      <formula>10</formula>
    </cfRule>
    <cfRule type="cellIs" dxfId="1" priority="4" operator="greaterThan">
      <formula>40</formula>
    </cfRule>
  </conditionalFormatting>
  <conditionalFormatting sqref="AF2:AF1713">
    <cfRule type="cellIs" dxfId="0" priority="2" operator="greaterThan">
      <formula>1</formula>
    </cfRule>
  </conditionalFormatting>
  <hyperlinks>
    <hyperlink ref="AH486" r:id="rId1" xr:uid="{4C9DE275-E7A4-4954-81B7-B2181DBA49E6}"/>
    <hyperlink ref="AH136" r:id="rId2" xr:uid="{F60ADE02-851C-4A95-BB99-77038C20A9BF}"/>
    <hyperlink ref="AH1339" r:id="rId3" xr:uid="{8831CA74-24A4-4BD6-BD78-CF2383B88135}"/>
    <hyperlink ref="AH1341" r:id="rId4" xr:uid="{35F6BE23-4FBC-4465-8BD7-3B2223182089}"/>
    <hyperlink ref="AH1345" r:id="rId5" xr:uid="{E19ECF43-5EAB-45F3-ADB2-690E92184357}"/>
    <hyperlink ref="AH1344" r:id="rId6" xr:uid="{5070E581-03A3-4114-B96A-1D0094C93931}"/>
    <hyperlink ref="AH1340" r:id="rId7" xr:uid="{F837ADB9-0F14-43EA-AB43-6360737A4019}"/>
    <hyperlink ref="AH1346" r:id="rId8" xr:uid="{B5414FEB-AE7D-4329-A16C-D66169150D1F}"/>
    <hyperlink ref="AH1342" r:id="rId9" xr:uid="{6E750A40-3F56-4432-B2B5-0A1B3DF54F5B}"/>
    <hyperlink ref="AH1343" r:id="rId10" xr:uid="{7205B732-BA61-4FA9-88C8-626A2C08D365}"/>
    <hyperlink ref="AH1347" r:id="rId11" xr:uid="{1C7C28EC-D81E-4F50-879A-DEF78F03C180}"/>
    <hyperlink ref="AH1348" r:id="rId12" xr:uid="{8FE2910D-E400-4624-A714-0248A835B7C3}"/>
    <hyperlink ref="AH1349" r:id="rId13" xr:uid="{E590B707-ECFA-4635-ABDD-89F23B459CDE}"/>
    <hyperlink ref="AH1350" r:id="rId14" xr:uid="{D36A5BA7-F396-45E3-9482-DB57F7C99FD3}"/>
    <hyperlink ref="AH1363" r:id="rId15" xr:uid="{5829F321-BFDA-4AD7-B8FF-D3B18AA1E05B}"/>
    <hyperlink ref="AH1364" r:id="rId16" xr:uid="{257C706C-0AFF-4D4A-8F83-DFC5B5594F5E}"/>
    <hyperlink ref="AH1366" r:id="rId17" xr:uid="{3FD638CE-08D9-4075-9787-7F14C96AD5C0}"/>
    <hyperlink ref="AH1362" r:id="rId18" xr:uid="{08764F78-A467-4631-B46D-F1870F3A4FDB}"/>
    <hyperlink ref="AH1367" r:id="rId19" xr:uid="{6D4E57C1-0EDB-43A0-A446-3E076B00783A}"/>
    <hyperlink ref="AH1365" r:id="rId20" xr:uid="{FF1491B1-FE19-4949-B2B7-090DE0B588F0}"/>
    <hyperlink ref="AH1361" r:id="rId21" xr:uid="{7B4E7B7D-056C-4513-9D72-AEC61F4B5D95}"/>
    <hyperlink ref="AH1368" r:id="rId22" xr:uid="{A056732D-16E2-4608-AE24-EC84D6423DC9}"/>
    <hyperlink ref="AH1369" r:id="rId23" xr:uid="{03661814-458D-453F-987D-614DB5BE5A9D}"/>
    <hyperlink ref="AH1370" r:id="rId24" xr:uid="{0978F780-0DC8-422B-8744-4E0EE0EB2EE8}"/>
    <hyperlink ref="AH1372" r:id="rId25" xr:uid="{6CD1E880-6E9D-468C-8BDF-884320C65812}"/>
    <hyperlink ref="AH1371" r:id="rId26" xr:uid="{E7D37C70-464F-4745-8B42-40CF5B0EE0F8}"/>
  </hyperlinks>
  <pageMargins left="0.7" right="0.7" top="0.75" bottom="0.75" header="0.3" footer="0.3"/>
  <pageSetup paperSize="9" orientation="portrait" r:id="rId27"/>
  <ignoredErrors>
    <ignoredError sqref="A1469:A1561 A1:A1468 A1562:AH1562 A1563:A1577" calculatedColumn="1"/>
  </ignoredErrors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F9D8-B1A1-40EA-B79F-48C7F39F95AB}">
  <dimension ref="A1:H816"/>
  <sheetViews>
    <sheetView topLeftCell="A779" workbookViewId="0">
      <selection activeCell="D28" sqref="D28"/>
    </sheetView>
  </sheetViews>
  <sheetFormatPr baseColWidth="10" defaultRowHeight="14.5" x14ac:dyDescent="0.35"/>
  <cols>
    <col min="1" max="1" width="29.81640625" bestFit="1" customWidth="1"/>
    <col min="2" max="2" width="9.26953125" customWidth="1"/>
    <col min="3" max="3" width="12.26953125" customWidth="1"/>
    <col min="4" max="4" width="28.90625" bestFit="1" customWidth="1"/>
    <col min="5" max="6" width="28.90625" customWidth="1"/>
  </cols>
  <sheetData>
    <row r="1" spans="1:6" x14ac:dyDescent="0.35">
      <c r="A1" s="10" t="s">
        <v>45</v>
      </c>
      <c r="B1" s="10" t="s">
        <v>1</v>
      </c>
      <c r="C1" s="10" t="s">
        <v>2</v>
      </c>
      <c r="D1" s="10" t="s">
        <v>690</v>
      </c>
      <c r="E1" s="10" t="s">
        <v>1512</v>
      </c>
      <c r="F1" s="10" t="s">
        <v>1513</v>
      </c>
    </row>
    <row r="2" spans="1:6" x14ac:dyDescent="0.35">
      <c r="A2" t="s">
        <v>691</v>
      </c>
      <c r="B2" t="s">
        <v>16</v>
      </c>
      <c r="C2" t="s">
        <v>17</v>
      </c>
      <c r="D2" t="s">
        <v>1514</v>
      </c>
      <c r="E2" t="s">
        <v>691</v>
      </c>
      <c r="F2" t="s">
        <v>17</v>
      </c>
    </row>
    <row r="3" spans="1:6" x14ac:dyDescent="0.35">
      <c r="A3" t="s">
        <v>286</v>
      </c>
      <c r="B3" t="s">
        <v>47</v>
      </c>
      <c r="C3" t="s">
        <v>75</v>
      </c>
      <c r="D3" t="s">
        <v>692</v>
      </c>
      <c r="E3" t="s">
        <v>286</v>
      </c>
      <c r="F3" t="s">
        <v>75</v>
      </c>
    </row>
    <row r="4" spans="1:6" x14ac:dyDescent="0.35">
      <c r="A4" t="s">
        <v>156</v>
      </c>
      <c r="B4" t="s">
        <v>47</v>
      </c>
      <c r="C4" t="s">
        <v>21</v>
      </c>
      <c r="D4" t="s">
        <v>693</v>
      </c>
      <c r="E4" t="s">
        <v>156</v>
      </c>
      <c r="F4" t="s">
        <v>21</v>
      </c>
    </row>
    <row r="5" spans="1:6" x14ac:dyDescent="0.35">
      <c r="A5" t="s">
        <v>488</v>
      </c>
      <c r="B5" t="s">
        <v>16</v>
      </c>
      <c r="C5" t="s">
        <v>75</v>
      </c>
      <c r="D5" t="s">
        <v>694</v>
      </c>
      <c r="E5" t="s">
        <v>488</v>
      </c>
      <c r="F5" t="s">
        <v>75</v>
      </c>
    </row>
    <row r="6" spans="1:6" x14ac:dyDescent="0.35">
      <c r="A6" t="s">
        <v>696</v>
      </c>
      <c r="B6" t="s">
        <v>16</v>
      </c>
      <c r="C6" t="s">
        <v>56</v>
      </c>
      <c r="D6" t="s">
        <v>695</v>
      </c>
      <c r="E6" t="s">
        <v>696</v>
      </c>
      <c r="F6" t="s">
        <v>56</v>
      </c>
    </row>
    <row r="7" spans="1:6" x14ac:dyDescent="0.35">
      <c r="A7" t="s">
        <v>559</v>
      </c>
      <c r="B7" t="s">
        <v>16</v>
      </c>
      <c r="C7" t="s">
        <v>75</v>
      </c>
      <c r="D7" t="s">
        <v>697</v>
      </c>
      <c r="E7" t="s">
        <v>559</v>
      </c>
      <c r="F7" t="s">
        <v>75</v>
      </c>
    </row>
    <row r="8" spans="1:6" x14ac:dyDescent="0.35">
      <c r="A8" t="s">
        <v>698</v>
      </c>
      <c r="B8" t="s">
        <v>16</v>
      </c>
      <c r="C8" t="s">
        <v>75</v>
      </c>
      <c r="D8" t="s">
        <v>1515</v>
      </c>
      <c r="E8" t="s">
        <v>698</v>
      </c>
      <c r="F8" t="s">
        <v>75</v>
      </c>
    </row>
    <row r="9" spans="1:6" x14ac:dyDescent="0.35">
      <c r="A9" t="s">
        <v>700</v>
      </c>
      <c r="B9" t="s">
        <v>16</v>
      </c>
      <c r="C9" t="s">
        <v>75</v>
      </c>
      <c r="D9" t="s">
        <v>1516</v>
      </c>
      <c r="E9" t="s">
        <v>700</v>
      </c>
      <c r="F9" t="s">
        <v>75</v>
      </c>
    </row>
    <row r="10" spans="1:6" x14ac:dyDescent="0.35">
      <c r="A10" t="s">
        <v>397</v>
      </c>
      <c r="B10" t="s">
        <v>16</v>
      </c>
      <c r="C10" t="s">
        <v>75</v>
      </c>
      <c r="D10" t="s">
        <v>699</v>
      </c>
      <c r="E10" t="s">
        <v>397</v>
      </c>
      <c r="F10" t="s">
        <v>75</v>
      </c>
    </row>
    <row r="11" spans="1:6" x14ac:dyDescent="0.35">
      <c r="A11" t="s">
        <v>221</v>
      </c>
      <c r="B11" t="s">
        <v>16</v>
      </c>
      <c r="C11" t="s">
        <v>75</v>
      </c>
      <c r="D11" t="s">
        <v>701</v>
      </c>
      <c r="E11" t="s">
        <v>221</v>
      </c>
      <c r="F11" t="s">
        <v>75</v>
      </c>
    </row>
    <row r="12" spans="1:6" x14ac:dyDescent="0.35">
      <c r="A12" t="s">
        <v>391</v>
      </c>
      <c r="B12" t="s">
        <v>16</v>
      </c>
      <c r="C12" t="s">
        <v>75</v>
      </c>
      <c r="D12" t="s">
        <v>702</v>
      </c>
      <c r="E12" t="s">
        <v>391</v>
      </c>
      <c r="F12" t="s">
        <v>75</v>
      </c>
    </row>
    <row r="13" spans="1:6" x14ac:dyDescent="0.35">
      <c r="A13" t="s">
        <v>1499</v>
      </c>
      <c r="B13" t="s">
        <v>16</v>
      </c>
      <c r="C13" t="s">
        <v>75</v>
      </c>
      <c r="D13" t="s">
        <v>1517</v>
      </c>
      <c r="E13" t="s">
        <v>1499</v>
      </c>
      <c r="F13" t="s">
        <v>75</v>
      </c>
    </row>
    <row r="14" spans="1:6" x14ac:dyDescent="0.35">
      <c r="A14" t="s">
        <v>560</v>
      </c>
      <c r="B14" t="s">
        <v>16</v>
      </c>
      <c r="C14" t="s">
        <v>75</v>
      </c>
      <c r="D14" t="s">
        <v>703</v>
      </c>
      <c r="E14" t="s">
        <v>560</v>
      </c>
      <c r="F14" t="s">
        <v>75</v>
      </c>
    </row>
    <row r="15" spans="1:6" x14ac:dyDescent="0.35">
      <c r="A15" t="s">
        <v>420</v>
      </c>
      <c r="B15" t="s">
        <v>16</v>
      </c>
      <c r="C15" t="s">
        <v>421</v>
      </c>
      <c r="D15" t="s">
        <v>704</v>
      </c>
      <c r="E15" t="s">
        <v>420</v>
      </c>
      <c r="F15" t="s">
        <v>421</v>
      </c>
    </row>
    <row r="16" spans="1:6" x14ac:dyDescent="0.35">
      <c r="A16" t="s">
        <v>1415</v>
      </c>
      <c r="B16" t="s">
        <v>16</v>
      </c>
      <c r="C16" t="s">
        <v>1416</v>
      </c>
      <c r="D16" t="s">
        <v>1518</v>
      </c>
      <c r="E16" t="s">
        <v>1415</v>
      </c>
      <c r="F16" t="s">
        <v>1416</v>
      </c>
    </row>
    <row r="17" spans="1:6" x14ac:dyDescent="0.35">
      <c r="A17" t="s">
        <v>538</v>
      </c>
      <c r="B17" t="s">
        <v>16</v>
      </c>
      <c r="C17" t="s">
        <v>57</v>
      </c>
      <c r="D17" t="s">
        <v>705</v>
      </c>
      <c r="E17" t="s">
        <v>538</v>
      </c>
      <c r="F17" t="s">
        <v>57</v>
      </c>
    </row>
    <row r="18" spans="1:6" x14ac:dyDescent="0.35">
      <c r="A18" t="s">
        <v>706</v>
      </c>
      <c r="B18" t="s">
        <v>16</v>
      </c>
      <c r="C18" t="s">
        <v>673</v>
      </c>
      <c r="D18" t="s">
        <v>1519</v>
      </c>
      <c r="E18" t="s">
        <v>706</v>
      </c>
      <c r="F18" t="s">
        <v>673</v>
      </c>
    </row>
    <row r="19" spans="1:6" x14ac:dyDescent="0.35">
      <c r="A19" t="s">
        <v>707</v>
      </c>
      <c r="B19" t="s">
        <v>16</v>
      </c>
      <c r="C19" t="s">
        <v>30</v>
      </c>
      <c r="D19" t="s">
        <v>1520</v>
      </c>
      <c r="E19" t="s">
        <v>707</v>
      </c>
      <c r="F19" t="s">
        <v>30</v>
      </c>
    </row>
    <row r="20" spans="1:6" x14ac:dyDescent="0.35">
      <c r="A20" t="s">
        <v>659</v>
      </c>
      <c r="B20" t="s">
        <v>16</v>
      </c>
      <c r="C20" t="s">
        <v>55</v>
      </c>
      <c r="D20" t="s">
        <v>708</v>
      </c>
      <c r="E20" t="s">
        <v>659</v>
      </c>
      <c r="F20" t="s">
        <v>55</v>
      </c>
    </row>
    <row r="21" spans="1:6" x14ac:dyDescent="0.35">
      <c r="A21" t="s">
        <v>594</v>
      </c>
      <c r="B21" t="s">
        <v>16</v>
      </c>
      <c r="C21" t="s">
        <v>427</v>
      </c>
      <c r="D21" t="s">
        <v>1521</v>
      </c>
      <c r="E21" t="s">
        <v>594</v>
      </c>
      <c r="F21" t="s">
        <v>427</v>
      </c>
    </row>
    <row r="22" spans="1:6" x14ac:dyDescent="0.35">
      <c r="A22" t="s">
        <v>227</v>
      </c>
      <c r="B22" t="s">
        <v>16</v>
      </c>
      <c r="C22" t="s">
        <v>17</v>
      </c>
      <c r="D22" t="s">
        <v>709</v>
      </c>
      <c r="E22" t="s">
        <v>227</v>
      </c>
      <c r="F22" t="s">
        <v>17</v>
      </c>
    </row>
    <row r="23" spans="1:6" x14ac:dyDescent="0.35">
      <c r="A23" t="s">
        <v>546</v>
      </c>
      <c r="B23" t="s">
        <v>47</v>
      </c>
      <c r="C23" t="s">
        <v>20</v>
      </c>
      <c r="D23" t="s">
        <v>710</v>
      </c>
      <c r="E23" t="s">
        <v>546</v>
      </c>
      <c r="F23" t="s">
        <v>20</v>
      </c>
    </row>
    <row r="24" spans="1:6" x14ac:dyDescent="0.35">
      <c r="A24" t="s">
        <v>194</v>
      </c>
      <c r="B24" t="s">
        <v>16</v>
      </c>
      <c r="C24" t="s">
        <v>114</v>
      </c>
      <c r="D24" t="s">
        <v>711</v>
      </c>
      <c r="E24" t="s">
        <v>194</v>
      </c>
      <c r="F24" t="s">
        <v>114</v>
      </c>
    </row>
    <row r="25" spans="1:6" x14ac:dyDescent="0.35">
      <c r="A25" t="s">
        <v>522</v>
      </c>
      <c r="B25" t="s">
        <v>16</v>
      </c>
      <c r="C25" t="s">
        <v>57</v>
      </c>
      <c r="D25" t="s">
        <v>712</v>
      </c>
      <c r="E25" t="s">
        <v>522</v>
      </c>
      <c r="F25" t="s">
        <v>57</v>
      </c>
    </row>
    <row r="26" spans="1:6" x14ac:dyDescent="0.35">
      <c r="A26" t="s">
        <v>714</v>
      </c>
      <c r="B26" t="s">
        <v>16</v>
      </c>
      <c r="C26" t="s">
        <v>57</v>
      </c>
      <c r="D26" t="s">
        <v>713</v>
      </c>
      <c r="E26" t="s">
        <v>714</v>
      </c>
      <c r="F26" t="s">
        <v>57</v>
      </c>
    </row>
    <row r="27" spans="1:6" x14ac:dyDescent="0.35">
      <c r="A27" t="s">
        <v>715</v>
      </c>
      <c r="B27" t="s">
        <v>16</v>
      </c>
      <c r="C27" t="s">
        <v>20</v>
      </c>
      <c r="D27" t="s">
        <v>1522</v>
      </c>
      <c r="E27" t="s">
        <v>715</v>
      </c>
      <c r="F27" t="s">
        <v>20</v>
      </c>
    </row>
    <row r="28" spans="1:6" x14ac:dyDescent="0.35">
      <c r="A28" t="s">
        <v>229</v>
      </c>
      <c r="B28" t="s">
        <v>16</v>
      </c>
      <c r="C28" t="s">
        <v>21</v>
      </c>
      <c r="D28" t="s">
        <v>716</v>
      </c>
      <c r="E28" t="s">
        <v>229</v>
      </c>
      <c r="F28" t="s">
        <v>21</v>
      </c>
    </row>
    <row r="29" spans="1:6" x14ac:dyDescent="0.35">
      <c r="A29" t="s">
        <v>717</v>
      </c>
      <c r="B29" t="s">
        <v>47</v>
      </c>
      <c r="C29" t="s">
        <v>51</v>
      </c>
      <c r="D29" t="s">
        <v>1523</v>
      </c>
      <c r="E29" t="s">
        <v>717</v>
      </c>
      <c r="F29" t="s">
        <v>51</v>
      </c>
    </row>
    <row r="30" spans="1:6" x14ac:dyDescent="0.35">
      <c r="A30" t="s">
        <v>606</v>
      </c>
      <c r="B30" t="s">
        <v>47</v>
      </c>
      <c r="C30" t="s">
        <v>55</v>
      </c>
      <c r="D30" t="s">
        <v>718</v>
      </c>
      <c r="E30" t="s">
        <v>606</v>
      </c>
      <c r="F30" t="s">
        <v>55</v>
      </c>
    </row>
    <row r="31" spans="1:6" x14ac:dyDescent="0.35">
      <c r="A31" t="s">
        <v>190</v>
      </c>
      <c r="B31" t="s">
        <v>16</v>
      </c>
      <c r="C31" t="s">
        <v>22</v>
      </c>
      <c r="D31" t="s">
        <v>719</v>
      </c>
      <c r="E31" t="s">
        <v>190</v>
      </c>
      <c r="F31" t="s">
        <v>22</v>
      </c>
    </row>
    <row r="32" spans="1:6" x14ac:dyDescent="0.35">
      <c r="A32" t="s">
        <v>188</v>
      </c>
      <c r="B32" t="s">
        <v>47</v>
      </c>
      <c r="C32" t="s">
        <v>108</v>
      </c>
      <c r="D32" t="s">
        <v>720</v>
      </c>
      <c r="E32" t="s">
        <v>188</v>
      </c>
      <c r="F32" t="s">
        <v>108</v>
      </c>
    </row>
    <row r="33" spans="1:6" x14ac:dyDescent="0.35">
      <c r="A33" t="s">
        <v>239</v>
      </c>
      <c r="B33" t="s">
        <v>16</v>
      </c>
      <c r="C33" t="s">
        <v>48</v>
      </c>
      <c r="D33" t="s">
        <v>721</v>
      </c>
      <c r="E33" t="s">
        <v>239</v>
      </c>
      <c r="F33" t="s">
        <v>48</v>
      </c>
    </row>
    <row r="34" spans="1:6" x14ac:dyDescent="0.35">
      <c r="A34" t="s">
        <v>433</v>
      </c>
      <c r="B34" t="s">
        <v>16</v>
      </c>
      <c r="C34" t="s">
        <v>22</v>
      </c>
      <c r="D34" t="s">
        <v>1524</v>
      </c>
      <c r="E34" t="s">
        <v>433</v>
      </c>
      <c r="F34" t="s">
        <v>22</v>
      </c>
    </row>
    <row r="35" spans="1:6" x14ac:dyDescent="0.35">
      <c r="A35" t="s">
        <v>722</v>
      </c>
      <c r="B35" t="s">
        <v>47</v>
      </c>
      <c r="C35" t="s">
        <v>83</v>
      </c>
      <c r="D35" t="s">
        <v>1525</v>
      </c>
      <c r="E35" t="s">
        <v>722</v>
      </c>
      <c r="F35" t="s">
        <v>83</v>
      </c>
    </row>
    <row r="36" spans="1:6" x14ac:dyDescent="0.35">
      <c r="A36" t="s">
        <v>171</v>
      </c>
      <c r="B36" t="s">
        <v>47</v>
      </c>
      <c r="C36" t="s">
        <v>18</v>
      </c>
      <c r="D36" t="s">
        <v>723</v>
      </c>
      <c r="E36" t="s">
        <v>171</v>
      </c>
      <c r="F36" t="s">
        <v>18</v>
      </c>
    </row>
    <row r="37" spans="1:6" x14ac:dyDescent="0.35">
      <c r="A37" t="s">
        <v>612</v>
      </c>
      <c r="B37" t="s">
        <v>47</v>
      </c>
      <c r="C37" t="s">
        <v>18</v>
      </c>
      <c r="D37" t="s">
        <v>1526</v>
      </c>
      <c r="E37" t="s">
        <v>612</v>
      </c>
      <c r="F37" t="s">
        <v>18</v>
      </c>
    </row>
    <row r="38" spans="1:6" x14ac:dyDescent="0.35">
      <c r="A38" t="s">
        <v>724</v>
      </c>
      <c r="B38" t="s">
        <v>47</v>
      </c>
      <c r="C38" t="s">
        <v>22</v>
      </c>
      <c r="D38" t="s">
        <v>1527</v>
      </c>
      <c r="E38" t="s">
        <v>724</v>
      </c>
      <c r="F38" t="s">
        <v>22</v>
      </c>
    </row>
    <row r="39" spans="1:6" x14ac:dyDescent="0.35">
      <c r="A39" t="s">
        <v>725</v>
      </c>
      <c r="B39" t="s">
        <v>16</v>
      </c>
      <c r="C39" t="s">
        <v>75</v>
      </c>
      <c r="D39" t="s">
        <v>1528</v>
      </c>
      <c r="E39" t="s">
        <v>725</v>
      </c>
      <c r="F39" t="s">
        <v>75</v>
      </c>
    </row>
    <row r="40" spans="1:6" x14ac:dyDescent="0.35">
      <c r="A40" t="s">
        <v>1419</v>
      </c>
      <c r="B40" t="s">
        <v>16</v>
      </c>
      <c r="C40" t="s">
        <v>75</v>
      </c>
      <c r="D40" t="s">
        <v>1529</v>
      </c>
      <c r="E40" t="s">
        <v>1419</v>
      </c>
      <c r="F40" t="s">
        <v>75</v>
      </c>
    </row>
    <row r="41" spans="1:6" x14ac:dyDescent="0.35">
      <c r="A41" t="s">
        <v>726</v>
      </c>
      <c r="B41" t="s">
        <v>16</v>
      </c>
      <c r="C41" t="s">
        <v>51</v>
      </c>
      <c r="D41" t="s">
        <v>1530</v>
      </c>
      <c r="E41" t="s">
        <v>726</v>
      </c>
      <c r="F41" t="s">
        <v>51</v>
      </c>
    </row>
    <row r="42" spans="1:6" x14ac:dyDescent="0.35">
      <c r="A42" t="s">
        <v>224</v>
      </c>
      <c r="B42" t="s">
        <v>16</v>
      </c>
      <c r="C42" t="s">
        <v>122</v>
      </c>
      <c r="D42" t="s">
        <v>727</v>
      </c>
      <c r="E42" t="s">
        <v>224</v>
      </c>
      <c r="F42" t="s">
        <v>122</v>
      </c>
    </row>
    <row r="43" spans="1:6" x14ac:dyDescent="0.35">
      <c r="A43" t="s">
        <v>728</v>
      </c>
      <c r="B43" t="s">
        <v>47</v>
      </c>
      <c r="C43" t="s">
        <v>51</v>
      </c>
      <c r="D43" t="s">
        <v>1531</v>
      </c>
      <c r="E43" t="s">
        <v>728</v>
      </c>
      <c r="F43" t="s">
        <v>51</v>
      </c>
    </row>
    <row r="44" spans="1:6" x14ac:dyDescent="0.35">
      <c r="A44" t="s">
        <v>172</v>
      </c>
      <c r="B44" t="s">
        <v>47</v>
      </c>
      <c r="C44" t="s">
        <v>83</v>
      </c>
      <c r="D44" t="s">
        <v>1532</v>
      </c>
      <c r="E44" t="s">
        <v>172</v>
      </c>
      <c r="F44" t="s">
        <v>83</v>
      </c>
    </row>
    <row r="45" spans="1:6" x14ac:dyDescent="0.35">
      <c r="A45" t="s">
        <v>1500</v>
      </c>
      <c r="B45" t="s">
        <v>16</v>
      </c>
      <c r="C45" t="s">
        <v>1501</v>
      </c>
      <c r="D45" t="s">
        <v>1533</v>
      </c>
      <c r="E45" t="s">
        <v>1500</v>
      </c>
      <c r="F45" t="s">
        <v>1501</v>
      </c>
    </row>
    <row r="46" spans="1:6" x14ac:dyDescent="0.35">
      <c r="A46" t="s">
        <v>496</v>
      </c>
      <c r="B46" t="s">
        <v>16</v>
      </c>
      <c r="C46" t="s">
        <v>497</v>
      </c>
      <c r="D46" t="s">
        <v>729</v>
      </c>
      <c r="E46" t="s">
        <v>496</v>
      </c>
      <c r="F46" t="s">
        <v>497</v>
      </c>
    </row>
    <row r="47" spans="1:6" x14ac:dyDescent="0.35">
      <c r="A47" t="s">
        <v>646</v>
      </c>
      <c r="B47" t="s">
        <v>16</v>
      </c>
      <c r="C47" t="s">
        <v>20</v>
      </c>
      <c r="D47" t="s">
        <v>730</v>
      </c>
      <c r="E47" t="s">
        <v>646</v>
      </c>
      <c r="F47" t="s">
        <v>20</v>
      </c>
    </row>
    <row r="48" spans="1:6" x14ac:dyDescent="0.35">
      <c r="A48" t="s">
        <v>654</v>
      </c>
      <c r="B48" t="s">
        <v>16</v>
      </c>
      <c r="C48" t="s">
        <v>17</v>
      </c>
      <c r="D48" t="s">
        <v>731</v>
      </c>
      <c r="E48" t="s">
        <v>654</v>
      </c>
      <c r="F48" t="s">
        <v>17</v>
      </c>
    </row>
    <row r="49" spans="1:6" x14ac:dyDescent="0.35">
      <c r="A49" t="s">
        <v>441</v>
      </c>
      <c r="B49" t="s">
        <v>16</v>
      </c>
      <c r="C49" t="s">
        <v>56</v>
      </c>
      <c r="D49" t="s">
        <v>732</v>
      </c>
      <c r="E49" t="s">
        <v>441</v>
      </c>
      <c r="F49" t="s">
        <v>56</v>
      </c>
    </row>
    <row r="50" spans="1:6" x14ac:dyDescent="0.35">
      <c r="A50" t="s">
        <v>734</v>
      </c>
      <c r="B50" t="s">
        <v>16</v>
      </c>
      <c r="C50" t="s">
        <v>56</v>
      </c>
      <c r="D50" t="s">
        <v>733</v>
      </c>
      <c r="E50" t="s">
        <v>734</v>
      </c>
      <c r="F50" t="s">
        <v>56</v>
      </c>
    </row>
    <row r="51" spans="1:6" x14ac:dyDescent="0.35">
      <c r="A51" t="s">
        <v>1487</v>
      </c>
      <c r="B51" t="s">
        <v>16</v>
      </c>
      <c r="C51" t="s">
        <v>34</v>
      </c>
      <c r="D51" t="s">
        <v>1534</v>
      </c>
      <c r="E51" t="s">
        <v>1487</v>
      </c>
      <c r="F51" t="s">
        <v>34</v>
      </c>
    </row>
    <row r="52" spans="1:6" x14ac:dyDescent="0.35">
      <c r="A52" t="s">
        <v>477</v>
      </c>
      <c r="B52" t="s">
        <v>47</v>
      </c>
      <c r="C52" t="s">
        <v>20</v>
      </c>
      <c r="D52" t="s">
        <v>735</v>
      </c>
      <c r="E52" t="s">
        <v>477</v>
      </c>
      <c r="F52" t="s">
        <v>20</v>
      </c>
    </row>
    <row r="53" spans="1:6" x14ac:dyDescent="0.35">
      <c r="A53" t="s">
        <v>556</v>
      </c>
      <c r="B53" t="s">
        <v>16</v>
      </c>
      <c r="C53" t="s">
        <v>75</v>
      </c>
      <c r="D53" t="s">
        <v>736</v>
      </c>
      <c r="E53" t="s">
        <v>556</v>
      </c>
      <c r="F53" t="s">
        <v>75</v>
      </c>
    </row>
    <row r="54" spans="1:6" x14ac:dyDescent="0.35">
      <c r="A54" t="s">
        <v>1420</v>
      </c>
      <c r="B54" t="s">
        <v>16</v>
      </c>
      <c r="C54" t="s">
        <v>631</v>
      </c>
      <c r="D54" t="s">
        <v>1535</v>
      </c>
      <c r="E54" t="s">
        <v>1420</v>
      </c>
      <c r="F54" t="s">
        <v>631</v>
      </c>
    </row>
    <row r="55" spans="1:6" x14ac:dyDescent="0.35">
      <c r="A55" t="s">
        <v>656</v>
      </c>
      <c r="B55" t="s">
        <v>16</v>
      </c>
      <c r="C55" t="s">
        <v>657</v>
      </c>
      <c r="D55" t="s">
        <v>737</v>
      </c>
      <c r="E55" t="s">
        <v>656</v>
      </c>
      <c r="F55" t="s">
        <v>657</v>
      </c>
    </row>
    <row r="56" spans="1:6" x14ac:dyDescent="0.35">
      <c r="A56" t="s">
        <v>326</v>
      </c>
      <c r="B56" t="s">
        <v>47</v>
      </c>
      <c r="C56" t="s">
        <v>51</v>
      </c>
      <c r="D56" t="s">
        <v>738</v>
      </c>
      <c r="E56" t="s">
        <v>326</v>
      </c>
      <c r="F56" t="s">
        <v>51</v>
      </c>
    </row>
    <row r="57" spans="1:6" x14ac:dyDescent="0.35">
      <c r="A57" t="s">
        <v>159</v>
      </c>
      <c r="B57" t="s">
        <v>47</v>
      </c>
      <c r="C57" t="s">
        <v>101</v>
      </c>
      <c r="D57" t="s">
        <v>739</v>
      </c>
      <c r="E57" t="s">
        <v>159</v>
      </c>
      <c r="F57" t="s">
        <v>101</v>
      </c>
    </row>
    <row r="58" spans="1:6" x14ac:dyDescent="0.35">
      <c r="A58" t="s">
        <v>740</v>
      </c>
      <c r="B58" t="s">
        <v>16</v>
      </c>
      <c r="C58" t="s">
        <v>22</v>
      </c>
      <c r="D58" t="s">
        <v>1536</v>
      </c>
      <c r="E58" t="s">
        <v>740</v>
      </c>
      <c r="F58" t="s">
        <v>22</v>
      </c>
    </row>
    <row r="59" spans="1:6" x14ac:dyDescent="0.35">
      <c r="A59" t="s">
        <v>741</v>
      </c>
      <c r="B59" t="s">
        <v>47</v>
      </c>
      <c r="C59" t="s">
        <v>30</v>
      </c>
      <c r="D59" t="s">
        <v>1537</v>
      </c>
      <c r="E59" t="s">
        <v>741</v>
      </c>
      <c r="F59" t="s">
        <v>30</v>
      </c>
    </row>
    <row r="60" spans="1:6" x14ac:dyDescent="0.35">
      <c r="A60" t="s">
        <v>435</v>
      </c>
      <c r="B60" t="s">
        <v>16</v>
      </c>
      <c r="C60" t="s">
        <v>427</v>
      </c>
      <c r="D60" t="s">
        <v>742</v>
      </c>
      <c r="E60" t="s">
        <v>435</v>
      </c>
      <c r="F60" t="s">
        <v>427</v>
      </c>
    </row>
    <row r="61" spans="1:6" x14ac:dyDescent="0.35">
      <c r="A61" t="s">
        <v>743</v>
      </c>
      <c r="B61" t="s">
        <v>16</v>
      </c>
      <c r="C61" t="s">
        <v>75</v>
      </c>
      <c r="D61" t="s">
        <v>1538</v>
      </c>
      <c r="E61" t="s">
        <v>743</v>
      </c>
      <c r="F61" t="s">
        <v>75</v>
      </c>
    </row>
    <row r="62" spans="1:6" x14ac:dyDescent="0.35">
      <c r="A62" t="s">
        <v>1392</v>
      </c>
      <c r="B62" t="s">
        <v>47</v>
      </c>
      <c r="C62" t="s">
        <v>39</v>
      </c>
      <c r="D62" t="s">
        <v>1539</v>
      </c>
      <c r="E62" t="s">
        <v>1392</v>
      </c>
      <c r="F62" t="s">
        <v>39</v>
      </c>
    </row>
    <row r="63" spans="1:6" x14ac:dyDescent="0.35">
      <c r="A63" t="s">
        <v>192</v>
      </c>
      <c r="B63" t="s">
        <v>16</v>
      </c>
      <c r="C63" t="s">
        <v>34</v>
      </c>
      <c r="D63" t="s">
        <v>744</v>
      </c>
      <c r="E63" t="s">
        <v>192</v>
      </c>
      <c r="F63" t="s">
        <v>34</v>
      </c>
    </row>
    <row r="64" spans="1:6" x14ac:dyDescent="0.35">
      <c r="A64" t="s">
        <v>1429</v>
      </c>
      <c r="B64" t="s">
        <v>47</v>
      </c>
      <c r="C64" t="s">
        <v>18</v>
      </c>
      <c r="D64" t="s">
        <v>1540</v>
      </c>
      <c r="E64" t="s">
        <v>1429</v>
      </c>
      <c r="F64" t="s">
        <v>18</v>
      </c>
    </row>
    <row r="65" spans="1:6" x14ac:dyDescent="0.35">
      <c r="A65" t="s">
        <v>1335</v>
      </c>
      <c r="B65" t="s">
        <v>16</v>
      </c>
      <c r="C65" t="s">
        <v>18</v>
      </c>
      <c r="D65" t="s">
        <v>1541</v>
      </c>
      <c r="E65" t="s">
        <v>1335</v>
      </c>
      <c r="F65" t="s">
        <v>18</v>
      </c>
    </row>
    <row r="66" spans="1:6" x14ac:dyDescent="0.35">
      <c r="A66" t="s">
        <v>259</v>
      </c>
      <c r="B66" t="s">
        <v>16</v>
      </c>
      <c r="C66" t="s">
        <v>75</v>
      </c>
      <c r="D66" t="s">
        <v>745</v>
      </c>
      <c r="E66" t="s">
        <v>259</v>
      </c>
      <c r="F66" t="s">
        <v>75</v>
      </c>
    </row>
    <row r="67" spans="1:6" x14ac:dyDescent="0.35">
      <c r="A67" t="s">
        <v>383</v>
      </c>
      <c r="B67" t="s">
        <v>16</v>
      </c>
      <c r="C67" t="s">
        <v>30</v>
      </c>
      <c r="D67" t="s">
        <v>746</v>
      </c>
      <c r="E67" t="s">
        <v>383</v>
      </c>
      <c r="F67" t="s">
        <v>30</v>
      </c>
    </row>
    <row r="68" spans="1:6" x14ac:dyDescent="0.35">
      <c r="A68" t="s">
        <v>276</v>
      </c>
      <c r="B68" t="s">
        <v>16</v>
      </c>
      <c r="C68" t="s">
        <v>56</v>
      </c>
      <c r="D68" t="s">
        <v>747</v>
      </c>
      <c r="E68" t="s">
        <v>276</v>
      </c>
      <c r="F68" t="s">
        <v>56</v>
      </c>
    </row>
    <row r="69" spans="1:6" x14ac:dyDescent="0.35">
      <c r="A69" t="s">
        <v>749</v>
      </c>
      <c r="B69" t="s">
        <v>16</v>
      </c>
      <c r="C69" t="s">
        <v>30</v>
      </c>
      <c r="D69" t="s">
        <v>748</v>
      </c>
      <c r="E69" t="s">
        <v>749</v>
      </c>
      <c r="F69" t="s">
        <v>30</v>
      </c>
    </row>
    <row r="70" spans="1:6" x14ac:dyDescent="0.35">
      <c r="A70" t="s">
        <v>436</v>
      </c>
      <c r="B70" t="s">
        <v>16</v>
      </c>
      <c r="C70" t="s">
        <v>56</v>
      </c>
      <c r="D70" t="s">
        <v>750</v>
      </c>
      <c r="E70" t="s">
        <v>436</v>
      </c>
      <c r="F70" t="s">
        <v>56</v>
      </c>
    </row>
    <row r="71" spans="1:6" x14ac:dyDescent="0.35">
      <c r="A71" t="s">
        <v>752</v>
      </c>
      <c r="B71" t="s">
        <v>16</v>
      </c>
      <c r="C71" t="s">
        <v>40</v>
      </c>
      <c r="D71" t="s">
        <v>751</v>
      </c>
      <c r="E71" t="s">
        <v>752</v>
      </c>
      <c r="F71" t="s">
        <v>40</v>
      </c>
    </row>
    <row r="72" spans="1:6" x14ac:dyDescent="0.35">
      <c r="A72" t="s">
        <v>516</v>
      </c>
      <c r="B72" t="s">
        <v>16</v>
      </c>
      <c r="C72" t="s">
        <v>120</v>
      </c>
      <c r="D72" t="s">
        <v>1542</v>
      </c>
      <c r="E72" t="s">
        <v>516</v>
      </c>
      <c r="F72" t="s">
        <v>120</v>
      </c>
    </row>
    <row r="73" spans="1:6" x14ac:dyDescent="0.35">
      <c r="A73" t="s">
        <v>232</v>
      </c>
      <c r="B73" t="s">
        <v>16</v>
      </c>
      <c r="C73" t="s">
        <v>35</v>
      </c>
      <c r="D73" t="s">
        <v>753</v>
      </c>
      <c r="E73" t="s">
        <v>232</v>
      </c>
      <c r="F73" t="s">
        <v>35</v>
      </c>
    </row>
    <row r="74" spans="1:6" x14ac:dyDescent="0.35">
      <c r="A74" t="s">
        <v>754</v>
      </c>
      <c r="B74" t="s">
        <v>16</v>
      </c>
      <c r="C74" t="s">
        <v>87</v>
      </c>
      <c r="D74" t="s">
        <v>1543</v>
      </c>
      <c r="E74" t="s">
        <v>754</v>
      </c>
      <c r="F74" t="s">
        <v>87</v>
      </c>
    </row>
    <row r="75" spans="1:6" x14ac:dyDescent="0.35">
      <c r="A75" t="s">
        <v>272</v>
      </c>
      <c r="B75" t="s">
        <v>47</v>
      </c>
      <c r="C75" t="s">
        <v>83</v>
      </c>
      <c r="D75" t="s">
        <v>755</v>
      </c>
      <c r="E75" t="s">
        <v>272</v>
      </c>
      <c r="F75" t="s">
        <v>83</v>
      </c>
    </row>
    <row r="76" spans="1:6" x14ac:dyDescent="0.35">
      <c r="A76" t="s">
        <v>455</v>
      </c>
      <c r="B76" t="s">
        <v>47</v>
      </c>
      <c r="C76" t="s">
        <v>83</v>
      </c>
      <c r="D76" t="s">
        <v>756</v>
      </c>
      <c r="E76" t="s">
        <v>455</v>
      </c>
      <c r="F76" t="s">
        <v>83</v>
      </c>
    </row>
    <row r="77" spans="1:6" x14ac:dyDescent="0.35">
      <c r="A77" t="s">
        <v>603</v>
      </c>
      <c r="B77" t="s">
        <v>47</v>
      </c>
      <c r="C77" t="s">
        <v>601</v>
      </c>
      <c r="D77" t="s">
        <v>757</v>
      </c>
      <c r="E77" t="s">
        <v>603</v>
      </c>
      <c r="F77" t="s">
        <v>601</v>
      </c>
    </row>
    <row r="78" spans="1:6" x14ac:dyDescent="0.35">
      <c r="A78" t="s">
        <v>758</v>
      </c>
      <c r="B78" t="s">
        <v>47</v>
      </c>
      <c r="C78" t="s">
        <v>87</v>
      </c>
      <c r="D78" t="s">
        <v>1544</v>
      </c>
      <c r="E78" t="s">
        <v>758</v>
      </c>
      <c r="F78" t="s">
        <v>87</v>
      </c>
    </row>
    <row r="79" spans="1:6" x14ac:dyDescent="0.35">
      <c r="A79" t="s">
        <v>587</v>
      </c>
      <c r="B79" t="s">
        <v>47</v>
      </c>
      <c r="C79" t="s">
        <v>56</v>
      </c>
      <c r="D79" t="s">
        <v>759</v>
      </c>
      <c r="E79" t="s">
        <v>587</v>
      </c>
      <c r="F79" t="s">
        <v>56</v>
      </c>
    </row>
    <row r="80" spans="1:6" x14ac:dyDescent="0.35">
      <c r="A80" t="s">
        <v>472</v>
      </c>
      <c r="B80" t="s">
        <v>47</v>
      </c>
      <c r="C80" t="s">
        <v>83</v>
      </c>
      <c r="D80" t="s">
        <v>760</v>
      </c>
      <c r="E80" t="s">
        <v>472</v>
      </c>
      <c r="F80" t="s">
        <v>83</v>
      </c>
    </row>
    <row r="81" spans="1:6" x14ac:dyDescent="0.35">
      <c r="A81" t="s">
        <v>1395</v>
      </c>
      <c r="B81" t="s">
        <v>47</v>
      </c>
      <c r="C81" t="s">
        <v>30</v>
      </c>
      <c r="D81" t="s">
        <v>1545</v>
      </c>
      <c r="E81" t="s">
        <v>1395</v>
      </c>
      <c r="F81" t="s">
        <v>30</v>
      </c>
    </row>
    <row r="82" spans="1:6" x14ac:dyDescent="0.35">
      <c r="A82" t="s">
        <v>636</v>
      </c>
      <c r="B82" t="s">
        <v>47</v>
      </c>
      <c r="C82" t="s">
        <v>40</v>
      </c>
      <c r="D82" t="s">
        <v>761</v>
      </c>
      <c r="E82" t="s">
        <v>636</v>
      </c>
      <c r="F82" t="s">
        <v>40</v>
      </c>
    </row>
    <row r="83" spans="1:6" x14ac:dyDescent="0.35">
      <c r="A83" t="s">
        <v>762</v>
      </c>
      <c r="B83" t="s">
        <v>16</v>
      </c>
      <c r="C83" t="s">
        <v>87</v>
      </c>
      <c r="D83" t="s">
        <v>1546</v>
      </c>
      <c r="E83" t="s">
        <v>762</v>
      </c>
      <c r="F83" t="s">
        <v>87</v>
      </c>
    </row>
    <row r="84" spans="1:6" x14ac:dyDescent="0.35">
      <c r="A84" t="s">
        <v>764</v>
      </c>
      <c r="B84" t="s">
        <v>16</v>
      </c>
      <c r="C84" t="s">
        <v>20</v>
      </c>
      <c r="D84" t="s">
        <v>763</v>
      </c>
      <c r="E84" t="s">
        <v>764</v>
      </c>
      <c r="F84" t="s">
        <v>20</v>
      </c>
    </row>
    <row r="85" spans="1:6" x14ac:dyDescent="0.35">
      <c r="A85" t="s">
        <v>766</v>
      </c>
      <c r="B85" t="s">
        <v>16</v>
      </c>
      <c r="C85" t="s">
        <v>87</v>
      </c>
      <c r="D85" t="s">
        <v>1547</v>
      </c>
      <c r="E85" t="s">
        <v>766</v>
      </c>
      <c r="F85" t="s">
        <v>87</v>
      </c>
    </row>
    <row r="86" spans="1:6" x14ac:dyDescent="0.35">
      <c r="A86" t="s">
        <v>765</v>
      </c>
      <c r="B86" t="s">
        <v>16</v>
      </c>
      <c r="C86" t="s">
        <v>87</v>
      </c>
      <c r="D86" t="s">
        <v>1548</v>
      </c>
      <c r="E86" t="s">
        <v>765</v>
      </c>
      <c r="F86" t="s">
        <v>87</v>
      </c>
    </row>
    <row r="87" spans="1:6" x14ac:dyDescent="0.35">
      <c r="A87" t="s">
        <v>531</v>
      </c>
      <c r="B87" t="s">
        <v>16</v>
      </c>
      <c r="C87" t="s">
        <v>55</v>
      </c>
      <c r="D87" t="s">
        <v>1086</v>
      </c>
      <c r="E87" t="s">
        <v>531</v>
      </c>
      <c r="F87" t="s">
        <v>55</v>
      </c>
    </row>
    <row r="88" spans="1:6" x14ac:dyDescent="0.35">
      <c r="A88" t="s">
        <v>563</v>
      </c>
      <c r="B88" t="s">
        <v>47</v>
      </c>
      <c r="C88" t="s">
        <v>75</v>
      </c>
      <c r="D88" t="s">
        <v>767</v>
      </c>
      <c r="E88" t="s">
        <v>563</v>
      </c>
      <c r="F88" t="s">
        <v>75</v>
      </c>
    </row>
    <row r="89" spans="1:6" x14ac:dyDescent="0.35">
      <c r="A89" t="s">
        <v>570</v>
      </c>
      <c r="B89" t="s">
        <v>47</v>
      </c>
      <c r="C89" t="s">
        <v>75</v>
      </c>
      <c r="D89" t="s">
        <v>768</v>
      </c>
      <c r="E89" t="s">
        <v>570</v>
      </c>
      <c r="F89" t="s">
        <v>75</v>
      </c>
    </row>
    <row r="90" spans="1:6" x14ac:dyDescent="0.35">
      <c r="A90" t="s">
        <v>463</v>
      </c>
      <c r="B90" t="s">
        <v>47</v>
      </c>
      <c r="C90" t="s">
        <v>51</v>
      </c>
      <c r="D90" t="s">
        <v>769</v>
      </c>
      <c r="E90" t="s">
        <v>1430</v>
      </c>
      <c r="F90" t="s">
        <v>51</v>
      </c>
    </row>
    <row r="91" spans="1:6" x14ac:dyDescent="0.35">
      <c r="A91" t="s">
        <v>1430</v>
      </c>
      <c r="B91" t="s">
        <v>47</v>
      </c>
      <c r="C91" t="s">
        <v>51</v>
      </c>
      <c r="D91" t="s">
        <v>1549</v>
      </c>
      <c r="E91" t="s">
        <v>1430</v>
      </c>
      <c r="F91" t="s">
        <v>51</v>
      </c>
    </row>
    <row r="92" spans="1:6" x14ac:dyDescent="0.35">
      <c r="A92" t="s">
        <v>528</v>
      </c>
      <c r="B92" t="s">
        <v>47</v>
      </c>
      <c r="C92" t="s">
        <v>87</v>
      </c>
      <c r="D92" t="s">
        <v>770</v>
      </c>
      <c r="E92" t="s">
        <v>528</v>
      </c>
      <c r="F92" t="s">
        <v>87</v>
      </c>
    </row>
    <row r="93" spans="1:6" x14ac:dyDescent="0.35">
      <c r="A93" t="s">
        <v>771</v>
      </c>
      <c r="B93" t="s">
        <v>16</v>
      </c>
      <c r="C93" t="s">
        <v>30</v>
      </c>
      <c r="D93" t="s">
        <v>1550</v>
      </c>
      <c r="E93" t="s">
        <v>771</v>
      </c>
      <c r="F93" t="s">
        <v>30</v>
      </c>
    </row>
    <row r="94" spans="1:6" x14ac:dyDescent="0.35">
      <c r="A94" t="s">
        <v>533</v>
      </c>
      <c r="B94" t="s">
        <v>16</v>
      </c>
      <c r="C94" t="s">
        <v>86</v>
      </c>
      <c r="D94" t="s">
        <v>772</v>
      </c>
      <c r="E94" t="s">
        <v>533</v>
      </c>
      <c r="F94" t="s">
        <v>86</v>
      </c>
    </row>
    <row r="95" spans="1:6" x14ac:dyDescent="0.35">
      <c r="A95" t="s">
        <v>360</v>
      </c>
      <c r="B95" t="s">
        <v>47</v>
      </c>
      <c r="C95" t="s">
        <v>18</v>
      </c>
      <c r="D95" t="s">
        <v>773</v>
      </c>
      <c r="E95" t="s">
        <v>360</v>
      </c>
      <c r="F95" t="s">
        <v>18</v>
      </c>
    </row>
    <row r="96" spans="1:6" x14ac:dyDescent="0.35">
      <c r="A96" t="s">
        <v>269</v>
      </c>
      <c r="B96" t="s">
        <v>47</v>
      </c>
      <c r="C96" t="s">
        <v>48</v>
      </c>
      <c r="D96" t="s">
        <v>774</v>
      </c>
      <c r="E96" t="s">
        <v>269</v>
      </c>
      <c r="F96" t="s">
        <v>48</v>
      </c>
    </row>
    <row r="97" spans="1:6" x14ac:dyDescent="0.35">
      <c r="A97" t="s">
        <v>777</v>
      </c>
      <c r="B97" t="s">
        <v>47</v>
      </c>
      <c r="C97" t="s">
        <v>75</v>
      </c>
      <c r="D97" t="s">
        <v>1551</v>
      </c>
      <c r="E97" t="s">
        <v>777</v>
      </c>
      <c r="F97" t="s">
        <v>75</v>
      </c>
    </row>
    <row r="98" spans="1:6" x14ac:dyDescent="0.35">
      <c r="A98" t="s">
        <v>292</v>
      </c>
      <c r="B98" t="s">
        <v>47</v>
      </c>
      <c r="C98" t="s">
        <v>75</v>
      </c>
      <c r="D98" t="s">
        <v>775</v>
      </c>
      <c r="E98" t="s">
        <v>292</v>
      </c>
      <c r="F98" t="s">
        <v>75</v>
      </c>
    </row>
    <row r="99" spans="1:6" x14ac:dyDescent="0.35">
      <c r="A99" t="s">
        <v>564</v>
      </c>
      <c r="B99" t="s">
        <v>47</v>
      </c>
      <c r="C99" t="s">
        <v>75</v>
      </c>
      <c r="D99" t="s">
        <v>776</v>
      </c>
      <c r="E99" t="s">
        <v>564</v>
      </c>
      <c r="F99" t="s">
        <v>75</v>
      </c>
    </row>
    <row r="100" spans="1:6" x14ac:dyDescent="0.35">
      <c r="A100" t="s">
        <v>359</v>
      </c>
      <c r="B100" t="s">
        <v>47</v>
      </c>
      <c r="C100" t="s">
        <v>48</v>
      </c>
      <c r="D100" t="s">
        <v>778</v>
      </c>
      <c r="E100" t="s">
        <v>359</v>
      </c>
      <c r="F100" t="s">
        <v>48</v>
      </c>
    </row>
    <row r="101" spans="1:6" x14ac:dyDescent="0.35">
      <c r="A101" t="s">
        <v>344</v>
      </c>
      <c r="B101" t="s">
        <v>16</v>
      </c>
      <c r="C101" t="s">
        <v>345</v>
      </c>
      <c r="D101" t="s">
        <v>779</v>
      </c>
      <c r="E101" t="s">
        <v>344</v>
      </c>
      <c r="F101" t="s">
        <v>345</v>
      </c>
    </row>
    <row r="102" spans="1:6" x14ac:dyDescent="0.35">
      <c r="A102" t="s">
        <v>396</v>
      </c>
      <c r="B102" t="s">
        <v>16</v>
      </c>
      <c r="C102" t="s">
        <v>75</v>
      </c>
      <c r="D102" t="s">
        <v>780</v>
      </c>
      <c r="E102" t="s">
        <v>396</v>
      </c>
      <c r="F102" t="s">
        <v>75</v>
      </c>
    </row>
    <row r="103" spans="1:6" x14ac:dyDescent="0.35">
      <c r="A103" t="s">
        <v>218</v>
      </c>
      <c r="B103" t="s">
        <v>16</v>
      </c>
      <c r="C103" t="s">
        <v>18</v>
      </c>
      <c r="D103" t="s">
        <v>781</v>
      </c>
      <c r="E103" t="s">
        <v>218</v>
      </c>
      <c r="F103" t="s">
        <v>18</v>
      </c>
    </row>
    <row r="104" spans="1:6" x14ac:dyDescent="0.35">
      <c r="A104" t="s">
        <v>782</v>
      </c>
      <c r="B104" t="s">
        <v>47</v>
      </c>
      <c r="C104" t="s">
        <v>75</v>
      </c>
      <c r="D104" t="s">
        <v>1552</v>
      </c>
      <c r="E104" t="s">
        <v>782</v>
      </c>
      <c r="F104" t="s">
        <v>75</v>
      </c>
    </row>
    <row r="105" spans="1:6" x14ac:dyDescent="0.35">
      <c r="A105" t="s">
        <v>671</v>
      </c>
      <c r="B105" t="s">
        <v>16</v>
      </c>
      <c r="C105" t="s">
        <v>105</v>
      </c>
      <c r="D105" t="s">
        <v>1553</v>
      </c>
      <c r="E105" t="s">
        <v>671</v>
      </c>
      <c r="F105" t="s">
        <v>105</v>
      </c>
    </row>
    <row r="106" spans="1:6" x14ac:dyDescent="0.35">
      <c r="A106" t="s">
        <v>346</v>
      </c>
      <c r="B106" t="s">
        <v>16</v>
      </c>
      <c r="C106" t="s">
        <v>18</v>
      </c>
      <c r="D106" t="s">
        <v>783</v>
      </c>
      <c r="E106" t="s">
        <v>346</v>
      </c>
      <c r="F106" t="s">
        <v>18</v>
      </c>
    </row>
    <row r="107" spans="1:6" x14ac:dyDescent="0.35">
      <c r="A107" t="s">
        <v>1510</v>
      </c>
      <c r="B107" t="s">
        <v>16</v>
      </c>
      <c r="C107" t="s">
        <v>22</v>
      </c>
      <c r="D107" t="s">
        <v>1554</v>
      </c>
      <c r="E107" t="s">
        <v>1510</v>
      </c>
      <c r="F107" t="s">
        <v>22</v>
      </c>
    </row>
    <row r="108" spans="1:6" x14ac:dyDescent="0.35">
      <c r="A108" t="s">
        <v>784</v>
      </c>
      <c r="B108" t="s">
        <v>16</v>
      </c>
      <c r="C108" t="s">
        <v>83</v>
      </c>
      <c r="D108" t="s">
        <v>1555</v>
      </c>
      <c r="E108" t="s">
        <v>784</v>
      </c>
      <c r="F108" t="s">
        <v>83</v>
      </c>
    </row>
    <row r="109" spans="1:6" x14ac:dyDescent="0.35">
      <c r="A109" t="s">
        <v>1330</v>
      </c>
      <c r="B109" t="s">
        <v>47</v>
      </c>
      <c r="C109" t="s">
        <v>48</v>
      </c>
      <c r="D109" t="s">
        <v>1556</v>
      </c>
      <c r="E109" t="s">
        <v>1330</v>
      </c>
      <c r="F109" t="s">
        <v>48</v>
      </c>
    </row>
    <row r="110" spans="1:6" x14ac:dyDescent="0.35">
      <c r="A110" t="s">
        <v>1360</v>
      </c>
      <c r="B110" t="s">
        <v>47</v>
      </c>
      <c r="C110" t="s">
        <v>17</v>
      </c>
      <c r="D110" t="s">
        <v>1557</v>
      </c>
      <c r="E110" t="s">
        <v>1360</v>
      </c>
      <c r="F110" t="s">
        <v>17</v>
      </c>
    </row>
    <row r="111" spans="1:6" x14ac:dyDescent="0.35">
      <c r="A111" t="s">
        <v>539</v>
      </c>
      <c r="B111" t="s">
        <v>16</v>
      </c>
      <c r="C111" t="s">
        <v>20</v>
      </c>
      <c r="D111" t="s">
        <v>785</v>
      </c>
      <c r="E111" t="s">
        <v>539</v>
      </c>
      <c r="F111" t="s">
        <v>20</v>
      </c>
    </row>
    <row r="112" spans="1:6" x14ac:dyDescent="0.35">
      <c r="A112" t="s">
        <v>1434</v>
      </c>
      <c r="B112" t="s">
        <v>47</v>
      </c>
      <c r="C112" t="s">
        <v>21</v>
      </c>
      <c r="D112" t="s">
        <v>1558</v>
      </c>
      <c r="E112" t="s">
        <v>1434</v>
      </c>
      <c r="F112" t="s">
        <v>21</v>
      </c>
    </row>
    <row r="113" spans="1:6" x14ac:dyDescent="0.35">
      <c r="A113" t="s">
        <v>787</v>
      </c>
      <c r="B113" t="s">
        <v>16</v>
      </c>
      <c r="C113" t="s">
        <v>56</v>
      </c>
      <c r="D113" t="s">
        <v>1559</v>
      </c>
      <c r="E113" t="s">
        <v>787</v>
      </c>
      <c r="F113" t="s">
        <v>56</v>
      </c>
    </row>
    <row r="114" spans="1:6" x14ac:dyDescent="0.35">
      <c r="A114" t="s">
        <v>387</v>
      </c>
      <c r="B114" t="s">
        <v>16</v>
      </c>
      <c r="C114" t="s">
        <v>30</v>
      </c>
      <c r="D114" t="s">
        <v>788</v>
      </c>
      <c r="E114" t="s">
        <v>387</v>
      </c>
      <c r="F114" t="s">
        <v>30</v>
      </c>
    </row>
    <row r="115" spans="1:6" x14ac:dyDescent="0.35">
      <c r="A115" t="s">
        <v>513</v>
      </c>
      <c r="B115" t="s">
        <v>16</v>
      </c>
      <c r="C115" t="s">
        <v>18</v>
      </c>
      <c r="D115" t="s">
        <v>789</v>
      </c>
      <c r="E115" t="s">
        <v>513</v>
      </c>
      <c r="F115" t="s">
        <v>18</v>
      </c>
    </row>
    <row r="116" spans="1:6" x14ac:dyDescent="0.35">
      <c r="A116" t="s">
        <v>791</v>
      </c>
      <c r="B116" t="s">
        <v>16</v>
      </c>
      <c r="C116" t="s">
        <v>17</v>
      </c>
      <c r="D116" t="s">
        <v>790</v>
      </c>
      <c r="E116" t="s">
        <v>791</v>
      </c>
      <c r="F116" t="s">
        <v>17</v>
      </c>
    </row>
    <row r="117" spans="1:6" x14ac:dyDescent="0.35">
      <c r="A117" t="s">
        <v>467</v>
      </c>
      <c r="B117" t="s">
        <v>47</v>
      </c>
      <c r="C117" t="s">
        <v>105</v>
      </c>
      <c r="D117" t="s">
        <v>1560</v>
      </c>
      <c r="E117" t="s">
        <v>467</v>
      </c>
      <c r="F117" t="s">
        <v>105</v>
      </c>
    </row>
    <row r="118" spans="1:6" x14ac:dyDescent="0.35">
      <c r="A118" t="s">
        <v>679</v>
      </c>
      <c r="B118" t="s">
        <v>47</v>
      </c>
      <c r="C118" t="s">
        <v>105</v>
      </c>
      <c r="D118" t="s">
        <v>1561</v>
      </c>
      <c r="E118" t="s">
        <v>679</v>
      </c>
      <c r="F118" t="s">
        <v>105</v>
      </c>
    </row>
    <row r="119" spans="1:6" x14ac:dyDescent="0.35">
      <c r="A119" t="s">
        <v>179</v>
      </c>
      <c r="B119" t="s">
        <v>47</v>
      </c>
      <c r="C119" t="s">
        <v>48</v>
      </c>
      <c r="D119" t="s">
        <v>792</v>
      </c>
      <c r="E119" t="s">
        <v>179</v>
      </c>
      <c r="F119" t="s">
        <v>48</v>
      </c>
    </row>
    <row r="120" spans="1:6" x14ac:dyDescent="0.35">
      <c r="A120" t="s">
        <v>581</v>
      </c>
      <c r="B120" t="s">
        <v>16</v>
      </c>
      <c r="C120" t="s">
        <v>56</v>
      </c>
      <c r="D120" t="s">
        <v>1562</v>
      </c>
      <c r="E120" t="s">
        <v>581</v>
      </c>
      <c r="F120" t="s">
        <v>56</v>
      </c>
    </row>
    <row r="121" spans="1:6" x14ac:dyDescent="0.35">
      <c r="A121" t="s">
        <v>794</v>
      </c>
      <c r="B121" t="s">
        <v>16</v>
      </c>
      <c r="C121" t="s">
        <v>30</v>
      </c>
      <c r="D121" t="s">
        <v>793</v>
      </c>
      <c r="E121" t="s">
        <v>794</v>
      </c>
      <c r="F121" t="s">
        <v>30</v>
      </c>
    </row>
    <row r="122" spans="1:6" x14ac:dyDescent="0.35">
      <c r="A122" t="s">
        <v>795</v>
      </c>
      <c r="B122" t="s">
        <v>16</v>
      </c>
      <c r="C122" t="s">
        <v>17</v>
      </c>
      <c r="D122" t="s">
        <v>1563</v>
      </c>
      <c r="E122" t="s">
        <v>795</v>
      </c>
      <c r="F122" t="s">
        <v>17</v>
      </c>
    </row>
    <row r="123" spans="1:6" x14ac:dyDescent="0.35">
      <c r="A123" t="s">
        <v>598</v>
      </c>
      <c r="B123" t="s">
        <v>16</v>
      </c>
      <c r="C123" t="s">
        <v>118</v>
      </c>
      <c r="D123" t="s">
        <v>796</v>
      </c>
      <c r="E123" t="s">
        <v>598</v>
      </c>
      <c r="F123" t="s">
        <v>118</v>
      </c>
    </row>
    <row r="124" spans="1:6" x14ac:dyDescent="0.35">
      <c r="A124" t="s">
        <v>797</v>
      </c>
      <c r="B124" t="s">
        <v>16</v>
      </c>
      <c r="C124" t="s">
        <v>75</v>
      </c>
      <c r="D124" t="s">
        <v>1564</v>
      </c>
      <c r="E124" t="s">
        <v>797</v>
      </c>
      <c r="F124" t="s">
        <v>75</v>
      </c>
    </row>
    <row r="125" spans="1:6" x14ac:dyDescent="0.35">
      <c r="A125" t="s">
        <v>798</v>
      </c>
      <c r="B125" t="s">
        <v>16</v>
      </c>
      <c r="C125" t="s">
        <v>75</v>
      </c>
      <c r="D125" t="s">
        <v>1565</v>
      </c>
      <c r="E125" t="s">
        <v>798</v>
      </c>
      <c r="F125" t="s">
        <v>75</v>
      </c>
    </row>
    <row r="126" spans="1:6" x14ac:dyDescent="0.35">
      <c r="A126" t="s">
        <v>643</v>
      </c>
      <c r="B126" t="s">
        <v>16</v>
      </c>
      <c r="C126" t="s">
        <v>39</v>
      </c>
      <c r="D126" t="s">
        <v>799</v>
      </c>
      <c r="E126" t="s">
        <v>643</v>
      </c>
      <c r="F126" t="s">
        <v>39</v>
      </c>
    </row>
    <row r="127" spans="1:6" x14ac:dyDescent="0.35">
      <c r="A127" t="s">
        <v>500</v>
      </c>
      <c r="B127" t="s">
        <v>16</v>
      </c>
      <c r="C127" t="s">
        <v>55</v>
      </c>
      <c r="D127" t="s">
        <v>800</v>
      </c>
      <c r="E127" t="s">
        <v>500</v>
      </c>
      <c r="F127" t="s">
        <v>55</v>
      </c>
    </row>
    <row r="128" spans="1:6" x14ac:dyDescent="0.35">
      <c r="A128" t="s">
        <v>597</v>
      </c>
      <c r="B128" t="s">
        <v>16</v>
      </c>
      <c r="C128" t="s">
        <v>51</v>
      </c>
      <c r="D128" t="s">
        <v>801</v>
      </c>
      <c r="E128" t="s">
        <v>597</v>
      </c>
      <c r="F128" t="s">
        <v>51</v>
      </c>
    </row>
    <row r="129" spans="1:6" x14ac:dyDescent="0.35">
      <c r="A129" t="s">
        <v>1508</v>
      </c>
      <c r="B129" t="s">
        <v>16</v>
      </c>
      <c r="C129" t="s">
        <v>51</v>
      </c>
      <c r="D129" t="s">
        <v>1566</v>
      </c>
      <c r="E129" t="s">
        <v>1508</v>
      </c>
      <c r="F129" t="s">
        <v>51</v>
      </c>
    </row>
    <row r="130" spans="1:6" x14ac:dyDescent="0.35">
      <c r="A130" t="s">
        <v>802</v>
      </c>
      <c r="B130" t="s">
        <v>16</v>
      </c>
      <c r="C130" t="s">
        <v>17</v>
      </c>
      <c r="D130" t="s">
        <v>1567</v>
      </c>
      <c r="E130" t="s">
        <v>802</v>
      </c>
      <c r="F130" t="s">
        <v>17</v>
      </c>
    </row>
    <row r="131" spans="1:6" x14ac:dyDescent="0.35">
      <c r="A131" t="s">
        <v>803</v>
      </c>
      <c r="B131" t="s">
        <v>16</v>
      </c>
      <c r="C131" t="s">
        <v>17</v>
      </c>
      <c r="D131" t="s">
        <v>1568</v>
      </c>
      <c r="E131" t="s">
        <v>803</v>
      </c>
      <c r="F131" t="s">
        <v>17</v>
      </c>
    </row>
    <row r="132" spans="1:6" x14ac:dyDescent="0.35">
      <c r="A132" t="s">
        <v>548</v>
      </c>
      <c r="B132" t="s">
        <v>47</v>
      </c>
      <c r="C132" t="s">
        <v>51</v>
      </c>
      <c r="D132" t="s">
        <v>804</v>
      </c>
      <c r="E132" t="s">
        <v>548</v>
      </c>
      <c r="F132" t="s">
        <v>51</v>
      </c>
    </row>
    <row r="133" spans="1:6" x14ac:dyDescent="0.35">
      <c r="A133" t="s">
        <v>451</v>
      </c>
      <c r="B133" t="s">
        <v>16</v>
      </c>
      <c r="C133" t="s">
        <v>51</v>
      </c>
      <c r="D133" t="s">
        <v>805</v>
      </c>
      <c r="E133" t="s">
        <v>451</v>
      </c>
      <c r="F133" t="s">
        <v>51</v>
      </c>
    </row>
    <row r="134" spans="1:6" x14ac:dyDescent="0.35">
      <c r="A134" t="s">
        <v>689</v>
      </c>
      <c r="B134" t="s">
        <v>16</v>
      </c>
      <c r="C134" t="s">
        <v>20</v>
      </c>
      <c r="D134" t="s">
        <v>1100</v>
      </c>
      <c r="E134" t="s">
        <v>689</v>
      </c>
      <c r="F134" t="s">
        <v>20</v>
      </c>
    </row>
    <row r="135" spans="1:6" x14ac:dyDescent="0.35">
      <c r="A135" t="s">
        <v>373</v>
      </c>
      <c r="B135" t="s">
        <v>16</v>
      </c>
      <c r="C135" t="s">
        <v>51</v>
      </c>
      <c r="D135" t="s">
        <v>806</v>
      </c>
      <c r="E135" t="s">
        <v>373</v>
      </c>
      <c r="F135" t="s">
        <v>51</v>
      </c>
    </row>
    <row r="136" spans="1:6" x14ac:dyDescent="0.35">
      <c r="A136" t="s">
        <v>1339</v>
      </c>
      <c r="B136" t="s">
        <v>16</v>
      </c>
      <c r="C136" t="s">
        <v>21</v>
      </c>
      <c r="D136" t="s">
        <v>1569</v>
      </c>
      <c r="E136" t="s">
        <v>1339</v>
      </c>
      <c r="F136" t="s">
        <v>21</v>
      </c>
    </row>
    <row r="137" spans="1:6" x14ac:dyDescent="0.35">
      <c r="A137" t="s">
        <v>808</v>
      </c>
      <c r="B137" t="s">
        <v>16</v>
      </c>
      <c r="C137" t="s">
        <v>21</v>
      </c>
      <c r="D137" t="s">
        <v>807</v>
      </c>
      <c r="E137" t="s">
        <v>808</v>
      </c>
      <c r="F137" t="s">
        <v>21</v>
      </c>
    </row>
    <row r="138" spans="1:6" x14ac:dyDescent="0.35">
      <c r="A138" t="s">
        <v>252</v>
      </c>
      <c r="B138" t="s">
        <v>16</v>
      </c>
      <c r="C138" t="s">
        <v>55</v>
      </c>
      <c r="D138" t="s">
        <v>809</v>
      </c>
      <c r="E138" t="s">
        <v>252</v>
      </c>
      <c r="F138" t="s">
        <v>55</v>
      </c>
    </row>
    <row r="139" spans="1:6" x14ac:dyDescent="0.35">
      <c r="A139" t="s">
        <v>810</v>
      </c>
      <c r="B139" t="s">
        <v>47</v>
      </c>
      <c r="C139" t="s">
        <v>86</v>
      </c>
      <c r="D139" t="s">
        <v>1570</v>
      </c>
      <c r="E139" t="s">
        <v>810</v>
      </c>
      <c r="F139" t="s">
        <v>86</v>
      </c>
    </row>
    <row r="140" spans="1:6" x14ac:dyDescent="0.35">
      <c r="A140" t="s">
        <v>175</v>
      </c>
      <c r="B140" t="s">
        <v>47</v>
      </c>
      <c r="C140" t="s">
        <v>36</v>
      </c>
      <c r="D140" t="s">
        <v>811</v>
      </c>
      <c r="E140" t="s">
        <v>175</v>
      </c>
      <c r="F140" t="s">
        <v>36</v>
      </c>
    </row>
    <row r="141" spans="1:6" x14ac:dyDescent="0.35">
      <c r="A141" t="s">
        <v>1386</v>
      </c>
      <c r="B141" t="s">
        <v>16</v>
      </c>
      <c r="C141" t="s">
        <v>22</v>
      </c>
      <c r="D141" t="s">
        <v>1571</v>
      </c>
      <c r="E141" t="s">
        <v>1386</v>
      </c>
      <c r="F141" t="s">
        <v>22</v>
      </c>
    </row>
    <row r="142" spans="1:6" x14ac:dyDescent="0.35">
      <c r="A142" t="s">
        <v>1433</v>
      </c>
      <c r="B142" t="s">
        <v>47</v>
      </c>
      <c r="C142" t="s">
        <v>41</v>
      </c>
      <c r="D142" t="s">
        <v>1572</v>
      </c>
      <c r="E142" t="s">
        <v>1433</v>
      </c>
      <c r="F142" t="s">
        <v>41</v>
      </c>
    </row>
    <row r="143" spans="1:6" x14ac:dyDescent="0.35">
      <c r="A143" t="s">
        <v>628</v>
      </c>
      <c r="B143" t="s">
        <v>16</v>
      </c>
      <c r="C143" t="s">
        <v>19</v>
      </c>
      <c r="D143" t="s">
        <v>812</v>
      </c>
      <c r="E143" t="s">
        <v>628</v>
      </c>
      <c r="F143" t="s">
        <v>19</v>
      </c>
    </row>
    <row r="144" spans="1:6" x14ac:dyDescent="0.35">
      <c r="A144" t="s">
        <v>813</v>
      </c>
      <c r="B144" t="s">
        <v>47</v>
      </c>
      <c r="C144" t="s">
        <v>34</v>
      </c>
      <c r="D144" t="s">
        <v>814</v>
      </c>
      <c r="E144" t="s">
        <v>813</v>
      </c>
      <c r="F144" t="s">
        <v>34</v>
      </c>
    </row>
    <row r="145" spans="1:6" x14ac:dyDescent="0.35">
      <c r="A145" t="s">
        <v>1336</v>
      </c>
      <c r="B145" t="s">
        <v>16</v>
      </c>
      <c r="C145" t="s">
        <v>35</v>
      </c>
      <c r="D145" t="s">
        <v>1573</v>
      </c>
      <c r="E145" t="s">
        <v>1336</v>
      </c>
      <c r="F145" t="s">
        <v>35</v>
      </c>
    </row>
    <row r="146" spans="1:6" x14ac:dyDescent="0.35">
      <c r="A146" t="s">
        <v>446</v>
      </c>
      <c r="B146" t="s">
        <v>47</v>
      </c>
      <c r="C146" t="s">
        <v>21</v>
      </c>
      <c r="D146" t="s">
        <v>815</v>
      </c>
      <c r="E146" t="s">
        <v>446</v>
      </c>
      <c r="F146" t="s">
        <v>21</v>
      </c>
    </row>
    <row r="147" spans="1:6" x14ac:dyDescent="0.35">
      <c r="A147" t="s">
        <v>290</v>
      </c>
      <c r="B147" t="s">
        <v>47</v>
      </c>
      <c r="C147" t="s">
        <v>75</v>
      </c>
      <c r="D147" t="s">
        <v>816</v>
      </c>
      <c r="E147" t="s">
        <v>290</v>
      </c>
      <c r="F147" t="s">
        <v>75</v>
      </c>
    </row>
    <row r="148" spans="1:6" x14ac:dyDescent="0.35">
      <c r="A148" t="s">
        <v>624</v>
      </c>
      <c r="B148" t="s">
        <v>16</v>
      </c>
      <c r="C148" t="s">
        <v>75</v>
      </c>
      <c r="D148" t="s">
        <v>817</v>
      </c>
      <c r="E148" t="s">
        <v>624</v>
      </c>
      <c r="F148" t="s">
        <v>75</v>
      </c>
    </row>
    <row r="149" spans="1:6" x14ac:dyDescent="0.35">
      <c r="A149" t="s">
        <v>258</v>
      </c>
      <c r="B149" t="s">
        <v>16</v>
      </c>
      <c r="C149" t="s">
        <v>17</v>
      </c>
      <c r="D149" t="s">
        <v>818</v>
      </c>
      <c r="E149" t="s">
        <v>258</v>
      </c>
      <c r="F149" t="s">
        <v>17</v>
      </c>
    </row>
    <row r="150" spans="1:6" x14ac:dyDescent="0.35">
      <c r="A150" t="s">
        <v>230</v>
      </c>
      <c r="B150" t="s">
        <v>16</v>
      </c>
      <c r="C150" t="s">
        <v>76</v>
      </c>
      <c r="D150" t="s">
        <v>819</v>
      </c>
      <c r="E150" t="s">
        <v>230</v>
      </c>
      <c r="F150" t="s">
        <v>76</v>
      </c>
    </row>
    <row r="151" spans="1:6" x14ac:dyDescent="0.35">
      <c r="A151" t="s">
        <v>113</v>
      </c>
      <c r="B151" t="s">
        <v>16</v>
      </c>
      <c r="C151" t="s">
        <v>55</v>
      </c>
      <c r="D151" t="s">
        <v>1574</v>
      </c>
      <c r="E151" t="s">
        <v>113</v>
      </c>
      <c r="F151" t="s">
        <v>55</v>
      </c>
    </row>
    <row r="152" spans="1:6" x14ac:dyDescent="0.35">
      <c r="A152" t="s">
        <v>821</v>
      </c>
      <c r="B152" t="s">
        <v>16</v>
      </c>
      <c r="C152" t="s">
        <v>20</v>
      </c>
      <c r="D152" t="s">
        <v>1575</v>
      </c>
      <c r="E152" t="s">
        <v>821</v>
      </c>
      <c r="F152" t="s">
        <v>20</v>
      </c>
    </row>
    <row r="153" spans="1:6" x14ac:dyDescent="0.35">
      <c r="A153" t="s">
        <v>367</v>
      </c>
      <c r="B153" t="s">
        <v>16</v>
      </c>
      <c r="C153" t="s">
        <v>21</v>
      </c>
      <c r="D153" t="s">
        <v>820</v>
      </c>
      <c r="E153" t="s">
        <v>367</v>
      </c>
      <c r="F153" t="s">
        <v>21</v>
      </c>
    </row>
    <row r="154" spans="1:6" x14ac:dyDescent="0.35">
      <c r="A154" t="s">
        <v>1432</v>
      </c>
      <c r="B154" t="s">
        <v>47</v>
      </c>
      <c r="C154" t="s">
        <v>18</v>
      </c>
      <c r="D154" t="s">
        <v>1576</v>
      </c>
      <c r="E154" t="s">
        <v>1432</v>
      </c>
      <c r="F154" t="s">
        <v>18</v>
      </c>
    </row>
    <row r="155" spans="1:6" x14ac:dyDescent="0.35">
      <c r="A155" t="s">
        <v>607</v>
      </c>
      <c r="B155" t="s">
        <v>47</v>
      </c>
      <c r="C155" t="s">
        <v>108</v>
      </c>
      <c r="D155" t="s">
        <v>1577</v>
      </c>
      <c r="E155" t="s">
        <v>607</v>
      </c>
      <c r="F155" t="s">
        <v>108</v>
      </c>
    </row>
    <row r="156" spans="1:6" x14ac:dyDescent="0.35">
      <c r="A156" t="s">
        <v>370</v>
      </c>
      <c r="B156" t="s">
        <v>16</v>
      </c>
      <c r="C156" t="s">
        <v>51</v>
      </c>
      <c r="D156" t="s">
        <v>822</v>
      </c>
      <c r="E156" t="s">
        <v>370</v>
      </c>
      <c r="F156" t="s">
        <v>51</v>
      </c>
    </row>
    <row r="157" spans="1:6" x14ac:dyDescent="0.35">
      <c r="A157" t="s">
        <v>466</v>
      </c>
      <c r="B157" t="s">
        <v>47</v>
      </c>
      <c r="C157" t="s">
        <v>34</v>
      </c>
      <c r="D157" t="s">
        <v>823</v>
      </c>
      <c r="E157" t="s">
        <v>466</v>
      </c>
      <c r="F157" t="s">
        <v>34</v>
      </c>
    </row>
    <row r="158" spans="1:6" x14ac:dyDescent="0.35">
      <c r="A158" t="s">
        <v>253</v>
      </c>
      <c r="B158" t="s">
        <v>16</v>
      </c>
      <c r="C158" t="s">
        <v>34</v>
      </c>
      <c r="D158" t="s">
        <v>824</v>
      </c>
      <c r="E158" t="s">
        <v>253</v>
      </c>
      <c r="F158" t="s">
        <v>34</v>
      </c>
    </row>
    <row r="159" spans="1:6" x14ac:dyDescent="0.35">
      <c r="A159" t="s">
        <v>482</v>
      </c>
      <c r="B159" t="s">
        <v>47</v>
      </c>
      <c r="C159" t="s">
        <v>416</v>
      </c>
      <c r="D159" t="s">
        <v>825</v>
      </c>
      <c r="E159" t="s">
        <v>482</v>
      </c>
      <c r="F159" t="s">
        <v>416</v>
      </c>
    </row>
    <row r="160" spans="1:6" x14ac:dyDescent="0.35">
      <c r="A160" t="s">
        <v>1462</v>
      </c>
      <c r="B160" t="s">
        <v>16</v>
      </c>
      <c r="C160" t="s">
        <v>35</v>
      </c>
      <c r="D160" t="s">
        <v>1578</v>
      </c>
      <c r="E160" t="s">
        <v>1462</v>
      </c>
      <c r="F160" t="s">
        <v>35</v>
      </c>
    </row>
    <row r="161" spans="1:6" x14ac:dyDescent="0.35">
      <c r="A161" t="s">
        <v>180</v>
      </c>
      <c r="B161" t="s">
        <v>47</v>
      </c>
      <c r="C161" t="s">
        <v>35</v>
      </c>
      <c r="D161" t="s">
        <v>826</v>
      </c>
      <c r="E161" t="s">
        <v>180</v>
      </c>
      <c r="F161" t="s">
        <v>35</v>
      </c>
    </row>
    <row r="162" spans="1:6" x14ac:dyDescent="0.35">
      <c r="A162" t="s">
        <v>1461</v>
      </c>
      <c r="B162" t="s">
        <v>47</v>
      </c>
      <c r="C162" t="s">
        <v>18</v>
      </c>
      <c r="D162" t="s">
        <v>1579</v>
      </c>
      <c r="E162" t="s">
        <v>1461</v>
      </c>
      <c r="F162" t="s">
        <v>18</v>
      </c>
    </row>
    <row r="163" spans="1:6" x14ac:dyDescent="0.35">
      <c r="A163" t="s">
        <v>609</v>
      </c>
      <c r="B163" t="s">
        <v>47</v>
      </c>
      <c r="C163" t="s">
        <v>21</v>
      </c>
      <c r="D163" t="s">
        <v>827</v>
      </c>
      <c r="E163" t="s">
        <v>609</v>
      </c>
      <c r="F163" t="s">
        <v>21</v>
      </c>
    </row>
    <row r="164" spans="1:6" x14ac:dyDescent="0.35">
      <c r="A164" t="s">
        <v>160</v>
      </c>
      <c r="B164" t="s">
        <v>47</v>
      </c>
      <c r="C164" t="s">
        <v>102</v>
      </c>
      <c r="D164" t="s">
        <v>828</v>
      </c>
      <c r="E164" t="s">
        <v>160</v>
      </c>
      <c r="F164" t="s">
        <v>102</v>
      </c>
    </row>
    <row r="165" spans="1:6" x14ac:dyDescent="0.35">
      <c r="A165" t="s">
        <v>452</v>
      </c>
      <c r="B165" t="s">
        <v>16</v>
      </c>
      <c r="C165" t="s">
        <v>51</v>
      </c>
      <c r="D165" t="s">
        <v>829</v>
      </c>
      <c r="E165" t="s">
        <v>452</v>
      </c>
      <c r="F165" t="s">
        <v>51</v>
      </c>
    </row>
    <row r="166" spans="1:6" x14ac:dyDescent="0.35">
      <c r="A166" t="s">
        <v>366</v>
      </c>
      <c r="B166" t="s">
        <v>16</v>
      </c>
      <c r="C166" t="s">
        <v>51</v>
      </c>
      <c r="D166" t="s">
        <v>830</v>
      </c>
      <c r="E166" t="s">
        <v>366</v>
      </c>
      <c r="F166" t="s">
        <v>51</v>
      </c>
    </row>
    <row r="167" spans="1:6" x14ac:dyDescent="0.35">
      <c r="A167" t="s">
        <v>215</v>
      </c>
      <c r="B167" t="s">
        <v>16</v>
      </c>
      <c r="C167" t="s">
        <v>51</v>
      </c>
      <c r="D167" t="s">
        <v>831</v>
      </c>
      <c r="E167" t="s">
        <v>215</v>
      </c>
      <c r="F167" t="s">
        <v>51</v>
      </c>
    </row>
    <row r="168" spans="1:6" x14ac:dyDescent="0.35">
      <c r="A168" t="s">
        <v>534</v>
      </c>
      <c r="B168" t="s">
        <v>16</v>
      </c>
      <c r="C168" t="s">
        <v>17</v>
      </c>
      <c r="D168" t="s">
        <v>832</v>
      </c>
      <c r="E168" t="s">
        <v>534</v>
      </c>
      <c r="F168" t="s">
        <v>17</v>
      </c>
    </row>
    <row r="169" spans="1:6" x14ac:dyDescent="0.35">
      <c r="A169" t="s">
        <v>335</v>
      </c>
      <c r="B169" t="s">
        <v>47</v>
      </c>
      <c r="C169" t="s">
        <v>87</v>
      </c>
      <c r="D169" t="s">
        <v>833</v>
      </c>
      <c r="E169" t="s">
        <v>335</v>
      </c>
      <c r="F169" t="s">
        <v>87</v>
      </c>
    </row>
    <row r="170" spans="1:6" x14ac:dyDescent="0.35">
      <c r="A170" t="s">
        <v>1477</v>
      </c>
      <c r="B170" t="s">
        <v>16</v>
      </c>
      <c r="C170" t="s">
        <v>51</v>
      </c>
      <c r="D170" t="s">
        <v>1580</v>
      </c>
      <c r="E170" t="s">
        <v>1477</v>
      </c>
      <c r="F170" t="s">
        <v>51</v>
      </c>
    </row>
    <row r="171" spans="1:6" x14ac:dyDescent="0.35">
      <c r="A171" t="s">
        <v>254</v>
      </c>
      <c r="B171" t="s">
        <v>16</v>
      </c>
      <c r="C171" t="s">
        <v>51</v>
      </c>
      <c r="D171" t="s">
        <v>834</v>
      </c>
      <c r="E171" t="s">
        <v>254</v>
      </c>
      <c r="F171" t="s">
        <v>51</v>
      </c>
    </row>
    <row r="172" spans="1:6" x14ac:dyDescent="0.35">
      <c r="A172" t="s">
        <v>1440</v>
      </c>
      <c r="B172" t="s">
        <v>16</v>
      </c>
      <c r="C172" t="s">
        <v>18</v>
      </c>
      <c r="D172" t="s">
        <v>1581</v>
      </c>
      <c r="E172" t="s">
        <v>1440</v>
      </c>
      <c r="F172" t="s">
        <v>18</v>
      </c>
    </row>
    <row r="173" spans="1:6" x14ac:dyDescent="0.35">
      <c r="A173" t="s">
        <v>1439</v>
      </c>
      <c r="B173" t="s">
        <v>16</v>
      </c>
      <c r="C173" t="s">
        <v>18</v>
      </c>
      <c r="D173" t="s">
        <v>1582</v>
      </c>
      <c r="E173" t="s">
        <v>1439</v>
      </c>
      <c r="F173" t="s">
        <v>18</v>
      </c>
    </row>
    <row r="174" spans="1:6" x14ac:dyDescent="0.35">
      <c r="A174" t="s">
        <v>526</v>
      </c>
      <c r="B174" t="s">
        <v>16</v>
      </c>
      <c r="C174" t="s">
        <v>17</v>
      </c>
      <c r="D174" t="s">
        <v>835</v>
      </c>
      <c r="E174" t="s">
        <v>526</v>
      </c>
      <c r="F174" t="s">
        <v>17</v>
      </c>
    </row>
    <row r="175" spans="1:6" x14ac:dyDescent="0.35">
      <c r="A175" t="s">
        <v>181</v>
      </c>
      <c r="B175" t="s">
        <v>47</v>
      </c>
      <c r="C175" t="s">
        <v>51</v>
      </c>
      <c r="D175" t="s">
        <v>836</v>
      </c>
      <c r="E175" t="s">
        <v>181</v>
      </c>
      <c r="F175" t="s">
        <v>51</v>
      </c>
    </row>
    <row r="176" spans="1:6" x14ac:dyDescent="0.35">
      <c r="A176" t="s">
        <v>1493</v>
      </c>
      <c r="B176" t="s">
        <v>47</v>
      </c>
      <c r="C176" t="s">
        <v>444</v>
      </c>
      <c r="D176" t="s">
        <v>1583</v>
      </c>
      <c r="E176" t="s">
        <v>1493</v>
      </c>
      <c r="F176" t="s">
        <v>444</v>
      </c>
    </row>
    <row r="177" spans="1:6" x14ac:dyDescent="0.35">
      <c r="A177" t="s">
        <v>543</v>
      </c>
      <c r="B177" t="s">
        <v>16</v>
      </c>
      <c r="C177" t="s">
        <v>20</v>
      </c>
      <c r="D177" t="s">
        <v>837</v>
      </c>
      <c r="E177" t="s">
        <v>543</v>
      </c>
      <c r="F177" t="s">
        <v>20</v>
      </c>
    </row>
    <row r="178" spans="1:6" x14ac:dyDescent="0.35">
      <c r="A178" t="s">
        <v>652</v>
      </c>
      <c r="B178" t="s">
        <v>16</v>
      </c>
      <c r="C178" t="s">
        <v>105</v>
      </c>
      <c r="D178" t="s">
        <v>1584</v>
      </c>
      <c r="E178" t="s">
        <v>652</v>
      </c>
      <c r="F178" t="s">
        <v>105</v>
      </c>
    </row>
    <row r="179" spans="1:6" x14ac:dyDescent="0.35">
      <c r="A179" t="s">
        <v>499</v>
      </c>
      <c r="B179" t="s">
        <v>16</v>
      </c>
      <c r="C179" t="s">
        <v>20</v>
      </c>
      <c r="D179" t="s">
        <v>838</v>
      </c>
      <c r="E179" t="s">
        <v>499</v>
      </c>
      <c r="F179" t="s">
        <v>20</v>
      </c>
    </row>
    <row r="180" spans="1:6" x14ac:dyDescent="0.35">
      <c r="A180" t="s">
        <v>1431</v>
      </c>
      <c r="B180" t="s">
        <v>47</v>
      </c>
      <c r="C180" t="s">
        <v>22</v>
      </c>
      <c r="D180" t="s">
        <v>1585</v>
      </c>
      <c r="E180" t="s">
        <v>1431</v>
      </c>
      <c r="F180" t="s">
        <v>22</v>
      </c>
    </row>
    <row r="181" spans="1:6" x14ac:dyDescent="0.35">
      <c r="A181" t="s">
        <v>323</v>
      </c>
      <c r="B181" t="s">
        <v>47</v>
      </c>
      <c r="C181" t="s">
        <v>51</v>
      </c>
      <c r="D181" t="s">
        <v>839</v>
      </c>
      <c r="E181" t="s">
        <v>323</v>
      </c>
      <c r="F181" t="s">
        <v>51</v>
      </c>
    </row>
    <row r="182" spans="1:6" x14ac:dyDescent="0.35">
      <c r="A182" t="s">
        <v>320</v>
      </c>
      <c r="B182" t="s">
        <v>47</v>
      </c>
      <c r="C182" t="s">
        <v>51</v>
      </c>
      <c r="D182" t="s">
        <v>840</v>
      </c>
      <c r="E182" t="s">
        <v>320</v>
      </c>
      <c r="F182" t="s">
        <v>51</v>
      </c>
    </row>
    <row r="183" spans="1:6" x14ac:dyDescent="0.35">
      <c r="A183" t="s">
        <v>334</v>
      </c>
      <c r="B183" t="s">
        <v>47</v>
      </c>
      <c r="C183" t="s">
        <v>87</v>
      </c>
      <c r="D183" t="s">
        <v>841</v>
      </c>
      <c r="E183" t="s">
        <v>334</v>
      </c>
      <c r="F183" t="s">
        <v>87</v>
      </c>
    </row>
    <row r="184" spans="1:6" x14ac:dyDescent="0.35">
      <c r="A184" t="s">
        <v>1464</v>
      </c>
      <c r="B184" t="s">
        <v>16</v>
      </c>
      <c r="C184" t="s">
        <v>22</v>
      </c>
      <c r="D184" t="s">
        <v>1586</v>
      </c>
      <c r="E184" t="s">
        <v>1464</v>
      </c>
      <c r="F184" t="s">
        <v>22</v>
      </c>
    </row>
    <row r="185" spans="1:6" x14ac:dyDescent="0.35">
      <c r="A185" t="s">
        <v>842</v>
      </c>
      <c r="B185" t="s">
        <v>16</v>
      </c>
      <c r="C185" t="s">
        <v>87</v>
      </c>
      <c r="D185" t="s">
        <v>1587</v>
      </c>
      <c r="E185" t="s">
        <v>842</v>
      </c>
      <c r="F185" t="s">
        <v>87</v>
      </c>
    </row>
    <row r="186" spans="1:6" x14ac:dyDescent="0.35">
      <c r="A186" t="s">
        <v>476</v>
      </c>
      <c r="B186" t="s">
        <v>47</v>
      </c>
      <c r="C186" t="s">
        <v>147</v>
      </c>
      <c r="D186" t="s">
        <v>1588</v>
      </c>
      <c r="E186" t="s">
        <v>476</v>
      </c>
      <c r="F186" t="s">
        <v>147</v>
      </c>
    </row>
    <row r="187" spans="1:6" x14ac:dyDescent="0.35">
      <c r="A187" t="s">
        <v>478</v>
      </c>
      <c r="B187" t="s">
        <v>47</v>
      </c>
      <c r="C187" t="s">
        <v>87</v>
      </c>
      <c r="D187" t="s">
        <v>843</v>
      </c>
      <c r="E187" t="s">
        <v>478</v>
      </c>
      <c r="F187" t="s">
        <v>87</v>
      </c>
    </row>
    <row r="188" spans="1:6" x14ac:dyDescent="0.35">
      <c r="A188" t="s">
        <v>517</v>
      </c>
      <c r="B188" t="s">
        <v>16</v>
      </c>
      <c r="C188" t="s">
        <v>518</v>
      </c>
      <c r="D188" t="s">
        <v>844</v>
      </c>
      <c r="E188" t="s">
        <v>517</v>
      </c>
      <c r="F188" t="s">
        <v>518</v>
      </c>
    </row>
    <row r="189" spans="1:6" x14ac:dyDescent="0.35">
      <c r="A189" t="s">
        <v>845</v>
      </c>
      <c r="B189" t="s">
        <v>16</v>
      </c>
      <c r="C189" t="s">
        <v>416</v>
      </c>
      <c r="D189" t="s">
        <v>1589</v>
      </c>
      <c r="E189" t="s">
        <v>845</v>
      </c>
      <c r="F189" t="s">
        <v>416</v>
      </c>
    </row>
    <row r="190" spans="1:6" x14ac:dyDescent="0.35">
      <c r="A190" t="s">
        <v>242</v>
      </c>
      <c r="B190" t="s">
        <v>47</v>
      </c>
      <c r="C190" t="s">
        <v>140</v>
      </c>
      <c r="D190" t="s">
        <v>1590</v>
      </c>
      <c r="E190" t="s">
        <v>242</v>
      </c>
      <c r="F190" t="s">
        <v>140</v>
      </c>
    </row>
    <row r="191" spans="1:6" x14ac:dyDescent="0.35">
      <c r="A191" t="s">
        <v>225</v>
      </c>
      <c r="B191" t="s">
        <v>16</v>
      </c>
      <c r="C191" t="s">
        <v>123</v>
      </c>
      <c r="D191" t="s">
        <v>846</v>
      </c>
      <c r="E191" t="s">
        <v>225</v>
      </c>
      <c r="F191" t="s">
        <v>123</v>
      </c>
    </row>
    <row r="192" spans="1:6" x14ac:dyDescent="0.35">
      <c r="A192" t="s">
        <v>620</v>
      </c>
      <c r="B192" t="s">
        <v>16</v>
      </c>
      <c r="C192" t="s">
        <v>87</v>
      </c>
      <c r="D192" t="s">
        <v>847</v>
      </c>
      <c r="E192" t="s">
        <v>620</v>
      </c>
      <c r="F192" t="s">
        <v>87</v>
      </c>
    </row>
    <row r="193" spans="1:6" x14ac:dyDescent="0.35">
      <c r="A193" t="s">
        <v>848</v>
      </c>
      <c r="B193" t="s">
        <v>16</v>
      </c>
      <c r="C193" t="s">
        <v>87</v>
      </c>
      <c r="D193" t="s">
        <v>1591</v>
      </c>
      <c r="E193" t="s">
        <v>848</v>
      </c>
      <c r="F193" t="s">
        <v>87</v>
      </c>
    </row>
    <row r="194" spans="1:6" x14ac:dyDescent="0.35">
      <c r="A194" t="s">
        <v>165</v>
      </c>
      <c r="B194" t="s">
        <v>47</v>
      </c>
      <c r="C194" t="s">
        <v>48</v>
      </c>
      <c r="D194" t="s">
        <v>849</v>
      </c>
      <c r="E194" t="s">
        <v>165</v>
      </c>
      <c r="F194" t="s">
        <v>48</v>
      </c>
    </row>
    <row r="195" spans="1:6" x14ac:dyDescent="0.35">
      <c r="A195" t="s">
        <v>596</v>
      </c>
      <c r="B195" t="s">
        <v>16</v>
      </c>
      <c r="C195" t="s">
        <v>124</v>
      </c>
      <c r="D195" t="s">
        <v>850</v>
      </c>
      <c r="E195" t="s">
        <v>596</v>
      </c>
      <c r="F195" t="s">
        <v>124</v>
      </c>
    </row>
    <row r="196" spans="1:6" x14ac:dyDescent="0.35">
      <c r="A196" t="s">
        <v>852</v>
      </c>
      <c r="B196" t="s">
        <v>47</v>
      </c>
      <c r="C196" t="s">
        <v>481</v>
      </c>
      <c r="D196" t="s">
        <v>1592</v>
      </c>
      <c r="E196" t="s">
        <v>852</v>
      </c>
      <c r="F196" t="s">
        <v>481</v>
      </c>
    </row>
    <row r="197" spans="1:6" x14ac:dyDescent="0.35">
      <c r="A197" t="s">
        <v>853</v>
      </c>
      <c r="B197" t="s">
        <v>16</v>
      </c>
      <c r="C197" t="s">
        <v>87</v>
      </c>
      <c r="D197" t="s">
        <v>1593</v>
      </c>
      <c r="E197" t="s">
        <v>853</v>
      </c>
      <c r="F197" t="s">
        <v>87</v>
      </c>
    </row>
    <row r="198" spans="1:6" x14ac:dyDescent="0.35">
      <c r="A198" t="s">
        <v>537</v>
      </c>
      <c r="B198" t="s">
        <v>16</v>
      </c>
      <c r="C198" t="s">
        <v>51</v>
      </c>
      <c r="D198" t="s">
        <v>854</v>
      </c>
      <c r="E198" t="s">
        <v>537</v>
      </c>
      <c r="F198" t="s">
        <v>51</v>
      </c>
    </row>
    <row r="199" spans="1:6" x14ac:dyDescent="0.35">
      <c r="A199" t="s">
        <v>1390</v>
      </c>
      <c r="B199" t="s">
        <v>47</v>
      </c>
      <c r="C199" t="s">
        <v>17</v>
      </c>
      <c r="D199" t="s">
        <v>1594</v>
      </c>
      <c r="E199" t="s">
        <v>1390</v>
      </c>
      <c r="F199" t="s">
        <v>17</v>
      </c>
    </row>
    <row r="200" spans="1:6" x14ac:dyDescent="0.35">
      <c r="A200" t="s">
        <v>283</v>
      </c>
      <c r="B200" t="s">
        <v>47</v>
      </c>
      <c r="C200" t="s">
        <v>75</v>
      </c>
      <c r="D200" t="s">
        <v>855</v>
      </c>
      <c r="E200" t="s">
        <v>283</v>
      </c>
      <c r="F200" t="s">
        <v>75</v>
      </c>
    </row>
    <row r="201" spans="1:6" x14ac:dyDescent="0.35">
      <c r="A201" t="s">
        <v>687</v>
      </c>
      <c r="B201" t="s">
        <v>47</v>
      </c>
      <c r="C201" t="s">
        <v>48</v>
      </c>
      <c r="D201" t="s">
        <v>1286</v>
      </c>
      <c r="E201" t="s">
        <v>687</v>
      </c>
      <c r="F201" t="s">
        <v>48</v>
      </c>
    </row>
    <row r="202" spans="1:6" x14ac:dyDescent="0.35">
      <c r="A202" t="s">
        <v>424</v>
      </c>
      <c r="B202" t="s">
        <v>16</v>
      </c>
      <c r="C202" t="s">
        <v>425</v>
      </c>
      <c r="D202" t="s">
        <v>856</v>
      </c>
      <c r="E202" t="s">
        <v>424</v>
      </c>
      <c r="F202" t="s">
        <v>425</v>
      </c>
    </row>
    <row r="203" spans="1:6" x14ac:dyDescent="0.35">
      <c r="A203" t="s">
        <v>155</v>
      </c>
      <c r="B203" t="s">
        <v>47</v>
      </c>
      <c r="C203" t="s">
        <v>17</v>
      </c>
      <c r="D203" t="s">
        <v>857</v>
      </c>
      <c r="E203" t="s">
        <v>155</v>
      </c>
      <c r="F203" t="s">
        <v>17</v>
      </c>
    </row>
    <row r="204" spans="1:6" x14ac:dyDescent="0.35">
      <c r="A204" t="s">
        <v>672</v>
      </c>
      <c r="B204" t="s">
        <v>16</v>
      </c>
      <c r="C204" t="s">
        <v>103</v>
      </c>
      <c r="D204" t="s">
        <v>858</v>
      </c>
      <c r="E204" t="s">
        <v>672</v>
      </c>
      <c r="F204" t="s">
        <v>103</v>
      </c>
    </row>
    <row r="205" spans="1:6" x14ac:dyDescent="0.35">
      <c r="A205" t="s">
        <v>859</v>
      </c>
      <c r="B205" t="s">
        <v>47</v>
      </c>
      <c r="C205" t="s">
        <v>17</v>
      </c>
      <c r="D205" t="s">
        <v>1595</v>
      </c>
      <c r="E205" t="s">
        <v>859</v>
      </c>
      <c r="F205" t="s">
        <v>17</v>
      </c>
    </row>
    <row r="206" spans="1:6" x14ac:dyDescent="0.35">
      <c r="A206" t="s">
        <v>861</v>
      </c>
      <c r="B206" t="s">
        <v>47</v>
      </c>
      <c r="C206" t="s">
        <v>20</v>
      </c>
      <c r="D206" t="s">
        <v>860</v>
      </c>
      <c r="E206" t="s">
        <v>861</v>
      </c>
      <c r="F206" t="s">
        <v>20</v>
      </c>
    </row>
    <row r="207" spans="1:6" x14ac:dyDescent="0.35">
      <c r="A207" t="s">
        <v>862</v>
      </c>
      <c r="B207" t="s">
        <v>16</v>
      </c>
      <c r="C207" t="s">
        <v>30</v>
      </c>
      <c r="D207" t="s">
        <v>1596</v>
      </c>
      <c r="E207" t="s">
        <v>862</v>
      </c>
      <c r="F207" t="s">
        <v>30</v>
      </c>
    </row>
    <row r="208" spans="1:6" x14ac:dyDescent="0.35">
      <c r="A208" t="s">
        <v>863</v>
      </c>
      <c r="B208" t="s">
        <v>16</v>
      </c>
      <c r="C208" t="s">
        <v>57</v>
      </c>
      <c r="D208" t="s">
        <v>1597</v>
      </c>
      <c r="E208" t="s">
        <v>863</v>
      </c>
      <c r="F208" t="s">
        <v>57</v>
      </c>
    </row>
    <row r="209" spans="1:6" x14ac:dyDescent="0.35">
      <c r="A209" t="s">
        <v>864</v>
      </c>
      <c r="B209" t="s">
        <v>16</v>
      </c>
      <c r="C209" t="s">
        <v>75</v>
      </c>
      <c r="D209" t="s">
        <v>1598</v>
      </c>
      <c r="E209" t="s">
        <v>864</v>
      </c>
      <c r="F209" t="s">
        <v>75</v>
      </c>
    </row>
    <row r="210" spans="1:6" x14ac:dyDescent="0.35">
      <c r="A210" t="s">
        <v>322</v>
      </c>
      <c r="B210" t="s">
        <v>47</v>
      </c>
      <c r="C210" t="s">
        <v>51</v>
      </c>
      <c r="D210" t="s">
        <v>865</v>
      </c>
      <c r="E210" t="s">
        <v>322</v>
      </c>
      <c r="F210" t="s">
        <v>51</v>
      </c>
    </row>
    <row r="211" spans="1:6" x14ac:dyDescent="0.35">
      <c r="A211" t="s">
        <v>483</v>
      </c>
      <c r="B211" t="s">
        <v>47</v>
      </c>
      <c r="C211" t="s">
        <v>19</v>
      </c>
      <c r="D211" t="s">
        <v>1599</v>
      </c>
      <c r="E211" t="s">
        <v>483</v>
      </c>
      <c r="F211" t="s">
        <v>19</v>
      </c>
    </row>
    <row r="212" spans="1:6" x14ac:dyDescent="0.35">
      <c r="A212" t="s">
        <v>331</v>
      </c>
      <c r="B212" t="s">
        <v>47</v>
      </c>
      <c r="C212" t="s">
        <v>87</v>
      </c>
      <c r="D212" t="s">
        <v>866</v>
      </c>
      <c r="E212" t="s">
        <v>331</v>
      </c>
      <c r="F212" t="s">
        <v>87</v>
      </c>
    </row>
    <row r="213" spans="1:6" x14ac:dyDescent="0.35">
      <c r="A213" t="s">
        <v>264</v>
      </c>
      <c r="B213" t="s">
        <v>16</v>
      </c>
      <c r="C213" t="s">
        <v>75</v>
      </c>
      <c r="D213" t="s">
        <v>867</v>
      </c>
      <c r="E213" t="s">
        <v>264</v>
      </c>
      <c r="F213" t="s">
        <v>75</v>
      </c>
    </row>
    <row r="214" spans="1:6" x14ac:dyDescent="0.35">
      <c r="A214" t="s">
        <v>868</v>
      </c>
      <c r="B214" t="s">
        <v>16</v>
      </c>
      <c r="C214" t="s">
        <v>17</v>
      </c>
      <c r="D214" t="s">
        <v>1600</v>
      </c>
      <c r="E214" t="s">
        <v>868</v>
      </c>
      <c r="F214" t="s">
        <v>17</v>
      </c>
    </row>
    <row r="215" spans="1:6" x14ac:dyDescent="0.35">
      <c r="A215" t="s">
        <v>1445</v>
      </c>
      <c r="B215" t="s">
        <v>47</v>
      </c>
      <c r="C215" t="s">
        <v>18</v>
      </c>
      <c r="D215" t="s">
        <v>1601</v>
      </c>
      <c r="E215" t="s">
        <v>1445</v>
      </c>
      <c r="F215" t="s">
        <v>18</v>
      </c>
    </row>
    <row r="216" spans="1:6" x14ac:dyDescent="0.35">
      <c r="A216" t="s">
        <v>510</v>
      </c>
      <c r="B216" t="s">
        <v>16</v>
      </c>
      <c r="C216" t="s">
        <v>86</v>
      </c>
      <c r="D216" t="s">
        <v>869</v>
      </c>
      <c r="E216" t="s">
        <v>510</v>
      </c>
      <c r="F216" t="s">
        <v>86</v>
      </c>
    </row>
    <row r="217" spans="1:6" x14ac:dyDescent="0.35">
      <c r="A217" t="s">
        <v>871</v>
      </c>
      <c r="B217" t="s">
        <v>47</v>
      </c>
      <c r="C217" t="s">
        <v>19</v>
      </c>
      <c r="D217" t="s">
        <v>870</v>
      </c>
      <c r="E217" t="s">
        <v>871</v>
      </c>
      <c r="F217" t="s">
        <v>19</v>
      </c>
    </row>
    <row r="218" spans="1:6" x14ac:dyDescent="0.35">
      <c r="A218" t="s">
        <v>358</v>
      </c>
      <c r="B218" t="s">
        <v>47</v>
      </c>
      <c r="C218" t="s">
        <v>51</v>
      </c>
      <c r="D218" t="s">
        <v>872</v>
      </c>
      <c r="E218" t="s">
        <v>358</v>
      </c>
      <c r="F218" t="s">
        <v>51</v>
      </c>
    </row>
    <row r="219" spans="1:6" x14ac:dyDescent="0.35">
      <c r="A219" t="s">
        <v>1447</v>
      </c>
      <c r="B219" t="s">
        <v>47</v>
      </c>
      <c r="C219" t="s">
        <v>18</v>
      </c>
      <c r="D219" t="s">
        <v>1602</v>
      </c>
      <c r="E219" t="s">
        <v>1447</v>
      </c>
      <c r="F219" t="s">
        <v>18</v>
      </c>
    </row>
    <row r="220" spans="1:6" x14ac:dyDescent="0.35">
      <c r="A220" t="s">
        <v>177</v>
      </c>
      <c r="B220" t="s">
        <v>47</v>
      </c>
      <c r="C220" t="s">
        <v>86</v>
      </c>
      <c r="D220" t="s">
        <v>873</v>
      </c>
      <c r="E220" t="s">
        <v>177</v>
      </c>
      <c r="F220" t="s">
        <v>86</v>
      </c>
    </row>
    <row r="221" spans="1:6" x14ac:dyDescent="0.35">
      <c r="A221" t="s">
        <v>408</v>
      </c>
      <c r="B221" t="s">
        <v>47</v>
      </c>
      <c r="C221" t="s">
        <v>83</v>
      </c>
      <c r="D221" t="s">
        <v>874</v>
      </c>
      <c r="E221" t="s">
        <v>408</v>
      </c>
      <c r="F221" t="s">
        <v>83</v>
      </c>
    </row>
    <row r="222" spans="1:6" x14ac:dyDescent="0.35">
      <c r="A222" t="s">
        <v>247</v>
      </c>
      <c r="B222" t="s">
        <v>47</v>
      </c>
      <c r="C222" t="s">
        <v>51</v>
      </c>
      <c r="D222" t="s">
        <v>875</v>
      </c>
      <c r="E222" t="s">
        <v>247</v>
      </c>
      <c r="F222" t="s">
        <v>51</v>
      </c>
    </row>
    <row r="223" spans="1:6" x14ac:dyDescent="0.35">
      <c r="A223" t="s">
        <v>877</v>
      </c>
      <c r="B223" t="s">
        <v>47</v>
      </c>
      <c r="C223" t="s">
        <v>20</v>
      </c>
      <c r="D223" t="s">
        <v>876</v>
      </c>
      <c r="E223" t="s">
        <v>877</v>
      </c>
      <c r="F223" t="s">
        <v>20</v>
      </c>
    </row>
    <row r="224" spans="1:6" x14ac:dyDescent="0.35">
      <c r="A224" t="s">
        <v>231</v>
      </c>
      <c r="B224" t="s">
        <v>16</v>
      </c>
      <c r="C224" t="s">
        <v>20</v>
      </c>
      <c r="D224" t="s">
        <v>878</v>
      </c>
      <c r="E224" t="s">
        <v>231</v>
      </c>
      <c r="F224" t="s">
        <v>20</v>
      </c>
    </row>
    <row r="225" spans="1:6" x14ac:dyDescent="0.35">
      <c r="A225" t="s">
        <v>879</v>
      </c>
      <c r="B225" t="s">
        <v>16</v>
      </c>
      <c r="C225" t="s">
        <v>86</v>
      </c>
      <c r="D225" t="s">
        <v>1603</v>
      </c>
      <c r="E225" t="s">
        <v>879</v>
      </c>
      <c r="F225" t="s">
        <v>86</v>
      </c>
    </row>
    <row r="226" spans="1:6" x14ac:dyDescent="0.35">
      <c r="A226" t="s">
        <v>385</v>
      </c>
      <c r="B226" t="s">
        <v>16</v>
      </c>
      <c r="C226" t="s">
        <v>30</v>
      </c>
      <c r="D226" t="s">
        <v>880</v>
      </c>
      <c r="E226" t="s">
        <v>385</v>
      </c>
      <c r="F226" t="s">
        <v>30</v>
      </c>
    </row>
    <row r="227" spans="1:6" x14ac:dyDescent="0.35">
      <c r="A227" t="s">
        <v>680</v>
      </c>
      <c r="B227" t="s">
        <v>47</v>
      </c>
      <c r="C227" t="s">
        <v>19</v>
      </c>
      <c r="D227" t="s">
        <v>881</v>
      </c>
      <c r="E227" t="s">
        <v>680</v>
      </c>
      <c r="F227" t="s">
        <v>19</v>
      </c>
    </row>
    <row r="228" spans="1:6" x14ac:dyDescent="0.35">
      <c r="A228" t="s">
        <v>1327</v>
      </c>
      <c r="B228" t="s">
        <v>47</v>
      </c>
      <c r="C228" t="s">
        <v>48</v>
      </c>
      <c r="D228" t="s">
        <v>1604</v>
      </c>
      <c r="E228" t="s">
        <v>1327</v>
      </c>
      <c r="F228" t="s">
        <v>48</v>
      </c>
    </row>
    <row r="229" spans="1:6" x14ac:dyDescent="0.35">
      <c r="A229" t="s">
        <v>588</v>
      </c>
      <c r="B229" t="s">
        <v>47</v>
      </c>
      <c r="C229" t="s">
        <v>56</v>
      </c>
      <c r="D229" t="s">
        <v>882</v>
      </c>
      <c r="E229" t="s">
        <v>588</v>
      </c>
      <c r="F229" t="s">
        <v>56</v>
      </c>
    </row>
    <row r="230" spans="1:6" x14ac:dyDescent="0.35">
      <c r="A230" t="s">
        <v>222</v>
      </c>
      <c r="B230" t="s">
        <v>16</v>
      </c>
      <c r="C230" t="s">
        <v>121</v>
      </c>
      <c r="D230" t="s">
        <v>1605</v>
      </c>
      <c r="E230" t="s">
        <v>222</v>
      </c>
      <c r="F230" t="s">
        <v>121</v>
      </c>
    </row>
    <row r="231" spans="1:6" x14ac:dyDescent="0.35">
      <c r="A231" t="s">
        <v>1444</v>
      </c>
      <c r="B231" t="s">
        <v>47</v>
      </c>
      <c r="C231" t="s">
        <v>18</v>
      </c>
      <c r="D231" t="s">
        <v>1606</v>
      </c>
      <c r="E231" t="s">
        <v>1444</v>
      </c>
      <c r="F231" t="s">
        <v>18</v>
      </c>
    </row>
    <row r="232" spans="1:6" x14ac:dyDescent="0.35">
      <c r="A232" t="s">
        <v>200</v>
      </c>
      <c r="B232" t="s">
        <v>16</v>
      </c>
      <c r="C232" t="s">
        <v>56</v>
      </c>
      <c r="D232" t="s">
        <v>883</v>
      </c>
      <c r="E232" t="s">
        <v>200</v>
      </c>
      <c r="F232" t="s">
        <v>56</v>
      </c>
    </row>
    <row r="233" spans="1:6" x14ac:dyDescent="0.35">
      <c r="A233" t="s">
        <v>487</v>
      </c>
      <c r="B233" t="s">
        <v>47</v>
      </c>
      <c r="C233" t="s">
        <v>17</v>
      </c>
      <c r="D233" t="s">
        <v>884</v>
      </c>
      <c r="E233" t="s">
        <v>487</v>
      </c>
      <c r="F233" t="s">
        <v>17</v>
      </c>
    </row>
    <row r="234" spans="1:6" x14ac:dyDescent="0.35">
      <c r="A234" t="s">
        <v>415</v>
      </c>
      <c r="B234" t="s">
        <v>47</v>
      </c>
      <c r="C234" t="s">
        <v>51</v>
      </c>
      <c r="D234" t="s">
        <v>885</v>
      </c>
      <c r="E234" t="s">
        <v>415</v>
      </c>
      <c r="F234" t="s">
        <v>51</v>
      </c>
    </row>
    <row r="235" spans="1:6" x14ac:dyDescent="0.35">
      <c r="A235" t="s">
        <v>1442</v>
      </c>
      <c r="B235" t="s">
        <v>47</v>
      </c>
      <c r="C235" t="s">
        <v>18</v>
      </c>
      <c r="D235" t="s">
        <v>1607</v>
      </c>
      <c r="E235" t="s">
        <v>1442</v>
      </c>
      <c r="F235" t="s">
        <v>18</v>
      </c>
    </row>
    <row r="236" spans="1:6" x14ac:dyDescent="0.35">
      <c r="A236" t="s">
        <v>524</v>
      </c>
      <c r="B236" t="s">
        <v>16</v>
      </c>
      <c r="C236" t="s">
        <v>17</v>
      </c>
      <c r="D236" t="s">
        <v>886</v>
      </c>
      <c r="E236" t="s">
        <v>524</v>
      </c>
      <c r="F236" t="s">
        <v>17</v>
      </c>
    </row>
    <row r="237" spans="1:6" x14ac:dyDescent="0.35">
      <c r="A237" t="s">
        <v>565</v>
      </c>
      <c r="B237" t="s">
        <v>16</v>
      </c>
      <c r="C237" t="s">
        <v>17</v>
      </c>
      <c r="D237" t="s">
        <v>887</v>
      </c>
      <c r="E237" t="s">
        <v>565</v>
      </c>
      <c r="F237" t="s">
        <v>17</v>
      </c>
    </row>
    <row r="238" spans="1:6" x14ac:dyDescent="0.35">
      <c r="A238" t="s">
        <v>683</v>
      </c>
      <c r="B238" t="s">
        <v>16</v>
      </c>
      <c r="C238" t="s">
        <v>35</v>
      </c>
      <c r="D238" t="s">
        <v>1092</v>
      </c>
      <c r="E238" t="s">
        <v>683</v>
      </c>
      <c r="F238" t="s">
        <v>35</v>
      </c>
    </row>
    <row r="239" spans="1:6" x14ac:dyDescent="0.35">
      <c r="A239" t="s">
        <v>1453</v>
      </c>
      <c r="B239" t="s">
        <v>16</v>
      </c>
      <c r="C239" t="s">
        <v>18</v>
      </c>
      <c r="D239" t="s">
        <v>1608</v>
      </c>
      <c r="E239" t="s">
        <v>1453</v>
      </c>
      <c r="F239" t="s">
        <v>18</v>
      </c>
    </row>
    <row r="240" spans="1:6" x14ac:dyDescent="0.35">
      <c r="A240" t="s">
        <v>514</v>
      </c>
      <c r="B240" t="s">
        <v>16</v>
      </c>
      <c r="C240" t="s">
        <v>515</v>
      </c>
      <c r="D240" t="s">
        <v>888</v>
      </c>
      <c r="E240" t="s">
        <v>514</v>
      </c>
      <c r="F240" t="s">
        <v>515</v>
      </c>
    </row>
    <row r="241" spans="1:6" x14ac:dyDescent="0.35">
      <c r="A241" t="s">
        <v>377</v>
      </c>
      <c r="B241" t="s">
        <v>16</v>
      </c>
      <c r="C241" t="s">
        <v>51</v>
      </c>
      <c r="D241" t="s">
        <v>889</v>
      </c>
      <c r="E241" t="s">
        <v>377</v>
      </c>
      <c r="F241" t="s">
        <v>51</v>
      </c>
    </row>
    <row r="242" spans="1:6" x14ac:dyDescent="0.35">
      <c r="A242" t="s">
        <v>407</v>
      </c>
      <c r="B242" t="s">
        <v>47</v>
      </c>
      <c r="C242" t="s">
        <v>20</v>
      </c>
      <c r="D242" t="s">
        <v>890</v>
      </c>
      <c r="E242" t="s">
        <v>407</v>
      </c>
      <c r="F242" t="s">
        <v>20</v>
      </c>
    </row>
    <row r="243" spans="1:6" x14ac:dyDescent="0.35">
      <c r="A243" t="s">
        <v>591</v>
      </c>
      <c r="B243" t="s">
        <v>16</v>
      </c>
      <c r="C243" t="s">
        <v>48</v>
      </c>
      <c r="D243" t="s">
        <v>891</v>
      </c>
      <c r="E243" t="s">
        <v>591</v>
      </c>
      <c r="F243" t="s">
        <v>48</v>
      </c>
    </row>
    <row r="244" spans="1:6" x14ac:dyDescent="0.35">
      <c r="A244" t="s">
        <v>1458</v>
      </c>
      <c r="B244" t="s">
        <v>16</v>
      </c>
      <c r="C244" t="s">
        <v>18</v>
      </c>
      <c r="D244" t="s">
        <v>1609</v>
      </c>
      <c r="E244" t="s">
        <v>1458</v>
      </c>
      <c r="F244" t="s">
        <v>18</v>
      </c>
    </row>
    <row r="245" spans="1:6" x14ac:dyDescent="0.35">
      <c r="A245" t="s">
        <v>381</v>
      </c>
      <c r="B245" t="s">
        <v>16</v>
      </c>
      <c r="C245" t="s">
        <v>30</v>
      </c>
      <c r="D245" t="s">
        <v>1610</v>
      </c>
      <c r="E245" t="s">
        <v>381</v>
      </c>
      <c r="F245" t="s">
        <v>30</v>
      </c>
    </row>
    <row r="246" spans="1:6" x14ac:dyDescent="0.35">
      <c r="A246" t="s">
        <v>169</v>
      </c>
      <c r="B246" t="s">
        <v>47</v>
      </c>
      <c r="C246" t="s">
        <v>22</v>
      </c>
      <c r="D246" t="s">
        <v>892</v>
      </c>
      <c r="E246" t="s">
        <v>169</v>
      </c>
      <c r="F246" t="s">
        <v>22</v>
      </c>
    </row>
    <row r="247" spans="1:6" x14ac:dyDescent="0.35">
      <c r="A247" t="s">
        <v>647</v>
      </c>
      <c r="B247" t="s">
        <v>16</v>
      </c>
      <c r="C247" t="s">
        <v>20</v>
      </c>
      <c r="D247" t="s">
        <v>893</v>
      </c>
      <c r="E247" t="s">
        <v>647</v>
      </c>
      <c r="F247" t="s">
        <v>20</v>
      </c>
    </row>
    <row r="248" spans="1:6" x14ac:dyDescent="0.35">
      <c r="A248" t="s">
        <v>1372</v>
      </c>
      <c r="B248" t="s">
        <v>16</v>
      </c>
      <c r="C248" t="s">
        <v>51</v>
      </c>
      <c r="D248" t="s">
        <v>1611</v>
      </c>
      <c r="E248" t="s">
        <v>1372</v>
      </c>
      <c r="F248" t="s">
        <v>51</v>
      </c>
    </row>
    <row r="249" spans="1:6" x14ac:dyDescent="0.35">
      <c r="A249" t="s">
        <v>460</v>
      </c>
      <c r="B249" t="s">
        <v>47</v>
      </c>
      <c r="C249" t="s">
        <v>17</v>
      </c>
      <c r="D249" t="s">
        <v>894</v>
      </c>
      <c r="E249" t="s">
        <v>460</v>
      </c>
      <c r="F249" t="s">
        <v>17</v>
      </c>
    </row>
    <row r="250" spans="1:6" x14ac:dyDescent="0.35">
      <c r="A250" t="s">
        <v>582</v>
      </c>
      <c r="B250" t="s">
        <v>47</v>
      </c>
      <c r="C250" t="s">
        <v>119</v>
      </c>
      <c r="D250" t="s">
        <v>1612</v>
      </c>
      <c r="E250" t="s">
        <v>582</v>
      </c>
      <c r="F250" t="s">
        <v>119</v>
      </c>
    </row>
    <row r="251" spans="1:6" x14ac:dyDescent="0.35">
      <c r="A251" t="s">
        <v>380</v>
      </c>
      <c r="B251" t="s">
        <v>16</v>
      </c>
      <c r="C251" t="s">
        <v>30</v>
      </c>
      <c r="D251" t="s">
        <v>895</v>
      </c>
      <c r="E251" t="s">
        <v>380</v>
      </c>
      <c r="F251" t="s">
        <v>30</v>
      </c>
    </row>
    <row r="252" spans="1:6" x14ac:dyDescent="0.35">
      <c r="A252" t="s">
        <v>164</v>
      </c>
      <c r="B252" t="s">
        <v>47</v>
      </c>
      <c r="C252" t="s">
        <v>17</v>
      </c>
      <c r="D252" t="s">
        <v>896</v>
      </c>
      <c r="E252" t="s">
        <v>164</v>
      </c>
      <c r="F252" t="s">
        <v>17</v>
      </c>
    </row>
    <row r="253" spans="1:6" x14ac:dyDescent="0.35">
      <c r="A253" t="s">
        <v>897</v>
      </c>
      <c r="B253" t="s">
        <v>47</v>
      </c>
      <c r="C253" t="s">
        <v>75</v>
      </c>
      <c r="D253" t="s">
        <v>1613</v>
      </c>
      <c r="E253" t="s">
        <v>897</v>
      </c>
      <c r="F253" t="s">
        <v>75</v>
      </c>
    </row>
    <row r="254" spans="1:6" x14ac:dyDescent="0.35">
      <c r="A254" t="s">
        <v>664</v>
      </c>
      <c r="B254" t="s">
        <v>16</v>
      </c>
      <c r="C254" t="s">
        <v>665</v>
      </c>
      <c r="D254" t="s">
        <v>898</v>
      </c>
      <c r="E254" t="s">
        <v>664</v>
      </c>
      <c r="F254" t="s">
        <v>665</v>
      </c>
    </row>
    <row r="255" spans="1:6" x14ac:dyDescent="0.35">
      <c r="A255" t="s">
        <v>899</v>
      </c>
      <c r="B255" t="s">
        <v>16</v>
      </c>
      <c r="C255" t="s">
        <v>686</v>
      </c>
      <c r="D255" t="s">
        <v>1614</v>
      </c>
      <c r="E255" t="s">
        <v>899</v>
      </c>
      <c r="F255" t="s">
        <v>686</v>
      </c>
    </row>
    <row r="256" spans="1:6" x14ac:dyDescent="0.35">
      <c r="A256" t="s">
        <v>243</v>
      </c>
      <c r="B256" t="s">
        <v>47</v>
      </c>
      <c r="C256" t="s">
        <v>19</v>
      </c>
      <c r="D256" t="s">
        <v>900</v>
      </c>
      <c r="E256" t="s">
        <v>243</v>
      </c>
      <c r="F256" t="s">
        <v>19</v>
      </c>
    </row>
    <row r="257" spans="1:6" x14ac:dyDescent="0.35">
      <c r="A257" t="s">
        <v>901</v>
      </c>
      <c r="B257" t="s">
        <v>16</v>
      </c>
      <c r="C257" t="s">
        <v>19</v>
      </c>
      <c r="D257" t="s">
        <v>1615</v>
      </c>
      <c r="E257" t="s">
        <v>901</v>
      </c>
      <c r="F257" t="s">
        <v>19</v>
      </c>
    </row>
    <row r="258" spans="1:6" x14ac:dyDescent="0.35">
      <c r="A258" t="s">
        <v>575</v>
      </c>
      <c r="B258" t="s">
        <v>16</v>
      </c>
      <c r="C258" t="s">
        <v>56</v>
      </c>
      <c r="D258" t="s">
        <v>902</v>
      </c>
      <c r="E258" t="s">
        <v>575</v>
      </c>
      <c r="F258" t="s">
        <v>56</v>
      </c>
    </row>
    <row r="259" spans="1:6" x14ac:dyDescent="0.35">
      <c r="A259" t="s">
        <v>263</v>
      </c>
      <c r="B259" t="s">
        <v>16</v>
      </c>
      <c r="C259" t="s">
        <v>30</v>
      </c>
      <c r="D259" t="s">
        <v>903</v>
      </c>
      <c r="E259" t="s">
        <v>263</v>
      </c>
      <c r="F259" t="s">
        <v>30</v>
      </c>
    </row>
    <row r="260" spans="1:6" x14ac:dyDescent="0.35">
      <c r="A260" t="s">
        <v>431</v>
      </c>
      <c r="B260" t="s">
        <v>16</v>
      </c>
      <c r="C260" t="s">
        <v>17</v>
      </c>
      <c r="D260" t="s">
        <v>904</v>
      </c>
      <c r="E260" t="s">
        <v>431</v>
      </c>
      <c r="F260" t="s">
        <v>17</v>
      </c>
    </row>
    <row r="261" spans="1:6" x14ac:dyDescent="0.35">
      <c r="A261" t="s">
        <v>1354</v>
      </c>
      <c r="B261" t="s">
        <v>16</v>
      </c>
      <c r="C261" t="s">
        <v>17</v>
      </c>
      <c r="D261" t="s">
        <v>1616</v>
      </c>
      <c r="E261" t="s">
        <v>1354</v>
      </c>
      <c r="F261" t="s">
        <v>17</v>
      </c>
    </row>
    <row r="262" spans="1:6" x14ac:dyDescent="0.35">
      <c r="A262" t="s">
        <v>658</v>
      </c>
      <c r="B262" t="s">
        <v>16</v>
      </c>
      <c r="C262" t="s">
        <v>83</v>
      </c>
      <c r="D262" t="s">
        <v>905</v>
      </c>
      <c r="E262" t="s">
        <v>658</v>
      </c>
      <c r="F262" t="s">
        <v>83</v>
      </c>
    </row>
    <row r="263" spans="1:6" x14ac:dyDescent="0.35">
      <c r="A263" t="s">
        <v>1337</v>
      </c>
      <c r="B263" t="s">
        <v>16</v>
      </c>
      <c r="C263" t="s">
        <v>83</v>
      </c>
      <c r="D263" t="s">
        <v>1617</v>
      </c>
      <c r="E263" t="s">
        <v>1337</v>
      </c>
      <c r="F263" t="s">
        <v>83</v>
      </c>
    </row>
    <row r="264" spans="1:6" x14ac:dyDescent="0.35">
      <c r="A264" t="s">
        <v>262</v>
      </c>
      <c r="B264" t="s">
        <v>16</v>
      </c>
      <c r="C264" t="s">
        <v>140</v>
      </c>
      <c r="D264" t="s">
        <v>907</v>
      </c>
      <c r="E264" t="s">
        <v>262</v>
      </c>
      <c r="F264" t="s">
        <v>140</v>
      </c>
    </row>
    <row r="265" spans="1:6" x14ac:dyDescent="0.35">
      <c r="A265" t="s">
        <v>906</v>
      </c>
      <c r="B265" t="s">
        <v>16</v>
      </c>
      <c r="C265" t="s">
        <v>140</v>
      </c>
      <c r="D265" t="s">
        <v>1618</v>
      </c>
      <c r="E265" t="s">
        <v>906</v>
      </c>
      <c r="F265" t="s">
        <v>140</v>
      </c>
    </row>
    <row r="266" spans="1:6" x14ac:dyDescent="0.35">
      <c r="A266" t="s">
        <v>908</v>
      </c>
      <c r="B266" t="s">
        <v>16</v>
      </c>
      <c r="C266" t="s">
        <v>87</v>
      </c>
      <c r="D266" t="s">
        <v>1619</v>
      </c>
      <c r="E266" t="s">
        <v>908</v>
      </c>
      <c r="F266" t="s">
        <v>87</v>
      </c>
    </row>
    <row r="267" spans="1:6" x14ac:dyDescent="0.35">
      <c r="A267" t="s">
        <v>909</v>
      </c>
      <c r="B267" t="s">
        <v>47</v>
      </c>
      <c r="C267" t="s">
        <v>87</v>
      </c>
      <c r="D267" t="s">
        <v>1620</v>
      </c>
      <c r="E267" t="s">
        <v>909</v>
      </c>
      <c r="F267" t="s">
        <v>87</v>
      </c>
    </row>
    <row r="268" spans="1:6" x14ac:dyDescent="0.35">
      <c r="A268" t="s">
        <v>678</v>
      </c>
      <c r="B268" t="s">
        <v>47</v>
      </c>
      <c r="C268" t="s">
        <v>103</v>
      </c>
      <c r="D268" t="s">
        <v>910</v>
      </c>
      <c r="E268" t="s">
        <v>678</v>
      </c>
      <c r="F268" t="s">
        <v>103</v>
      </c>
    </row>
    <row r="269" spans="1:6" x14ac:dyDescent="0.35">
      <c r="A269" t="s">
        <v>1355</v>
      </c>
      <c r="B269" t="s">
        <v>16</v>
      </c>
      <c r="C269" t="s">
        <v>18</v>
      </c>
      <c r="D269" t="s">
        <v>1621</v>
      </c>
      <c r="E269" t="s">
        <v>1355</v>
      </c>
      <c r="F269" t="s">
        <v>18</v>
      </c>
    </row>
    <row r="270" spans="1:6" x14ac:dyDescent="0.35">
      <c r="A270" t="s">
        <v>1379</v>
      </c>
      <c r="B270" t="s">
        <v>16</v>
      </c>
      <c r="C270" t="s">
        <v>55</v>
      </c>
      <c r="D270" t="s">
        <v>1622</v>
      </c>
      <c r="E270" t="s">
        <v>1379</v>
      </c>
      <c r="F270" t="s">
        <v>55</v>
      </c>
    </row>
    <row r="271" spans="1:6" x14ac:dyDescent="0.35">
      <c r="A271" t="s">
        <v>1374</v>
      </c>
      <c r="B271" t="s">
        <v>16</v>
      </c>
      <c r="C271" t="s">
        <v>75</v>
      </c>
      <c r="D271" t="s">
        <v>1623</v>
      </c>
      <c r="E271" t="s">
        <v>1374</v>
      </c>
      <c r="F271" t="s">
        <v>75</v>
      </c>
    </row>
    <row r="272" spans="1:6" x14ac:dyDescent="0.35">
      <c r="A272" t="s">
        <v>666</v>
      </c>
      <c r="B272" t="s">
        <v>16</v>
      </c>
      <c r="C272" t="s">
        <v>19</v>
      </c>
      <c r="D272" t="s">
        <v>911</v>
      </c>
      <c r="E272" t="s">
        <v>666</v>
      </c>
      <c r="F272" t="s">
        <v>19</v>
      </c>
    </row>
    <row r="273" spans="1:6" x14ac:dyDescent="0.35">
      <c r="A273" t="s">
        <v>912</v>
      </c>
      <c r="B273" t="s">
        <v>16</v>
      </c>
      <c r="C273" t="s">
        <v>498</v>
      </c>
      <c r="D273" t="s">
        <v>1624</v>
      </c>
      <c r="E273" t="s">
        <v>912</v>
      </c>
      <c r="F273" t="s">
        <v>498</v>
      </c>
    </row>
    <row r="274" spans="1:6" x14ac:dyDescent="0.35">
      <c r="A274" t="s">
        <v>144</v>
      </c>
      <c r="B274" t="s">
        <v>47</v>
      </c>
      <c r="C274" t="s">
        <v>48</v>
      </c>
      <c r="D274" t="s">
        <v>913</v>
      </c>
      <c r="E274" t="s">
        <v>144</v>
      </c>
      <c r="F274" t="s">
        <v>48</v>
      </c>
    </row>
    <row r="275" spans="1:6" x14ac:dyDescent="0.35">
      <c r="A275" t="s">
        <v>1404</v>
      </c>
      <c r="B275" t="s">
        <v>47</v>
      </c>
      <c r="C275" t="s">
        <v>1405</v>
      </c>
      <c r="D275" t="s">
        <v>1625</v>
      </c>
      <c r="E275" t="s">
        <v>1404</v>
      </c>
      <c r="F275" t="s">
        <v>1405</v>
      </c>
    </row>
    <row r="276" spans="1:6" x14ac:dyDescent="0.35">
      <c r="A276" t="s">
        <v>494</v>
      </c>
      <c r="B276" t="s">
        <v>16</v>
      </c>
      <c r="C276" t="s">
        <v>18</v>
      </c>
      <c r="D276" t="s">
        <v>914</v>
      </c>
      <c r="E276" t="s">
        <v>494</v>
      </c>
      <c r="F276" t="s">
        <v>18</v>
      </c>
    </row>
    <row r="277" spans="1:6" x14ac:dyDescent="0.35">
      <c r="A277" t="s">
        <v>298</v>
      </c>
      <c r="B277" t="s">
        <v>47</v>
      </c>
      <c r="C277" t="s">
        <v>55</v>
      </c>
      <c r="D277" t="s">
        <v>1626</v>
      </c>
      <c r="E277" t="s">
        <v>298</v>
      </c>
      <c r="F277" t="s">
        <v>55</v>
      </c>
    </row>
    <row r="278" spans="1:6" x14ac:dyDescent="0.35">
      <c r="A278" t="s">
        <v>485</v>
      </c>
      <c r="B278" t="s">
        <v>47</v>
      </c>
      <c r="C278" t="s">
        <v>486</v>
      </c>
      <c r="D278" t="s">
        <v>1627</v>
      </c>
      <c r="E278" t="s">
        <v>485</v>
      </c>
      <c r="F278" t="s">
        <v>486</v>
      </c>
    </row>
    <row r="279" spans="1:6" x14ac:dyDescent="0.35">
      <c r="A279" t="s">
        <v>167</v>
      </c>
      <c r="B279" t="s">
        <v>47</v>
      </c>
      <c r="C279" t="s">
        <v>19</v>
      </c>
      <c r="D279" t="s">
        <v>916</v>
      </c>
      <c r="E279" t="s">
        <v>167</v>
      </c>
      <c r="F279" t="s">
        <v>19</v>
      </c>
    </row>
    <row r="280" spans="1:6" x14ac:dyDescent="0.35">
      <c r="A280" t="s">
        <v>604</v>
      </c>
      <c r="B280" t="s">
        <v>47</v>
      </c>
      <c r="C280" t="s">
        <v>475</v>
      </c>
      <c r="D280" t="s">
        <v>917</v>
      </c>
      <c r="E280" t="s">
        <v>604</v>
      </c>
      <c r="F280" t="s">
        <v>475</v>
      </c>
    </row>
    <row r="281" spans="1:6" x14ac:dyDescent="0.35">
      <c r="A281" t="s">
        <v>918</v>
      </c>
      <c r="B281" t="s">
        <v>16</v>
      </c>
      <c r="C281" t="s">
        <v>118</v>
      </c>
      <c r="D281" t="s">
        <v>1628</v>
      </c>
      <c r="E281" t="s">
        <v>918</v>
      </c>
      <c r="F281" t="s">
        <v>118</v>
      </c>
    </row>
    <row r="282" spans="1:6" x14ac:dyDescent="0.35">
      <c r="A282" t="s">
        <v>279</v>
      </c>
      <c r="B282" t="s">
        <v>16</v>
      </c>
      <c r="C282" t="s">
        <v>20</v>
      </c>
      <c r="D282" t="s">
        <v>919</v>
      </c>
      <c r="E282" t="s">
        <v>279</v>
      </c>
      <c r="F282" t="s">
        <v>20</v>
      </c>
    </row>
    <row r="283" spans="1:6" x14ac:dyDescent="0.35">
      <c r="A283" t="s">
        <v>920</v>
      </c>
      <c r="B283" t="s">
        <v>47</v>
      </c>
      <c r="C283" t="s">
        <v>20</v>
      </c>
      <c r="D283" t="s">
        <v>1629</v>
      </c>
      <c r="E283" t="s">
        <v>1348</v>
      </c>
      <c r="F283" t="s">
        <v>20</v>
      </c>
    </row>
    <row r="284" spans="1:6" x14ac:dyDescent="0.35">
      <c r="A284" t="s">
        <v>248</v>
      </c>
      <c r="B284" t="s">
        <v>47</v>
      </c>
      <c r="C284" t="s">
        <v>21</v>
      </c>
      <c r="D284" t="s">
        <v>921</v>
      </c>
      <c r="E284" t="s">
        <v>248</v>
      </c>
      <c r="F284" t="s">
        <v>21</v>
      </c>
    </row>
    <row r="285" spans="1:6" x14ac:dyDescent="0.35">
      <c r="A285" t="s">
        <v>1348</v>
      </c>
      <c r="B285" t="s">
        <v>47</v>
      </c>
      <c r="C285" t="s">
        <v>20</v>
      </c>
      <c r="D285" t="s">
        <v>1630</v>
      </c>
      <c r="E285" t="s">
        <v>1348</v>
      </c>
      <c r="F285" t="s">
        <v>20</v>
      </c>
    </row>
    <row r="286" spans="1:6" x14ac:dyDescent="0.35">
      <c r="A286" t="s">
        <v>551</v>
      </c>
      <c r="B286" t="s">
        <v>47</v>
      </c>
      <c r="C286" t="s">
        <v>35</v>
      </c>
      <c r="D286" t="s">
        <v>922</v>
      </c>
      <c r="E286" t="s">
        <v>551</v>
      </c>
      <c r="F286" t="s">
        <v>35</v>
      </c>
    </row>
    <row r="287" spans="1:6" x14ac:dyDescent="0.35">
      <c r="A287" t="s">
        <v>923</v>
      </c>
      <c r="B287" t="s">
        <v>16</v>
      </c>
      <c r="C287" t="s">
        <v>87</v>
      </c>
      <c r="D287" t="s">
        <v>1631</v>
      </c>
      <c r="E287" t="s">
        <v>923</v>
      </c>
      <c r="F287" t="s">
        <v>87</v>
      </c>
    </row>
    <row r="288" spans="1:6" x14ac:dyDescent="0.35">
      <c r="A288" t="s">
        <v>1468</v>
      </c>
      <c r="B288" t="s">
        <v>16</v>
      </c>
      <c r="C288" t="s">
        <v>19</v>
      </c>
      <c r="D288" t="s">
        <v>1632</v>
      </c>
      <c r="E288" t="s">
        <v>1468</v>
      </c>
      <c r="F288" t="s">
        <v>19</v>
      </c>
    </row>
    <row r="289" spans="1:6" x14ac:dyDescent="0.35">
      <c r="A289" t="s">
        <v>924</v>
      </c>
      <c r="B289" t="s">
        <v>47</v>
      </c>
      <c r="C289" t="s">
        <v>87</v>
      </c>
      <c r="D289" t="s">
        <v>1633</v>
      </c>
      <c r="E289" t="s">
        <v>924</v>
      </c>
      <c r="F289" t="s">
        <v>87</v>
      </c>
    </row>
    <row r="290" spans="1:6" x14ac:dyDescent="0.35">
      <c r="A290" t="s">
        <v>925</v>
      </c>
      <c r="B290" t="s">
        <v>16</v>
      </c>
      <c r="C290" t="s">
        <v>22</v>
      </c>
      <c r="D290" t="s">
        <v>1634</v>
      </c>
      <c r="E290" t="s">
        <v>925</v>
      </c>
      <c r="F290" t="s">
        <v>22</v>
      </c>
    </row>
    <row r="291" spans="1:6" x14ac:dyDescent="0.35">
      <c r="A291" t="s">
        <v>382</v>
      </c>
      <c r="B291" t="s">
        <v>16</v>
      </c>
      <c r="C291" t="s">
        <v>18</v>
      </c>
      <c r="D291" t="s">
        <v>926</v>
      </c>
      <c r="E291" t="s">
        <v>382</v>
      </c>
      <c r="F291" t="s">
        <v>18</v>
      </c>
    </row>
    <row r="292" spans="1:6" x14ac:dyDescent="0.35">
      <c r="A292" t="s">
        <v>245</v>
      </c>
      <c r="B292" t="s">
        <v>47</v>
      </c>
      <c r="C292" t="s">
        <v>141</v>
      </c>
      <c r="D292" t="s">
        <v>1635</v>
      </c>
      <c r="E292" t="s">
        <v>245</v>
      </c>
      <c r="F292" t="s">
        <v>141</v>
      </c>
    </row>
    <row r="293" spans="1:6" x14ac:dyDescent="0.35">
      <c r="A293" t="s">
        <v>138</v>
      </c>
      <c r="B293" t="s">
        <v>47</v>
      </c>
      <c r="C293" t="s">
        <v>48</v>
      </c>
      <c r="D293" t="s">
        <v>927</v>
      </c>
      <c r="E293" t="s">
        <v>138</v>
      </c>
      <c r="F293" t="s">
        <v>48</v>
      </c>
    </row>
    <row r="294" spans="1:6" x14ac:dyDescent="0.35">
      <c r="A294" t="s">
        <v>928</v>
      </c>
      <c r="B294" t="s">
        <v>16</v>
      </c>
      <c r="C294" t="s">
        <v>87</v>
      </c>
      <c r="D294" t="s">
        <v>1636</v>
      </c>
      <c r="E294" t="s">
        <v>928</v>
      </c>
      <c r="F294" t="s">
        <v>87</v>
      </c>
    </row>
    <row r="295" spans="1:6" x14ac:dyDescent="0.35">
      <c r="A295" t="s">
        <v>930</v>
      </c>
      <c r="B295" t="s">
        <v>16</v>
      </c>
      <c r="C295" t="s">
        <v>56</v>
      </c>
      <c r="D295" t="s">
        <v>929</v>
      </c>
      <c r="E295" t="s">
        <v>930</v>
      </c>
      <c r="F295" t="s">
        <v>56</v>
      </c>
    </row>
    <row r="296" spans="1:6" x14ac:dyDescent="0.35">
      <c r="A296" t="s">
        <v>542</v>
      </c>
      <c r="B296" t="s">
        <v>16</v>
      </c>
      <c r="C296" t="s">
        <v>20</v>
      </c>
      <c r="D296" t="s">
        <v>931</v>
      </c>
      <c r="E296" t="s">
        <v>542</v>
      </c>
      <c r="F296" t="s">
        <v>20</v>
      </c>
    </row>
    <row r="297" spans="1:6" x14ac:dyDescent="0.35">
      <c r="A297" t="s">
        <v>399</v>
      </c>
      <c r="B297" t="s">
        <v>47</v>
      </c>
      <c r="C297" t="s">
        <v>48</v>
      </c>
      <c r="D297" t="s">
        <v>932</v>
      </c>
      <c r="E297" t="s">
        <v>399</v>
      </c>
      <c r="F297" t="s">
        <v>48</v>
      </c>
    </row>
    <row r="298" spans="1:6" x14ac:dyDescent="0.35">
      <c r="A298" t="s">
        <v>579</v>
      </c>
      <c r="B298" t="s">
        <v>16</v>
      </c>
      <c r="C298" t="s">
        <v>580</v>
      </c>
      <c r="D298" t="s">
        <v>933</v>
      </c>
      <c r="E298" t="s">
        <v>579</v>
      </c>
      <c r="F298" t="s">
        <v>580</v>
      </c>
    </row>
    <row r="299" spans="1:6" x14ac:dyDescent="0.35">
      <c r="A299" t="s">
        <v>404</v>
      </c>
      <c r="B299" t="s">
        <v>16</v>
      </c>
      <c r="C299" t="s">
        <v>75</v>
      </c>
      <c r="D299" t="s">
        <v>934</v>
      </c>
      <c r="E299" t="s">
        <v>404</v>
      </c>
      <c r="F299" t="s">
        <v>75</v>
      </c>
    </row>
    <row r="300" spans="1:6" x14ac:dyDescent="0.35">
      <c r="A300" t="s">
        <v>1504</v>
      </c>
      <c r="B300" t="s">
        <v>16</v>
      </c>
      <c r="C300" t="s">
        <v>504</v>
      </c>
      <c r="D300" t="s">
        <v>1637</v>
      </c>
      <c r="E300" t="s">
        <v>1504</v>
      </c>
      <c r="F300" t="s">
        <v>504</v>
      </c>
    </row>
    <row r="301" spans="1:6" x14ac:dyDescent="0.35">
      <c r="A301" t="s">
        <v>935</v>
      </c>
      <c r="B301" t="s">
        <v>16</v>
      </c>
      <c r="C301" t="s">
        <v>30</v>
      </c>
      <c r="D301" t="s">
        <v>1638</v>
      </c>
      <c r="E301" t="s">
        <v>935</v>
      </c>
      <c r="F301" t="s">
        <v>30</v>
      </c>
    </row>
    <row r="302" spans="1:6" x14ac:dyDescent="0.35">
      <c r="A302" t="s">
        <v>448</v>
      </c>
      <c r="B302" t="s">
        <v>47</v>
      </c>
      <c r="C302" t="s">
        <v>52</v>
      </c>
      <c r="D302" t="s">
        <v>936</v>
      </c>
      <c r="E302" t="s">
        <v>448</v>
      </c>
      <c r="F302" t="s">
        <v>52</v>
      </c>
    </row>
    <row r="303" spans="1:6" x14ac:dyDescent="0.35">
      <c r="A303" t="s">
        <v>937</v>
      </c>
      <c r="B303" t="s">
        <v>16</v>
      </c>
      <c r="C303" t="s">
        <v>30</v>
      </c>
      <c r="D303" t="s">
        <v>1639</v>
      </c>
      <c r="E303" t="s">
        <v>937</v>
      </c>
      <c r="F303" t="s">
        <v>30</v>
      </c>
    </row>
    <row r="304" spans="1:6" x14ac:dyDescent="0.35">
      <c r="A304" t="s">
        <v>939</v>
      </c>
      <c r="B304" t="s">
        <v>16</v>
      </c>
      <c r="C304" t="s">
        <v>57</v>
      </c>
      <c r="D304" t="s">
        <v>938</v>
      </c>
      <c r="E304" t="s">
        <v>939</v>
      </c>
      <c r="F304" t="s">
        <v>57</v>
      </c>
    </row>
    <row r="305" spans="1:6" x14ac:dyDescent="0.35">
      <c r="A305" t="s">
        <v>667</v>
      </c>
      <c r="B305" t="s">
        <v>16</v>
      </c>
      <c r="C305" t="s">
        <v>480</v>
      </c>
      <c r="D305" t="s">
        <v>940</v>
      </c>
      <c r="E305" t="s">
        <v>667</v>
      </c>
      <c r="F305" t="s">
        <v>480</v>
      </c>
    </row>
    <row r="306" spans="1:6" x14ac:dyDescent="0.35">
      <c r="A306" t="s">
        <v>430</v>
      </c>
      <c r="B306" t="s">
        <v>47</v>
      </c>
      <c r="C306" t="s">
        <v>51</v>
      </c>
      <c r="D306" t="s">
        <v>941</v>
      </c>
      <c r="E306" t="s">
        <v>430</v>
      </c>
      <c r="F306" t="s">
        <v>51</v>
      </c>
    </row>
    <row r="307" spans="1:6" x14ac:dyDescent="0.35">
      <c r="A307" t="s">
        <v>173</v>
      </c>
      <c r="B307" t="s">
        <v>47</v>
      </c>
      <c r="C307" t="s">
        <v>56</v>
      </c>
      <c r="D307" t="s">
        <v>942</v>
      </c>
      <c r="E307" t="s">
        <v>173</v>
      </c>
      <c r="F307" t="s">
        <v>56</v>
      </c>
    </row>
    <row r="308" spans="1:6" x14ac:dyDescent="0.35">
      <c r="A308" t="s">
        <v>246</v>
      </c>
      <c r="B308" t="s">
        <v>47</v>
      </c>
      <c r="C308" t="s">
        <v>34</v>
      </c>
      <c r="D308" t="s">
        <v>943</v>
      </c>
      <c r="E308" t="s">
        <v>246</v>
      </c>
      <c r="F308" t="s">
        <v>34</v>
      </c>
    </row>
    <row r="309" spans="1:6" x14ac:dyDescent="0.35">
      <c r="A309" t="s">
        <v>282</v>
      </c>
      <c r="B309" t="s">
        <v>47</v>
      </c>
      <c r="C309" t="s">
        <v>75</v>
      </c>
      <c r="D309" t="s">
        <v>944</v>
      </c>
      <c r="E309" t="s">
        <v>282</v>
      </c>
      <c r="F309" t="s">
        <v>75</v>
      </c>
    </row>
    <row r="310" spans="1:6" x14ac:dyDescent="0.35">
      <c r="A310" t="s">
        <v>945</v>
      </c>
      <c r="B310" t="s">
        <v>16</v>
      </c>
      <c r="C310" t="s">
        <v>75</v>
      </c>
      <c r="D310" t="s">
        <v>1640</v>
      </c>
      <c r="E310" t="s">
        <v>945</v>
      </c>
      <c r="F310" t="s">
        <v>75</v>
      </c>
    </row>
    <row r="311" spans="1:6" x14ac:dyDescent="0.35">
      <c r="A311" t="s">
        <v>562</v>
      </c>
      <c r="B311" t="s">
        <v>16</v>
      </c>
      <c r="C311" t="s">
        <v>75</v>
      </c>
      <c r="D311" t="s">
        <v>946</v>
      </c>
      <c r="E311" t="s">
        <v>562</v>
      </c>
      <c r="F311" t="s">
        <v>75</v>
      </c>
    </row>
    <row r="312" spans="1:6" x14ac:dyDescent="0.35">
      <c r="A312" t="s">
        <v>947</v>
      </c>
      <c r="B312" t="s">
        <v>47</v>
      </c>
      <c r="C312" t="s">
        <v>75</v>
      </c>
      <c r="D312" t="s">
        <v>1641</v>
      </c>
      <c r="E312" t="s">
        <v>947</v>
      </c>
      <c r="F312" t="s">
        <v>75</v>
      </c>
    </row>
    <row r="313" spans="1:6" x14ac:dyDescent="0.35">
      <c r="A313" t="s">
        <v>1427</v>
      </c>
      <c r="B313" t="s">
        <v>16</v>
      </c>
      <c r="C313" t="s">
        <v>57</v>
      </c>
      <c r="D313" t="s">
        <v>1642</v>
      </c>
      <c r="E313" t="s">
        <v>1427</v>
      </c>
      <c r="F313" t="s">
        <v>57</v>
      </c>
    </row>
    <row r="314" spans="1:6" x14ac:dyDescent="0.35">
      <c r="A314" t="s">
        <v>355</v>
      </c>
      <c r="B314" t="s">
        <v>47</v>
      </c>
      <c r="C314" t="s">
        <v>51</v>
      </c>
      <c r="D314" t="s">
        <v>948</v>
      </c>
      <c r="E314" t="s">
        <v>355</v>
      </c>
      <c r="F314" t="s">
        <v>51</v>
      </c>
    </row>
    <row r="315" spans="1:6" x14ac:dyDescent="0.35">
      <c r="A315" t="s">
        <v>1361</v>
      </c>
      <c r="B315" t="s">
        <v>47</v>
      </c>
      <c r="C315" t="s">
        <v>51</v>
      </c>
      <c r="D315" t="s">
        <v>948</v>
      </c>
      <c r="E315" t="s">
        <v>1361</v>
      </c>
      <c r="F315" t="s">
        <v>51</v>
      </c>
    </row>
    <row r="316" spans="1:6" x14ac:dyDescent="0.35">
      <c r="A316" t="s">
        <v>429</v>
      </c>
      <c r="B316" t="s">
        <v>47</v>
      </c>
      <c r="C316" t="s">
        <v>30</v>
      </c>
      <c r="D316" t="s">
        <v>949</v>
      </c>
      <c r="E316" t="s">
        <v>429</v>
      </c>
      <c r="F316" t="s">
        <v>30</v>
      </c>
    </row>
    <row r="317" spans="1:6" x14ac:dyDescent="0.35">
      <c r="A317" t="s">
        <v>1479</v>
      </c>
      <c r="B317" t="s">
        <v>16</v>
      </c>
      <c r="C317" t="s">
        <v>1480</v>
      </c>
      <c r="D317" t="s">
        <v>1643</v>
      </c>
      <c r="E317" t="s">
        <v>1479</v>
      </c>
      <c r="F317" t="s">
        <v>1480</v>
      </c>
    </row>
    <row r="318" spans="1:6" x14ac:dyDescent="0.35">
      <c r="A318" t="s">
        <v>1380</v>
      </c>
      <c r="B318" t="s">
        <v>16</v>
      </c>
      <c r="C318" t="s">
        <v>124</v>
      </c>
      <c r="D318" t="s">
        <v>1644</v>
      </c>
      <c r="E318" t="s">
        <v>1380</v>
      </c>
      <c r="F318" t="s">
        <v>124</v>
      </c>
    </row>
    <row r="319" spans="1:6" x14ac:dyDescent="0.35">
      <c r="A319" t="s">
        <v>413</v>
      </c>
      <c r="B319" t="s">
        <v>47</v>
      </c>
      <c r="C319" t="s">
        <v>51</v>
      </c>
      <c r="D319" t="s">
        <v>950</v>
      </c>
      <c r="E319" t="s">
        <v>413</v>
      </c>
      <c r="F319" t="s">
        <v>51</v>
      </c>
    </row>
    <row r="320" spans="1:6" x14ac:dyDescent="0.35">
      <c r="A320" t="s">
        <v>291</v>
      </c>
      <c r="B320" t="s">
        <v>47</v>
      </c>
      <c r="C320" t="s">
        <v>75</v>
      </c>
      <c r="D320" t="s">
        <v>951</v>
      </c>
      <c r="E320" t="s">
        <v>291</v>
      </c>
      <c r="F320" t="s">
        <v>75</v>
      </c>
    </row>
    <row r="321" spans="1:6" x14ac:dyDescent="0.35">
      <c r="A321" t="s">
        <v>208</v>
      </c>
      <c r="B321" t="s">
        <v>16</v>
      </c>
      <c r="C321" t="s">
        <v>75</v>
      </c>
      <c r="D321" t="s">
        <v>952</v>
      </c>
      <c r="E321" t="s">
        <v>208</v>
      </c>
      <c r="F321" t="s">
        <v>75</v>
      </c>
    </row>
    <row r="322" spans="1:6" x14ac:dyDescent="0.35">
      <c r="A322" t="s">
        <v>402</v>
      </c>
      <c r="B322" t="s">
        <v>16</v>
      </c>
      <c r="C322" t="s">
        <v>75</v>
      </c>
      <c r="D322" t="s">
        <v>953</v>
      </c>
      <c r="E322" t="s">
        <v>402</v>
      </c>
      <c r="F322" t="s">
        <v>75</v>
      </c>
    </row>
    <row r="323" spans="1:6" x14ac:dyDescent="0.35">
      <c r="A323" t="s">
        <v>135</v>
      </c>
      <c r="B323" t="s">
        <v>47</v>
      </c>
      <c r="C323" t="s">
        <v>48</v>
      </c>
      <c r="D323" t="s">
        <v>954</v>
      </c>
      <c r="E323" t="s">
        <v>135</v>
      </c>
      <c r="F323" t="s">
        <v>48</v>
      </c>
    </row>
    <row r="324" spans="1:6" x14ac:dyDescent="0.35">
      <c r="A324" t="s">
        <v>365</v>
      </c>
      <c r="B324" t="s">
        <v>16</v>
      </c>
      <c r="C324" t="s">
        <v>51</v>
      </c>
      <c r="D324" t="s">
        <v>955</v>
      </c>
      <c r="E324" t="s">
        <v>365</v>
      </c>
      <c r="F324" t="s">
        <v>51</v>
      </c>
    </row>
    <row r="325" spans="1:6" x14ac:dyDescent="0.35">
      <c r="A325" t="s">
        <v>1494</v>
      </c>
      <c r="B325" t="s">
        <v>47</v>
      </c>
      <c r="C325" t="s">
        <v>416</v>
      </c>
      <c r="D325" t="s">
        <v>1645</v>
      </c>
      <c r="E325" t="s">
        <v>1494</v>
      </c>
      <c r="F325" t="s">
        <v>416</v>
      </c>
    </row>
    <row r="326" spans="1:6" x14ac:dyDescent="0.35">
      <c r="A326" t="s">
        <v>956</v>
      </c>
      <c r="B326" t="s">
        <v>47</v>
      </c>
      <c r="C326" t="s">
        <v>75</v>
      </c>
      <c r="D326" t="s">
        <v>1646</v>
      </c>
      <c r="E326" t="s">
        <v>956</v>
      </c>
      <c r="F326" t="s">
        <v>75</v>
      </c>
    </row>
    <row r="327" spans="1:6" x14ac:dyDescent="0.35">
      <c r="A327" t="s">
        <v>1376</v>
      </c>
      <c r="B327" t="s">
        <v>16</v>
      </c>
      <c r="C327" t="s">
        <v>1377</v>
      </c>
      <c r="D327" t="s">
        <v>1647</v>
      </c>
      <c r="E327" t="s">
        <v>1376</v>
      </c>
      <c r="F327" t="s">
        <v>1377</v>
      </c>
    </row>
    <row r="328" spans="1:6" x14ac:dyDescent="0.35">
      <c r="A328" t="s">
        <v>1426</v>
      </c>
      <c r="B328" t="s">
        <v>16</v>
      </c>
      <c r="C328" t="s">
        <v>57</v>
      </c>
      <c r="D328" t="s">
        <v>1648</v>
      </c>
      <c r="E328" t="s">
        <v>1426</v>
      </c>
      <c r="F328" t="s">
        <v>57</v>
      </c>
    </row>
    <row r="329" spans="1:6" x14ac:dyDescent="0.35">
      <c r="A329" t="s">
        <v>1465</v>
      </c>
      <c r="B329" t="s">
        <v>16</v>
      </c>
      <c r="C329" t="s">
        <v>57</v>
      </c>
      <c r="D329" t="s">
        <v>1649</v>
      </c>
      <c r="E329" t="s">
        <v>1426</v>
      </c>
      <c r="F329" t="s">
        <v>57</v>
      </c>
    </row>
    <row r="330" spans="1:6" x14ac:dyDescent="0.35">
      <c r="A330" t="s">
        <v>1340</v>
      </c>
      <c r="B330" t="s">
        <v>16</v>
      </c>
      <c r="C330" t="s">
        <v>30</v>
      </c>
      <c r="D330" t="s">
        <v>1650</v>
      </c>
      <c r="E330" t="s">
        <v>1340</v>
      </c>
      <c r="F330" t="s">
        <v>30</v>
      </c>
    </row>
    <row r="331" spans="1:6" x14ac:dyDescent="0.35">
      <c r="A331" t="s">
        <v>251</v>
      </c>
      <c r="B331" t="s">
        <v>16</v>
      </c>
      <c r="C331" t="s">
        <v>22</v>
      </c>
      <c r="D331" t="s">
        <v>957</v>
      </c>
      <c r="E331" t="s">
        <v>251</v>
      </c>
      <c r="F331" t="s">
        <v>22</v>
      </c>
    </row>
    <row r="332" spans="1:6" x14ac:dyDescent="0.35">
      <c r="A332" t="s">
        <v>958</v>
      </c>
      <c r="B332" t="s">
        <v>16</v>
      </c>
      <c r="C332" t="s">
        <v>685</v>
      </c>
      <c r="D332" t="s">
        <v>1651</v>
      </c>
      <c r="E332" t="s">
        <v>958</v>
      </c>
      <c r="F332" t="s">
        <v>685</v>
      </c>
    </row>
    <row r="333" spans="1:6" x14ac:dyDescent="0.35">
      <c r="A333" t="s">
        <v>959</v>
      </c>
      <c r="B333" t="s">
        <v>47</v>
      </c>
      <c r="C333" t="s">
        <v>75</v>
      </c>
      <c r="D333" t="s">
        <v>1652</v>
      </c>
      <c r="E333" t="s">
        <v>959</v>
      </c>
      <c r="F333" t="s">
        <v>75</v>
      </c>
    </row>
    <row r="334" spans="1:6" x14ac:dyDescent="0.35">
      <c r="A334" t="s">
        <v>395</v>
      </c>
      <c r="B334" t="s">
        <v>16</v>
      </c>
      <c r="C334" t="s">
        <v>75</v>
      </c>
      <c r="D334" t="s">
        <v>960</v>
      </c>
      <c r="E334" t="s">
        <v>395</v>
      </c>
      <c r="F334" t="s">
        <v>75</v>
      </c>
    </row>
    <row r="335" spans="1:6" x14ac:dyDescent="0.35">
      <c r="A335" t="s">
        <v>961</v>
      </c>
      <c r="B335" t="s">
        <v>16</v>
      </c>
      <c r="C335" t="s">
        <v>75</v>
      </c>
      <c r="D335" t="s">
        <v>1653</v>
      </c>
      <c r="E335" t="s">
        <v>961</v>
      </c>
      <c r="F335" t="s">
        <v>75</v>
      </c>
    </row>
    <row r="336" spans="1:6" x14ac:dyDescent="0.35">
      <c r="A336" t="s">
        <v>1410</v>
      </c>
      <c r="B336" t="s">
        <v>47</v>
      </c>
      <c r="C336" t="s">
        <v>30</v>
      </c>
      <c r="D336" t="s">
        <v>1654</v>
      </c>
      <c r="E336" t="s">
        <v>1410</v>
      </c>
      <c r="F336" t="s">
        <v>30</v>
      </c>
    </row>
    <row r="337" spans="1:6" x14ac:dyDescent="0.35">
      <c r="A337" t="s">
        <v>549</v>
      </c>
      <c r="B337" t="s">
        <v>47</v>
      </c>
      <c r="C337" t="s">
        <v>20</v>
      </c>
      <c r="D337" t="s">
        <v>962</v>
      </c>
      <c r="E337" t="s">
        <v>549</v>
      </c>
      <c r="F337" t="s">
        <v>20</v>
      </c>
    </row>
    <row r="338" spans="1:6" x14ac:dyDescent="0.35">
      <c r="A338" t="s">
        <v>191</v>
      </c>
      <c r="B338" t="s">
        <v>16</v>
      </c>
      <c r="C338" t="s">
        <v>33</v>
      </c>
      <c r="D338" t="s">
        <v>963</v>
      </c>
      <c r="E338" t="s">
        <v>191</v>
      </c>
      <c r="F338" t="s">
        <v>33</v>
      </c>
    </row>
    <row r="339" spans="1:6" x14ac:dyDescent="0.35">
      <c r="A339" t="s">
        <v>545</v>
      </c>
      <c r="B339" t="s">
        <v>47</v>
      </c>
      <c r="C339" t="s">
        <v>20</v>
      </c>
      <c r="D339" t="s">
        <v>964</v>
      </c>
      <c r="E339" t="s">
        <v>545</v>
      </c>
      <c r="F339" t="s">
        <v>20</v>
      </c>
    </row>
    <row r="340" spans="1:6" x14ac:dyDescent="0.35">
      <c r="A340" t="s">
        <v>434</v>
      </c>
      <c r="B340" t="s">
        <v>16</v>
      </c>
      <c r="C340" t="s">
        <v>51</v>
      </c>
      <c r="D340" t="s">
        <v>965</v>
      </c>
      <c r="E340" t="s">
        <v>434</v>
      </c>
      <c r="F340" t="s">
        <v>51</v>
      </c>
    </row>
    <row r="341" spans="1:6" x14ac:dyDescent="0.35">
      <c r="A341" t="s">
        <v>489</v>
      </c>
      <c r="B341" t="s">
        <v>16</v>
      </c>
      <c r="C341" t="s">
        <v>51</v>
      </c>
      <c r="D341" t="s">
        <v>966</v>
      </c>
      <c r="E341" t="s">
        <v>489</v>
      </c>
      <c r="F341" t="s">
        <v>51</v>
      </c>
    </row>
    <row r="342" spans="1:6" x14ac:dyDescent="0.35">
      <c r="A342" t="s">
        <v>226</v>
      </c>
      <c r="B342" t="s">
        <v>16</v>
      </c>
      <c r="C342" t="s">
        <v>86</v>
      </c>
      <c r="D342" t="s">
        <v>967</v>
      </c>
      <c r="E342" t="s">
        <v>226</v>
      </c>
      <c r="F342" t="s">
        <v>86</v>
      </c>
    </row>
    <row r="343" spans="1:6" x14ac:dyDescent="0.35">
      <c r="A343" t="s">
        <v>393</v>
      </c>
      <c r="B343" t="s">
        <v>16</v>
      </c>
      <c r="C343" t="s">
        <v>75</v>
      </c>
      <c r="D343" t="s">
        <v>968</v>
      </c>
      <c r="E343" t="s">
        <v>393</v>
      </c>
      <c r="F343" t="s">
        <v>75</v>
      </c>
    </row>
    <row r="344" spans="1:6" x14ac:dyDescent="0.35">
      <c r="A344" t="s">
        <v>1457</v>
      </c>
      <c r="B344" t="s">
        <v>16</v>
      </c>
      <c r="C344" t="s">
        <v>18</v>
      </c>
      <c r="D344" t="s">
        <v>1655</v>
      </c>
      <c r="E344" t="s">
        <v>1457</v>
      </c>
      <c r="F344" t="s">
        <v>18</v>
      </c>
    </row>
    <row r="345" spans="1:6" x14ac:dyDescent="0.35">
      <c r="A345" t="s">
        <v>223</v>
      </c>
      <c r="B345" t="s">
        <v>16</v>
      </c>
      <c r="C345" t="s">
        <v>105</v>
      </c>
      <c r="D345" t="s">
        <v>1656</v>
      </c>
      <c r="E345" t="s">
        <v>223</v>
      </c>
      <c r="F345" t="s">
        <v>105</v>
      </c>
    </row>
    <row r="346" spans="1:6" x14ac:dyDescent="0.35">
      <c r="A346" t="s">
        <v>615</v>
      </c>
      <c r="B346" t="s">
        <v>16</v>
      </c>
      <c r="C346" t="s">
        <v>87</v>
      </c>
      <c r="D346" t="s">
        <v>969</v>
      </c>
      <c r="E346" t="s">
        <v>615</v>
      </c>
      <c r="F346" t="s">
        <v>87</v>
      </c>
    </row>
    <row r="347" spans="1:6" x14ac:dyDescent="0.35">
      <c r="A347" t="s">
        <v>341</v>
      </c>
      <c r="B347" t="s">
        <v>16</v>
      </c>
      <c r="C347" t="s">
        <v>20</v>
      </c>
      <c r="D347" t="s">
        <v>970</v>
      </c>
      <c r="E347" t="s">
        <v>341</v>
      </c>
      <c r="F347" t="s">
        <v>20</v>
      </c>
    </row>
    <row r="348" spans="1:6" x14ac:dyDescent="0.35">
      <c r="A348" t="s">
        <v>150</v>
      </c>
      <c r="B348" t="s">
        <v>16</v>
      </c>
      <c r="C348" t="s">
        <v>20</v>
      </c>
      <c r="D348" t="s">
        <v>971</v>
      </c>
      <c r="E348" t="s">
        <v>150</v>
      </c>
      <c r="F348" t="s">
        <v>20</v>
      </c>
    </row>
    <row r="349" spans="1:6" x14ac:dyDescent="0.35">
      <c r="A349" t="s">
        <v>151</v>
      </c>
      <c r="B349" t="s">
        <v>16</v>
      </c>
      <c r="C349" t="s">
        <v>30</v>
      </c>
      <c r="D349" t="s">
        <v>972</v>
      </c>
      <c r="E349" t="s">
        <v>151</v>
      </c>
      <c r="F349" t="s">
        <v>30</v>
      </c>
    </row>
    <row r="350" spans="1:6" x14ac:dyDescent="0.35">
      <c r="A350" t="s">
        <v>1498</v>
      </c>
      <c r="B350" t="s">
        <v>16</v>
      </c>
      <c r="C350" t="s">
        <v>140</v>
      </c>
      <c r="D350" t="s">
        <v>1657</v>
      </c>
      <c r="E350" t="s">
        <v>1498</v>
      </c>
      <c r="F350" t="s">
        <v>140</v>
      </c>
    </row>
    <row r="351" spans="1:6" x14ac:dyDescent="0.35">
      <c r="A351" t="s">
        <v>973</v>
      </c>
      <c r="B351" t="s">
        <v>16</v>
      </c>
      <c r="C351" t="s">
        <v>57</v>
      </c>
      <c r="D351" t="s">
        <v>1658</v>
      </c>
      <c r="E351" t="s">
        <v>973</v>
      </c>
      <c r="F351" t="s">
        <v>57</v>
      </c>
    </row>
    <row r="352" spans="1:6" x14ac:dyDescent="0.35">
      <c r="A352" t="s">
        <v>502</v>
      </c>
      <c r="B352" t="s">
        <v>16</v>
      </c>
      <c r="C352" t="s">
        <v>348</v>
      </c>
      <c r="D352" t="s">
        <v>974</v>
      </c>
      <c r="E352" t="s">
        <v>502</v>
      </c>
      <c r="F352" t="s">
        <v>348</v>
      </c>
    </row>
    <row r="353" spans="1:6" x14ac:dyDescent="0.35">
      <c r="A353" t="s">
        <v>576</v>
      </c>
      <c r="B353" t="s">
        <v>16</v>
      </c>
      <c r="C353" t="s">
        <v>118</v>
      </c>
      <c r="D353" t="s">
        <v>975</v>
      </c>
      <c r="E353" t="s">
        <v>576</v>
      </c>
      <c r="F353" t="s">
        <v>118</v>
      </c>
    </row>
    <row r="354" spans="1:6" x14ac:dyDescent="0.35">
      <c r="A354" t="s">
        <v>369</v>
      </c>
      <c r="B354" t="s">
        <v>16</v>
      </c>
      <c r="C354" t="s">
        <v>20</v>
      </c>
      <c r="D354" t="s">
        <v>976</v>
      </c>
      <c r="E354" t="s">
        <v>369</v>
      </c>
      <c r="F354" t="s">
        <v>20</v>
      </c>
    </row>
    <row r="355" spans="1:6" x14ac:dyDescent="0.35">
      <c r="A355" t="s">
        <v>437</v>
      </c>
      <c r="B355" t="s">
        <v>16</v>
      </c>
      <c r="C355" t="s">
        <v>20</v>
      </c>
      <c r="D355" t="s">
        <v>977</v>
      </c>
      <c r="E355" t="s">
        <v>437</v>
      </c>
      <c r="F355" t="s">
        <v>20</v>
      </c>
    </row>
    <row r="356" spans="1:6" x14ac:dyDescent="0.35">
      <c r="A356" t="s">
        <v>162</v>
      </c>
      <c r="B356" t="s">
        <v>47</v>
      </c>
      <c r="C356" t="s">
        <v>103</v>
      </c>
      <c r="D356" t="s">
        <v>978</v>
      </c>
      <c r="E356" t="s">
        <v>162</v>
      </c>
      <c r="F356" t="s">
        <v>103</v>
      </c>
    </row>
    <row r="357" spans="1:6" x14ac:dyDescent="0.35">
      <c r="A357" t="s">
        <v>1466</v>
      </c>
      <c r="B357" t="s">
        <v>16</v>
      </c>
      <c r="C357" t="s">
        <v>1467</v>
      </c>
      <c r="D357" t="s">
        <v>1659</v>
      </c>
      <c r="E357" t="s">
        <v>1466</v>
      </c>
      <c r="F357" t="s">
        <v>1467</v>
      </c>
    </row>
    <row r="358" spans="1:6" x14ac:dyDescent="0.35">
      <c r="A358" t="s">
        <v>571</v>
      </c>
      <c r="B358" t="s">
        <v>47</v>
      </c>
      <c r="C358" t="s">
        <v>17</v>
      </c>
      <c r="D358" t="s">
        <v>979</v>
      </c>
      <c r="E358" t="s">
        <v>571</v>
      </c>
      <c r="F358" t="s">
        <v>17</v>
      </c>
    </row>
    <row r="359" spans="1:6" x14ac:dyDescent="0.35">
      <c r="A359" t="s">
        <v>681</v>
      </c>
      <c r="B359" t="s">
        <v>47</v>
      </c>
      <c r="C359" t="s">
        <v>55</v>
      </c>
      <c r="D359" t="s">
        <v>980</v>
      </c>
      <c r="E359" t="s">
        <v>681</v>
      </c>
      <c r="F359" t="s">
        <v>55</v>
      </c>
    </row>
    <row r="360" spans="1:6" x14ac:dyDescent="0.35">
      <c r="A360" t="s">
        <v>454</v>
      </c>
      <c r="B360" t="s">
        <v>16</v>
      </c>
      <c r="C360" t="s">
        <v>21</v>
      </c>
      <c r="D360" t="s">
        <v>981</v>
      </c>
      <c r="E360" t="s">
        <v>454</v>
      </c>
      <c r="F360" t="s">
        <v>21</v>
      </c>
    </row>
    <row r="361" spans="1:6" x14ac:dyDescent="0.35">
      <c r="A361" t="s">
        <v>374</v>
      </c>
      <c r="B361" t="s">
        <v>47</v>
      </c>
      <c r="C361" t="s">
        <v>20</v>
      </c>
      <c r="D361" t="s">
        <v>982</v>
      </c>
      <c r="E361" t="s">
        <v>374</v>
      </c>
      <c r="F361" t="s">
        <v>20</v>
      </c>
    </row>
    <row r="362" spans="1:6" x14ac:dyDescent="0.35">
      <c r="A362" t="s">
        <v>547</v>
      </c>
      <c r="B362" t="s">
        <v>47</v>
      </c>
      <c r="C362" t="s">
        <v>20</v>
      </c>
      <c r="D362" t="s">
        <v>983</v>
      </c>
      <c r="E362" t="s">
        <v>547</v>
      </c>
      <c r="F362" t="s">
        <v>20</v>
      </c>
    </row>
    <row r="363" spans="1:6" x14ac:dyDescent="0.35">
      <c r="A363" t="s">
        <v>610</v>
      </c>
      <c r="B363" t="s">
        <v>47</v>
      </c>
      <c r="C363" t="s">
        <v>601</v>
      </c>
      <c r="D363" t="s">
        <v>984</v>
      </c>
      <c r="E363" t="s">
        <v>610</v>
      </c>
      <c r="F363" t="s">
        <v>601</v>
      </c>
    </row>
    <row r="364" spans="1:6" x14ac:dyDescent="0.35">
      <c r="A364" t="s">
        <v>187</v>
      </c>
      <c r="B364" t="s">
        <v>47</v>
      </c>
      <c r="C364" t="s">
        <v>21</v>
      </c>
      <c r="D364" t="s">
        <v>985</v>
      </c>
      <c r="E364" t="s">
        <v>187</v>
      </c>
      <c r="F364" t="s">
        <v>21</v>
      </c>
    </row>
    <row r="365" spans="1:6" x14ac:dyDescent="0.35">
      <c r="A365" t="s">
        <v>987</v>
      </c>
      <c r="B365" t="s">
        <v>16</v>
      </c>
      <c r="C365" t="s">
        <v>101</v>
      </c>
      <c r="D365" t="s">
        <v>986</v>
      </c>
      <c r="E365" t="s">
        <v>987</v>
      </c>
      <c r="F365" t="s">
        <v>101</v>
      </c>
    </row>
    <row r="366" spans="1:6" x14ac:dyDescent="0.35">
      <c r="A366" t="s">
        <v>550</v>
      </c>
      <c r="B366" t="s">
        <v>47</v>
      </c>
      <c r="C366" t="s">
        <v>20</v>
      </c>
      <c r="D366" t="s">
        <v>988</v>
      </c>
      <c r="E366" t="s">
        <v>550</v>
      </c>
      <c r="F366" t="s">
        <v>20</v>
      </c>
    </row>
    <row r="367" spans="1:6" x14ac:dyDescent="0.35">
      <c r="A367" t="s">
        <v>403</v>
      </c>
      <c r="B367" t="s">
        <v>16</v>
      </c>
      <c r="C367" t="s">
        <v>18</v>
      </c>
      <c r="D367" t="s">
        <v>989</v>
      </c>
      <c r="E367" t="s">
        <v>403</v>
      </c>
      <c r="F367" t="s">
        <v>18</v>
      </c>
    </row>
    <row r="368" spans="1:6" x14ac:dyDescent="0.35">
      <c r="A368" t="s">
        <v>439</v>
      </c>
      <c r="B368" t="s">
        <v>16</v>
      </c>
      <c r="C368" t="s">
        <v>56</v>
      </c>
      <c r="D368" t="s">
        <v>990</v>
      </c>
      <c r="E368" t="s">
        <v>439</v>
      </c>
      <c r="F368" t="s">
        <v>56</v>
      </c>
    </row>
    <row r="369" spans="1:6" x14ac:dyDescent="0.35">
      <c r="A369" t="s">
        <v>464</v>
      </c>
      <c r="B369" t="s">
        <v>47</v>
      </c>
      <c r="C369" t="s">
        <v>83</v>
      </c>
      <c r="D369" t="s">
        <v>1660</v>
      </c>
      <c r="E369" t="s">
        <v>464</v>
      </c>
      <c r="F369" t="s">
        <v>83</v>
      </c>
    </row>
    <row r="370" spans="1:6" x14ac:dyDescent="0.35">
      <c r="A370" t="s">
        <v>212</v>
      </c>
      <c r="B370" t="s">
        <v>16</v>
      </c>
      <c r="C370" t="s">
        <v>19</v>
      </c>
      <c r="D370" t="s">
        <v>991</v>
      </c>
      <c r="E370" t="s">
        <v>212</v>
      </c>
      <c r="F370" t="s">
        <v>19</v>
      </c>
    </row>
    <row r="371" spans="1:6" x14ac:dyDescent="0.35">
      <c r="A371" t="s">
        <v>379</v>
      </c>
      <c r="B371" t="s">
        <v>16</v>
      </c>
      <c r="C371" t="s">
        <v>39</v>
      </c>
      <c r="D371" t="s">
        <v>992</v>
      </c>
      <c r="E371" t="s">
        <v>379</v>
      </c>
      <c r="F371" t="s">
        <v>39</v>
      </c>
    </row>
    <row r="372" spans="1:6" x14ac:dyDescent="0.35">
      <c r="A372" t="s">
        <v>993</v>
      </c>
      <c r="B372" t="s">
        <v>47</v>
      </c>
      <c r="C372" t="s">
        <v>87</v>
      </c>
      <c r="D372" t="s">
        <v>1661</v>
      </c>
      <c r="E372" t="s">
        <v>993</v>
      </c>
      <c r="F372" t="s">
        <v>87</v>
      </c>
    </row>
    <row r="373" spans="1:6" x14ac:dyDescent="0.35">
      <c r="A373" t="s">
        <v>235</v>
      </c>
      <c r="B373" t="s">
        <v>16</v>
      </c>
      <c r="C373" t="s">
        <v>86</v>
      </c>
      <c r="D373" t="s">
        <v>994</v>
      </c>
      <c r="E373" t="s">
        <v>235</v>
      </c>
      <c r="F373" t="s">
        <v>86</v>
      </c>
    </row>
    <row r="374" spans="1:6" x14ac:dyDescent="0.35">
      <c r="A374" t="s">
        <v>207</v>
      </c>
      <c r="B374" t="s">
        <v>16</v>
      </c>
      <c r="C374" t="s">
        <v>51</v>
      </c>
      <c r="D374" t="s">
        <v>995</v>
      </c>
      <c r="E374" t="s">
        <v>207</v>
      </c>
      <c r="F374" t="s">
        <v>51</v>
      </c>
    </row>
    <row r="375" spans="1:6" x14ac:dyDescent="0.35">
      <c r="A375" t="s">
        <v>996</v>
      </c>
      <c r="B375" t="s">
        <v>16</v>
      </c>
      <c r="C375" t="s">
        <v>40</v>
      </c>
      <c r="D375" t="s">
        <v>1662</v>
      </c>
      <c r="E375" t="s">
        <v>996</v>
      </c>
      <c r="F375" t="s">
        <v>40</v>
      </c>
    </row>
    <row r="376" spans="1:6" x14ac:dyDescent="0.35">
      <c r="A376" t="s">
        <v>442</v>
      </c>
      <c r="B376" t="s">
        <v>16</v>
      </c>
      <c r="C376" t="s">
        <v>56</v>
      </c>
      <c r="D376" t="s">
        <v>997</v>
      </c>
      <c r="E376" t="s">
        <v>442</v>
      </c>
      <c r="F376" t="s">
        <v>56</v>
      </c>
    </row>
    <row r="377" spans="1:6" x14ac:dyDescent="0.35">
      <c r="A377" t="s">
        <v>440</v>
      </c>
      <c r="B377" t="s">
        <v>16</v>
      </c>
      <c r="C377" t="s">
        <v>35</v>
      </c>
      <c r="D377" t="s">
        <v>998</v>
      </c>
      <c r="E377" t="s">
        <v>440</v>
      </c>
      <c r="F377" t="s">
        <v>35</v>
      </c>
    </row>
    <row r="378" spans="1:6" x14ac:dyDescent="0.35">
      <c r="A378" t="s">
        <v>255</v>
      </c>
      <c r="B378" t="s">
        <v>16</v>
      </c>
      <c r="C378" t="s">
        <v>51</v>
      </c>
      <c r="D378" t="s">
        <v>999</v>
      </c>
      <c r="E378" t="s">
        <v>255</v>
      </c>
      <c r="F378" t="s">
        <v>51</v>
      </c>
    </row>
    <row r="379" spans="1:6" x14ac:dyDescent="0.35">
      <c r="A379" t="s">
        <v>655</v>
      </c>
      <c r="B379" t="s">
        <v>16</v>
      </c>
      <c r="C379" t="s">
        <v>120</v>
      </c>
      <c r="D379" t="s">
        <v>1000</v>
      </c>
      <c r="E379" t="s">
        <v>655</v>
      </c>
      <c r="F379" t="s">
        <v>120</v>
      </c>
    </row>
    <row r="380" spans="1:6" x14ac:dyDescent="0.35">
      <c r="A380" t="s">
        <v>1401</v>
      </c>
      <c r="B380" t="s">
        <v>47</v>
      </c>
      <c r="C380" t="s">
        <v>34</v>
      </c>
      <c r="D380" t="s">
        <v>1663</v>
      </c>
      <c r="E380" t="s">
        <v>1401</v>
      </c>
      <c r="F380" t="s">
        <v>34</v>
      </c>
    </row>
    <row r="381" spans="1:6" x14ac:dyDescent="0.35">
      <c r="A381" t="s">
        <v>1385</v>
      </c>
      <c r="B381" t="s">
        <v>16</v>
      </c>
      <c r="C381" t="s">
        <v>51</v>
      </c>
      <c r="D381" t="s">
        <v>1664</v>
      </c>
      <c r="E381" t="s">
        <v>1385</v>
      </c>
      <c r="F381" t="s">
        <v>51</v>
      </c>
    </row>
    <row r="382" spans="1:6" x14ac:dyDescent="0.35">
      <c r="A382" t="s">
        <v>372</v>
      </c>
      <c r="B382" t="s">
        <v>16</v>
      </c>
      <c r="C382" t="s">
        <v>87</v>
      </c>
      <c r="D382" t="s">
        <v>1001</v>
      </c>
      <c r="E382" t="s">
        <v>372</v>
      </c>
      <c r="F382" t="s">
        <v>87</v>
      </c>
    </row>
    <row r="383" spans="1:6" x14ac:dyDescent="0.35">
      <c r="A383" t="s">
        <v>1002</v>
      </c>
      <c r="B383" t="s">
        <v>16</v>
      </c>
      <c r="C383" t="s">
        <v>87</v>
      </c>
      <c r="D383" t="s">
        <v>1665</v>
      </c>
      <c r="E383" t="s">
        <v>1002</v>
      </c>
      <c r="F383" t="s">
        <v>87</v>
      </c>
    </row>
    <row r="384" spans="1:6" x14ac:dyDescent="0.35">
      <c r="A384" t="s">
        <v>1004</v>
      </c>
      <c r="B384" t="s">
        <v>16</v>
      </c>
      <c r="C384" t="s">
        <v>56</v>
      </c>
      <c r="D384" t="s">
        <v>1003</v>
      </c>
      <c r="E384" t="s">
        <v>1004</v>
      </c>
      <c r="F384" t="s">
        <v>56</v>
      </c>
    </row>
    <row r="385" spans="1:6" x14ac:dyDescent="0.35">
      <c r="A385" t="s">
        <v>438</v>
      </c>
      <c r="B385" t="s">
        <v>16</v>
      </c>
      <c r="C385" t="s">
        <v>17</v>
      </c>
      <c r="D385" t="s">
        <v>1005</v>
      </c>
      <c r="E385" t="s">
        <v>438</v>
      </c>
      <c r="F385" t="s">
        <v>17</v>
      </c>
    </row>
    <row r="386" spans="1:6" x14ac:dyDescent="0.35">
      <c r="A386" t="s">
        <v>1006</v>
      </c>
      <c r="B386" t="s">
        <v>16</v>
      </c>
      <c r="C386" t="s">
        <v>87</v>
      </c>
      <c r="D386" t="s">
        <v>1666</v>
      </c>
      <c r="E386" t="s">
        <v>1006</v>
      </c>
      <c r="F386" t="s">
        <v>87</v>
      </c>
    </row>
    <row r="387" spans="1:6" x14ac:dyDescent="0.35">
      <c r="A387" t="s">
        <v>206</v>
      </c>
      <c r="B387" t="s">
        <v>16</v>
      </c>
      <c r="C387" t="s">
        <v>119</v>
      </c>
      <c r="D387" t="s">
        <v>1007</v>
      </c>
      <c r="E387" t="s">
        <v>206</v>
      </c>
      <c r="F387" t="s">
        <v>119</v>
      </c>
    </row>
    <row r="388" spans="1:6" x14ac:dyDescent="0.35">
      <c r="A388" t="s">
        <v>1338</v>
      </c>
      <c r="B388" t="s">
        <v>16</v>
      </c>
      <c r="C388" t="s">
        <v>33</v>
      </c>
      <c r="D388" t="s">
        <v>1667</v>
      </c>
      <c r="E388" t="s">
        <v>1338</v>
      </c>
      <c r="F388" t="s">
        <v>33</v>
      </c>
    </row>
    <row r="389" spans="1:6" x14ac:dyDescent="0.35">
      <c r="A389" t="s">
        <v>1384</v>
      </c>
      <c r="B389" t="s">
        <v>16</v>
      </c>
      <c r="C389" t="s">
        <v>33</v>
      </c>
      <c r="D389" t="s">
        <v>1667</v>
      </c>
      <c r="E389" t="s">
        <v>1384</v>
      </c>
      <c r="F389" t="s">
        <v>33</v>
      </c>
    </row>
    <row r="390" spans="1:6" x14ac:dyDescent="0.35">
      <c r="A390" t="s">
        <v>640</v>
      </c>
      <c r="B390" t="s">
        <v>47</v>
      </c>
      <c r="C390" t="s">
        <v>30</v>
      </c>
      <c r="D390" t="s">
        <v>1008</v>
      </c>
      <c r="E390" t="s">
        <v>640</v>
      </c>
      <c r="F390" t="s">
        <v>30</v>
      </c>
    </row>
    <row r="391" spans="1:6" x14ac:dyDescent="0.35">
      <c r="A391" t="s">
        <v>644</v>
      </c>
      <c r="B391" t="s">
        <v>16</v>
      </c>
      <c r="C391" t="s">
        <v>21</v>
      </c>
      <c r="D391" t="s">
        <v>1009</v>
      </c>
      <c r="E391" t="s">
        <v>644</v>
      </c>
      <c r="F391" t="s">
        <v>21</v>
      </c>
    </row>
    <row r="392" spans="1:6" x14ac:dyDescent="0.35">
      <c r="A392" t="s">
        <v>1343</v>
      </c>
      <c r="B392" t="s">
        <v>16</v>
      </c>
      <c r="C392" t="s">
        <v>20</v>
      </c>
      <c r="D392" t="s">
        <v>1668</v>
      </c>
      <c r="E392" t="s">
        <v>1343</v>
      </c>
      <c r="F392" t="s">
        <v>20</v>
      </c>
    </row>
    <row r="393" spans="1:6" x14ac:dyDescent="0.35">
      <c r="A393" t="s">
        <v>296</v>
      </c>
      <c r="B393" t="s">
        <v>47</v>
      </c>
      <c r="C393" t="s">
        <v>51</v>
      </c>
      <c r="D393" t="s">
        <v>1010</v>
      </c>
      <c r="E393" t="s">
        <v>296</v>
      </c>
      <c r="F393" t="s">
        <v>51</v>
      </c>
    </row>
    <row r="394" spans="1:6" x14ac:dyDescent="0.35">
      <c r="A394" t="s">
        <v>1366</v>
      </c>
      <c r="B394" t="s">
        <v>16</v>
      </c>
      <c r="C394" t="s">
        <v>51</v>
      </c>
      <c r="D394" t="s">
        <v>1669</v>
      </c>
      <c r="E394" t="s">
        <v>1366</v>
      </c>
      <c r="F394" t="s">
        <v>51</v>
      </c>
    </row>
    <row r="395" spans="1:6" x14ac:dyDescent="0.35">
      <c r="A395" t="s">
        <v>189</v>
      </c>
      <c r="B395" t="s">
        <v>16</v>
      </c>
      <c r="C395" t="s">
        <v>20</v>
      </c>
      <c r="D395" t="s">
        <v>1011</v>
      </c>
      <c r="E395" t="s">
        <v>189</v>
      </c>
      <c r="F395" t="s">
        <v>20</v>
      </c>
    </row>
    <row r="396" spans="1:6" x14ac:dyDescent="0.35">
      <c r="A396" t="s">
        <v>260</v>
      </c>
      <c r="B396" t="s">
        <v>16</v>
      </c>
      <c r="C396" t="s">
        <v>51</v>
      </c>
      <c r="D396" t="s">
        <v>1012</v>
      </c>
      <c r="E396" t="s">
        <v>260</v>
      </c>
      <c r="F396" t="s">
        <v>51</v>
      </c>
    </row>
    <row r="397" spans="1:6" x14ac:dyDescent="0.35">
      <c r="A397" t="s">
        <v>1013</v>
      </c>
      <c r="B397" t="s">
        <v>16</v>
      </c>
      <c r="C397" t="s">
        <v>39</v>
      </c>
      <c r="D397" t="s">
        <v>1670</v>
      </c>
      <c r="E397" t="s">
        <v>1013</v>
      </c>
      <c r="F397" t="s">
        <v>39</v>
      </c>
    </row>
    <row r="398" spans="1:6" x14ac:dyDescent="0.35">
      <c r="A398" t="s">
        <v>1363</v>
      </c>
      <c r="B398" t="s">
        <v>16</v>
      </c>
      <c r="C398" t="s">
        <v>21</v>
      </c>
      <c r="D398" t="s">
        <v>1671</v>
      </c>
      <c r="E398" t="s">
        <v>1363</v>
      </c>
      <c r="F398" t="s">
        <v>21</v>
      </c>
    </row>
    <row r="399" spans="1:6" x14ac:dyDescent="0.35">
      <c r="A399" t="s">
        <v>638</v>
      </c>
      <c r="B399" t="s">
        <v>47</v>
      </c>
      <c r="C399" t="s">
        <v>56</v>
      </c>
      <c r="D399" t="s">
        <v>1014</v>
      </c>
      <c r="E399" t="s">
        <v>638</v>
      </c>
      <c r="F399" t="s">
        <v>56</v>
      </c>
    </row>
    <row r="400" spans="1:6" x14ac:dyDescent="0.35">
      <c r="A400" t="s">
        <v>213</v>
      </c>
      <c r="B400" t="s">
        <v>16</v>
      </c>
      <c r="C400" t="s">
        <v>18</v>
      </c>
      <c r="D400" t="s">
        <v>1015</v>
      </c>
      <c r="E400" t="s">
        <v>213</v>
      </c>
      <c r="F400" t="s">
        <v>18</v>
      </c>
    </row>
    <row r="401" spans="1:6" x14ac:dyDescent="0.35">
      <c r="A401" t="s">
        <v>325</v>
      </c>
      <c r="B401" t="s">
        <v>47</v>
      </c>
      <c r="C401" t="s">
        <v>55</v>
      </c>
      <c r="D401" t="s">
        <v>1016</v>
      </c>
      <c r="E401" t="s">
        <v>325</v>
      </c>
      <c r="F401" t="s">
        <v>55</v>
      </c>
    </row>
    <row r="402" spans="1:6" x14ac:dyDescent="0.35">
      <c r="A402" t="s">
        <v>1017</v>
      </c>
      <c r="B402" t="s">
        <v>16</v>
      </c>
      <c r="C402" t="s">
        <v>87</v>
      </c>
      <c r="D402" t="s">
        <v>1672</v>
      </c>
      <c r="E402" t="s">
        <v>1017</v>
      </c>
      <c r="F402" t="s">
        <v>87</v>
      </c>
    </row>
    <row r="403" spans="1:6" x14ac:dyDescent="0.35">
      <c r="A403" t="s">
        <v>1018</v>
      </c>
      <c r="B403" t="s">
        <v>47</v>
      </c>
      <c r="C403" t="s">
        <v>87</v>
      </c>
      <c r="D403" t="s">
        <v>1673</v>
      </c>
      <c r="E403" t="s">
        <v>1018</v>
      </c>
      <c r="F403" t="s">
        <v>87</v>
      </c>
    </row>
    <row r="404" spans="1:6" x14ac:dyDescent="0.35">
      <c r="A404" t="s">
        <v>384</v>
      </c>
      <c r="B404" t="s">
        <v>16</v>
      </c>
      <c r="C404" t="s">
        <v>39</v>
      </c>
      <c r="D404" t="s">
        <v>1019</v>
      </c>
      <c r="E404" t="s">
        <v>384</v>
      </c>
      <c r="F404" t="s">
        <v>39</v>
      </c>
    </row>
    <row r="405" spans="1:6" x14ac:dyDescent="0.35">
      <c r="A405" t="s">
        <v>668</v>
      </c>
      <c r="B405" t="s">
        <v>16</v>
      </c>
      <c r="C405" t="s">
        <v>669</v>
      </c>
      <c r="D405" t="s">
        <v>1020</v>
      </c>
      <c r="E405" t="s">
        <v>668</v>
      </c>
      <c r="F405" t="s">
        <v>669</v>
      </c>
    </row>
    <row r="406" spans="1:6" x14ac:dyDescent="0.35">
      <c r="A406" t="s">
        <v>1469</v>
      </c>
      <c r="B406" t="s">
        <v>16</v>
      </c>
      <c r="C406" t="s">
        <v>55</v>
      </c>
      <c r="D406" t="s">
        <v>1674</v>
      </c>
      <c r="E406" t="s">
        <v>1469</v>
      </c>
      <c r="F406" t="s">
        <v>55</v>
      </c>
    </row>
    <row r="407" spans="1:6" x14ac:dyDescent="0.35">
      <c r="A407" t="s">
        <v>574</v>
      </c>
      <c r="B407" t="s">
        <v>16</v>
      </c>
      <c r="C407" t="s">
        <v>21</v>
      </c>
      <c r="D407" t="s">
        <v>1021</v>
      </c>
      <c r="E407" t="s">
        <v>574</v>
      </c>
      <c r="F407" t="s">
        <v>21</v>
      </c>
    </row>
    <row r="408" spans="1:6" x14ac:dyDescent="0.35">
      <c r="A408" t="s">
        <v>347</v>
      </c>
      <c r="B408" t="s">
        <v>16</v>
      </c>
      <c r="C408" t="s">
        <v>56</v>
      </c>
      <c r="D408" t="s">
        <v>1022</v>
      </c>
      <c r="E408" t="s">
        <v>347</v>
      </c>
      <c r="F408" t="s">
        <v>56</v>
      </c>
    </row>
    <row r="409" spans="1:6" x14ac:dyDescent="0.35">
      <c r="A409" t="s">
        <v>1024</v>
      </c>
      <c r="B409" t="s">
        <v>16</v>
      </c>
      <c r="C409" t="s">
        <v>17</v>
      </c>
      <c r="D409" t="s">
        <v>1023</v>
      </c>
      <c r="E409" t="s">
        <v>1024</v>
      </c>
      <c r="F409" t="s">
        <v>17</v>
      </c>
    </row>
    <row r="410" spans="1:6" x14ac:dyDescent="0.35">
      <c r="A410" t="s">
        <v>1025</v>
      </c>
      <c r="B410" t="s">
        <v>16</v>
      </c>
      <c r="C410" t="s">
        <v>20</v>
      </c>
      <c r="D410" t="s">
        <v>1675</v>
      </c>
      <c r="E410" t="s">
        <v>1025</v>
      </c>
      <c r="F410" t="s">
        <v>20</v>
      </c>
    </row>
    <row r="411" spans="1:6" x14ac:dyDescent="0.35">
      <c r="A411" t="s">
        <v>289</v>
      </c>
      <c r="B411" t="s">
        <v>47</v>
      </c>
      <c r="C411" t="s">
        <v>75</v>
      </c>
      <c r="D411" t="s">
        <v>1026</v>
      </c>
      <c r="E411" t="s">
        <v>289</v>
      </c>
      <c r="F411" t="s">
        <v>75</v>
      </c>
    </row>
    <row r="412" spans="1:6" x14ac:dyDescent="0.35">
      <c r="A412" t="s">
        <v>285</v>
      </c>
      <c r="B412" t="s">
        <v>47</v>
      </c>
      <c r="C412" t="s">
        <v>75</v>
      </c>
      <c r="D412" t="s">
        <v>1027</v>
      </c>
      <c r="E412" t="s">
        <v>285</v>
      </c>
      <c r="F412" t="s">
        <v>75</v>
      </c>
    </row>
    <row r="413" spans="1:6" x14ac:dyDescent="0.35">
      <c r="A413" t="s">
        <v>1028</v>
      </c>
      <c r="B413" t="s">
        <v>47</v>
      </c>
      <c r="C413" t="s">
        <v>30</v>
      </c>
      <c r="D413" t="s">
        <v>1676</v>
      </c>
      <c r="E413" t="s">
        <v>1028</v>
      </c>
      <c r="F413" t="s">
        <v>30</v>
      </c>
    </row>
    <row r="414" spans="1:6" x14ac:dyDescent="0.35">
      <c r="A414" t="s">
        <v>1407</v>
      </c>
      <c r="B414" t="s">
        <v>47</v>
      </c>
      <c r="C414" t="s">
        <v>55</v>
      </c>
      <c r="D414" t="s">
        <v>1677</v>
      </c>
      <c r="E414" t="s">
        <v>1407</v>
      </c>
      <c r="F414" t="s">
        <v>55</v>
      </c>
    </row>
    <row r="415" spans="1:6" x14ac:dyDescent="0.35">
      <c r="A415" t="s">
        <v>445</v>
      </c>
      <c r="B415" t="s">
        <v>47</v>
      </c>
      <c r="C415" t="s">
        <v>51</v>
      </c>
      <c r="D415" t="s">
        <v>1029</v>
      </c>
      <c r="E415" t="s">
        <v>445</v>
      </c>
      <c r="F415" t="s">
        <v>51</v>
      </c>
    </row>
    <row r="416" spans="1:6" x14ac:dyDescent="0.35">
      <c r="A416" t="s">
        <v>240</v>
      </c>
      <c r="B416" t="s">
        <v>47</v>
      </c>
      <c r="C416" t="s">
        <v>34</v>
      </c>
      <c r="D416" t="s">
        <v>1030</v>
      </c>
      <c r="E416" t="s">
        <v>240</v>
      </c>
      <c r="F416" t="s">
        <v>34</v>
      </c>
    </row>
    <row r="417" spans="1:6" x14ac:dyDescent="0.35">
      <c r="A417" t="s">
        <v>186</v>
      </c>
      <c r="B417" t="s">
        <v>47</v>
      </c>
      <c r="C417" t="s">
        <v>20</v>
      </c>
      <c r="D417" t="s">
        <v>1031</v>
      </c>
      <c r="E417" t="s">
        <v>186</v>
      </c>
      <c r="F417" t="s">
        <v>20</v>
      </c>
    </row>
    <row r="418" spans="1:6" x14ac:dyDescent="0.35">
      <c r="A418" t="s">
        <v>1375</v>
      </c>
      <c r="B418" t="s">
        <v>16</v>
      </c>
      <c r="C418" t="s">
        <v>69</v>
      </c>
      <c r="D418" t="s">
        <v>1678</v>
      </c>
      <c r="E418" t="s">
        <v>1375</v>
      </c>
      <c r="F418" t="s">
        <v>69</v>
      </c>
    </row>
    <row r="419" spans="1:6" x14ac:dyDescent="0.35">
      <c r="A419" t="s">
        <v>1032</v>
      </c>
      <c r="B419" t="s">
        <v>16</v>
      </c>
      <c r="C419" t="s">
        <v>87</v>
      </c>
      <c r="D419" t="s">
        <v>1679</v>
      </c>
      <c r="E419" t="s">
        <v>1032</v>
      </c>
      <c r="F419" t="s">
        <v>87</v>
      </c>
    </row>
    <row r="420" spans="1:6" x14ac:dyDescent="0.35">
      <c r="A420" t="s">
        <v>1506</v>
      </c>
      <c r="B420" t="s">
        <v>16</v>
      </c>
      <c r="C420" t="s">
        <v>17</v>
      </c>
      <c r="D420" t="s">
        <v>1680</v>
      </c>
      <c r="E420" t="s">
        <v>1506</v>
      </c>
      <c r="F420" t="s">
        <v>17</v>
      </c>
    </row>
    <row r="421" spans="1:6" x14ac:dyDescent="0.35">
      <c r="A421" t="s">
        <v>428</v>
      </c>
      <c r="B421" t="s">
        <v>47</v>
      </c>
      <c r="C421" t="s">
        <v>20</v>
      </c>
      <c r="D421" t="s">
        <v>1033</v>
      </c>
      <c r="E421" t="s">
        <v>428</v>
      </c>
      <c r="F421" t="s">
        <v>20</v>
      </c>
    </row>
    <row r="422" spans="1:6" x14ac:dyDescent="0.35">
      <c r="A422" t="s">
        <v>1482</v>
      </c>
      <c r="B422" t="s">
        <v>47</v>
      </c>
      <c r="C422" t="s">
        <v>108</v>
      </c>
      <c r="D422" t="s">
        <v>1681</v>
      </c>
      <c r="E422" t="s">
        <v>1482</v>
      </c>
      <c r="F422" t="s">
        <v>108</v>
      </c>
    </row>
    <row r="423" spans="1:6" x14ac:dyDescent="0.35">
      <c r="A423" t="s">
        <v>1473</v>
      </c>
      <c r="B423" t="s">
        <v>16</v>
      </c>
      <c r="C423" t="s">
        <v>17</v>
      </c>
      <c r="D423" t="s">
        <v>1682</v>
      </c>
      <c r="E423" t="s">
        <v>1473</v>
      </c>
      <c r="F423" t="s">
        <v>17</v>
      </c>
    </row>
    <row r="424" spans="1:6" x14ac:dyDescent="0.35">
      <c r="A424" t="s">
        <v>1371</v>
      </c>
      <c r="B424" t="s">
        <v>16</v>
      </c>
      <c r="C424" t="s">
        <v>504</v>
      </c>
      <c r="D424" t="s">
        <v>1683</v>
      </c>
      <c r="E424" t="s">
        <v>1371</v>
      </c>
      <c r="F424" t="s">
        <v>504</v>
      </c>
    </row>
    <row r="425" spans="1:6" x14ac:dyDescent="0.35">
      <c r="A425" t="s">
        <v>1034</v>
      </c>
      <c r="B425" t="s">
        <v>16</v>
      </c>
      <c r="C425" t="s">
        <v>41</v>
      </c>
      <c r="D425" t="s">
        <v>1684</v>
      </c>
      <c r="E425" t="s">
        <v>1034</v>
      </c>
      <c r="F425" t="s">
        <v>41</v>
      </c>
    </row>
    <row r="426" spans="1:6" x14ac:dyDescent="0.35">
      <c r="A426" t="s">
        <v>1035</v>
      </c>
      <c r="B426" t="s">
        <v>16</v>
      </c>
      <c r="C426" t="s">
        <v>39</v>
      </c>
      <c r="D426" t="s">
        <v>1685</v>
      </c>
      <c r="E426" t="s">
        <v>1035</v>
      </c>
      <c r="F426" t="s">
        <v>39</v>
      </c>
    </row>
    <row r="427" spans="1:6" x14ac:dyDescent="0.35">
      <c r="A427" t="s">
        <v>1036</v>
      </c>
      <c r="B427" t="s">
        <v>47</v>
      </c>
      <c r="C427" t="s">
        <v>75</v>
      </c>
      <c r="D427" t="s">
        <v>1686</v>
      </c>
      <c r="E427" t="s">
        <v>1036</v>
      </c>
      <c r="F427" t="s">
        <v>75</v>
      </c>
    </row>
    <row r="428" spans="1:6" x14ac:dyDescent="0.35">
      <c r="A428" t="s">
        <v>627</v>
      </c>
      <c r="B428" t="s">
        <v>47</v>
      </c>
      <c r="C428" t="s">
        <v>75</v>
      </c>
      <c r="D428" t="s">
        <v>1037</v>
      </c>
      <c r="E428" t="s">
        <v>627</v>
      </c>
      <c r="F428" t="s">
        <v>75</v>
      </c>
    </row>
    <row r="429" spans="1:6" x14ac:dyDescent="0.35">
      <c r="A429" t="s">
        <v>426</v>
      </c>
      <c r="B429" t="s">
        <v>16</v>
      </c>
      <c r="C429" t="s">
        <v>425</v>
      </c>
      <c r="D429" t="s">
        <v>1038</v>
      </c>
      <c r="E429" t="s">
        <v>426</v>
      </c>
      <c r="F429" t="s">
        <v>425</v>
      </c>
    </row>
    <row r="430" spans="1:6" x14ac:dyDescent="0.35">
      <c r="A430" t="s">
        <v>622</v>
      </c>
      <c r="B430" t="s">
        <v>16</v>
      </c>
      <c r="C430" t="s">
        <v>75</v>
      </c>
      <c r="D430" t="s">
        <v>1039</v>
      </c>
      <c r="E430" t="s">
        <v>622</v>
      </c>
      <c r="F430" t="s">
        <v>75</v>
      </c>
    </row>
    <row r="431" spans="1:6" x14ac:dyDescent="0.35">
      <c r="A431" t="s">
        <v>220</v>
      </c>
      <c r="B431" t="s">
        <v>16</v>
      </c>
      <c r="C431" t="s">
        <v>55</v>
      </c>
      <c r="D431" t="s">
        <v>1040</v>
      </c>
      <c r="E431" t="s">
        <v>220</v>
      </c>
      <c r="F431" t="s">
        <v>55</v>
      </c>
    </row>
    <row r="432" spans="1:6" x14ac:dyDescent="0.35">
      <c r="A432" t="s">
        <v>1041</v>
      </c>
      <c r="B432" t="s">
        <v>16</v>
      </c>
      <c r="C432" t="s">
        <v>30</v>
      </c>
      <c r="D432" t="s">
        <v>1687</v>
      </c>
      <c r="E432" t="s">
        <v>1041</v>
      </c>
      <c r="F432" t="s">
        <v>30</v>
      </c>
    </row>
    <row r="433" spans="1:6" x14ac:dyDescent="0.35">
      <c r="A433" t="s">
        <v>1043</v>
      </c>
      <c r="B433" t="s">
        <v>47</v>
      </c>
      <c r="C433" t="s">
        <v>83</v>
      </c>
      <c r="D433" t="s">
        <v>1042</v>
      </c>
      <c r="E433" t="s">
        <v>1043</v>
      </c>
      <c r="F433" t="s">
        <v>83</v>
      </c>
    </row>
    <row r="434" spans="1:6" x14ac:dyDescent="0.35">
      <c r="A434" t="s">
        <v>1402</v>
      </c>
      <c r="B434" t="s">
        <v>47</v>
      </c>
      <c r="C434" t="s">
        <v>52</v>
      </c>
      <c r="D434" t="s">
        <v>1688</v>
      </c>
      <c r="E434" t="s">
        <v>1402</v>
      </c>
      <c r="F434" t="s">
        <v>52</v>
      </c>
    </row>
    <row r="435" spans="1:6" x14ac:dyDescent="0.35">
      <c r="A435" t="s">
        <v>1492</v>
      </c>
      <c r="B435" t="s">
        <v>16</v>
      </c>
      <c r="C435" t="s">
        <v>69</v>
      </c>
      <c r="D435" t="s">
        <v>1689</v>
      </c>
      <c r="E435" t="s">
        <v>1492</v>
      </c>
      <c r="F435" t="s">
        <v>69</v>
      </c>
    </row>
    <row r="436" spans="1:6" x14ac:dyDescent="0.35">
      <c r="A436" t="s">
        <v>270</v>
      </c>
      <c r="B436" t="s">
        <v>47</v>
      </c>
      <c r="C436" t="s">
        <v>34</v>
      </c>
      <c r="D436" t="s">
        <v>1044</v>
      </c>
      <c r="E436" t="s">
        <v>270</v>
      </c>
      <c r="F436" t="s">
        <v>34</v>
      </c>
    </row>
    <row r="437" spans="1:6" x14ac:dyDescent="0.35">
      <c r="A437" t="s">
        <v>238</v>
      </c>
      <c r="B437" t="s">
        <v>16</v>
      </c>
      <c r="C437" t="s">
        <v>40</v>
      </c>
      <c r="D437" t="s">
        <v>1045</v>
      </c>
      <c r="E437" t="s">
        <v>238</v>
      </c>
      <c r="F437" t="s">
        <v>40</v>
      </c>
    </row>
    <row r="438" spans="1:6" x14ac:dyDescent="0.35">
      <c r="A438" t="s">
        <v>1046</v>
      </c>
      <c r="B438" t="s">
        <v>47</v>
      </c>
      <c r="C438" t="s">
        <v>140</v>
      </c>
      <c r="D438" t="s">
        <v>1690</v>
      </c>
      <c r="E438" t="s">
        <v>1046</v>
      </c>
      <c r="F438" t="s">
        <v>140</v>
      </c>
    </row>
    <row r="439" spans="1:6" x14ac:dyDescent="0.35">
      <c r="A439" t="s">
        <v>1047</v>
      </c>
      <c r="B439" t="s">
        <v>16</v>
      </c>
      <c r="C439" t="s">
        <v>30</v>
      </c>
      <c r="D439" t="s">
        <v>1691</v>
      </c>
      <c r="E439" t="s">
        <v>1047</v>
      </c>
      <c r="F439" t="s">
        <v>30</v>
      </c>
    </row>
    <row r="440" spans="1:6" x14ac:dyDescent="0.35">
      <c r="A440" t="s">
        <v>257</v>
      </c>
      <c r="B440" t="s">
        <v>16</v>
      </c>
      <c r="C440" t="s">
        <v>17</v>
      </c>
      <c r="D440" t="s">
        <v>1048</v>
      </c>
      <c r="E440" t="s">
        <v>257</v>
      </c>
      <c r="F440" t="s">
        <v>17</v>
      </c>
    </row>
    <row r="441" spans="1:6" x14ac:dyDescent="0.35">
      <c r="A441" t="s">
        <v>540</v>
      </c>
      <c r="B441" t="s">
        <v>16</v>
      </c>
      <c r="C441" t="s">
        <v>20</v>
      </c>
      <c r="D441" t="s">
        <v>1049</v>
      </c>
      <c r="E441" t="s">
        <v>540</v>
      </c>
      <c r="F441" t="s">
        <v>20</v>
      </c>
    </row>
    <row r="442" spans="1:6" x14ac:dyDescent="0.35">
      <c r="A442" t="s">
        <v>1428</v>
      </c>
      <c r="B442" t="s">
        <v>16</v>
      </c>
      <c r="C442" t="s">
        <v>17</v>
      </c>
      <c r="D442" t="s">
        <v>1692</v>
      </c>
      <c r="E442" t="s">
        <v>1428</v>
      </c>
      <c r="F442" t="s">
        <v>17</v>
      </c>
    </row>
    <row r="443" spans="1:6" x14ac:dyDescent="0.35">
      <c r="A443" t="s">
        <v>273</v>
      </c>
      <c r="B443" t="s">
        <v>16</v>
      </c>
      <c r="C443" t="s">
        <v>48</v>
      </c>
      <c r="D443" t="s">
        <v>1050</v>
      </c>
      <c r="E443" t="s">
        <v>273</v>
      </c>
      <c r="F443" t="s">
        <v>48</v>
      </c>
    </row>
    <row r="444" spans="1:6" x14ac:dyDescent="0.35">
      <c r="A444" t="s">
        <v>1051</v>
      </c>
      <c r="B444" t="s">
        <v>47</v>
      </c>
      <c r="C444" t="s">
        <v>75</v>
      </c>
      <c r="D444" t="s">
        <v>1693</v>
      </c>
      <c r="E444" t="s">
        <v>1051</v>
      </c>
      <c r="F444" t="s">
        <v>75</v>
      </c>
    </row>
    <row r="445" spans="1:6" x14ac:dyDescent="0.35">
      <c r="A445" t="s">
        <v>406</v>
      </c>
      <c r="B445" t="s">
        <v>47</v>
      </c>
      <c r="C445" t="s">
        <v>75</v>
      </c>
      <c r="D445" t="s">
        <v>1052</v>
      </c>
      <c r="E445" t="s">
        <v>406</v>
      </c>
      <c r="F445" t="s">
        <v>75</v>
      </c>
    </row>
    <row r="446" spans="1:6" x14ac:dyDescent="0.35">
      <c r="A446" t="s">
        <v>354</v>
      </c>
      <c r="B446" t="s">
        <v>47</v>
      </c>
      <c r="C446" t="s">
        <v>101</v>
      </c>
      <c r="D446" t="s">
        <v>1694</v>
      </c>
      <c r="E446" t="s">
        <v>354</v>
      </c>
      <c r="F446" t="s">
        <v>101</v>
      </c>
    </row>
    <row r="447" spans="1:6" x14ac:dyDescent="0.35">
      <c r="A447" t="s">
        <v>153</v>
      </c>
      <c r="B447" t="s">
        <v>47</v>
      </c>
      <c r="C447" t="s">
        <v>20</v>
      </c>
      <c r="D447" t="s">
        <v>1053</v>
      </c>
      <c r="E447" t="s">
        <v>153</v>
      </c>
      <c r="F447" t="s">
        <v>20</v>
      </c>
    </row>
    <row r="448" spans="1:6" x14ac:dyDescent="0.35">
      <c r="A448" t="s">
        <v>1393</v>
      </c>
      <c r="B448" t="s">
        <v>47</v>
      </c>
      <c r="C448" t="s">
        <v>35</v>
      </c>
      <c r="D448" t="s">
        <v>1695</v>
      </c>
      <c r="E448" t="s">
        <v>1393</v>
      </c>
      <c r="F448" t="s">
        <v>35</v>
      </c>
    </row>
    <row r="449" spans="1:6" x14ac:dyDescent="0.35">
      <c r="A449" t="s">
        <v>530</v>
      </c>
      <c r="B449" t="s">
        <v>47</v>
      </c>
      <c r="C449" t="s">
        <v>87</v>
      </c>
      <c r="D449" t="s">
        <v>1054</v>
      </c>
      <c r="E449" t="s">
        <v>530</v>
      </c>
      <c r="F449" t="s">
        <v>87</v>
      </c>
    </row>
    <row r="450" spans="1:6" x14ac:dyDescent="0.35">
      <c r="A450" t="s">
        <v>271</v>
      </c>
      <c r="B450" t="s">
        <v>47</v>
      </c>
      <c r="C450" t="s">
        <v>48</v>
      </c>
      <c r="D450" t="s">
        <v>1055</v>
      </c>
      <c r="E450" t="s">
        <v>271</v>
      </c>
      <c r="F450" t="s">
        <v>48</v>
      </c>
    </row>
    <row r="451" spans="1:6" x14ac:dyDescent="0.35">
      <c r="A451" t="s">
        <v>1435</v>
      </c>
      <c r="B451" t="s">
        <v>47</v>
      </c>
      <c r="C451" t="s">
        <v>18</v>
      </c>
      <c r="D451" t="s">
        <v>1696</v>
      </c>
      <c r="E451" t="s">
        <v>1435</v>
      </c>
      <c r="F451" t="s">
        <v>18</v>
      </c>
    </row>
    <row r="452" spans="1:6" x14ac:dyDescent="0.35">
      <c r="A452" t="s">
        <v>1056</v>
      </c>
      <c r="B452" t="s">
        <v>47</v>
      </c>
      <c r="C452" t="s">
        <v>18</v>
      </c>
      <c r="D452" t="s">
        <v>1696</v>
      </c>
      <c r="E452" t="s">
        <v>1056</v>
      </c>
      <c r="F452" t="s">
        <v>18</v>
      </c>
    </row>
    <row r="453" spans="1:6" x14ac:dyDescent="0.35">
      <c r="A453" t="s">
        <v>1057</v>
      </c>
      <c r="B453" t="s">
        <v>16</v>
      </c>
      <c r="C453" t="s">
        <v>87</v>
      </c>
      <c r="D453" t="s">
        <v>1697</v>
      </c>
      <c r="E453" t="s">
        <v>1057</v>
      </c>
      <c r="F453" t="s">
        <v>87</v>
      </c>
    </row>
    <row r="454" spans="1:6" x14ac:dyDescent="0.35">
      <c r="A454" t="s">
        <v>337</v>
      </c>
      <c r="B454" t="s">
        <v>47</v>
      </c>
      <c r="C454" t="s">
        <v>87</v>
      </c>
      <c r="D454" t="s">
        <v>1058</v>
      </c>
      <c r="E454" t="s">
        <v>337</v>
      </c>
      <c r="F454" t="s">
        <v>87</v>
      </c>
    </row>
    <row r="455" spans="1:6" x14ac:dyDescent="0.35">
      <c r="A455" t="s">
        <v>338</v>
      </c>
      <c r="B455" t="s">
        <v>47</v>
      </c>
      <c r="C455" t="s">
        <v>87</v>
      </c>
      <c r="D455" t="s">
        <v>1059</v>
      </c>
      <c r="E455" t="s">
        <v>338</v>
      </c>
      <c r="F455" t="s">
        <v>87</v>
      </c>
    </row>
    <row r="456" spans="1:6" x14ac:dyDescent="0.35">
      <c r="A456" t="s">
        <v>176</v>
      </c>
      <c r="B456" t="s">
        <v>47</v>
      </c>
      <c r="C456" t="s">
        <v>105</v>
      </c>
      <c r="D456" t="s">
        <v>1698</v>
      </c>
      <c r="E456" t="s">
        <v>176</v>
      </c>
      <c r="F456" t="s">
        <v>105</v>
      </c>
    </row>
    <row r="457" spans="1:6" x14ac:dyDescent="0.35">
      <c r="A457" t="s">
        <v>1460</v>
      </c>
      <c r="B457" t="s">
        <v>47</v>
      </c>
      <c r="C457" t="s">
        <v>17</v>
      </c>
      <c r="D457" t="s">
        <v>1699</v>
      </c>
      <c r="E457" t="s">
        <v>1460</v>
      </c>
      <c r="F457" t="s">
        <v>17</v>
      </c>
    </row>
    <row r="458" spans="1:6" x14ac:dyDescent="0.35">
      <c r="A458" t="s">
        <v>529</v>
      </c>
      <c r="B458" t="s">
        <v>47</v>
      </c>
      <c r="C458" t="s">
        <v>87</v>
      </c>
      <c r="D458" t="s">
        <v>1700</v>
      </c>
      <c r="E458" t="s">
        <v>529</v>
      </c>
      <c r="F458" t="s">
        <v>87</v>
      </c>
    </row>
    <row r="459" spans="1:6" x14ac:dyDescent="0.35">
      <c r="A459" t="s">
        <v>184</v>
      </c>
      <c r="B459" t="s">
        <v>47</v>
      </c>
      <c r="C459" t="s">
        <v>21</v>
      </c>
      <c r="D459" t="s">
        <v>1060</v>
      </c>
      <c r="E459" t="s">
        <v>184</v>
      </c>
      <c r="F459" t="s">
        <v>21</v>
      </c>
    </row>
    <row r="460" spans="1:6" x14ac:dyDescent="0.35">
      <c r="A460" t="s">
        <v>471</v>
      </c>
      <c r="B460" t="s">
        <v>47</v>
      </c>
      <c r="C460" t="s">
        <v>55</v>
      </c>
      <c r="D460" t="s">
        <v>1061</v>
      </c>
      <c r="E460" t="s">
        <v>471</v>
      </c>
      <c r="F460" t="s">
        <v>55</v>
      </c>
    </row>
    <row r="461" spans="1:6" x14ac:dyDescent="0.35">
      <c r="A461" t="s">
        <v>1062</v>
      </c>
      <c r="B461" t="s">
        <v>47</v>
      </c>
      <c r="C461" t="s">
        <v>56</v>
      </c>
      <c r="D461" t="s">
        <v>1701</v>
      </c>
      <c r="E461" t="s">
        <v>1062</v>
      </c>
      <c r="F461" t="s">
        <v>56</v>
      </c>
    </row>
    <row r="462" spans="1:6" x14ac:dyDescent="0.35">
      <c r="A462" t="s">
        <v>1064</v>
      </c>
      <c r="B462" t="s">
        <v>47</v>
      </c>
      <c r="C462" t="s">
        <v>87</v>
      </c>
      <c r="D462" t="s">
        <v>1063</v>
      </c>
      <c r="E462" t="s">
        <v>1064</v>
      </c>
      <c r="F462" t="s">
        <v>87</v>
      </c>
    </row>
    <row r="463" spans="1:6" x14ac:dyDescent="0.35">
      <c r="A463" t="s">
        <v>1398</v>
      </c>
      <c r="B463" t="s">
        <v>47</v>
      </c>
      <c r="C463" t="s">
        <v>1399</v>
      </c>
      <c r="D463" t="s">
        <v>1702</v>
      </c>
      <c r="E463" t="s">
        <v>1398</v>
      </c>
      <c r="F463" t="s">
        <v>1399</v>
      </c>
    </row>
    <row r="464" spans="1:6" x14ac:dyDescent="0.35">
      <c r="A464" t="s">
        <v>1451</v>
      </c>
      <c r="B464" t="s">
        <v>16</v>
      </c>
      <c r="C464" t="s">
        <v>18</v>
      </c>
      <c r="D464" t="s">
        <v>1703</v>
      </c>
      <c r="E464" t="s">
        <v>1451</v>
      </c>
      <c r="F464" t="s">
        <v>18</v>
      </c>
    </row>
    <row r="465" spans="1:6" x14ac:dyDescent="0.35">
      <c r="A465" t="s">
        <v>462</v>
      </c>
      <c r="B465" t="s">
        <v>47</v>
      </c>
      <c r="C465" t="s">
        <v>348</v>
      </c>
      <c r="D465" t="s">
        <v>1065</v>
      </c>
      <c r="E465" t="s">
        <v>462</v>
      </c>
      <c r="F465" t="s">
        <v>348</v>
      </c>
    </row>
    <row r="466" spans="1:6" x14ac:dyDescent="0.35">
      <c r="A466" t="s">
        <v>400</v>
      </c>
      <c r="B466" t="s">
        <v>47</v>
      </c>
      <c r="C466" t="s">
        <v>87</v>
      </c>
      <c r="D466" t="s">
        <v>1066</v>
      </c>
      <c r="E466" t="s">
        <v>400</v>
      </c>
      <c r="F466" t="s">
        <v>87</v>
      </c>
    </row>
    <row r="467" spans="1:6" x14ac:dyDescent="0.35">
      <c r="A467" t="s">
        <v>1067</v>
      </c>
      <c r="B467" t="s">
        <v>47</v>
      </c>
      <c r="C467" t="s">
        <v>22</v>
      </c>
      <c r="D467" t="s">
        <v>1704</v>
      </c>
      <c r="E467" t="s">
        <v>1067</v>
      </c>
      <c r="F467" t="s">
        <v>22</v>
      </c>
    </row>
    <row r="468" spans="1:6" x14ac:dyDescent="0.35">
      <c r="A468" t="s">
        <v>1068</v>
      </c>
      <c r="B468" t="s">
        <v>16</v>
      </c>
      <c r="C468" t="s">
        <v>34</v>
      </c>
      <c r="D468" t="s">
        <v>1705</v>
      </c>
      <c r="E468" t="s">
        <v>1068</v>
      </c>
      <c r="F468" t="s">
        <v>34</v>
      </c>
    </row>
    <row r="469" spans="1:6" x14ac:dyDescent="0.35">
      <c r="A469" t="s">
        <v>1511</v>
      </c>
      <c r="B469" t="s">
        <v>16</v>
      </c>
      <c r="C469" t="s">
        <v>17</v>
      </c>
      <c r="D469" t="s">
        <v>1706</v>
      </c>
      <c r="E469" t="s">
        <v>1511</v>
      </c>
      <c r="F469" t="s">
        <v>17</v>
      </c>
    </row>
    <row r="470" spans="1:6" x14ac:dyDescent="0.35">
      <c r="A470" t="s">
        <v>1069</v>
      </c>
      <c r="B470" t="s">
        <v>47</v>
      </c>
      <c r="C470" t="s">
        <v>75</v>
      </c>
      <c r="D470" t="s">
        <v>1707</v>
      </c>
      <c r="E470" t="s">
        <v>1069</v>
      </c>
      <c r="F470" t="s">
        <v>75</v>
      </c>
    </row>
    <row r="471" spans="1:6" x14ac:dyDescent="0.35">
      <c r="A471" t="s">
        <v>1437</v>
      </c>
      <c r="B471" t="s">
        <v>16</v>
      </c>
      <c r="C471" t="s">
        <v>18</v>
      </c>
      <c r="D471" t="s">
        <v>1708</v>
      </c>
      <c r="E471" t="s">
        <v>1437</v>
      </c>
      <c r="F471" t="s">
        <v>18</v>
      </c>
    </row>
    <row r="472" spans="1:6" x14ac:dyDescent="0.35">
      <c r="A472" t="s">
        <v>1359</v>
      </c>
      <c r="B472" t="s">
        <v>16</v>
      </c>
      <c r="C472" t="s">
        <v>18</v>
      </c>
      <c r="D472" t="s">
        <v>1709</v>
      </c>
      <c r="E472" t="s">
        <v>1359</v>
      </c>
      <c r="F472" t="s">
        <v>18</v>
      </c>
    </row>
    <row r="473" spans="1:6" x14ac:dyDescent="0.35">
      <c r="A473" t="s">
        <v>617</v>
      </c>
      <c r="B473" t="s">
        <v>16</v>
      </c>
      <c r="C473" t="s">
        <v>87</v>
      </c>
      <c r="D473" t="s">
        <v>1710</v>
      </c>
      <c r="E473" t="s">
        <v>617</v>
      </c>
      <c r="F473" t="s">
        <v>87</v>
      </c>
    </row>
    <row r="474" spans="1:6" x14ac:dyDescent="0.35">
      <c r="A474" t="s">
        <v>468</v>
      </c>
      <c r="B474" t="s">
        <v>47</v>
      </c>
      <c r="C474" t="s">
        <v>35</v>
      </c>
      <c r="D474" t="s">
        <v>1070</v>
      </c>
      <c r="E474" t="s">
        <v>468</v>
      </c>
      <c r="F474" t="s">
        <v>35</v>
      </c>
    </row>
    <row r="475" spans="1:6" x14ac:dyDescent="0.35">
      <c r="A475" t="s">
        <v>584</v>
      </c>
      <c r="B475" t="s">
        <v>47</v>
      </c>
      <c r="C475" t="s">
        <v>56</v>
      </c>
      <c r="D475" t="s">
        <v>1071</v>
      </c>
      <c r="E475" t="s">
        <v>584</v>
      </c>
      <c r="F475" t="s">
        <v>56</v>
      </c>
    </row>
    <row r="476" spans="1:6" x14ac:dyDescent="0.35">
      <c r="A476" t="s">
        <v>447</v>
      </c>
      <c r="B476" t="s">
        <v>47</v>
      </c>
      <c r="C476" t="s">
        <v>56</v>
      </c>
      <c r="D476" t="s">
        <v>1072</v>
      </c>
      <c r="E476" t="s">
        <v>447</v>
      </c>
      <c r="F476" t="s">
        <v>56</v>
      </c>
    </row>
    <row r="477" spans="1:6" x14ac:dyDescent="0.35">
      <c r="A477" t="s">
        <v>158</v>
      </c>
      <c r="B477" t="s">
        <v>47</v>
      </c>
      <c r="C477" t="s">
        <v>55</v>
      </c>
      <c r="D477" t="s">
        <v>1073</v>
      </c>
      <c r="E477" t="s">
        <v>158</v>
      </c>
      <c r="F477" t="s">
        <v>55</v>
      </c>
    </row>
    <row r="478" spans="1:6" x14ac:dyDescent="0.35">
      <c r="A478" t="s">
        <v>182</v>
      </c>
      <c r="B478" t="s">
        <v>47</v>
      </c>
      <c r="C478" t="s">
        <v>19</v>
      </c>
      <c r="D478" t="s">
        <v>1074</v>
      </c>
      <c r="E478" t="s">
        <v>182</v>
      </c>
      <c r="F478" t="s">
        <v>19</v>
      </c>
    </row>
    <row r="479" spans="1:6" x14ac:dyDescent="0.35">
      <c r="A479" t="s">
        <v>1496</v>
      </c>
      <c r="B479" t="s">
        <v>16</v>
      </c>
      <c r="C479" t="s">
        <v>21</v>
      </c>
      <c r="D479" t="s">
        <v>1711</v>
      </c>
      <c r="E479" t="s">
        <v>1496</v>
      </c>
      <c r="F479" t="s">
        <v>21</v>
      </c>
    </row>
    <row r="480" spans="1:6" x14ac:dyDescent="0.35">
      <c r="A480" t="s">
        <v>209</v>
      </c>
      <c r="B480" t="s">
        <v>16</v>
      </c>
      <c r="C480" t="s">
        <v>35</v>
      </c>
      <c r="D480" t="s">
        <v>1075</v>
      </c>
      <c r="E480" t="s">
        <v>209</v>
      </c>
      <c r="F480" t="s">
        <v>35</v>
      </c>
    </row>
    <row r="481" spans="1:6" x14ac:dyDescent="0.35">
      <c r="A481" t="s">
        <v>1367</v>
      </c>
      <c r="B481" t="s">
        <v>16</v>
      </c>
      <c r="C481" t="s">
        <v>83</v>
      </c>
      <c r="D481" t="s">
        <v>1712</v>
      </c>
      <c r="E481" t="s">
        <v>1367</v>
      </c>
      <c r="F481" t="s">
        <v>83</v>
      </c>
    </row>
    <row r="482" spans="1:6" x14ac:dyDescent="0.35">
      <c r="A482" t="s">
        <v>456</v>
      </c>
      <c r="B482" t="s">
        <v>47</v>
      </c>
      <c r="C482" t="s">
        <v>55</v>
      </c>
      <c r="D482" t="s">
        <v>1076</v>
      </c>
      <c r="E482" t="s">
        <v>456</v>
      </c>
      <c r="F482" t="s">
        <v>55</v>
      </c>
    </row>
    <row r="483" spans="1:6" x14ac:dyDescent="0.35">
      <c r="A483" t="s">
        <v>1077</v>
      </c>
      <c r="B483" t="s">
        <v>16</v>
      </c>
      <c r="C483" t="s">
        <v>18</v>
      </c>
      <c r="D483" t="s">
        <v>1713</v>
      </c>
      <c r="E483" t="s">
        <v>1077</v>
      </c>
      <c r="F483" t="s">
        <v>18</v>
      </c>
    </row>
    <row r="484" spans="1:6" x14ac:dyDescent="0.35">
      <c r="A484" t="s">
        <v>1502</v>
      </c>
      <c r="B484" t="s">
        <v>47</v>
      </c>
      <c r="C484" t="s">
        <v>55</v>
      </c>
      <c r="D484" t="s">
        <v>1714</v>
      </c>
      <c r="E484" t="s">
        <v>1502</v>
      </c>
      <c r="F484" t="s">
        <v>55</v>
      </c>
    </row>
    <row r="485" spans="1:6" x14ac:dyDescent="0.35">
      <c r="A485" t="s">
        <v>1481</v>
      </c>
      <c r="B485" t="s">
        <v>47</v>
      </c>
      <c r="C485" t="s">
        <v>51</v>
      </c>
      <c r="D485" t="s">
        <v>1715</v>
      </c>
      <c r="E485" t="s">
        <v>1481</v>
      </c>
      <c r="F485" t="s">
        <v>51</v>
      </c>
    </row>
    <row r="486" spans="1:6" x14ac:dyDescent="0.35">
      <c r="A486" t="s">
        <v>568</v>
      </c>
      <c r="B486" t="s">
        <v>47</v>
      </c>
      <c r="C486" t="s">
        <v>34</v>
      </c>
      <c r="D486" t="s">
        <v>1078</v>
      </c>
      <c r="E486" t="s">
        <v>568</v>
      </c>
      <c r="F486" t="s">
        <v>34</v>
      </c>
    </row>
    <row r="487" spans="1:6" x14ac:dyDescent="0.35">
      <c r="A487" t="s">
        <v>1079</v>
      </c>
      <c r="B487" t="s">
        <v>47</v>
      </c>
      <c r="C487" t="s">
        <v>75</v>
      </c>
      <c r="D487" t="s">
        <v>1716</v>
      </c>
      <c r="E487" t="s">
        <v>1079</v>
      </c>
      <c r="F487" t="s">
        <v>75</v>
      </c>
    </row>
    <row r="488" spans="1:6" x14ac:dyDescent="0.35">
      <c r="A488" t="s">
        <v>332</v>
      </c>
      <c r="B488" t="s">
        <v>47</v>
      </c>
      <c r="C488" t="s">
        <v>87</v>
      </c>
      <c r="D488" t="s">
        <v>1080</v>
      </c>
      <c r="E488" t="s">
        <v>332</v>
      </c>
      <c r="F488" t="s">
        <v>87</v>
      </c>
    </row>
    <row r="489" spans="1:6" x14ac:dyDescent="0.35">
      <c r="A489" t="s">
        <v>1081</v>
      </c>
      <c r="B489" t="s">
        <v>16</v>
      </c>
      <c r="C489" t="s">
        <v>593</v>
      </c>
      <c r="D489" t="s">
        <v>1717</v>
      </c>
      <c r="E489" t="s">
        <v>1081</v>
      </c>
      <c r="F489" t="s">
        <v>593</v>
      </c>
    </row>
    <row r="490" spans="1:6" x14ac:dyDescent="0.35">
      <c r="A490" t="s">
        <v>422</v>
      </c>
      <c r="B490" t="s">
        <v>16</v>
      </c>
      <c r="C490" t="s">
        <v>22</v>
      </c>
      <c r="D490" t="s">
        <v>1082</v>
      </c>
      <c r="E490" t="s">
        <v>422</v>
      </c>
      <c r="F490" t="s">
        <v>22</v>
      </c>
    </row>
    <row r="491" spans="1:6" x14ac:dyDescent="0.35">
      <c r="A491" t="s">
        <v>592</v>
      </c>
      <c r="B491" t="s">
        <v>16</v>
      </c>
      <c r="C491" t="s">
        <v>34</v>
      </c>
      <c r="D491" t="s">
        <v>1083</v>
      </c>
      <c r="E491" t="s">
        <v>592</v>
      </c>
      <c r="F491" t="s">
        <v>34</v>
      </c>
    </row>
    <row r="492" spans="1:6" x14ac:dyDescent="0.35">
      <c r="A492" t="s">
        <v>368</v>
      </c>
      <c r="B492" t="s">
        <v>16</v>
      </c>
      <c r="C492" t="s">
        <v>20</v>
      </c>
      <c r="D492" t="s">
        <v>1084</v>
      </c>
      <c r="E492" t="s">
        <v>368</v>
      </c>
      <c r="F492" t="s">
        <v>20</v>
      </c>
    </row>
    <row r="493" spans="1:6" x14ac:dyDescent="0.35">
      <c r="A493" t="s">
        <v>432</v>
      </c>
      <c r="B493" t="s">
        <v>16</v>
      </c>
      <c r="C493" t="s">
        <v>55</v>
      </c>
      <c r="D493" t="s">
        <v>1085</v>
      </c>
      <c r="E493" t="s">
        <v>432</v>
      </c>
      <c r="F493" t="s">
        <v>55</v>
      </c>
    </row>
    <row r="494" spans="1:6" x14ac:dyDescent="0.35">
      <c r="A494" t="s">
        <v>1087</v>
      </c>
      <c r="B494" t="s">
        <v>47</v>
      </c>
      <c r="C494" t="s">
        <v>83</v>
      </c>
      <c r="D494" t="s">
        <v>1718</v>
      </c>
      <c r="E494" t="s">
        <v>1087</v>
      </c>
      <c r="F494" t="s">
        <v>83</v>
      </c>
    </row>
    <row r="495" spans="1:6" x14ac:dyDescent="0.35">
      <c r="A495" t="s">
        <v>585</v>
      </c>
      <c r="B495" t="s">
        <v>47</v>
      </c>
      <c r="C495" t="s">
        <v>56</v>
      </c>
      <c r="D495" t="s">
        <v>1088</v>
      </c>
      <c r="E495" t="s">
        <v>585</v>
      </c>
      <c r="F495" t="s">
        <v>56</v>
      </c>
    </row>
    <row r="496" spans="1:6" x14ac:dyDescent="0.35">
      <c r="A496" t="s">
        <v>1394</v>
      </c>
      <c r="B496" t="s">
        <v>47</v>
      </c>
      <c r="C496" t="s">
        <v>147</v>
      </c>
      <c r="D496" t="s">
        <v>1719</v>
      </c>
      <c r="E496" t="s">
        <v>1394</v>
      </c>
      <c r="F496" t="s">
        <v>147</v>
      </c>
    </row>
    <row r="497" spans="1:6" x14ac:dyDescent="0.35">
      <c r="A497" t="s">
        <v>553</v>
      </c>
      <c r="B497" t="s">
        <v>16</v>
      </c>
      <c r="C497" t="s">
        <v>22</v>
      </c>
      <c r="D497" t="s">
        <v>1720</v>
      </c>
      <c r="E497" t="s">
        <v>553</v>
      </c>
      <c r="F497" t="s">
        <v>22</v>
      </c>
    </row>
    <row r="498" spans="1:6" x14ac:dyDescent="0.35">
      <c r="A498" t="s">
        <v>602</v>
      </c>
      <c r="B498" t="s">
        <v>47</v>
      </c>
      <c r="C498" t="s">
        <v>101</v>
      </c>
      <c r="D498" t="s">
        <v>1089</v>
      </c>
      <c r="E498" t="s">
        <v>602</v>
      </c>
      <c r="F498" t="s">
        <v>101</v>
      </c>
    </row>
    <row r="499" spans="1:6" x14ac:dyDescent="0.35">
      <c r="A499" t="s">
        <v>660</v>
      </c>
      <c r="B499" t="s">
        <v>16</v>
      </c>
      <c r="C499" t="s">
        <v>661</v>
      </c>
      <c r="D499" t="s">
        <v>1090</v>
      </c>
      <c r="E499" t="s">
        <v>660</v>
      </c>
      <c r="F499" t="s">
        <v>661</v>
      </c>
    </row>
    <row r="500" spans="1:6" x14ac:dyDescent="0.35">
      <c r="A500" t="s">
        <v>117</v>
      </c>
      <c r="B500" t="s">
        <v>16</v>
      </c>
      <c r="C500" t="s">
        <v>22</v>
      </c>
      <c r="D500" t="s">
        <v>1721</v>
      </c>
      <c r="E500" t="s">
        <v>117</v>
      </c>
      <c r="F500" t="s">
        <v>22</v>
      </c>
    </row>
    <row r="501" spans="1:6" x14ac:dyDescent="0.35">
      <c r="A501" t="s">
        <v>1396</v>
      </c>
      <c r="B501" t="s">
        <v>47</v>
      </c>
      <c r="C501" t="s">
        <v>39</v>
      </c>
      <c r="D501" t="s">
        <v>1722</v>
      </c>
      <c r="E501" t="s">
        <v>1396</v>
      </c>
      <c r="F501" t="s">
        <v>39</v>
      </c>
    </row>
    <row r="502" spans="1:6" x14ac:dyDescent="0.35">
      <c r="A502" t="s">
        <v>512</v>
      </c>
      <c r="B502" t="s">
        <v>16</v>
      </c>
      <c r="C502" t="s">
        <v>35</v>
      </c>
      <c r="D502" t="s">
        <v>1091</v>
      </c>
      <c r="E502" t="s">
        <v>512</v>
      </c>
      <c r="F502" t="s">
        <v>35</v>
      </c>
    </row>
    <row r="503" spans="1:6" x14ac:dyDescent="0.35">
      <c r="A503" t="s">
        <v>1345</v>
      </c>
      <c r="B503" t="s">
        <v>16</v>
      </c>
      <c r="C503" t="s">
        <v>40</v>
      </c>
      <c r="D503" t="s">
        <v>1723</v>
      </c>
      <c r="E503" t="s">
        <v>1345</v>
      </c>
      <c r="F503" t="s">
        <v>40</v>
      </c>
    </row>
    <row r="504" spans="1:6" x14ac:dyDescent="0.35">
      <c r="A504" t="s">
        <v>299</v>
      </c>
      <c r="B504" t="s">
        <v>47</v>
      </c>
      <c r="C504" t="s">
        <v>22</v>
      </c>
      <c r="D504" t="s">
        <v>1724</v>
      </c>
      <c r="E504" t="s">
        <v>299</v>
      </c>
      <c r="F504" t="s">
        <v>22</v>
      </c>
    </row>
    <row r="505" spans="1:6" x14ac:dyDescent="0.35">
      <c r="A505" t="s">
        <v>1471</v>
      </c>
      <c r="B505" t="s">
        <v>47</v>
      </c>
      <c r="C505" t="s">
        <v>22</v>
      </c>
      <c r="D505" t="s">
        <v>1725</v>
      </c>
      <c r="E505" t="s">
        <v>1471</v>
      </c>
      <c r="F505" t="s">
        <v>22</v>
      </c>
    </row>
    <row r="506" spans="1:6" x14ac:dyDescent="0.35">
      <c r="A506" t="s">
        <v>324</v>
      </c>
      <c r="B506" t="s">
        <v>47</v>
      </c>
      <c r="C506" t="s">
        <v>33</v>
      </c>
      <c r="D506" t="s">
        <v>1093</v>
      </c>
      <c r="E506" t="s">
        <v>324</v>
      </c>
      <c r="F506" t="s">
        <v>33</v>
      </c>
    </row>
    <row r="507" spans="1:6" x14ac:dyDescent="0.35">
      <c r="A507" t="s">
        <v>183</v>
      </c>
      <c r="B507" t="s">
        <v>47</v>
      </c>
      <c r="C507" t="s">
        <v>22</v>
      </c>
      <c r="D507" t="s">
        <v>1726</v>
      </c>
      <c r="E507" t="s">
        <v>183</v>
      </c>
      <c r="F507" t="s">
        <v>22</v>
      </c>
    </row>
    <row r="508" spans="1:6" x14ac:dyDescent="0.35">
      <c r="A508" t="s">
        <v>1333</v>
      </c>
      <c r="B508" t="s">
        <v>47</v>
      </c>
      <c r="C508" t="s">
        <v>19</v>
      </c>
      <c r="D508" t="s">
        <v>1727</v>
      </c>
      <c r="E508" t="s">
        <v>1333</v>
      </c>
      <c r="F508" t="s">
        <v>19</v>
      </c>
    </row>
    <row r="509" spans="1:6" x14ac:dyDescent="0.35">
      <c r="A509" t="s">
        <v>287</v>
      </c>
      <c r="B509" t="s">
        <v>47</v>
      </c>
      <c r="C509" t="s">
        <v>75</v>
      </c>
      <c r="D509" t="s">
        <v>1094</v>
      </c>
      <c r="E509" t="s">
        <v>287</v>
      </c>
      <c r="F509" t="s">
        <v>75</v>
      </c>
    </row>
    <row r="510" spans="1:6" x14ac:dyDescent="0.35">
      <c r="A510" t="s">
        <v>470</v>
      </c>
      <c r="B510" t="s">
        <v>47</v>
      </c>
      <c r="C510" t="s">
        <v>17</v>
      </c>
      <c r="D510" t="s">
        <v>1095</v>
      </c>
      <c r="E510" t="s">
        <v>470</v>
      </c>
      <c r="F510" t="s">
        <v>17</v>
      </c>
    </row>
    <row r="511" spans="1:6" x14ac:dyDescent="0.35">
      <c r="A511" t="s">
        <v>519</v>
      </c>
      <c r="B511" t="s">
        <v>16</v>
      </c>
      <c r="C511" t="s">
        <v>83</v>
      </c>
      <c r="D511" t="s">
        <v>1096</v>
      </c>
      <c r="E511" t="s">
        <v>519</v>
      </c>
      <c r="F511" t="s">
        <v>83</v>
      </c>
    </row>
    <row r="512" spans="1:6" x14ac:dyDescent="0.35">
      <c r="A512" t="s">
        <v>1478</v>
      </c>
      <c r="B512" t="s">
        <v>16</v>
      </c>
      <c r="C512" t="s">
        <v>55</v>
      </c>
      <c r="D512" t="s">
        <v>1728</v>
      </c>
      <c r="E512" t="s">
        <v>1478</v>
      </c>
      <c r="F512" t="s">
        <v>55</v>
      </c>
    </row>
    <row r="513" spans="1:6" x14ac:dyDescent="0.35">
      <c r="A513" t="s">
        <v>198</v>
      </c>
      <c r="B513" t="s">
        <v>16</v>
      </c>
      <c r="C513" t="s">
        <v>21</v>
      </c>
      <c r="D513" t="s">
        <v>1097</v>
      </c>
      <c r="E513" t="s">
        <v>198</v>
      </c>
      <c r="F513" t="s">
        <v>21</v>
      </c>
    </row>
    <row r="514" spans="1:6" x14ac:dyDescent="0.35">
      <c r="A514" t="s">
        <v>278</v>
      </c>
      <c r="B514" t="s">
        <v>16</v>
      </c>
      <c r="C514" t="s">
        <v>20</v>
      </c>
      <c r="D514" t="s">
        <v>1098</v>
      </c>
      <c r="E514" t="s">
        <v>278</v>
      </c>
      <c r="F514" t="s">
        <v>20</v>
      </c>
    </row>
    <row r="515" spans="1:6" x14ac:dyDescent="0.35">
      <c r="A515" t="s">
        <v>645</v>
      </c>
      <c r="B515" t="s">
        <v>16</v>
      </c>
      <c r="C515" t="s">
        <v>20</v>
      </c>
      <c r="D515" t="s">
        <v>1099</v>
      </c>
      <c r="E515" t="s">
        <v>645</v>
      </c>
      <c r="F515" t="s">
        <v>20</v>
      </c>
    </row>
    <row r="516" spans="1:6" x14ac:dyDescent="0.35">
      <c r="A516" t="s">
        <v>1101</v>
      </c>
      <c r="B516" t="s">
        <v>16</v>
      </c>
      <c r="C516" t="s">
        <v>87</v>
      </c>
      <c r="D516" t="s">
        <v>1729</v>
      </c>
      <c r="E516" t="s">
        <v>1101</v>
      </c>
      <c r="F516" t="s">
        <v>87</v>
      </c>
    </row>
    <row r="517" spans="1:6" x14ac:dyDescent="0.35">
      <c r="A517" t="s">
        <v>1102</v>
      </c>
      <c r="B517" t="s">
        <v>16</v>
      </c>
      <c r="C517" t="s">
        <v>87</v>
      </c>
      <c r="D517" t="s">
        <v>1730</v>
      </c>
      <c r="E517" t="s">
        <v>1102</v>
      </c>
      <c r="F517" t="s">
        <v>87</v>
      </c>
    </row>
    <row r="518" spans="1:6" x14ac:dyDescent="0.35">
      <c r="A518" t="s">
        <v>1103</v>
      </c>
      <c r="B518" t="s">
        <v>16</v>
      </c>
      <c r="C518" t="s">
        <v>87</v>
      </c>
      <c r="D518" t="s">
        <v>1731</v>
      </c>
      <c r="E518" t="s">
        <v>1103</v>
      </c>
      <c r="F518" t="s">
        <v>87</v>
      </c>
    </row>
    <row r="519" spans="1:6" x14ac:dyDescent="0.35">
      <c r="A519" t="s">
        <v>1423</v>
      </c>
      <c r="B519" t="s">
        <v>16</v>
      </c>
      <c r="C519" t="s">
        <v>421</v>
      </c>
      <c r="D519" t="s">
        <v>1732</v>
      </c>
      <c r="E519" t="s">
        <v>1423</v>
      </c>
      <c r="F519" t="s">
        <v>421</v>
      </c>
    </row>
    <row r="520" spans="1:6" x14ac:dyDescent="0.35">
      <c r="A520" t="s">
        <v>583</v>
      </c>
      <c r="B520" t="s">
        <v>47</v>
      </c>
      <c r="C520" t="s">
        <v>51</v>
      </c>
      <c r="D520" t="s">
        <v>1104</v>
      </c>
      <c r="E520" t="s">
        <v>583</v>
      </c>
      <c r="F520" t="s">
        <v>51</v>
      </c>
    </row>
    <row r="521" spans="1:6" x14ac:dyDescent="0.35">
      <c r="A521" t="s">
        <v>1507</v>
      </c>
      <c r="B521" t="s">
        <v>16</v>
      </c>
      <c r="C521" t="s">
        <v>35</v>
      </c>
      <c r="D521" t="s">
        <v>1733</v>
      </c>
      <c r="E521" t="s">
        <v>1507</v>
      </c>
      <c r="F521" t="s">
        <v>35</v>
      </c>
    </row>
    <row r="522" spans="1:6" x14ac:dyDescent="0.35">
      <c r="A522" t="s">
        <v>1331</v>
      </c>
      <c r="B522" t="s">
        <v>47</v>
      </c>
      <c r="C522" t="s">
        <v>48</v>
      </c>
      <c r="D522" t="s">
        <v>1734</v>
      </c>
      <c r="E522" t="s">
        <v>1331</v>
      </c>
      <c r="F522" t="s">
        <v>48</v>
      </c>
    </row>
    <row r="523" spans="1:6" x14ac:dyDescent="0.35">
      <c r="A523" t="s">
        <v>501</v>
      </c>
      <c r="B523" t="s">
        <v>16</v>
      </c>
      <c r="C523" t="s">
        <v>48</v>
      </c>
      <c r="D523" t="s">
        <v>1105</v>
      </c>
      <c r="E523" t="s">
        <v>501</v>
      </c>
      <c r="F523" t="s">
        <v>48</v>
      </c>
    </row>
    <row r="524" spans="1:6" x14ac:dyDescent="0.35">
      <c r="A524" t="s">
        <v>1106</v>
      </c>
      <c r="B524" t="s">
        <v>47</v>
      </c>
      <c r="C524" t="s">
        <v>87</v>
      </c>
      <c r="D524" t="s">
        <v>1735</v>
      </c>
      <c r="E524" t="s">
        <v>1106</v>
      </c>
      <c r="F524" t="s">
        <v>87</v>
      </c>
    </row>
    <row r="525" spans="1:6" x14ac:dyDescent="0.35">
      <c r="A525" t="s">
        <v>465</v>
      </c>
      <c r="B525" t="s">
        <v>47</v>
      </c>
      <c r="C525" t="s">
        <v>55</v>
      </c>
      <c r="D525" t="s">
        <v>1736</v>
      </c>
      <c r="E525" t="s">
        <v>465</v>
      </c>
      <c r="F525" t="s">
        <v>55</v>
      </c>
    </row>
    <row r="526" spans="1:6" x14ac:dyDescent="0.35">
      <c r="A526" t="s">
        <v>168</v>
      </c>
      <c r="B526" t="s">
        <v>47</v>
      </c>
      <c r="C526" t="s">
        <v>20</v>
      </c>
      <c r="D526" t="s">
        <v>1737</v>
      </c>
      <c r="E526" t="s">
        <v>168</v>
      </c>
      <c r="F526" t="s">
        <v>20</v>
      </c>
    </row>
    <row r="527" spans="1:6" x14ac:dyDescent="0.35">
      <c r="A527" t="s">
        <v>1107</v>
      </c>
      <c r="B527" t="s">
        <v>47</v>
      </c>
      <c r="C527" t="s">
        <v>75</v>
      </c>
      <c r="D527" t="s">
        <v>1738</v>
      </c>
      <c r="E527" t="s">
        <v>1107</v>
      </c>
      <c r="F527" t="s">
        <v>75</v>
      </c>
    </row>
    <row r="528" spans="1:6" x14ac:dyDescent="0.35">
      <c r="A528" t="s">
        <v>1108</v>
      </c>
      <c r="B528" t="s">
        <v>47</v>
      </c>
      <c r="C528" t="s">
        <v>75</v>
      </c>
      <c r="D528" t="s">
        <v>1739</v>
      </c>
      <c r="E528" t="s">
        <v>1108</v>
      </c>
      <c r="F528" t="s">
        <v>75</v>
      </c>
    </row>
    <row r="529" spans="1:8" x14ac:dyDescent="0.35">
      <c r="A529" t="s">
        <v>1409</v>
      </c>
      <c r="B529" t="s">
        <v>47</v>
      </c>
      <c r="C529" t="s">
        <v>56</v>
      </c>
      <c r="D529" t="s">
        <v>1740</v>
      </c>
      <c r="E529" t="s">
        <v>1409</v>
      </c>
      <c r="F529" t="s">
        <v>56</v>
      </c>
      <c r="H529" t="s">
        <v>56</v>
      </c>
    </row>
    <row r="530" spans="1:8" x14ac:dyDescent="0.35">
      <c r="A530" t="s">
        <v>1448</v>
      </c>
      <c r="B530" t="s">
        <v>47</v>
      </c>
      <c r="C530" t="s">
        <v>18</v>
      </c>
      <c r="D530" t="s">
        <v>1741</v>
      </c>
      <c r="E530" t="s">
        <v>1448</v>
      </c>
      <c r="F530" t="s">
        <v>18</v>
      </c>
    </row>
    <row r="531" spans="1:8" x14ac:dyDescent="0.35">
      <c r="A531" t="s">
        <v>1408</v>
      </c>
      <c r="B531" t="s">
        <v>47</v>
      </c>
      <c r="C531" t="s">
        <v>123</v>
      </c>
      <c r="D531" t="s">
        <v>1742</v>
      </c>
      <c r="E531" t="s">
        <v>1408</v>
      </c>
      <c r="F531" t="s">
        <v>123</v>
      </c>
    </row>
    <row r="532" spans="1:8" x14ac:dyDescent="0.35">
      <c r="A532" t="s">
        <v>505</v>
      </c>
      <c r="B532" t="s">
        <v>16</v>
      </c>
      <c r="C532" t="s">
        <v>17</v>
      </c>
      <c r="D532" t="s">
        <v>1109</v>
      </c>
      <c r="E532" t="s">
        <v>505</v>
      </c>
      <c r="F532" t="s">
        <v>17</v>
      </c>
    </row>
    <row r="533" spans="1:8" x14ac:dyDescent="0.35">
      <c r="A533" t="s">
        <v>554</v>
      </c>
      <c r="B533" t="s">
        <v>47</v>
      </c>
      <c r="C533" t="s">
        <v>51</v>
      </c>
      <c r="D533" t="s">
        <v>1110</v>
      </c>
      <c r="E533" t="s">
        <v>554</v>
      </c>
      <c r="F533" t="s">
        <v>51</v>
      </c>
    </row>
    <row r="534" spans="1:8" x14ac:dyDescent="0.35">
      <c r="A534" t="s">
        <v>236</v>
      </c>
      <c r="B534" t="s">
        <v>16</v>
      </c>
      <c r="C534" t="s">
        <v>83</v>
      </c>
      <c r="D534" t="s">
        <v>1111</v>
      </c>
      <c r="E534" t="s">
        <v>236</v>
      </c>
      <c r="F534" t="s">
        <v>83</v>
      </c>
    </row>
    <row r="535" spans="1:8" x14ac:dyDescent="0.35">
      <c r="A535" t="s">
        <v>1455</v>
      </c>
      <c r="B535" t="s">
        <v>16</v>
      </c>
      <c r="C535" t="s">
        <v>18</v>
      </c>
      <c r="D535" t="s">
        <v>1743</v>
      </c>
      <c r="E535" t="s">
        <v>1455</v>
      </c>
      <c r="F535" t="s">
        <v>18</v>
      </c>
    </row>
    <row r="536" spans="1:8" x14ac:dyDescent="0.35">
      <c r="A536" t="s">
        <v>1344</v>
      </c>
      <c r="B536" t="s">
        <v>16</v>
      </c>
      <c r="C536" t="s">
        <v>22</v>
      </c>
      <c r="D536" t="s">
        <v>1744</v>
      </c>
      <c r="E536" t="s">
        <v>1344</v>
      </c>
      <c r="F536" t="s">
        <v>22</v>
      </c>
    </row>
    <row r="537" spans="1:8" x14ac:dyDescent="0.35">
      <c r="A537" t="s">
        <v>1112</v>
      </c>
      <c r="B537" t="s">
        <v>16</v>
      </c>
      <c r="C537" t="s">
        <v>87</v>
      </c>
      <c r="D537" t="s">
        <v>1745</v>
      </c>
      <c r="E537" t="s">
        <v>1112</v>
      </c>
      <c r="F537" t="s">
        <v>87</v>
      </c>
    </row>
    <row r="538" spans="1:8" x14ac:dyDescent="0.35">
      <c r="A538" t="s">
        <v>1113</v>
      </c>
      <c r="B538" t="s">
        <v>16</v>
      </c>
      <c r="C538" t="s">
        <v>30</v>
      </c>
      <c r="D538" t="s">
        <v>1746</v>
      </c>
      <c r="E538" t="s">
        <v>1113</v>
      </c>
      <c r="F538" t="s">
        <v>30</v>
      </c>
    </row>
    <row r="539" spans="1:8" x14ac:dyDescent="0.35">
      <c r="A539" t="s">
        <v>386</v>
      </c>
      <c r="B539" t="s">
        <v>16</v>
      </c>
      <c r="C539" t="s">
        <v>30</v>
      </c>
      <c r="D539" t="s">
        <v>1114</v>
      </c>
      <c r="E539" t="s">
        <v>386</v>
      </c>
      <c r="F539" t="s">
        <v>30</v>
      </c>
    </row>
    <row r="540" spans="1:8" x14ac:dyDescent="0.35">
      <c r="A540" t="s">
        <v>621</v>
      </c>
      <c r="B540" t="s">
        <v>16</v>
      </c>
      <c r="C540" t="s">
        <v>75</v>
      </c>
      <c r="D540" t="s">
        <v>1115</v>
      </c>
      <c r="E540" t="s">
        <v>621</v>
      </c>
      <c r="F540" t="s">
        <v>75</v>
      </c>
    </row>
    <row r="541" spans="1:8" x14ac:dyDescent="0.35">
      <c r="A541" t="s">
        <v>1116</v>
      </c>
      <c r="B541" t="s">
        <v>16</v>
      </c>
      <c r="C541" t="s">
        <v>57</v>
      </c>
      <c r="D541" t="s">
        <v>1747</v>
      </c>
      <c r="E541" t="s">
        <v>1116</v>
      </c>
      <c r="F541" t="s">
        <v>57</v>
      </c>
    </row>
    <row r="542" spans="1:8" x14ac:dyDescent="0.35">
      <c r="A542" t="s">
        <v>623</v>
      </c>
      <c r="B542" t="s">
        <v>16</v>
      </c>
      <c r="C542" t="s">
        <v>75</v>
      </c>
      <c r="D542" t="s">
        <v>1117</v>
      </c>
      <c r="E542" t="s">
        <v>623</v>
      </c>
      <c r="F542" t="s">
        <v>75</v>
      </c>
    </row>
    <row r="543" spans="1:8" x14ac:dyDescent="0.35">
      <c r="A543" t="s">
        <v>418</v>
      </c>
      <c r="B543" t="s">
        <v>16</v>
      </c>
      <c r="C543" t="s">
        <v>124</v>
      </c>
      <c r="D543" t="s">
        <v>1118</v>
      </c>
      <c r="E543" t="s">
        <v>418</v>
      </c>
      <c r="F543" t="s">
        <v>124</v>
      </c>
    </row>
    <row r="544" spans="1:8" x14ac:dyDescent="0.35">
      <c r="A544" t="s">
        <v>662</v>
      </c>
      <c r="B544" t="s">
        <v>16</v>
      </c>
      <c r="C544" t="s">
        <v>22</v>
      </c>
      <c r="D544" t="s">
        <v>1119</v>
      </c>
      <c r="E544" t="s">
        <v>662</v>
      </c>
      <c r="F544" t="s">
        <v>22</v>
      </c>
    </row>
    <row r="545" spans="1:6" x14ac:dyDescent="0.35">
      <c r="A545" t="s">
        <v>149</v>
      </c>
      <c r="B545" t="s">
        <v>16</v>
      </c>
      <c r="C545" t="s">
        <v>22</v>
      </c>
      <c r="D545" t="s">
        <v>1120</v>
      </c>
      <c r="E545" t="s">
        <v>149</v>
      </c>
      <c r="F545" t="s">
        <v>22</v>
      </c>
    </row>
    <row r="546" spans="1:6" x14ac:dyDescent="0.35">
      <c r="A546" t="s">
        <v>561</v>
      </c>
      <c r="B546" t="s">
        <v>16</v>
      </c>
      <c r="C546" t="s">
        <v>75</v>
      </c>
      <c r="D546" t="s">
        <v>1121</v>
      </c>
      <c r="E546" t="s">
        <v>561</v>
      </c>
      <c r="F546" t="s">
        <v>75</v>
      </c>
    </row>
    <row r="547" spans="1:6" x14ac:dyDescent="0.35">
      <c r="A547" t="s">
        <v>1425</v>
      </c>
      <c r="B547" t="s">
        <v>16</v>
      </c>
      <c r="C547" t="s">
        <v>57</v>
      </c>
      <c r="D547" t="s">
        <v>1748</v>
      </c>
      <c r="E547" t="s">
        <v>1425</v>
      </c>
      <c r="F547" t="s">
        <v>57</v>
      </c>
    </row>
    <row r="548" spans="1:6" x14ac:dyDescent="0.35">
      <c r="A548" t="s">
        <v>1122</v>
      </c>
      <c r="B548" t="s">
        <v>16</v>
      </c>
      <c r="C548" t="s">
        <v>75</v>
      </c>
      <c r="D548" t="s">
        <v>1749</v>
      </c>
      <c r="E548" t="s">
        <v>1122</v>
      </c>
      <c r="F548" t="s">
        <v>75</v>
      </c>
    </row>
    <row r="549" spans="1:6" x14ac:dyDescent="0.35">
      <c r="A549" t="s">
        <v>577</v>
      </c>
      <c r="B549" t="s">
        <v>16</v>
      </c>
      <c r="C549" t="s">
        <v>578</v>
      </c>
      <c r="D549" t="s">
        <v>1750</v>
      </c>
      <c r="E549" t="s">
        <v>577</v>
      </c>
      <c r="F549" t="s">
        <v>578</v>
      </c>
    </row>
    <row r="550" spans="1:6" x14ac:dyDescent="0.35">
      <c r="A550" t="s">
        <v>674</v>
      </c>
      <c r="B550" t="s">
        <v>16</v>
      </c>
      <c r="C550" t="s">
        <v>675</v>
      </c>
      <c r="D550" t="s">
        <v>1123</v>
      </c>
      <c r="E550" t="s">
        <v>674</v>
      </c>
      <c r="F550" t="s">
        <v>675</v>
      </c>
    </row>
    <row r="551" spans="1:6" x14ac:dyDescent="0.35">
      <c r="A551" t="s">
        <v>557</v>
      </c>
      <c r="B551" t="s">
        <v>16</v>
      </c>
      <c r="C551" t="s">
        <v>75</v>
      </c>
      <c r="D551" t="s">
        <v>1124</v>
      </c>
      <c r="E551" t="s">
        <v>557</v>
      </c>
      <c r="F551" t="s">
        <v>75</v>
      </c>
    </row>
    <row r="552" spans="1:6" x14ac:dyDescent="0.35">
      <c r="A552" t="s">
        <v>457</v>
      </c>
      <c r="B552" t="s">
        <v>47</v>
      </c>
      <c r="C552" t="s">
        <v>21</v>
      </c>
      <c r="D552" t="s">
        <v>1125</v>
      </c>
      <c r="E552" t="s">
        <v>457</v>
      </c>
      <c r="F552" t="s">
        <v>21</v>
      </c>
    </row>
    <row r="553" spans="1:6" x14ac:dyDescent="0.35">
      <c r="A553" t="s">
        <v>1126</v>
      </c>
      <c r="B553" t="s">
        <v>16</v>
      </c>
      <c r="C553" t="s">
        <v>87</v>
      </c>
      <c r="D553" t="s">
        <v>1751</v>
      </c>
      <c r="E553" t="s">
        <v>1126</v>
      </c>
      <c r="F553" t="s">
        <v>87</v>
      </c>
    </row>
    <row r="554" spans="1:6" x14ac:dyDescent="0.35">
      <c r="A554" t="s">
        <v>520</v>
      </c>
      <c r="B554" t="s">
        <v>16</v>
      </c>
      <c r="C554" t="s">
        <v>75</v>
      </c>
      <c r="D554" t="s">
        <v>1127</v>
      </c>
      <c r="E554" t="s">
        <v>520</v>
      </c>
      <c r="F554" t="s">
        <v>75</v>
      </c>
    </row>
    <row r="555" spans="1:6" x14ac:dyDescent="0.35">
      <c r="A555" t="s">
        <v>1128</v>
      </c>
      <c r="B555" t="s">
        <v>16</v>
      </c>
      <c r="C555" t="s">
        <v>75</v>
      </c>
      <c r="D555" t="s">
        <v>1752</v>
      </c>
      <c r="E555" t="s">
        <v>1128</v>
      </c>
      <c r="F555" t="s">
        <v>75</v>
      </c>
    </row>
    <row r="556" spans="1:6" x14ac:dyDescent="0.35">
      <c r="A556" t="s">
        <v>688</v>
      </c>
      <c r="B556" t="s">
        <v>16</v>
      </c>
      <c r="C556" t="s">
        <v>124</v>
      </c>
      <c r="D556" t="s">
        <v>1250</v>
      </c>
      <c r="E556" t="s">
        <v>590</v>
      </c>
      <c r="F556" t="s">
        <v>124</v>
      </c>
    </row>
    <row r="557" spans="1:6" x14ac:dyDescent="0.35">
      <c r="A557" t="s">
        <v>1129</v>
      </c>
      <c r="B557" t="s">
        <v>16</v>
      </c>
      <c r="C557" t="s">
        <v>673</v>
      </c>
      <c r="D557" t="s">
        <v>1753</v>
      </c>
      <c r="E557" t="s">
        <v>1129</v>
      </c>
      <c r="F557" t="s">
        <v>673</v>
      </c>
    </row>
    <row r="558" spans="1:6" x14ac:dyDescent="0.35">
      <c r="A558" t="s">
        <v>1387</v>
      </c>
      <c r="B558" t="s">
        <v>16</v>
      </c>
      <c r="C558" t="s">
        <v>1388</v>
      </c>
      <c r="D558" t="s">
        <v>1754</v>
      </c>
      <c r="E558" t="s">
        <v>1387</v>
      </c>
      <c r="F558" t="s">
        <v>1388</v>
      </c>
    </row>
    <row r="559" spans="1:6" x14ac:dyDescent="0.35">
      <c r="A559" t="s">
        <v>493</v>
      </c>
      <c r="B559" t="s">
        <v>16</v>
      </c>
      <c r="C559" t="s">
        <v>141</v>
      </c>
      <c r="D559" t="s">
        <v>1130</v>
      </c>
      <c r="E559" t="s">
        <v>493</v>
      </c>
      <c r="F559" t="s">
        <v>141</v>
      </c>
    </row>
    <row r="560" spans="1:6" x14ac:dyDescent="0.35">
      <c r="A560" t="s">
        <v>1131</v>
      </c>
      <c r="B560" t="s">
        <v>16</v>
      </c>
      <c r="C560" t="s">
        <v>348</v>
      </c>
      <c r="D560" t="s">
        <v>1755</v>
      </c>
      <c r="E560" t="s">
        <v>1131</v>
      </c>
      <c r="F560" t="s">
        <v>348</v>
      </c>
    </row>
    <row r="561" spans="1:6" x14ac:dyDescent="0.35">
      <c r="A561" t="s">
        <v>419</v>
      </c>
      <c r="B561" t="s">
        <v>16</v>
      </c>
      <c r="C561" t="s">
        <v>57</v>
      </c>
      <c r="D561" t="s">
        <v>1132</v>
      </c>
      <c r="E561" t="s">
        <v>419</v>
      </c>
      <c r="F561" t="s">
        <v>57</v>
      </c>
    </row>
    <row r="562" spans="1:6" x14ac:dyDescent="0.35">
      <c r="A562" t="s">
        <v>1133</v>
      </c>
      <c r="B562" t="s">
        <v>47</v>
      </c>
      <c r="C562" t="s">
        <v>19</v>
      </c>
      <c r="D562" t="s">
        <v>1756</v>
      </c>
      <c r="E562" t="s">
        <v>1133</v>
      </c>
      <c r="F562" t="s">
        <v>19</v>
      </c>
    </row>
    <row r="563" spans="1:6" x14ac:dyDescent="0.35">
      <c r="A563" t="s">
        <v>461</v>
      </c>
      <c r="B563" t="s">
        <v>47</v>
      </c>
      <c r="C563" t="s">
        <v>35</v>
      </c>
      <c r="D563" t="s">
        <v>1134</v>
      </c>
      <c r="E563" t="s">
        <v>461</v>
      </c>
      <c r="F563" t="s">
        <v>35</v>
      </c>
    </row>
    <row r="564" spans="1:6" x14ac:dyDescent="0.35">
      <c r="A564" t="s">
        <v>639</v>
      </c>
      <c r="B564" t="s">
        <v>47</v>
      </c>
      <c r="C564" t="s">
        <v>56</v>
      </c>
      <c r="D564" t="s">
        <v>1135</v>
      </c>
      <c r="E564" t="s">
        <v>639</v>
      </c>
      <c r="F564" t="s">
        <v>56</v>
      </c>
    </row>
    <row r="565" spans="1:6" x14ac:dyDescent="0.35">
      <c r="A565" t="s">
        <v>569</v>
      </c>
      <c r="B565" t="s">
        <v>47</v>
      </c>
      <c r="C565" t="s">
        <v>17</v>
      </c>
      <c r="D565" t="s">
        <v>1136</v>
      </c>
      <c r="E565" t="s">
        <v>569</v>
      </c>
      <c r="F565" t="s">
        <v>17</v>
      </c>
    </row>
    <row r="566" spans="1:6" x14ac:dyDescent="0.35">
      <c r="A566" t="s">
        <v>217</v>
      </c>
      <c r="B566" t="s">
        <v>16</v>
      </c>
      <c r="C566" t="s">
        <v>30</v>
      </c>
      <c r="D566" t="s">
        <v>1757</v>
      </c>
      <c r="E566" t="s">
        <v>217</v>
      </c>
      <c r="F566" t="s">
        <v>30</v>
      </c>
    </row>
    <row r="567" spans="1:6" x14ac:dyDescent="0.35">
      <c r="A567" t="s">
        <v>1421</v>
      </c>
      <c r="B567" t="s">
        <v>16</v>
      </c>
      <c r="C567" t="s">
        <v>75</v>
      </c>
      <c r="D567" t="s">
        <v>1758</v>
      </c>
      <c r="E567" t="s">
        <v>1421</v>
      </c>
      <c r="F567" t="s">
        <v>75</v>
      </c>
    </row>
    <row r="568" spans="1:6" x14ac:dyDescent="0.35">
      <c r="A568" t="s">
        <v>484</v>
      </c>
      <c r="B568" t="s">
        <v>47</v>
      </c>
      <c r="C568" t="s">
        <v>22</v>
      </c>
      <c r="D568" t="s">
        <v>1137</v>
      </c>
      <c r="E568" t="s">
        <v>484</v>
      </c>
      <c r="F568" t="s">
        <v>22</v>
      </c>
    </row>
    <row r="569" spans="1:6" x14ac:dyDescent="0.35">
      <c r="A569" t="s">
        <v>1138</v>
      </c>
      <c r="B569" t="s">
        <v>47</v>
      </c>
      <c r="C569" t="s">
        <v>573</v>
      </c>
      <c r="D569" t="s">
        <v>1759</v>
      </c>
      <c r="E569" t="s">
        <v>1138</v>
      </c>
      <c r="F569" t="s">
        <v>573</v>
      </c>
    </row>
    <row r="570" spans="1:6" x14ac:dyDescent="0.35">
      <c r="A570" t="s">
        <v>244</v>
      </c>
      <c r="B570" t="s">
        <v>47</v>
      </c>
      <c r="C570" t="s">
        <v>119</v>
      </c>
      <c r="D570" t="s">
        <v>1139</v>
      </c>
      <c r="E570" t="s">
        <v>244</v>
      </c>
      <c r="F570" t="s">
        <v>119</v>
      </c>
    </row>
    <row r="571" spans="1:6" x14ac:dyDescent="0.35">
      <c r="A571" t="s">
        <v>1452</v>
      </c>
      <c r="B571" t="s">
        <v>16</v>
      </c>
      <c r="C571" t="s">
        <v>18</v>
      </c>
      <c r="D571" t="s">
        <v>1760</v>
      </c>
      <c r="E571" t="s">
        <v>1452</v>
      </c>
      <c r="F571" t="s">
        <v>18</v>
      </c>
    </row>
    <row r="572" spans="1:6" x14ac:dyDescent="0.35">
      <c r="A572" t="s">
        <v>651</v>
      </c>
      <c r="B572" t="s">
        <v>47</v>
      </c>
      <c r="C572" t="s">
        <v>108</v>
      </c>
      <c r="D572" t="s">
        <v>1761</v>
      </c>
      <c r="E572" t="s">
        <v>651</v>
      </c>
      <c r="F572" t="s">
        <v>108</v>
      </c>
    </row>
    <row r="573" spans="1:6" x14ac:dyDescent="0.35">
      <c r="A573" t="s">
        <v>595</v>
      </c>
      <c r="B573" t="s">
        <v>16</v>
      </c>
      <c r="C573" t="s">
        <v>108</v>
      </c>
      <c r="D573" t="s">
        <v>1140</v>
      </c>
      <c r="E573" t="s">
        <v>595</v>
      </c>
      <c r="F573" t="s">
        <v>108</v>
      </c>
    </row>
    <row r="574" spans="1:6" x14ac:dyDescent="0.35">
      <c r="A574" t="s">
        <v>1141</v>
      </c>
      <c r="B574" t="s">
        <v>16</v>
      </c>
      <c r="C574" t="s">
        <v>87</v>
      </c>
      <c r="D574" t="s">
        <v>1762</v>
      </c>
      <c r="E574" t="s">
        <v>1141</v>
      </c>
      <c r="F574" t="s">
        <v>87</v>
      </c>
    </row>
    <row r="575" spans="1:6" x14ac:dyDescent="0.35">
      <c r="A575" t="s">
        <v>202</v>
      </c>
      <c r="B575" t="s">
        <v>16</v>
      </c>
      <c r="C575" t="s">
        <v>20</v>
      </c>
      <c r="D575" t="s">
        <v>1142</v>
      </c>
      <c r="E575" t="s">
        <v>202</v>
      </c>
      <c r="F575" t="s">
        <v>20</v>
      </c>
    </row>
    <row r="576" spans="1:6" x14ac:dyDescent="0.35">
      <c r="A576" t="s">
        <v>1406</v>
      </c>
      <c r="B576" t="s">
        <v>47</v>
      </c>
      <c r="C576" t="s">
        <v>34</v>
      </c>
      <c r="D576" t="s">
        <v>1763</v>
      </c>
      <c r="E576" t="s">
        <v>1406</v>
      </c>
      <c r="F576" t="s">
        <v>34</v>
      </c>
    </row>
    <row r="577" spans="1:6" x14ac:dyDescent="0.35">
      <c r="A577" t="s">
        <v>178</v>
      </c>
      <c r="B577" t="s">
        <v>47</v>
      </c>
      <c r="C577" t="s">
        <v>17</v>
      </c>
      <c r="D577" t="s">
        <v>1143</v>
      </c>
      <c r="E577" t="s">
        <v>178</v>
      </c>
      <c r="F577" t="s">
        <v>17</v>
      </c>
    </row>
    <row r="578" spans="1:6" x14ac:dyDescent="0.35">
      <c r="A578" t="s">
        <v>1483</v>
      </c>
      <c r="B578" t="s">
        <v>47</v>
      </c>
      <c r="C578" t="s">
        <v>1484</v>
      </c>
      <c r="D578" t="s">
        <v>1764</v>
      </c>
      <c r="E578" t="s">
        <v>1483</v>
      </c>
      <c r="F578" t="s">
        <v>1484</v>
      </c>
    </row>
    <row r="579" spans="1:6" x14ac:dyDescent="0.35">
      <c r="A579" t="s">
        <v>1145</v>
      </c>
      <c r="B579" t="s">
        <v>47</v>
      </c>
      <c r="C579" t="s">
        <v>48</v>
      </c>
      <c r="D579" t="s">
        <v>1144</v>
      </c>
      <c r="E579" t="s">
        <v>1145</v>
      </c>
      <c r="F579" t="s">
        <v>48</v>
      </c>
    </row>
    <row r="580" spans="1:6" x14ac:dyDescent="0.35">
      <c r="A580" t="s">
        <v>677</v>
      </c>
      <c r="B580" t="s">
        <v>47</v>
      </c>
      <c r="C580" t="s">
        <v>51</v>
      </c>
      <c r="D580" t="s">
        <v>1146</v>
      </c>
      <c r="E580" t="s">
        <v>677</v>
      </c>
      <c r="F580" t="s">
        <v>51</v>
      </c>
    </row>
    <row r="581" spans="1:6" x14ac:dyDescent="0.35">
      <c r="A581" t="s">
        <v>197</v>
      </c>
      <c r="B581" t="s">
        <v>16</v>
      </c>
      <c r="D581" t="s">
        <v>1147</v>
      </c>
      <c r="E581" t="s">
        <v>197</v>
      </c>
      <c r="F581" t="s">
        <v>35</v>
      </c>
    </row>
    <row r="582" spans="1:6" x14ac:dyDescent="0.35">
      <c r="A582" t="s">
        <v>1459</v>
      </c>
      <c r="B582" t="s">
        <v>16</v>
      </c>
      <c r="C582" t="s">
        <v>17</v>
      </c>
      <c r="D582" t="s">
        <v>1765</v>
      </c>
      <c r="E582" t="s">
        <v>1414</v>
      </c>
      <c r="F582" t="s">
        <v>17</v>
      </c>
    </row>
    <row r="583" spans="1:6" x14ac:dyDescent="0.35">
      <c r="A583" t="s">
        <v>1414</v>
      </c>
      <c r="B583" t="s">
        <v>16</v>
      </c>
      <c r="C583" t="s">
        <v>17</v>
      </c>
      <c r="D583" t="s">
        <v>1766</v>
      </c>
      <c r="E583" t="s">
        <v>1414</v>
      </c>
      <c r="F583" t="s">
        <v>17</v>
      </c>
    </row>
    <row r="584" spans="1:6" x14ac:dyDescent="0.35">
      <c r="A584" t="s">
        <v>343</v>
      </c>
      <c r="B584" t="s">
        <v>16</v>
      </c>
      <c r="C584" t="s">
        <v>118</v>
      </c>
      <c r="D584" t="s">
        <v>1148</v>
      </c>
      <c r="E584" t="s">
        <v>343</v>
      </c>
      <c r="F584" t="s">
        <v>118</v>
      </c>
    </row>
    <row r="585" spans="1:6" x14ac:dyDescent="0.35">
      <c r="A585" t="s">
        <v>214</v>
      </c>
      <c r="B585" t="s">
        <v>16</v>
      </c>
      <c r="C585" t="s">
        <v>39</v>
      </c>
      <c r="D585" t="s">
        <v>1149</v>
      </c>
      <c r="E585" t="s">
        <v>214</v>
      </c>
      <c r="F585" t="s">
        <v>39</v>
      </c>
    </row>
    <row r="586" spans="1:6" x14ac:dyDescent="0.35">
      <c r="A586" t="s">
        <v>1150</v>
      </c>
      <c r="B586" t="s">
        <v>47</v>
      </c>
      <c r="C586" t="s">
        <v>48</v>
      </c>
      <c r="D586" t="s">
        <v>1767</v>
      </c>
      <c r="E586" t="s">
        <v>1150</v>
      </c>
      <c r="F586" t="s">
        <v>48</v>
      </c>
    </row>
    <row r="587" spans="1:6" x14ac:dyDescent="0.35">
      <c r="A587" t="s">
        <v>503</v>
      </c>
      <c r="B587" t="s">
        <v>16</v>
      </c>
      <c r="C587" t="s">
        <v>504</v>
      </c>
      <c r="D587" t="s">
        <v>1151</v>
      </c>
      <c r="E587" t="s">
        <v>503</v>
      </c>
      <c r="F587" t="s">
        <v>504</v>
      </c>
    </row>
    <row r="588" spans="1:6" x14ac:dyDescent="0.35">
      <c r="A588" t="s">
        <v>154</v>
      </c>
      <c r="B588" t="s">
        <v>47</v>
      </c>
      <c r="C588" t="s">
        <v>51</v>
      </c>
      <c r="D588" t="s">
        <v>1152</v>
      </c>
      <c r="E588" t="s">
        <v>154</v>
      </c>
      <c r="F588" t="s">
        <v>51</v>
      </c>
    </row>
    <row r="589" spans="1:6" x14ac:dyDescent="0.35">
      <c r="A589" t="s">
        <v>474</v>
      </c>
      <c r="B589" t="s">
        <v>47</v>
      </c>
      <c r="C589" t="s">
        <v>475</v>
      </c>
      <c r="D589" t="s">
        <v>1153</v>
      </c>
      <c r="E589" t="s">
        <v>474</v>
      </c>
      <c r="F589" t="s">
        <v>475</v>
      </c>
    </row>
    <row r="590" spans="1:6" x14ac:dyDescent="0.35">
      <c r="A590" t="s">
        <v>1154</v>
      </c>
      <c r="B590" t="s">
        <v>16</v>
      </c>
      <c r="C590" t="s">
        <v>75</v>
      </c>
      <c r="D590" t="s">
        <v>1768</v>
      </c>
      <c r="E590" t="s">
        <v>1154</v>
      </c>
      <c r="F590" t="s">
        <v>75</v>
      </c>
    </row>
    <row r="591" spans="1:6" x14ac:dyDescent="0.35">
      <c r="A591" t="s">
        <v>1155</v>
      </c>
      <c r="B591" t="s">
        <v>16</v>
      </c>
      <c r="C591" t="s">
        <v>39</v>
      </c>
      <c r="D591" t="s">
        <v>1769</v>
      </c>
      <c r="E591" t="s">
        <v>1155</v>
      </c>
      <c r="F591" t="s">
        <v>39</v>
      </c>
    </row>
    <row r="592" spans="1:6" x14ac:dyDescent="0.35">
      <c r="A592" t="s">
        <v>536</v>
      </c>
      <c r="B592" t="s">
        <v>16</v>
      </c>
      <c r="C592" t="s">
        <v>17</v>
      </c>
      <c r="D592" t="s">
        <v>1156</v>
      </c>
      <c r="E592" t="s">
        <v>536</v>
      </c>
      <c r="F592" t="s">
        <v>17</v>
      </c>
    </row>
    <row r="593" spans="1:6" x14ac:dyDescent="0.35">
      <c r="A593" t="s">
        <v>458</v>
      </c>
      <c r="B593" t="s">
        <v>47</v>
      </c>
      <c r="C593" t="s">
        <v>459</v>
      </c>
      <c r="D593" t="s">
        <v>1770</v>
      </c>
      <c r="E593" t="s">
        <v>458</v>
      </c>
      <c r="F593" t="s">
        <v>459</v>
      </c>
    </row>
    <row r="594" spans="1:6" x14ac:dyDescent="0.35">
      <c r="A594" t="s">
        <v>1443</v>
      </c>
      <c r="B594" t="s">
        <v>47</v>
      </c>
      <c r="C594" t="s">
        <v>18</v>
      </c>
      <c r="D594" t="s">
        <v>1771</v>
      </c>
      <c r="E594" t="s">
        <v>1443</v>
      </c>
      <c r="F594" t="s">
        <v>18</v>
      </c>
    </row>
    <row r="595" spans="1:6" x14ac:dyDescent="0.35">
      <c r="A595" t="s">
        <v>1157</v>
      </c>
      <c r="B595" t="s">
        <v>16</v>
      </c>
      <c r="C595" t="s">
        <v>685</v>
      </c>
      <c r="D595" t="s">
        <v>1772</v>
      </c>
      <c r="E595" t="s">
        <v>1157</v>
      </c>
      <c r="F595" t="s">
        <v>685</v>
      </c>
    </row>
    <row r="596" spans="1:6" x14ac:dyDescent="0.35">
      <c r="A596" t="s">
        <v>157</v>
      </c>
      <c r="B596" t="s">
        <v>47</v>
      </c>
      <c r="C596" t="s">
        <v>69</v>
      </c>
      <c r="D596" t="s">
        <v>1158</v>
      </c>
      <c r="E596" t="s">
        <v>157</v>
      </c>
      <c r="F596" t="s">
        <v>69</v>
      </c>
    </row>
    <row r="597" spans="1:6" x14ac:dyDescent="0.35">
      <c r="A597" t="s">
        <v>1383</v>
      </c>
      <c r="B597" t="s">
        <v>16</v>
      </c>
      <c r="C597" t="s">
        <v>33</v>
      </c>
      <c r="D597" t="s">
        <v>1773</v>
      </c>
      <c r="E597" t="s">
        <v>1383</v>
      </c>
      <c r="F597" t="s">
        <v>33</v>
      </c>
    </row>
    <row r="598" spans="1:6" x14ac:dyDescent="0.35">
      <c r="A598" t="s">
        <v>1456</v>
      </c>
      <c r="B598" t="s">
        <v>16</v>
      </c>
      <c r="C598" t="s">
        <v>18</v>
      </c>
      <c r="D598" t="s">
        <v>1774</v>
      </c>
      <c r="E598" t="s">
        <v>1456</v>
      </c>
      <c r="F598" t="s">
        <v>18</v>
      </c>
    </row>
    <row r="599" spans="1:6" x14ac:dyDescent="0.35">
      <c r="A599" t="s">
        <v>1159</v>
      </c>
      <c r="B599" t="s">
        <v>16</v>
      </c>
      <c r="C599" t="s">
        <v>30</v>
      </c>
      <c r="D599" t="s">
        <v>1775</v>
      </c>
      <c r="E599" t="s">
        <v>1159</v>
      </c>
      <c r="F599" t="s">
        <v>30</v>
      </c>
    </row>
    <row r="600" spans="1:6" x14ac:dyDescent="0.35">
      <c r="A600" t="s">
        <v>572</v>
      </c>
      <c r="B600" t="s">
        <v>47</v>
      </c>
      <c r="C600" t="s">
        <v>573</v>
      </c>
      <c r="D600" t="s">
        <v>1160</v>
      </c>
      <c r="E600" t="s">
        <v>572</v>
      </c>
      <c r="F600" t="s">
        <v>573</v>
      </c>
    </row>
    <row r="601" spans="1:6" x14ac:dyDescent="0.35">
      <c r="A601" t="s">
        <v>495</v>
      </c>
      <c r="B601" t="s">
        <v>16</v>
      </c>
      <c r="C601" t="s">
        <v>20</v>
      </c>
      <c r="D601" t="s">
        <v>1161</v>
      </c>
      <c r="E601" t="s">
        <v>495</v>
      </c>
      <c r="F601" t="s">
        <v>20</v>
      </c>
    </row>
    <row r="602" spans="1:6" x14ac:dyDescent="0.35">
      <c r="A602" t="s">
        <v>249</v>
      </c>
      <c r="B602" t="s">
        <v>16</v>
      </c>
      <c r="C602" t="s">
        <v>21</v>
      </c>
      <c r="D602" t="s">
        <v>1162</v>
      </c>
      <c r="E602" t="s">
        <v>249</v>
      </c>
      <c r="F602" t="s">
        <v>21</v>
      </c>
    </row>
    <row r="603" spans="1:6" x14ac:dyDescent="0.35">
      <c r="A603" t="s">
        <v>611</v>
      </c>
      <c r="B603" t="s">
        <v>47</v>
      </c>
      <c r="C603" t="s">
        <v>51</v>
      </c>
      <c r="D603" t="s">
        <v>1163</v>
      </c>
      <c r="E603" t="s">
        <v>611</v>
      </c>
      <c r="F603" t="s">
        <v>51</v>
      </c>
    </row>
    <row r="604" spans="1:6" x14ac:dyDescent="0.35">
      <c r="A604" t="s">
        <v>586</v>
      </c>
      <c r="B604" t="s">
        <v>47</v>
      </c>
      <c r="C604" t="s">
        <v>56</v>
      </c>
      <c r="D604" t="s">
        <v>1164</v>
      </c>
      <c r="E604" t="s">
        <v>586</v>
      </c>
      <c r="F604" t="s">
        <v>56</v>
      </c>
    </row>
    <row r="605" spans="1:6" x14ac:dyDescent="0.35">
      <c r="A605" t="s">
        <v>1441</v>
      </c>
      <c r="B605" t="s">
        <v>47</v>
      </c>
      <c r="C605" t="s">
        <v>504</v>
      </c>
      <c r="D605" t="s">
        <v>1776</v>
      </c>
      <c r="E605" t="s">
        <v>1441</v>
      </c>
      <c r="F605" t="s">
        <v>504</v>
      </c>
    </row>
    <row r="606" spans="1:6" x14ac:dyDescent="0.35">
      <c r="A606" t="s">
        <v>233</v>
      </c>
      <c r="B606" t="s">
        <v>16</v>
      </c>
      <c r="C606" t="s">
        <v>19</v>
      </c>
      <c r="D606" t="s">
        <v>1165</v>
      </c>
      <c r="E606" t="s">
        <v>233</v>
      </c>
      <c r="F606" t="s">
        <v>19</v>
      </c>
    </row>
    <row r="607" spans="1:6" x14ac:dyDescent="0.35">
      <c r="A607" t="s">
        <v>390</v>
      </c>
      <c r="B607" t="s">
        <v>16</v>
      </c>
      <c r="C607" t="s">
        <v>75</v>
      </c>
      <c r="D607" t="s">
        <v>1166</v>
      </c>
      <c r="E607" t="s">
        <v>390</v>
      </c>
      <c r="F607" t="s">
        <v>75</v>
      </c>
    </row>
    <row r="608" spans="1:6" x14ac:dyDescent="0.35">
      <c r="A608" t="s">
        <v>506</v>
      </c>
      <c r="B608" t="s">
        <v>16</v>
      </c>
      <c r="C608" t="s">
        <v>75</v>
      </c>
      <c r="D608" t="s">
        <v>1167</v>
      </c>
      <c r="E608" t="s">
        <v>506</v>
      </c>
      <c r="F608" t="s">
        <v>75</v>
      </c>
    </row>
    <row r="609" spans="1:6" x14ac:dyDescent="0.35">
      <c r="A609" t="s">
        <v>1168</v>
      </c>
      <c r="B609" t="s">
        <v>16</v>
      </c>
      <c r="C609" t="s">
        <v>22</v>
      </c>
      <c r="D609" t="s">
        <v>1777</v>
      </c>
      <c r="E609" t="s">
        <v>1168</v>
      </c>
      <c r="F609" t="s">
        <v>22</v>
      </c>
    </row>
    <row r="610" spans="1:6" x14ac:dyDescent="0.35">
      <c r="A610" t="s">
        <v>1169</v>
      </c>
      <c r="B610" t="s">
        <v>16</v>
      </c>
      <c r="C610" t="s">
        <v>87</v>
      </c>
      <c r="D610" t="s">
        <v>1778</v>
      </c>
      <c r="E610" t="s">
        <v>1169</v>
      </c>
      <c r="F610" t="s">
        <v>87</v>
      </c>
    </row>
    <row r="611" spans="1:6" x14ac:dyDescent="0.35">
      <c r="A611" t="s">
        <v>511</v>
      </c>
      <c r="B611" t="s">
        <v>16</v>
      </c>
      <c r="C611" t="s">
        <v>83</v>
      </c>
      <c r="D611" t="s">
        <v>1170</v>
      </c>
      <c r="E611" t="s">
        <v>511</v>
      </c>
      <c r="F611" t="s">
        <v>83</v>
      </c>
    </row>
    <row r="612" spans="1:6" x14ac:dyDescent="0.35">
      <c r="A612" t="s">
        <v>410</v>
      </c>
      <c r="B612" t="s">
        <v>16</v>
      </c>
      <c r="C612" t="s">
        <v>83</v>
      </c>
      <c r="D612" t="s">
        <v>1171</v>
      </c>
      <c r="E612" t="s">
        <v>410</v>
      </c>
      <c r="F612" t="s">
        <v>83</v>
      </c>
    </row>
    <row r="613" spans="1:6" x14ac:dyDescent="0.35">
      <c r="A613" t="s">
        <v>682</v>
      </c>
      <c r="B613" t="s">
        <v>16</v>
      </c>
      <c r="C613" t="s">
        <v>20</v>
      </c>
      <c r="D613" t="s">
        <v>786</v>
      </c>
      <c r="E613" t="s">
        <v>682</v>
      </c>
      <c r="F613" t="s">
        <v>20</v>
      </c>
    </row>
    <row r="614" spans="1:6" x14ac:dyDescent="0.35">
      <c r="A614" t="s">
        <v>1358</v>
      </c>
      <c r="B614" t="s">
        <v>16</v>
      </c>
      <c r="C614" t="s">
        <v>18</v>
      </c>
      <c r="D614" t="s">
        <v>1779</v>
      </c>
      <c r="E614" t="s">
        <v>1358</v>
      </c>
      <c r="F614" t="s">
        <v>18</v>
      </c>
    </row>
    <row r="615" spans="1:6" x14ac:dyDescent="0.35">
      <c r="A615" t="s">
        <v>1172</v>
      </c>
      <c r="B615" t="s">
        <v>16</v>
      </c>
      <c r="C615" t="s">
        <v>87</v>
      </c>
      <c r="D615" t="s">
        <v>1780</v>
      </c>
      <c r="E615" t="s">
        <v>1172</v>
      </c>
      <c r="F615" t="s">
        <v>87</v>
      </c>
    </row>
    <row r="616" spans="1:6" x14ac:dyDescent="0.35">
      <c r="A616" t="s">
        <v>1446</v>
      </c>
      <c r="B616" t="s">
        <v>47</v>
      </c>
      <c r="C616" t="s">
        <v>18</v>
      </c>
      <c r="D616" t="s">
        <v>1781</v>
      </c>
      <c r="E616" t="s">
        <v>1446</v>
      </c>
      <c r="F616" t="s">
        <v>18</v>
      </c>
    </row>
    <row r="617" spans="1:6" x14ac:dyDescent="0.35">
      <c r="A617" t="s">
        <v>1449</v>
      </c>
      <c r="B617" t="s">
        <v>47</v>
      </c>
      <c r="C617" t="s">
        <v>18</v>
      </c>
      <c r="D617" t="s">
        <v>1782</v>
      </c>
      <c r="E617" t="s">
        <v>1449</v>
      </c>
      <c r="F617" t="s">
        <v>18</v>
      </c>
    </row>
    <row r="618" spans="1:6" x14ac:dyDescent="0.35">
      <c r="A618" t="s">
        <v>351</v>
      </c>
      <c r="B618" t="s">
        <v>16</v>
      </c>
      <c r="C618" t="s">
        <v>348</v>
      </c>
      <c r="D618" t="s">
        <v>1173</v>
      </c>
      <c r="E618" t="s">
        <v>351</v>
      </c>
      <c r="F618" t="s">
        <v>348</v>
      </c>
    </row>
    <row r="619" spans="1:6" x14ac:dyDescent="0.35">
      <c r="A619" t="s">
        <v>1472</v>
      </c>
      <c r="B619" t="s">
        <v>47</v>
      </c>
      <c r="C619" t="s">
        <v>348</v>
      </c>
      <c r="D619" t="s">
        <v>1783</v>
      </c>
      <c r="E619" t="s">
        <v>1472</v>
      </c>
      <c r="F619" t="s">
        <v>348</v>
      </c>
    </row>
    <row r="620" spans="1:6" x14ac:dyDescent="0.35">
      <c r="A620" t="s">
        <v>1509</v>
      </c>
      <c r="B620" t="s">
        <v>16</v>
      </c>
      <c r="C620" t="s">
        <v>19</v>
      </c>
      <c r="D620" t="s">
        <v>1784</v>
      </c>
      <c r="E620" t="s">
        <v>1509</v>
      </c>
      <c r="F620" t="s">
        <v>19</v>
      </c>
    </row>
    <row r="621" spans="1:6" x14ac:dyDescent="0.35">
      <c r="A621" t="s">
        <v>450</v>
      </c>
      <c r="B621" t="s">
        <v>16</v>
      </c>
      <c r="C621" t="s">
        <v>21</v>
      </c>
      <c r="D621" t="s">
        <v>1174</v>
      </c>
      <c r="E621" t="s">
        <v>450</v>
      </c>
      <c r="F621" t="s">
        <v>21</v>
      </c>
    </row>
    <row r="622" spans="1:6" x14ac:dyDescent="0.35">
      <c r="A622" t="s">
        <v>1490</v>
      </c>
      <c r="B622" t="s">
        <v>16</v>
      </c>
      <c r="C622" t="s">
        <v>21</v>
      </c>
      <c r="D622" t="s">
        <v>1785</v>
      </c>
      <c r="E622" t="s">
        <v>1490</v>
      </c>
      <c r="F622" t="s">
        <v>21</v>
      </c>
    </row>
    <row r="623" spans="1:6" x14ac:dyDescent="0.35">
      <c r="A623" t="s">
        <v>1353</v>
      </c>
      <c r="B623" t="s">
        <v>16</v>
      </c>
      <c r="C623" t="s">
        <v>17</v>
      </c>
      <c r="D623" t="s">
        <v>1786</v>
      </c>
      <c r="E623" t="s">
        <v>1353</v>
      </c>
      <c r="F623" t="s">
        <v>17</v>
      </c>
    </row>
    <row r="624" spans="1:6" x14ac:dyDescent="0.35">
      <c r="A624" t="s">
        <v>1369</v>
      </c>
      <c r="B624" t="s">
        <v>16</v>
      </c>
      <c r="C624" t="s">
        <v>17</v>
      </c>
      <c r="D624" t="s">
        <v>1787</v>
      </c>
      <c r="E624" t="s">
        <v>1353</v>
      </c>
      <c r="F624" t="s">
        <v>17</v>
      </c>
    </row>
    <row r="625" spans="1:6" x14ac:dyDescent="0.35">
      <c r="A625" t="s">
        <v>1175</v>
      </c>
      <c r="B625" t="s">
        <v>16</v>
      </c>
      <c r="C625" t="s">
        <v>87</v>
      </c>
      <c r="D625" t="s">
        <v>1788</v>
      </c>
      <c r="E625" t="s">
        <v>1175</v>
      </c>
      <c r="F625" t="s">
        <v>87</v>
      </c>
    </row>
    <row r="626" spans="1:6" x14ac:dyDescent="0.35">
      <c r="A626" t="s">
        <v>507</v>
      </c>
      <c r="B626" t="s">
        <v>16</v>
      </c>
      <c r="C626" t="s">
        <v>18</v>
      </c>
      <c r="D626" t="s">
        <v>1789</v>
      </c>
      <c r="E626" t="s">
        <v>507</v>
      </c>
      <c r="F626" t="s">
        <v>18</v>
      </c>
    </row>
    <row r="627" spans="1:6" x14ac:dyDescent="0.35">
      <c r="A627" t="s">
        <v>1356</v>
      </c>
      <c r="B627" t="s">
        <v>16</v>
      </c>
      <c r="C627" t="s">
        <v>18</v>
      </c>
      <c r="D627" t="s">
        <v>1790</v>
      </c>
      <c r="E627" t="s">
        <v>1356</v>
      </c>
      <c r="F627" t="s">
        <v>18</v>
      </c>
    </row>
    <row r="628" spans="1:6" x14ac:dyDescent="0.35">
      <c r="A628" t="s">
        <v>376</v>
      </c>
      <c r="B628" t="s">
        <v>16</v>
      </c>
      <c r="C628" t="s">
        <v>20</v>
      </c>
      <c r="D628" t="s">
        <v>1176</v>
      </c>
      <c r="E628" t="s">
        <v>376</v>
      </c>
      <c r="F628" t="s">
        <v>20</v>
      </c>
    </row>
    <row r="629" spans="1:6" x14ac:dyDescent="0.35">
      <c r="A629" t="s">
        <v>535</v>
      </c>
      <c r="B629" t="s">
        <v>16</v>
      </c>
      <c r="C629" t="s">
        <v>86</v>
      </c>
      <c r="D629" t="s">
        <v>1177</v>
      </c>
      <c r="E629" t="s">
        <v>535</v>
      </c>
      <c r="F629" t="s">
        <v>86</v>
      </c>
    </row>
    <row r="630" spans="1:6" x14ac:dyDescent="0.35">
      <c r="A630" t="s">
        <v>216</v>
      </c>
      <c r="B630" t="s">
        <v>16</v>
      </c>
      <c r="C630" t="s">
        <v>19</v>
      </c>
      <c r="D630" t="s">
        <v>1178</v>
      </c>
      <c r="E630" t="s">
        <v>216</v>
      </c>
      <c r="F630" t="s">
        <v>19</v>
      </c>
    </row>
    <row r="631" spans="1:6" x14ac:dyDescent="0.35">
      <c r="A631" t="s">
        <v>491</v>
      </c>
      <c r="B631" t="s">
        <v>16</v>
      </c>
      <c r="C631" t="s">
        <v>492</v>
      </c>
      <c r="D631" t="s">
        <v>1179</v>
      </c>
      <c r="E631" t="s">
        <v>491</v>
      </c>
      <c r="F631" t="s">
        <v>492</v>
      </c>
    </row>
    <row r="632" spans="1:6" x14ac:dyDescent="0.35">
      <c r="A632" t="s">
        <v>1373</v>
      </c>
      <c r="B632" t="s">
        <v>16</v>
      </c>
      <c r="C632" t="s">
        <v>22</v>
      </c>
      <c r="D632" t="s">
        <v>1791</v>
      </c>
      <c r="E632" t="s">
        <v>1373</v>
      </c>
      <c r="F632" t="s">
        <v>22</v>
      </c>
    </row>
    <row r="633" spans="1:6" x14ac:dyDescent="0.35">
      <c r="A633" t="s">
        <v>1397</v>
      </c>
      <c r="B633" t="s">
        <v>47</v>
      </c>
      <c r="C633" t="s">
        <v>122</v>
      </c>
      <c r="D633" t="s">
        <v>1792</v>
      </c>
      <c r="E633" t="s">
        <v>1397</v>
      </c>
      <c r="F633" t="s">
        <v>122</v>
      </c>
    </row>
    <row r="634" spans="1:6" x14ac:dyDescent="0.35">
      <c r="A634" t="s">
        <v>566</v>
      </c>
      <c r="B634" t="s">
        <v>47</v>
      </c>
      <c r="C634" t="s">
        <v>36</v>
      </c>
      <c r="D634" t="s">
        <v>1180</v>
      </c>
      <c r="E634" t="s">
        <v>566</v>
      </c>
      <c r="F634" t="s">
        <v>36</v>
      </c>
    </row>
    <row r="635" spans="1:6" x14ac:dyDescent="0.35">
      <c r="A635" t="s">
        <v>414</v>
      </c>
      <c r="B635" t="s">
        <v>47</v>
      </c>
      <c r="C635" t="s">
        <v>17</v>
      </c>
      <c r="D635" t="s">
        <v>1181</v>
      </c>
      <c r="E635" t="s">
        <v>414</v>
      </c>
      <c r="F635" t="s">
        <v>17</v>
      </c>
    </row>
    <row r="636" spans="1:6" x14ac:dyDescent="0.35">
      <c r="A636" t="s">
        <v>1183</v>
      </c>
      <c r="B636" t="s">
        <v>47</v>
      </c>
      <c r="C636" t="s">
        <v>75</v>
      </c>
      <c r="D636" t="s">
        <v>1182</v>
      </c>
      <c r="E636" t="s">
        <v>1183</v>
      </c>
      <c r="F636" t="s">
        <v>75</v>
      </c>
    </row>
    <row r="637" spans="1:6" x14ac:dyDescent="0.35">
      <c r="A637" t="s">
        <v>423</v>
      </c>
      <c r="B637" t="s">
        <v>16</v>
      </c>
      <c r="C637" t="s">
        <v>57</v>
      </c>
      <c r="D637" t="s">
        <v>1184</v>
      </c>
      <c r="E637" t="s">
        <v>423</v>
      </c>
      <c r="F637" t="s">
        <v>57</v>
      </c>
    </row>
    <row r="638" spans="1:6" x14ac:dyDescent="0.35">
      <c r="A638" t="s">
        <v>1185</v>
      </c>
      <c r="B638" t="s">
        <v>47</v>
      </c>
      <c r="C638" t="s">
        <v>87</v>
      </c>
      <c r="D638" t="s">
        <v>1793</v>
      </c>
      <c r="E638" t="s">
        <v>1185</v>
      </c>
      <c r="F638" t="s">
        <v>87</v>
      </c>
    </row>
    <row r="639" spans="1:6" x14ac:dyDescent="0.35">
      <c r="A639" t="s">
        <v>469</v>
      </c>
      <c r="B639" t="s">
        <v>47</v>
      </c>
      <c r="C639" t="s">
        <v>51</v>
      </c>
      <c r="D639" t="s">
        <v>1186</v>
      </c>
      <c r="E639" t="s">
        <v>469</v>
      </c>
      <c r="F639" t="s">
        <v>51</v>
      </c>
    </row>
    <row r="640" spans="1:6" x14ac:dyDescent="0.35">
      <c r="A640" t="s">
        <v>284</v>
      </c>
      <c r="B640" t="s">
        <v>47</v>
      </c>
      <c r="C640" t="s">
        <v>75</v>
      </c>
      <c r="D640" t="s">
        <v>1187</v>
      </c>
      <c r="E640" t="s">
        <v>284</v>
      </c>
      <c r="F640" t="s">
        <v>75</v>
      </c>
    </row>
    <row r="641" spans="1:6" x14ac:dyDescent="0.35">
      <c r="A641" t="s">
        <v>616</v>
      </c>
      <c r="B641" t="s">
        <v>16</v>
      </c>
      <c r="C641" t="s">
        <v>87</v>
      </c>
      <c r="D641" t="s">
        <v>1188</v>
      </c>
      <c r="E641" t="s">
        <v>616</v>
      </c>
      <c r="F641" t="s">
        <v>87</v>
      </c>
    </row>
    <row r="642" spans="1:6" x14ac:dyDescent="0.35">
      <c r="A642" t="s">
        <v>237</v>
      </c>
      <c r="B642" t="s">
        <v>16</v>
      </c>
      <c r="C642" t="s">
        <v>41</v>
      </c>
      <c r="D642" t="s">
        <v>1189</v>
      </c>
      <c r="E642" t="s">
        <v>237</v>
      </c>
      <c r="F642" t="s">
        <v>41</v>
      </c>
    </row>
    <row r="643" spans="1:6" x14ac:dyDescent="0.35">
      <c r="A643" t="s">
        <v>319</v>
      </c>
      <c r="B643" t="s">
        <v>47</v>
      </c>
      <c r="C643" t="s">
        <v>51</v>
      </c>
      <c r="D643" t="s">
        <v>1190</v>
      </c>
      <c r="E643" t="s">
        <v>319</v>
      </c>
      <c r="F643" t="s">
        <v>51</v>
      </c>
    </row>
    <row r="644" spans="1:6" x14ac:dyDescent="0.35">
      <c r="A644" t="s">
        <v>648</v>
      </c>
      <c r="B644" t="s">
        <v>16</v>
      </c>
      <c r="C644" t="s">
        <v>20</v>
      </c>
      <c r="D644" t="s">
        <v>1794</v>
      </c>
      <c r="E644" t="s">
        <v>648</v>
      </c>
      <c r="F644" t="s">
        <v>20</v>
      </c>
    </row>
    <row r="645" spans="1:6" x14ac:dyDescent="0.35">
      <c r="A645" t="s">
        <v>613</v>
      </c>
      <c r="B645" t="s">
        <v>47</v>
      </c>
      <c r="C645" t="s">
        <v>18</v>
      </c>
      <c r="D645" t="s">
        <v>1191</v>
      </c>
      <c r="E645" t="s">
        <v>613</v>
      </c>
      <c r="F645" t="s">
        <v>18</v>
      </c>
    </row>
    <row r="646" spans="1:6" x14ac:dyDescent="0.35">
      <c r="A646" t="s">
        <v>635</v>
      </c>
      <c r="B646" t="s">
        <v>47</v>
      </c>
      <c r="C646" t="s">
        <v>20</v>
      </c>
      <c r="D646" t="s">
        <v>1795</v>
      </c>
      <c r="E646" t="s">
        <v>635</v>
      </c>
      <c r="F646" t="s">
        <v>20</v>
      </c>
    </row>
    <row r="647" spans="1:6" x14ac:dyDescent="0.35">
      <c r="A647" t="s">
        <v>1192</v>
      </c>
      <c r="B647" t="s">
        <v>16</v>
      </c>
      <c r="C647" t="s">
        <v>17</v>
      </c>
      <c r="D647" t="s">
        <v>1796</v>
      </c>
      <c r="E647" t="s">
        <v>1192</v>
      </c>
      <c r="F647" t="s">
        <v>17</v>
      </c>
    </row>
    <row r="648" spans="1:6" x14ac:dyDescent="0.35">
      <c r="A648" t="s">
        <v>1193</v>
      </c>
      <c r="B648" t="s">
        <v>16</v>
      </c>
      <c r="C648" t="s">
        <v>39</v>
      </c>
      <c r="D648" t="s">
        <v>1797</v>
      </c>
      <c r="E648" t="s">
        <v>1193</v>
      </c>
      <c r="F648" t="s">
        <v>39</v>
      </c>
    </row>
    <row r="649" spans="1:6" x14ac:dyDescent="0.35">
      <c r="A649" t="s">
        <v>663</v>
      </c>
      <c r="B649" t="s">
        <v>16</v>
      </c>
      <c r="C649" t="s">
        <v>21</v>
      </c>
      <c r="D649" t="s">
        <v>1194</v>
      </c>
      <c r="E649" t="s">
        <v>663</v>
      </c>
      <c r="F649" t="s">
        <v>21</v>
      </c>
    </row>
    <row r="650" spans="1:6" x14ac:dyDescent="0.35">
      <c r="A650" t="s">
        <v>1485</v>
      </c>
      <c r="B650" t="s">
        <v>47</v>
      </c>
      <c r="C650" t="s">
        <v>69</v>
      </c>
      <c r="D650" t="s">
        <v>1798</v>
      </c>
      <c r="E650" t="s">
        <v>1485</v>
      </c>
      <c r="F650" t="s">
        <v>69</v>
      </c>
    </row>
    <row r="651" spans="1:6" x14ac:dyDescent="0.35">
      <c r="A651" t="s">
        <v>211</v>
      </c>
      <c r="B651" t="s">
        <v>16</v>
      </c>
      <c r="C651" t="s">
        <v>120</v>
      </c>
      <c r="D651" t="s">
        <v>1195</v>
      </c>
      <c r="E651" t="s">
        <v>211</v>
      </c>
      <c r="F651" t="s">
        <v>120</v>
      </c>
    </row>
    <row r="652" spans="1:6" x14ac:dyDescent="0.35">
      <c r="A652" t="s">
        <v>342</v>
      </c>
      <c r="B652" t="s">
        <v>16</v>
      </c>
      <c r="C652" t="s">
        <v>34</v>
      </c>
      <c r="D652" t="s">
        <v>1196</v>
      </c>
      <c r="E652" t="s">
        <v>342</v>
      </c>
      <c r="F652" t="s">
        <v>34</v>
      </c>
    </row>
    <row r="653" spans="1:6" x14ac:dyDescent="0.35">
      <c r="A653" t="s">
        <v>614</v>
      </c>
      <c r="B653" t="s">
        <v>16</v>
      </c>
      <c r="C653" t="s">
        <v>87</v>
      </c>
      <c r="D653" t="s">
        <v>1197</v>
      </c>
      <c r="E653" t="s">
        <v>614</v>
      </c>
      <c r="F653" t="s">
        <v>87</v>
      </c>
    </row>
    <row r="654" spans="1:6" x14ac:dyDescent="0.35">
      <c r="A654" t="s">
        <v>541</v>
      </c>
      <c r="B654" t="s">
        <v>16</v>
      </c>
      <c r="C654" t="s">
        <v>20</v>
      </c>
      <c r="D654" t="s">
        <v>1799</v>
      </c>
      <c r="E654" t="s">
        <v>541</v>
      </c>
      <c r="F654" t="s">
        <v>20</v>
      </c>
    </row>
    <row r="655" spans="1:6" x14ac:dyDescent="0.35">
      <c r="A655" t="s">
        <v>1476</v>
      </c>
      <c r="B655" t="s">
        <v>47</v>
      </c>
      <c r="C655" t="s">
        <v>22</v>
      </c>
      <c r="D655" t="s">
        <v>1800</v>
      </c>
      <c r="E655" t="s">
        <v>1476</v>
      </c>
      <c r="F655" t="s">
        <v>22</v>
      </c>
    </row>
    <row r="656" spans="1:6" x14ac:dyDescent="0.35">
      <c r="A656" t="s">
        <v>1470</v>
      </c>
      <c r="B656" t="s">
        <v>47</v>
      </c>
      <c r="C656" t="s">
        <v>51</v>
      </c>
      <c r="D656" t="s">
        <v>1801</v>
      </c>
      <c r="E656" t="s">
        <v>1470</v>
      </c>
      <c r="F656" t="s">
        <v>51</v>
      </c>
    </row>
    <row r="657" spans="1:6" x14ac:dyDescent="0.35">
      <c r="A657" t="s">
        <v>1198</v>
      </c>
      <c r="B657" t="s">
        <v>16</v>
      </c>
      <c r="C657" t="s">
        <v>87</v>
      </c>
      <c r="D657" t="s">
        <v>1802</v>
      </c>
      <c r="E657" t="s">
        <v>1198</v>
      </c>
      <c r="F657" t="s">
        <v>87</v>
      </c>
    </row>
    <row r="658" spans="1:6" x14ac:dyDescent="0.35">
      <c r="A658" t="s">
        <v>1357</v>
      </c>
      <c r="B658" t="s">
        <v>16</v>
      </c>
      <c r="C658" t="s">
        <v>18</v>
      </c>
      <c r="D658" t="s">
        <v>1803</v>
      </c>
      <c r="E658" t="s">
        <v>1357</v>
      </c>
      <c r="F658" t="s">
        <v>18</v>
      </c>
    </row>
    <row r="659" spans="1:6" x14ac:dyDescent="0.35">
      <c r="A659" t="s">
        <v>330</v>
      </c>
      <c r="B659" t="s">
        <v>47</v>
      </c>
      <c r="C659" t="s">
        <v>87</v>
      </c>
      <c r="D659" t="s">
        <v>1199</v>
      </c>
      <c r="E659" t="s">
        <v>330</v>
      </c>
      <c r="F659" t="s">
        <v>87</v>
      </c>
    </row>
    <row r="660" spans="1:6" x14ac:dyDescent="0.35">
      <c r="A660" t="s">
        <v>1200</v>
      </c>
      <c r="B660" t="s">
        <v>16</v>
      </c>
      <c r="D660" t="s">
        <v>1201</v>
      </c>
      <c r="E660" t="s">
        <v>1200</v>
      </c>
      <c r="F660" t="s">
        <v>17</v>
      </c>
    </row>
    <row r="661" spans="1:6" x14ac:dyDescent="0.35">
      <c r="A661" t="s">
        <v>265</v>
      </c>
      <c r="B661" t="s">
        <v>16</v>
      </c>
      <c r="D661" t="s">
        <v>1202</v>
      </c>
      <c r="E661" t="s">
        <v>265</v>
      </c>
      <c r="F661" t="s">
        <v>52</v>
      </c>
    </row>
    <row r="662" spans="1:6" x14ac:dyDescent="0.35">
      <c r="A662" t="s">
        <v>443</v>
      </c>
      <c r="B662" t="s">
        <v>47</v>
      </c>
      <c r="C662" t="s">
        <v>444</v>
      </c>
      <c r="D662" t="s">
        <v>1203</v>
      </c>
      <c r="E662" t="s">
        <v>443</v>
      </c>
      <c r="F662" t="s">
        <v>444</v>
      </c>
    </row>
    <row r="663" spans="1:6" x14ac:dyDescent="0.35">
      <c r="A663" t="s">
        <v>204</v>
      </c>
      <c r="B663" t="s">
        <v>16</v>
      </c>
      <c r="C663" t="s">
        <v>86</v>
      </c>
      <c r="D663" t="s">
        <v>1204</v>
      </c>
      <c r="E663" t="s">
        <v>204</v>
      </c>
      <c r="F663" t="s">
        <v>86</v>
      </c>
    </row>
    <row r="664" spans="1:6" x14ac:dyDescent="0.35">
      <c r="A664" t="s">
        <v>641</v>
      </c>
      <c r="B664" t="s">
        <v>16</v>
      </c>
      <c r="C664" t="s">
        <v>39</v>
      </c>
      <c r="D664" t="s">
        <v>1205</v>
      </c>
      <c r="E664" t="s">
        <v>641</v>
      </c>
      <c r="F664" t="s">
        <v>39</v>
      </c>
    </row>
    <row r="665" spans="1:6" x14ac:dyDescent="0.35">
      <c r="A665" t="s">
        <v>1207</v>
      </c>
      <c r="B665" t="s">
        <v>16</v>
      </c>
      <c r="C665" t="s">
        <v>21</v>
      </c>
      <c r="D665" t="s">
        <v>1206</v>
      </c>
      <c r="E665" t="s">
        <v>1207</v>
      </c>
      <c r="F665" t="s">
        <v>21</v>
      </c>
    </row>
    <row r="666" spans="1:6" x14ac:dyDescent="0.35">
      <c r="A666" t="s">
        <v>195</v>
      </c>
      <c r="B666" t="s">
        <v>16</v>
      </c>
      <c r="C666" t="s">
        <v>36</v>
      </c>
      <c r="D666" t="s">
        <v>1208</v>
      </c>
      <c r="E666" t="s">
        <v>195</v>
      </c>
      <c r="F666" t="s">
        <v>36</v>
      </c>
    </row>
    <row r="667" spans="1:6" x14ac:dyDescent="0.35">
      <c r="A667" t="s">
        <v>508</v>
      </c>
      <c r="B667" t="s">
        <v>16</v>
      </c>
      <c r="C667" t="s">
        <v>120</v>
      </c>
      <c r="D667" t="s">
        <v>1804</v>
      </c>
      <c r="E667" t="s">
        <v>508</v>
      </c>
      <c r="F667" t="s">
        <v>120</v>
      </c>
    </row>
    <row r="668" spans="1:6" x14ac:dyDescent="0.35">
      <c r="A668" t="s">
        <v>1417</v>
      </c>
      <c r="B668" t="s">
        <v>16</v>
      </c>
      <c r="C668" t="s">
        <v>75</v>
      </c>
      <c r="D668" t="s">
        <v>1805</v>
      </c>
      <c r="E668" t="s">
        <v>1417</v>
      </c>
      <c r="F668" t="s">
        <v>75</v>
      </c>
    </row>
    <row r="669" spans="1:6" x14ac:dyDescent="0.35">
      <c r="A669" t="s">
        <v>552</v>
      </c>
      <c r="B669" t="s">
        <v>47</v>
      </c>
      <c r="C669" t="s">
        <v>20</v>
      </c>
      <c r="D669" t="s">
        <v>1209</v>
      </c>
      <c r="E669" t="s">
        <v>552</v>
      </c>
      <c r="F669" t="s">
        <v>20</v>
      </c>
    </row>
    <row r="670" spans="1:6" x14ac:dyDescent="0.35">
      <c r="A670" t="s">
        <v>525</v>
      </c>
      <c r="B670" t="s">
        <v>47</v>
      </c>
      <c r="C670" t="s">
        <v>51</v>
      </c>
      <c r="D670" t="s">
        <v>1210</v>
      </c>
      <c r="E670" t="s">
        <v>525</v>
      </c>
      <c r="F670" t="s">
        <v>51</v>
      </c>
    </row>
    <row r="671" spans="1:6" x14ac:dyDescent="0.35">
      <c r="A671" t="s">
        <v>1450</v>
      </c>
      <c r="B671" t="s">
        <v>47</v>
      </c>
      <c r="C671" t="s">
        <v>18</v>
      </c>
      <c r="D671" t="s">
        <v>1806</v>
      </c>
      <c r="E671" t="s">
        <v>1450</v>
      </c>
      <c r="F671" t="s">
        <v>18</v>
      </c>
    </row>
    <row r="672" spans="1:6" x14ac:dyDescent="0.35">
      <c r="A672" t="s">
        <v>589</v>
      </c>
      <c r="B672" t="s">
        <v>47</v>
      </c>
      <c r="C672" t="s">
        <v>56</v>
      </c>
      <c r="D672" t="s">
        <v>1211</v>
      </c>
      <c r="E672" t="s">
        <v>589</v>
      </c>
      <c r="F672" t="s">
        <v>56</v>
      </c>
    </row>
    <row r="673" spans="1:6" x14ac:dyDescent="0.35">
      <c r="A673" t="s">
        <v>629</v>
      </c>
      <c r="B673" t="s">
        <v>47</v>
      </c>
      <c r="C673" t="s">
        <v>51</v>
      </c>
      <c r="D673" t="s">
        <v>1807</v>
      </c>
      <c r="E673" t="s">
        <v>629</v>
      </c>
      <c r="F673" t="s">
        <v>51</v>
      </c>
    </row>
    <row r="674" spans="1:6" x14ac:dyDescent="0.35">
      <c r="A674" t="s">
        <v>1212</v>
      </c>
      <c r="B674" t="s">
        <v>47</v>
      </c>
      <c r="C674" t="s">
        <v>75</v>
      </c>
      <c r="D674" t="s">
        <v>1808</v>
      </c>
      <c r="E674" t="s">
        <v>1212</v>
      </c>
      <c r="F674" t="s">
        <v>75</v>
      </c>
    </row>
    <row r="675" spans="1:6" x14ac:dyDescent="0.35">
      <c r="A675" t="s">
        <v>1213</v>
      </c>
      <c r="B675" t="s">
        <v>16</v>
      </c>
      <c r="C675" t="s">
        <v>75</v>
      </c>
      <c r="D675" t="s">
        <v>1809</v>
      </c>
      <c r="E675" t="s">
        <v>1213</v>
      </c>
      <c r="F675" t="s">
        <v>75</v>
      </c>
    </row>
    <row r="676" spans="1:6" x14ac:dyDescent="0.35">
      <c r="A676" t="s">
        <v>1214</v>
      </c>
      <c r="B676" t="s">
        <v>16</v>
      </c>
      <c r="C676" t="s">
        <v>52</v>
      </c>
      <c r="D676" t="s">
        <v>1810</v>
      </c>
      <c r="E676" t="s">
        <v>1214</v>
      </c>
      <c r="F676" t="s">
        <v>52</v>
      </c>
    </row>
    <row r="677" spans="1:6" x14ac:dyDescent="0.35">
      <c r="A677" t="s">
        <v>1216</v>
      </c>
      <c r="B677" t="s">
        <v>16</v>
      </c>
      <c r="C677" t="s">
        <v>75</v>
      </c>
      <c r="D677" t="s">
        <v>1811</v>
      </c>
      <c r="E677" t="s">
        <v>1216</v>
      </c>
      <c r="F677" t="s">
        <v>75</v>
      </c>
    </row>
    <row r="678" spans="1:6" x14ac:dyDescent="0.35">
      <c r="A678" t="s">
        <v>234</v>
      </c>
      <c r="B678" t="s">
        <v>16</v>
      </c>
      <c r="C678" t="s">
        <v>124</v>
      </c>
      <c r="D678" t="s">
        <v>1215</v>
      </c>
      <c r="E678" t="s">
        <v>234</v>
      </c>
      <c r="F678" t="s">
        <v>124</v>
      </c>
    </row>
    <row r="679" spans="1:6" x14ac:dyDescent="0.35">
      <c r="A679" t="s">
        <v>1217</v>
      </c>
      <c r="B679" t="s">
        <v>47</v>
      </c>
      <c r="C679" t="s">
        <v>75</v>
      </c>
      <c r="D679" t="s">
        <v>1812</v>
      </c>
      <c r="E679" t="s">
        <v>1217</v>
      </c>
      <c r="F679" t="s">
        <v>75</v>
      </c>
    </row>
    <row r="680" spans="1:6" x14ac:dyDescent="0.35">
      <c r="A680" t="s">
        <v>174</v>
      </c>
      <c r="B680" t="s">
        <v>47</v>
      </c>
      <c r="C680" t="s">
        <v>33</v>
      </c>
      <c r="D680" t="s">
        <v>1813</v>
      </c>
      <c r="E680" t="s">
        <v>174</v>
      </c>
      <c r="F680" t="s">
        <v>33</v>
      </c>
    </row>
    <row r="681" spans="1:6" x14ac:dyDescent="0.35">
      <c r="A681" t="s">
        <v>1218</v>
      </c>
      <c r="B681" t="s">
        <v>16</v>
      </c>
      <c r="C681" t="s">
        <v>673</v>
      </c>
      <c r="D681" t="s">
        <v>1814</v>
      </c>
      <c r="E681" t="s">
        <v>1218</v>
      </c>
      <c r="F681" t="s">
        <v>673</v>
      </c>
    </row>
    <row r="682" spans="1:6" x14ac:dyDescent="0.35">
      <c r="A682" t="s">
        <v>1422</v>
      </c>
      <c r="B682" t="s">
        <v>16</v>
      </c>
      <c r="C682" t="s">
        <v>57</v>
      </c>
      <c r="D682" t="s">
        <v>1815</v>
      </c>
      <c r="E682" t="s">
        <v>1422</v>
      </c>
      <c r="F682" t="s">
        <v>57</v>
      </c>
    </row>
    <row r="683" spans="1:6" x14ac:dyDescent="0.35">
      <c r="A683" t="s">
        <v>1219</v>
      </c>
      <c r="B683" t="s">
        <v>16</v>
      </c>
      <c r="C683" t="s">
        <v>686</v>
      </c>
      <c r="D683" t="s">
        <v>1816</v>
      </c>
      <c r="E683" t="s">
        <v>1219</v>
      </c>
      <c r="F683" t="s">
        <v>686</v>
      </c>
    </row>
    <row r="684" spans="1:6" x14ac:dyDescent="0.35">
      <c r="A684" t="s">
        <v>1329</v>
      </c>
      <c r="B684" t="s">
        <v>47</v>
      </c>
      <c r="C684" t="s">
        <v>48</v>
      </c>
      <c r="D684" t="s">
        <v>1817</v>
      </c>
      <c r="E684" t="s">
        <v>1329</v>
      </c>
      <c r="F684" t="s">
        <v>48</v>
      </c>
    </row>
    <row r="685" spans="1:6" x14ac:dyDescent="0.35">
      <c r="A685" t="s">
        <v>1413</v>
      </c>
      <c r="B685" t="s">
        <v>16</v>
      </c>
      <c r="C685" t="s">
        <v>39</v>
      </c>
      <c r="D685" t="s">
        <v>1818</v>
      </c>
      <c r="E685" t="s">
        <v>1413</v>
      </c>
      <c r="F685" t="s">
        <v>39</v>
      </c>
    </row>
    <row r="686" spans="1:6" x14ac:dyDescent="0.35">
      <c r="A686" t="s">
        <v>1220</v>
      </c>
      <c r="B686" t="s">
        <v>16</v>
      </c>
      <c r="C686" t="s">
        <v>56</v>
      </c>
      <c r="D686" t="s">
        <v>1819</v>
      </c>
      <c r="E686" t="s">
        <v>1220</v>
      </c>
      <c r="F686" t="s">
        <v>56</v>
      </c>
    </row>
    <row r="687" spans="1:6" x14ac:dyDescent="0.35">
      <c r="A687" t="s">
        <v>364</v>
      </c>
      <c r="B687" t="s">
        <v>16</v>
      </c>
      <c r="C687" t="s">
        <v>51</v>
      </c>
      <c r="D687" t="s">
        <v>1221</v>
      </c>
      <c r="E687" t="s">
        <v>364</v>
      </c>
      <c r="F687" t="s">
        <v>51</v>
      </c>
    </row>
    <row r="688" spans="1:6" x14ac:dyDescent="0.35">
      <c r="A688" t="s">
        <v>649</v>
      </c>
      <c r="B688" t="s">
        <v>16</v>
      </c>
      <c r="C688" t="s">
        <v>20</v>
      </c>
      <c r="D688" t="s">
        <v>1222</v>
      </c>
      <c r="E688" t="s">
        <v>649</v>
      </c>
      <c r="F688" t="s">
        <v>20</v>
      </c>
    </row>
    <row r="689" spans="1:6" x14ac:dyDescent="0.35">
      <c r="A689" t="s">
        <v>203</v>
      </c>
      <c r="B689" t="s">
        <v>16</v>
      </c>
      <c r="C689" t="s">
        <v>118</v>
      </c>
      <c r="D689" t="s">
        <v>1223</v>
      </c>
      <c r="E689" t="s">
        <v>203</v>
      </c>
      <c r="F689" t="s">
        <v>118</v>
      </c>
    </row>
    <row r="690" spans="1:6" x14ac:dyDescent="0.35">
      <c r="A690" t="s">
        <v>250</v>
      </c>
      <c r="B690" t="s">
        <v>16</v>
      </c>
      <c r="C690" t="s">
        <v>48</v>
      </c>
      <c r="D690" t="s">
        <v>1224</v>
      </c>
      <c r="E690" t="s">
        <v>250</v>
      </c>
      <c r="F690" t="s">
        <v>48</v>
      </c>
    </row>
    <row r="691" spans="1:6" x14ac:dyDescent="0.35">
      <c r="A691" t="s">
        <v>193</v>
      </c>
      <c r="B691" t="s">
        <v>16</v>
      </c>
      <c r="C691" t="s">
        <v>48</v>
      </c>
      <c r="D691" t="s">
        <v>1225</v>
      </c>
      <c r="E691" t="s">
        <v>193</v>
      </c>
      <c r="F691" t="s">
        <v>48</v>
      </c>
    </row>
    <row r="692" spans="1:6" x14ac:dyDescent="0.35">
      <c r="A692" t="s">
        <v>1436</v>
      </c>
      <c r="B692" t="s">
        <v>47</v>
      </c>
      <c r="C692" t="s">
        <v>18</v>
      </c>
      <c r="D692" t="s">
        <v>1820</v>
      </c>
      <c r="E692" t="s">
        <v>1436</v>
      </c>
      <c r="F692" t="s">
        <v>18</v>
      </c>
    </row>
    <row r="693" spans="1:6" x14ac:dyDescent="0.35">
      <c r="A693" t="s">
        <v>405</v>
      </c>
      <c r="B693" t="s">
        <v>47</v>
      </c>
      <c r="C693" t="s">
        <v>75</v>
      </c>
      <c r="D693" t="s">
        <v>1226</v>
      </c>
      <c r="E693" t="s">
        <v>405</v>
      </c>
      <c r="F693" t="s">
        <v>75</v>
      </c>
    </row>
    <row r="694" spans="1:6" x14ac:dyDescent="0.35">
      <c r="A694" t="s">
        <v>256</v>
      </c>
      <c r="B694" t="s">
        <v>16</v>
      </c>
      <c r="C694" t="s">
        <v>147</v>
      </c>
      <c r="D694" t="s">
        <v>1227</v>
      </c>
      <c r="E694" t="s">
        <v>256</v>
      </c>
      <c r="F694" t="s">
        <v>147</v>
      </c>
    </row>
    <row r="695" spans="1:6" x14ac:dyDescent="0.35">
      <c r="A695" t="s">
        <v>1229</v>
      </c>
      <c r="B695" t="s">
        <v>47</v>
      </c>
      <c r="C695" t="s">
        <v>34</v>
      </c>
      <c r="D695" t="s">
        <v>1228</v>
      </c>
      <c r="E695" t="s">
        <v>1229</v>
      </c>
      <c r="F695" t="s">
        <v>34</v>
      </c>
    </row>
    <row r="696" spans="1:6" x14ac:dyDescent="0.35">
      <c r="A696" t="s">
        <v>1230</v>
      </c>
      <c r="B696" t="s">
        <v>47</v>
      </c>
      <c r="C696" t="s">
        <v>56</v>
      </c>
      <c r="D696" t="s">
        <v>1821</v>
      </c>
      <c r="E696" t="s">
        <v>1230</v>
      </c>
      <c r="F696" t="s">
        <v>56</v>
      </c>
    </row>
    <row r="697" spans="1:6" x14ac:dyDescent="0.35">
      <c r="A697" t="s">
        <v>353</v>
      </c>
      <c r="B697" t="s">
        <v>47</v>
      </c>
      <c r="C697" t="s">
        <v>119</v>
      </c>
      <c r="D697" t="s">
        <v>1231</v>
      </c>
      <c r="E697" t="s">
        <v>353</v>
      </c>
      <c r="F697" t="s">
        <v>119</v>
      </c>
    </row>
    <row r="698" spans="1:6" x14ac:dyDescent="0.35">
      <c r="A698" t="s">
        <v>321</v>
      </c>
      <c r="B698" t="s">
        <v>47</v>
      </c>
      <c r="C698" t="s">
        <v>51</v>
      </c>
      <c r="D698" t="s">
        <v>1232</v>
      </c>
      <c r="E698" t="s">
        <v>321</v>
      </c>
      <c r="F698" t="s">
        <v>51</v>
      </c>
    </row>
    <row r="699" spans="1:6" x14ac:dyDescent="0.35">
      <c r="A699" t="s">
        <v>288</v>
      </c>
      <c r="B699" t="s">
        <v>47</v>
      </c>
      <c r="C699" t="s">
        <v>75</v>
      </c>
      <c r="D699" t="s">
        <v>1233</v>
      </c>
      <c r="E699" t="s">
        <v>288</v>
      </c>
      <c r="F699" t="s">
        <v>75</v>
      </c>
    </row>
    <row r="700" spans="1:6" x14ac:dyDescent="0.35">
      <c r="A700" t="s">
        <v>1234</v>
      </c>
      <c r="B700" t="s">
        <v>47</v>
      </c>
      <c r="C700" t="s">
        <v>21</v>
      </c>
      <c r="D700" t="s">
        <v>1822</v>
      </c>
      <c r="E700" t="s">
        <v>1234</v>
      </c>
      <c r="F700" t="s">
        <v>21</v>
      </c>
    </row>
    <row r="701" spans="1:6" x14ac:dyDescent="0.35">
      <c r="A701" t="s">
        <v>166</v>
      </c>
      <c r="B701" t="s">
        <v>47</v>
      </c>
      <c r="C701" t="s">
        <v>35</v>
      </c>
      <c r="D701" t="s">
        <v>1235</v>
      </c>
      <c r="E701" t="s">
        <v>166</v>
      </c>
      <c r="F701" t="s">
        <v>35</v>
      </c>
    </row>
    <row r="702" spans="1:6" x14ac:dyDescent="0.35">
      <c r="A702" t="s">
        <v>1236</v>
      </c>
      <c r="B702" t="s">
        <v>47</v>
      </c>
      <c r="C702" t="s">
        <v>56</v>
      </c>
      <c r="D702" t="s">
        <v>1237</v>
      </c>
      <c r="E702" t="s">
        <v>1236</v>
      </c>
      <c r="F702" t="s">
        <v>56</v>
      </c>
    </row>
    <row r="703" spans="1:6" x14ac:dyDescent="0.35">
      <c r="A703" t="s">
        <v>1349</v>
      </c>
      <c r="B703" t="s">
        <v>47</v>
      </c>
      <c r="C703" t="s">
        <v>18</v>
      </c>
      <c r="D703" t="s">
        <v>1823</v>
      </c>
      <c r="E703" t="s">
        <v>1349</v>
      </c>
      <c r="F703" t="s">
        <v>18</v>
      </c>
    </row>
    <row r="704" spans="1:6" x14ac:dyDescent="0.35">
      <c r="A704" t="s">
        <v>1463</v>
      </c>
      <c r="B704" t="s">
        <v>47</v>
      </c>
      <c r="C704" t="s">
        <v>17</v>
      </c>
      <c r="D704" t="s">
        <v>1824</v>
      </c>
      <c r="E704" t="s">
        <v>1463</v>
      </c>
      <c r="F704" t="s">
        <v>17</v>
      </c>
    </row>
    <row r="705" spans="1:6" x14ac:dyDescent="0.35">
      <c r="A705" t="s">
        <v>411</v>
      </c>
      <c r="B705" t="s">
        <v>47</v>
      </c>
      <c r="C705" t="s">
        <v>48</v>
      </c>
      <c r="D705" t="s">
        <v>1238</v>
      </c>
      <c r="E705" t="s">
        <v>411</v>
      </c>
      <c r="F705" t="s">
        <v>48</v>
      </c>
    </row>
    <row r="706" spans="1:6" x14ac:dyDescent="0.35">
      <c r="A706" t="s">
        <v>453</v>
      </c>
      <c r="B706" t="s">
        <v>16</v>
      </c>
      <c r="C706" t="s">
        <v>22</v>
      </c>
      <c r="D706" t="s">
        <v>1825</v>
      </c>
      <c r="E706" t="s">
        <v>453</v>
      </c>
      <c r="F706" t="s">
        <v>22</v>
      </c>
    </row>
    <row r="707" spans="1:6" x14ac:dyDescent="0.35">
      <c r="A707" t="s">
        <v>632</v>
      </c>
      <c r="B707" t="s">
        <v>16</v>
      </c>
      <c r="C707" t="s">
        <v>124</v>
      </c>
      <c r="D707" t="s">
        <v>851</v>
      </c>
      <c r="E707" t="s">
        <v>632</v>
      </c>
      <c r="F707" t="s">
        <v>124</v>
      </c>
    </row>
    <row r="708" spans="1:6" x14ac:dyDescent="0.35">
      <c r="A708" t="s">
        <v>1364</v>
      </c>
      <c r="B708" t="s">
        <v>16</v>
      </c>
      <c r="C708" t="s">
        <v>48</v>
      </c>
      <c r="D708" t="s">
        <v>1826</v>
      </c>
      <c r="E708" t="s">
        <v>1364</v>
      </c>
      <c r="F708" t="s">
        <v>48</v>
      </c>
    </row>
    <row r="709" spans="1:6" x14ac:dyDescent="0.35">
      <c r="A709" t="s">
        <v>479</v>
      </c>
      <c r="B709" t="s">
        <v>47</v>
      </c>
      <c r="C709" t="s">
        <v>480</v>
      </c>
      <c r="D709" t="s">
        <v>1239</v>
      </c>
      <c r="E709" t="s">
        <v>479</v>
      </c>
      <c r="F709" t="s">
        <v>480</v>
      </c>
    </row>
    <row r="710" spans="1:6" x14ac:dyDescent="0.35">
      <c r="A710" t="s">
        <v>1240</v>
      </c>
      <c r="B710" t="s">
        <v>47</v>
      </c>
      <c r="C710" t="s">
        <v>51</v>
      </c>
      <c r="D710" t="s">
        <v>1827</v>
      </c>
      <c r="E710" t="s">
        <v>1240</v>
      </c>
      <c r="F710" t="s">
        <v>51</v>
      </c>
    </row>
    <row r="711" spans="1:6" x14ac:dyDescent="0.35">
      <c r="A711" t="s">
        <v>1352</v>
      </c>
      <c r="B711" t="s">
        <v>47</v>
      </c>
      <c r="C711" t="s">
        <v>51</v>
      </c>
      <c r="D711" t="s">
        <v>1828</v>
      </c>
      <c r="E711" t="s">
        <v>1352</v>
      </c>
      <c r="F711" t="s">
        <v>51</v>
      </c>
    </row>
    <row r="712" spans="1:6" x14ac:dyDescent="0.35">
      <c r="A712" t="s">
        <v>152</v>
      </c>
      <c r="B712" t="s">
        <v>47</v>
      </c>
      <c r="C712" t="s">
        <v>39</v>
      </c>
      <c r="D712" t="s">
        <v>1241</v>
      </c>
      <c r="E712" t="s">
        <v>152</v>
      </c>
      <c r="F712" t="s">
        <v>39</v>
      </c>
    </row>
    <row r="713" spans="1:6" x14ac:dyDescent="0.35">
      <c r="A713" t="s">
        <v>378</v>
      </c>
      <c r="B713" t="s">
        <v>16</v>
      </c>
      <c r="C713" t="s">
        <v>30</v>
      </c>
      <c r="D713" t="s">
        <v>1242</v>
      </c>
      <c r="E713" t="s">
        <v>378</v>
      </c>
      <c r="F713" t="s">
        <v>30</v>
      </c>
    </row>
    <row r="714" spans="1:6" x14ac:dyDescent="0.35">
      <c r="A714" t="s">
        <v>163</v>
      </c>
      <c r="B714" t="s">
        <v>47</v>
      </c>
      <c r="C714" t="s">
        <v>104</v>
      </c>
      <c r="D714" t="s">
        <v>1829</v>
      </c>
      <c r="E714" t="s">
        <v>163</v>
      </c>
      <c r="F714" t="s">
        <v>104</v>
      </c>
    </row>
    <row r="715" spans="1:6" x14ac:dyDescent="0.35">
      <c r="A715" t="s">
        <v>1244</v>
      </c>
      <c r="B715" t="s">
        <v>16</v>
      </c>
      <c r="C715" t="s">
        <v>18</v>
      </c>
      <c r="D715" t="s">
        <v>1243</v>
      </c>
      <c r="E715" t="s">
        <v>1244</v>
      </c>
      <c r="F715" t="s">
        <v>18</v>
      </c>
    </row>
    <row r="716" spans="1:6" x14ac:dyDescent="0.35">
      <c r="A716" t="s">
        <v>1454</v>
      </c>
      <c r="B716" t="s">
        <v>16</v>
      </c>
      <c r="C716" t="s">
        <v>18</v>
      </c>
      <c r="D716" t="s">
        <v>1830</v>
      </c>
      <c r="E716" t="s">
        <v>1454</v>
      </c>
      <c r="F716" t="s">
        <v>18</v>
      </c>
    </row>
    <row r="717" spans="1:6" x14ac:dyDescent="0.35">
      <c r="A717" t="s">
        <v>670</v>
      </c>
      <c r="B717" t="s">
        <v>16</v>
      </c>
      <c r="C717" t="s">
        <v>19</v>
      </c>
      <c r="D717" t="s">
        <v>1245</v>
      </c>
      <c r="E717" t="s">
        <v>670</v>
      </c>
      <c r="F717" t="s">
        <v>19</v>
      </c>
    </row>
    <row r="718" spans="1:6" x14ac:dyDescent="0.35">
      <c r="A718" t="s">
        <v>185</v>
      </c>
      <c r="B718" t="s">
        <v>47</v>
      </c>
      <c r="C718" t="s">
        <v>51</v>
      </c>
      <c r="D718" t="s">
        <v>1246</v>
      </c>
      <c r="E718" t="s">
        <v>185</v>
      </c>
      <c r="F718" t="s">
        <v>51</v>
      </c>
    </row>
    <row r="719" spans="1:6" x14ac:dyDescent="0.35">
      <c r="A719" t="s">
        <v>297</v>
      </c>
      <c r="B719" t="s">
        <v>47</v>
      </c>
      <c r="C719" t="s">
        <v>19</v>
      </c>
      <c r="D719" t="s">
        <v>1247</v>
      </c>
      <c r="E719" t="s">
        <v>297</v>
      </c>
      <c r="F719" t="s">
        <v>19</v>
      </c>
    </row>
    <row r="720" spans="1:6" x14ac:dyDescent="0.35">
      <c r="A720" t="s">
        <v>473</v>
      </c>
      <c r="B720" t="s">
        <v>47</v>
      </c>
      <c r="C720" t="s">
        <v>35</v>
      </c>
      <c r="D720" t="s">
        <v>1831</v>
      </c>
      <c r="E720" t="s">
        <v>473</v>
      </c>
      <c r="F720" t="s">
        <v>35</v>
      </c>
    </row>
    <row r="721" spans="1:6" x14ac:dyDescent="0.35">
      <c r="A721" t="s">
        <v>1248</v>
      </c>
      <c r="B721" t="s">
        <v>16</v>
      </c>
      <c r="C721" t="s">
        <v>87</v>
      </c>
      <c r="D721" t="s">
        <v>1832</v>
      </c>
      <c r="E721" t="s">
        <v>1248</v>
      </c>
      <c r="F721" t="s">
        <v>87</v>
      </c>
    </row>
    <row r="722" spans="1:6" x14ac:dyDescent="0.35">
      <c r="A722" t="s">
        <v>1346</v>
      </c>
      <c r="B722" t="s">
        <v>16</v>
      </c>
      <c r="C722" t="s">
        <v>30</v>
      </c>
      <c r="D722" t="s">
        <v>1833</v>
      </c>
      <c r="E722" t="s">
        <v>1346</v>
      </c>
      <c r="F722" t="s">
        <v>30</v>
      </c>
    </row>
    <row r="723" spans="1:6" x14ac:dyDescent="0.35">
      <c r="A723" t="s">
        <v>590</v>
      </c>
      <c r="B723" t="s">
        <v>16</v>
      </c>
      <c r="C723" t="s">
        <v>124</v>
      </c>
      <c r="D723" t="s">
        <v>1249</v>
      </c>
      <c r="E723" t="s">
        <v>590</v>
      </c>
      <c r="F723" t="s">
        <v>124</v>
      </c>
    </row>
    <row r="724" spans="1:6" x14ac:dyDescent="0.35">
      <c r="A724" t="s">
        <v>1495</v>
      </c>
      <c r="B724" t="s">
        <v>47</v>
      </c>
      <c r="C724" t="s">
        <v>34</v>
      </c>
      <c r="D724" t="s">
        <v>1834</v>
      </c>
      <c r="E724" t="s">
        <v>1495</v>
      </c>
      <c r="F724" t="s">
        <v>34</v>
      </c>
    </row>
    <row r="725" spans="1:6" x14ac:dyDescent="0.35">
      <c r="A725" t="s">
        <v>1251</v>
      </c>
      <c r="B725" t="s">
        <v>16</v>
      </c>
      <c r="C725" t="s">
        <v>684</v>
      </c>
      <c r="D725" t="s">
        <v>1835</v>
      </c>
      <c r="E725" t="s">
        <v>1251</v>
      </c>
      <c r="F725" t="s">
        <v>684</v>
      </c>
    </row>
    <row r="726" spans="1:6" x14ac:dyDescent="0.35">
      <c r="A726" t="s">
        <v>161</v>
      </c>
      <c r="B726" t="s">
        <v>47</v>
      </c>
      <c r="C726" t="s">
        <v>83</v>
      </c>
      <c r="D726" t="s">
        <v>1252</v>
      </c>
      <c r="E726" t="s">
        <v>161</v>
      </c>
      <c r="F726" t="s">
        <v>83</v>
      </c>
    </row>
    <row r="727" spans="1:6" x14ac:dyDescent="0.35">
      <c r="A727" t="s">
        <v>170</v>
      </c>
      <c r="B727" t="s">
        <v>47</v>
      </c>
      <c r="C727" t="s">
        <v>40</v>
      </c>
      <c r="D727" t="s">
        <v>1253</v>
      </c>
      <c r="E727" t="s">
        <v>170</v>
      </c>
      <c r="F727" t="s">
        <v>40</v>
      </c>
    </row>
    <row r="728" spans="1:6" x14ac:dyDescent="0.35">
      <c r="A728" t="s">
        <v>388</v>
      </c>
      <c r="B728" t="s">
        <v>16</v>
      </c>
      <c r="C728" t="s">
        <v>30</v>
      </c>
      <c r="D728" t="s">
        <v>1254</v>
      </c>
      <c r="E728" t="s">
        <v>388</v>
      </c>
      <c r="F728" t="s">
        <v>30</v>
      </c>
    </row>
    <row r="729" spans="1:6" x14ac:dyDescent="0.35">
      <c r="A729" t="s">
        <v>329</v>
      </c>
      <c r="B729" t="s">
        <v>47</v>
      </c>
      <c r="C729" t="s">
        <v>87</v>
      </c>
      <c r="D729" t="s">
        <v>1255</v>
      </c>
      <c r="E729" t="s">
        <v>329</v>
      </c>
      <c r="F729" t="s">
        <v>87</v>
      </c>
    </row>
    <row r="730" spans="1:6" x14ac:dyDescent="0.35">
      <c r="A730" t="s">
        <v>1400</v>
      </c>
      <c r="B730" t="s">
        <v>47</v>
      </c>
      <c r="C730" t="s">
        <v>35</v>
      </c>
      <c r="D730" t="s">
        <v>1836</v>
      </c>
      <c r="E730" t="s">
        <v>1400</v>
      </c>
      <c r="F730" t="s">
        <v>35</v>
      </c>
    </row>
    <row r="731" spans="1:6" x14ac:dyDescent="0.35">
      <c r="A731" t="s">
        <v>1256</v>
      </c>
      <c r="B731" t="s">
        <v>47</v>
      </c>
      <c r="C731" t="s">
        <v>75</v>
      </c>
      <c r="D731" t="s">
        <v>1837</v>
      </c>
      <c r="E731" t="s">
        <v>1256</v>
      </c>
      <c r="F731" t="s">
        <v>75</v>
      </c>
    </row>
    <row r="732" spans="1:6" x14ac:dyDescent="0.35">
      <c r="A732" t="s">
        <v>1258</v>
      </c>
      <c r="B732" t="s">
        <v>16</v>
      </c>
      <c r="C732" t="s">
        <v>75</v>
      </c>
      <c r="D732" t="s">
        <v>1257</v>
      </c>
      <c r="E732" t="s">
        <v>1258</v>
      </c>
      <c r="F732" t="s">
        <v>75</v>
      </c>
    </row>
    <row r="733" spans="1:6" x14ac:dyDescent="0.35">
      <c r="A733" t="s">
        <v>1260</v>
      </c>
      <c r="B733" t="s">
        <v>16</v>
      </c>
      <c r="C733" t="s">
        <v>75</v>
      </c>
      <c r="D733" t="s">
        <v>1838</v>
      </c>
      <c r="E733" t="s">
        <v>1260</v>
      </c>
      <c r="F733" t="s">
        <v>75</v>
      </c>
    </row>
    <row r="734" spans="1:6" x14ac:dyDescent="0.35">
      <c r="A734" t="s">
        <v>625</v>
      </c>
      <c r="B734" t="s">
        <v>16</v>
      </c>
      <c r="C734" t="s">
        <v>75</v>
      </c>
      <c r="D734" t="s">
        <v>1259</v>
      </c>
      <c r="E734" t="s">
        <v>625</v>
      </c>
      <c r="F734" t="s">
        <v>75</v>
      </c>
    </row>
    <row r="735" spans="1:6" x14ac:dyDescent="0.35">
      <c r="A735" t="s">
        <v>567</v>
      </c>
      <c r="B735" t="s">
        <v>47</v>
      </c>
      <c r="C735" t="s">
        <v>75</v>
      </c>
      <c r="D735" t="s">
        <v>1261</v>
      </c>
      <c r="E735" t="s">
        <v>567</v>
      </c>
      <c r="F735" t="s">
        <v>75</v>
      </c>
    </row>
    <row r="736" spans="1:6" x14ac:dyDescent="0.35">
      <c r="A736" t="s">
        <v>1262</v>
      </c>
      <c r="B736" t="s">
        <v>16</v>
      </c>
      <c r="C736" t="s">
        <v>39</v>
      </c>
      <c r="D736" t="s">
        <v>1839</v>
      </c>
      <c r="E736" t="s">
        <v>1262</v>
      </c>
      <c r="F736" t="s">
        <v>39</v>
      </c>
    </row>
    <row r="737" spans="1:6" x14ac:dyDescent="0.35">
      <c r="A737" t="s">
        <v>1488</v>
      </c>
      <c r="B737" t="s">
        <v>16</v>
      </c>
      <c r="C737" t="s">
        <v>1489</v>
      </c>
      <c r="D737" t="s">
        <v>1840</v>
      </c>
      <c r="E737" t="s">
        <v>1488</v>
      </c>
      <c r="F737" t="s">
        <v>1489</v>
      </c>
    </row>
    <row r="738" spans="1:6" x14ac:dyDescent="0.35">
      <c r="A738" t="s">
        <v>219</v>
      </c>
      <c r="B738" t="s">
        <v>16</v>
      </c>
      <c r="C738" t="s">
        <v>21</v>
      </c>
      <c r="D738" t="s">
        <v>1263</v>
      </c>
      <c r="E738" t="s">
        <v>219</v>
      </c>
      <c r="F738" t="s">
        <v>21</v>
      </c>
    </row>
    <row r="739" spans="1:6" x14ac:dyDescent="0.35">
      <c r="A739" t="s">
        <v>1264</v>
      </c>
      <c r="B739" t="s">
        <v>47</v>
      </c>
      <c r="C739" t="s">
        <v>17</v>
      </c>
      <c r="D739" t="s">
        <v>1841</v>
      </c>
      <c r="E739" t="s">
        <v>1264</v>
      </c>
      <c r="F739" t="s">
        <v>17</v>
      </c>
    </row>
    <row r="740" spans="1:6" x14ac:dyDescent="0.35">
      <c r="A740" t="s">
        <v>1265</v>
      </c>
      <c r="B740" t="s">
        <v>16</v>
      </c>
      <c r="C740" t="s">
        <v>87</v>
      </c>
      <c r="D740" t="s">
        <v>1842</v>
      </c>
      <c r="E740" t="s">
        <v>1265</v>
      </c>
      <c r="F740" t="s">
        <v>87</v>
      </c>
    </row>
    <row r="741" spans="1:6" x14ac:dyDescent="0.35">
      <c r="A741" t="s">
        <v>333</v>
      </c>
      <c r="B741" t="s">
        <v>47</v>
      </c>
      <c r="C741" t="s">
        <v>87</v>
      </c>
      <c r="D741" t="s">
        <v>1266</v>
      </c>
      <c r="E741" t="s">
        <v>333</v>
      </c>
      <c r="F741" t="s">
        <v>87</v>
      </c>
    </row>
    <row r="742" spans="1:6" x14ac:dyDescent="0.35">
      <c r="A742" t="s">
        <v>626</v>
      </c>
      <c r="B742" t="s">
        <v>16</v>
      </c>
      <c r="C742" t="s">
        <v>75</v>
      </c>
      <c r="D742" t="s">
        <v>1267</v>
      </c>
      <c r="E742" t="s">
        <v>626</v>
      </c>
      <c r="F742" t="s">
        <v>75</v>
      </c>
    </row>
    <row r="743" spans="1:6" x14ac:dyDescent="0.35">
      <c r="A743" t="s">
        <v>1424</v>
      </c>
      <c r="B743" t="s">
        <v>16</v>
      </c>
      <c r="C743" t="s">
        <v>75</v>
      </c>
      <c r="D743" t="s">
        <v>1843</v>
      </c>
      <c r="E743" t="s">
        <v>1424</v>
      </c>
      <c r="F743" t="s">
        <v>75</v>
      </c>
    </row>
    <row r="744" spans="1:6" x14ac:dyDescent="0.35">
      <c r="A744" t="s">
        <v>1505</v>
      </c>
      <c r="B744" t="s">
        <v>16</v>
      </c>
      <c r="C744" t="s">
        <v>108</v>
      </c>
      <c r="D744" t="s">
        <v>1844</v>
      </c>
      <c r="E744" t="s">
        <v>1505</v>
      </c>
      <c r="F744" t="s">
        <v>108</v>
      </c>
    </row>
    <row r="745" spans="1:6" x14ac:dyDescent="0.35">
      <c r="A745" t="s">
        <v>210</v>
      </c>
      <c r="B745" t="s">
        <v>16</v>
      </c>
      <c r="C745" t="s">
        <v>48</v>
      </c>
      <c r="D745" t="s">
        <v>1268</v>
      </c>
      <c r="E745" t="s">
        <v>210</v>
      </c>
      <c r="F745" t="s">
        <v>48</v>
      </c>
    </row>
    <row r="746" spans="1:6" x14ac:dyDescent="0.35">
      <c r="A746" t="s">
        <v>1328</v>
      </c>
      <c r="B746" t="s">
        <v>47</v>
      </c>
      <c r="C746" t="s">
        <v>17</v>
      </c>
      <c r="D746" t="s">
        <v>1845</v>
      </c>
      <c r="E746" t="s">
        <v>1328</v>
      </c>
      <c r="F746" t="s">
        <v>17</v>
      </c>
    </row>
    <row r="747" spans="1:6" x14ac:dyDescent="0.35">
      <c r="A747" t="s">
        <v>605</v>
      </c>
      <c r="B747" t="s">
        <v>47</v>
      </c>
      <c r="C747" t="s">
        <v>21</v>
      </c>
      <c r="D747" t="s">
        <v>1846</v>
      </c>
      <c r="E747" t="s">
        <v>605</v>
      </c>
      <c r="F747" t="s">
        <v>21</v>
      </c>
    </row>
    <row r="748" spans="1:6" x14ac:dyDescent="0.35">
      <c r="A748" t="s">
        <v>509</v>
      </c>
      <c r="B748" t="s">
        <v>16</v>
      </c>
      <c r="C748" t="s">
        <v>103</v>
      </c>
      <c r="D748" t="s">
        <v>1847</v>
      </c>
      <c r="E748" t="s">
        <v>509</v>
      </c>
      <c r="F748" t="s">
        <v>103</v>
      </c>
    </row>
    <row r="749" spans="1:6" x14ac:dyDescent="0.35">
      <c r="A749" t="s">
        <v>1273</v>
      </c>
      <c r="B749" t="s">
        <v>16</v>
      </c>
      <c r="C749" t="s">
        <v>87</v>
      </c>
      <c r="D749" t="s">
        <v>1848</v>
      </c>
      <c r="E749" t="s">
        <v>1273</v>
      </c>
      <c r="F749" t="s">
        <v>87</v>
      </c>
    </row>
    <row r="750" spans="1:6" x14ac:dyDescent="0.35">
      <c r="A750" t="s">
        <v>1270</v>
      </c>
      <c r="B750" t="s">
        <v>16</v>
      </c>
      <c r="C750" t="s">
        <v>20</v>
      </c>
      <c r="D750" t="s">
        <v>1269</v>
      </c>
      <c r="E750" t="s">
        <v>1270</v>
      </c>
      <c r="F750" t="s">
        <v>20</v>
      </c>
    </row>
    <row r="751" spans="1:6" x14ac:dyDescent="0.35">
      <c r="A751" t="s">
        <v>1438</v>
      </c>
      <c r="B751" t="s">
        <v>16</v>
      </c>
      <c r="C751" t="s">
        <v>18</v>
      </c>
      <c r="D751" t="s">
        <v>1849</v>
      </c>
      <c r="E751" t="s">
        <v>1438</v>
      </c>
      <c r="F751" t="s">
        <v>18</v>
      </c>
    </row>
    <row r="752" spans="1:6" x14ac:dyDescent="0.35">
      <c r="A752" t="s">
        <v>544</v>
      </c>
      <c r="B752" t="s">
        <v>16</v>
      </c>
      <c r="C752" t="s">
        <v>20</v>
      </c>
      <c r="D752" t="s">
        <v>1271</v>
      </c>
      <c r="E752" t="s">
        <v>544</v>
      </c>
      <c r="F752" t="s">
        <v>20</v>
      </c>
    </row>
    <row r="753" spans="1:6" x14ac:dyDescent="0.35">
      <c r="A753" t="s">
        <v>371</v>
      </c>
      <c r="B753" t="s">
        <v>16</v>
      </c>
      <c r="C753" t="s">
        <v>51</v>
      </c>
      <c r="D753" t="s">
        <v>1272</v>
      </c>
      <c r="E753" t="s">
        <v>371</v>
      </c>
      <c r="F753" t="s">
        <v>51</v>
      </c>
    </row>
    <row r="754" spans="1:6" x14ac:dyDescent="0.35">
      <c r="A754" t="s">
        <v>1474</v>
      </c>
      <c r="B754" t="s">
        <v>16</v>
      </c>
      <c r="C754" t="s">
        <v>20</v>
      </c>
      <c r="D754" t="s">
        <v>1850</v>
      </c>
      <c r="E754" t="s">
        <v>1474</v>
      </c>
      <c r="F754" t="s">
        <v>20</v>
      </c>
    </row>
    <row r="755" spans="1:6" x14ac:dyDescent="0.35">
      <c r="A755" t="s">
        <v>1275</v>
      </c>
      <c r="B755" t="s">
        <v>16</v>
      </c>
      <c r="C755" t="s">
        <v>86</v>
      </c>
      <c r="D755" t="s">
        <v>1274</v>
      </c>
      <c r="E755" t="s">
        <v>1275</v>
      </c>
      <c r="F755" t="s">
        <v>86</v>
      </c>
    </row>
    <row r="756" spans="1:6" x14ac:dyDescent="0.35">
      <c r="A756" t="s">
        <v>412</v>
      </c>
      <c r="B756" t="s">
        <v>47</v>
      </c>
      <c r="C756" t="s">
        <v>48</v>
      </c>
      <c r="D756" t="s">
        <v>1276</v>
      </c>
      <c r="E756" t="s">
        <v>412</v>
      </c>
      <c r="F756" t="s">
        <v>48</v>
      </c>
    </row>
    <row r="757" spans="1:6" x14ac:dyDescent="0.35">
      <c r="A757" t="s">
        <v>361</v>
      </c>
      <c r="B757" t="s">
        <v>47</v>
      </c>
      <c r="C757" t="s">
        <v>48</v>
      </c>
      <c r="D757" t="s">
        <v>1277</v>
      </c>
      <c r="E757" t="s">
        <v>361</v>
      </c>
      <c r="F757" t="s">
        <v>48</v>
      </c>
    </row>
    <row r="758" spans="1:6" x14ac:dyDescent="0.35">
      <c r="A758" t="s">
        <v>205</v>
      </c>
      <c r="B758" t="s">
        <v>16</v>
      </c>
      <c r="C758" t="s">
        <v>17</v>
      </c>
      <c r="D758" t="s">
        <v>1278</v>
      </c>
      <c r="E758" t="s">
        <v>205</v>
      </c>
      <c r="F758" t="s">
        <v>17</v>
      </c>
    </row>
    <row r="759" spans="1:6" x14ac:dyDescent="0.35">
      <c r="A759" t="s">
        <v>1279</v>
      </c>
      <c r="B759" t="s">
        <v>16</v>
      </c>
      <c r="C759" t="s">
        <v>87</v>
      </c>
      <c r="D759" t="s">
        <v>1851</v>
      </c>
      <c r="E759" t="s">
        <v>1279</v>
      </c>
      <c r="F759" t="s">
        <v>87</v>
      </c>
    </row>
    <row r="760" spans="1:6" x14ac:dyDescent="0.35">
      <c r="A760" t="s">
        <v>1491</v>
      </c>
      <c r="B760" t="s">
        <v>16</v>
      </c>
      <c r="C760" t="s">
        <v>30</v>
      </c>
      <c r="D760" t="s">
        <v>1852</v>
      </c>
      <c r="E760" t="s">
        <v>1491</v>
      </c>
      <c r="F760" t="s">
        <v>30</v>
      </c>
    </row>
    <row r="761" spans="1:6" x14ac:dyDescent="0.35">
      <c r="A761" t="s">
        <v>599</v>
      </c>
      <c r="B761" t="s">
        <v>16</v>
      </c>
      <c r="C761" t="s">
        <v>48</v>
      </c>
      <c r="D761" t="s">
        <v>1280</v>
      </c>
      <c r="E761" t="s">
        <v>599</v>
      </c>
      <c r="F761" t="s">
        <v>48</v>
      </c>
    </row>
    <row r="762" spans="1:6" x14ac:dyDescent="0.35">
      <c r="A762" t="s">
        <v>653</v>
      </c>
      <c r="B762" t="s">
        <v>16</v>
      </c>
      <c r="C762" t="s">
        <v>52</v>
      </c>
      <c r="D762" t="s">
        <v>1281</v>
      </c>
      <c r="E762" t="s">
        <v>653</v>
      </c>
      <c r="F762" t="s">
        <v>52</v>
      </c>
    </row>
    <row r="763" spans="1:6" x14ac:dyDescent="0.35">
      <c r="A763" t="s">
        <v>199</v>
      </c>
      <c r="B763" t="s">
        <v>16</v>
      </c>
      <c r="C763" t="s">
        <v>87</v>
      </c>
      <c r="D763" t="s">
        <v>1282</v>
      </c>
      <c r="E763" t="s">
        <v>199</v>
      </c>
      <c r="F763" t="s">
        <v>87</v>
      </c>
    </row>
    <row r="764" spans="1:6" x14ac:dyDescent="0.35">
      <c r="A764" t="s">
        <v>1403</v>
      </c>
      <c r="B764" t="s">
        <v>47</v>
      </c>
      <c r="C764" t="s">
        <v>69</v>
      </c>
      <c r="D764" t="s">
        <v>1853</v>
      </c>
      <c r="E764" t="s">
        <v>1403</v>
      </c>
      <c r="F764" t="s">
        <v>69</v>
      </c>
    </row>
    <row r="765" spans="1:6" x14ac:dyDescent="0.35">
      <c r="A765" t="s">
        <v>490</v>
      </c>
      <c r="B765" t="s">
        <v>16</v>
      </c>
      <c r="C765" t="s">
        <v>39</v>
      </c>
      <c r="D765" t="s">
        <v>1283</v>
      </c>
      <c r="E765" t="s">
        <v>490</v>
      </c>
      <c r="F765" t="s">
        <v>39</v>
      </c>
    </row>
    <row r="766" spans="1:6" x14ac:dyDescent="0.35">
      <c r="A766" t="s">
        <v>676</v>
      </c>
      <c r="B766" t="s">
        <v>16</v>
      </c>
      <c r="C766" t="s">
        <v>504</v>
      </c>
      <c r="D766" t="s">
        <v>1284</v>
      </c>
      <c r="E766" t="s">
        <v>676</v>
      </c>
      <c r="F766" t="s">
        <v>504</v>
      </c>
    </row>
    <row r="767" spans="1:6" x14ac:dyDescent="0.35">
      <c r="A767" t="s">
        <v>201</v>
      </c>
      <c r="B767" t="s">
        <v>16</v>
      </c>
      <c r="C767" t="s">
        <v>36</v>
      </c>
      <c r="D767" t="s">
        <v>1285</v>
      </c>
      <c r="E767" t="s">
        <v>201</v>
      </c>
      <c r="F767" t="s">
        <v>36</v>
      </c>
    </row>
    <row r="768" spans="1:6" x14ac:dyDescent="0.35">
      <c r="A768" t="s">
        <v>1287</v>
      </c>
      <c r="B768" t="s">
        <v>47</v>
      </c>
      <c r="C768" t="s">
        <v>48</v>
      </c>
      <c r="D768" t="s">
        <v>1854</v>
      </c>
      <c r="E768" t="s">
        <v>1287</v>
      </c>
      <c r="F768" t="s">
        <v>48</v>
      </c>
    </row>
    <row r="769" spans="1:6" x14ac:dyDescent="0.35">
      <c r="A769" t="s">
        <v>532</v>
      </c>
      <c r="B769" t="s">
        <v>16</v>
      </c>
      <c r="C769" t="s">
        <v>18</v>
      </c>
      <c r="D769" t="s">
        <v>915</v>
      </c>
      <c r="E769" t="s">
        <v>532</v>
      </c>
      <c r="F769" t="s">
        <v>18</v>
      </c>
    </row>
    <row r="770" spans="1:6" x14ac:dyDescent="0.35">
      <c r="A770" t="s">
        <v>1486</v>
      </c>
      <c r="B770" t="s">
        <v>16</v>
      </c>
      <c r="C770" t="s">
        <v>108</v>
      </c>
      <c r="D770" t="s">
        <v>1855</v>
      </c>
      <c r="E770" t="s">
        <v>1486</v>
      </c>
      <c r="F770" t="s">
        <v>108</v>
      </c>
    </row>
    <row r="771" spans="1:6" x14ac:dyDescent="0.35">
      <c r="A771" t="s">
        <v>527</v>
      </c>
      <c r="B771" t="s">
        <v>47</v>
      </c>
      <c r="C771" t="s">
        <v>87</v>
      </c>
      <c r="D771" t="s">
        <v>1288</v>
      </c>
      <c r="E771" t="s">
        <v>527</v>
      </c>
      <c r="F771" t="s">
        <v>87</v>
      </c>
    </row>
    <row r="772" spans="1:6" x14ac:dyDescent="0.35">
      <c r="A772" t="s">
        <v>1289</v>
      </c>
      <c r="B772" t="s">
        <v>47</v>
      </c>
      <c r="C772" t="s">
        <v>87</v>
      </c>
      <c r="D772" t="s">
        <v>1856</v>
      </c>
      <c r="E772" t="s">
        <v>1289</v>
      </c>
      <c r="F772" t="s">
        <v>87</v>
      </c>
    </row>
    <row r="773" spans="1:6" x14ac:dyDescent="0.35">
      <c r="A773" t="s">
        <v>608</v>
      </c>
      <c r="B773" t="s">
        <v>47</v>
      </c>
      <c r="C773" t="s">
        <v>86</v>
      </c>
      <c r="D773" t="s">
        <v>1290</v>
      </c>
      <c r="E773" t="s">
        <v>608</v>
      </c>
      <c r="F773" t="s">
        <v>86</v>
      </c>
    </row>
    <row r="774" spans="1:6" x14ac:dyDescent="0.35">
      <c r="A774" t="s">
        <v>1291</v>
      </c>
      <c r="B774" t="s">
        <v>47</v>
      </c>
      <c r="C774" t="s">
        <v>76</v>
      </c>
      <c r="D774" t="s">
        <v>1857</v>
      </c>
      <c r="E774" t="s">
        <v>1291</v>
      </c>
      <c r="F774" t="s">
        <v>76</v>
      </c>
    </row>
    <row r="775" spans="1:6" x14ac:dyDescent="0.35">
      <c r="A775" t="s">
        <v>1391</v>
      </c>
      <c r="B775" t="s">
        <v>47</v>
      </c>
      <c r="C775" t="s">
        <v>56</v>
      </c>
      <c r="D775" t="s">
        <v>1858</v>
      </c>
      <c r="E775" t="s">
        <v>1391</v>
      </c>
      <c r="F775" t="s">
        <v>56</v>
      </c>
    </row>
    <row r="776" spans="1:6" x14ac:dyDescent="0.35">
      <c r="A776" t="s">
        <v>1475</v>
      </c>
      <c r="B776" t="s">
        <v>47</v>
      </c>
      <c r="C776" t="s">
        <v>87</v>
      </c>
      <c r="D776" t="s">
        <v>1859</v>
      </c>
      <c r="E776" t="s">
        <v>1475</v>
      </c>
      <c r="F776" t="s">
        <v>87</v>
      </c>
    </row>
    <row r="777" spans="1:6" x14ac:dyDescent="0.35">
      <c r="A777" t="s">
        <v>1342</v>
      </c>
      <c r="B777" t="s">
        <v>16</v>
      </c>
      <c r="C777" t="s">
        <v>30</v>
      </c>
      <c r="D777" t="s">
        <v>1860</v>
      </c>
      <c r="E777" t="s">
        <v>1342</v>
      </c>
      <c r="F777" t="s">
        <v>30</v>
      </c>
    </row>
    <row r="778" spans="1:6" x14ac:dyDescent="0.35">
      <c r="A778" t="s">
        <v>619</v>
      </c>
      <c r="B778" t="s">
        <v>16</v>
      </c>
      <c r="C778" t="s">
        <v>18</v>
      </c>
      <c r="D778" t="s">
        <v>1292</v>
      </c>
      <c r="E778" t="s">
        <v>619</v>
      </c>
      <c r="F778" t="s">
        <v>18</v>
      </c>
    </row>
    <row r="779" spans="1:6" x14ac:dyDescent="0.35">
      <c r="A779" t="s">
        <v>633</v>
      </c>
      <c r="B779" t="s">
        <v>16</v>
      </c>
      <c r="C779" t="s">
        <v>56</v>
      </c>
      <c r="D779" t="s">
        <v>1293</v>
      </c>
      <c r="E779" t="s">
        <v>633</v>
      </c>
      <c r="F779" t="s">
        <v>56</v>
      </c>
    </row>
    <row r="780" spans="1:6" x14ac:dyDescent="0.35">
      <c r="A780" t="s">
        <v>1294</v>
      </c>
      <c r="B780" t="s">
        <v>47</v>
      </c>
      <c r="C780" t="s">
        <v>105</v>
      </c>
      <c r="D780" t="s">
        <v>1861</v>
      </c>
      <c r="E780" t="s">
        <v>1294</v>
      </c>
      <c r="F780" t="s">
        <v>105</v>
      </c>
    </row>
    <row r="781" spans="1:6" x14ac:dyDescent="0.35">
      <c r="A781" t="s">
        <v>363</v>
      </c>
      <c r="B781" t="s">
        <v>16</v>
      </c>
      <c r="C781" t="s">
        <v>51</v>
      </c>
      <c r="D781" t="s">
        <v>1295</v>
      </c>
      <c r="E781" t="s">
        <v>363</v>
      </c>
      <c r="F781" t="s">
        <v>51</v>
      </c>
    </row>
    <row r="782" spans="1:6" x14ac:dyDescent="0.35">
      <c r="A782" t="s">
        <v>1297</v>
      </c>
      <c r="B782" t="s">
        <v>16</v>
      </c>
      <c r="C782" t="s">
        <v>17</v>
      </c>
      <c r="D782" t="s">
        <v>1296</v>
      </c>
      <c r="E782" t="s">
        <v>1297</v>
      </c>
      <c r="F782" t="s">
        <v>17</v>
      </c>
    </row>
    <row r="783" spans="1:6" x14ac:dyDescent="0.35">
      <c r="A783" t="s">
        <v>1299</v>
      </c>
      <c r="B783" t="s">
        <v>16</v>
      </c>
      <c r="C783" t="s">
        <v>17</v>
      </c>
      <c r="D783" t="s">
        <v>1298</v>
      </c>
      <c r="E783" t="s">
        <v>1299</v>
      </c>
      <c r="F783" t="s">
        <v>17</v>
      </c>
    </row>
    <row r="784" spans="1:6" x14ac:dyDescent="0.35">
      <c r="A784" t="s">
        <v>618</v>
      </c>
      <c r="B784" t="s">
        <v>16</v>
      </c>
      <c r="C784" t="s">
        <v>87</v>
      </c>
      <c r="D784" t="s">
        <v>1300</v>
      </c>
      <c r="E784" t="s">
        <v>618</v>
      </c>
      <c r="F784" t="s">
        <v>87</v>
      </c>
    </row>
    <row r="785" spans="1:6" x14ac:dyDescent="0.35">
      <c r="A785" t="s">
        <v>1301</v>
      </c>
      <c r="B785" t="s">
        <v>47</v>
      </c>
      <c r="C785" t="s">
        <v>17</v>
      </c>
      <c r="D785" t="s">
        <v>1862</v>
      </c>
      <c r="E785" t="s">
        <v>1301</v>
      </c>
      <c r="F785" t="s">
        <v>17</v>
      </c>
    </row>
    <row r="786" spans="1:6" x14ac:dyDescent="0.35">
      <c r="A786" t="s">
        <v>1302</v>
      </c>
      <c r="B786" t="s">
        <v>47</v>
      </c>
      <c r="C786" t="s">
        <v>75</v>
      </c>
      <c r="D786" t="s">
        <v>1863</v>
      </c>
      <c r="E786" t="s">
        <v>1302</v>
      </c>
      <c r="F786" t="s">
        <v>75</v>
      </c>
    </row>
    <row r="787" spans="1:6" x14ac:dyDescent="0.35">
      <c r="A787" t="s">
        <v>392</v>
      </c>
      <c r="B787" t="s">
        <v>16</v>
      </c>
      <c r="C787" t="s">
        <v>75</v>
      </c>
      <c r="D787" t="s">
        <v>1303</v>
      </c>
      <c r="E787" t="s">
        <v>392</v>
      </c>
      <c r="F787" t="s">
        <v>75</v>
      </c>
    </row>
    <row r="788" spans="1:6" x14ac:dyDescent="0.35">
      <c r="A788" t="s">
        <v>409</v>
      </c>
      <c r="B788" t="s">
        <v>47</v>
      </c>
      <c r="C788" t="s">
        <v>83</v>
      </c>
      <c r="D788" t="s">
        <v>1304</v>
      </c>
      <c r="E788" t="s">
        <v>409</v>
      </c>
      <c r="F788" t="s">
        <v>83</v>
      </c>
    </row>
    <row r="789" spans="1:6" x14ac:dyDescent="0.35">
      <c r="A789" t="s">
        <v>523</v>
      </c>
      <c r="B789" t="s">
        <v>16</v>
      </c>
      <c r="C789" t="s">
        <v>120</v>
      </c>
      <c r="D789" t="s">
        <v>1864</v>
      </c>
      <c r="E789" t="s">
        <v>523</v>
      </c>
      <c r="F789" t="s">
        <v>120</v>
      </c>
    </row>
    <row r="790" spans="1:6" x14ac:dyDescent="0.35">
      <c r="A790" t="s">
        <v>1341</v>
      </c>
      <c r="B790" t="s">
        <v>16</v>
      </c>
      <c r="C790" t="s">
        <v>83</v>
      </c>
      <c r="D790" t="s">
        <v>1865</v>
      </c>
      <c r="E790" t="s">
        <v>1341</v>
      </c>
      <c r="F790" t="s">
        <v>83</v>
      </c>
    </row>
    <row r="791" spans="1:6" x14ac:dyDescent="0.35">
      <c r="A791" t="s">
        <v>261</v>
      </c>
      <c r="B791" t="s">
        <v>16</v>
      </c>
      <c r="C791" t="s">
        <v>55</v>
      </c>
      <c r="D791" t="s">
        <v>1305</v>
      </c>
      <c r="E791" t="s">
        <v>261</v>
      </c>
      <c r="F791" t="s">
        <v>55</v>
      </c>
    </row>
    <row r="792" spans="1:6" x14ac:dyDescent="0.35">
      <c r="A792" t="s">
        <v>1306</v>
      </c>
      <c r="B792" t="s">
        <v>47</v>
      </c>
      <c r="C792" t="s">
        <v>56</v>
      </c>
      <c r="D792" t="s">
        <v>1866</v>
      </c>
      <c r="E792" t="s">
        <v>1306</v>
      </c>
      <c r="F792" t="s">
        <v>56</v>
      </c>
    </row>
    <row r="793" spans="1:6" x14ac:dyDescent="0.35">
      <c r="A793" t="s">
        <v>241</v>
      </c>
      <c r="B793" t="s">
        <v>47</v>
      </c>
      <c r="C793" t="s">
        <v>52</v>
      </c>
      <c r="D793" t="s">
        <v>1307</v>
      </c>
      <c r="E793" t="s">
        <v>241</v>
      </c>
      <c r="F793" t="s">
        <v>52</v>
      </c>
    </row>
    <row r="794" spans="1:6" x14ac:dyDescent="0.35">
      <c r="A794" t="s">
        <v>139</v>
      </c>
      <c r="B794" t="s">
        <v>47</v>
      </c>
      <c r="C794" t="s">
        <v>17</v>
      </c>
      <c r="D794" t="s">
        <v>1308</v>
      </c>
      <c r="E794" t="s">
        <v>139</v>
      </c>
      <c r="F794" t="s">
        <v>17</v>
      </c>
    </row>
    <row r="795" spans="1:6" x14ac:dyDescent="0.35">
      <c r="A795" t="s">
        <v>1309</v>
      </c>
      <c r="B795" t="s">
        <v>16</v>
      </c>
      <c r="C795" t="s">
        <v>87</v>
      </c>
      <c r="D795" t="s">
        <v>1867</v>
      </c>
      <c r="E795" t="s">
        <v>1309</v>
      </c>
      <c r="F795" t="s">
        <v>87</v>
      </c>
    </row>
    <row r="796" spans="1:6" x14ac:dyDescent="0.35">
      <c r="A796" t="s">
        <v>294</v>
      </c>
      <c r="B796" t="s">
        <v>47</v>
      </c>
      <c r="C796" t="s">
        <v>48</v>
      </c>
      <c r="D796" t="s">
        <v>1310</v>
      </c>
      <c r="E796" t="s">
        <v>294</v>
      </c>
      <c r="F796" t="s">
        <v>48</v>
      </c>
    </row>
    <row r="797" spans="1:6" x14ac:dyDescent="0.35">
      <c r="A797" t="s">
        <v>449</v>
      </c>
      <c r="B797" t="s">
        <v>16</v>
      </c>
      <c r="C797" t="s">
        <v>17</v>
      </c>
      <c r="D797" t="s">
        <v>1311</v>
      </c>
      <c r="E797" t="s">
        <v>449</v>
      </c>
      <c r="F797" t="s">
        <v>17</v>
      </c>
    </row>
    <row r="798" spans="1:6" x14ac:dyDescent="0.35">
      <c r="A798" t="s">
        <v>1503</v>
      </c>
      <c r="B798" t="s">
        <v>16</v>
      </c>
      <c r="C798" t="s">
        <v>83</v>
      </c>
      <c r="D798" t="s">
        <v>1868</v>
      </c>
      <c r="E798" t="s">
        <v>1503</v>
      </c>
      <c r="F798" t="s">
        <v>83</v>
      </c>
    </row>
    <row r="799" spans="1:6" x14ac:dyDescent="0.35">
      <c r="A799" t="s">
        <v>1418</v>
      </c>
      <c r="B799" t="s">
        <v>16</v>
      </c>
      <c r="C799" t="s">
        <v>124</v>
      </c>
      <c r="D799" t="s">
        <v>1869</v>
      </c>
      <c r="E799" t="s">
        <v>1418</v>
      </c>
      <c r="F799" t="s">
        <v>124</v>
      </c>
    </row>
    <row r="800" spans="1:6" x14ac:dyDescent="0.35">
      <c r="A800" t="s">
        <v>630</v>
      </c>
      <c r="B800" t="s">
        <v>16</v>
      </c>
      <c r="C800" t="s">
        <v>18</v>
      </c>
      <c r="D800" t="s">
        <v>1312</v>
      </c>
      <c r="E800" t="s">
        <v>630</v>
      </c>
      <c r="F800" t="s">
        <v>18</v>
      </c>
    </row>
    <row r="801" spans="1:6" x14ac:dyDescent="0.35">
      <c r="A801" t="s">
        <v>634</v>
      </c>
      <c r="B801" t="s">
        <v>16</v>
      </c>
      <c r="C801" t="s">
        <v>580</v>
      </c>
      <c r="D801" t="s">
        <v>1313</v>
      </c>
      <c r="E801" t="s">
        <v>634</v>
      </c>
      <c r="F801" t="s">
        <v>580</v>
      </c>
    </row>
    <row r="802" spans="1:6" x14ac:dyDescent="0.35">
      <c r="A802" t="s">
        <v>228</v>
      </c>
      <c r="B802" t="s">
        <v>16</v>
      </c>
      <c r="C802" t="s">
        <v>51</v>
      </c>
      <c r="D802" t="s">
        <v>1314</v>
      </c>
      <c r="E802" t="s">
        <v>228</v>
      </c>
      <c r="F802" t="s">
        <v>51</v>
      </c>
    </row>
    <row r="803" spans="1:6" x14ac:dyDescent="0.35">
      <c r="A803" t="s">
        <v>555</v>
      </c>
      <c r="B803" t="s">
        <v>16</v>
      </c>
      <c r="C803" t="s">
        <v>75</v>
      </c>
      <c r="D803" t="s">
        <v>1315</v>
      </c>
      <c r="E803" t="s">
        <v>555</v>
      </c>
      <c r="F803" t="s">
        <v>75</v>
      </c>
    </row>
    <row r="804" spans="1:6" x14ac:dyDescent="0.35">
      <c r="A804" t="s">
        <v>521</v>
      </c>
      <c r="B804" t="s">
        <v>16</v>
      </c>
      <c r="C804" t="s">
        <v>124</v>
      </c>
      <c r="D804" t="s">
        <v>1316</v>
      </c>
      <c r="E804" t="s">
        <v>521</v>
      </c>
      <c r="F804" t="s">
        <v>124</v>
      </c>
    </row>
    <row r="805" spans="1:6" x14ac:dyDescent="0.35">
      <c r="A805" t="s">
        <v>196</v>
      </c>
      <c r="B805" t="s">
        <v>16</v>
      </c>
      <c r="C805" t="s">
        <v>115</v>
      </c>
      <c r="D805" t="s">
        <v>1317</v>
      </c>
      <c r="E805" t="s">
        <v>196</v>
      </c>
      <c r="F805" t="s">
        <v>115</v>
      </c>
    </row>
    <row r="806" spans="1:6" x14ac:dyDescent="0.35">
      <c r="A806" t="s">
        <v>1381</v>
      </c>
      <c r="B806" t="s">
        <v>16</v>
      </c>
      <c r="C806" t="s">
        <v>1382</v>
      </c>
      <c r="D806" t="s">
        <v>1870</v>
      </c>
      <c r="E806" t="s">
        <v>1381</v>
      </c>
      <c r="F806" t="s">
        <v>1382</v>
      </c>
    </row>
    <row r="807" spans="1:6" x14ac:dyDescent="0.35">
      <c r="A807" t="s">
        <v>1497</v>
      </c>
      <c r="B807" t="s">
        <v>16</v>
      </c>
      <c r="C807" t="s">
        <v>48</v>
      </c>
      <c r="D807" t="s">
        <v>1871</v>
      </c>
      <c r="E807" t="s">
        <v>1497</v>
      </c>
      <c r="F807" t="s">
        <v>48</v>
      </c>
    </row>
    <row r="808" spans="1:6" x14ac:dyDescent="0.35">
      <c r="A808" t="s">
        <v>637</v>
      </c>
      <c r="B808" t="s">
        <v>47</v>
      </c>
      <c r="C808" t="s">
        <v>56</v>
      </c>
      <c r="D808" t="s">
        <v>1318</v>
      </c>
      <c r="E808" t="s">
        <v>637</v>
      </c>
      <c r="F808" t="s">
        <v>56</v>
      </c>
    </row>
    <row r="809" spans="1:6" x14ac:dyDescent="0.35">
      <c r="A809" t="s">
        <v>1320</v>
      </c>
      <c r="B809" t="s">
        <v>16</v>
      </c>
      <c r="C809" t="s">
        <v>48</v>
      </c>
      <c r="D809" t="s">
        <v>1319</v>
      </c>
      <c r="E809" t="s">
        <v>1320</v>
      </c>
      <c r="F809" t="s">
        <v>48</v>
      </c>
    </row>
    <row r="810" spans="1:6" x14ac:dyDescent="0.35">
      <c r="A810" t="s">
        <v>642</v>
      </c>
      <c r="B810" t="s">
        <v>16</v>
      </c>
      <c r="C810" t="s">
        <v>18</v>
      </c>
      <c r="D810" t="s">
        <v>1321</v>
      </c>
      <c r="E810" t="s">
        <v>642</v>
      </c>
      <c r="F810" t="s">
        <v>18</v>
      </c>
    </row>
    <row r="811" spans="1:6" x14ac:dyDescent="0.35">
      <c r="A811" t="s">
        <v>650</v>
      </c>
      <c r="B811" t="s">
        <v>16</v>
      </c>
      <c r="C811" t="s">
        <v>20</v>
      </c>
      <c r="D811" t="s">
        <v>1322</v>
      </c>
      <c r="E811" t="s">
        <v>650</v>
      </c>
      <c r="F811" t="s">
        <v>20</v>
      </c>
    </row>
    <row r="812" spans="1:6" x14ac:dyDescent="0.35">
      <c r="A812" t="s">
        <v>1324</v>
      </c>
      <c r="B812" t="s">
        <v>16</v>
      </c>
      <c r="C812" t="s">
        <v>57</v>
      </c>
      <c r="D812" t="s">
        <v>1872</v>
      </c>
      <c r="E812" t="s">
        <v>1324</v>
      </c>
      <c r="F812" t="s">
        <v>57</v>
      </c>
    </row>
    <row r="813" spans="1:6" x14ac:dyDescent="0.35">
      <c r="A813" t="s">
        <v>558</v>
      </c>
      <c r="B813" t="s">
        <v>16</v>
      </c>
      <c r="C813" t="s">
        <v>75</v>
      </c>
      <c r="D813" t="s">
        <v>1323</v>
      </c>
      <c r="E813" t="s">
        <v>558</v>
      </c>
      <c r="F813" t="s">
        <v>75</v>
      </c>
    </row>
    <row r="814" spans="1:6" x14ac:dyDescent="0.35">
      <c r="A814" t="s">
        <v>600</v>
      </c>
      <c r="B814" t="s">
        <v>16</v>
      </c>
      <c r="C814" t="s">
        <v>601</v>
      </c>
      <c r="D814" t="s">
        <v>1873</v>
      </c>
      <c r="E814" t="s">
        <v>600</v>
      </c>
      <c r="F814" t="s">
        <v>601</v>
      </c>
    </row>
    <row r="815" spans="1:6" x14ac:dyDescent="0.35">
      <c r="A815" t="s">
        <v>336</v>
      </c>
      <c r="B815" t="s">
        <v>47</v>
      </c>
      <c r="C815" t="s">
        <v>87</v>
      </c>
      <c r="D815" t="s">
        <v>1325</v>
      </c>
      <c r="E815" t="s">
        <v>336</v>
      </c>
      <c r="F815" t="s">
        <v>87</v>
      </c>
    </row>
    <row r="816" spans="1:6" x14ac:dyDescent="0.35">
      <c r="A816" t="s">
        <v>394</v>
      </c>
      <c r="B816" t="s">
        <v>16</v>
      </c>
      <c r="C816" t="s">
        <v>75</v>
      </c>
      <c r="D816" t="s">
        <v>1326</v>
      </c>
      <c r="E816" t="s">
        <v>394</v>
      </c>
      <c r="F816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1500m</vt:lpstr>
      <vt:lpstr>Names_clean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Walt</dc:creator>
  <cp:lastModifiedBy>Maxime Walt</cp:lastModifiedBy>
  <dcterms:created xsi:type="dcterms:W3CDTF">2024-08-20T09:12:05Z</dcterms:created>
  <dcterms:modified xsi:type="dcterms:W3CDTF">2026-08-07T15:08:50Z</dcterms:modified>
</cp:coreProperties>
</file>